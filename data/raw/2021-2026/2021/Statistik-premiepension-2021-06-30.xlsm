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5"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AEAB00AA-E0A2-4AC5-BD15-FA6B870A1C45}"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<sst xmlns="http://schemas.openxmlformats.org/spreadsheetml/2006/main" count="13847" uniqueCount="1242">
  <si>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</si>
  <si>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</si>
  <si>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</si>
  <si>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</si>
  <si>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</si>
  <si>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</si>
  <si>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</si>
  <si>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</si>
  <si>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</si>
  <si>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</si>
  <si>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</si>
  <si>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</si>
  <si>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</si>
  <si>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</si>
  <si>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</si>
  <si>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</si>
  <si>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</si>
  <si>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</si>
  <si>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</si>
  <si>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</si>
  <si>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</si>
  <si>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</si>
  <si>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</si>
  <si>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</si>
  <si>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</si>
  <si>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</si>
  <si>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</si>
  <si>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</si>
  <si>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</si>
  <si>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</si>
  <si>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</si>
  <si>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</si>
  <si>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</si>
  <si>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</si>
  <si>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</si>
  <si>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</si>
  <si>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</si>
  <si>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</si>
  <si>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</si>
  <si>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</si>
  <si>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</si>
  <si>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</si>
  <si>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</si>
  <si>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</si>
  <si>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</si>
  <si>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</si>
  <si>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</si>
  <si>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</si>
  <si>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</si>
  <si>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</si>
  <si>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</si>
  <si>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</si>
  <si>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</si>
  <si>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</si>
  <si>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</si>
  <si>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</si>
  <si>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</si>
  <si>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</si>
  <si>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</si>
  <si>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</si>
  <si>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</si>
  <si>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</si>
  <si>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</si>
  <si>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</si>
  <si>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</si>
  <si>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</si>
  <si>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</si>
  <si>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</si>
  <si>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</si>
  <si>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</si>
  <si>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</si>
  <si>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</si>
  <si>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</si>
  <si>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</si>
  <si>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</si>
  <si>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</si>
  <si>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</si>
  <si>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</si>
  <si>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</si>
  <si>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</si>
  <si>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</si>
  <si>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</si>
  <si>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</si>
  <si>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</si>
  <si>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</si>
  <si>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</si>
  <si>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</si>
  <si>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</si>
  <si>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</si>
  <si>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</si>
  <si>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</si>
  <si>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</si>
  <si>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</si>
  <si>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</si>
  <si>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</si>
  <si>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</si>
  <si>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</si>
  <si>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</si>
  <si>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</si>
  <si>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</si>
  <si>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</si>
  <si>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</si>
  <si>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</si>
  <si>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</si>
  <si>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</si>
  <si>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</si>
  <si>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</si>
  <si>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</si>
  <si>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</si>
  <si>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</si>
  <si>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</si>
  <si>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</si>
  <si>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</si>
  <si>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</si>
  <si>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</si>
  <si>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</si>
  <si>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</si>
  <si>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</si>
  <si>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</si>
  <si>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</si>
  <si>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</si>
  <si>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</si>
  <si>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</si>
  <si>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</si>
  <si>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</si>
  <si>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</si>
  <si>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</si>
  <si>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</si>
  <si>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</si>
  <si>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</si>
  <si>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</si>
  <si>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</si>
  <si>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</si>
  <si>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</si>
  <si>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</si>
  <si>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</si>
  <si>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</si>
  <si>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</si>
  <si>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</si>
  <si>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</si>
  <si>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</si>
  <si>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</si>
  <si>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</si>
  <si>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</si>
  <si>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</si>
  <si>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</si>
  <si>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</si>
  <si>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</si>
  <si>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</si>
  <si>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</si>
  <si>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</si>
  <si>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</si>
  <si>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</si>
  <si>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</si>
  <si>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</si>
  <si>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</si>
  <si>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</si>
  <si>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</si>
  <si>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</si>
  <si>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</si>
  <si>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</si>
  <si>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</si>
  <si>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</si>
  <si>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</si>
  <si>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</si>
  <si>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</si>
  <si>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</si>
  <si>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</si>
  <si>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</si>
  <si>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</si>
  <si>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</si>
  <si>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</si>
  <si>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</si>
  <si>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</si>
  <si>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</si>
  <si>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</si>
  <si>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</si>
  <si>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</si>
  <si>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</si>
  <si>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</si>
  <si>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</si>
  <si>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</si>
  <si>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</si>
  <si>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</si>
  <si>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</si>
  <si>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</si>
  <si>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</si>
  <si>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</si>
  <si>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</si>
  <si>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</si>
  <si>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</si>
  <si>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</si>
  <si>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</si>
  <si>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</si>
  <si>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</si>
  <si>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</si>
  <si>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</si>
  <si>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</si>
  <si>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</si>
  <si>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</si>
  <si>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</si>
  <si>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</si>
  <si>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</si>
  <si>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</si>
  <si>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</si>
  <si>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</si>
  <si>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</si>
  <si>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</si>
  <si>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</si>
  <si>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</si>
  <si>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</si>
  <si>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</si>
  <si>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</si>
  <si>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</si>
  <si>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</si>
  <si>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</si>
  <si>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</si>
  <si>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</si>
  <si>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</si>
  <si>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</si>
  <si>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</si>
  <si>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</si>
  <si>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</si>
  <si>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</si>
  <si>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</si>
  <si>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</si>
  <si>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</si>
  <si>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</si>
  <si>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</si>
  <si>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</si>
  <si>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</si>
  <si>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</si>
  <si>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</si>
  <si>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</si>
  <si>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</si>
  <si>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</si>
  <si>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</si>
  <si>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</si>
  <si>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</si>
  <si>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</si>
  <si>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</si>
  <si>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</si>
  <si>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</si>
  <si>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</si>
  <si>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</si>
  <si>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</si>
  <si>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</si>
  <si>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</si>
  <si>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</si>
  <si>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</si>
  <si>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</si>
  <si>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</si>
  <si>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</si>
  <si>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</si>
  <si>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</si>
  <si>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</si>
  <si>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</si>
  <si>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</si>
  <si>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</si>
  <si>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</si>
  <si>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</si>
  <si>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</si>
  <si>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</si>
  <si>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</si>
  <si>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</si>
  <si>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</si>
  <si>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</si>
  <si>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</si>
  <si>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</si>
  <si>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</si>
  <si>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</si>
  <si>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</si>
  <si>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</si>
  <si>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</si>
  <si>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</si>
  <si>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</si>
  <si>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</si>
  <si>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</si>
  <si>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</si>
  <si>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</si>
  <si>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</si>
  <si>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</si>
  <si>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</si>
  <si>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</si>
  <si>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</si>
  <si>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</si>
  <si>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</si>
  <si>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</si>
  <si>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</si>
  <si>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</si>
  <si>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</si>
  <si>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</si>
  <si>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</si>
  <si>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</si>
  <si>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</si>
  <si>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</si>
  <si>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</si>
  <si>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</si>
  <si>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</si>
  <si>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</si>
  <si>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</si>
  <si>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</si>
  <si>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</si>
  <si>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Axa Rosenberg Japan Equity Alpha Fund B</t>
  </si>
  <si>
    <t>Evli GEM Placeringsfonden B</t>
  </si>
  <si>
    <t>Pictet Emerging Europe R</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</si>
  <si>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</si>
  <si>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</si>
  <si>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</si>
  <si>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</si>
  <si>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</si>
  <si>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</si>
  <si>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</si>
  <si>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</si>
  <si>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</si>
  <si>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</si>
  <si>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</si>
  <si>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</si>
  <si>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</si>
  <si>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</si>
  <si>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</si>
  <si>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</si>
  <si>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</si>
  <si>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</si>
  <si>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</si>
  <si>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</si>
  <si>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</si>
  <si>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</si>
  <si>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</si>
  <si>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</si>
  <si>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</si>
  <si>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</si>
  <si>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</si>
  <si>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</si>
  <si>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</si>
  <si>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</si>
  <si>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</si>
  <si>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</si>
  <si>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</si>
  <si>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</si>
  <si>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</si>
  <si>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</si>
  <si>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</si>
  <si>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</si>
  <si>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</si>
  <si>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</si>
  <si>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</si>
  <si>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</si>
  <si>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</si>
  <si>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</si>
  <si>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</si>
  <si>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</si>
  <si>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</si>
  <si>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</si>
  <si>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</si>
  <si>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</si>
  <si>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</si>
  <si>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</si>
  <si>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</si>
  <si>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</si>
  <si>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</si>
  <si>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</si>
  <si>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</si>
  <si>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</si>
  <si>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</si>
  <si>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</si>
  <si>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</si>
  <si>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</si>
  <si>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</si>
  <si>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</si>
  <si>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</si>
  <si>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</si>
  <si>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</si>
  <si>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</si>
  <si>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</si>
  <si>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</si>
  <si>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</si>
  <si>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</si>
  <si>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</si>
  <si>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</si>
  <si>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</si>
  <si>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</si>
  <si>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</si>
  <si>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</si>
  <si>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</si>
  <si>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</si>
  <si>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</si>
  <si>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</si>
  <si>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</si>
  <si>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</si>
  <si>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</si>
  <si>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</si>
  <si>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</si>
  <si>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</si>
  <si>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</si>
  <si>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</si>
  <si>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</si>
  <si>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</si>
  <si>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</si>
  <si>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</si>
  <si>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</si>
  <si>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</si>
  <si>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</si>
  <si>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</si>
  <si>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</si>
  <si>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</si>
  <si>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</si>
  <si>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</si>
  <si>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</si>
  <si>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</si>
  <si>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</si>
  <si>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</si>
  <si>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</si>
  <si>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</si>
  <si>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</si>
  <si>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</si>
  <si>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</si>
  <si>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</si>
  <si>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</si>
  <si>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</si>
  <si>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</si>
  <si>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</si>
  <si>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</si>
  <si>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</si>
  <si>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</si>
  <si>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</si>
  <si>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</si>
  <si>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</si>
  <si>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</si>
  <si>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</si>
  <si>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</si>
  <si>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</si>
  <si>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</si>
  <si>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</si>
  <si>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</si>
  <si>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</si>
  <si>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</si>
  <si>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</si>
  <si>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</si>
  <si>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</si>
  <si>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</si>
  <si>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</si>
  <si>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</si>
  <si>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</si>
  <si>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</si>
  <si>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</si>
  <si>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</si>
  <si>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</si>
  <si>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</si>
  <si>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</si>
  <si>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</si>
  <si>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</si>
  <si>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</si>
  <si>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</si>
  <si>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</si>
  <si>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</si>
  <si>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</si>
  <si>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</si>
  <si>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</si>
  <si>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</si>
  <si>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</si>
  <si>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</si>
  <si>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</si>
  <si>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</si>
  <si>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</si>
  <si>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</si>
  <si>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</si>
  <si>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</si>
  <si>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</si>
  <si>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</si>
  <si>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</si>
  <si>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</si>
  <si>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</si>
  <si>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</si>
  <si>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</si>
  <si>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</si>
  <si>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</si>
  <si>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</si>
  <si>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</si>
  <si>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</si>
  <si>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</si>
  <si>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</si>
  <si>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</si>
  <si>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</si>
  <si>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</si>
  <si>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</si>
  <si>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</si>
  <si>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</si>
  <si>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</si>
  <si>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</si>
  <si>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</si>
  <si>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</si>
  <si>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</si>
  <si>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</si>
  <si>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</si>
  <si>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</si>
  <si>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</si>
  <si>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</si>
  <si>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</si>
  <si>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</si>
  <si>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</si>
  <si>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</si>
  <si>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</si>
  <si>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</si>
  <si>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</si>
  <si>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</si>
  <si>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</si>
  <si>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</si>
  <si>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</si>
  <si>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</si>
  <si>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</si>
  <si>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</si>
  <si>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</si>
  <si>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</si>
  <si>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</si>
  <si>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</si>
  <si>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</si>
  <si>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</si>
  <si>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</si>
  <si>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</si>
  <si>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</si>
  <si>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</si>
  <si>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</si>
  <si>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</si>
  <si>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</si>
  <si>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</si>
  <si>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</si>
  <si>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</si>
  <si>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</si>
  <si>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</si>
  <si>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</si>
  <si>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</si>
  <si>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</si>
  <si>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</si>
  <si>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</si>
  <si>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</si>
  <si>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</si>
  <si>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</si>
  <si>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</si>
  <si>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</si>
  <si>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</si>
  <si>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</si>
  <si>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</si>
  <si>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</si>
  <si>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</si>
  <si>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</si>
  <si>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</si>
  <si>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</si>
  <si>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</si>
  <si>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</si>
  <si>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</si>
  <si>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</si>
  <si>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</si>
  <si>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</si>
  <si>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</si>
  <si>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</si>
  <si>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</si>
  <si>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</si>
  <si>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</si>
  <si>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</si>
  <si>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</si>
  <si>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</si>
  <si>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</si>
  <si>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</si>
  <si>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</si>
  <si>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</si>
  <si>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</si>
  <si>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</si>
  <si>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</si>
  <si>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</si>
  <si>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</si>
  <si>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</si>
  <si>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</si>
  <si>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</si>
  <si>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</si>
  <si>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</si>
  <si>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</si>
  <si>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</si>
  <si>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</si>
  <si>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</si>
  <si>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</si>
  <si>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</si>
  <si>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</si>
  <si>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</si>
  <si>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</si>
  <si>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</si>
  <si>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</si>
  <si>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</si>
  <si>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</si>
  <si>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</si>
  <si>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</si>
  <si>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</si>
  <si>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</si>
  <si>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</si>
  <si>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</si>
  <si>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</si>
  <si>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</si>
  <si>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</si>
  <si>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</si>
  <si>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</si>
  <si>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</si>
  <si>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</si>
  <si>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</si>
  <si>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</si>
  <si>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</si>
  <si>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</si>
  <si>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</si>
  <si>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</si>
  <si>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</si>
  <si>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</si>
  <si>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</si>
  <si>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</si>
  <si>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</si>
  <si>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</si>
  <si>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</si>
  <si>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</si>
  <si>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</si>
  <si>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</si>
  <si>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</si>
  <si>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</si>
  <si>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</si>
  <si>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LU0273119544</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</si>
  <si>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</si>
  <si>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</si>
  <si>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</si>
  <si>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</si>
  <si>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</si>
  <si>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</si>
  <si>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</si>
  <si>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</si>
  <si>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</si>
  <si>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</si>
  <si>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</si>
  <si>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</si>
  <si>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</si>
  <si>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</si>
  <si>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</si>
  <si>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</si>
  <si>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</si>
  <si>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</si>
  <si>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</si>
  <si>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</si>
  <si>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</si>
  <si>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</si>
  <si>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</si>
  <si>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</si>
  <si>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</si>
  <si>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</si>
  <si>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</si>
  <si>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</si>
  <si>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</si>
  <si>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</si>
  <si>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</si>
  <si>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</si>
  <si>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</si>
  <si>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</si>
  <si>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</si>
  <si>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</si>
  <si>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</si>
  <si>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</si>
  <si>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</si>
  <si>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</si>
  <si>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</si>
  <si>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</si>
  <si>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</si>
  <si>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</si>
  <si>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</si>
  <si>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</si>
  <si>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</si>
  <si>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</si>
  <si>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</si>
  <si>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</si>
  <si>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</si>
  <si>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</si>
  <si>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</si>
  <si>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</si>
  <si>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</si>
  <si>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</si>
  <si>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</si>
  <si>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</si>
  <si>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</si>
  <si>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</si>
  <si>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</si>
  <si>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</si>
  <si>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</si>
  <si>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LU0131719634</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</si>
  <si>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</si>
  <si>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</si>
  <si>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</si>
  <si>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</si>
  <si>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</si>
  <si>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</si>
  <si>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</si>
  <si>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</si>
  <si>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</si>
  <si>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</si>
  <si>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</si>
  <si>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</si>
  <si>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</si>
  <si>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</si>
  <si>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</si>
  <si>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</si>
  <si>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</si>
  <si>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</si>
  <si>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</si>
  <si>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</si>
  <si>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</si>
  <si>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</si>
  <si>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</si>
  <si>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</si>
  <si>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</si>
  <si>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</si>
  <si>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</si>
  <si>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</si>
  <si>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</si>
  <si>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</si>
  <si>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</si>
  <si>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</si>
  <si>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</si>
  <si>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</si>
  <si>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</si>
  <si>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</si>
  <si>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</si>
  <si>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</si>
  <si>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</si>
  <si>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</si>
  <si>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</si>
  <si>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</si>
  <si>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</si>
  <si>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</si>
  <si>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</si>
  <si>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</si>
  <si>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</si>
  <si>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</si>
  <si>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</si>
  <si>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</si>
  <si>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</si>
  <si>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</si>
  <si>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</si>
  <si>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</si>
  <si>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</si>
  <si>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</si>
  <si>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</si>
  <si>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</si>
  <si>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</si>
  <si>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</si>
  <si>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</si>
  <si>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</si>
  <si>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</si>
  <si>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</si>
  <si>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</si>
  <si>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</si>
  <si>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</si>
  <si>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</si>
  <si>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</si>
  <si>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</si>
  <si>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</si>
  <si>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</si>
  <si>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</si>
  <si>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</si>
  <si>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</si>
  <si>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</si>
  <si>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</si>
  <si>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</si>
  <si>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</si>
  <si>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</si>
  <si>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</si>
  <si>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</si>
  <si>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</si>
  <si>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</si>
  <si>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</si>
  <si>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</si>
  <si>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</si>
  <si>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</si>
  <si>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</si>
  <si>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</si>
  <si>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</si>
  <si>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</si>
  <si>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</si>
  <si>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</si>
  <si>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</si>
  <si>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</si>
  <si>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</si>
  <si>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</si>
  <si>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</si>
  <si>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</si>
  <si>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</si>
  <si>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</si>
  <si>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</si>
  <si>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</si>
  <si>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</si>
  <si>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</si>
  <si>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</si>
  <si>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</si>
  <si>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</si>
  <si>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</si>
  <si>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</si>
  <si>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</si>
  <si>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</si>
  <si>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</si>
  <si>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</si>
  <si>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</si>
  <si>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</si>
  <si>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</si>
  <si>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</si>
  <si>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</si>
  <si>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</si>
  <si>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</si>
  <si>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</si>
  <si>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</si>
  <si>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</si>
  <si>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</si>
  <si>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</si>
  <si>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</si>
  <si>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</si>
  <si>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</si>
  <si>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</si>
  <si>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</si>
  <si>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</si>
  <si>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</si>
  <si>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</si>
  <si>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</si>
  <si>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</si>
  <si>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</si>
  <si>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</si>
  <si>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</si>
  <si>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</si>
  <si>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</si>
  <si>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</si>
  <si>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</si>
  <si>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</si>
  <si>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</si>
  <si>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</si>
  <si>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</si>
  <si>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</si>
  <si>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</si>
  <si>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</si>
  <si>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</si>
  <si>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</si>
  <si>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</si>
  <si>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</si>
  <si>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</si>
  <si>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</si>
  <si>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</si>
  <si>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</si>
  <si>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</si>
  <si>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</si>
  <si>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</si>
  <si>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</si>
  <si>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</si>
  <si>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</si>
  <si>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</si>
  <si>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</si>
  <si>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</si>
  <si>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</si>
  <si>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</si>
  <si>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</si>
  <si>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</si>
  <si>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</si>
  <si>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</si>
  <si>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</si>
  <si>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</si>
  <si>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</si>
  <si>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</si>
  <si>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</si>
  <si>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</si>
  <si>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</si>
  <si>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</si>
  <si>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</si>
  <si>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</si>
  <si>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</si>
  <si>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</si>
  <si>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</si>
  <si>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</si>
  <si>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</si>
  <si>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</si>
  <si>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</si>
  <si>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</si>
  <si>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</si>
  <si>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</si>
  <si>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</si>
  <si>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</si>
  <si>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</si>
  <si>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</si>
  <si>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</si>
  <si>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</si>
  <si>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</si>
  <si>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</si>
  <si>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</si>
  <si>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</si>
  <si>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</si>
  <si>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</si>
  <si>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</si>
  <si>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</si>
  <si>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</si>
  <si>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</si>
  <si>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</si>
  <si>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</si>
  <si>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</si>
  <si>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</si>
  <si>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</si>
  <si>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</si>
  <si>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</si>
  <si>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</si>
  <si>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</si>
  <si>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</si>
  <si>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</si>
  <si>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</si>
  <si>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</si>
  <si>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</si>
  <si>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</si>
  <si>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</si>
  <si>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</si>
  <si>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</si>
  <si>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</si>
  <si>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</si>
  <si>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</si>
  <si>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</si>
  <si>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</si>
  <si>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</si>
  <si>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</si>
  <si>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</si>
  <si>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</si>
  <si>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</si>
  <si>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</si>
  <si>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</si>
  <si>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</si>
  <si>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</si>
  <si>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</si>
  <si>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</si>
  <si>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</si>
  <si>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</si>
  <si>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</si>
  <si>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</si>
  <si>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</si>
  <si>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</si>
  <si>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</si>
  <si>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</si>
  <si>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</si>
  <si>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</si>
  <si>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</si>
  <si>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</si>
  <si>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</si>
  <si>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</si>
  <si>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</si>
  <si>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</si>
  <si>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</si>
  <si>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</si>
  <si>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</si>
  <si>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</si>
  <si>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</si>
  <si>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</si>
  <si>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</si>
  <si>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</si>
  <si>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</si>
  <si>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</si>
  <si>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</si>
  <si>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</si>
  <si>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</si>
  <si>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</si>
  <si>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</si>
  <si>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</si>
  <si>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</si>
  <si>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</si>
  <si>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</si>
  <si>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</si>
  <si>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</si>
  <si>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</si>
  <si>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</si>
  <si>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</si>
  <si>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</si>
  <si>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</si>
  <si>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</si>
  <si>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</si>
  <si>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</si>
  <si>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</si>
  <si>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</si>
  <si>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</si>
  <si>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</si>
  <si>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</si>
  <si>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</si>
  <si>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</si>
  <si>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</si>
  <si>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</si>
  <si>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</si>
  <si>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</si>
  <si>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</si>
  <si>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</si>
  <si>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</si>
  <si>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</si>
  <si>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</si>
  <si>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</si>
  <si>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</si>
  <si>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</si>
  <si>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</si>
  <si>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</si>
  <si>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</si>
  <si>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</si>
  <si>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</si>
  <si>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</si>
  <si>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</si>
  <si>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</si>
  <si>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</si>
  <si>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</si>
  <si>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</si>
  <si>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</si>
  <si>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</si>
  <si>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Aberdeen Standard - Japanese Smaller Companies Fund A</t>
  </si>
  <si>
    <t>Aktie-Ansvar Saxxum Aktiv A</t>
  </si>
  <si>
    <t>Aberdeen Standard - European Equity Fund A</t>
  </si>
  <si>
    <t>Franklin Biotechnology Discovery Fund</t>
  </si>
  <si>
    <t>Spiltan Globalfond Investmentbolag</t>
  </si>
  <si>
    <t>Franklin Technology Fund A</t>
  </si>
  <si>
    <t>Franklin Natural Resources Fund A</t>
  </si>
  <si>
    <t>Aberdeen Standard - Japanese Equity Fund A</t>
  </si>
  <si>
    <t>Swedbank Robur Småbolagsfond Sverige A</t>
  </si>
  <si>
    <t>Aberdeen Standard - European Equity (Ex UK) Fund A</t>
  </si>
  <si>
    <t>Aberdeen Standard - Select Euro High Yield Bond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</si>
  <si>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</si>
  <si>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</si>
  <si>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</si>
  <si>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</si>
  <si>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</si>
  <si>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</si>
  <si>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</si>
  <si>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</si>
  <si>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</si>
  <si>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</si>
  <si>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</si>
  <si>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</si>
  <si>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</si>
  <si>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</si>
  <si>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</si>
  <si>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</si>
  <si>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</si>
  <si>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</si>
  <si>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</si>
  <si>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</si>
  <si>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</si>
  <si>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</si>
  <si>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</si>
  <si>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</si>
  <si>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</si>
  <si>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</si>
  <si>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</si>
  <si>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</si>
  <si>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</si>
  <si>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</si>
  <si>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</si>
  <si>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</si>
  <si>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</si>
  <si>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</si>
  <si>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</si>
  <si>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</si>
  <si>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</si>
  <si>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</si>
  <si>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</si>
  <si>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</si>
  <si>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</si>
  <si>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</si>
  <si>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</si>
  <si>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</si>
  <si>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</si>
  <si>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</si>
  <si>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</si>
  <si>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</si>
  <si>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</si>
  <si>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</si>
  <si>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</si>
  <si>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</si>
  <si>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</si>
  <si>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</si>
  <si>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</si>
  <si>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</si>
  <si>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</si>
  <si>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</si>
  <si>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</si>
  <si>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</si>
  <si>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</si>
  <si>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</si>
  <si>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</si>
  <si>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</si>
  <si>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</si>
  <si>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</si>
  <si>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</si>
  <si>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</si>
  <si>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</si>
  <si>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</si>
  <si>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</si>
  <si>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</si>
  <si>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</si>
  <si>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</si>
  <si>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</si>
  <si>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</si>
  <si>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</si>
  <si>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</si>
  <si>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</si>
  <si>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</si>
  <si>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</si>
  <si>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</si>
  <si>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</si>
  <si>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</si>
  <si>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</si>
  <si>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</si>
  <si>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</si>
  <si>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</si>
  <si>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</si>
  <si>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</si>
  <si>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</si>
  <si>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</si>
  <si>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</si>
  <si>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</si>
  <si>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</si>
  <si>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</si>
  <si>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</si>
  <si>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</si>
  <si>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</si>
  <si>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</si>
  <si>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</si>
  <si>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</si>
  <si>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</si>
  <si>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</si>
  <si>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</si>
  <si>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</si>
  <si>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</si>
  <si>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</si>
  <si>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</si>
  <si>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</si>
  <si>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</si>
  <si>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</si>
  <si>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</si>
  <si>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</si>
  <si>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</si>
  <si>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</si>
  <si>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</si>
  <si>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</si>
  <si>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</si>
  <si>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</si>
  <si>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</si>
  <si>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</si>
  <si>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</si>
  <si>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</si>
  <si>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</si>
  <si>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</si>
  <si>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</si>
  <si>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</si>
  <si>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</si>
  <si>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</si>
  <si>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</si>
  <si>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</si>
  <si>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</si>
  <si>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</si>
  <si>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</si>
  <si>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</si>
  <si>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</si>
  <si>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</si>
  <si>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</si>
  <si>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</si>
  <si>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</si>
  <si>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</si>
  <si>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</si>
  <si>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</si>
  <si>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</si>
  <si>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</si>
  <si>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</si>
  <si>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</si>
  <si>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</si>
  <si>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</si>
  <si>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</si>
  <si>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</si>
  <si>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</si>
  <si>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</si>
  <si>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</si>
  <si>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</si>
  <si>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</si>
  <si>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</si>
  <si>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</si>
  <si>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</si>
  <si>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</si>
  <si>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</si>
  <si>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</si>
  <si>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</si>
  <si>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</si>
  <si>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</si>
  <si>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</si>
  <si>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</si>
  <si>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</si>
  <si>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</si>
  <si>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</si>
  <si>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</si>
  <si>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</si>
  <si>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</si>
  <si>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</si>
  <si>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</si>
  <si>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</si>
  <si>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</si>
  <si>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</si>
  <si>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</si>
  <si>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</si>
  <si>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</si>
  <si>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</si>
  <si>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</si>
  <si>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</si>
  <si>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</si>
  <si>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</si>
  <si>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</si>
  <si>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</si>
  <si>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</si>
  <si>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</si>
  <si>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</si>
  <si>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Öhman Global Global Growth A</t>
  </si>
  <si>
    <t>SPP Aktiefond Japan A</t>
  </si>
  <si>
    <t>Öhman Global Marknad Hållbar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</si>
  <si>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</si>
  <si>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</si>
  <si>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</si>
  <si>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</si>
  <si>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</si>
  <si>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</si>
  <si>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</si>
  <si>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</si>
  <si>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</si>
  <si>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</si>
  <si>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</si>
  <si>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</si>
  <si>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</si>
  <si>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</si>
  <si>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</si>
  <si>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</si>
  <si>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</si>
  <si>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</si>
  <si>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</si>
  <si>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</si>
  <si>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</si>
  <si>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Antal fondval och marknadsvärde i fonderna 2021-06-30</t>
  </si>
  <si>
    <t>Nästa uppdatering: 2021-08-11</t>
  </si>
  <si>
    <t>SE0000493546</t>
  </si>
  <si>
    <t>SE0010049197</t>
  </si>
  <si>
    <t>LU0086828794</t>
  </si>
  <si>
    <t>Fondstatistik per 2021-06-30</t>
  </si>
  <si>
    <t>Fondstatistik - Hållbarhet per 2021-06-30</t>
  </si>
  <si>
    <t>Nästa uppdatering 2021-08-17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</si>
</sst>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44377</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0.16406329487929883</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44377</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0.18077410005979111</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44377</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4.1967848710969147E-2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44377</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732.52332693827032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44377</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1831.4707735631598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1050</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1831</v>
      </c>
    </row>
    <row r="6" spans="1:15" ht="16.5" customHeight="1" x14ac:dyDescent="0.25">
      <c r="A6" s="19" t="s">
        <v>1234</v>
      </c>
      <c r="B6" s="341"/>
      <c r="C6" s="13"/>
      <c r="D6" s="17"/>
      <c r="E6" s="17"/>
      <c r="F6" s="17"/>
      <c r="G6" s="17"/>
      <c r="H6" s="21"/>
      <c r="I6" s="21"/>
      <c r="K6" s="13"/>
      <c r="L6" s="7"/>
      <c r="N6" s="5"/>
      <c r="O6" s="335" t="s">
        <v>127</v>
      </c>
    </row>
    <row r="7" spans="1:15" ht="16.5" customHeight="1" x14ac:dyDescent="0.2">
      <c r="A7" s="329" t="s">
        <v>1235</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1831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2312792</v>
      </c>
      <c r="D23" s="342">
        <v>2540492</v>
      </c>
      <c r="E23" s="342">
        <v>4853284</v>
      </c>
      <c r="F23" s="342">
        <v>359434493883.08502</v>
      </c>
      <c r="G23" s="342">
        <v>444332878910.60999</v>
      </c>
      <c r="H23" s="342">
        <v>803767372793.69604</v>
      </c>
      <c r="I23" s="342"/>
      <c r="J23" t="s">
        <v>1149</v>
      </c>
      <c r="K23" t="s">
        <v>1150</v>
      </c>
      <c r="L23" t="s">
        <v>1151</v>
      </c>
      <c r="M23" t="s">
        <v>151</v>
      </c>
      <c r="N23" s="3"/>
      <c r="O23" s="4"/>
    </row>
    <row r="24" spans="1:15" ht="12.75" customHeight="1" x14ac:dyDescent="0.2">
      <c r="A24" s="369">
        <v>283408</v>
      </c>
      <c r="B24" t="s">
        <v>525</v>
      </c>
      <c r="C24" s="342">
        <v>151130</v>
      </c>
      <c r="D24" s="342">
        <v>178624</v>
      </c>
      <c r="E24" s="342">
        <v>329754</v>
      </c>
      <c r="F24" s="342">
        <v>25527771234.878899</v>
      </c>
      <c r="G24" s="342">
        <v>36354143668.808296</v>
      </c>
      <c r="H24" s="342">
        <v>61881914903.687302</v>
      </c>
      <c r="I24" s="342">
        <v>-83330248.659999996</v>
      </c>
      <c r="J24" t="s">
        <v>224</v>
      </c>
      <c r="K24" t="s">
        <v>1177</v>
      </c>
      <c r="L24" t="s">
        <v>167</v>
      </c>
      <c r="M24" t="s">
        <v>151</v>
      </c>
      <c r="N24" s="2"/>
      <c r="O24" s="4"/>
    </row>
    <row r="25" spans="1:15" ht="12.75" customHeight="1" x14ac:dyDescent="0.2">
      <c r="A25" s="369">
        <v>681783</v>
      </c>
      <c r="B25" t="s">
        <v>83</v>
      </c>
      <c r="C25" s="342">
        <v>96988</v>
      </c>
      <c r="D25" s="342">
        <v>101100</v>
      </c>
      <c r="E25" s="342">
        <v>198088</v>
      </c>
      <c r="F25" s="342">
        <v>12743412127.232201</v>
      </c>
      <c r="G25" s="342">
        <v>16541920697.813999</v>
      </c>
      <c r="H25" s="342">
        <v>29285332825.0462</v>
      </c>
      <c r="I25" s="342">
        <v>-76616288.280000001</v>
      </c>
      <c r="J25" t="s">
        <v>201</v>
      </c>
      <c r="K25" t="s">
        <v>1174</v>
      </c>
      <c r="L25" t="s">
        <v>262</v>
      </c>
      <c r="M25" t="s">
        <v>151</v>
      </c>
      <c r="N25" s="2"/>
      <c r="O25" s="4"/>
    </row>
    <row r="26" spans="1:15" ht="12.75" customHeight="1" x14ac:dyDescent="0.2">
      <c r="A26" s="369">
        <v>291906</v>
      </c>
      <c r="B26" t="s">
        <v>74</v>
      </c>
      <c r="C26" s="342">
        <v>91835</v>
      </c>
      <c r="D26" s="342">
        <v>97105</v>
      </c>
      <c r="E26" s="342">
        <v>188940</v>
      </c>
      <c r="F26" s="342">
        <v>13965353095.869101</v>
      </c>
      <c r="G26" s="342">
        <v>17741460219.401699</v>
      </c>
      <c r="H26" s="342">
        <v>31706813315.270901</v>
      </c>
      <c r="I26" s="342">
        <v>-110648350.88</v>
      </c>
      <c r="J26" t="s">
        <v>201</v>
      </c>
      <c r="K26" t="s">
        <v>1174</v>
      </c>
      <c r="L26" t="s">
        <v>189</v>
      </c>
      <c r="M26" t="s">
        <v>151</v>
      </c>
      <c r="N26" s="2"/>
      <c r="O26" s="4"/>
    </row>
    <row r="27" spans="1:15" ht="12.75" customHeight="1" x14ac:dyDescent="0.2">
      <c r="A27" s="369">
        <v>645952</v>
      </c>
      <c r="B27" t="s">
        <v>82</v>
      </c>
      <c r="C27" s="342">
        <v>90920</v>
      </c>
      <c r="D27" s="342">
        <v>92343</v>
      </c>
      <c r="E27" s="342">
        <v>183263</v>
      </c>
      <c r="F27" s="342">
        <v>11002040023.5285</v>
      </c>
      <c r="G27" s="342">
        <v>14066085466.4032</v>
      </c>
      <c r="H27" s="342">
        <v>25068125489.931801</v>
      </c>
      <c r="I27" s="342">
        <v>-73815226.159999996</v>
      </c>
      <c r="J27" t="s">
        <v>176</v>
      </c>
      <c r="K27" t="s">
        <v>1175</v>
      </c>
      <c r="L27" t="s">
        <v>262</v>
      </c>
      <c r="M27" t="s">
        <v>151</v>
      </c>
      <c r="N27" s="2"/>
      <c r="O27" s="4"/>
    </row>
    <row r="28" spans="1:15" ht="12.75" customHeight="1" x14ac:dyDescent="0.2">
      <c r="A28" s="369">
        <v>785022</v>
      </c>
      <c r="B28" t="s">
        <v>39</v>
      </c>
      <c r="C28" s="342">
        <v>93486</v>
      </c>
      <c r="D28" s="342">
        <v>75085</v>
      </c>
      <c r="E28" s="342">
        <v>168571</v>
      </c>
      <c r="F28" s="342">
        <v>12794239151.4993</v>
      </c>
      <c r="G28" s="342">
        <v>12498919239.1756</v>
      </c>
      <c r="H28" s="342">
        <v>25293158390.6749</v>
      </c>
      <c r="I28" s="342">
        <v>-57549299.960000001</v>
      </c>
      <c r="J28" t="s">
        <v>176</v>
      </c>
      <c r="K28" t="s">
        <v>1175</v>
      </c>
      <c r="L28" t="s">
        <v>167</v>
      </c>
      <c r="M28" t="s">
        <v>151</v>
      </c>
      <c r="N28" s="2"/>
      <c r="O28" s="4"/>
    </row>
    <row r="29" spans="1:15" ht="12.75" customHeight="1" x14ac:dyDescent="0.2">
      <c r="A29" s="369">
        <v>719674</v>
      </c>
      <c r="B29" t="s">
        <v>149</v>
      </c>
      <c r="C29" s="342">
        <v>80338</v>
      </c>
      <c r="D29" s="342">
        <v>70688</v>
      </c>
      <c r="E29" s="342">
        <v>151026</v>
      </c>
      <c r="F29" s="342">
        <v>8403600381.19419</v>
      </c>
      <c r="G29" s="342">
        <v>8962974285.2612</v>
      </c>
      <c r="H29" s="342">
        <v>17366574666.455399</v>
      </c>
      <c r="I29" s="342">
        <v>-59315917.460000001</v>
      </c>
      <c r="J29" t="s">
        <v>201</v>
      </c>
      <c r="K29" t="s">
        <v>1174</v>
      </c>
      <c r="L29" t="s">
        <v>167</v>
      </c>
      <c r="M29" t="s">
        <v>151</v>
      </c>
      <c r="N29" s="2"/>
      <c r="O29" s="4"/>
    </row>
    <row r="30" spans="1:15" ht="12.75" customHeight="1" x14ac:dyDescent="0.2">
      <c r="A30" s="369">
        <v>581371</v>
      </c>
      <c r="B30" t="s">
        <v>118</v>
      </c>
      <c r="C30" s="342">
        <v>58503</v>
      </c>
      <c r="D30" s="342">
        <v>86561</v>
      </c>
      <c r="E30" s="342">
        <v>145064</v>
      </c>
      <c r="F30" s="342">
        <v>11549713076.5772</v>
      </c>
      <c r="G30" s="342">
        <v>18893029656.594101</v>
      </c>
      <c r="H30" s="342">
        <v>30442742733.171398</v>
      </c>
      <c r="I30" s="342">
        <v>-730968203.96000004</v>
      </c>
      <c r="J30" t="s">
        <v>159</v>
      </c>
      <c r="K30" t="s">
        <v>1175</v>
      </c>
      <c r="L30" t="s">
        <v>373</v>
      </c>
      <c r="M30" t="s">
        <v>151</v>
      </c>
      <c r="N30" s="2"/>
      <c r="O30" s="4"/>
    </row>
    <row r="31" spans="1:15" ht="12.75" customHeight="1" x14ac:dyDescent="0.2">
      <c r="A31" s="369">
        <v>747899</v>
      </c>
      <c r="B31" t="s">
        <v>37</v>
      </c>
      <c r="C31" s="342">
        <v>63165</v>
      </c>
      <c r="D31" s="342">
        <v>61594</v>
      </c>
      <c r="E31" s="342">
        <v>124759</v>
      </c>
      <c r="F31" s="342">
        <v>15066894986.240601</v>
      </c>
      <c r="G31" s="342">
        <v>17944846592.640301</v>
      </c>
      <c r="H31" s="342">
        <v>33011741578.880901</v>
      </c>
      <c r="I31" s="342">
        <v>-35320272.789999999</v>
      </c>
      <c r="J31" t="s">
        <v>236</v>
      </c>
      <c r="K31" t="s">
        <v>1150</v>
      </c>
      <c r="L31" t="s">
        <v>167</v>
      </c>
      <c r="M31" t="s">
        <v>151</v>
      </c>
      <c r="N31" s="2"/>
      <c r="O31" s="4"/>
    </row>
    <row r="32" spans="1:15" ht="12.75" customHeight="1" x14ac:dyDescent="0.2">
      <c r="A32" s="369">
        <v>114819</v>
      </c>
      <c r="B32" t="s">
        <v>147</v>
      </c>
      <c r="C32" s="342">
        <v>65459</v>
      </c>
      <c r="D32" s="342">
        <v>57219</v>
      </c>
      <c r="E32" s="342">
        <v>122678</v>
      </c>
      <c r="F32" s="342">
        <v>7250005144.6270599</v>
      </c>
      <c r="G32" s="342">
        <v>7690156062.7594604</v>
      </c>
      <c r="H32" s="342">
        <v>14940161207.386499</v>
      </c>
      <c r="I32" s="342">
        <v>-29663810.68</v>
      </c>
      <c r="J32" t="s">
        <v>159</v>
      </c>
      <c r="K32" t="s">
        <v>1175</v>
      </c>
      <c r="L32" t="s">
        <v>167</v>
      </c>
      <c r="M32" t="s">
        <v>151</v>
      </c>
      <c r="N32" s="2"/>
      <c r="O32" s="4"/>
    </row>
    <row r="33" spans="1:15" ht="12.75" customHeight="1" x14ac:dyDescent="0.2">
      <c r="A33" s="369">
        <v>783720</v>
      </c>
      <c r="B33" t="s">
        <v>38</v>
      </c>
      <c r="C33" s="342">
        <v>65319</v>
      </c>
      <c r="D33" s="342">
        <v>50512</v>
      </c>
      <c r="E33" s="342">
        <v>115831</v>
      </c>
      <c r="F33" s="342">
        <v>16746703986.396799</v>
      </c>
      <c r="G33" s="342">
        <v>15070522927.1633</v>
      </c>
      <c r="H33" s="342">
        <v>31817226913.5602</v>
      </c>
      <c r="I33" s="342">
        <v>-2129803.5499999998</v>
      </c>
      <c r="J33" t="s">
        <v>236</v>
      </c>
      <c r="K33" t="s">
        <v>1150</v>
      </c>
      <c r="L33" t="s">
        <v>167</v>
      </c>
      <c r="M33" t="s">
        <v>151</v>
      </c>
      <c r="N33" s="2"/>
      <c r="O33" s="4"/>
    </row>
    <row r="34" spans="1:15" ht="12.75" customHeight="1" x14ac:dyDescent="0.2">
      <c r="A34" s="369">
        <v>734491</v>
      </c>
      <c r="B34" t="s">
        <v>436</v>
      </c>
      <c r="C34" s="342">
        <v>41771</v>
      </c>
      <c r="D34" s="342">
        <v>69753</v>
      </c>
      <c r="E34" s="342">
        <v>111524</v>
      </c>
      <c r="F34" s="342">
        <v>4675821841.4758701</v>
      </c>
      <c r="G34" s="342">
        <v>8997605272.5645599</v>
      </c>
      <c r="H34" s="342">
        <v>13673427114.0404</v>
      </c>
      <c r="I34" s="342">
        <v>-30240404.41</v>
      </c>
      <c r="J34" t="s">
        <v>201</v>
      </c>
      <c r="K34" t="s">
        <v>1174</v>
      </c>
      <c r="L34" t="s">
        <v>437</v>
      </c>
      <c r="M34" t="s">
        <v>151</v>
      </c>
      <c r="N34" s="2"/>
      <c r="O34" s="4"/>
    </row>
    <row r="35" spans="1:15" ht="12.75" customHeight="1" x14ac:dyDescent="0.2">
      <c r="A35" s="369">
        <v>928341</v>
      </c>
      <c r="B35" t="s">
        <v>1194</v>
      </c>
      <c r="C35" s="342">
        <v>55187</v>
      </c>
      <c r="D35" s="342">
        <v>51781</v>
      </c>
      <c r="E35" s="342">
        <v>106968</v>
      </c>
      <c r="F35" s="342">
        <v>3996788268.9951501</v>
      </c>
      <c r="G35" s="342">
        <v>4805895371.6049995</v>
      </c>
      <c r="H35" s="342">
        <v>8802683640.6001492</v>
      </c>
      <c r="I35" s="342">
        <v>-18888086.32</v>
      </c>
      <c r="J35" t="s">
        <v>242</v>
      </c>
      <c r="K35" t="s">
        <v>1177</v>
      </c>
      <c r="L35" t="s">
        <v>167</v>
      </c>
      <c r="M35" t="s">
        <v>151</v>
      </c>
      <c r="N35" s="2"/>
      <c r="O35" s="4"/>
    </row>
    <row r="36" spans="1:15" ht="12.75" customHeight="1" x14ac:dyDescent="0.2">
      <c r="A36" s="369">
        <v>610121</v>
      </c>
      <c r="B36" t="s">
        <v>394</v>
      </c>
      <c r="C36" s="342">
        <v>53921</v>
      </c>
      <c r="D36" s="342">
        <v>47987</v>
      </c>
      <c r="E36" s="342">
        <v>101908</v>
      </c>
      <c r="F36" s="342">
        <v>5001739917.0447397</v>
      </c>
      <c r="G36" s="342">
        <v>5615690409.1714296</v>
      </c>
      <c r="H36" s="342">
        <v>10617430326.216101</v>
      </c>
      <c r="I36" s="342">
        <v>-38266408.789999999</v>
      </c>
      <c r="J36" t="s">
        <v>172</v>
      </c>
      <c r="K36" t="s">
        <v>1153</v>
      </c>
      <c r="L36" t="s">
        <v>262</v>
      </c>
      <c r="M36" t="s">
        <v>151</v>
      </c>
      <c r="N36" s="2"/>
      <c r="O36" s="4"/>
    </row>
    <row r="37" spans="1:15" ht="12.75" customHeight="1" x14ac:dyDescent="0.2">
      <c r="A37" s="369">
        <v>677534</v>
      </c>
      <c r="B37" t="s">
        <v>417</v>
      </c>
      <c r="C37" s="342">
        <v>49123</v>
      </c>
      <c r="D37" s="342">
        <v>37542</v>
      </c>
      <c r="E37" s="342">
        <v>86665</v>
      </c>
      <c r="F37" s="342">
        <v>1917485247.33022</v>
      </c>
      <c r="G37" s="342">
        <v>1794174232.3524301</v>
      </c>
      <c r="H37" s="342">
        <v>3711659479.6826501</v>
      </c>
      <c r="I37" s="342">
        <v>-23558459.309999999</v>
      </c>
      <c r="J37" t="s">
        <v>156</v>
      </c>
      <c r="K37" t="s">
        <v>1156</v>
      </c>
      <c r="L37" t="s">
        <v>167</v>
      </c>
      <c r="M37" t="s">
        <v>151</v>
      </c>
      <c r="N37" s="2"/>
      <c r="O37" s="4"/>
    </row>
    <row r="38" spans="1:15" ht="12.75" customHeight="1" x14ac:dyDescent="0.2">
      <c r="A38" s="369">
        <v>463141</v>
      </c>
      <c r="B38" t="s">
        <v>342</v>
      </c>
      <c r="C38" s="342">
        <v>47923</v>
      </c>
      <c r="D38" s="342">
        <v>38426</v>
      </c>
      <c r="E38" s="342">
        <v>86349</v>
      </c>
      <c r="F38" s="342">
        <v>8464391093.1378899</v>
      </c>
      <c r="G38" s="342">
        <v>8130842118.1933699</v>
      </c>
      <c r="H38" s="342">
        <v>16595233211.3312</v>
      </c>
      <c r="I38" s="342">
        <v>-32868287.710000001</v>
      </c>
      <c r="J38" t="s">
        <v>208</v>
      </c>
      <c r="K38" t="s">
        <v>1150</v>
      </c>
      <c r="L38" t="s">
        <v>191</v>
      </c>
      <c r="M38" t="s">
        <v>151</v>
      </c>
      <c r="N38" s="2"/>
      <c r="O38" s="4"/>
    </row>
    <row r="39" spans="1:15" ht="12.75" customHeight="1" x14ac:dyDescent="0.2">
      <c r="A39" s="369">
        <v>359315</v>
      </c>
      <c r="B39" t="s">
        <v>102</v>
      </c>
      <c r="C39" s="342">
        <v>47674</v>
      </c>
      <c r="D39" s="342">
        <v>38058</v>
      </c>
      <c r="E39" s="342">
        <v>85732</v>
      </c>
      <c r="F39" s="342">
        <v>15922231678.7808</v>
      </c>
      <c r="G39" s="342">
        <v>14927163920.9098</v>
      </c>
      <c r="H39" s="342">
        <v>30849395599.690601</v>
      </c>
      <c r="I39" s="342">
        <v>102053351</v>
      </c>
      <c r="J39" t="s">
        <v>208</v>
      </c>
      <c r="K39" t="s">
        <v>1150</v>
      </c>
      <c r="L39" t="s">
        <v>184</v>
      </c>
      <c r="M39" t="s">
        <v>151</v>
      </c>
      <c r="N39" s="2"/>
      <c r="O39" s="4"/>
    </row>
    <row r="40" spans="1:15" ht="12.75" customHeight="1" x14ac:dyDescent="0.2">
      <c r="A40" s="369">
        <v>287656</v>
      </c>
      <c r="B40" t="s">
        <v>269</v>
      </c>
      <c r="C40" s="342">
        <v>45392</v>
      </c>
      <c r="D40" s="342">
        <v>37423</v>
      </c>
      <c r="E40" s="342">
        <v>82815</v>
      </c>
      <c r="F40" s="342">
        <v>13120587555.5306</v>
      </c>
      <c r="G40" s="342">
        <v>12656061718.0975</v>
      </c>
      <c r="H40" s="342">
        <v>25776649273.628201</v>
      </c>
      <c r="I40" s="342">
        <v>59817314.460000001</v>
      </c>
      <c r="J40" t="s">
        <v>236</v>
      </c>
      <c r="K40" t="s">
        <v>1150</v>
      </c>
      <c r="L40" t="s">
        <v>184</v>
      </c>
      <c r="M40" t="s">
        <v>151</v>
      </c>
      <c r="N40" s="2"/>
      <c r="O40" s="4"/>
    </row>
    <row r="41" spans="1:15" ht="12.75" customHeight="1" x14ac:dyDescent="0.2">
      <c r="A41" s="369">
        <v>271478</v>
      </c>
      <c r="B41" t="s">
        <v>264</v>
      </c>
      <c r="C41" s="342">
        <v>42561</v>
      </c>
      <c r="D41" s="342">
        <v>39736</v>
      </c>
      <c r="E41" s="342">
        <v>82297</v>
      </c>
      <c r="F41" s="342">
        <v>10613719787.398701</v>
      </c>
      <c r="G41" s="342">
        <v>12568452988.162001</v>
      </c>
      <c r="H41" s="342">
        <v>23182172775.560699</v>
      </c>
      <c r="I41" s="342">
        <v>-31916411.420000002</v>
      </c>
      <c r="J41" t="s">
        <v>176</v>
      </c>
      <c r="K41" t="s">
        <v>1175</v>
      </c>
      <c r="L41" t="s">
        <v>265</v>
      </c>
      <c r="M41" t="s">
        <v>151</v>
      </c>
      <c r="N41" s="2"/>
      <c r="O41" s="4"/>
    </row>
    <row r="42" spans="1:15" ht="12.75" customHeight="1" x14ac:dyDescent="0.2">
      <c r="A42" s="369">
        <v>212332</v>
      </c>
      <c r="B42" t="s">
        <v>232</v>
      </c>
      <c r="C42" s="342">
        <v>39491</v>
      </c>
      <c r="D42" s="342">
        <v>42378</v>
      </c>
      <c r="E42" s="342">
        <v>81869</v>
      </c>
      <c r="F42" s="342">
        <v>4268574616.7581</v>
      </c>
      <c r="G42" s="342">
        <v>5518693193.9951696</v>
      </c>
      <c r="H42" s="342">
        <v>9787267810.7532692</v>
      </c>
      <c r="I42" s="342">
        <v>-14477390.67</v>
      </c>
      <c r="J42" t="s">
        <v>201</v>
      </c>
      <c r="K42" t="s">
        <v>1174</v>
      </c>
      <c r="L42" t="s">
        <v>191</v>
      </c>
      <c r="M42" t="s">
        <v>151</v>
      </c>
      <c r="N42" s="2"/>
      <c r="O42" s="4"/>
    </row>
    <row r="43" spans="1:15" ht="12.75" customHeight="1" x14ac:dyDescent="0.2">
      <c r="A43" s="369">
        <v>307306</v>
      </c>
      <c r="B43" t="s">
        <v>282</v>
      </c>
      <c r="C43" s="342">
        <v>42158</v>
      </c>
      <c r="D43" s="342">
        <v>39104</v>
      </c>
      <c r="E43" s="342">
        <v>81262</v>
      </c>
      <c r="F43" s="342">
        <v>2122661869.87521</v>
      </c>
      <c r="G43" s="342">
        <v>2205516080.5950198</v>
      </c>
      <c r="H43" s="342">
        <v>4328177950.4702301</v>
      </c>
      <c r="I43" s="342">
        <v>-1499420.26</v>
      </c>
      <c r="J43" t="s">
        <v>319</v>
      </c>
      <c r="K43" t="s">
        <v>1153</v>
      </c>
      <c r="L43" t="s">
        <v>265</v>
      </c>
      <c r="M43" t="s">
        <v>151</v>
      </c>
      <c r="N43" s="2"/>
      <c r="O43" s="4"/>
    </row>
    <row r="44" spans="1:15" ht="12.75" customHeight="1" x14ac:dyDescent="0.2">
      <c r="A44" s="369">
        <v>978981</v>
      </c>
      <c r="B44" t="s">
        <v>495</v>
      </c>
      <c r="C44" s="342">
        <v>34583</v>
      </c>
      <c r="D44" s="342">
        <v>45729</v>
      </c>
      <c r="E44" s="342">
        <v>80312</v>
      </c>
      <c r="F44" s="342">
        <v>2193846341.5554199</v>
      </c>
      <c r="G44" s="342">
        <v>3566277975.3740301</v>
      </c>
      <c r="H44" s="342">
        <v>5760124316.92945</v>
      </c>
      <c r="I44" s="342">
        <v>-35454740.780000001</v>
      </c>
      <c r="J44" t="s">
        <v>251</v>
      </c>
      <c r="K44" t="s">
        <v>1175</v>
      </c>
      <c r="L44" t="s">
        <v>167</v>
      </c>
      <c r="M44" t="s">
        <v>151</v>
      </c>
      <c r="N44" s="2"/>
      <c r="O44" s="4"/>
    </row>
    <row r="45" spans="1:15" ht="12.75" customHeight="1" x14ac:dyDescent="0.2">
      <c r="A45" s="369">
        <v>755504</v>
      </c>
      <c r="B45" t="s">
        <v>445</v>
      </c>
      <c r="C45" s="342">
        <v>41538</v>
      </c>
      <c r="D45" s="342">
        <v>37884</v>
      </c>
      <c r="E45" s="342">
        <v>79422</v>
      </c>
      <c r="F45" s="342">
        <v>2405309841.2076302</v>
      </c>
      <c r="G45" s="342">
        <v>2621001343.2484398</v>
      </c>
      <c r="H45" s="342">
        <v>5026311184.4560699</v>
      </c>
      <c r="I45" s="342">
        <v>-7693173.3700000001</v>
      </c>
      <c r="J45" t="s">
        <v>179</v>
      </c>
      <c r="K45" t="s">
        <v>1175</v>
      </c>
      <c r="L45" t="s">
        <v>167</v>
      </c>
      <c r="M45" t="s">
        <v>151</v>
      </c>
      <c r="N45" s="2"/>
      <c r="O45" s="4"/>
    </row>
    <row r="46" spans="1:15" ht="12.75" customHeight="1" x14ac:dyDescent="0.2">
      <c r="A46" s="369">
        <v>976928</v>
      </c>
      <c r="B46" t="s">
        <v>494</v>
      </c>
      <c r="C46" s="342">
        <v>37978</v>
      </c>
      <c r="D46" s="342">
        <v>38749</v>
      </c>
      <c r="E46" s="342">
        <v>76727</v>
      </c>
      <c r="F46" s="342">
        <v>5266674920.0122604</v>
      </c>
      <c r="G46" s="342">
        <v>6838283333.4867096</v>
      </c>
      <c r="H46" s="342">
        <v>12104958253.498899</v>
      </c>
      <c r="I46" s="342">
        <v>-35333424.869999997</v>
      </c>
      <c r="J46" t="s">
        <v>201</v>
      </c>
      <c r="K46" t="s">
        <v>1174</v>
      </c>
      <c r="L46" t="s">
        <v>167</v>
      </c>
      <c r="M46" t="s">
        <v>151</v>
      </c>
      <c r="N46" s="2"/>
      <c r="O46" s="4"/>
    </row>
    <row r="47" spans="1:15" ht="12.75" customHeight="1" x14ac:dyDescent="0.2">
      <c r="A47" s="369">
        <v>896761</v>
      </c>
      <c r="B47" t="s">
        <v>477</v>
      </c>
      <c r="C47" s="342">
        <v>38291</v>
      </c>
      <c r="D47" s="342">
        <v>38190</v>
      </c>
      <c r="E47" s="342">
        <v>76481</v>
      </c>
      <c r="F47" s="342">
        <v>3630985059.5673299</v>
      </c>
      <c r="G47" s="342">
        <v>4431528640.5398798</v>
      </c>
      <c r="H47" s="342">
        <v>8062513700.1072197</v>
      </c>
      <c r="I47" s="342">
        <v>-25755271.239999998</v>
      </c>
      <c r="J47" t="s">
        <v>170</v>
      </c>
      <c r="K47" t="s">
        <v>1175</v>
      </c>
      <c r="L47" t="s">
        <v>167</v>
      </c>
      <c r="M47" t="s">
        <v>151</v>
      </c>
      <c r="N47" s="2"/>
      <c r="O47" s="4"/>
    </row>
    <row r="48" spans="1:15" ht="12.75" customHeight="1" x14ac:dyDescent="0.2">
      <c r="A48" s="369">
        <v>964767</v>
      </c>
      <c r="B48" t="s">
        <v>491</v>
      </c>
      <c r="C48" s="342">
        <v>38278</v>
      </c>
      <c r="D48" s="342">
        <v>36485</v>
      </c>
      <c r="E48" s="342">
        <v>74763</v>
      </c>
      <c r="F48" s="342">
        <v>3830757397.7389202</v>
      </c>
      <c r="G48" s="342">
        <v>4395447391.9551001</v>
      </c>
      <c r="H48" s="342">
        <v>8226204789.6940203</v>
      </c>
      <c r="I48" s="342">
        <v>-174024448.31</v>
      </c>
      <c r="J48" t="s">
        <v>159</v>
      </c>
      <c r="K48" t="s">
        <v>1175</v>
      </c>
      <c r="L48" t="s">
        <v>155</v>
      </c>
      <c r="M48" t="s">
        <v>151</v>
      </c>
      <c r="N48" s="2"/>
      <c r="O48" s="4"/>
    </row>
    <row r="49" spans="1:15" ht="12.75" customHeight="1" x14ac:dyDescent="0.2">
      <c r="A49" s="369">
        <v>443895</v>
      </c>
      <c r="B49" t="s">
        <v>512</v>
      </c>
      <c r="C49" s="342">
        <v>38719</v>
      </c>
      <c r="D49" s="342">
        <v>35903</v>
      </c>
      <c r="E49" s="342">
        <v>74622</v>
      </c>
      <c r="F49" s="342">
        <v>3018904632.0498099</v>
      </c>
      <c r="G49" s="342">
        <v>3331875661.9288902</v>
      </c>
      <c r="H49" s="342">
        <v>6350780293.9786997</v>
      </c>
      <c r="I49" s="342">
        <v>-27465063.059999999</v>
      </c>
      <c r="J49" t="s">
        <v>242</v>
      </c>
      <c r="K49" t="s">
        <v>1177</v>
      </c>
      <c r="L49" t="s">
        <v>158</v>
      </c>
      <c r="M49" t="s">
        <v>46</v>
      </c>
      <c r="N49" s="2"/>
      <c r="O49" s="4"/>
    </row>
    <row r="50" spans="1:15" ht="12.75" customHeight="1" x14ac:dyDescent="0.2">
      <c r="A50" s="369">
        <v>687509</v>
      </c>
      <c r="B50" t="s">
        <v>421</v>
      </c>
      <c r="C50" s="342">
        <v>24789</v>
      </c>
      <c r="D50" s="342">
        <v>46200</v>
      </c>
      <c r="E50" s="342">
        <v>70989</v>
      </c>
      <c r="F50" s="342">
        <v>2612062349.7850699</v>
      </c>
      <c r="G50" s="342">
        <v>5559833189.89995</v>
      </c>
      <c r="H50" s="342">
        <v>8171895539.68503</v>
      </c>
      <c r="I50" s="342">
        <v>-211104659.69999999</v>
      </c>
      <c r="J50" t="s">
        <v>160</v>
      </c>
      <c r="K50" t="s">
        <v>1177</v>
      </c>
      <c r="L50" t="s">
        <v>181</v>
      </c>
      <c r="M50" t="s">
        <v>151</v>
      </c>
      <c r="N50" s="2"/>
      <c r="O50" s="4"/>
    </row>
    <row r="51" spans="1:15" ht="12.75" customHeight="1" x14ac:dyDescent="0.2">
      <c r="A51" s="369">
        <v>941096</v>
      </c>
      <c r="B51" t="s">
        <v>486</v>
      </c>
      <c r="C51" s="342">
        <v>34474</v>
      </c>
      <c r="D51" s="342">
        <v>33509</v>
      </c>
      <c r="E51" s="342">
        <v>67983</v>
      </c>
      <c r="F51" s="342">
        <v>3660760115.9176502</v>
      </c>
      <c r="G51" s="342">
        <v>4431410695.4770098</v>
      </c>
      <c r="H51" s="342">
        <v>8092170811.3946695</v>
      </c>
      <c r="I51" s="342">
        <v>-24925094.52</v>
      </c>
      <c r="J51" t="s">
        <v>159</v>
      </c>
      <c r="K51" t="s">
        <v>1175</v>
      </c>
      <c r="L51" t="s">
        <v>167</v>
      </c>
      <c r="M51" t="s">
        <v>151</v>
      </c>
      <c r="N51" s="2"/>
      <c r="O51" s="4"/>
    </row>
    <row r="52" spans="1:15" ht="12.75" customHeight="1" x14ac:dyDescent="0.2">
      <c r="A52" s="369">
        <v>391482</v>
      </c>
      <c r="B52" t="s">
        <v>314</v>
      </c>
      <c r="C52" s="342">
        <v>35585</v>
      </c>
      <c r="D52" s="342">
        <v>32198</v>
      </c>
      <c r="E52" s="342">
        <v>67783</v>
      </c>
      <c r="F52" s="342">
        <v>1167901717.90078</v>
      </c>
      <c r="G52" s="342">
        <v>1370818484.3431399</v>
      </c>
      <c r="H52" s="342">
        <v>2538720202.2439299</v>
      </c>
      <c r="I52" s="342">
        <v>-18565839.84</v>
      </c>
      <c r="J52" t="s">
        <v>208</v>
      </c>
      <c r="K52" t="s">
        <v>1150</v>
      </c>
      <c r="L52" t="s">
        <v>191</v>
      </c>
      <c r="M52" t="s">
        <v>151</v>
      </c>
      <c r="N52" s="2"/>
      <c r="O52" s="4"/>
    </row>
    <row r="53" spans="1:15" s="130" customFormat="1" ht="12.75" customHeight="1" x14ac:dyDescent="0.2">
      <c r="A53" s="369">
        <v>215996</v>
      </c>
      <c r="B53" t="s">
        <v>235</v>
      </c>
      <c r="C53" s="342">
        <v>35567</v>
      </c>
      <c r="D53" s="342">
        <v>31144</v>
      </c>
      <c r="E53" s="342">
        <v>66711</v>
      </c>
      <c r="F53" s="342">
        <v>6386967808.1133699</v>
      </c>
      <c r="G53" s="342">
        <v>6697791400.9675303</v>
      </c>
      <c r="H53" s="342">
        <v>13084759209.0809</v>
      </c>
      <c r="I53" s="342">
        <v>43888870.340000004</v>
      </c>
      <c r="J53" t="s">
        <v>236</v>
      </c>
      <c r="K53" t="s">
        <v>1150</v>
      </c>
      <c r="L53" t="s">
        <v>184</v>
      </c>
      <c r="M53" t="s">
        <v>151</v>
      </c>
      <c r="N53" s="2"/>
    </row>
    <row r="54" spans="1:15" ht="12.75" customHeight="1" x14ac:dyDescent="0.2">
      <c r="A54" s="369">
        <v>430975</v>
      </c>
      <c r="B54" t="s">
        <v>331</v>
      </c>
      <c r="C54" s="342">
        <v>37879</v>
      </c>
      <c r="D54" s="342">
        <v>28377</v>
      </c>
      <c r="E54" s="342">
        <v>66256</v>
      </c>
      <c r="F54" s="342">
        <v>8438803108.1706696</v>
      </c>
      <c r="G54" s="342">
        <v>7275490785.3861198</v>
      </c>
      <c r="H54" s="342">
        <v>15714293893.556801</v>
      </c>
      <c r="I54" s="342">
        <v>-54197143.43</v>
      </c>
      <c r="J54" t="s">
        <v>208</v>
      </c>
      <c r="K54" t="s">
        <v>1150</v>
      </c>
      <c r="L54" t="s">
        <v>184</v>
      </c>
      <c r="M54" t="s">
        <v>151</v>
      </c>
      <c r="N54" s="2"/>
      <c r="O54" s="4"/>
    </row>
    <row r="55" spans="1:15" ht="12.75" customHeight="1" x14ac:dyDescent="0.2">
      <c r="A55" s="369">
        <v>427310</v>
      </c>
      <c r="B55" t="s">
        <v>330</v>
      </c>
      <c r="C55" s="342">
        <v>34535</v>
      </c>
      <c r="D55" s="342">
        <v>31358</v>
      </c>
      <c r="E55" s="342">
        <v>65893</v>
      </c>
      <c r="F55" s="342">
        <v>4135361123.4977398</v>
      </c>
      <c r="G55" s="342">
        <v>4559171133.6721001</v>
      </c>
      <c r="H55" s="342">
        <v>8694532257.1698494</v>
      </c>
      <c r="I55" s="342">
        <v>-56619343.390000001</v>
      </c>
      <c r="J55" t="s">
        <v>208</v>
      </c>
      <c r="K55" t="s">
        <v>1150</v>
      </c>
      <c r="L55" t="s">
        <v>191</v>
      </c>
      <c r="M55" t="s">
        <v>151</v>
      </c>
      <c r="N55" s="2"/>
      <c r="O55" s="4"/>
    </row>
    <row r="56" spans="1:15" ht="12.75" customHeight="1" x14ac:dyDescent="0.2">
      <c r="A56" s="369">
        <v>248161</v>
      </c>
      <c r="B56" t="s">
        <v>1214</v>
      </c>
      <c r="C56" s="342">
        <v>27820</v>
      </c>
      <c r="D56" s="342">
        <v>36890</v>
      </c>
      <c r="E56" s="342">
        <v>64710</v>
      </c>
      <c r="F56" s="342">
        <v>3003910366.6414099</v>
      </c>
      <c r="G56" s="342">
        <v>4611620088.2430801</v>
      </c>
      <c r="H56" s="342">
        <v>7615530454.88449</v>
      </c>
      <c r="I56" s="342">
        <v>-66600534.560000002</v>
      </c>
      <c r="J56" t="s">
        <v>197</v>
      </c>
      <c r="K56" t="s">
        <v>1175</v>
      </c>
      <c r="L56" t="s">
        <v>191</v>
      </c>
      <c r="M56" t="s">
        <v>151</v>
      </c>
      <c r="N56" s="2"/>
      <c r="O56" s="4"/>
    </row>
    <row r="57" spans="1:15" ht="12.75" customHeight="1" x14ac:dyDescent="0.2">
      <c r="A57" s="369">
        <v>229922</v>
      </c>
      <c r="B57" t="s">
        <v>241</v>
      </c>
      <c r="C57" s="342">
        <v>32682</v>
      </c>
      <c r="D57" s="342">
        <v>31984</v>
      </c>
      <c r="E57" s="342">
        <v>64666</v>
      </c>
      <c r="F57" s="342">
        <v>2716653418.6133099</v>
      </c>
      <c r="G57" s="342">
        <v>3237676670.7385702</v>
      </c>
      <c r="H57" s="342">
        <v>5954330089.3518801</v>
      </c>
      <c r="I57" s="342">
        <v>-22051645.129999999</v>
      </c>
      <c r="J57" t="s">
        <v>242</v>
      </c>
      <c r="K57" t="s">
        <v>1177</v>
      </c>
      <c r="L57" t="s">
        <v>178</v>
      </c>
      <c r="M57" t="s">
        <v>151</v>
      </c>
      <c r="N57" s="2"/>
      <c r="O57" s="4"/>
    </row>
    <row r="58" spans="1:15" ht="12.75" customHeight="1" x14ac:dyDescent="0.2">
      <c r="A58" s="369">
        <v>498972</v>
      </c>
      <c r="B58" t="s">
        <v>355</v>
      </c>
      <c r="C58" s="342">
        <v>35737</v>
      </c>
      <c r="D58" s="342">
        <v>25533</v>
      </c>
      <c r="E58" s="342">
        <v>61270</v>
      </c>
      <c r="F58" s="342">
        <v>5914786773.86238</v>
      </c>
      <c r="G58" s="342">
        <v>4934839374.8896799</v>
      </c>
      <c r="H58" s="342">
        <v>10849626148.752001</v>
      </c>
      <c r="I58" s="342">
        <v>-19062128.460000001</v>
      </c>
      <c r="J58" t="s">
        <v>236</v>
      </c>
      <c r="K58" t="s">
        <v>1150</v>
      </c>
      <c r="L58" t="s">
        <v>191</v>
      </c>
      <c r="M58" t="s">
        <v>151</v>
      </c>
      <c r="N58" s="2"/>
      <c r="O58" s="4"/>
    </row>
    <row r="59" spans="1:15" ht="12.75" customHeight="1" x14ac:dyDescent="0.2">
      <c r="A59" s="369">
        <v>140673</v>
      </c>
      <c r="B59" t="s">
        <v>1209</v>
      </c>
      <c r="C59" s="342">
        <v>29666</v>
      </c>
      <c r="D59" s="342">
        <v>30073</v>
      </c>
      <c r="E59" s="342">
        <v>59739</v>
      </c>
      <c r="F59" s="342">
        <v>1547957602.62273</v>
      </c>
      <c r="G59" s="342">
        <v>1819892559.5027101</v>
      </c>
      <c r="H59" s="342">
        <v>3367850162.1254401</v>
      </c>
      <c r="I59" s="342">
        <v>-5424643.8899999997</v>
      </c>
      <c r="J59" t="s">
        <v>179</v>
      </c>
      <c r="K59" t="s">
        <v>1175</v>
      </c>
      <c r="L59" t="s">
        <v>191</v>
      </c>
      <c r="M59" t="s">
        <v>151</v>
      </c>
      <c r="N59" s="2"/>
      <c r="O59" s="4"/>
    </row>
    <row r="60" spans="1:15" ht="12.75" customHeight="1" x14ac:dyDescent="0.2">
      <c r="A60" s="369">
        <v>819557</v>
      </c>
      <c r="B60" t="s">
        <v>455</v>
      </c>
      <c r="C60" s="342">
        <v>34951</v>
      </c>
      <c r="D60" s="342">
        <v>23529</v>
      </c>
      <c r="E60" s="342">
        <v>58480</v>
      </c>
      <c r="F60" s="342">
        <v>7039757693.1698503</v>
      </c>
      <c r="G60" s="342">
        <v>5470947345.1294003</v>
      </c>
      <c r="H60" s="342">
        <v>12510705038.2992</v>
      </c>
      <c r="I60" s="342">
        <v>2664094.0499999998</v>
      </c>
      <c r="J60" t="s">
        <v>208</v>
      </c>
      <c r="K60" t="s">
        <v>1150</v>
      </c>
      <c r="L60" t="s">
        <v>167</v>
      </c>
      <c r="M60" t="s">
        <v>151</v>
      </c>
      <c r="N60" s="2"/>
      <c r="O60" s="4"/>
    </row>
    <row r="61" spans="1:15" ht="12.75" customHeight="1" x14ac:dyDescent="0.2">
      <c r="A61" s="369">
        <v>856682</v>
      </c>
      <c r="B61" t="s">
        <v>1015</v>
      </c>
      <c r="C61" s="342">
        <v>24913</v>
      </c>
      <c r="D61" s="342">
        <v>32625</v>
      </c>
      <c r="E61" s="342">
        <v>57538</v>
      </c>
      <c r="F61" s="342">
        <v>4128207479.5116901</v>
      </c>
      <c r="G61" s="342">
        <v>6458986825.2226</v>
      </c>
      <c r="H61" s="342">
        <v>10587194304.7342</v>
      </c>
      <c r="I61" s="342">
        <v>-23171327.239999998</v>
      </c>
      <c r="J61" t="s">
        <v>153</v>
      </c>
      <c r="K61" t="s">
        <v>1174</v>
      </c>
      <c r="L61" t="s">
        <v>167</v>
      </c>
      <c r="M61" t="s">
        <v>151</v>
      </c>
      <c r="N61" s="2"/>
      <c r="O61" s="4"/>
    </row>
    <row r="62" spans="1:15" ht="12.75" customHeight="1" x14ac:dyDescent="0.2">
      <c r="A62" s="369">
        <v>313742</v>
      </c>
      <c r="B62" t="s">
        <v>285</v>
      </c>
      <c r="C62" s="342">
        <v>24825</v>
      </c>
      <c r="D62" s="342">
        <v>32398</v>
      </c>
      <c r="E62" s="342">
        <v>57223</v>
      </c>
      <c r="F62" s="342">
        <v>3926607925.2612</v>
      </c>
      <c r="G62" s="342">
        <v>5782709512.0199203</v>
      </c>
      <c r="H62" s="342">
        <v>9709317437.2811298</v>
      </c>
      <c r="I62" s="342">
        <v>429674321.77999997</v>
      </c>
      <c r="J62" t="s">
        <v>259</v>
      </c>
      <c r="K62" t="s">
        <v>1177</v>
      </c>
      <c r="L62" t="s">
        <v>231</v>
      </c>
      <c r="M62" t="s">
        <v>151</v>
      </c>
      <c r="N62" s="2"/>
      <c r="O62" s="4"/>
    </row>
    <row r="63" spans="1:15" ht="12.75" customHeight="1" x14ac:dyDescent="0.2">
      <c r="A63" s="369">
        <v>989491</v>
      </c>
      <c r="B63" t="s">
        <v>547</v>
      </c>
      <c r="C63" s="342">
        <v>27316</v>
      </c>
      <c r="D63" s="342">
        <v>29132</v>
      </c>
      <c r="E63" s="342">
        <v>56448</v>
      </c>
      <c r="F63" s="342">
        <v>5969403534.2955303</v>
      </c>
      <c r="G63" s="342">
        <v>7316399340.0604296</v>
      </c>
      <c r="H63" s="342">
        <v>13285802874.3559</v>
      </c>
      <c r="I63" s="342">
        <v>-41023149.109999999</v>
      </c>
      <c r="J63" t="s">
        <v>159</v>
      </c>
      <c r="K63" t="s">
        <v>1175</v>
      </c>
      <c r="L63" t="s">
        <v>182</v>
      </c>
      <c r="M63" t="s">
        <v>46</v>
      </c>
      <c r="N63" s="2"/>
      <c r="O63" s="4"/>
    </row>
    <row r="64" spans="1:15" ht="12.75" customHeight="1" x14ac:dyDescent="0.2">
      <c r="A64" s="369">
        <v>269357</v>
      </c>
      <c r="B64" t="s">
        <v>263</v>
      </c>
      <c r="C64" s="342">
        <v>22658</v>
      </c>
      <c r="D64" s="342">
        <v>32027</v>
      </c>
      <c r="E64" s="342">
        <v>54685</v>
      </c>
      <c r="F64" s="342">
        <v>3617718110.75598</v>
      </c>
      <c r="G64" s="342">
        <v>5960527513.0267696</v>
      </c>
      <c r="H64" s="342">
        <v>9578245623.7827606</v>
      </c>
      <c r="I64" s="342">
        <v>109804114.42</v>
      </c>
      <c r="J64" t="s">
        <v>153</v>
      </c>
      <c r="K64" t="s">
        <v>1174</v>
      </c>
      <c r="L64" t="s">
        <v>262</v>
      </c>
      <c r="M64" t="s">
        <v>151</v>
      </c>
      <c r="N64" s="2"/>
      <c r="O64" s="4"/>
    </row>
    <row r="65" spans="1:15" ht="12.75" customHeight="1" x14ac:dyDescent="0.2">
      <c r="A65" s="369">
        <v>749192</v>
      </c>
      <c r="B65" t="s">
        <v>440</v>
      </c>
      <c r="C65" s="342">
        <v>31124</v>
      </c>
      <c r="D65" s="342">
        <v>21431</v>
      </c>
      <c r="E65" s="342">
        <v>52555</v>
      </c>
      <c r="F65" s="342">
        <v>2360172791.3134799</v>
      </c>
      <c r="G65" s="342">
        <v>2042573462.63241</v>
      </c>
      <c r="H65" s="342">
        <v>4402746253.9459</v>
      </c>
      <c r="I65" s="342">
        <v>-12287184.58</v>
      </c>
      <c r="J65" t="s">
        <v>172</v>
      </c>
      <c r="K65" t="s">
        <v>1153</v>
      </c>
      <c r="L65" t="s">
        <v>167</v>
      </c>
      <c r="M65" t="s">
        <v>151</v>
      </c>
      <c r="N65" s="2"/>
      <c r="O65" s="4"/>
    </row>
    <row r="66" spans="1:15" ht="12.75" customHeight="1" x14ac:dyDescent="0.2">
      <c r="A66" s="369">
        <v>984187</v>
      </c>
      <c r="B66" t="s">
        <v>498</v>
      </c>
      <c r="C66" s="342">
        <v>25649</v>
      </c>
      <c r="D66" s="342">
        <v>26318</v>
      </c>
      <c r="E66" s="342">
        <v>51967</v>
      </c>
      <c r="F66" s="342">
        <v>2410214902.58289</v>
      </c>
      <c r="G66" s="342">
        <v>2954936425.03368</v>
      </c>
      <c r="H66" s="342">
        <v>5365151327.6165705</v>
      </c>
      <c r="I66" s="342">
        <v>-17072437.170000002</v>
      </c>
      <c r="J66" t="s">
        <v>159</v>
      </c>
      <c r="K66" t="s">
        <v>1175</v>
      </c>
      <c r="L66" t="s">
        <v>175</v>
      </c>
      <c r="M66" t="s">
        <v>46</v>
      </c>
      <c r="N66" s="2"/>
      <c r="O66" s="4"/>
    </row>
    <row r="67" spans="1:15" ht="12.75" customHeight="1" x14ac:dyDescent="0.2">
      <c r="A67" s="369">
        <v>224493</v>
      </c>
      <c r="B67" t="s">
        <v>238</v>
      </c>
      <c r="C67" s="342">
        <v>32894</v>
      </c>
      <c r="D67" s="342">
        <v>18804</v>
      </c>
      <c r="E67" s="342">
        <v>51698</v>
      </c>
      <c r="F67" s="342">
        <v>2808744511.4963899</v>
      </c>
      <c r="G67" s="342">
        <v>1725497349.8453901</v>
      </c>
      <c r="H67" s="342">
        <v>4534241861.3417797</v>
      </c>
      <c r="I67" s="342">
        <v>-16028639.67</v>
      </c>
      <c r="J67" t="s">
        <v>172</v>
      </c>
      <c r="K67" t="s">
        <v>1153</v>
      </c>
      <c r="L67" t="s">
        <v>167</v>
      </c>
      <c r="M67" t="s">
        <v>151</v>
      </c>
      <c r="N67" s="2"/>
      <c r="O67" s="4"/>
    </row>
    <row r="68" spans="1:15" ht="12.75" customHeight="1" x14ac:dyDescent="0.2">
      <c r="A68" s="369">
        <v>515554</v>
      </c>
      <c r="B68" t="s">
        <v>309</v>
      </c>
      <c r="C68" s="342">
        <v>25920</v>
      </c>
      <c r="D68" s="342">
        <v>23609</v>
      </c>
      <c r="E68" s="342">
        <v>49529</v>
      </c>
      <c r="F68" s="342">
        <v>2567280546.0787802</v>
      </c>
      <c r="G68" s="342">
        <v>2670436884.3517098</v>
      </c>
      <c r="H68" s="342">
        <v>5237717430.4305</v>
      </c>
      <c r="I68" s="342">
        <v>-19782278.109999999</v>
      </c>
      <c r="J68" t="s">
        <v>159</v>
      </c>
      <c r="K68" t="s">
        <v>1175</v>
      </c>
      <c r="L68" t="s">
        <v>158</v>
      </c>
      <c r="M68" t="s">
        <v>46</v>
      </c>
      <c r="N68" s="2"/>
      <c r="O68" s="4"/>
    </row>
    <row r="69" spans="1:15" ht="12.75" customHeight="1" x14ac:dyDescent="0.2">
      <c r="A69" s="369">
        <v>814772</v>
      </c>
      <c r="B69" t="s">
        <v>454</v>
      </c>
      <c r="C69" s="342">
        <v>24086</v>
      </c>
      <c r="D69" s="342">
        <v>24979</v>
      </c>
      <c r="E69" s="342">
        <v>49065</v>
      </c>
      <c r="F69" s="342">
        <v>1274563128.5610001</v>
      </c>
      <c r="G69" s="342">
        <v>1595844506.73563</v>
      </c>
      <c r="H69" s="342">
        <v>2870407635.2966299</v>
      </c>
      <c r="I69" s="342">
        <v>-18368176.640000001</v>
      </c>
      <c r="J69" t="s">
        <v>208</v>
      </c>
      <c r="K69" t="s">
        <v>1150</v>
      </c>
      <c r="L69" t="s">
        <v>231</v>
      </c>
      <c r="M69" t="s">
        <v>151</v>
      </c>
      <c r="N69" s="2"/>
      <c r="O69" s="4"/>
    </row>
    <row r="70" spans="1:15" ht="12.75" customHeight="1" x14ac:dyDescent="0.2">
      <c r="A70" s="369">
        <v>150649</v>
      </c>
      <c r="B70" t="s">
        <v>196</v>
      </c>
      <c r="C70" s="342">
        <v>21735</v>
      </c>
      <c r="D70" s="342">
        <v>26598</v>
      </c>
      <c r="E70" s="342">
        <v>48333</v>
      </c>
      <c r="F70" s="342">
        <v>2146562442.1240399</v>
      </c>
      <c r="G70" s="342">
        <v>3189137517.9472198</v>
      </c>
      <c r="H70" s="342">
        <v>5335699960.07127</v>
      </c>
      <c r="I70" s="342">
        <v>-13012506.08</v>
      </c>
      <c r="J70" t="s">
        <v>197</v>
      </c>
      <c r="K70" t="s">
        <v>1175</v>
      </c>
      <c r="L70" t="s">
        <v>167</v>
      </c>
      <c r="M70" t="s">
        <v>151</v>
      </c>
      <c r="N70" s="2"/>
      <c r="O70" s="4"/>
    </row>
    <row r="71" spans="1:15" ht="12.75" customHeight="1" x14ac:dyDescent="0.2">
      <c r="A71" s="369">
        <v>952010</v>
      </c>
      <c r="B71" t="s">
        <v>490</v>
      </c>
      <c r="C71" s="342">
        <v>20924</v>
      </c>
      <c r="D71" s="342">
        <v>25556</v>
      </c>
      <c r="E71" s="342">
        <v>46480</v>
      </c>
      <c r="F71" s="342">
        <v>3897487528.1298399</v>
      </c>
      <c r="G71" s="342">
        <v>5700477301.0713596</v>
      </c>
      <c r="H71" s="342">
        <v>9597964829.20121</v>
      </c>
      <c r="I71" s="342">
        <v>-31423584.68</v>
      </c>
      <c r="J71" t="s">
        <v>153</v>
      </c>
      <c r="K71" t="s">
        <v>1174</v>
      </c>
      <c r="L71" t="s">
        <v>181</v>
      </c>
      <c r="M71" t="s">
        <v>151</v>
      </c>
      <c r="N71" s="2"/>
      <c r="O71" s="4"/>
    </row>
    <row r="72" spans="1:15" ht="12.75" customHeight="1" x14ac:dyDescent="0.2">
      <c r="A72" s="369">
        <v>825109</v>
      </c>
      <c r="B72" t="s">
        <v>458</v>
      </c>
      <c r="C72" s="342">
        <v>20474</v>
      </c>
      <c r="D72" s="342">
        <v>25687</v>
      </c>
      <c r="E72" s="342">
        <v>46161</v>
      </c>
      <c r="F72" s="342">
        <v>812210336.20118105</v>
      </c>
      <c r="G72" s="342">
        <v>1283821435.43367</v>
      </c>
      <c r="H72" s="342">
        <v>2096031771.63485</v>
      </c>
      <c r="I72" s="342">
        <v>-6281310</v>
      </c>
      <c r="J72" t="s">
        <v>306</v>
      </c>
      <c r="K72" t="s">
        <v>1175</v>
      </c>
      <c r="L72" t="s">
        <v>167</v>
      </c>
      <c r="M72" t="s">
        <v>151</v>
      </c>
      <c r="N72" s="2"/>
      <c r="O72" s="4"/>
    </row>
    <row r="73" spans="1:15" ht="12.75" customHeight="1" x14ac:dyDescent="0.2">
      <c r="A73" s="369">
        <v>574293</v>
      </c>
      <c r="B73" t="s">
        <v>385</v>
      </c>
      <c r="C73" s="342">
        <v>23613</v>
      </c>
      <c r="D73" s="342">
        <v>21888</v>
      </c>
      <c r="E73" s="342">
        <v>45501</v>
      </c>
      <c r="F73" s="342">
        <v>1448908836.8659301</v>
      </c>
      <c r="G73" s="342">
        <v>1818516558.78038</v>
      </c>
      <c r="H73" s="342">
        <v>3267425395.6463199</v>
      </c>
      <c r="I73" s="342">
        <v>-31930508.050000001</v>
      </c>
      <c r="J73" t="s">
        <v>156</v>
      </c>
      <c r="K73" t="s">
        <v>1156</v>
      </c>
      <c r="L73" t="s">
        <v>262</v>
      </c>
      <c r="M73" t="s">
        <v>151</v>
      </c>
      <c r="N73" s="2"/>
      <c r="O73" s="4"/>
    </row>
    <row r="74" spans="1:15" ht="12.75" customHeight="1" x14ac:dyDescent="0.2">
      <c r="A74" s="369">
        <v>286294</v>
      </c>
      <c r="B74" t="s">
        <v>1216</v>
      </c>
      <c r="C74" s="342">
        <v>21632</v>
      </c>
      <c r="D74" s="342">
        <v>23512</v>
      </c>
      <c r="E74" s="342">
        <v>45144</v>
      </c>
      <c r="F74" s="342">
        <v>2708858748.1662502</v>
      </c>
      <c r="G74" s="342">
        <v>3567728362.81673</v>
      </c>
      <c r="H74" s="342">
        <v>6276587110.9829903</v>
      </c>
      <c r="I74" s="342">
        <v>-11360227.09</v>
      </c>
      <c r="J74" t="s">
        <v>190</v>
      </c>
      <c r="K74" t="s">
        <v>1175</v>
      </c>
      <c r="L74" t="s">
        <v>184</v>
      </c>
      <c r="M74" t="s">
        <v>46</v>
      </c>
      <c r="N74" s="2"/>
      <c r="O74" s="4"/>
    </row>
    <row r="75" spans="1:15" ht="12.75" customHeight="1" x14ac:dyDescent="0.2">
      <c r="A75" s="369">
        <v>717611</v>
      </c>
      <c r="B75" t="s">
        <v>429</v>
      </c>
      <c r="C75" s="342">
        <v>24931</v>
      </c>
      <c r="D75" s="342">
        <v>18128</v>
      </c>
      <c r="E75" s="342">
        <v>43059</v>
      </c>
      <c r="F75" s="342">
        <v>1084296053.29635</v>
      </c>
      <c r="G75" s="342">
        <v>1120336712.5221601</v>
      </c>
      <c r="H75" s="342">
        <v>2204632765.8185101</v>
      </c>
      <c r="I75" s="342">
        <v>-23634050.789999999</v>
      </c>
      <c r="J75" t="s">
        <v>187</v>
      </c>
      <c r="K75" t="s">
        <v>1156</v>
      </c>
      <c r="L75" t="s">
        <v>167</v>
      </c>
      <c r="M75" t="s">
        <v>151</v>
      </c>
      <c r="N75" s="2"/>
      <c r="O75" s="4"/>
    </row>
    <row r="76" spans="1:15" ht="12.75" customHeight="1" x14ac:dyDescent="0.2">
      <c r="A76" s="369">
        <v>842690</v>
      </c>
      <c r="B76" t="s">
        <v>465</v>
      </c>
      <c r="C76" s="342">
        <v>19523</v>
      </c>
      <c r="D76" s="342">
        <v>22527</v>
      </c>
      <c r="E76" s="342">
        <v>42050</v>
      </c>
      <c r="F76" s="342">
        <v>3076276046.79566</v>
      </c>
      <c r="G76" s="342">
        <v>4258398860.94944</v>
      </c>
      <c r="H76" s="342">
        <v>7334674907.7451</v>
      </c>
      <c r="I76" s="342">
        <v>-29829645.120000001</v>
      </c>
      <c r="J76" t="s">
        <v>153</v>
      </c>
      <c r="K76" t="s">
        <v>1174</v>
      </c>
      <c r="L76" t="s">
        <v>346</v>
      </c>
      <c r="M76" t="s">
        <v>151</v>
      </c>
      <c r="N76" s="2"/>
      <c r="O76" s="4"/>
    </row>
    <row r="77" spans="1:15" ht="12.75" customHeight="1" x14ac:dyDescent="0.2">
      <c r="A77" s="369">
        <v>501981</v>
      </c>
      <c r="B77" t="s">
        <v>356</v>
      </c>
      <c r="C77" s="342">
        <v>20103</v>
      </c>
      <c r="D77" s="342">
        <v>21629</v>
      </c>
      <c r="E77" s="342">
        <v>41732</v>
      </c>
      <c r="F77" s="342">
        <v>1265655711.0928099</v>
      </c>
      <c r="G77" s="342">
        <v>1657253693.1629601</v>
      </c>
      <c r="H77" s="342">
        <v>2922909404.2557802</v>
      </c>
      <c r="I77" s="342">
        <v>-28573544.530000001</v>
      </c>
      <c r="J77" t="s">
        <v>169</v>
      </c>
      <c r="K77" t="s">
        <v>1175</v>
      </c>
      <c r="L77" t="s">
        <v>175</v>
      </c>
      <c r="M77" t="s">
        <v>46</v>
      </c>
      <c r="N77" s="2"/>
      <c r="O77" s="4"/>
    </row>
    <row r="78" spans="1:15" ht="12.75" customHeight="1" x14ac:dyDescent="0.2">
      <c r="A78" s="369">
        <v>564849</v>
      </c>
      <c r="B78" t="s">
        <v>1227</v>
      </c>
      <c r="C78" s="342">
        <v>20508</v>
      </c>
      <c r="D78" s="342">
        <v>20212</v>
      </c>
      <c r="E78" s="342">
        <v>40720</v>
      </c>
      <c r="F78" s="342">
        <v>1203810498.55071</v>
      </c>
      <c r="G78" s="342">
        <v>1436711327.27178</v>
      </c>
      <c r="H78" s="342">
        <v>2640521825.8224902</v>
      </c>
      <c r="I78" s="342">
        <v>-8015407.9100000001</v>
      </c>
      <c r="J78" t="s">
        <v>179</v>
      </c>
      <c r="K78" t="s">
        <v>1175</v>
      </c>
      <c r="L78" t="s">
        <v>184</v>
      </c>
      <c r="M78" t="s">
        <v>46</v>
      </c>
      <c r="N78" s="2"/>
      <c r="O78" s="4"/>
    </row>
    <row r="79" spans="1:15" ht="12.75" customHeight="1" x14ac:dyDescent="0.2">
      <c r="A79" s="369">
        <v>446088</v>
      </c>
      <c r="B79" t="s">
        <v>1084</v>
      </c>
      <c r="C79" s="342">
        <v>13399</v>
      </c>
      <c r="D79" s="342">
        <v>26787</v>
      </c>
      <c r="E79" s="342">
        <v>40186</v>
      </c>
      <c r="F79" s="342">
        <v>1466872868.4976799</v>
      </c>
      <c r="G79" s="342">
        <v>3368331031.46281</v>
      </c>
      <c r="H79" s="342">
        <v>4835203899.9604998</v>
      </c>
      <c r="I79" s="342">
        <v>-83833797.799999997</v>
      </c>
      <c r="J79" t="s">
        <v>224</v>
      </c>
      <c r="K79" t="s">
        <v>1177</v>
      </c>
      <c r="L79" t="s">
        <v>967</v>
      </c>
      <c r="M79" t="s">
        <v>46</v>
      </c>
      <c r="N79" s="2"/>
      <c r="O79" s="4"/>
    </row>
    <row r="80" spans="1:15" ht="12.75" customHeight="1" x14ac:dyDescent="0.2">
      <c r="A80" s="369">
        <v>278853</v>
      </c>
      <c r="B80" t="s">
        <v>505</v>
      </c>
      <c r="C80" s="342">
        <v>18259</v>
      </c>
      <c r="D80" s="342">
        <v>21622</v>
      </c>
      <c r="E80" s="342">
        <v>39881</v>
      </c>
      <c r="F80" s="342">
        <v>3614259852.9677901</v>
      </c>
      <c r="G80" s="342">
        <v>3827437059.4274602</v>
      </c>
      <c r="H80" s="342">
        <v>7441696912.3952503</v>
      </c>
      <c r="I80" s="342">
        <v>93004510</v>
      </c>
      <c r="J80" t="s">
        <v>236</v>
      </c>
      <c r="K80" t="s">
        <v>1150</v>
      </c>
      <c r="L80" t="s">
        <v>181</v>
      </c>
      <c r="M80" t="s">
        <v>151</v>
      </c>
      <c r="N80" s="2"/>
      <c r="O80" s="4"/>
    </row>
    <row r="81" spans="1:15" ht="12.75" customHeight="1" x14ac:dyDescent="0.2">
      <c r="A81" s="369">
        <v>658997</v>
      </c>
      <c r="B81" t="s">
        <v>410</v>
      </c>
      <c r="C81" s="342">
        <v>15410</v>
      </c>
      <c r="D81" s="342">
        <v>23769</v>
      </c>
      <c r="E81" s="342">
        <v>39179</v>
      </c>
      <c r="F81" s="342">
        <v>2686677193.8119998</v>
      </c>
      <c r="G81" s="342">
        <v>4593036822.1626301</v>
      </c>
      <c r="H81" s="342">
        <v>7279714015.9746399</v>
      </c>
      <c r="I81" s="342">
        <v>270191669</v>
      </c>
      <c r="J81" t="s">
        <v>159</v>
      </c>
      <c r="K81" t="s">
        <v>1175</v>
      </c>
      <c r="L81" t="s">
        <v>231</v>
      </c>
      <c r="M81" t="s">
        <v>151</v>
      </c>
      <c r="N81" s="2"/>
      <c r="O81" s="4"/>
    </row>
    <row r="82" spans="1:15" ht="12.75" customHeight="1" x14ac:dyDescent="0.2">
      <c r="A82" s="369">
        <v>140491</v>
      </c>
      <c r="B82" t="s">
        <v>188</v>
      </c>
      <c r="C82" s="342">
        <v>16465</v>
      </c>
      <c r="D82" s="342">
        <v>22532</v>
      </c>
      <c r="E82" s="342">
        <v>38997</v>
      </c>
      <c r="F82" s="342">
        <v>2242091701.2080202</v>
      </c>
      <c r="G82" s="342">
        <v>3541091269.0520601</v>
      </c>
      <c r="H82" s="342">
        <v>5783182970.2600803</v>
      </c>
      <c r="I82" s="342">
        <v>-35264157.219999999</v>
      </c>
      <c r="J82" t="s">
        <v>190</v>
      </c>
      <c r="K82" t="s">
        <v>1175</v>
      </c>
      <c r="L82" t="s">
        <v>189</v>
      </c>
      <c r="M82" t="s">
        <v>151</v>
      </c>
      <c r="N82" s="2"/>
      <c r="O82" s="4"/>
    </row>
    <row r="83" spans="1:15" ht="12.75" customHeight="1" x14ac:dyDescent="0.2">
      <c r="A83" s="369">
        <v>855387</v>
      </c>
      <c r="B83" t="s">
        <v>469</v>
      </c>
      <c r="C83" s="342">
        <v>23778</v>
      </c>
      <c r="D83" s="342">
        <v>14739</v>
      </c>
      <c r="E83" s="342">
        <v>38517</v>
      </c>
      <c r="F83" s="342">
        <v>3104377182.0369201</v>
      </c>
      <c r="G83" s="342">
        <v>2252608398.08992</v>
      </c>
      <c r="H83" s="342">
        <v>5356985580.1268396</v>
      </c>
      <c r="I83" s="342">
        <v>-26142838.34</v>
      </c>
      <c r="J83" t="s">
        <v>208</v>
      </c>
      <c r="K83" t="s">
        <v>1150</v>
      </c>
      <c r="L83" t="s">
        <v>167</v>
      </c>
      <c r="M83" t="s">
        <v>151</v>
      </c>
      <c r="N83" s="2"/>
      <c r="O83" s="4"/>
    </row>
    <row r="84" spans="1:15" ht="12.75" customHeight="1" x14ac:dyDescent="0.2">
      <c r="A84" s="369">
        <v>194092</v>
      </c>
      <c r="B84" t="s">
        <v>523</v>
      </c>
      <c r="C84" s="342">
        <v>17464</v>
      </c>
      <c r="D84" s="342">
        <v>20933</v>
      </c>
      <c r="E84" s="342">
        <v>38397</v>
      </c>
      <c r="F84" s="342">
        <v>2166962683.9349399</v>
      </c>
      <c r="G84" s="342">
        <v>3195180006.0597601</v>
      </c>
      <c r="H84" s="342">
        <v>5362142689.99471</v>
      </c>
      <c r="I84" s="342">
        <v>22262163.66</v>
      </c>
      <c r="J84" t="s">
        <v>224</v>
      </c>
      <c r="K84" t="s">
        <v>1177</v>
      </c>
      <c r="L84" t="s">
        <v>178</v>
      </c>
      <c r="M84" t="s">
        <v>151</v>
      </c>
      <c r="N84" s="2"/>
      <c r="O84" s="4"/>
    </row>
    <row r="85" spans="1:15" ht="12.75" customHeight="1" x14ac:dyDescent="0.2">
      <c r="A85" s="369">
        <v>465914</v>
      </c>
      <c r="B85" t="s">
        <v>531</v>
      </c>
      <c r="C85" s="342">
        <v>18476</v>
      </c>
      <c r="D85" s="342">
        <v>19309</v>
      </c>
      <c r="E85" s="342">
        <v>37785</v>
      </c>
      <c r="F85" s="342">
        <v>1955096976.6714399</v>
      </c>
      <c r="G85" s="342">
        <v>2483329105.7028399</v>
      </c>
      <c r="H85" s="342">
        <v>4438426082.37428</v>
      </c>
      <c r="I85" s="342">
        <v>-2071539.7</v>
      </c>
      <c r="J85" t="s">
        <v>201</v>
      </c>
      <c r="K85" t="s">
        <v>1174</v>
      </c>
      <c r="L85" t="s">
        <v>181</v>
      </c>
      <c r="M85" t="s">
        <v>151</v>
      </c>
      <c r="N85" s="2"/>
      <c r="O85" s="4"/>
    </row>
    <row r="86" spans="1:15" ht="12.75" customHeight="1" x14ac:dyDescent="0.2">
      <c r="A86" s="369">
        <v>538462</v>
      </c>
      <c r="B86" t="s">
        <v>368</v>
      </c>
      <c r="C86" s="342">
        <v>16813</v>
      </c>
      <c r="D86" s="342">
        <v>20916</v>
      </c>
      <c r="E86" s="342">
        <v>37729</v>
      </c>
      <c r="F86" s="342">
        <v>1062842428.1343</v>
      </c>
      <c r="G86" s="342">
        <v>1627378618.80724</v>
      </c>
      <c r="H86" s="342">
        <v>2690221046.9415398</v>
      </c>
      <c r="I86" s="342">
        <v>-1933889.16</v>
      </c>
      <c r="J86" t="s">
        <v>179</v>
      </c>
      <c r="K86" t="s">
        <v>1175</v>
      </c>
      <c r="L86" t="s">
        <v>262</v>
      </c>
      <c r="M86" t="s">
        <v>151</v>
      </c>
      <c r="N86" s="2"/>
      <c r="O86" s="4"/>
    </row>
    <row r="87" spans="1:15" ht="12.75" customHeight="1" x14ac:dyDescent="0.2">
      <c r="A87" s="369">
        <v>282517</v>
      </c>
      <c r="B87" t="s">
        <v>1215</v>
      </c>
      <c r="C87" s="342">
        <v>18666</v>
      </c>
      <c r="D87" s="342">
        <v>18839</v>
      </c>
      <c r="E87" s="342">
        <v>37505</v>
      </c>
      <c r="F87" s="342">
        <v>1517925352.6322601</v>
      </c>
      <c r="G87" s="342">
        <v>1895662538.38361</v>
      </c>
      <c r="H87" s="342">
        <v>3413587891.0158701</v>
      </c>
      <c r="I87" s="342">
        <v>-1267411.77</v>
      </c>
      <c r="J87" t="s">
        <v>159</v>
      </c>
      <c r="K87" t="s">
        <v>1175</v>
      </c>
      <c r="L87" t="s">
        <v>184</v>
      </c>
      <c r="M87" t="s">
        <v>46</v>
      </c>
      <c r="N87" s="2"/>
      <c r="O87" s="4"/>
    </row>
    <row r="88" spans="1:15" ht="12.75" customHeight="1" x14ac:dyDescent="0.2">
      <c r="A88" s="369">
        <v>502633</v>
      </c>
      <c r="B88" t="s">
        <v>357</v>
      </c>
      <c r="C88" s="342">
        <v>21587</v>
      </c>
      <c r="D88" s="342">
        <v>15289</v>
      </c>
      <c r="E88" s="342">
        <v>36876</v>
      </c>
      <c r="F88" s="342">
        <v>1012839465.28558</v>
      </c>
      <c r="G88" s="342">
        <v>874260442.75792396</v>
      </c>
      <c r="H88" s="342">
        <v>1887099908.04351</v>
      </c>
      <c r="I88" s="342">
        <v>-11993188.67</v>
      </c>
      <c r="J88" t="s">
        <v>208</v>
      </c>
      <c r="K88" t="s">
        <v>1150</v>
      </c>
      <c r="L88" t="s">
        <v>184</v>
      </c>
      <c r="M88" t="s">
        <v>151</v>
      </c>
      <c r="N88" s="2"/>
      <c r="O88" s="4"/>
    </row>
    <row r="89" spans="1:15" ht="12.75" customHeight="1" x14ac:dyDescent="0.2">
      <c r="A89" s="369">
        <v>249995</v>
      </c>
      <c r="B89" t="s">
        <v>252</v>
      </c>
      <c r="C89" s="342">
        <v>14535</v>
      </c>
      <c r="D89" s="342">
        <v>21426</v>
      </c>
      <c r="E89" s="342">
        <v>35961</v>
      </c>
      <c r="F89" s="342">
        <v>1237729620.73369</v>
      </c>
      <c r="G89" s="342">
        <v>2402592580.42243</v>
      </c>
      <c r="H89" s="342">
        <v>3640322201.1561298</v>
      </c>
      <c r="I89" s="342">
        <v>-6665113.4100000001</v>
      </c>
      <c r="J89" t="s">
        <v>253</v>
      </c>
      <c r="K89" t="s">
        <v>1176</v>
      </c>
      <c r="L89" t="s">
        <v>234</v>
      </c>
      <c r="M89" t="s">
        <v>151</v>
      </c>
      <c r="N89" s="2"/>
      <c r="O89" s="4"/>
    </row>
    <row r="90" spans="1:15" ht="12.75" customHeight="1" x14ac:dyDescent="0.2">
      <c r="A90" s="369">
        <v>987842</v>
      </c>
      <c r="B90" t="s">
        <v>499</v>
      </c>
      <c r="C90" s="342">
        <v>15735</v>
      </c>
      <c r="D90" s="342">
        <v>19143</v>
      </c>
      <c r="E90" s="342">
        <v>34878</v>
      </c>
      <c r="F90" s="342">
        <v>1059131778.4687901</v>
      </c>
      <c r="G90" s="342">
        <v>1536110172.8490601</v>
      </c>
      <c r="H90" s="342">
        <v>2595241951.3178601</v>
      </c>
      <c r="I90" s="342">
        <v>-11089913</v>
      </c>
      <c r="J90" t="s">
        <v>169</v>
      </c>
      <c r="K90" t="s">
        <v>1175</v>
      </c>
      <c r="L90" t="s">
        <v>181</v>
      </c>
      <c r="M90" t="s">
        <v>151</v>
      </c>
      <c r="N90" s="2"/>
      <c r="O90" s="4"/>
    </row>
    <row r="91" spans="1:15" ht="12.75" customHeight="1" x14ac:dyDescent="0.2">
      <c r="A91" s="369">
        <v>771030</v>
      </c>
      <c r="B91" t="s">
        <v>543</v>
      </c>
      <c r="C91" s="342">
        <v>14292</v>
      </c>
      <c r="D91" s="342">
        <v>19477</v>
      </c>
      <c r="E91" s="342">
        <v>33769</v>
      </c>
      <c r="F91" s="342">
        <v>1897829343.0222001</v>
      </c>
      <c r="G91" s="342">
        <v>2917811409.6758699</v>
      </c>
      <c r="H91" s="342">
        <v>4815640752.6980801</v>
      </c>
      <c r="I91" s="342">
        <v>-20505258.5</v>
      </c>
      <c r="J91" t="s">
        <v>224</v>
      </c>
      <c r="K91" t="s">
        <v>1177</v>
      </c>
      <c r="L91" t="s">
        <v>346</v>
      </c>
      <c r="M91" t="s">
        <v>151</v>
      </c>
      <c r="N91" s="2"/>
      <c r="O91" s="4"/>
    </row>
    <row r="92" spans="1:15" ht="12.75" customHeight="1" x14ac:dyDescent="0.2">
      <c r="A92" s="369">
        <v>752204</v>
      </c>
      <c r="B92" t="s">
        <v>534</v>
      </c>
      <c r="C92" s="342">
        <v>14598</v>
      </c>
      <c r="D92" s="342">
        <v>18783</v>
      </c>
      <c r="E92" s="342">
        <v>33381</v>
      </c>
      <c r="F92" s="342">
        <v>977595683.228459</v>
      </c>
      <c r="G92" s="342">
        <v>1692168747.1208999</v>
      </c>
      <c r="H92" s="342">
        <v>2669764430.34936</v>
      </c>
      <c r="I92" s="342">
        <v>38667901.149999999</v>
      </c>
      <c r="J92" t="s">
        <v>253</v>
      </c>
      <c r="K92" t="s">
        <v>1176</v>
      </c>
      <c r="L92" t="s">
        <v>167</v>
      </c>
      <c r="M92" t="s">
        <v>151</v>
      </c>
      <c r="N92" s="2"/>
      <c r="O92" s="4"/>
    </row>
    <row r="93" spans="1:15" ht="12.75" customHeight="1" x14ac:dyDescent="0.2">
      <c r="A93" s="369">
        <v>879114</v>
      </c>
      <c r="B93" t="s">
        <v>1199</v>
      </c>
      <c r="C93" s="342">
        <v>17967</v>
      </c>
      <c r="D93" s="342">
        <v>15280</v>
      </c>
      <c r="E93" s="342">
        <v>33247</v>
      </c>
      <c r="F93" s="342">
        <v>2320805187.1120601</v>
      </c>
      <c r="G93" s="342">
        <v>2290024233.6272898</v>
      </c>
      <c r="H93" s="342">
        <v>4610829420.7393599</v>
      </c>
      <c r="I93" s="342">
        <v>-18108101.370000001</v>
      </c>
      <c r="J93" t="s">
        <v>204</v>
      </c>
      <c r="K93" t="s">
        <v>1153</v>
      </c>
      <c r="L93" t="s">
        <v>178</v>
      </c>
      <c r="M93" t="s">
        <v>151</v>
      </c>
      <c r="N93" s="2"/>
      <c r="O93" s="4"/>
    </row>
    <row r="94" spans="1:15" ht="12.75" customHeight="1" x14ac:dyDescent="0.2">
      <c r="A94" s="369">
        <v>434274</v>
      </c>
      <c r="B94" t="s">
        <v>332</v>
      </c>
      <c r="C94" s="342">
        <v>12783</v>
      </c>
      <c r="D94" s="342">
        <v>20378</v>
      </c>
      <c r="E94" s="342">
        <v>33161</v>
      </c>
      <c r="F94" s="342">
        <v>906990754.98297405</v>
      </c>
      <c r="G94" s="342">
        <v>1689017139.02755</v>
      </c>
      <c r="H94" s="342">
        <v>2596007894.01052</v>
      </c>
      <c r="I94" s="342">
        <v>15434466.59</v>
      </c>
      <c r="J94" t="s">
        <v>169</v>
      </c>
      <c r="K94" t="s">
        <v>1175</v>
      </c>
      <c r="L94" t="s">
        <v>231</v>
      </c>
      <c r="M94" t="s">
        <v>151</v>
      </c>
      <c r="N94" s="2"/>
      <c r="O94" s="4"/>
    </row>
    <row r="95" spans="1:15" ht="12.75" customHeight="1" x14ac:dyDescent="0.2">
      <c r="A95" s="369">
        <v>629543</v>
      </c>
      <c r="B95" t="s">
        <v>401</v>
      </c>
      <c r="C95" s="342">
        <v>15507</v>
      </c>
      <c r="D95" s="342">
        <v>17511</v>
      </c>
      <c r="E95" s="342">
        <v>33018</v>
      </c>
      <c r="F95" s="342">
        <v>961209421.46654797</v>
      </c>
      <c r="G95" s="342">
        <v>1324671973.9750199</v>
      </c>
      <c r="H95" s="342">
        <v>2285881395.4415698</v>
      </c>
      <c r="I95" s="342">
        <v>7367511.7699999996</v>
      </c>
      <c r="J95" t="s">
        <v>179</v>
      </c>
      <c r="K95" t="s">
        <v>1175</v>
      </c>
      <c r="L95" t="s">
        <v>181</v>
      </c>
      <c r="M95" t="s">
        <v>151</v>
      </c>
      <c r="N95" s="2"/>
      <c r="O95" s="4"/>
    </row>
    <row r="96" spans="1:15" ht="12.75" customHeight="1" x14ac:dyDescent="0.2">
      <c r="A96" s="369">
        <v>439471</v>
      </c>
      <c r="B96" t="s">
        <v>119</v>
      </c>
      <c r="C96" s="342">
        <v>13421</v>
      </c>
      <c r="D96" s="342">
        <v>18050</v>
      </c>
      <c r="E96" s="342">
        <v>31471</v>
      </c>
      <c r="F96" s="342">
        <v>1758868611.4646699</v>
      </c>
      <c r="G96" s="342">
        <v>2804633021.2737298</v>
      </c>
      <c r="H96" s="342">
        <v>4563501632.7384005</v>
      </c>
      <c r="I96" s="342">
        <v>-34166541.799999997</v>
      </c>
      <c r="J96" t="s">
        <v>224</v>
      </c>
      <c r="K96" t="s">
        <v>1177</v>
      </c>
      <c r="L96" t="s">
        <v>152</v>
      </c>
      <c r="M96" t="s">
        <v>151</v>
      </c>
      <c r="N96" s="2"/>
      <c r="O96" s="4"/>
    </row>
    <row r="97" spans="1:15" ht="12.75" customHeight="1" x14ac:dyDescent="0.2">
      <c r="A97" s="369">
        <v>820852</v>
      </c>
      <c r="B97" t="s">
        <v>456</v>
      </c>
      <c r="C97" s="342">
        <v>14720</v>
      </c>
      <c r="D97" s="342">
        <v>16066</v>
      </c>
      <c r="E97" s="342">
        <v>30786</v>
      </c>
      <c r="F97" s="342">
        <v>1183294700.91908</v>
      </c>
      <c r="G97" s="342">
        <v>1574932256.3886299</v>
      </c>
      <c r="H97" s="342">
        <v>2758226957.3077202</v>
      </c>
      <c r="I97" s="342">
        <v>-4651416.5</v>
      </c>
      <c r="J97" t="s">
        <v>190</v>
      </c>
      <c r="K97" t="s">
        <v>1175</v>
      </c>
      <c r="L97" t="s">
        <v>167</v>
      </c>
      <c r="M97" t="s">
        <v>151</v>
      </c>
      <c r="N97" s="2"/>
      <c r="O97" s="4"/>
    </row>
    <row r="98" spans="1:15" ht="12.75" customHeight="1" x14ac:dyDescent="0.2">
      <c r="A98" s="369">
        <v>290072</v>
      </c>
      <c r="B98" t="s">
        <v>1217</v>
      </c>
      <c r="C98" s="342">
        <v>13311</v>
      </c>
      <c r="D98" s="342">
        <v>16822</v>
      </c>
      <c r="E98" s="342">
        <v>30133</v>
      </c>
      <c r="F98" s="342">
        <v>1379761013.95261</v>
      </c>
      <c r="G98" s="342">
        <v>2075235843.1528101</v>
      </c>
      <c r="H98" s="342">
        <v>3454996857.1054301</v>
      </c>
      <c r="I98" s="342">
        <v>-37550366</v>
      </c>
      <c r="J98" t="s">
        <v>201</v>
      </c>
      <c r="K98" t="s">
        <v>1174</v>
      </c>
      <c r="L98" t="s">
        <v>270</v>
      </c>
      <c r="M98" t="s">
        <v>151</v>
      </c>
      <c r="N98" s="2"/>
      <c r="O98" s="4"/>
    </row>
    <row r="99" spans="1:15" ht="12.75" customHeight="1" x14ac:dyDescent="0.2">
      <c r="A99" s="369">
        <v>357483</v>
      </c>
      <c r="B99" t="s">
        <v>302</v>
      </c>
      <c r="C99" s="342">
        <v>13743</v>
      </c>
      <c r="D99" s="342">
        <v>15394</v>
      </c>
      <c r="E99" s="342">
        <v>29137</v>
      </c>
      <c r="F99" s="342">
        <v>1240636852.3106101</v>
      </c>
      <c r="G99" s="342">
        <v>1658376316.20281</v>
      </c>
      <c r="H99" s="342">
        <v>2899013168.5134301</v>
      </c>
      <c r="I99" s="342">
        <v>-8482104.7400000002</v>
      </c>
      <c r="J99" t="s">
        <v>172</v>
      </c>
      <c r="K99" t="s">
        <v>1153</v>
      </c>
      <c r="L99" t="s">
        <v>234</v>
      </c>
      <c r="M99" t="s">
        <v>151</v>
      </c>
      <c r="N99" s="2"/>
      <c r="O99" s="4"/>
    </row>
    <row r="100" spans="1:15" ht="12.75" customHeight="1" x14ac:dyDescent="0.2">
      <c r="A100" s="369">
        <v>303701</v>
      </c>
      <c r="B100" t="s">
        <v>279</v>
      </c>
      <c r="C100" s="342">
        <v>13932</v>
      </c>
      <c r="D100" s="342">
        <v>14559</v>
      </c>
      <c r="E100" s="342">
        <v>28491</v>
      </c>
      <c r="F100" s="342">
        <v>1613272573.1043601</v>
      </c>
      <c r="G100" s="342">
        <v>2035501783.4411199</v>
      </c>
      <c r="H100" s="342">
        <v>3648774356.5454898</v>
      </c>
      <c r="I100" s="342">
        <v>-40287319.719999999</v>
      </c>
      <c r="J100" t="s">
        <v>172</v>
      </c>
      <c r="K100" t="s">
        <v>1153</v>
      </c>
      <c r="L100" t="s">
        <v>280</v>
      </c>
      <c r="M100" t="s">
        <v>151</v>
      </c>
      <c r="N100" s="2"/>
      <c r="O100" s="4"/>
    </row>
    <row r="101" spans="1:15" ht="12.75" customHeight="1" x14ac:dyDescent="0.2">
      <c r="A101" s="369">
        <v>511139</v>
      </c>
      <c r="B101" t="s">
        <v>361</v>
      </c>
      <c r="C101" s="342">
        <v>12401</v>
      </c>
      <c r="D101" s="342">
        <v>15542</v>
      </c>
      <c r="E101" s="342">
        <v>27943</v>
      </c>
      <c r="F101" s="342">
        <v>1126351220.8083301</v>
      </c>
      <c r="G101" s="342">
        <v>1632828536.85711</v>
      </c>
      <c r="H101" s="342">
        <v>2759179757.6654501</v>
      </c>
      <c r="I101" s="342">
        <v>-8932123.1099999994</v>
      </c>
      <c r="J101" t="s">
        <v>197</v>
      </c>
      <c r="K101" t="s">
        <v>1175</v>
      </c>
      <c r="L101" t="s">
        <v>152</v>
      </c>
      <c r="M101" t="s">
        <v>151</v>
      </c>
      <c r="N101" s="2"/>
      <c r="O101" s="4"/>
    </row>
    <row r="102" spans="1:15" ht="12.75" customHeight="1" x14ac:dyDescent="0.2">
      <c r="A102" s="369">
        <v>475301</v>
      </c>
      <c r="B102" t="s">
        <v>345</v>
      </c>
      <c r="C102" s="342">
        <v>15419</v>
      </c>
      <c r="D102" s="342">
        <v>12473</v>
      </c>
      <c r="E102" s="342">
        <v>27892</v>
      </c>
      <c r="F102" s="342">
        <v>1261222666.1010799</v>
      </c>
      <c r="G102" s="342">
        <v>1153964689.11237</v>
      </c>
      <c r="H102" s="342">
        <v>2415187355.21346</v>
      </c>
      <c r="I102" s="342">
        <v>-5170840.05</v>
      </c>
      <c r="J102" t="s">
        <v>159</v>
      </c>
      <c r="K102" t="s">
        <v>1175</v>
      </c>
      <c r="L102" t="s">
        <v>152</v>
      </c>
      <c r="M102" t="s">
        <v>151</v>
      </c>
      <c r="N102" s="2"/>
      <c r="O102" s="4"/>
    </row>
    <row r="103" spans="1:15" ht="12.75" customHeight="1" x14ac:dyDescent="0.2">
      <c r="A103" s="369">
        <v>334409</v>
      </c>
      <c r="B103" t="s">
        <v>975</v>
      </c>
      <c r="C103" s="342">
        <v>11519</v>
      </c>
      <c r="D103" s="342">
        <v>16058</v>
      </c>
      <c r="E103" s="342">
        <v>27577</v>
      </c>
      <c r="F103" s="342">
        <v>1267552219.8080201</v>
      </c>
      <c r="G103" s="342">
        <v>2181471148.7221298</v>
      </c>
      <c r="H103" s="342">
        <v>3449023368.5301499</v>
      </c>
      <c r="I103" s="342">
        <v>-17782753.969999999</v>
      </c>
      <c r="J103" t="s">
        <v>245</v>
      </c>
      <c r="K103" t="s">
        <v>1176</v>
      </c>
      <c r="L103" t="s">
        <v>522</v>
      </c>
      <c r="M103" t="s">
        <v>46</v>
      </c>
      <c r="N103" s="2"/>
      <c r="O103" s="4"/>
    </row>
    <row r="104" spans="1:15" ht="12.75" customHeight="1" x14ac:dyDescent="0.2">
      <c r="A104" s="369">
        <v>492306</v>
      </c>
      <c r="B104" t="s">
        <v>354</v>
      </c>
      <c r="C104" s="342">
        <v>13244</v>
      </c>
      <c r="D104" s="342">
        <v>13564</v>
      </c>
      <c r="E104" s="342">
        <v>26808</v>
      </c>
      <c r="F104" s="342">
        <v>729910951.70968795</v>
      </c>
      <c r="G104" s="342">
        <v>840210066.42237496</v>
      </c>
      <c r="H104" s="342">
        <v>1570121018.1320601</v>
      </c>
      <c r="I104" s="342">
        <v>-3650085.06</v>
      </c>
      <c r="J104" t="s">
        <v>179</v>
      </c>
      <c r="K104" t="s">
        <v>1175</v>
      </c>
      <c r="L104" t="s">
        <v>231</v>
      </c>
      <c r="M104" t="s">
        <v>151</v>
      </c>
      <c r="N104" s="2"/>
      <c r="O104" s="4"/>
    </row>
    <row r="105" spans="1:15" ht="12.75" customHeight="1" x14ac:dyDescent="0.2">
      <c r="A105" s="369">
        <v>528133</v>
      </c>
      <c r="B105" t="s">
        <v>367</v>
      </c>
      <c r="C105" s="342">
        <v>12868</v>
      </c>
      <c r="D105" s="342">
        <v>13527</v>
      </c>
      <c r="E105" s="342">
        <v>26395</v>
      </c>
      <c r="F105" s="342">
        <v>1447873552.1452501</v>
      </c>
      <c r="G105" s="342">
        <v>1820519643.6712301</v>
      </c>
      <c r="H105" s="342">
        <v>3268393195.8164902</v>
      </c>
      <c r="I105" s="342">
        <v>-9792437.9199999999</v>
      </c>
      <c r="J105" t="s">
        <v>201</v>
      </c>
      <c r="K105" t="s">
        <v>1174</v>
      </c>
      <c r="L105" t="s">
        <v>231</v>
      </c>
      <c r="M105" t="s">
        <v>151</v>
      </c>
      <c r="N105" s="2"/>
      <c r="O105" s="4"/>
    </row>
    <row r="106" spans="1:15" ht="12.75" customHeight="1" x14ac:dyDescent="0.2">
      <c r="A106" s="369">
        <v>834788</v>
      </c>
      <c r="B106" t="s">
        <v>461</v>
      </c>
      <c r="C106" s="342">
        <v>11223</v>
      </c>
      <c r="D106" s="342">
        <v>13546</v>
      </c>
      <c r="E106" s="342">
        <v>24769</v>
      </c>
      <c r="F106" s="342">
        <v>783876740.31011903</v>
      </c>
      <c r="G106" s="342">
        <v>1214893529.3538401</v>
      </c>
      <c r="H106" s="342">
        <v>1998770269.66396</v>
      </c>
      <c r="I106" s="342">
        <v>49849866</v>
      </c>
      <c r="J106" t="s">
        <v>253</v>
      </c>
      <c r="K106" t="s">
        <v>1176</v>
      </c>
      <c r="L106" t="s">
        <v>334</v>
      </c>
      <c r="M106" t="s">
        <v>151</v>
      </c>
      <c r="N106" s="2"/>
      <c r="O106" s="4"/>
    </row>
    <row r="107" spans="1:15" ht="12.75" customHeight="1" x14ac:dyDescent="0.2">
      <c r="A107" s="369">
        <v>916189</v>
      </c>
      <c r="B107" t="s">
        <v>1171</v>
      </c>
      <c r="C107" s="342">
        <v>10775</v>
      </c>
      <c r="D107" s="342">
        <v>13311</v>
      </c>
      <c r="E107" s="342">
        <v>24086</v>
      </c>
      <c r="F107" s="342">
        <v>1387817351.14816</v>
      </c>
      <c r="G107" s="342">
        <v>2038452886.43677</v>
      </c>
      <c r="H107" s="342">
        <v>3426270237.5849299</v>
      </c>
      <c r="I107" s="342">
        <v>-20912532.82</v>
      </c>
      <c r="J107" t="s">
        <v>201</v>
      </c>
      <c r="K107" t="s">
        <v>1174</v>
      </c>
      <c r="L107" t="s">
        <v>181</v>
      </c>
      <c r="M107" t="s">
        <v>151</v>
      </c>
      <c r="N107" s="2"/>
      <c r="O107" s="4"/>
    </row>
    <row r="108" spans="1:15" ht="12.75" customHeight="1" x14ac:dyDescent="0.2">
      <c r="A108" s="369">
        <v>123679</v>
      </c>
      <c r="B108" t="s">
        <v>180</v>
      </c>
      <c r="C108" s="342">
        <v>12076</v>
      </c>
      <c r="D108" s="342">
        <v>11682</v>
      </c>
      <c r="E108" s="342">
        <v>23758</v>
      </c>
      <c r="F108" s="342">
        <v>1152847886.8318901</v>
      </c>
      <c r="G108" s="342">
        <v>1288905124.8919899</v>
      </c>
      <c r="H108" s="342">
        <v>2441753011.7238898</v>
      </c>
      <c r="I108" s="342">
        <v>-8043538.5700000003</v>
      </c>
      <c r="J108" t="s">
        <v>159</v>
      </c>
      <c r="K108" t="s">
        <v>1175</v>
      </c>
      <c r="L108" t="s">
        <v>181</v>
      </c>
      <c r="M108" t="s">
        <v>151</v>
      </c>
      <c r="N108" s="2"/>
      <c r="O108" s="4"/>
    </row>
    <row r="109" spans="1:15" ht="12.75" customHeight="1" x14ac:dyDescent="0.2">
      <c r="A109" s="369">
        <v>929224</v>
      </c>
      <c r="B109" t="s">
        <v>483</v>
      </c>
      <c r="C109" s="342">
        <v>9448</v>
      </c>
      <c r="D109" s="342">
        <v>14252</v>
      </c>
      <c r="E109" s="342">
        <v>23700</v>
      </c>
      <c r="F109" s="342">
        <v>886622389.184255</v>
      </c>
      <c r="G109" s="342">
        <v>1568755156.39381</v>
      </c>
      <c r="H109" s="342">
        <v>2455377545.5780702</v>
      </c>
      <c r="I109" s="342">
        <v>-6964759.4299999997</v>
      </c>
      <c r="J109" t="s">
        <v>197</v>
      </c>
      <c r="K109" t="s">
        <v>1175</v>
      </c>
      <c r="L109" t="s">
        <v>181</v>
      </c>
      <c r="M109" t="s">
        <v>151</v>
      </c>
      <c r="N109" s="2"/>
      <c r="O109" s="4"/>
    </row>
    <row r="110" spans="1:15" ht="12.75" customHeight="1" x14ac:dyDescent="0.2">
      <c r="A110" s="369">
        <v>203067</v>
      </c>
      <c r="B110" t="s">
        <v>228</v>
      </c>
      <c r="C110" s="342">
        <v>11682</v>
      </c>
      <c r="D110" s="342">
        <v>11785</v>
      </c>
      <c r="E110" s="342">
        <v>23467</v>
      </c>
      <c r="F110" s="342">
        <v>862274174.64342797</v>
      </c>
      <c r="G110" s="342">
        <v>1036647092.66386</v>
      </c>
      <c r="H110" s="342">
        <v>1898921267.3072901</v>
      </c>
      <c r="I110" s="342">
        <v>-4307389.41</v>
      </c>
      <c r="J110" t="s">
        <v>201</v>
      </c>
      <c r="K110" t="s">
        <v>1174</v>
      </c>
      <c r="L110" t="s">
        <v>184</v>
      </c>
      <c r="M110" t="s">
        <v>151</v>
      </c>
      <c r="N110" s="2"/>
      <c r="O110" s="4"/>
    </row>
    <row r="111" spans="1:15" ht="12.75" customHeight="1" x14ac:dyDescent="0.2">
      <c r="A111" s="369">
        <v>338590</v>
      </c>
      <c r="B111" t="s">
        <v>1079</v>
      </c>
      <c r="C111" s="342">
        <v>9219</v>
      </c>
      <c r="D111" s="342">
        <v>13954</v>
      </c>
      <c r="E111" s="342">
        <v>23173</v>
      </c>
      <c r="F111" s="342">
        <v>544695543.68187594</v>
      </c>
      <c r="G111" s="342">
        <v>1205237476.19506</v>
      </c>
      <c r="H111" s="342">
        <v>1749933019.87694</v>
      </c>
      <c r="I111" s="342">
        <v>-63166614.109999999</v>
      </c>
      <c r="J111" t="s">
        <v>160</v>
      </c>
      <c r="K111" t="s">
        <v>1177</v>
      </c>
      <c r="L111" t="s">
        <v>967</v>
      </c>
      <c r="M111" t="s">
        <v>46</v>
      </c>
      <c r="N111" s="2"/>
      <c r="O111" s="4"/>
    </row>
    <row r="112" spans="1:15" ht="12.75" customHeight="1" x14ac:dyDescent="0.2">
      <c r="A112" s="369">
        <v>545541</v>
      </c>
      <c r="B112" t="s">
        <v>372</v>
      </c>
      <c r="C112" s="342">
        <v>9827</v>
      </c>
      <c r="D112" s="342">
        <v>13056</v>
      </c>
      <c r="E112" s="342">
        <v>22883</v>
      </c>
      <c r="F112" s="342">
        <v>998433719.24805105</v>
      </c>
      <c r="G112" s="342">
        <v>1916892719.4132099</v>
      </c>
      <c r="H112" s="342">
        <v>2915326438.6612701</v>
      </c>
      <c r="I112" s="342">
        <v>-275914115.23000002</v>
      </c>
      <c r="J112" t="s">
        <v>156</v>
      </c>
      <c r="K112" t="s">
        <v>1156</v>
      </c>
      <c r="L112" t="s">
        <v>373</v>
      </c>
      <c r="M112" t="s">
        <v>151</v>
      </c>
      <c r="N112" s="2"/>
      <c r="O112" s="4"/>
    </row>
    <row r="113" spans="1:15" ht="12.75" customHeight="1" x14ac:dyDescent="0.2">
      <c r="A113" s="369">
        <v>520759</v>
      </c>
      <c r="B113" t="s">
        <v>365</v>
      </c>
      <c r="C113" s="342">
        <v>12741</v>
      </c>
      <c r="D113" s="342">
        <v>9996</v>
      </c>
      <c r="E113" s="342">
        <v>22737</v>
      </c>
      <c r="F113" s="342">
        <v>2004406237.8692901</v>
      </c>
      <c r="G113" s="342">
        <v>1860998308.1323099</v>
      </c>
      <c r="H113" s="342">
        <v>3865404546.0016098</v>
      </c>
      <c r="I113" s="342">
        <v>10541774.630000001</v>
      </c>
      <c r="J113" t="s">
        <v>159</v>
      </c>
      <c r="K113" t="s">
        <v>1175</v>
      </c>
      <c r="L113" t="s">
        <v>178</v>
      </c>
      <c r="M113" t="s">
        <v>151</v>
      </c>
      <c r="N113" s="2"/>
      <c r="O113" s="4"/>
    </row>
    <row r="114" spans="1:15" ht="12.75" customHeight="1" x14ac:dyDescent="0.2">
      <c r="A114" s="369">
        <v>191676</v>
      </c>
      <c r="B114" t="s">
        <v>148</v>
      </c>
      <c r="C114" s="342">
        <v>8062</v>
      </c>
      <c r="D114" s="342">
        <v>14573</v>
      </c>
      <c r="E114" s="342">
        <v>22635</v>
      </c>
      <c r="F114" s="342">
        <v>1009484384.19249</v>
      </c>
      <c r="G114" s="342">
        <v>2071243741.0150199</v>
      </c>
      <c r="H114" s="342">
        <v>3080728125.20751</v>
      </c>
      <c r="I114" s="342">
        <v>-40122452.82</v>
      </c>
      <c r="J114" t="s">
        <v>224</v>
      </c>
      <c r="K114" t="s">
        <v>1177</v>
      </c>
      <c r="L114" t="s">
        <v>173</v>
      </c>
      <c r="M114" t="s">
        <v>46</v>
      </c>
      <c r="N114" s="2"/>
      <c r="O114" s="4"/>
    </row>
    <row r="115" spans="1:15" ht="12.75" customHeight="1" x14ac:dyDescent="0.2">
      <c r="A115" s="369">
        <v>341362</v>
      </c>
      <c r="B115" t="s">
        <v>1189</v>
      </c>
      <c r="C115" s="342">
        <v>11108</v>
      </c>
      <c r="D115" s="342">
        <v>11252</v>
      </c>
      <c r="E115" s="342">
        <v>22360</v>
      </c>
      <c r="F115" s="342">
        <v>668400953.22774303</v>
      </c>
      <c r="G115" s="342">
        <v>847711371.65517402</v>
      </c>
      <c r="H115" s="342">
        <v>1516112324.88291</v>
      </c>
      <c r="I115" s="342">
        <v>8205370.8300000001</v>
      </c>
      <c r="J115" t="s">
        <v>159</v>
      </c>
      <c r="K115" t="s">
        <v>1175</v>
      </c>
      <c r="L115" t="s">
        <v>234</v>
      </c>
      <c r="M115" t="s">
        <v>151</v>
      </c>
      <c r="N115" s="2"/>
      <c r="O115" s="4"/>
    </row>
    <row r="116" spans="1:15" ht="12.75" customHeight="1" x14ac:dyDescent="0.2">
      <c r="A116" s="369">
        <v>350512</v>
      </c>
      <c r="B116" t="s">
        <v>509</v>
      </c>
      <c r="C116" s="342">
        <v>11839</v>
      </c>
      <c r="D116" s="342">
        <v>10233</v>
      </c>
      <c r="E116" s="342">
        <v>22072</v>
      </c>
      <c r="F116" s="342">
        <v>3802585951.1971002</v>
      </c>
      <c r="G116" s="342">
        <v>3637414527.7786999</v>
      </c>
      <c r="H116" s="342">
        <v>7440000478.9758101</v>
      </c>
      <c r="I116" s="342">
        <v>33977574.100000001</v>
      </c>
      <c r="J116" t="s">
        <v>236</v>
      </c>
      <c r="K116" t="s">
        <v>1150</v>
      </c>
      <c r="L116" t="s">
        <v>181</v>
      </c>
      <c r="M116" t="s">
        <v>151</v>
      </c>
      <c r="N116" s="2"/>
      <c r="O116" s="4"/>
    </row>
    <row r="117" spans="1:15" ht="12.75" customHeight="1" x14ac:dyDescent="0.2">
      <c r="A117" s="369">
        <v>393314</v>
      </c>
      <c r="B117" t="s">
        <v>315</v>
      </c>
      <c r="C117" s="342">
        <v>9890</v>
      </c>
      <c r="D117" s="342">
        <v>11910</v>
      </c>
      <c r="E117" s="342">
        <v>21800</v>
      </c>
      <c r="F117" s="342">
        <v>1009010112.64126</v>
      </c>
      <c r="G117" s="342">
        <v>1460813183.4193001</v>
      </c>
      <c r="H117" s="342">
        <v>2469823296.0605698</v>
      </c>
      <c r="I117" s="342">
        <v>-47108452.079999998</v>
      </c>
      <c r="J117" t="s">
        <v>201</v>
      </c>
      <c r="K117" t="s">
        <v>1174</v>
      </c>
      <c r="L117" t="s">
        <v>234</v>
      </c>
      <c r="M117" t="s">
        <v>151</v>
      </c>
      <c r="N117" s="2"/>
      <c r="O117" s="4"/>
    </row>
    <row r="118" spans="1:15" ht="12.75" customHeight="1" x14ac:dyDescent="0.2">
      <c r="A118" s="369">
        <v>861229</v>
      </c>
      <c r="B118" t="s">
        <v>471</v>
      </c>
      <c r="C118" s="342">
        <v>10729</v>
      </c>
      <c r="D118" s="342">
        <v>10943</v>
      </c>
      <c r="E118" s="342">
        <v>21672</v>
      </c>
      <c r="F118" s="342">
        <v>332332277.31715798</v>
      </c>
      <c r="G118" s="342">
        <v>445705810.41762102</v>
      </c>
      <c r="H118" s="342">
        <v>778038087.734779</v>
      </c>
      <c r="I118" s="342">
        <v>-6280739.2800000003</v>
      </c>
      <c r="J118" t="s">
        <v>169</v>
      </c>
      <c r="K118" t="s">
        <v>1175</v>
      </c>
      <c r="L118" t="s">
        <v>426</v>
      </c>
      <c r="M118" t="s">
        <v>151</v>
      </c>
      <c r="N118" s="2"/>
      <c r="O118" s="4"/>
    </row>
    <row r="119" spans="1:15" ht="12.75" customHeight="1" x14ac:dyDescent="0.2">
      <c r="A119" s="369">
        <v>144501</v>
      </c>
      <c r="B119" t="s">
        <v>536</v>
      </c>
      <c r="C119" s="342">
        <v>10029</v>
      </c>
      <c r="D119" s="342">
        <v>10955</v>
      </c>
      <c r="E119" s="342">
        <v>20984</v>
      </c>
      <c r="F119" s="342">
        <v>357381697.040039</v>
      </c>
      <c r="G119" s="342">
        <v>454657052.82015997</v>
      </c>
      <c r="H119" s="342">
        <v>812038749.86019897</v>
      </c>
      <c r="I119" s="342">
        <v>-967107.48</v>
      </c>
      <c r="J119" t="s">
        <v>192</v>
      </c>
      <c r="K119" t="s">
        <v>1156</v>
      </c>
      <c r="L119" t="s">
        <v>182</v>
      </c>
      <c r="M119" t="s">
        <v>46</v>
      </c>
      <c r="N119" s="2"/>
      <c r="O119" s="4"/>
    </row>
    <row r="120" spans="1:15" ht="12.75" customHeight="1" x14ac:dyDescent="0.2">
      <c r="A120" s="369">
        <v>152181</v>
      </c>
      <c r="B120" t="s">
        <v>1138</v>
      </c>
      <c r="C120" s="342">
        <v>7304</v>
      </c>
      <c r="D120" s="342">
        <v>13637</v>
      </c>
      <c r="E120" s="342">
        <v>20941</v>
      </c>
      <c r="F120" s="342">
        <v>953659430.43812001</v>
      </c>
      <c r="G120" s="342">
        <v>1856943435.38239</v>
      </c>
      <c r="H120" s="342">
        <v>2810602865.8205099</v>
      </c>
      <c r="I120" s="342">
        <v>-45553191.780000001</v>
      </c>
      <c r="J120" t="s">
        <v>153</v>
      </c>
      <c r="K120" t="s">
        <v>1174</v>
      </c>
      <c r="L120" t="s">
        <v>200</v>
      </c>
      <c r="M120" t="s">
        <v>151</v>
      </c>
      <c r="N120" s="2"/>
      <c r="O120" s="4"/>
    </row>
    <row r="121" spans="1:15" ht="12.75" customHeight="1" x14ac:dyDescent="0.2">
      <c r="A121" s="369">
        <v>305185</v>
      </c>
      <c r="B121" t="s">
        <v>281</v>
      </c>
      <c r="C121" s="342">
        <v>10241</v>
      </c>
      <c r="D121" s="342">
        <v>10442</v>
      </c>
      <c r="E121" s="342">
        <v>20683</v>
      </c>
      <c r="F121" s="342">
        <v>728688197.763623</v>
      </c>
      <c r="G121" s="342">
        <v>1050258979.25484</v>
      </c>
      <c r="H121" s="342">
        <v>1778947177.01846</v>
      </c>
      <c r="I121" s="342">
        <v>-6804250.7400000002</v>
      </c>
      <c r="J121" t="s">
        <v>187</v>
      </c>
      <c r="K121" t="s">
        <v>1156</v>
      </c>
      <c r="L121" t="s">
        <v>262</v>
      </c>
      <c r="M121" t="s">
        <v>151</v>
      </c>
      <c r="N121" s="2"/>
      <c r="O121" s="4"/>
    </row>
    <row r="122" spans="1:15" ht="12.75" customHeight="1" x14ac:dyDescent="0.2">
      <c r="A122" s="369">
        <v>995571</v>
      </c>
      <c r="B122" t="s">
        <v>1233</v>
      </c>
      <c r="C122" s="342">
        <v>9501</v>
      </c>
      <c r="D122" s="342">
        <v>10975</v>
      </c>
      <c r="E122" s="342">
        <v>20476</v>
      </c>
      <c r="F122" s="342">
        <v>484886862.77970201</v>
      </c>
      <c r="G122" s="342">
        <v>688298992.68850803</v>
      </c>
      <c r="H122" s="342">
        <v>1173185855.46821</v>
      </c>
      <c r="I122" s="342">
        <v>-7239987.9900000002</v>
      </c>
      <c r="J122" t="s">
        <v>169</v>
      </c>
      <c r="K122" t="s">
        <v>1175</v>
      </c>
      <c r="L122" t="s">
        <v>184</v>
      </c>
      <c r="M122" t="s">
        <v>46</v>
      </c>
      <c r="N122" s="2"/>
      <c r="O122" s="4"/>
    </row>
    <row r="123" spans="1:15" ht="12.75" customHeight="1" x14ac:dyDescent="0.2">
      <c r="A123" s="369">
        <v>176503</v>
      </c>
      <c r="B123" t="s">
        <v>1211</v>
      </c>
      <c r="C123" s="342">
        <v>8600</v>
      </c>
      <c r="D123" s="342">
        <v>11783</v>
      </c>
      <c r="E123" s="342">
        <v>20383</v>
      </c>
      <c r="F123" s="342">
        <v>324955434.32081503</v>
      </c>
      <c r="G123" s="342">
        <v>533228364.89064503</v>
      </c>
      <c r="H123" s="342">
        <v>858183799.21146095</v>
      </c>
      <c r="I123" s="342">
        <v>-5854314.7699999996</v>
      </c>
      <c r="J123" t="s">
        <v>206</v>
      </c>
      <c r="K123" t="s">
        <v>1176</v>
      </c>
      <c r="L123" t="s">
        <v>191</v>
      </c>
      <c r="M123" t="s">
        <v>151</v>
      </c>
      <c r="N123" s="2"/>
      <c r="O123" s="4"/>
    </row>
    <row r="124" spans="1:15" ht="12.75" customHeight="1" x14ac:dyDescent="0.2">
      <c r="A124" s="369">
        <v>422709</v>
      </c>
      <c r="B124" t="s">
        <v>329</v>
      </c>
      <c r="C124" s="342">
        <v>9748</v>
      </c>
      <c r="D124" s="342">
        <v>10456</v>
      </c>
      <c r="E124" s="342">
        <v>20204</v>
      </c>
      <c r="F124" s="342">
        <v>1750548817.2334399</v>
      </c>
      <c r="G124" s="342">
        <v>2249168132.2550702</v>
      </c>
      <c r="H124" s="342">
        <v>3999716949.4885201</v>
      </c>
      <c r="I124" s="342">
        <v>-73646051.609999999</v>
      </c>
      <c r="J124" t="s">
        <v>159</v>
      </c>
      <c r="K124" t="s">
        <v>1175</v>
      </c>
      <c r="L124" t="s">
        <v>312</v>
      </c>
      <c r="M124" t="s">
        <v>46</v>
      </c>
      <c r="N124" s="2"/>
      <c r="O124" s="4"/>
    </row>
    <row r="125" spans="1:15" ht="12.75" customHeight="1" x14ac:dyDescent="0.2">
      <c r="A125" s="369">
        <v>563965</v>
      </c>
      <c r="B125" t="s">
        <v>381</v>
      </c>
      <c r="C125" s="342">
        <v>9968</v>
      </c>
      <c r="D125" s="342">
        <v>9628</v>
      </c>
      <c r="E125" s="342">
        <v>19596</v>
      </c>
      <c r="F125" s="342">
        <v>755417685.23518205</v>
      </c>
      <c r="G125" s="342">
        <v>843200586.38620996</v>
      </c>
      <c r="H125" s="342">
        <v>1598618271.6213901</v>
      </c>
      <c r="I125" s="342">
        <v>-6058173.3799999999</v>
      </c>
      <c r="J125" t="s">
        <v>159</v>
      </c>
      <c r="K125" t="s">
        <v>1175</v>
      </c>
      <c r="L125" t="s">
        <v>231</v>
      </c>
      <c r="M125" t="s">
        <v>151</v>
      </c>
      <c r="N125" s="2"/>
      <c r="O125" s="4"/>
    </row>
    <row r="126" spans="1:15" ht="12.75" customHeight="1" x14ac:dyDescent="0.2">
      <c r="A126" s="369">
        <v>908277</v>
      </c>
      <c r="B126" t="s">
        <v>479</v>
      </c>
      <c r="C126" s="342">
        <v>8819</v>
      </c>
      <c r="D126" s="342">
        <v>10059</v>
      </c>
      <c r="E126" s="342">
        <v>18878</v>
      </c>
      <c r="F126" s="342">
        <v>1026429631.2365</v>
      </c>
      <c r="G126" s="342">
        <v>1386431444.84969</v>
      </c>
      <c r="H126" s="342">
        <v>2412861076.0861902</v>
      </c>
      <c r="I126" s="342">
        <v>-12173645.24</v>
      </c>
      <c r="J126" t="s">
        <v>159</v>
      </c>
      <c r="K126" t="s">
        <v>1175</v>
      </c>
      <c r="L126" t="s">
        <v>262</v>
      </c>
      <c r="M126" t="s">
        <v>151</v>
      </c>
      <c r="N126" s="2"/>
      <c r="O126" s="4"/>
    </row>
    <row r="127" spans="1:15" ht="12.75" customHeight="1" x14ac:dyDescent="0.2">
      <c r="A127" s="369">
        <v>968420</v>
      </c>
      <c r="B127" t="s">
        <v>518</v>
      </c>
      <c r="C127" s="342">
        <v>8901</v>
      </c>
      <c r="D127" s="342">
        <v>9791</v>
      </c>
      <c r="E127" s="342">
        <v>18692</v>
      </c>
      <c r="F127" s="342">
        <v>897800865.80614805</v>
      </c>
      <c r="G127" s="342">
        <v>1182827068.1998999</v>
      </c>
      <c r="H127" s="342">
        <v>2080627934.0060401</v>
      </c>
      <c r="I127" s="342">
        <v>35390076.32</v>
      </c>
      <c r="J127" t="s">
        <v>259</v>
      </c>
      <c r="K127" t="s">
        <v>1177</v>
      </c>
      <c r="L127" t="s">
        <v>167</v>
      </c>
      <c r="M127" t="s">
        <v>151</v>
      </c>
      <c r="N127" s="2"/>
      <c r="O127" s="4"/>
    </row>
    <row r="128" spans="1:15" ht="12.75" customHeight="1" x14ac:dyDescent="0.2">
      <c r="A128" s="369">
        <v>959502</v>
      </c>
      <c r="B128" t="s">
        <v>546</v>
      </c>
      <c r="C128" s="342">
        <v>7364</v>
      </c>
      <c r="D128" s="342">
        <v>10871</v>
      </c>
      <c r="E128" s="342">
        <v>18235</v>
      </c>
      <c r="F128" s="342">
        <v>1763691465.8025</v>
      </c>
      <c r="G128" s="342">
        <v>3116972742.29246</v>
      </c>
      <c r="H128" s="342">
        <v>4880664208.0949602</v>
      </c>
      <c r="I128" s="342">
        <v>-30097911.73</v>
      </c>
      <c r="J128" t="s">
        <v>172</v>
      </c>
      <c r="K128" t="s">
        <v>1153</v>
      </c>
      <c r="L128" t="s">
        <v>270</v>
      </c>
      <c r="M128" t="s">
        <v>151</v>
      </c>
      <c r="N128" s="2"/>
      <c r="O128" s="4"/>
    </row>
    <row r="129" spans="1:15" ht="12.75" customHeight="1" x14ac:dyDescent="0.2">
      <c r="A129" s="369">
        <v>3</v>
      </c>
      <c r="B129" t="s">
        <v>1154</v>
      </c>
      <c r="C129" s="342">
        <v>8666</v>
      </c>
      <c r="D129" s="342">
        <v>9378</v>
      </c>
      <c r="E129" s="342">
        <v>18044</v>
      </c>
      <c r="F129" s="342">
        <v>2092051582.08496</v>
      </c>
      <c r="G129" s="342">
        <v>2508498434.2877202</v>
      </c>
      <c r="H129" s="342">
        <v>4600550016.3726797</v>
      </c>
      <c r="I129" s="342"/>
      <c r="J129" t="s">
        <v>1149</v>
      </c>
      <c r="K129" t="s">
        <v>1153</v>
      </c>
      <c r="L129" t="s">
        <v>373</v>
      </c>
      <c r="M129" t="s">
        <v>151</v>
      </c>
      <c r="N129" s="2"/>
      <c r="O129" s="4"/>
    </row>
    <row r="130" spans="1:15" ht="12.75" customHeight="1" x14ac:dyDescent="0.2">
      <c r="A130" s="369">
        <v>972497</v>
      </c>
      <c r="B130" t="s">
        <v>493</v>
      </c>
      <c r="C130" s="342">
        <v>7462</v>
      </c>
      <c r="D130" s="342">
        <v>10200</v>
      </c>
      <c r="E130" s="342">
        <v>17662</v>
      </c>
      <c r="F130" s="342">
        <v>744613356.19139397</v>
      </c>
      <c r="G130" s="342">
        <v>1352609037.82446</v>
      </c>
      <c r="H130" s="342">
        <v>2097222394.0158501</v>
      </c>
      <c r="I130" s="342">
        <v>-11916982.439999999</v>
      </c>
      <c r="J130" t="s">
        <v>187</v>
      </c>
      <c r="K130" t="s">
        <v>1156</v>
      </c>
      <c r="L130" t="s">
        <v>200</v>
      </c>
      <c r="M130" t="s">
        <v>151</v>
      </c>
      <c r="N130" s="3"/>
      <c r="O130" s="4"/>
    </row>
    <row r="131" spans="1:15" ht="12.75" customHeight="1" x14ac:dyDescent="0.2">
      <c r="A131" s="369">
        <v>904904</v>
      </c>
      <c r="B131" t="s">
        <v>478</v>
      </c>
      <c r="C131" s="342">
        <v>8698</v>
      </c>
      <c r="D131" s="342">
        <v>8807</v>
      </c>
      <c r="E131" s="342">
        <v>17505</v>
      </c>
      <c r="F131" s="342">
        <v>788729624.28625405</v>
      </c>
      <c r="G131" s="342">
        <v>909720116.07878494</v>
      </c>
      <c r="H131" s="342">
        <v>1698449740.3650301</v>
      </c>
      <c r="I131" s="342">
        <v>-5434608.1299999999</v>
      </c>
      <c r="J131" t="s">
        <v>201</v>
      </c>
      <c r="K131" t="s">
        <v>1174</v>
      </c>
      <c r="L131" t="s">
        <v>155</v>
      </c>
      <c r="M131" t="s">
        <v>151</v>
      </c>
      <c r="N131" s="2"/>
      <c r="O131" s="4"/>
    </row>
    <row r="132" spans="1:15" ht="12.75" customHeight="1" x14ac:dyDescent="0.2">
      <c r="A132" s="369">
        <v>450981</v>
      </c>
      <c r="B132" t="s">
        <v>340</v>
      </c>
      <c r="C132" s="342">
        <v>7598</v>
      </c>
      <c r="D132" s="342">
        <v>9740</v>
      </c>
      <c r="E132" s="342">
        <v>17338</v>
      </c>
      <c r="F132" s="342">
        <v>1161251462.9144499</v>
      </c>
      <c r="G132" s="342">
        <v>1767174868.26262</v>
      </c>
      <c r="H132" s="342">
        <v>2928426331.1770701</v>
      </c>
      <c r="I132" s="342">
        <v>-89190817.579999998</v>
      </c>
      <c r="J132" t="s">
        <v>201</v>
      </c>
      <c r="K132" t="s">
        <v>1174</v>
      </c>
      <c r="L132" t="s">
        <v>297</v>
      </c>
      <c r="M132" t="s">
        <v>46</v>
      </c>
      <c r="N132" s="2"/>
      <c r="O132" s="4"/>
    </row>
    <row r="133" spans="1:15" ht="12.75" customHeight="1" x14ac:dyDescent="0.2">
      <c r="A133" s="369">
        <v>521104</v>
      </c>
      <c r="B133" t="s">
        <v>540</v>
      </c>
      <c r="C133" s="342">
        <v>7530</v>
      </c>
      <c r="D133" s="342">
        <v>9721</v>
      </c>
      <c r="E133" s="342">
        <v>17251</v>
      </c>
      <c r="F133" s="342">
        <v>475340235.49371201</v>
      </c>
      <c r="G133" s="342">
        <v>733495174.04070604</v>
      </c>
      <c r="H133" s="342">
        <v>1208835409.53441</v>
      </c>
      <c r="I133" s="342">
        <v>1019817.67</v>
      </c>
      <c r="J133" t="s">
        <v>190</v>
      </c>
      <c r="K133" t="s">
        <v>1175</v>
      </c>
      <c r="L133" t="s">
        <v>182</v>
      </c>
      <c r="M133" t="s">
        <v>46</v>
      </c>
      <c r="N133" s="3"/>
      <c r="O133" s="4"/>
    </row>
    <row r="134" spans="1:15" ht="12.75" customHeight="1" x14ac:dyDescent="0.2">
      <c r="A134" s="369">
        <v>243022</v>
      </c>
      <c r="B134" t="s">
        <v>504</v>
      </c>
      <c r="C134" s="342">
        <v>8705</v>
      </c>
      <c r="D134" s="342">
        <v>8450</v>
      </c>
      <c r="E134" s="342">
        <v>17155</v>
      </c>
      <c r="F134" s="342">
        <v>1470955149.4977801</v>
      </c>
      <c r="G134" s="342">
        <v>1613507238.3329699</v>
      </c>
      <c r="H134" s="342">
        <v>3084462387.83076</v>
      </c>
      <c r="I134" s="342">
        <v>16926361</v>
      </c>
      <c r="J134" t="s">
        <v>236</v>
      </c>
      <c r="K134" t="s">
        <v>1150</v>
      </c>
      <c r="L134" t="s">
        <v>181</v>
      </c>
      <c r="M134" t="s">
        <v>151</v>
      </c>
      <c r="N134" s="2"/>
      <c r="O134" s="4"/>
    </row>
    <row r="135" spans="1:15" ht="12.75" customHeight="1" x14ac:dyDescent="0.2">
      <c r="A135" s="369">
        <v>4</v>
      </c>
      <c r="B135" t="s">
        <v>1155</v>
      </c>
      <c r="C135" s="342">
        <v>6234</v>
      </c>
      <c r="D135" s="342">
        <v>10799</v>
      </c>
      <c r="E135" s="342">
        <v>17033</v>
      </c>
      <c r="F135" s="342">
        <v>1792719380.72679</v>
      </c>
      <c r="G135" s="342">
        <v>3376721652.6541901</v>
      </c>
      <c r="H135" s="342">
        <v>5169441033.3809795</v>
      </c>
      <c r="I135" s="342"/>
      <c r="J135" t="s">
        <v>1149</v>
      </c>
      <c r="K135" t="s">
        <v>1153</v>
      </c>
      <c r="L135" t="s">
        <v>373</v>
      </c>
      <c r="M135" t="s">
        <v>151</v>
      </c>
      <c r="N135" s="2"/>
      <c r="O135" s="4"/>
    </row>
    <row r="136" spans="1:15" ht="12.75" customHeight="1" x14ac:dyDescent="0.2">
      <c r="A136" s="369">
        <v>743112</v>
      </c>
      <c r="B136" t="s">
        <v>438</v>
      </c>
      <c r="C136" s="342">
        <v>8656</v>
      </c>
      <c r="D136" s="342">
        <v>7735</v>
      </c>
      <c r="E136" s="342">
        <v>16391</v>
      </c>
      <c r="F136" s="342">
        <v>1639826973.2769001</v>
      </c>
      <c r="G136" s="342">
        <v>1731132840.3559101</v>
      </c>
      <c r="H136" s="342">
        <v>3370959813.6328201</v>
      </c>
      <c r="I136" s="342">
        <v>-8430733.8300000001</v>
      </c>
      <c r="J136" t="s">
        <v>208</v>
      </c>
      <c r="K136" t="s">
        <v>1150</v>
      </c>
      <c r="L136" t="s">
        <v>231</v>
      </c>
      <c r="M136" t="s">
        <v>151</v>
      </c>
      <c r="N136" s="2"/>
      <c r="O136" s="4"/>
    </row>
    <row r="137" spans="1:15" ht="12.75" customHeight="1" x14ac:dyDescent="0.2">
      <c r="A137" s="369">
        <v>840090</v>
      </c>
      <c r="B137" t="s">
        <v>1229</v>
      </c>
      <c r="C137" s="342">
        <v>9557</v>
      </c>
      <c r="D137" s="342">
        <v>6621</v>
      </c>
      <c r="E137" s="342">
        <v>16178</v>
      </c>
      <c r="F137" s="342">
        <v>977231696.02554703</v>
      </c>
      <c r="G137" s="342">
        <v>763870752.16144395</v>
      </c>
      <c r="H137" s="342">
        <v>1741102448.18699</v>
      </c>
      <c r="I137" s="342">
        <v>-4907554.3899999997</v>
      </c>
      <c r="J137" t="s">
        <v>166</v>
      </c>
      <c r="K137" t="s">
        <v>1156</v>
      </c>
      <c r="L137" t="s">
        <v>184</v>
      </c>
      <c r="M137" t="s">
        <v>46</v>
      </c>
      <c r="N137" s="2"/>
      <c r="O137" s="4"/>
    </row>
    <row r="138" spans="1:15" ht="12.75" customHeight="1" x14ac:dyDescent="0.2">
      <c r="A138" s="369">
        <v>750075</v>
      </c>
      <c r="B138" t="s">
        <v>441</v>
      </c>
      <c r="C138" s="342">
        <v>5914</v>
      </c>
      <c r="D138" s="342">
        <v>10131</v>
      </c>
      <c r="E138" s="342">
        <v>16045</v>
      </c>
      <c r="F138" s="342">
        <v>248003992.075432</v>
      </c>
      <c r="G138" s="342">
        <v>502990245.17150599</v>
      </c>
      <c r="H138" s="342">
        <v>750994237.24693799</v>
      </c>
      <c r="I138" s="342">
        <v>3181201.06</v>
      </c>
      <c r="J138" t="s">
        <v>169</v>
      </c>
      <c r="K138" t="s">
        <v>1175</v>
      </c>
      <c r="L138" t="s">
        <v>181</v>
      </c>
      <c r="M138" t="s">
        <v>151</v>
      </c>
      <c r="N138" s="2"/>
      <c r="O138" s="4"/>
    </row>
    <row r="139" spans="1:15" ht="12.75" customHeight="1" x14ac:dyDescent="0.2">
      <c r="A139" s="369">
        <v>610410</v>
      </c>
      <c r="B139" t="s">
        <v>395</v>
      </c>
      <c r="C139" s="342">
        <v>7585</v>
      </c>
      <c r="D139" s="342">
        <v>8437</v>
      </c>
      <c r="E139" s="342">
        <v>16022</v>
      </c>
      <c r="F139" s="342">
        <v>702238411.04866397</v>
      </c>
      <c r="G139" s="342">
        <v>924313110.48163199</v>
      </c>
      <c r="H139" s="342">
        <v>1626551521.5302899</v>
      </c>
      <c r="I139" s="342">
        <v>-17740909.800000001</v>
      </c>
      <c r="J139" t="s">
        <v>201</v>
      </c>
      <c r="K139" t="s">
        <v>1174</v>
      </c>
      <c r="L139" t="s">
        <v>240</v>
      </c>
      <c r="M139" t="s">
        <v>46</v>
      </c>
      <c r="N139" s="2"/>
      <c r="O139" s="4"/>
    </row>
    <row r="140" spans="1:15" ht="12.75" customHeight="1" x14ac:dyDescent="0.2">
      <c r="A140" s="369">
        <v>751495</v>
      </c>
      <c r="B140" t="s">
        <v>442</v>
      </c>
      <c r="C140" s="342">
        <v>7329</v>
      </c>
      <c r="D140" s="342">
        <v>8376</v>
      </c>
      <c r="E140" s="342">
        <v>15705</v>
      </c>
      <c r="F140" s="342">
        <v>1041604560.37429</v>
      </c>
      <c r="G140" s="342">
        <v>1385303200.4210401</v>
      </c>
      <c r="H140" s="342">
        <v>2426907760.79533</v>
      </c>
      <c r="I140" s="342">
        <v>2191719.0299999998</v>
      </c>
      <c r="J140" t="s">
        <v>190</v>
      </c>
      <c r="K140" t="s">
        <v>1175</v>
      </c>
      <c r="L140" t="s">
        <v>181</v>
      </c>
      <c r="M140" t="s">
        <v>151</v>
      </c>
      <c r="N140" s="2"/>
      <c r="O140" s="4"/>
    </row>
    <row r="141" spans="1:15" ht="12.75" customHeight="1" x14ac:dyDescent="0.2">
      <c r="A141" s="369">
        <v>707281</v>
      </c>
      <c r="B141" t="s">
        <v>427</v>
      </c>
      <c r="C141" s="342">
        <v>8429</v>
      </c>
      <c r="D141" s="342">
        <v>7256</v>
      </c>
      <c r="E141" s="342">
        <v>15685</v>
      </c>
      <c r="F141" s="342">
        <v>1654519619.6745999</v>
      </c>
      <c r="G141" s="342">
        <v>1742494317.4277201</v>
      </c>
      <c r="H141" s="342">
        <v>3397013937.1023202</v>
      </c>
      <c r="I141" s="342">
        <v>-3072435.11</v>
      </c>
      <c r="J141" t="s">
        <v>208</v>
      </c>
      <c r="K141" t="s">
        <v>1150</v>
      </c>
      <c r="L141" t="s">
        <v>231</v>
      </c>
      <c r="M141" t="s">
        <v>151</v>
      </c>
      <c r="N141" s="2"/>
      <c r="O141" s="4"/>
    </row>
    <row r="142" spans="1:15" ht="12.75" customHeight="1" x14ac:dyDescent="0.2">
      <c r="A142" s="369">
        <v>220244</v>
      </c>
      <c r="B142" t="s">
        <v>237</v>
      </c>
      <c r="C142" s="342">
        <v>7535</v>
      </c>
      <c r="D142" s="342">
        <v>7778</v>
      </c>
      <c r="E142" s="342">
        <v>15313</v>
      </c>
      <c r="F142" s="342">
        <v>783375815.51487398</v>
      </c>
      <c r="G142" s="342">
        <v>945325917.06097305</v>
      </c>
      <c r="H142" s="342">
        <v>1728701732.57584</v>
      </c>
      <c r="I142" s="342">
        <v>-4692209.7</v>
      </c>
      <c r="J142" t="s">
        <v>201</v>
      </c>
      <c r="K142" t="s">
        <v>1174</v>
      </c>
      <c r="L142" t="s">
        <v>165</v>
      </c>
      <c r="M142" t="s">
        <v>151</v>
      </c>
      <c r="N142" s="2"/>
      <c r="O142" s="4"/>
    </row>
    <row r="143" spans="1:15" ht="12.75" customHeight="1" x14ac:dyDescent="0.2">
      <c r="A143" s="369">
        <v>407775</v>
      </c>
      <c r="B143" t="s">
        <v>1147</v>
      </c>
      <c r="C143" s="342">
        <v>8048</v>
      </c>
      <c r="D143" s="342">
        <v>7246</v>
      </c>
      <c r="E143" s="342">
        <v>15294</v>
      </c>
      <c r="F143" s="342">
        <v>452537074.03613198</v>
      </c>
      <c r="G143" s="342">
        <v>514088412.17205501</v>
      </c>
      <c r="H143" s="342">
        <v>966625486.20818698</v>
      </c>
      <c r="I143" s="342">
        <v>-2138680.48</v>
      </c>
      <c r="J143" t="s">
        <v>197</v>
      </c>
      <c r="K143" t="s">
        <v>1175</v>
      </c>
      <c r="L143" t="s">
        <v>225</v>
      </c>
      <c r="M143" t="s">
        <v>46</v>
      </c>
      <c r="N143" s="2"/>
      <c r="O143" s="4"/>
    </row>
    <row r="144" spans="1:15" ht="12.75" customHeight="1" x14ac:dyDescent="0.2">
      <c r="A144" s="369">
        <v>233585</v>
      </c>
      <c r="B144" t="s">
        <v>537</v>
      </c>
      <c r="C144" s="342">
        <v>5156</v>
      </c>
      <c r="D144" s="342">
        <v>9630</v>
      </c>
      <c r="E144" s="342">
        <v>14786</v>
      </c>
      <c r="F144" s="342">
        <v>526241743.12941599</v>
      </c>
      <c r="G144" s="342">
        <v>1143629884.1269901</v>
      </c>
      <c r="H144" s="342">
        <v>1669871627.2564001</v>
      </c>
      <c r="I144" s="342">
        <v>-42617143.969999999</v>
      </c>
      <c r="J144" t="s">
        <v>245</v>
      </c>
      <c r="K144" t="s">
        <v>1176</v>
      </c>
      <c r="L144" t="s">
        <v>244</v>
      </c>
      <c r="M144" t="s">
        <v>46</v>
      </c>
      <c r="N144" s="20"/>
      <c r="O144" s="4"/>
    </row>
    <row r="145" spans="1:15" ht="12.75" customHeight="1" x14ac:dyDescent="0.2">
      <c r="A145" s="369">
        <v>778944</v>
      </c>
      <c r="B145" t="s">
        <v>447</v>
      </c>
      <c r="C145" s="342">
        <v>7505</v>
      </c>
      <c r="D145" s="342">
        <v>7271</v>
      </c>
      <c r="E145" s="342">
        <v>14776</v>
      </c>
      <c r="F145" s="342">
        <v>1163841533.4862101</v>
      </c>
      <c r="G145" s="342">
        <v>1339259848.00384</v>
      </c>
      <c r="H145" s="342">
        <v>2503101381.4900599</v>
      </c>
      <c r="I145" s="342">
        <v>-12799288.43</v>
      </c>
      <c r="J145" t="s">
        <v>208</v>
      </c>
      <c r="K145" t="s">
        <v>1150</v>
      </c>
      <c r="L145" t="s">
        <v>231</v>
      </c>
      <c r="M145" t="s">
        <v>151</v>
      </c>
      <c r="N145" s="2"/>
      <c r="O145" s="4"/>
    </row>
    <row r="146" spans="1:15" ht="12.75" customHeight="1" x14ac:dyDescent="0.2">
      <c r="A146" s="369">
        <v>982116</v>
      </c>
      <c r="B146" t="s">
        <v>497</v>
      </c>
      <c r="C146" s="342">
        <v>7606</v>
      </c>
      <c r="D146" s="342">
        <v>7109</v>
      </c>
      <c r="E146" s="342">
        <v>14715</v>
      </c>
      <c r="F146" s="342">
        <v>1871031108.19697</v>
      </c>
      <c r="G146" s="342">
        <v>2075702574.8262601</v>
      </c>
      <c r="H146" s="342">
        <v>3946733683.0232401</v>
      </c>
      <c r="I146" s="342">
        <v>-19676198.039999999</v>
      </c>
      <c r="J146" t="s">
        <v>172</v>
      </c>
      <c r="K146" t="s">
        <v>1153</v>
      </c>
      <c r="L146" t="s">
        <v>488</v>
      </c>
      <c r="M146" t="s">
        <v>46</v>
      </c>
      <c r="N146" s="2"/>
      <c r="O146" s="4"/>
    </row>
    <row r="147" spans="1:15" ht="12.75" customHeight="1" x14ac:dyDescent="0.2">
      <c r="A147" s="369">
        <v>465147</v>
      </c>
      <c r="B147" t="s">
        <v>1011</v>
      </c>
      <c r="C147" s="342">
        <v>4724</v>
      </c>
      <c r="D147" s="342">
        <v>9849</v>
      </c>
      <c r="E147" s="342">
        <v>14573</v>
      </c>
      <c r="F147" s="342">
        <v>397352125.97529697</v>
      </c>
      <c r="G147" s="342">
        <v>886766890.12290204</v>
      </c>
      <c r="H147" s="342">
        <v>1284119016.0982001</v>
      </c>
      <c r="I147" s="342">
        <v>-18603012.190000001</v>
      </c>
      <c r="J147" t="s">
        <v>159</v>
      </c>
      <c r="K147" t="s">
        <v>1175</v>
      </c>
      <c r="L147" t="s">
        <v>200</v>
      </c>
      <c r="M147" t="s">
        <v>151</v>
      </c>
      <c r="N147" s="2"/>
      <c r="O147" s="4"/>
    </row>
    <row r="148" spans="1:15" ht="12.75" customHeight="1" x14ac:dyDescent="0.2">
      <c r="A148" s="369">
        <v>305243</v>
      </c>
      <c r="B148" t="s">
        <v>538</v>
      </c>
      <c r="C148" s="342">
        <v>6506</v>
      </c>
      <c r="D148" s="342">
        <v>7786</v>
      </c>
      <c r="E148" s="342">
        <v>14292</v>
      </c>
      <c r="F148" s="342">
        <v>443097686.70135897</v>
      </c>
      <c r="G148" s="342">
        <v>670394791.91421402</v>
      </c>
      <c r="H148" s="342">
        <v>1113492478.6155701</v>
      </c>
      <c r="I148" s="342">
        <v>1135136.03</v>
      </c>
      <c r="J148" t="s">
        <v>169</v>
      </c>
      <c r="K148" t="s">
        <v>1175</v>
      </c>
      <c r="L148" t="s">
        <v>244</v>
      </c>
      <c r="M148" t="s">
        <v>46</v>
      </c>
      <c r="N148" s="2"/>
      <c r="O148" s="4"/>
    </row>
    <row r="149" spans="1:15" ht="12.75" customHeight="1" x14ac:dyDescent="0.2">
      <c r="A149" s="369">
        <v>887497</v>
      </c>
      <c r="B149" t="s">
        <v>475</v>
      </c>
      <c r="C149" s="342">
        <v>5664</v>
      </c>
      <c r="D149" s="342">
        <v>8619</v>
      </c>
      <c r="E149" s="342">
        <v>14283</v>
      </c>
      <c r="F149" s="342">
        <v>620058443.77822697</v>
      </c>
      <c r="G149" s="342">
        <v>1121089373.64468</v>
      </c>
      <c r="H149" s="342">
        <v>1741147817.4229</v>
      </c>
      <c r="I149" s="342">
        <v>-2163794484.7600002</v>
      </c>
      <c r="J149" t="s">
        <v>243</v>
      </c>
      <c r="K149" t="s">
        <v>1177</v>
      </c>
      <c r="L149" t="s">
        <v>215</v>
      </c>
      <c r="M149" t="s">
        <v>46</v>
      </c>
      <c r="N149" s="2"/>
      <c r="O149" s="4"/>
    </row>
    <row r="150" spans="1:15" ht="12.75" customHeight="1" x14ac:dyDescent="0.2">
      <c r="A150" s="369">
        <v>596429</v>
      </c>
      <c r="B150" t="s">
        <v>391</v>
      </c>
      <c r="C150" s="342">
        <v>7761</v>
      </c>
      <c r="D150" s="342">
        <v>6520</v>
      </c>
      <c r="E150" s="342">
        <v>14281</v>
      </c>
      <c r="F150" s="342">
        <v>541795997.83148396</v>
      </c>
      <c r="G150" s="342">
        <v>580925166.303635</v>
      </c>
      <c r="H150" s="342">
        <v>1122721164.1351099</v>
      </c>
      <c r="I150" s="342">
        <v>15714865</v>
      </c>
      <c r="J150" t="s">
        <v>236</v>
      </c>
      <c r="K150" t="s">
        <v>1150</v>
      </c>
      <c r="L150" t="s">
        <v>184</v>
      </c>
      <c r="M150" t="s">
        <v>151</v>
      </c>
      <c r="N150" s="2"/>
      <c r="O150" s="4"/>
    </row>
    <row r="151" spans="1:15" ht="12.75" customHeight="1" x14ac:dyDescent="0.2">
      <c r="A151" s="369">
        <v>505586</v>
      </c>
      <c r="B151" t="s">
        <v>360</v>
      </c>
      <c r="C151" s="342">
        <v>5379</v>
      </c>
      <c r="D151" s="342">
        <v>8603</v>
      </c>
      <c r="E151" s="342">
        <v>13982</v>
      </c>
      <c r="F151" s="342">
        <v>424872777.86252999</v>
      </c>
      <c r="G151" s="342">
        <v>835220410.41797602</v>
      </c>
      <c r="H151" s="342">
        <v>1260093188.2804999</v>
      </c>
      <c r="I151" s="342">
        <v>-3116852.17</v>
      </c>
      <c r="J151" t="s">
        <v>213</v>
      </c>
      <c r="K151" t="s">
        <v>1176</v>
      </c>
      <c r="L151" t="s">
        <v>234</v>
      </c>
      <c r="M151" t="s">
        <v>151</v>
      </c>
      <c r="N151" s="2"/>
      <c r="O151" s="4"/>
    </row>
    <row r="152" spans="1:15" ht="12.75" customHeight="1" x14ac:dyDescent="0.2">
      <c r="A152" s="369">
        <v>314682</v>
      </c>
      <c r="B152" t="s">
        <v>507</v>
      </c>
      <c r="C152" s="342">
        <v>7600</v>
      </c>
      <c r="D152" s="342">
        <v>6316</v>
      </c>
      <c r="E152" s="342">
        <v>13916</v>
      </c>
      <c r="F152" s="342">
        <v>1815065125.80931</v>
      </c>
      <c r="G152" s="342">
        <v>1672104590.87344</v>
      </c>
      <c r="H152" s="342">
        <v>3487169716.6827598</v>
      </c>
      <c r="I152" s="342">
        <v>3119135.38</v>
      </c>
      <c r="J152" t="s">
        <v>208</v>
      </c>
      <c r="K152" t="s">
        <v>1150</v>
      </c>
      <c r="L152" t="s">
        <v>181</v>
      </c>
      <c r="M152" t="s">
        <v>151</v>
      </c>
      <c r="N152" s="2"/>
      <c r="O152" s="4"/>
    </row>
    <row r="153" spans="1:15" ht="12.75" customHeight="1" x14ac:dyDescent="0.2">
      <c r="A153" s="369">
        <v>599795</v>
      </c>
      <c r="B153" t="s">
        <v>513</v>
      </c>
      <c r="C153" s="342">
        <v>7621</v>
      </c>
      <c r="D153" s="342">
        <v>6027</v>
      </c>
      <c r="E153" s="342">
        <v>13648</v>
      </c>
      <c r="F153" s="342">
        <v>403639579.87399799</v>
      </c>
      <c r="G153" s="342">
        <v>377115767.41645199</v>
      </c>
      <c r="H153" s="342">
        <v>780755347.29045105</v>
      </c>
      <c r="I153" s="342">
        <v>-3675345.3</v>
      </c>
      <c r="J153" t="s">
        <v>183</v>
      </c>
      <c r="K153" t="s">
        <v>1153</v>
      </c>
      <c r="L153" t="s">
        <v>231</v>
      </c>
      <c r="M153" t="s">
        <v>151</v>
      </c>
      <c r="N153" s="2"/>
      <c r="O153" s="4"/>
    </row>
    <row r="154" spans="1:15" ht="12.75" customHeight="1" x14ac:dyDescent="0.2">
      <c r="A154" s="369">
        <v>644005</v>
      </c>
      <c r="B154" t="s">
        <v>405</v>
      </c>
      <c r="C154" s="342">
        <v>5344</v>
      </c>
      <c r="D154" s="342">
        <v>8271</v>
      </c>
      <c r="E154" s="342">
        <v>13615</v>
      </c>
      <c r="F154" s="342">
        <v>492271040.34721297</v>
      </c>
      <c r="G154" s="342">
        <v>908124952.24162698</v>
      </c>
      <c r="H154" s="342">
        <v>1400395992.58884</v>
      </c>
      <c r="I154" s="342">
        <v>8082875.6100000003</v>
      </c>
      <c r="J154" t="s">
        <v>242</v>
      </c>
      <c r="K154" t="s">
        <v>1177</v>
      </c>
      <c r="L154" t="s">
        <v>181</v>
      </c>
      <c r="M154" t="s">
        <v>151</v>
      </c>
      <c r="N154" s="2"/>
      <c r="O154" s="4"/>
    </row>
    <row r="155" spans="1:15" ht="12.75" customHeight="1" x14ac:dyDescent="0.2">
      <c r="A155" s="369">
        <v>339184</v>
      </c>
      <c r="B155" t="s">
        <v>508</v>
      </c>
      <c r="C155" s="342">
        <v>5158</v>
      </c>
      <c r="D155" s="342">
        <v>8386</v>
      </c>
      <c r="E155" s="342">
        <v>13544</v>
      </c>
      <c r="F155" s="342">
        <v>604559064.56502998</v>
      </c>
      <c r="G155" s="342">
        <v>1086260116.9196301</v>
      </c>
      <c r="H155" s="342">
        <v>1690819181.4846599</v>
      </c>
      <c r="I155" s="342">
        <v>39219896.060000002</v>
      </c>
      <c r="J155" t="s">
        <v>201</v>
      </c>
      <c r="K155" t="s">
        <v>1174</v>
      </c>
      <c r="L155" t="s">
        <v>200</v>
      </c>
      <c r="M155" t="s">
        <v>151</v>
      </c>
      <c r="N155" s="2"/>
      <c r="O155" s="4"/>
    </row>
    <row r="156" spans="1:15" ht="12.75" customHeight="1" x14ac:dyDescent="0.2">
      <c r="A156" s="369">
        <v>844522</v>
      </c>
      <c r="B156" t="s">
        <v>467</v>
      </c>
      <c r="C156" s="342">
        <v>7241</v>
      </c>
      <c r="D156" s="342">
        <v>6246</v>
      </c>
      <c r="E156" s="342">
        <v>13487</v>
      </c>
      <c r="F156" s="342">
        <v>1116803027.17734</v>
      </c>
      <c r="G156" s="342">
        <v>1158479035.30406</v>
      </c>
      <c r="H156" s="342">
        <v>2275282062.48141</v>
      </c>
      <c r="I156" s="342">
        <v>-4637155.8600000003</v>
      </c>
      <c r="J156" t="s">
        <v>236</v>
      </c>
      <c r="K156" t="s">
        <v>1150</v>
      </c>
      <c r="L156" t="s">
        <v>191</v>
      </c>
      <c r="M156" t="s">
        <v>151</v>
      </c>
      <c r="N156" s="2"/>
      <c r="O156" s="4"/>
    </row>
    <row r="157" spans="1:15" ht="12.75" customHeight="1" x14ac:dyDescent="0.2">
      <c r="A157" s="369">
        <v>534800</v>
      </c>
      <c r="B157" t="s">
        <v>1226</v>
      </c>
      <c r="C157" s="342">
        <v>7065</v>
      </c>
      <c r="D157" s="342">
        <v>5849</v>
      </c>
      <c r="E157" s="342">
        <v>12914</v>
      </c>
      <c r="F157" s="342">
        <v>326821985.63929403</v>
      </c>
      <c r="G157" s="342">
        <v>388132921.29699397</v>
      </c>
      <c r="H157" s="342">
        <v>714954906.93628895</v>
      </c>
      <c r="I157" s="342">
        <v>-9699339.2300000004</v>
      </c>
      <c r="J157" t="s">
        <v>156</v>
      </c>
      <c r="K157" t="s">
        <v>1156</v>
      </c>
      <c r="L157" t="s">
        <v>191</v>
      </c>
      <c r="M157" t="s">
        <v>151</v>
      </c>
      <c r="N157" s="2"/>
      <c r="O157" s="4"/>
    </row>
    <row r="158" spans="1:15" ht="12.75" customHeight="1" x14ac:dyDescent="0.2">
      <c r="A158" s="369">
        <v>260919</v>
      </c>
      <c r="B158" t="s">
        <v>260</v>
      </c>
      <c r="C158" s="342">
        <v>5653</v>
      </c>
      <c r="D158" s="342">
        <v>6980</v>
      </c>
      <c r="E158" s="342">
        <v>12633</v>
      </c>
      <c r="F158" s="342">
        <v>460615791.94264698</v>
      </c>
      <c r="G158" s="342">
        <v>673260037.65986705</v>
      </c>
      <c r="H158" s="342">
        <v>1133875829.60251</v>
      </c>
      <c r="I158" s="342">
        <v>1552960.22</v>
      </c>
      <c r="J158" t="s">
        <v>242</v>
      </c>
      <c r="K158" t="s">
        <v>1177</v>
      </c>
      <c r="L158" t="s">
        <v>215</v>
      </c>
      <c r="M158" t="s">
        <v>46</v>
      </c>
      <c r="N158" s="2"/>
      <c r="O158" s="4"/>
    </row>
    <row r="159" spans="1:15" ht="12.75" customHeight="1" x14ac:dyDescent="0.2">
      <c r="A159" s="369">
        <v>158261</v>
      </c>
      <c r="B159" t="s">
        <v>205</v>
      </c>
      <c r="C159" s="342">
        <v>6383</v>
      </c>
      <c r="D159" s="342">
        <v>6183</v>
      </c>
      <c r="E159" s="342">
        <v>12566</v>
      </c>
      <c r="F159" s="342">
        <v>733952504.54293597</v>
      </c>
      <c r="G159" s="342">
        <v>871249992.91605306</v>
      </c>
      <c r="H159" s="342">
        <v>1605202497.4589901</v>
      </c>
      <c r="I159" s="342">
        <v>-2759522.11</v>
      </c>
      <c r="J159" t="s">
        <v>201</v>
      </c>
      <c r="K159" t="s">
        <v>1174</v>
      </c>
      <c r="L159" t="s">
        <v>178</v>
      </c>
      <c r="M159" t="s">
        <v>151</v>
      </c>
      <c r="N159" s="2"/>
      <c r="O159" s="4"/>
    </row>
    <row r="160" spans="1:15" ht="12.75" customHeight="1" x14ac:dyDescent="0.2">
      <c r="A160" s="369">
        <v>671453</v>
      </c>
      <c r="B160" t="s">
        <v>416</v>
      </c>
      <c r="C160" s="342">
        <v>6925</v>
      </c>
      <c r="D160" s="342">
        <v>5572</v>
      </c>
      <c r="E160" s="342">
        <v>12497</v>
      </c>
      <c r="F160" s="342">
        <v>1304958054.16293</v>
      </c>
      <c r="G160" s="342">
        <v>1290961732.06146</v>
      </c>
      <c r="H160" s="342">
        <v>2595919786.2244</v>
      </c>
      <c r="I160" s="342">
        <v>-619151.02</v>
      </c>
      <c r="J160" t="s">
        <v>236</v>
      </c>
      <c r="K160" t="s">
        <v>1150</v>
      </c>
      <c r="L160" t="s">
        <v>231</v>
      </c>
      <c r="M160" t="s">
        <v>151</v>
      </c>
      <c r="N160" s="2"/>
      <c r="O160" s="4"/>
    </row>
    <row r="161" spans="1:15" ht="12.75" customHeight="1" x14ac:dyDescent="0.2">
      <c r="A161" s="369">
        <v>520692</v>
      </c>
      <c r="B161" t="s">
        <v>364</v>
      </c>
      <c r="C161" s="342">
        <v>4896</v>
      </c>
      <c r="D161" s="342">
        <v>7496</v>
      </c>
      <c r="E161" s="342">
        <v>12392</v>
      </c>
      <c r="F161" s="342">
        <v>523045175.47441101</v>
      </c>
      <c r="G161" s="342">
        <v>964825240.583318</v>
      </c>
      <c r="H161" s="342">
        <v>1487870416.0577199</v>
      </c>
      <c r="I161" s="342">
        <v>-3933721</v>
      </c>
      <c r="J161" t="s">
        <v>197</v>
      </c>
      <c r="K161" t="s">
        <v>1175</v>
      </c>
      <c r="L161" t="s">
        <v>262</v>
      </c>
      <c r="M161" t="s">
        <v>151</v>
      </c>
      <c r="N161" s="2"/>
      <c r="O161" s="4"/>
    </row>
    <row r="162" spans="1:15" ht="12.75" customHeight="1" x14ac:dyDescent="0.2">
      <c r="A162" s="369">
        <v>252411</v>
      </c>
      <c r="B162" t="s">
        <v>1160</v>
      </c>
      <c r="C162" s="342">
        <v>5630</v>
      </c>
      <c r="D162" s="342">
        <v>6674</v>
      </c>
      <c r="E162" s="342">
        <v>12304</v>
      </c>
      <c r="F162" s="342">
        <v>653491621.74403703</v>
      </c>
      <c r="G162" s="342">
        <v>912932444.90883696</v>
      </c>
      <c r="H162" s="342">
        <v>1566424066.6528699</v>
      </c>
      <c r="I162" s="342">
        <v>-5978331.1699999999</v>
      </c>
      <c r="J162" t="s">
        <v>159</v>
      </c>
      <c r="K162" t="s">
        <v>1175</v>
      </c>
      <c r="L162" t="s">
        <v>991</v>
      </c>
      <c r="M162" t="s">
        <v>46</v>
      </c>
      <c r="N162" s="2"/>
      <c r="O162" s="4"/>
    </row>
    <row r="163" spans="1:15" ht="12.75" customHeight="1" x14ac:dyDescent="0.2">
      <c r="A163" s="369">
        <v>117002</v>
      </c>
      <c r="B163" t="s">
        <v>171</v>
      </c>
      <c r="C163" s="342">
        <v>8451</v>
      </c>
      <c r="D163" s="342">
        <v>3712</v>
      </c>
      <c r="E163" s="342">
        <v>12163</v>
      </c>
      <c r="F163" s="342">
        <v>768043161.74914396</v>
      </c>
      <c r="G163" s="342">
        <v>312573383.162283</v>
      </c>
      <c r="H163" s="342">
        <v>1080616544.9114201</v>
      </c>
      <c r="I163" s="342">
        <v>-7437513.2199999997</v>
      </c>
      <c r="J163" t="s">
        <v>172</v>
      </c>
      <c r="K163" t="s">
        <v>1153</v>
      </c>
      <c r="L163" t="s">
        <v>155</v>
      </c>
      <c r="M163" t="s">
        <v>151</v>
      </c>
      <c r="N163" s="2"/>
      <c r="O163" s="4"/>
    </row>
    <row r="164" spans="1:15" ht="12.75" customHeight="1" x14ac:dyDescent="0.2">
      <c r="A164" s="369">
        <v>292193</v>
      </c>
      <c r="B164" t="s">
        <v>272</v>
      </c>
      <c r="C164" s="342">
        <v>5764</v>
      </c>
      <c r="D164" s="342">
        <v>6309</v>
      </c>
      <c r="E164" s="342">
        <v>12073</v>
      </c>
      <c r="F164" s="342">
        <v>601322834.01417398</v>
      </c>
      <c r="G164" s="342">
        <v>791164645.99985194</v>
      </c>
      <c r="H164" s="342">
        <v>1392487480.01402</v>
      </c>
      <c r="I164" s="342">
        <v>3106637.41</v>
      </c>
      <c r="J164" t="s">
        <v>201</v>
      </c>
      <c r="K164" t="s">
        <v>1174</v>
      </c>
      <c r="L164" t="s">
        <v>152</v>
      </c>
      <c r="M164" t="s">
        <v>151</v>
      </c>
      <c r="N164" s="2"/>
      <c r="O164" s="4"/>
    </row>
    <row r="165" spans="1:15" ht="12.75" customHeight="1" x14ac:dyDescent="0.2">
      <c r="A165" s="369">
        <v>479550</v>
      </c>
      <c r="B165" t="s">
        <v>347</v>
      </c>
      <c r="C165" s="342">
        <v>6058</v>
      </c>
      <c r="D165" s="342">
        <v>5983</v>
      </c>
      <c r="E165" s="342">
        <v>12041</v>
      </c>
      <c r="F165" s="342">
        <v>635723531.19556701</v>
      </c>
      <c r="G165" s="342">
        <v>740703736.84489906</v>
      </c>
      <c r="H165" s="342">
        <v>1376427268.0404601</v>
      </c>
      <c r="I165" s="342">
        <v>1513795.3</v>
      </c>
      <c r="J165" t="s">
        <v>159</v>
      </c>
      <c r="K165" t="s">
        <v>1175</v>
      </c>
      <c r="L165" t="s">
        <v>325</v>
      </c>
      <c r="M165" t="s">
        <v>46</v>
      </c>
      <c r="N165" s="2"/>
      <c r="O165" s="4"/>
    </row>
    <row r="166" spans="1:15" ht="12.75" customHeight="1" x14ac:dyDescent="0.2">
      <c r="A166" s="369">
        <v>532558</v>
      </c>
      <c r="B166" t="s">
        <v>1013</v>
      </c>
      <c r="C166" s="342">
        <v>4492</v>
      </c>
      <c r="D166" s="342">
        <v>7547</v>
      </c>
      <c r="E166" s="342">
        <v>12039</v>
      </c>
      <c r="F166" s="342">
        <v>823788769.99718499</v>
      </c>
      <c r="G166" s="342">
        <v>1668456966.7202201</v>
      </c>
      <c r="H166" s="342">
        <v>2492245736.7174001</v>
      </c>
      <c r="I166" s="342">
        <v>2299748904.3400002</v>
      </c>
      <c r="J166" t="s">
        <v>160</v>
      </c>
      <c r="K166" t="s">
        <v>1177</v>
      </c>
      <c r="L166" t="s">
        <v>212</v>
      </c>
      <c r="M166" t="s">
        <v>46</v>
      </c>
      <c r="N166" s="2"/>
      <c r="O166" s="4"/>
    </row>
    <row r="167" spans="1:15" ht="12.75" customHeight="1" x14ac:dyDescent="0.2">
      <c r="A167" s="369">
        <v>515676</v>
      </c>
      <c r="B167" t="s">
        <v>362</v>
      </c>
      <c r="C167" s="342">
        <v>4338</v>
      </c>
      <c r="D167" s="342">
        <v>7695</v>
      </c>
      <c r="E167" s="342">
        <v>12033</v>
      </c>
      <c r="F167" s="342">
        <v>475387590.50647402</v>
      </c>
      <c r="G167" s="342">
        <v>956356388.61499298</v>
      </c>
      <c r="H167" s="342">
        <v>1431743979.12146</v>
      </c>
      <c r="I167" s="342">
        <v>-14762173.6</v>
      </c>
      <c r="J167" t="s">
        <v>153</v>
      </c>
      <c r="K167" t="s">
        <v>1174</v>
      </c>
      <c r="L167" t="s">
        <v>231</v>
      </c>
      <c r="M167" t="s">
        <v>151</v>
      </c>
      <c r="N167" s="2"/>
      <c r="O167" s="4"/>
    </row>
    <row r="168" spans="1:15" ht="12.75" customHeight="1" x14ac:dyDescent="0.2">
      <c r="A168" s="369">
        <v>152835</v>
      </c>
      <c r="B168" t="s">
        <v>202</v>
      </c>
      <c r="C168" s="342">
        <v>8484</v>
      </c>
      <c r="D168" s="342">
        <v>3374</v>
      </c>
      <c r="E168" s="342">
        <v>11858</v>
      </c>
      <c r="F168" s="342">
        <v>1534903438.60922</v>
      </c>
      <c r="G168" s="342">
        <v>665466995.88456202</v>
      </c>
      <c r="H168" s="342">
        <v>2200370434.4937801</v>
      </c>
      <c r="I168" s="342">
        <v>-8432728.4000000004</v>
      </c>
      <c r="J168" t="s">
        <v>176</v>
      </c>
      <c r="K168" t="s">
        <v>1175</v>
      </c>
      <c r="L168" t="s">
        <v>155</v>
      </c>
      <c r="M168" t="s">
        <v>151</v>
      </c>
      <c r="N168" s="3"/>
      <c r="O168" s="4"/>
    </row>
    <row r="169" spans="1:15" ht="12.75" customHeight="1" x14ac:dyDescent="0.2">
      <c r="A169" s="369">
        <v>504100</v>
      </c>
      <c r="B169" t="s">
        <v>359</v>
      </c>
      <c r="C169" s="342">
        <v>4784</v>
      </c>
      <c r="D169" s="342">
        <v>7055</v>
      </c>
      <c r="E169" s="342">
        <v>11839</v>
      </c>
      <c r="F169" s="342">
        <v>345555115.11669099</v>
      </c>
      <c r="G169" s="342">
        <v>623946905.86640596</v>
      </c>
      <c r="H169" s="342">
        <v>969502020.98309803</v>
      </c>
      <c r="I169" s="342">
        <v>-13684600.82</v>
      </c>
      <c r="J169" t="s">
        <v>251</v>
      </c>
      <c r="K169" t="s">
        <v>1175</v>
      </c>
      <c r="L169" t="s">
        <v>181</v>
      </c>
      <c r="M169" t="s">
        <v>151</v>
      </c>
      <c r="N169" s="2"/>
      <c r="O169" s="4"/>
    </row>
    <row r="170" spans="1:15" ht="12.75" customHeight="1" x14ac:dyDescent="0.2">
      <c r="A170" s="369">
        <v>320762</v>
      </c>
      <c r="B170" t="s">
        <v>289</v>
      </c>
      <c r="C170" s="342">
        <v>5934</v>
      </c>
      <c r="D170" s="342">
        <v>5877</v>
      </c>
      <c r="E170" s="342">
        <v>11811</v>
      </c>
      <c r="F170" s="342">
        <v>613234198.628914</v>
      </c>
      <c r="G170" s="342">
        <v>745295482.94218504</v>
      </c>
      <c r="H170" s="342">
        <v>1358529681.5711</v>
      </c>
      <c r="I170" s="342">
        <v>15999704.23</v>
      </c>
      <c r="J170" t="s">
        <v>236</v>
      </c>
      <c r="K170" t="s">
        <v>1150</v>
      </c>
      <c r="L170" t="s">
        <v>167</v>
      </c>
      <c r="M170" t="s">
        <v>151</v>
      </c>
      <c r="N170" s="2"/>
      <c r="O170" s="4"/>
    </row>
    <row r="171" spans="1:15" ht="12.75" customHeight="1" x14ac:dyDescent="0.2">
      <c r="A171" s="369">
        <v>840033</v>
      </c>
      <c r="B171" t="s">
        <v>464</v>
      </c>
      <c r="C171" s="342">
        <v>4801</v>
      </c>
      <c r="D171" s="342">
        <v>6577</v>
      </c>
      <c r="E171" s="342">
        <v>11378</v>
      </c>
      <c r="F171" s="342">
        <v>526076883.51072502</v>
      </c>
      <c r="G171" s="342">
        <v>854164002.22819495</v>
      </c>
      <c r="H171" s="342">
        <v>1380240885.73892</v>
      </c>
      <c r="I171" s="342">
        <v>-7449567.8700000001</v>
      </c>
      <c r="J171" t="s">
        <v>197</v>
      </c>
      <c r="K171" t="s">
        <v>1175</v>
      </c>
      <c r="L171" t="s">
        <v>181</v>
      </c>
      <c r="M171" t="s">
        <v>151</v>
      </c>
      <c r="N171" s="2"/>
      <c r="O171" s="4"/>
    </row>
    <row r="172" spans="1:15" ht="12.75" customHeight="1" x14ac:dyDescent="0.2">
      <c r="A172" s="369">
        <v>679837</v>
      </c>
      <c r="B172" t="s">
        <v>419</v>
      </c>
      <c r="C172" s="342">
        <v>4773</v>
      </c>
      <c r="D172" s="342">
        <v>6554</v>
      </c>
      <c r="E172" s="342">
        <v>11327</v>
      </c>
      <c r="F172" s="342">
        <v>182380172.61727199</v>
      </c>
      <c r="G172" s="342">
        <v>370368697.25212502</v>
      </c>
      <c r="H172" s="342">
        <v>552748869.869398</v>
      </c>
      <c r="I172" s="342">
        <v>19570832.129999999</v>
      </c>
      <c r="J172" t="s">
        <v>229</v>
      </c>
      <c r="K172" t="s">
        <v>1175</v>
      </c>
      <c r="L172" t="s">
        <v>181</v>
      </c>
      <c r="M172" t="s">
        <v>151</v>
      </c>
      <c r="N172" s="2"/>
      <c r="O172" s="4"/>
    </row>
    <row r="173" spans="1:15" ht="12.75" customHeight="1" x14ac:dyDescent="0.2">
      <c r="A173" s="369">
        <v>838383</v>
      </c>
      <c r="B173" t="s">
        <v>462</v>
      </c>
      <c r="C173" s="342">
        <v>4848</v>
      </c>
      <c r="D173" s="342">
        <v>6422</v>
      </c>
      <c r="E173" s="342">
        <v>11270</v>
      </c>
      <c r="F173" s="342">
        <v>284060873.11748099</v>
      </c>
      <c r="G173" s="342">
        <v>465222579.38240099</v>
      </c>
      <c r="H173" s="342">
        <v>749283452.49988306</v>
      </c>
      <c r="I173" s="342">
        <v>-4016529.3</v>
      </c>
      <c r="J173" t="s">
        <v>251</v>
      </c>
      <c r="K173" t="s">
        <v>1175</v>
      </c>
      <c r="L173" t="s">
        <v>234</v>
      </c>
      <c r="M173" t="s">
        <v>151</v>
      </c>
      <c r="N173" s="2"/>
      <c r="O173" s="4"/>
    </row>
    <row r="174" spans="1:15" ht="12.75" customHeight="1" x14ac:dyDescent="0.2">
      <c r="A174" s="369">
        <v>469692</v>
      </c>
      <c r="B174" t="s">
        <v>1223</v>
      </c>
      <c r="C174" s="342">
        <v>4377</v>
      </c>
      <c r="D174" s="342">
        <v>6811</v>
      </c>
      <c r="E174" s="342">
        <v>11188</v>
      </c>
      <c r="F174" s="342">
        <v>271297736.67931902</v>
      </c>
      <c r="G174" s="342">
        <v>547557378.54242003</v>
      </c>
      <c r="H174" s="342">
        <v>818855115.22173905</v>
      </c>
      <c r="I174" s="342">
        <v>56359320.210000001</v>
      </c>
      <c r="J174" t="s">
        <v>213</v>
      </c>
      <c r="K174" t="s">
        <v>1176</v>
      </c>
      <c r="L174" t="s">
        <v>184</v>
      </c>
      <c r="M174" t="s">
        <v>46</v>
      </c>
      <c r="N174" s="2"/>
      <c r="O174" s="4"/>
    </row>
    <row r="175" spans="1:15" ht="12.75" customHeight="1" x14ac:dyDescent="0.2">
      <c r="A175" s="369">
        <v>670091</v>
      </c>
      <c r="B175" t="s">
        <v>514</v>
      </c>
      <c r="C175" s="342">
        <v>4720</v>
      </c>
      <c r="D175" s="342">
        <v>6431</v>
      </c>
      <c r="E175" s="342">
        <v>11151</v>
      </c>
      <c r="F175" s="342">
        <v>276544898.63790101</v>
      </c>
      <c r="G175" s="342">
        <v>452661869.27283001</v>
      </c>
      <c r="H175" s="342">
        <v>729206767.91073096</v>
      </c>
      <c r="I175" s="342">
        <v>-3475617.21</v>
      </c>
      <c r="J175" t="s">
        <v>169</v>
      </c>
      <c r="K175" t="s">
        <v>1175</v>
      </c>
      <c r="L175" t="s">
        <v>291</v>
      </c>
      <c r="M175" t="s">
        <v>46</v>
      </c>
      <c r="N175" s="2"/>
      <c r="O175" s="4"/>
    </row>
    <row r="176" spans="1:15" ht="12.75" customHeight="1" x14ac:dyDescent="0.2">
      <c r="A176" s="369">
        <v>484980</v>
      </c>
      <c r="B176" t="s">
        <v>351</v>
      </c>
      <c r="C176" s="342">
        <v>4952</v>
      </c>
      <c r="D176" s="342">
        <v>6184</v>
      </c>
      <c r="E176" s="342">
        <v>11136</v>
      </c>
      <c r="F176" s="342">
        <v>364492924.23062402</v>
      </c>
      <c r="G176" s="342">
        <v>550825898.00771403</v>
      </c>
      <c r="H176" s="342">
        <v>915318822.23833799</v>
      </c>
      <c r="I176" s="342">
        <v>-3234309.82</v>
      </c>
      <c r="J176" t="s">
        <v>190</v>
      </c>
      <c r="K176" t="s">
        <v>1175</v>
      </c>
      <c r="L176" t="s">
        <v>271</v>
      </c>
      <c r="M176" t="s">
        <v>151</v>
      </c>
      <c r="N176" s="2"/>
      <c r="O176" s="4"/>
    </row>
    <row r="177" spans="1:15" ht="12.75" customHeight="1" x14ac:dyDescent="0.2">
      <c r="A177" s="369">
        <v>2</v>
      </c>
      <c r="B177" t="s">
        <v>1152</v>
      </c>
      <c r="C177" s="342">
        <v>5431</v>
      </c>
      <c r="D177" s="342">
        <v>5612</v>
      </c>
      <c r="E177" s="342">
        <v>11043</v>
      </c>
      <c r="F177" s="342">
        <v>1081345679.6958499</v>
      </c>
      <c r="G177" s="342">
        <v>1300289411.90554</v>
      </c>
      <c r="H177" s="342">
        <v>2381635091.6013999</v>
      </c>
      <c r="I177" s="342"/>
      <c r="J177" t="s">
        <v>1149</v>
      </c>
      <c r="K177" t="s">
        <v>1153</v>
      </c>
      <c r="L177" t="s">
        <v>373</v>
      </c>
      <c r="M177" t="s">
        <v>151</v>
      </c>
      <c r="N177" s="2"/>
      <c r="O177" s="4"/>
    </row>
    <row r="178" spans="1:15" ht="12.75" customHeight="1" x14ac:dyDescent="0.2">
      <c r="A178" s="369">
        <v>122432</v>
      </c>
      <c r="B178" t="s">
        <v>177</v>
      </c>
      <c r="C178" s="342">
        <v>5723</v>
      </c>
      <c r="D178" s="342">
        <v>5309</v>
      </c>
      <c r="E178" s="342">
        <v>11032</v>
      </c>
      <c r="F178" s="342">
        <v>318295932.13023698</v>
      </c>
      <c r="G178" s="342">
        <v>348289420.56639498</v>
      </c>
      <c r="H178" s="342">
        <v>666585352.69663203</v>
      </c>
      <c r="I178" s="342">
        <v>878376.03</v>
      </c>
      <c r="J178" t="s">
        <v>179</v>
      </c>
      <c r="K178" t="s">
        <v>1175</v>
      </c>
      <c r="L178" t="s">
        <v>178</v>
      </c>
      <c r="M178" t="s">
        <v>151</v>
      </c>
      <c r="N178" s="2"/>
      <c r="O178" s="4"/>
    </row>
    <row r="179" spans="1:15" ht="12.75" customHeight="1" x14ac:dyDescent="0.2">
      <c r="A179" s="369">
        <v>494427</v>
      </c>
      <c r="B179" t="s">
        <v>1224</v>
      </c>
      <c r="C179" s="342">
        <v>4546</v>
      </c>
      <c r="D179" s="342">
        <v>6426</v>
      </c>
      <c r="E179" s="342">
        <v>10972</v>
      </c>
      <c r="F179" s="342">
        <v>329013964.331469</v>
      </c>
      <c r="G179" s="342">
        <v>579054107.34950495</v>
      </c>
      <c r="H179" s="342">
        <v>908068071.68097401</v>
      </c>
      <c r="I179" s="342">
        <v>-14080056.300000001</v>
      </c>
      <c r="J179" t="s">
        <v>251</v>
      </c>
      <c r="K179" t="s">
        <v>1175</v>
      </c>
      <c r="L179" t="s">
        <v>184</v>
      </c>
      <c r="M179" t="s">
        <v>46</v>
      </c>
      <c r="N179" s="2"/>
      <c r="O179" s="4"/>
    </row>
    <row r="180" spans="1:15" ht="12.75" customHeight="1" x14ac:dyDescent="0.2">
      <c r="A180" s="369">
        <v>420646</v>
      </c>
      <c r="B180" t="s">
        <v>328</v>
      </c>
      <c r="C180" s="342">
        <v>5704</v>
      </c>
      <c r="D180" s="342">
        <v>5141</v>
      </c>
      <c r="E180" s="342">
        <v>10845</v>
      </c>
      <c r="F180" s="342">
        <v>226695845.93226001</v>
      </c>
      <c r="G180" s="342">
        <v>282561264.17772299</v>
      </c>
      <c r="H180" s="342">
        <v>509257110.10998303</v>
      </c>
      <c r="I180" s="342">
        <v>-3578349.85</v>
      </c>
      <c r="J180" t="s">
        <v>187</v>
      </c>
      <c r="K180" t="s">
        <v>1156</v>
      </c>
      <c r="L180" t="s">
        <v>231</v>
      </c>
      <c r="M180" t="s">
        <v>151</v>
      </c>
      <c r="N180" s="2"/>
      <c r="O180" s="4"/>
    </row>
    <row r="181" spans="1:15" ht="12.75" customHeight="1" x14ac:dyDescent="0.2">
      <c r="A181" s="369">
        <v>541235</v>
      </c>
      <c r="B181" t="s">
        <v>370</v>
      </c>
      <c r="C181" s="342">
        <v>4791</v>
      </c>
      <c r="D181" s="342">
        <v>6026</v>
      </c>
      <c r="E181" s="342">
        <v>10817</v>
      </c>
      <c r="F181" s="342">
        <v>442549125.179223</v>
      </c>
      <c r="G181" s="342">
        <v>672452980.93902004</v>
      </c>
      <c r="H181" s="342">
        <v>1115002106.1182401</v>
      </c>
      <c r="I181" s="342">
        <v>-10897473.51</v>
      </c>
      <c r="J181" t="s">
        <v>159</v>
      </c>
      <c r="K181" t="s">
        <v>1175</v>
      </c>
      <c r="L181" t="s">
        <v>189</v>
      </c>
      <c r="M181" t="s">
        <v>151</v>
      </c>
      <c r="N181" s="2"/>
      <c r="O181" s="4"/>
    </row>
    <row r="182" spans="1:15" ht="12.75" customHeight="1" x14ac:dyDescent="0.2">
      <c r="A182" s="369">
        <v>362327</v>
      </c>
      <c r="B182" t="s">
        <v>1218</v>
      </c>
      <c r="C182" s="342">
        <v>4856</v>
      </c>
      <c r="D182" s="342">
        <v>5942</v>
      </c>
      <c r="E182" s="342">
        <v>10798</v>
      </c>
      <c r="F182" s="342">
        <v>352902634.69544297</v>
      </c>
      <c r="G182" s="342">
        <v>527332900.97564101</v>
      </c>
      <c r="H182" s="342">
        <v>880235535.67108405</v>
      </c>
      <c r="I182" s="342">
        <v>1504071.22</v>
      </c>
      <c r="J182" t="s">
        <v>251</v>
      </c>
      <c r="K182" t="s">
        <v>1175</v>
      </c>
      <c r="L182" t="s">
        <v>249</v>
      </c>
      <c r="M182" t="s">
        <v>46</v>
      </c>
      <c r="N182" s="2"/>
      <c r="O182" s="4"/>
    </row>
    <row r="183" spans="1:15" ht="12.75" customHeight="1" x14ac:dyDescent="0.2">
      <c r="A183" s="369">
        <v>546960</v>
      </c>
      <c r="B183" t="s">
        <v>374</v>
      </c>
      <c r="C183" s="342">
        <v>5876</v>
      </c>
      <c r="D183" s="342">
        <v>4879</v>
      </c>
      <c r="E183" s="342">
        <v>10755</v>
      </c>
      <c r="F183" s="342">
        <v>368382702.614218</v>
      </c>
      <c r="G183" s="342">
        <v>368761486.071684</v>
      </c>
      <c r="H183" s="342">
        <v>737144188.68590295</v>
      </c>
      <c r="I183" s="342">
        <v>-2050982.48</v>
      </c>
      <c r="J183" t="s">
        <v>183</v>
      </c>
      <c r="K183" t="s">
        <v>1153</v>
      </c>
      <c r="L183" t="s">
        <v>152</v>
      </c>
      <c r="M183" t="s">
        <v>151</v>
      </c>
      <c r="N183" s="2"/>
      <c r="O183" s="4"/>
    </row>
    <row r="184" spans="1:15" ht="12.75" customHeight="1" x14ac:dyDescent="0.2">
      <c r="A184" s="369">
        <v>635623</v>
      </c>
      <c r="B184" t="s">
        <v>402</v>
      </c>
      <c r="C184" s="342">
        <v>5743</v>
      </c>
      <c r="D184" s="342">
        <v>4702</v>
      </c>
      <c r="E184" s="342">
        <v>10445</v>
      </c>
      <c r="F184" s="342">
        <v>1023290129.5420901</v>
      </c>
      <c r="G184" s="342">
        <v>1029507618.90878</v>
      </c>
      <c r="H184" s="342">
        <v>2052797748.45087</v>
      </c>
      <c r="I184" s="342">
        <v>-870580.88</v>
      </c>
      <c r="J184" t="s">
        <v>236</v>
      </c>
      <c r="K184" t="s">
        <v>1150</v>
      </c>
      <c r="L184" t="s">
        <v>231</v>
      </c>
      <c r="M184" t="s">
        <v>151</v>
      </c>
      <c r="N184" s="2"/>
      <c r="O184" s="4"/>
    </row>
    <row r="185" spans="1:15" ht="12.75" customHeight="1" x14ac:dyDescent="0.2">
      <c r="A185" s="369">
        <v>456475</v>
      </c>
      <c r="B185" t="s">
        <v>341</v>
      </c>
      <c r="C185" s="342">
        <v>4648</v>
      </c>
      <c r="D185" s="342">
        <v>5742</v>
      </c>
      <c r="E185" s="342">
        <v>10390</v>
      </c>
      <c r="F185" s="342">
        <v>430736564.701455</v>
      </c>
      <c r="G185" s="342">
        <v>648944092.44734895</v>
      </c>
      <c r="H185" s="342">
        <v>1079680657.1487999</v>
      </c>
      <c r="I185" s="342">
        <v>8834147.3300000001</v>
      </c>
      <c r="J185" t="s">
        <v>197</v>
      </c>
      <c r="K185" t="s">
        <v>1175</v>
      </c>
      <c r="L185" t="s">
        <v>231</v>
      </c>
      <c r="M185" t="s">
        <v>151</v>
      </c>
      <c r="N185" s="2"/>
      <c r="O185" s="4"/>
    </row>
    <row r="186" spans="1:15" ht="12.75" customHeight="1" x14ac:dyDescent="0.2">
      <c r="A186" s="369">
        <v>950774</v>
      </c>
      <c r="B186" t="s">
        <v>489</v>
      </c>
      <c r="C186" s="342">
        <v>4817</v>
      </c>
      <c r="D186" s="342">
        <v>5376</v>
      </c>
      <c r="E186" s="342">
        <v>10193</v>
      </c>
      <c r="F186" s="342">
        <v>248663492.38143399</v>
      </c>
      <c r="G186" s="342">
        <v>362627682.65959102</v>
      </c>
      <c r="H186" s="342">
        <v>611291175.04102504</v>
      </c>
      <c r="I186" s="342">
        <v>-2701971.92</v>
      </c>
      <c r="J186" t="s">
        <v>169</v>
      </c>
      <c r="K186" t="s">
        <v>1175</v>
      </c>
      <c r="L186" t="s">
        <v>178</v>
      </c>
      <c r="M186" t="s">
        <v>151</v>
      </c>
      <c r="N186" s="2"/>
      <c r="O186" s="4"/>
    </row>
    <row r="187" spans="1:15" ht="12.75" customHeight="1" x14ac:dyDescent="0.2">
      <c r="A187" s="369">
        <v>191080</v>
      </c>
      <c r="B187" t="s">
        <v>968</v>
      </c>
      <c r="C187" s="342">
        <v>4966</v>
      </c>
      <c r="D187" s="342">
        <v>4741</v>
      </c>
      <c r="E187" s="342">
        <v>9707</v>
      </c>
      <c r="F187" s="342">
        <v>189984760.16325101</v>
      </c>
      <c r="G187" s="342">
        <v>241228305.75789601</v>
      </c>
      <c r="H187" s="342">
        <v>431213065.92114699</v>
      </c>
      <c r="I187" s="342">
        <v>-2648958.62</v>
      </c>
      <c r="J187" t="s">
        <v>169</v>
      </c>
      <c r="K187" t="s">
        <v>1175</v>
      </c>
      <c r="L187" t="s">
        <v>522</v>
      </c>
      <c r="M187" t="s">
        <v>46</v>
      </c>
      <c r="N187" s="2"/>
      <c r="O187" s="4"/>
    </row>
    <row r="188" spans="1:15" ht="12.75" customHeight="1" x14ac:dyDescent="0.2">
      <c r="A188" s="369">
        <v>551507</v>
      </c>
      <c r="B188" t="s">
        <v>375</v>
      </c>
      <c r="C188" s="342">
        <v>3440</v>
      </c>
      <c r="D188" s="342">
        <v>6141</v>
      </c>
      <c r="E188" s="342">
        <v>9581</v>
      </c>
      <c r="F188" s="342">
        <v>296171230.35111099</v>
      </c>
      <c r="G188" s="342">
        <v>625200618.817559</v>
      </c>
      <c r="H188" s="342">
        <v>921371849.16867101</v>
      </c>
      <c r="I188" s="342">
        <v>-6468880.1399999997</v>
      </c>
      <c r="J188" t="s">
        <v>197</v>
      </c>
      <c r="K188" t="s">
        <v>1175</v>
      </c>
      <c r="L188" t="s">
        <v>231</v>
      </c>
      <c r="M188" t="s">
        <v>151</v>
      </c>
      <c r="N188" s="2"/>
      <c r="O188" s="4"/>
    </row>
    <row r="189" spans="1:15" ht="12.75" customHeight="1" x14ac:dyDescent="0.2">
      <c r="A189" s="369">
        <v>838441</v>
      </c>
      <c r="B189" t="s">
        <v>463</v>
      </c>
      <c r="C189" s="342">
        <v>5360</v>
      </c>
      <c r="D189" s="342">
        <v>4122</v>
      </c>
      <c r="E189" s="342">
        <v>9482</v>
      </c>
      <c r="F189" s="342">
        <v>576190531.98671305</v>
      </c>
      <c r="G189" s="342">
        <v>546393905.74603796</v>
      </c>
      <c r="H189" s="342">
        <v>1122584437.7327499</v>
      </c>
      <c r="I189" s="342">
        <v>-580018.92000000004</v>
      </c>
      <c r="J189" t="s">
        <v>201</v>
      </c>
      <c r="K189" t="s">
        <v>1174</v>
      </c>
      <c r="L189" t="s">
        <v>165</v>
      </c>
      <c r="M189" t="s">
        <v>151</v>
      </c>
      <c r="N189" s="2"/>
      <c r="O189" s="4"/>
    </row>
    <row r="190" spans="1:15" ht="12.75" customHeight="1" x14ac:dyDescent="0.2">
      <c r="A190" s="369">
        <v>653097</v>
      </c>
      <c r="B190" t="s">
        <v>1228</v>
      </c>
      <c r="C190" s="342">
        <v>3541</v>
      </c>
      <c r="D190" s="342">
        <v>5897</v>
      </c>
      <c r="E190" s="342">
        <v>9438</v>
      </c>
      <c r="F190" s="342">
        <v>241282356.05119199</v>
      </c>
      <c r="G190" s="342">
        <v>541626777.27429295</v>
      </c>
      <c r="H190" s="342">
        <v>782909133.32548499</v>
      </c>
      <c r="I190" s="342">
        <v>-16378940.949999999</v>
      </c>
      <c r="J190" t="s">
        <v>245</v>
      </c>
      <c r="K190" t="s">
        <v>1176</v>
      </c>
      <c r="L190" t="s">
        <v>184</v>
      </c>
      <c r="M190" t="s">
        <v>46</v>
      </c>
      <c r="N190" s="2"/>
      <c r="O190" s="4"/>
    </row>
    <row r="191" spans="1:15" ht="12.75" customHeight="1" x14ac:dyDescent="0.2">
      <c r="A191" s="369">
        <v>878520</v>
      </c>
      <c r="B191" t="s">
        <v>474</v>
      </c>
      <c r="C191" s="342">
        <v>4719</v>
      </c>
      <c r="D191" s="342">
        <v>4668</v>
      </c>
      <c r="E191" s="342">
        <v>9387</v>
      </c>
      <c r="F191" s="342">
        <v>478400449.90114599</v>
      </c>
      <c r="G191" s="342">
        <v>593212029.35332096</v>
      </c>
      <c r="H191" s="342">
        <v>1071612479.25446</v>
      </c>
      <c r="I191" s="342">
        <v>-5711717.7199999997</v>
      </c>
      <c r="J191" t="s">
        <v>172</v>
      </c>
      <c r="K191" t="s">
        <v>1153</v>
      </c>
      <c r="L191" t="s">
        <v>346</v>
      </c>
      <c r="M191" t="s">
        <v>151</v>
      </c>
      <c r="N191" s="2"/>
      <c r="O191" s="4"/>
    </row>
    <row r="192" spans="1:15" ht="12.75" customHeight="1" x14ac:dyDescent="0.2">
      <c r="A192" s="369">
        <v>598557</v>
      </c>
      <c r="B192" t="s">
        <v>392</v>
      </c>
      <c r="C192" s="342">
        <v>4753</v>
      </c>
      <c r="D192" s="342">
        <v>4544</v>
      </c>
      <c r="E192" s="342">
        <v>9297</v>
      </c>
      <c r="F192" s="342">
        <v>434120625.06674099</v>
      </c>
      <c r="G192" s="342">
        <v>486306931.55986398</v>
      </c>
      <c r="H192" s="342">
        <v>920427556.62660503</v>
      </c>
      <c r="I192" s="342">
        <v>-2807809.55</v>
      </c>
      <c r="J192" t="s">
        <v>190</v>
      </c>
      <c r="K192" t="s">
        <v>1175</v>
      </c>
      <c r="L192" t="s">
        <v>297</v>
      </c>
      <c r="M192" t="s">
        <v>46</v>
      </c>
      <c r="N192" s="2"/>
      <c r="O192" s="4"/>
    </row>
    <row r="193" spans="1:15" ht="12.75" customHeight="1" x14ac:dyDescent="0.2">
      <c r="A193" s="369">
        <v>442483</v>
      </c>
      <c r="B193" t="s">
        <v>333</v>
      </c>
      <c r="C193" s="342">
        <v>4447</v>
      </c>
      <c r="D193" s="342">
        <v>4741</v>
      </c>
      <c r="E193" s="342">
        <v>9188</v>
      </c>
      <c r="F193" s="342">
        <v>184601714.92158899</v>
      </c>
      <c r="G193" s="342">
        <v>242160549.38367799</v>
      </c>
      <c r="H193" s="342">
        <v>426762264.30526799</v>
      </c>
      <c r="I193" s="342">
        <v>24166934.16</v>
      </c>
      <c r="J193" t="s">
        <v>306</v>
      </c>
      <c r="K193" t="s">
        <v>1175</v>
      </c>
      <c r="L193" t="s">
        <v>334</v>
      </c>
      <c r="M193" t="s">
        <v>151</v>
      </c>
      <c r="N193" s="2"/>
      <c r="O193" s="4"/>
    </row>
    <row r="194" spans="1:15" ht="12.75" customHeight="1" x14ac:dyDescent="0.2">
      <c r="A194" s="369">
        <v>617670</v>
      </c>
      <c r="B194" t="s">
        <v>399</v>
      </c>
      <c r="C194" s="342">
        <v>3100</v>
      </c>
      <c r="D194" s="342">
        <v>6034</v>
      </c>
      <c r="E194" s="342">
        <v>9134</v>
      </c>
      <c r="F194" s="342">
        <v>270347253.14141601</v>
      </c>
      <c r="G194" s="342">
        <v>660069078.53741896</v>
      </c>
      <c r="H194" s="342">
        <v>930416331.67883503</v>
      </c>
      <c r="I194" s="342">
        <v>-35970503.600000001</v>
      </c>
      <c r="J194" t="s">
        <v>245</v>
      </c>
      <c r="K194" t="s">
        <v>1176</v>
      </c>
      <c r="L194" t="s">
        <v>181</v>
      </c>
      <c r="M194" t="s">
        <v>151</v>
      </c>
      <c r="N194" s="2"/>
      <c r="O194" s="4"/>
    </row>
    <row r="195" spans="1:15" ht="12.75" customHeight="1" x14ac:dyDescent="0.2">
      <c r="A195" s="369">
        <v>726117</v>
      </c>
      <c r="B195" t="s">
        <v>434</v>
      </c>
      <c r="C195" s="342">
        <v>4745</v>
      </c>
      <c r="D195" s="342">
        <v>4103</v>
      </c>
      <c r="E195" s="342">
        <v>8848</v>
      </c>
      <c r="F195" s="342">
        <v>186807968.44432801</v>
      </c>
      <c r="G195" s="342">
        <v>201023614.79320201</v>
      </c>
      <c r="H195" s="342">
        <v>387831583.23753101</v>
      </c>
      <c r="I195" s="342">
        <v>-503483.45</v>
      </c>
      <c r="J195" t="s">
        <v>156</v>
      </c>
      <c r="K195" t="s">
        <v>1156</v>
      </c>
      <c r="L195" t="s">
        <v>152</v>
      </c>
      <c r="M195" t="s">
        <v>151</v>
      </c>
      <c r="N195" s="2"/>
      <c r="O195" s="4"/>
    </row>
    <row r="196" spans="1:15" ht="12.75" customHeight="1" x14ac:dyDescent="0.2">
      <c r="A196" s="369">
        <v>584912</v>
      </c>
      <c r="B196" t="s">
        <v>389</v>
      </c>
      <c r="C196" s="342">
        <v>3956</v>
      </c>
      <c r="D196" s="342">
        <v>4857</v>
      </c>
      <c r="E196" s="342">
        <v>8813</v>
      </c>
      <c r="F196" s="342">
        <v>393219162.10149401</v>
      </c>
      <c r="G196" s="342">
        <v>578973303.92653406</v>
      </c>
      <c r="H196" s="342">
        <v>972192466.02802801</v>
      </c>
      <c r="I196" s="342">
        <v>-4894966.13</v>
      </c>
      <c r="J196" t="s">
        <v>153</v>
      </c>
      <c r="K196" t="s">
        <v>1174</v>
      </c>
      <c r="L196" t="s">
        <v>234</v>
      </c>
      <c r="M196" t="s">
        <v>151</v>
      </c>
      <c r="N196" s="2"/>
      <c r="O196" s="4"/>
    </row>
    <row r="197" spans="1:15" ht="12.75" customHeight="1" x14ac:dyDescent="0.2">
      <c r="A197" s="369">
        <v>556589</v>
      </c>
      <c r="B197" t="s">
        <v>377</v>
      </c>
      <c r="C197" s="342">
        <v>3695</v>
      </c>
      <c r="D197" s="342">
        <v>5083</v>
      </c>
      <c r="E197" s="342">
        <v>8778</v>
      </c>
      <c r="F197" s="342">
        <v>408507957.22431803</v>
      </c>
      <c r="G197" s="342">
        <v>651974425.34821296</v>
      </c>
      <c r="H197" s="342">
        <v>1060482382.57253</v>
      </c>
      <c r="I197" s="342">
        <v>24992011.780000001</v>
      </c>
      <c r="J197" t="s">
        <v>170</v>
      </c>
      <c r="K197" t="s">
        <v>1175</v>
      </c>
      <c r="L197" t="s">
        <v>178</v>
      </c>
      <c r="M197" t="s">
        <v>151</v>
      </c>
      <c r="N197" s="2"/>
      <c r="O197" s="4"/>
    </row>
    <row r="198" spans="1:15" ht="12.75" customHeight="1" x14ac:dyDescent="0.2">
      <c r="A198" s="369">
        <v>666495</v>
      </c>
      <c r="B198" t="s">
        <v>1148</v>
      </c>
      <c r="C198" s="342">
        <v>4531</v>
      </c>
      <c r="D198" s="342">
        <v>4224</v>
      </c>
      <c r="E198" s="342">
        <v>8755</v>
      </c>
      <c r="F198" s="342">
        <v>129845881.11441</v>
      </c>
      <c r="G198" s="342">
        <v>150412226.16032901</v>
      </c>
      <c r="H198" s="342">
        <v>280258107.27473998</v>
      </c>
      <c r="I198" s="342">
        <v>-1514996.21</v>
      </c>
      <c r="J198" t="s">
        <v>179</v>
      </c>
      <c r="K198" t="s">
        <v>1175</v>
      </c>
      <c r="L198" t="s">
        <v>212</v>
      </c>
      <c r="M198" t="s">
        <v>46</v>
      </c>
      <c r="N198" s="2"/>
      <c r="O198" s="4"/>
    </row>
    <row r="199" spans="1:15" ht="12.75" customHeight="1" x14ac:dyDescent="0.2">
      <c r="A199" s="369">
        <v>206250</v>
      </c>
      <c r="B199" t="s">
        <v>230</v>
      </c>
      <c r="C199" s="342">
        <v>4216</v>
      </c>
      <c r="D199" s="342">
        <v>4529</v>
      </c>
      <c r="E199" s="342">
        <v>8745</v>
      </c>
      <c r="F199" s="342">
        <v>200275046.526135</v>
      </c>
      <c r="G199" s="342">
        <v>273491391.77492398</v>
      </c>
      <c r="H199" s="342">
        <v>473766438.30106002</v>
      </c>
      <c r="I199" s="342">
        <v>-3620746.99</v>
      </c>
      <c r="J199" t="s">
        <v>169</v>
      </c>
      <c r="K199" t="s">
        <v>1175</v>
      </c>
      <c r="L199" t="s">
        <v>231</v>
      </c>
      <c r="M199" t="s">
        <v>151</v>
      </c>
      <c r="N199" s="2"/>
      <c r="O199" s="4"/>
    </row>
    <row r="200" spans="1:15" ht="12.75" customHeight="1" x14ac:dyDescent="0.2">
      <c r="A200" s="369">
        <v>301580</v>
      </c>
      <c r="B200" t="s">
        <v>278</v>
      </c>
      <c r="C200" s="342">
        <v>4343</v>
      </c>
      <c r="D200" s="342">
        <v>4152</v>
      </c>
      <c r="E200" s="342">
        <v>8495</v>
      </c>
      <c r="F200" s="342">
        <v>506036206.75456601</v>
      </c>
      <c r="G200" s="342">
        <v>567545323.95752597</v>
      </c>
      <c r="H200" s="342">
        <v>1073581530.71209</v>
      </c>
      <c r="I200" s="342">
        <v>-1808092.45</v>
      </c>
      <c r="J200" t="s">
        <v>176</v>
      </c>
      <c r="K200" t="s">
        <v>1175</v>
      </c>
      <c r="L200" t="s">
        <v>178</v>
      </c>
      <c r="M200" t="s">
        <v>151</v>
      </c>
      <c r="N200" s="2"/>
      <c r="O200" s="4"/>
    </row>
    <row r="201" spans="1:15" ht="12.75" customHeight="1" x14ac:dyDescent="0.2">
      <c r="A201" s="369">
        <v>806869</v>
      </c>
      <c r="B201" t="s">
        <v>453</v>
      </c>
      <c r="C201" s="342">
        <v>4024</v>
      </c>
      <c r="D201" s="342">
        <v>4385</v>
      </c>
      <c r="E201" s="342">
        <v>8409</v>
      </c>
      <c r="F201" s="342">
        <v>411014611.15624601</v>
      </c>
      <c r="G201" s="342">
        <v>536086124.439776</v>
      </c>
      <c r="H201" s="342">
        <v>947100735.59602296</v>
      </c>
      <c r="I201" s="342">
        <v>-8940511.2400000002</v>
      </c>
      <c r="J201" t="s">
        <v>201</v>
      </c>
      <c r="K201" t="s">
        <v>1174</v>
      </c>
      <c r="L201" t="s">
        <v>346</v>
      </c>
      <c r="M201" t="s">
        <v>151</v>
      </c>
      <c r="N201" s="2"/>
      <c r="O201" s="4"/>
    </row>
    <row r="202" spans="1:15" ht="12.75" customHeight="1" x14ac:dyDescent="0.2">
      <c r="A202" s="369">
        <v>848069</v>
      </c>
      <c r="B202" t="s">
        <v>1166</v>
      </c>
      <c r="C202" s="342">
        <v>3278</v>
      </c>
      <c r="D202" s="342">
        <v>5081</v>
      </c>
      <c r="E202" s="342">
        <v>8359</v>
      </c>
      <c r="F202" s="342">
        <v>353824588.14531898</v>
      </c>
      <c r="G202" s="342">
        <v>661307294.98375702</v>
      </c>
      <c r="H202" s="342">
        <v>1015131883.12907</v>
      </c>
      <c r="I202" s="342">
        <v>-3927584.75</v>
      </c>
      <c r="J202" t="s">
        <v>224</v>
      </c>
      <c r="K202" t="s">
        <v>1177</v>
      </c>
      <c r="L202" t="s">
        <v>225</v>
      </c>
      <c r="M202" t="s">
        <v>46</v>
      </c>
      <c r="N202" s="2"/>
      <c r="O202" s="4"/>
    </row>
    <row r="203" spans="1:15" ht="12.75" customHeight="1" x14ac:dyDescent="0.2">
      <c r="A203" s="369">
        <v>336826</v>
      </c>
      <c r="B203" t="s">
        <v>298</v>
      </c>
      <c r="C203" s="342">
        <v>3819</v>
      </c>
      <c r="D203" s="342">
        <v>4363</v>
      </c>
      <c r="E203" s="342">
        <v>8182</v>
      </c>
      <c r="F203" s="342">
        <v>282411958.47390097</v>
      </c>
      <c r="G203" s="342">
        <v>375326216.42214203</v>
      </c>
      <c r="H203" s="342">
        <v>657738174.89604402</v>
      </c>
      <c r="I203" s="342">
        <v>-2082463.48</v>
      </c>
      <c r="J203" t="s">
        <v>179</v>
      </c>
      <c r="K203" t="s">
        <v>1175</v>
      </c>
      <c r="L203" t="s">
        <v>966</v>
      </c>
      <c r="M203" t="s">
        <v>46</v>
      </c>
      <c r="N203" s="2"/>
      <c r="O203" s="4"/>
    </row>
    <row r="204" spans="1:15" ht="12.75" customHeight="1" x14ac:dyDescent="0.2">
      <c r="A204" s="369">
        <v>721035</v>
      </c>
      <c r="B204" t="s">
        <v>432</v>
      </c>
      <c r="C204" s="342">
        <v>2957</v>
      </c>
      <c r="D204" s="342">
        <v>5059</v>
      </c>
      <c r="E204" s="342">
        <v>8016</v>
      </c>
      <c r="F204" s="342">
        <v>311866485.12277699</v>
      </c>
      <c r="G204" s="342">
        <v>638908435.42266798</v>
      </c>
      <c r="H204" s="342">
        <v>950774920.54544604</v>
      </c>
      <c r="I204" s="342">
        <v>-3208090.39</v>
      </c>
      <c r="J204" t="s">
        <v>153</v>
      </c>
      <c r="K204" t="s">
        <v>1174</v>
      </c>
      <c r="L204" t="s">
        <v>158</v>
      </c>
      <c r="M204" t="s">
        <v>46</v>
      </c>
      <c r="N204" s="2"/>
      <c r="O204" s="4"/>
    </row>
    <row r="205" spans="1:15" ht="12.75" customHeight="1" x14ac:dyDescent="0.2">
      <c r="A205" s="369">
        <v>407064</v>
      </c>
      <c r="B205" t="s">
        <v>1220</v>
      </c>
      <c r="C205" s="342">
        <v>3597</v>
      </c>
      <c r="D205" s="342">
        <v>4407</v>
      </c>
      <c r="E205" s="342">
        <v>8004</v>
      </c>
      <c r="F205" s="342">
        <v>344573020.45139998</v>
      </c>
      <c r="G205" s="342">
        <v>467651863.71711099</v>
      </c>
      <c r="H205" s="342">
        <v>812224884.16851199</v>
      </c>
      <c r="I205" s="342">
        <v>-308498.34999999998</v>
      </c>
      <c r="J205" t="s">
        <v>159</v>
      </c>
      <c r="K205" t="s">
        <v>1175</v>
      </c>
      <c r="L205" t="s">
        <v>191</v>
      </c>
      <c r="M205" t="s">
        <v>151</v>
      </c>
      <c r="N205" s="2"/>
      <c r="O205" s="4"/>
    </row>
    <row r="206" spans="1:15" ht="12.75" customHeight="1" x14ac:dyDescent="0.2">
      <c r="A206" s="369">
        <v>272898</v>
      </c>
      <c r="B206" t="s">
        <v>266</v>
      </c>
      <c r="C206" s="342">
        <v>3003</v>
      </c>
      <c r="D206" s="342">
        <v>4988</v>
      </c>
      <c r="E206" s="342">
        <v>7991</v>
      </c>
      <c r="F206" s="342">
        <v>334973099.89814001</v>
      </c>
      <c r="G206" s="342">
        <v>622098407.72281206</v>
      </c>
      <c r="H206" s="342">
        <v>957071507.62095201</v>
      </c>
      <c r="I206" s="342">
        <v>54075681.899999999</v>
      </c>
      <c r="J206" t="s">
        <v>201</v>
      </c>
      <c r="K206" t="s">
        <v>1174</v>
      </c>
      <c r="L206" t="s">
        <v>200</v>
      </c>
      <c r="M206" t="s">
        <v>151</v>
      </c>
      <c r="N206" s="2"/>
      <c r="O206" s="4"/>
    </row>
    <row r="207" spans="1:15" ht="12.75" customHeight="1" x14ac:dyDescent="0.2">
      <c r="A207" s="369">
        <v>811117</v>
      </c>
      <c r="B207" t="s">
        <v>1164</v>
      </c>
      <c r="C207" s="342">
        <v>4130</v>
      </c>
      <c r="D207" s="342">
        <v>3821</v>
      </c>
      <c r="E207" s="342">
        <v>7951</v>
      </c>
      <c r="F207" s="342">
        <v>410118761.64223403</v>
      </c>
      <c r="G207" s="342">
        <v>449941221.21231598</v>
      </c>
      <c r="H207" s="342">
        <v>860059982.85455</v>
      </c>
      <c r="I207" s="342">
        <v>-4146684.77</v>
      </c>
      <c r="J207" t="s">
        <v>190</v>
      </c>
      <c r="K207" t="s">
        <v>1175</v>
      </c>
      <c r="L207" t="s">
        <v>181</v>
      </c>
      <c r="M207" t="s">
        <v>151</v>
      </c>
      <c r="N207" s="2"/>
      <c r="O207" s="4"/>
    </row>
    <row r="208" spans="1:15" s="130" customFormat="1" ht="12.75" customHeight="1" x14ac:dyDescent="0.2">
      <c r="A208" s="369">
        <v>823096</v>
      </c>
      <c r="B208" t="s">
        <v>457</v>
      </c>
      <c r="C208" s="342">
        <v>3023</v>
      </c>
      <c r="D208" s="342">
        <v>4921</v>
      </c>
      <c r="E208" s="342">
        <v>7944</v>
      </c>
      <c r="F208" s="342">
        <v>207131596.03752601</v>
      </c>
      <c r="G208" s="342">
        <v>418458302.27761799</v>
      </c>
      <c r="H208" s="342">
        <v>625589898.31514502</v>
      </c>
      <c r="I208" s="342">
        <v>-11929390.75</v>
      </c>
      <c r="J208" t="s">
        <v>251</v>
      </c>
      <c r="K208" t="s">
        <v>1175</v>
      </c>
      <c r="L208" t="s">
        <v>262</v>
      </c>
      <c r="M208" t="s">
        <v>151</v>
      </c>
      <c r="N208" s="2"/>
    </row>
    <row r="209" spans="1:15" ht="12.75" customHeight="1" x14ac:dyDescent="0.2">
      <c r="A209" s="369">
        <v>416982</v>
      </c>
      <c r="B209" t="s">
        <v>324</v>
      </c>
      <c r="C209" s="342">
        <v>3764</v>
      </c>
      <c r="D209" s="342">
        <v>3832</v>
      </c>
      <c r="E209" s="342">
        <v>7596</v>
      </c>
      <c r="F209" s="342">
        <v>280766019.016159</v>
      </c>
      <c r="G209" s="342">
        <v>336789984.51640898</v>
      </c>
      <c r="H209" s="342">
        <v>617556003.53256798</v>
      </c>
      <c r="I209" s="342">
        <v>-187088.93</v>
      </c>
      <c r="J209" t="s">
        <v>242</v>
      </c>
      <c r="K209" t="s">
        <v>1177</v>
      </c>
      <c r="L209" t="s">
        <v>325</v>
      </c>
      <c r="M209" t="s">
        <v>46</v>
      </c>
      <c r="N209" s="2"/>
      <c r="O209" s="4"/>
    </row>
    <row r="210" spans="1:15" ht="12.75" customHeight="1" x14ac:dyDescent="0.2">
      <c r="A210" s="369">
        <v>184119</v>
      </c>
      <c r="B210" t="s">
        <v>219</v>
      </c>
      <c r="C210" s="342">
        <v>3230</v>
      </c>
      <c r="D210" s="342">
        <v>4342</v>
      </c>
      <c r="E210" s="342">
        <v>7572</v>
      </c>
      <c r="F210" s="342">
        <v>312888725.765001</v>
      </c>
      <c r="G210" s="342">
        <v>464251553.48589098</v>
      </c>
      <c r="H210" s="342">
        <v>777140279.25089204</v>
      </c>
      <c r="I210" s="342">
        <v>-12860422.15</v>
      </c>
      <c r="J210" t="s">
        <v>159</v>
      </c>
      <c r="K210" t="s">
        <v>1175</v>
      </c>
      <c r="L210" t="s">
        <v>191</v>
      </c>
      <c r="M210" t="s">
        <v>151</v>
      </c>
      <c r="N210" s="2"/>
      <c r="O210" s="4"/>
    </row>
    <row r="211" spans="1:15" ht="12.75" customHeight="1" x14ac:dyDescent="0.2">
      <c r="A211" s="369">
        <v>680124</v>
      </c>
      <c r="B211" t="s">
        <v>992</v>
      </c>
      <c r="C211" s="342">
        <v>2257</v>
      </c>
      <c r="D211" s="342">
        <v>5237</v>
      </c>
      <c r="E211" s="342">
        <v>7494</v>
      </c>
      <c r="F211" s="342">
        <v>180298794.47969601</v>
      </c>
      <c r="G211" s="342">
        <v>415306387.89803499</v>
      </c>
      <c r="H211" s="342">
        <v>595605182.37773204</v>
      </c>
      <c r="I211" s="342">
        <v>6190572.25</v>
      </c>
      <c r="J211" t="s">
        <v>159</v>
      </c>
      <c r="K211" t="s">
        <v>1175</v>
      </c>
      <c r="L211" t="s">
        <v>437</v>
      </c>
      <c r="M211" t="s">
        <v>151</v>
      </c>
      <c r="N211" s="2"/>
      <c r="O211" s="4"/>
    </row>
    <row r="212" spans="1:15" ht="12.75" customHeight="1" x14ac:dyDescent="0.2">
      <c r="A212" s="369">
        <v>433862</v>
      </c>
      <c r="B212" t="s">
        <v>1221</v>
      </c>
      <c r="C212" s="342">
        <v>2999</v>
      </c>
      <c r="D212" s="342">
        <v>4474</v>
      </c>
      <c r="E212" s="342">
        <v>7473</v>
      </c>
      <c r="F212" s="342">
        <v>159839207.317368</v>
      </c>
      <c r="G212" s="342">
        <v>332073122.30159497</v>
      </c>
      <c r="H212" s="342">
        <v>491912329.618963</v>
      </c>
      <c r="I212" s="342">
        <v>48147730.68</v>
      </c>
      <c r="J212" t="s">
        <v>253</v>
      </c>
      <c r="K212" t="s">
        <v>1176</v>
      </c>
      <c r="L212" t="s">
        <v>184</v>
      </c>
      <c r="M212" t="s">
        <v>46</v>
      </c>
      <c r="N212" s="2"/>
      <c r="O212" s="4"/>
    </row>
    <row r="213" spans="1:15" ht="12.75" customHeight="1" x14ac:dyDescent="0.2">
      <c r="A213" s="369">
        <v>517748</v>
      </c>
      <c r="B213" t="s">
        <v>1086</v>
      </c>
      <c r="C213" s="342">
        <v>2663</v>
      </c>
      <c r="D213" s="342">
        <v>4697</v>
      </c>
      <c r="E213" s="342">
        <v>7360</v>
      </c>
      <c r="F213" s="342">
        <v>226341393.81761399</v>
      </c>
      <c r="G213" s="342">
        <v>553004400.95265698</v>
      </c>
      <c r="H213" s="342">
        <v>779345794.77027202</v>
      </c>
      <c r="I213" s="342">
        <v>122212404.34</v>
      </c>
      <c r="J213" t="s">
        <v>160</v>
      </c>
      <c r="K213" t="s">
        <v>1177</v>
      </c>
      <c r="L213" t="s">
        <v>967</v>
      </c>
      <c r="M213" t="s">
        <v>46</v>
      </c>
      <c r="N213" s="2"/>
      <c r="O213" s="4"/>
    </row>
    <row r="214" spans="1:15" ht="12.75" customHeight="1" x14ac:dyDescent="0.2">
      <c r="A214" s="369">
        <v>727057</v>
      </c>
      <c r="B214" t="s">
        <v>435</v>
      </c>
      <c r="C214" s="342">
        <v>2831</v>
      </c>
      <c r="D214" s="342">
        <v>4173</v>
      </c>
      <c r="E214" s="342">
        <v>7004</v>
      </c>
      <c r="F214" s="342">
        <v>934642139.80216002</v>
      </c>
      <c r="G214" s="342">
        <v>1593369820.1832299</v>
      </c>
      <c r="H214" s="342">
        <v>2528011959.9853902</v>
      </c>
      <c r="I214" s="342">
        <v>-9541660.2100000009</v>
      </c>
      <c r="J214" t="s">
        <v>204</v>
      </c>
      <c r="K214" t="s">
        <v>1153</v>
      </c>
      <c r="L214" t="s">
        <v>338</v>
      </c>
      <c r="M214" t="s">
        <v>151</v>
      </c>
      <c r="N214" s="2"/>
      <c r="O214" s="4"/>
    </row>
    <row r="215" spans="1:15" ht="12.75" customHeight="1" x14ac:dyDescent="0.2">
      <c r="A215" s="369">
        <v>481911</v>
      </c>
      <c r="B215" t="s">
        <v>1085</v>
      </c>
      <c r="C215" s="342">
        <v>2441</v>
      </c>
      <c r="D215" s="342">
        <v>4384</v>
      </c>
      <c r="E215" s="342">
        <v>6825</v>
      </c>
      <c r="F215" s="342">
        <v>157668715.72661799</v>
      </c>
      <c r="G215" s="342">
        <v>369006106.50414902</v>
      </c>
      <c r="H215" s="342">
        <v>526674822.23076701</v>
      </c>
      <c r="I215" s="342">
        <v>-154248855.05000001</v>
      </c>
      <c r="J215" t="s">
        <v>160</v>
      </c>
      <c r="K215" t="s">
        <v>1177</v>
      </c>
      <c r="L215" t="s">
        <v>967</v>
      </c>
      <c r="M215" t="s">
        <v>46</v>
      </c>
      <c r="N215" s="2"/>
      <c r="O215" s="4"/>
    </row>
    <row r="216" spans="1:15" ht="12.75" customHeight="1" x14ac:dyDescent="0.2">
      <c r="A216" s="369">
        <v>416867</v>
      </c>
      <c r="B216" t="s">
        <v>323</v>
      </c>
      <c r="C216" s="342">
        <v>2699</v>
      </c>
      <c r="D216" s="342">
        <v>4087</v>
      </c>
      <c r="E216" s="342">
        <v>6786</v>
      </c>
      <c r="F216" s="342">
        <v>347629486.621198</v>
      </c>
      <c r="G216" s="342">
        <v>589813896.70988405</v>
      </c>
      <c r="H216" s="342">
        <v>937443383.33108306</v>
      </c>
      <c r="I216" s="342">
        <v>-289578.48</v>
      </c>
      <c r="J216" t="s">
        <v>153</v>
      </c>
      <c r="K216" t="s">
        <v>1174</v>
      </c>
      <c r="L216" t="s">
        <v>155</v>
      </c>
      <c r="M216" t="s">
        <v>151</v>
      </c>
      <c r="N216" s="2"/>
      <c r="O216" s="4"/>
    </row>
    <row r="217" spans="1:15" ht="12.75" customHeight="1" x14ac:dyDescent="0.2">
      <c r="A217" s="369">
        <v>478313</v>
      </c>
      <c r="B217" t="s">
        <v>1183</v>
      </c>
      <c r="C217" s="342">
        <v>3296</v>
      </c>
      <c r="D217" s="342">
        <v>3473</v>
      </c>
      <c r="E217" s="342">
        <v>6769</v>
      </c>
      <c r="F217" s="342">
        <v>182361349.05202699</v>
      </c>
      <c r="G217" s="342">
        <v>250878601.16132301</v>
      </c>
      <c r="H217" s="342">
        <v>433239950.21335101</v>
      </c>
      <c r="I217" s="342">
        <v>-2900643.35</v>
      </c>
      <c r="J217" t="s">
        <v>187</v>
      </c>
      <c r="K217" t="s">
        <v>1156</v>
      </c>
      <c r="L217" t="s">
        <v>346</v>
      </c>
      <c r="M217" t="s">
        <v>151</v>
      </c>
      <c r="N217" s="2"/>
      <c r="O217" s="4"/>
    </row>
    <row r="218" spans="1:15" ht="12.75" customHeight="1" x14ac:dyDescent="0.2">
      <c r="A218" s="369">
        <v>914945</v>
      </c>
      <c r="B218" t="s">
        <v>481</v>
      </c>
      <c r="C218" s="342">
        <v>2964</v>
      </c>
      <c r="D218" s="342">
        <v>3749</v>
      </c>
      <c r="E218" s="342">
        <v>6713</v>
      </c>
      <c r="F218" s="342">
        <v>188492914.661282</v>
      </c>
      <c r="G218" s="342">
        <v>296377689.71413201</v>
      </c>
      <c r="H218" s="342">
        <v>484870604.37541401</v>
      </c>
      <c r="I218" s="342">
        <v>-4828758.5599999996</v>
      </c>
      <c r="J218" t="s">
        <v>251</v>
      </c>
      <c r="K218" t="s">
        <v>1175</v>
      </c>
      <c r="L218" t="s">
        <v>178</v>
      </c>
      <c r="M218" t="s">
        <v>151</v>
      </c>
      <c r="N218" s="2"/>
      <c r="O218" s="4"/>
    </row>
    <row r="219" spans="1:15" ht="12.75" customHeight="1" x14ac:dyDescent="0.2">
      <c r="A219" s="369">
        <v>997403</v>
      </c>
      <c r="B219" t="s">
        <v>500</v>
      </c>
      <c r="C219" s="342">
        <v>3877</v>
      </c>
      <c r="D219" s="342">
        <v>2819</v>
      </c>
      <c r="E219" s="342">
        <v>6696</v>
      </c>
      <c r="F219" s="342">
        <v>918772233.71178496</v>
      </c>
      <c r="G219" s="342">
        <v>760367496.63292599</v>
      </c>
      <c r="H219" s="342">
        <v>1679139730.3447101</v>
      </c>
      <c r="I219" s="342">
        <v>2258029.08</v>
      </c>
      <c r="J219" t="s">
        <v>183</v>
      </c>
      <c r="K219" t="s">
        <v>1153</v>
      </c>
      <c r="L219" t="s">
        <v>178</v>
      </c>
      <c r="M219" t="s">
        <v>46</v>
      </c>
      <c r="N219" s="2"/>
      <c r="O219" s="4"/>
    </row>
    <row r="220" spans="1:15" ht="12.75" customHeight="1" x14ac:dyDescent="0.2">
      <c r="A220" s="369">
        <v>123901</v>
      </c>
      <c r="B220" t="s">
        <v>1195</v>
      </c>
      <c r="C220" s="342">
        <v>3579</v>
      </c>
      <c r="D220" s="342">
        <v>3044</v>
      </c>
      <c r="E220" s="342">
        <v>6623</v>
      </c>
      <c r="F220" s="342">
        <v>630586411.30838203</v>
      </c>
      <c r="G220" s="342">
        <v>587057336.13175297</v>
      </c>
      <c r="H220" s="342">
        <v>1217643747.44013</v>
      </c>
      <c r="I220" s="342">
        <v>-8436769.4000000004</v>
      </c>
      <c r="J220" t="s">
        <v>172</v>
      </c>
      <c r="K220" t="s">
        <v>1153</v>
      </c>
      <c r="L220" t="s">
        <v>182</v>
      </c>
      <c r="M220" t="s">
        <v>46</v>
      </c>
      <c r="N220" s="2"/>
      <c r="O220" s="4"/>
    </row>
    <row r="221" spans="1:15" ht="12.75" customHeight="1" x14ac:dyDescent="0.2">
      <c r="A221" s="369">
        <v>694539</v>
      </c>
      <c r="B221" t="s">
        <v>424</v>
      </c>
      <c r="C221" s="342">
        <v>3108</v>
      </c>
      <c r="D221" s="342">
        <v>3480</v>
      </c>
      <c r="E221" s="342">
        <v>6588</v>
      </c>
      <c r="F221" s="342">
        <v>441847217.08570701</v>
      </c>
      <c r="G221" s="342">
        <v>583101846.63717496</v>
      </c>
      <c r="H221" s="342">
        <v>1024949063.72288</v>
      </c>
      <c r="I221" s="342">
        <v>-525264.62</v>
      </c>
      <c r="J221" t="s">
        <v>153</v>
      </c>
      <c r="K221" t="s">
        <v>1174</v>
      </c>
      <c r="L221" t="s">
        <v>155</v>
      </c>
      <c r="M221" t="s">
        <v>151</v>
      </c>
      <c r="N221" s="2"/>
      <c r="O221" s="4"/>
    </row>
    <row r="222" spans="1:15" ht="12.75" customHeight="1" x14ac:dyDescent="0.2">
      <c r="A222" s="369">
        <v>648964</v>
      </c>
      <c r="B222" t="s">
        <v>406</v>
      </c>
      <c r="C222" s="342">
        <v>3488</v>
      </c>
      <c r="D222" s="342">
        <v>2897</v>
      </c>
      <c r="E222" s="342">
        <v>6385</v>
      </c>
      <c r="F222" s="342">
        <v>172534738.59568301</v>
      </c>
      <c r="G222" s="342">
        <v>180530225.06230101</v>
      </c>
      <c r="H222" s="342">
        <v>353064963.65798402</v>
      </c>
      <c r="I222" s="342">
        <v>-4558419.71</v>
      </c>
      <c r="J222" t="s">
        <v>156</v>
      </c>
      <c r="K222" t="s">
        <v>1156</v>
      </c>
      <c r="L222" t="s">
        <v>184</v>
      </c>
      <c r="M222" t="s">
        <v>151</v>
      </c>
      <c r="N222" s="2"/>
      <c r="O222" s="4"/>
    </row>
    <row r="223" spans="1:15" ht="12.75" customHeight="1" x14ac:dyDescent="0.2">
      <c r="A223" s="369">
        <v>587337</v>
      </c>
      <c r="B223" t="s">
        <v>390</v>
      </c>
      <c r="C223" s="342">
        <v>2579</v>
      </c>
      <c r="D223" s="342">
        <v>3700</v>
      </c>
      <c r="E223" s="342">
        <v>6279</v>
      </c>
      <c r="F223" s="342">
        <v>224873306.869223</v>
      </c>
      <c r="G223" s="342">
        <v>389709797.57068199</v>
      </c>
      <c r="H223" s="342">
        <v>614583104.43990505</v>
      </c>
      <c r="I223" s="342">
        <v>5697085.0099999998</v>
      </c>
      <c r="J223" t="s">
        <v>201</v>
      </c>
      <c r="K223" t="s">
        <v>1174</v>
      </c>
      <c r="L223" t="s">
        <v>231</v>
      </c>
      <c r="M223" t="s">
        <v>151</v>
      </c>
      <c r="N223" s="2"/>
      <c r="O223" s="4"/>
    </row>
    <row r="224" spans="1:15" ht="12.75" customHeight="1" x14ac:dyDescent="0.2">
      <c r="A224" s="369">
        <v>469817</v>
      </c>
      <c r="B224" t="s">
        <v>343</v>
      </c>
      <c r="C224" s="342">
        <v>3242</v>
      </c>
      <c r="D224" s="342">
        <v>2968</v>
      </c>
      <c r="E224" s="342">
        <v>6210</v>
      </c>
      <c r="F224" s="342">
        <v>135421240.941311</v>
      </c>
      <c r="G224" s="342">
        <v>155162683.73765501</v>
      </c>
      <c r="H224" s="342">
        <v>290583924.678967</v>
      </c>
      <c r="I224" s="342">
        <v>-1918395.25</v>
      </c>
      <c r="J224" t="s">
        <v>156</v>
      </c>
      <c r="K224" t="s">
        <v>1156</v>
      </c>
      <c r="L224" t="s">
        <v>152</v>
      </c>
      <c r="M224" t="s">
        <v>151</v>
      </c>
      <c r="N224" s="2"/>
      <c r="O224" s="4"/>
    </row>
    <row r="225" spans="1:15" ht="12.75" customHeight="1" x14ac:dyDescent="0.2">
      <c r="A225" s="369">
        <v>983593</v>
      </c>
      <c r="B225" t="s">
        <v>988</v>
      </c>
      <c r="C225" s="342">
        <v>2427</v>
      </c>
      <c r="D225" s="342">
        <v>3491</v>
      </c>
      <c r="E225" s="342">
        <v>5918</v>
      </c>
      <c r="F225" s="342">
        <v>119673557.934028</v>
      </c>
      <c r="G225" s="342">
        <v>215339500.71410999</v>
      </c>
      <c r="H225" s="342">
        <v>335013058.64813799</v>
      </c>
      <c r="I225" s="342">
        <v>-1659473.08</v>
      </c>
      <c r="J225" t="s">
        <v>306</v>
      </c>
      <c r="K225" t="s">
        <v>1175</v>
      </c>
      <c r="L225" t="s">
        <v>522</v>
      </c>
      <c r="M225" t="s">
        <v>46</v>
      </c>
      <c r="N225" s="2"/>
      <c r="O225" s="4"/>
    </row>
    <row r="226" spans="1:15" ht="12.75" customHeight="1" x14ac:dyDescent="0.2">
      <c r="A226" s="369">
        <v>490292</v>
      </c>
      <c r="B226" t="s">
        <v>353</v>
      </c>
      <c r="C226" s="342">
        <v>2592</v>
      </c>
      <c r="D226" s="342">
        <v>3258</v>
      </c>
      <c r="E226" s="342">
        <v>5850</v>
      </c>
      <c r="F226" s="342">
        <v>265377501.365641</v>
      </c>
      <c r="G226" s="342">
        <v>412675313.35892802</v>
      </c>
      <c r="H226" s="342">
        <v>678052814.72456896</v>
      </c>
      <c r="I226" s="342">
        <v>-29796844.420000002</v>
      </c>
      <c r="J226" t="s">
        <v>201</v>
      </c>
      <c r="K226" t="s">
        <v>1174</v>
      </c>
      <c r="L226" t="s">
        <v>346</v>
      </c>
      <c r="M226" t="s">
        <v>151</v>
      </c>
      <c r="N226" s="2"/>
      <c r="O226" s="4"/>
    </row>
    <row r="227" spans="1:15" ht="12.75" customHeight="1" x14ac:dyDescent="0.2">
      <c r="A227" s="369">
        <v>946285</v>
      </c>
      <c r="B227" t="s">
        <v>487</v>
      </c>
      <c r="C227" s="342">
        <v>2068</v>
      </c>
      <c r="D227" s="342">
        <v>3756</v>
      </c>
      <c r="E227" s="342">
        <v>5824</v>
      </c>
      <c r="F227" s="342">
        <v>662863520.26508796</v>
      </c>
      <c r="G227" s="342">
        <v>1425503968.34604</v>
      </c>
      <c r="H227" s="342">
        <v>2088367488.61113</v>
      </c>
      <c r="I227" s="342">
        <v>-11268996.060000001</v>
      </c>
      <c r="J227" t="s">
        <v>172</v>
      </c>
      <c r="K227" t="s">
        <v>1153</v>
      </c>
      <c r="L227" t="s">
        <v>488</v>
      </c>
      <c r="M227" t="s">
        <v>46</v>
      </c>
      <c r="N227" s="2"/>
      <c r="O227" s="4"/>
    </row>
    <row r="228" spans="1:15" ht="12.75" customHeight="1" x14ac:dyDescent="0.2">
      <c r="A228" s="369">
        <v>654459</v>
      </c>
      <c r="B228" t="s">
        <v>409</v>
      </c>
      <c r="C228" s="342">
        <v>2738</v>
      </c>
      <c r="D228" s="342">
        <v>3085</v>
      </c>
      <c r="E228" s="342">
        <v>5823</v>
      </c>
      <c r="F228" s="342">
        <v>170100980.09163499</v>
      </c>
      <c r="G228" s="342">
        <v>217013513.29784501</v>
      </c>
      <c r="H228" s="342">
        <v>387114493.38947999</v>
      </c>
      <c r="I228" s="342">
        <v>2143106.0299999998</v>
      </c>
      <c r="J228" t="s">
        <v>179</v>
      </c>
      <c r="K228" t="s">
        <v>1175</v>
      </c>
      <c r="L228" t="s">
        <v>152</v>
      </c>
      <c r="M228" t="s">
        <v>151</v>
      </c>
      <c r="N228" s="2"/>
      <c r="O228" s="4"/>
    </row>
    <row r="229" spans="1:15" ht="12.75" customHeight="1" x14ac:dyDescent="0.2">
      <c r="A229" s="369">
        <v>405704</v>
      </c>
      <c r="B229" t="s">
        <v>321</v>
      </c>
      <c r="C229" s="342">
        <v>3120</v>
      </c>
      <c r="D229" s="342">
        <v>2486</v>
      </c>
      <c r="E229" s="342">
        <v>5606</v>
      </c>
      <c r="F229" s="342">
        <v>169377379.435669</v>
      </c>
      <c r="G229" s="342">
        <v>170608381.021249</v>
      </c>
      <c r="H229" s="342">
        <v>339985760.456918</v>
      </c>
      <c r="I229" s="342">
        <v>-4168291.75</v>
      </c>
      <c r="J229" t="s">
        <v>256</v>
      </c>
      <c r="K229" t="s">
        <v>1156</v>
      </c>
      <c r="L229" t="s">
        <v>178</v>
      </c>
      <c r="M229" t="s">
        <v>46</v>
      </c>
      <c r="N229" s="2"/>
      <c r="O229" s="4"/>
    </row>
    <row r="230" spans="1:15" ht="12.75" customHeight="1" x14ac:dyDescent="0.2">
      <c r="A230" s="369">
        <v>615310</v>
      </c>
      <c r="B230" t="s">
        <v>397</v>
      </c>
      <c r="C230" s="342">
        <v>2763</v>
      </c>
      <c r="D230" s="342">
        <v>2787</v>
      </c>
      <c r="E230" s="342">
        <v>5550</v>
      </c>
      <c r="F230" s="342">
        <v>658069365.89592898</v>
      </c>
      <c r="G230" s="342">
        <v>755777321.70906305</v>
      </c>
      <c r="H230" s="342">
        <v>1413846687.60499</v>
      </c>
      <c r="I230" s="342">
        <v>-6861035.5999999996</v>
      </c>
      <c r="J230" t="s">
        <v>172</v>
      </c>
      <c r="K230" t="s">
        <v>1153</v>
      </c>
      <c r="L230" t="s">
        <v>338</v>
      </c>
      <c r="M230" t="s">
        <v>151</v>
      </c>
      <c r="N230" s="2"/>
      <c r="O230" s="4"/>
    </row>
    <row r="231" spans="1:15" ht="12.75" customHeight="1" x14ac:dyDescent="0.2">
      <c r="A231" s="369">
        <v>718205</v>
      </c>
      <c r="B231" t="s">
        <v>431</v>
      </c>
      <c r="C231" s="342">
        <v>2951</v>
      </c>
      <c r="D231" s="342">
        <v>2507</v>
      </c>
      <c r="E231" s="342">
        <v>5458</v>
      </c>
      <c r="F231" s="342">
        <v>173478779.850712</v>
      </c>
      <c r="G231" s="342">
        <v>248264774.276705</v>
      </c>
      <c r="H231" s="342">
        <v>421743554.12741703</v>
      </c>
      <c r="I231" s="342">
        <v>-1895198.02</v>
      </c>
      <c r="J231" t="s">
        <v>187</v>
      </c>
      <c r="K231" t="s">
        <v>1156</v>
      </c>
      <c r="L231" t="s">
        <v>181</v>
      </c>
      <c r="M231" t="s">
        <v>151</v>
      </c>
      <c r="N231" s="2"/>
      <c r="O231" s="4"/>
    </row>
    <row r="232" spans="1:15" ht="12.75" customHeight="1" x14ac:dyDescent="0.2">
      <c r="A232" s="369">
        <v>295857</v>
      </c>
      <c r="B232" t="s">
        <v>275</v>
      </c>
      <c r="C232" s="342">
        <v>2077</v>
      </c>
      <c r="D232" s="342">
        <v>3313</v>
      </c>
      <c r="E232" s="342">
        <v>5390</v>
      </c>
      <c r="F232" s="342">
        <v>134956565.70778799</v>
      </c>
      <c r="G232" s="342">
        <v>253162419.097947</v>
      </c>
      <c r="H232" s="342">
        <v>388118984.80573499</v>
      </c>
      <c r="I232" s="342">
        <v>-5170061.93</v>
      </c>
      <c r="J232" t="s">
        <v>169</v>
      </c>
      <c r="K232" t="s">
        <v>1175</v>
      </c>
      <c r="L232" t="s">
        <v>155</v>
      </c>
      <c r="M232" t="s">
        <v>151</v>
      </c>
      <c r="N232" s="2"/>
      <c r="O232" s="4"/>
    </row>
    <row r="233" spans="1:15" ht="12.75" customHeight="1" x14ac:dyDescent="0.2">
      <c r="A233" s="369">
        <v>916354</v>
      </c>
      <c r="B233" t="s">
        <v>1200</v>
      </c>
      <c r="C233" s="342">
        <v>2347</v>
      </c>
      <c r="D233" s="342">
        <v>2966</v>
      </c>
      <c r="E233" s="342">
        <v>5313</v>
      </c>
      <c r="F233" s="342">
        <v>176086209.81746101</v>
      </c>
      <c r="G233" s="342">
        <v>278490199.88879597</v>
      </c>
      <c r="H233" s="342">
        <v>454576409.706258</v>
      </c>
      <c r="I233" s="342">
        <v>286713877.27999997</v>
      </c>
      <c r="J233" t="s">
        <v>197</v>
      </c>
      <c r="K233" t="s">
        <v>1175</v>
      </c>
      <c r="L233" t="s">
        <v>178</v>
      </c>
      <c r="M233" t="s">
        <v>151</v>
      </c>
      <c r="N233" s="2"/>
      <c r="O233" s="4"/>
    </row>
    <row r="234" spans="1:15" ht="12.75" customHeight="1" x14ac:dyDescent="0.2">
      <c r="A234" s="369">
        <v>344739</v>
      </c>
      <c r="B234" t="s">
        <v>529</v>
      </c>
      <c r="C234" s="342">
        <v>2910</v>
      </c>
      <c r="D234" s="342">
        <v>2399</v>
      </c>
      <c r="E234" s="342">
        <v>5309</v>
      </c>
      <c r="F234" s="342">
        <v>289132440.28158897</v>
      </c>
      <c r="G234" s="342">
        <v>267607585.39011201</v>
      </c>
      <c r="H234" s="342">
        <v>556740025.67170203</v>
      </c>
      <c r="I234" s="342">
        <v>-1672310.63</v>
      </c>
      <c r="J234" t="s">
        <v>201</v>
      </c>
      <c r="K234" t="s">
        <v>1174</v>
      </c>
      <c r="L234" t="s">
        <v>283</v>
      </c>
      <c r="M234" t="s">
        <v>151</v>
      </c>
      <c r="N234" s="2"/>
      <c r="O234" s="4"/>
    </row>
    <row r="235" spans="1:15" ht="12.75" customHeight="1" x14ac:dyDescent="0.2">
      <c r="A235" s="369">
        <v>384107</v>
      </c>
      <c r="B235" t="s">
        <v>308</v>
      </c>
      <c r="C235" s="342">
        <v>2280</v>
      </c>
      <c r="D235" s="342">
        <v>2958</v>
      </c>
      <c r="E235" s="342">
        <v>5238</v>
      </c>
      <c r="F235" s="342">
        <v>209994964.86891001</v>
      </c>
      <c r="G235" s="342">
        <v>322496463.46122998</v>
      </c>
      <c r="H235" s="342">
        <v>532491428.33014101</v>
      </c>
      <c r="I235" s="342">
        <v>12607895.970000001</v>
      </c>
      <c r="J235" t="s">
        <v>197</v>
      </c>
      <c r="K235" t="s">
        <v>1175</v>
      </c>
      <c r="L235" t="s">
        <v>212</v>
      </c>
      <c r="M235" t="s">
        <v>46</v>
      </c>
      <c r="N235" s="2"/>
      <c r="O235" s="4"/>
    </row>
    <row r="236" spans="1:15" ht="12.75" customHeight="1" x14ac:dyDescent="0.2">
      <c r="A236" s="369">
        <v>791863</v>
      </c>
      <c r="B236" t="s">
        <v>1123</v>
      </c>
      <c r="C236" s="342">
        <v>2500</v>
      </c>
      <c r="D236" s="342">
        <v>2666</v>
      </c>
      <c r="E236" s="342">
        <v>5166</v>
      </c>
      <c r="F236" s="342">
        <v>133957908.750009</v>
      </c>
      <c r="G236" s="342">
        <v>155787364.17067099</v>
      </c>
      <c r="H236" s="342">
        <v>289745272.920681</v>
      </c>
      <c r="I236" s="342">
        <v>-448535.42</v>
      </c>
      <c r="J236" t="s">
        <v>159</v>
      </c>
      <c r="K236" t="s">
        <v>1175</v>
      </c>
      <c r="L236" t="s">
        <v>207</v>
      </c>
      <c r="M236" t="s">
        <v>46</v>
      </c>
      <c r="N236" s="2"/>
      <c r="O236" s="4"/>
    </row>
    <row r="237" spans="1:15" ht="12.75" customHeight="1" x14ac:dyDescent="0.2">
      <c r="A237" s="369">
        <v>174490</v>
      </c>
      <c r="B237" t="s">
        <v>1158</v>
      </c>
      <c r="C237" s="342">
        <v>2285</v>
      </c>
      <c r="D237" s="342">
        <v>2848</v>
      </c>
      <c r="E237" s="342">
        <v>5133</v>
      </c>
      <c r="F237" s="342">
        <v>84563619.938662499</v>
      </c>
      <c r="G237" s="342">
        <v>134891541.21190101</v>
      </c>
      <c r="H237" s="342">
        <v>219455161.150563</v>
      </c>
      <c r="I237" s="342">
        <v>-682109</v>
      </c>
      <c r="J237" t="s">
        <v>206</v>
      </c>
      <c r="K237" t="s">
        <v>1176</v>
      </c>
      <c r="L237" t="s">
        <v>207</v>
      </c>
      <c r="M237" t="s">
        <v>46</v>
      </c>
      <c r="N237" s="2"/>
      <c r="O237" s="4"/>
    </row>
    <row r="238" spans="1:15" ht="12.75" customHeight="1" x14ac:dyDescent="0.2">
      <c r="A238" s="369">
        <v>328021</v>
      </c>
      <c r="B238" t="s">
        <v>292</v>
      </c>
      <c r="C238" s="342">
        <v>2142</v>
      </c>
      <c r="D238" s="342">
        <v>2909</v>
      </c>
      <c r="E238" s="342">
        <v>5051</v>
      </c>
      <c r="F238" s="342">
        <v>145065801.408539</v>
      </c>
      <c r="G238" s="342">
        <v>252527818.33130199</v>
      </c>
      <c r="H238" s="342">
        <v>397593619.739842</v>
      </c>
      <c r="I238" s="342">
        <v>-6794035.04</v>
      </c>
      <c r="J238" t="s">
        <v>201</v>
      </c>
      <c r="K238" t="s">
        <v>1174</v>
      </c>
      <c r="L238" t="s">
        <v>293</v>
      </c>
      <c r="M238" t="s">
        <v>151</v>
      </c>
      <c r="N238" s="2"/>
      <c r="O238" s="4"/>
    </row>
    <row r="239" spans="1:15" ht="12.75" customHeight="1" x14ac:dyDescent="0.2">
      <c r="A239" s="369">
        <v>829945</v>
      </c>
      <c r="B239" t="s">
        <v>1165</v>
      </c>
      <c r="C239" s="342">
        <v>2671</v>
      </c>
      <c r="D239" s="342">
        <v>2343</v>
      </c>
      <c r="E239" s="342">
        <v>5014</v>
      </c>
      <c r="F239" s="342">
        <v>210075767.93539801</v>
      </c>
      <c r="G239" s="342">
        <v>214601679.05811799</v>
      </c>
      <c r="H239" s="342">
        <v>424677446.99351698</v>
      </c>
      <c r="I239" s="342">
        <v>-1749679.98</v>
      </c>
      <c r="J239" t="s">
        <v>183</v>
      </c>
      <c r="K239" t="s">
        <v>1153</v>
      </c>
      <c r="L239" t="s">
        <v>991</v>
      </c>
      <c r="M239" t="s">
        <v>46</v>
      </c>
      <c r="N239" s="2"/>
      <c r="O239" s="4"/>
    </row>
    <row r="240" spans="1:15" ht="12.75" customHeight="1" x14ac:dyDescent="0.2">
      <c r="A240" s="369">
        <v>717496</v>
      </c>
      <c r="B240" t="s">
        <v>428</v>
      </c>
      <c r="C240" s="342">
        <v>1995</v>
      </c>
      <c r="D240" s="342">
        <v>2952</v>
      </c>
      <c r="E240" s="342">
        <v>4947</v>
      </c>
      <c r="F240" s="342">
        <v>140069611.91328701</v>
      </c>
      <c r="G240" s="342">
        <v>250921606.89056799</v>
      </c>
      <c r="H240" s="342">
        <v>390991218.803855</v>
      </c>
      <c r="I240" s="342">
        <v>209580785.28999999</v>
      </c>
      <c r="J240" t="s">
        <v>159</v>
      </c>
      <c r="K240" t="s">
        <v>1175</v>
      </c>
      <c r="L240" t="s">
        <v>212</v>
      </c>
      <c r="M240" t="s">
        <v>46</v>
      </c>
      <c r="N240" s="2"/>
      <c r="O240" s="4"/>
    </row>
    <row r="241" spans="1:15" ht="12.75" customHeight="1" x14ac:dyDescent="0.2">
      <c r="A241" s="369">
        <v>403642</v>
      </c>
      <c r="B241" t="s">
        <v>318</v>
      </c>
      <c r="C241" s="342">
        <v>2925</v>
      </c>
      <c r="D241" s="342">
        <v>1996</v>
      </c>
      <c r="E241" s="342">
        <v>4921</v>
      </c>
      <c r="F241" s="342">
        <v>128797864.85943399</v>
      </c>
      <c r="G241" s="342">
        <v>114468743.54023901</v>
      </c>
      <c r="H241" s="342">
        <v>243266608.39967301</v>
      </c>
      <c r="I241" s="342">
        <v>-1288302.82</v>
      </c>
      <c r="J241" t="s">
        <v>319</v>
      </c>
      <c r="K241" t="s">
        <v>1153</v>
      </c>
      <c r="L241" t="s">
        <v>152</v>
      </c>
      <c r="M241" t="s">
        <v>151</v>
      </c>
      <c r="N241" s="2"/>
      <c r="O241" s="4"/>
    </row>
    <row r="242" spans="1:15" ht="12.75" customHeight="1" x14ac:dyDescent="0.2">
      <c r="A242" s="369">
        <v>870907</v>
      </c>
      <c r="B242" t="s">
        <v>472</v>
      </c>
      <c r="C242" s="342">
        <v>1972</v>
      </c>
      <c r="D242" s="342">
        <v>2887</v>
      </c>
      <c r="E242" s="342">
        <v>4859</v>
      </c>
      <c r="F242" s="342">
        <v>149170930.66525301</v>
      </c>
      <c r="G242" s="342">
        <v>247344529.426974</v>
      </c>
      <c r="H242" s="342">
        <v>396515460.092228</v>
      </c>
      <c r="I242" s="342">
        <v>-830304.35</v>
      </c>
      <c r="J242" t="s">
        <v>169</v>
      </c>
      <c r="K242" t="s">
        <v>1175</v>
      </c>
      <c r="L242" t="s">
        <v>334</v>
      </c>
      <c r="M242" t="s">
        <v>46</v>
      </c>
      <c r="N242" s="2"/>
      <c r="O242" s="4"/>
    </row>
    <row r="243" spans="1:15" ht="12.75" customHeight="1" x14ac:dyDescent="0.2">
      <c r="A243" s="369">
        <v>183178</v>
      </c>
      <c r="B243" t="s">
        <v>218</v>
      </c>
      <c r="C243" s="342">
        <v>2229</v>
      </c>
      <c r="D243" s="342">
        <v>2484</v>
      </c>
      <c r="E243" s="342">
        <v>4713</v>
      </c>
      <c r="F243" s="342">
        <v>187522547.421289</v>
      </c>
      <c r="G243" s="342">
        <v>245136172.463851</v>
      </c>
      <c r="H243" s="342">
        <v>432658719.88514102</v>
      </c>
      <c r="I243" s="342">
        <v>-782697.25</v>
      </c>
      <c r="J243" t="s">
        <v>194</v>
      </c>
      <c r="K243" t="s">
        <v>1176</v>
      </c>
      <c r="L243" t="s">
        <v>162</v>
      </c>
      <c r="M243" t="s">
        <v>46</v>
      </c>
      <c r="N243" s="2"/>
      <c r="O243" s="4"/>
    </row>
    <row r="244" spans="1:15" ht="12.75" customHeight="1" x14ac:dyDescent="0.2">
      <c r="A244" s="369">
        <v>300996</v>
      </c>
      <c r="B244" t="s">
        <v>972</v>
      </c>
      <c r="C244" s="342">
        <v>2038</v>
      </c>
      <c r="D244" s="342">
        <v>2645</v>
      </c>
      <c r="E244" s="342">
        <v>4683</v>
      </c>
      <c r="F244" s="342">
        <v>213274498.61582601</v>
      </c>
      <c r="G244" s="342">
        <v>320135524.45322299</v>
      </c>
      <c r="H244" s="342">
        <v>533410023.06905001</v>
      </c>
      <c r="I244" s="342">
        <v>-2653140.37</v>
      </c>
      <c r="J244" t="s">
        <v>197</v>
      </c>
      <c r="K244" t="s">
        <v>1175</v>
      </c>
      <c r="L244" t="s">
        <v>966</v>
      </c>
      <c r="M244" t="s">
        <v>46</v>
      </c>
      <c r="N244" s="2"/>
      <c r="O244" s="4"/>
    </row>
    <row r="245" spans="1:15" ht="12.75" customHeight="1" x14ac:dyDescent="0.2">
      <c r="A245" s="369">
        <v>242081</v>
      </c>
      <c r="B245" t="s">
        <v>247</v>
      </c>
      <c r="C245" s="342">
        <v>2474</v>
      </c>
      <c r="D245" s="342">
        <v>2209</v>
      </c>
      <c r="E245" s="342">
        <v>4683</v>
      </c>
      <c r="F245" s="342">
        <v>138840562.48714399</v>
      </c>
      <c r="G245" s="342">
        <v>167791110.30716899</v>
      </c>
      <c r="H245" s="342">
        <v>306631672.79431403</v>
      </c>
      <c r="I245" s="342">
        <v>-6580872.6900000004</v>
      </c>
      <c r="J245" t="s">
        <v>156</v>
      </c>
      <c r="K245" t="s">
        <v>1156</v>
      </c>
      <c r="L245" t="s">
        <v>231</v>
      </c>
      <c r="M245" t="s">
        <v>151</v>
      </c>
      <c r="N245" s="2"/>
      <c r="O245" s="4"/>
    </row>
    <row r="246" spans="1:15" ht="12.75" customHeight="1" x14ac:dyDescent="0.2">
      <c r="A246" s="369">
        <v>487108</v>
      </c>
      <c r="B246" t="s">
        <v>352</v>
      </c>
      <c r="C246" s="342">
        <v>1665</v>
      </c>
      <c r="D246" s="342">
        <v>2962</v>
      </c>
      <c r="E246" s="342">
        <v>4627</v>
      </c>
      <c r="F246" s="342">
        <v>151671991.88134599</v>
      </c>
      <c r="G246" s="342">
        <v>308711716.11265999</v>
      </c>
      <c r="H246" s="342">
        <v>460383707.99400598</v>
      </c>
      <c r="I246" s="342">
        <v>6398995.9900000002</v>
      </c>
      <c r="J246" t="s">
        <v>243</v>
      </c>
      <c r="K246" t="s">
        <v>1177</v>
      </c>
      <c r="L246" t="s">
        <v>293</v>
      </c>
      <c r="M246" t="s">
        <v>151</v>
      </c>
      <c r="N246" s="2"/>
      <c r="O246" s="4"/>
    </row>
    <row r="247" spans="1:15" ht="12.75" customHeight="1" x14ac:dyDescent="0.2">
      <c r="A247" s="369">
        <v>613133</v>
      </c>
      <c r="B247" t="s">
        <v>396</v>
      </c>
      <c r="C247" s="342">
        <v>2622</v>
      </c>
      <c r="D247" s="342">
        <v>1976</v>
      </c>
      <c r="E247" s="342">
        <v>4598</v>
      </c>
      <c r="F247" s="342">
        <v>126766942.33353201</v>
      </c>
      <c r="G247" s="342">
        <v>121487792.27207901</v>
      </c>
      <c r="H247" s="342">
        <v>248254734.60561201</v>
      </c>
      <c r="I247" s="342">
        <v>-2475409.48</v>
      </c>
      <c r="J247" t="s">
        <v>187</v>
      </c>
      <c r="K247" t="s">
        <v>1156</v>
      </c>
      <c r="L247" t="s">
        <v>184</v>
      </c>
      <c r="M247" t="s">
        <v>151</v>
      </c>
      <c r="N247" s="2"/>
      <c r="O247" s="4"/>
    </row>
    <row r="248" spans="1:15" ht="12.75" customHeight="1" x14ac:dyDescent="0.2">
      <c r="A248" s="369">
        <v>553578</v>
      </c>
      <c r="B248" t="s">
        <v>981</v>
      </c>
      <c r="C248" s="342">
        <v>1603</v>
      </c>
      <c r="D248" s="342">
        <v>2980</v>
      </c>
      <c r="E248" s="342">
        <v>4583</v>
      </c>
      <c r="F248" s="342">
        <v>116258965.57499</v>
      </c>
      <c r="G248" s="342">
        <v>265517488.421859</v>
      </c>
      <c r="H248" s="342">
        <v>381776453.996849</v>
      </c>
      <c r="I248" s="342">
        <v>-6573674.1200000001</v>
      </c>
      <c r="J248" t="s">
        <v>160</v>
      </c>
      <c r="K248" t="s">
        <v>1177</v>
      </c>
      <c r="L248" t="s">
        <v>967</v>
      </c>
      <c r="M248" t="s">
        <v>46</v>
      </c>
      <c r="N248" s="2"/>
      <c r="O248" s="4"/>
    </row>
    <row r="249" spans="1:15" ht="12.75" customHeight="1" x14ac:dyDescent="0.2">
      <c r="A249" s="369">
        <v>861757</v>
      </c>
      <c r="B249" t="s">
        <v>1231</v>
      </c>
      <c r="C249" s="342">
        <v>2070</v>
      </c>
      <c r="D249" s="342">
        <v>2397</v>
      </c>
      <c r="E249" s="342">
        <v>4467</v>
      </c>
      <c r="F249" s="342">
        <v>173755814.750424</v>
      </c>
      <c r="G249" s="342">
        <v>243394514.49454999</v>
      </c>
      <c r="H249" s="342">
        <v>417150329.24497497</v>
      </c>
      <c r="I249" s="342">
        <v>11582308.74</v>
      </c>
      <c r="J249" t="s">
        <v>190</v>
      </c>
      <c r="K249" t="s">
        <v>1175</v>
      </c>
      <c r="L249" t="s">
        <v>184</v>
      </c>
      <c r="M249" t="s">
        <v>46</v>
      </c>
      <c r="N249" s="2"/>
      <c r="O249" s="4"/>
    </row>
    <row r="250" spans="1:15" ht="12.75" customHeight="1" x14ac:dyDescent="0.2">
      <c r="A250" s="369">
        <v>167114</v>
      </c>
      <c r="B250" t="s">
        <v>503</v>
      </c>
      <c r="C250" s="342">
        <v>2399</v>
      </c>
      <c r="D250" s="342">
        <v>2026</v>
      </c>
      <c r="E250" s="342">
        <v>4425</v>
      </c>
      <c r="F250" s="342">
        <v>268885050.37028301</v>
      </c>
      <c r="G250" s="342">
        <v>283875735.46908599</v>
      </c>
      <c r="H250" s="342">
        <v>552760785.83937001</v>
      </c>
      <c r="I250" s="342">
        <v>-1887203.18</v>
      </c>
      <c r="J250" t="s">
        <v>208</v>
      </c>
      <c r="K250" t="s">
        <v>1150</v>
      </c>
      <c r="L250" t="s">
        <v>181</v>
      </c>
      <c r="M250" t="s">
        <v>151</v>
      </c>
      <c r="N250" s="2"/>
      <c r="O250" s="4"/>
    </row>
    <row r="251" spans="1:15" ht="12.75" customHeight="1" x14ac:dyDescent="0.2">
      <c r="A251" s="369">
        <v>625236</v>
      </c>
      <c r="B251" t="s">
        <v>1090</v>
      </c>
      <c r="C251" s="342">
        <v>1735</v>
      </c>
      <c r="D251" s="342">
        <v>2632</v>
      </c>
      <c r="E251" s="342">
        <v>4367</v>
      </c>
      <c r="F251" s="342">
        <v>149661979.13132</v>
      </c>
      <c r="G251" s="342">
        <v>277387704.74832702</v>
      </c>
      <c r="H251" s="342">
        <v>427049683.87964797</v>
      </c>
      <c r="I251" s="342">
        <v>-254629659.61000001</v>
      </c>
      <c r="J251" t="s">
        <v>197</v>
      </c>
      <c r="K251" t="s">
        <v>1175</v>
      </c>
      <c r="L251" t="s">
        <v>967</v>
      </c>
      <c r="M251" t="s">
        <v>46</v>
      </c>
      <c r="N251" s="2"/>
      <c r="O251" s="4"/>
    </row>
    <row r="252" spans="1:15" ht="12.75" customHeight="1" x14ac:dyDescent="0.2">
      <c r="A252" s="369">
        <v>661066</v>
      </c>
      <c r="B252" t="s">
        <v>1092</v>
      </c>
      <c r="C252" s="342">
        <v>1982</v>
      </c>
      <c r="D252" s="342">
        <v>2356</v>
      </c>
      <c r="E252" s="342">
        <v>4338</v>
      </c>
      <c r="F252" s="342">
        <v>77709001.647642896</v>
      </c>
      <c r="G252" s="342">
        <v>128753503.511911</v>
      </c>
      <c r="H252" s="342">
        <v>206462505.15955299</v>
      </c>
      <c r="I252" s="342">
        <v>452057.28</v>
      </c>
      <c r="J252" t="s">
        <v>229</v>
      </c>
      <c r="K252" t="s">
        <v>1175</v>
      </c>
      <c r="L252" t="s">
        <v>967</v>
      </c>
      <c r="M252" t="s">
        <v>46</v>
      </c>
      <c r="N252" s="2"/>
      <c r="O252" s="4"/>
    </row>
    <row r="253" spans="1:15" ht="12.75" customHeight="1" x14ac:dyDescent="0.2">
      <c r="A253" s="369">
        <v>330324</v>
      </c>
      <c r="B253" t="s">
        <v>1178</v>
      </c>
      <c r="C253" s="342">
        <v>1486</v>
      </c>
      <c r="D253" s="342">
        <v>2839</v>
      </c>
      <c r="E253" s="342">
        <v>4325</v>
      </c>
      <c r="F253" s="342">
        <v>98236997.034593701</v>
      </c>
      <c r="G253" s="342">
        <v>242505951.508461</v>
      </c>
      <c r="H253" s="342">
        <v>340742948.543055</v>
      </c>
      <c r="I253" s="342">
        <v>-21162204.850000001</v>
      </c>
      <c r="J253" t="s">
        <v>160</v>
      </c>
      <c r="K253" t="s">
        <v>1177</v>
      </c>
      <c r="L253" t="s">
        <v>1179</v>
      </c>
      <c r="M253" t="s">
        <v>46</v>
      </c>
      <c r="N253" s="2"/>
      <c r="O253" s="4"/>
    </row>
    <row r="254" spans="1:15" ht="12.75" customHeight="1" x14ac:dyDescent="0.2">
      <c r="A254" s="369">
        <v>484923</v>
      </c>
      <c r="B254" t="s">
        <v>350</v>
      </c>
      <c r="C254" s="342">
        <v>2125</v>
      </c>
      <c r="D254" s="342">
        <v>2101</v>
      </c>
      <c r="E254" s="342">
        <v>4226</v>
      </c>
      <c r="F254" s="342">
        <v>200057471.453024</v>
      </c>
      <c r="G254" s="342">
        <v>241601949.85959101</v>
      </c>
      <c r="H254" s="342">
        <v>441659421.31261599</v>
      </c>
      <c r="I254" s="342">
        <v>439351.79</v>
      </c>
      <c r="J254" t="s">
        <v>190</v>
      </c>
      <c r="K254" t="s">
        <v>1175</v>
      </c>
      <c r="L254" t="s">
        <v>178</v>
      </c>
      <c r="M254" t="s">
        <v>151</v>
      </c>
      <c r="N254" s="2"/>
      <c r="O254" s="4"/>
    </row>
    <row r="255" spans="1:15" ht="12.75" customHeight="1" x14ac:dyDescent="0.2">
      <c r="A255" s="369">
        <v>768556</v>
      </c>
      <c r="B255" t="s">
        <v>1095</v>
      </c>
      <c r="C255" s="342">
        <v>2158</v>
      </c>
      <c r="D255" s="342">
        <v>2037</v>
      </c>
      <c r="E255" s="342">
        <v>4195</v>
      </c>
      <c r="F255" s="342">
        <v>108295184.87789901</v>
      </c>
      <c r="G255" s="342">
        <v>130089534.12061401</v>
      </c>
      <c r="H255" s="342">
        <v>238384718.99851301</v>
      </c>
      <c r="I255" s="342">
        <v>-5763984.4100000001</v>
      </c>
      <c r="J255" t="s">
        <v>197</v>
      </c>
      <c r="K255" t="s">
        <v>1175</v>
      </c>
      <c r="L255" t="s">
        <v>967</v>
      </c>
      <c r="M255" t="s">
        <v>46</v>
      </c>
      <c r="N255" s="2"/>
      <c r="O255" s="4"/>
    </row>
    <row r="256" spans="1:15" ht="12.75" customHeight="1" x14ac:dyDescent="0.2">
      <c r="A256" s="369">
        <v>331983</v>
      </c>
      <c r="B256" t="s">
        <v>295</v>
      </c>
      <c r="C256" s="342">
        <v>2459</v>
      </c>
      <c r="D256" s="342">
        <v>1693</v>
      </c>
      <c r="E256" s="342">
        <v>4152</v>
      </c>
      <c r="F256" s="342">
        <v>75274755.957401499</v>
      </c>
      <c r="G256" s="342">
        <v>77433293.467702299</v>
      </c>
      <c r="H256" s="342">
        <v>152708049.42510301</v>
      </c>
      <c r="I256" s="342">
        <v>-584241.43000000005</v>
      </c>
      <c r="J256" t="s">
        <v>156</v>
      </c>
      <c r="K256" t="s">
        <v>1156</v>
      </c>
      <c r="L256" t="s">
        <v>152</v>
      </c>
      <c r="M256" t="s">
        <v>151</v>
      </c>
      <c r="N256" s="2"/>
      <c r="O256" s="4"/>
    </row>
    <row r="257" spans="1:15" ht="12.75" customHeight="1" x14ac:dyDescent="0.2">
      <c r="A257" s="369">
        <v>846527</v>
      </c>
      <c r="B257" t="s">
        <v>1230</v>
      </c>
      <c r="C257" s="342">
        <v>2125</v>
      </c>
      <c r="D257" s="342">
        <v>1989</v>
      </c>
      <c r="E257" s="342">
        <v>4114</v>
      </c>
      <c r="F257" s="342">
        <v>218734789.90623</v>
      </c>
      <c r="G257" s="342">
        <v>249535067.439924</v>
      </c>
      <c r="H257" s="342">
        <v>468269857.34615499</v>
      </c>
      <c r="I257" s="342">
        <v>21555259.469999999</v>
      </c>
      <c r="J257" t="s">
        <v>201</v>
      </c>
      <c r="K257" t="s">
        <v>1174</v>
      </c>
      <c r="L257" t="s">
        <v>178</v>
      </c>
      <c r="M257" t="s">
        <v>46</v>
      </c>
      <c r="N257" s="2"/>
      <c r="O257" s="4"/>
    </row>
    <row r="258" spans="1:15" ht="12.75" customHeight="1" x14ac:dyDescent="0.2">
      <c r="A258" s="369">
        <v>537639</v>
      </c>
      <c r="B258" t="s">
        <v>541</v>
      </c>
      <c r="C258" s="342">
        <v>1896</v>
      </c>
      <c r="D258" s="342">
        <v>2190</v>
      </c>
      <c r="E258" s="342">
        <v>4086</v>
      </c>
      <c r="F258" s="342">
        <v>132310197.667299</v>
      </c>
      <c r="G258" s="342">
        <v>179690029.988419</v>
      </c>
      <c r="H258" s="342">
        <v>312000227.65571803</v>
      </c>
      <c r="I258" s="342">
        <v>-2747154.36</v>
      </c>
      <c r="J258" t="s">
        <v>163</v>
      </c>
      <c r="K258" t="s">
        <v>1156</v>
      </c>
      <c r="L258" t="s">
        <v>393</v>
      </c>
      <c r="M258" t="s">
        <v>46</v>
      </c>
      <c r="N258" s="2"/>
      <c r="O258" s="4"/>
    </row>
    <row r="259" spans="1:15" ht="12.75" customHeight="1" x14ac:dyDescent="0.2">
      <c r="A259" s="369">
        <v>668269</v>
      </c>
      <c r="B259" t="s">
        <v>415</v>
      </c>
      <c r="C259" s="342">
        <v>1782</v>
      </c>
      <c r="D259" s="342">
        <v>2302</v>
      </c>
      <c r="E259" s="342">
        <v>4084</v>
      </c>
      <c r="F259" s="342">
        <v>133444280.63714001</v>
      </c>
      <c r="G259" s="342">
        <v>216323091.99695501</v>
      </c>
      <c r="H259" s="342">
        <v>349767372.63409501</v>
      </c>
      <c r="I259" s="342">
        <v>-1764438.75</v>
      </c>
      <c r="J259" t="s">
        <v>190</v>
      </c>
      <c r="K259" t="s">
        <v>1175</v>
      </c>
      <c r="L259" t="s">
        <v>240</v>
      </c>
      <c r="M259" t="s">
        <v>46</v>
      </c>
      <c r="N259" s="2"/>
      <c r="O259" s="4"/>
    </row>
    <row r="260" spans="1:15" ht="12.75" customHeight="1" x14ac:dyDescent="0.2">
      <c r="A260" s="369">
        <v>973263</v>
      </c>
      <c r="B260" t="s">
        <v>1172</v>
      </c>
      <c r="C260" s="342">
        <v>2016</v>
      </c>
      <c r="D260" s="342">
        <v>2058</v>
      </c>
      <c r="E260" s="342">
        <v>4074</v>
      </c>
      <c r="F260" s="342">
        <v>199797441.268756</v>
      </c>
      <c r="G260" s="342">
        <v>235256291.860383</v>
      </c>
      <c r="H260" s="342">
        <v>435053733.12913901</v>
      </c>
      <c r="I260" s="342">
        <v>-2843136.21</v>
      </c>
      <c r="J260" t="s">
        <v>201</v>
      </c>
      <c r="K260" t="s">
        <v>1174</v>
      </c>
      <c r="L260" t="s">
        <v>991</v>
      </c>
      <c r="M260" t="s">
        <v>46</v>
      </c>
      <c r="N260" s="2"/>
      <c r="O260" s="4"/>
    </row>
    <row r="261" spans="1:15" ht="12.75" customHeight="1" x14ac:dyDescent="0.2">
      <c r="A261" s="369">
        <v>562728</v>
      </c>
      <c r="B261" t="s">
        <v>380</v>
      </c>
      <c r="C261" s="342">
        <v>1909</v>
      </c>
      <c r="D261" s="342">
        <v>2147</v>
      </c>
      <c r="E261" s="342">
        <v>4056</v>
      </c>
      <c r="F261" s="342">
        <v>124820641.465762</v>
      </c>
      <c r="G261" s="342">
        <v>165571386.197745</v>
      </c>
      <c r="H261" s="342">
        <v>290392027.66350698</v>
      </c>
      <c r="I261" s="342">
        <v>-13517369.359999999</v>
      </c>
      <c r="J261" t="s">
        <v>194</v>
      </c>
      <c r="K261" t="s">
        <v>1176</v>
      </c>
      <c r="L261" t="s">
        <v>297</v>
      </c>
      <c r="M261" t="s">
        <v>46</v>
      </c>
      <c r="N261" s="2"/>
      <c r="O261" s="4"/>
    </row>
    <row r="262" spans="1:15" ht="12.75" customHeight="1" x14ac:dyDescent="0.2">
      <c r="A262" s="369">
        <v>560599</v>
      </c>
      <c r="B262" t="s">
        <v>378</v>
      </c>
      <c r="C262" s="342">
        <v>1506</v>
      </c>
      <c r="D262" s="342">
        <v>2518</v>
      </c>
      <c r="E262" s="342">
        <v>4024</v>
      </c>
      <c r="F262" s="342">
        <v>153674314.35345</v>
      </c>
      <c r="G262" s="342">
        <v>328318342.278144</v>
      </c>
      <c r="H262" s="342">
        <v>481992656.63159502</v>
      </c>
      <c r="I262" s="342">
        <v>2453393.1</v>
      </c>
      <c r="J262" t="s">
        <v>163</v>
      </c>
      <c r="K262" t="s">
        <v>1156</v>
      </c>
      <c r="L262" t="s">
        <v>200</v>
      </c>
      <c r="M262" t="s">
        <v>151</v>
      </c>
      <c r="N262" s="2"/>
      <c r="O262" s="4"/>
    </row>
    <row r="263" spans="1:15" ht="12.75" customHeight="1" x14ac:dyDescent="0.2">
      <c r="A263" s="369">
        <v>104786</v>
      </c>
      <c r="B263" t="s">
        <v>154</v>
      </c>
      <c r="C263" s="342">
        <v>1938</v>
      </c>
      <c r="D263" s="342">
        <v>2057</v>
      </c>
      <c r="E263" s="342">
        <v>3995</v>
      </c>
      <c r="F263" s="342">
        <v>106309822.47633401</v>
      </c>
      <c r="G263" s="342">
        <v>136818659.67882299</v>
      </c>
      <c r="H263" s="342">
        <v>243128482.155157</v>
      </c>
      <c r="I263" s="342">
        <v>19515.669999999998</v>
      </c>
      <c r="J263" t="s">
        <v>156</v>
      </c>
      <c r="K263" t="s">
        <v>1156</v>
      </c>
      <c r="L263" t="s">
        <v>155</v>
      </c>
      <c r="M263" t="s">
        <v>151</v>
      </c>
      <c r="N263" s="2"/>
      <c r="O263" s="4"/>
    </row>
    <row r="264" spans="1:15" ht="12.75" customHeight="1" x14ac:dyDescent="0.2">
      <c r="A264" s="369">
        <v>449090</v>
      </c>
      <c r="B264" t="s">
        <v>339</v>
      </c>
      <c r="C264" s="342">
        <v>1858</v>
      </c>
      <c r="D264" s="342">
        <v>2067</v>
      </c>
      <c r="E264" s="342">
        <v>3925</v>
      </c>
      <c r="F264" s="342">
        <v>78167627.923535004</v>
      </c>
      <c r="G264" s="342">
        <v>111863720.06801499</v>
      </c>
      <c r="H264" s="342">
        <v>190031347.99155</v>
      </c>
      <c r="I264" s="342">
        <v>1274732.3</v>
      </c>
      <c r="J264" t="s">
        <v>306</v>
      </c>
      <c r="K264" t="s">
        <v>1175</v>
      </c>
      <c r="L264" t="s">
        <v>178</v>
      </c>
      <c r="M264" t="s">
        <v>151</v>
      </c>
      <c r="N264" s="2"/>
      <c r="O264" s="4"/>
    </row>
    <row r="265" spans="1:15" ht="12.75" customHeight="1" x14ac:dyDescent="0.2">
      <c r="A265" s="369">
        <v>320176</v>
      </c>
      <c r="B265" t="s">
        <v>539</v>
      </c>
      <c r="C265" s="342">
        <v>1460</v>
      </c>
      <c r="D265" s="342">
        <v>2412</v>
      </c>
      <c r="E265" s="342">
        <v>3872</v>
      </c>
      <c r="F265" s="342">
        <v>159230257.73918301</v>
      </c>
      <c r="G265" s="342">
        <v>286611703.10042697</v>
      </c>
      <c r="H265" s="342">
        <v>445841960.83961099</v>
      </c>
      <c r="I265" s="342">
        <v>29831009.010000002</v>
      </c>
      <c r="J265" t="s">
        <v>259</v>
      </c>
      <c r="K265" t="s">
        <v>1177</v>
      </c>
      <c r="L265" t="s">
        <v>234</v>
      </c>
      <c r="M265" t="s">
        <v>151</v>
      </c>
      <c r="N265" s="2"/>
      <c r="O265" s="4"/>
    </row>
    <row r="266" spans="1:15" ht="12.75" customHeight="1" x14ac:dyDescent="0.2">
      <c r="A266" s="369">
        <v>420463</v>
      </c>
      <c r="B266" t="s">
        <v>327</v>
      </c>
      <c r="C266" s="342">
        <v>1483</v>
      </c>
      <c r="D266" s="342">
        <v>2343</v>
      </c>
      <c r="E266" s="342">
        <v>3826</v>
      </c>
      <c r="F266" s="342">
        <v>181973842.100649</v>
      </c>
      <c r="G266" s="342">
        <v>307195532.23955601</v>
      </c>
      <c r="H266" s="342">
        <v>489169374.34020501</v>
      </c>
      <c r="I266" s="342">
        <v>-7398284.8399999999</v>
      </c>
      <c r="J266" t="s">
        <v>153</v>
      </c>
      <c r="K266" t="s">
        <v>1174</v>
      </c>
      <c r="L266" t="s">
        <v>240</v>
      </c>
      <c r="M266" t="s">
        <v>46</v>
      </c>
      <c r="N266" s="2"/>
      <c r="O266" s="4"/>
    </row>
    <row r="267" spans="1:15" ht="12.75" customHeight="1" x14ac:dyDescent="0.2">
      <c r="A267" s="369">
        <v>570044</v>
      </c>
      <c r="B267" t="s">
        <v>382</v>
      </c>
      <c r="C267" s="342">
        <v>1723</v>
      </c>
      <c r="D267" s="342">
        <v>2100</v>
      </c>
      <c r="E267" s="342">
        <v>3823</v>
      </c>
      <c r="F267" s="342">
        <v>139727331.170398</v>
      </c>
      <c r="G267" s="342">
        <v>202006822.65515</v>
      </c>
      <c r="H267" s="342">
        <v>341734153.82554901</v>
      </c>
      <c r="I267" s="342">
        <v>-1252068</v>
      </c>
      <c r="J267" t="s">
        <v>194</v>
      </c>
      <c r="K267" t="s">
        <v>1176</v>
      </c>
      <c r="L267" t="s">
        <v>240</v>
      </c>
      <c r="M267" t="s">
        <v>46</v>
      </c>
      <c r="N267" s="2"/>
      <c r="O267" s="4"/>
    </row>
    <row r="268" spans="1:15" ht="12.75" customHeight="1" x14ac:dyDescent="0.2">
      <c r="A268" s="369">
        <v>981175</v>
      </c>
      <c r="B268" t="s">
        <v>496</v>
      </c>
      <c r="C268" s="342">
        <v>2588</v>
      </c>
      <c r="D268" s="342">
        <v>1220</v>
      </c>
      <c r="E268" s="342">
        <v>3808</v>
      </c>
      <c r="F268" s="342">
        <v>94684954.614719003</v>
      </c>
      <c r="G268" s="342">
        <v>45636932.925830998</v>
      </c>
      <c r="H268" s="342">
        <v>140321887.54054999</v>
      </c>
      <c r="I268" s="342">
        <v>741326.48</v>
      </c>
      <c r="J268" t="s">
        <v>172</v>
      </c>
      <c r="K268" t="s">
        <v>1153</v>
      </c>
      <c r="L268" t="s">
        <v>155</v>
      </c>
      <c r="M268" t="s">
        <v>151</v>
      </c>
      <c r="N268" s="2"/>
      <c r="O268" s="4"/>
    </row>
    <row r="269" spans="1:15" ht="12.75" customHeight="1" x14ac:dyDescent="0.2">
      <c r="A269" s="369">
        <v>642298</v>
      </c>
      <c r="B269" t="s">
        <v>403</v>
      </c>
      <c r="C269" s="342">
        <v>2029</v>
      </c>
      <c r="D269" s="342">
        <v>1766</v>
      </c>
      <c r="E269" s="342">
        <v>3795</v>
      </c>
      <c r="F269" s="342">
        <v>133250579.001803</v>
      </c>
      <c r="G269" s="342">
        <v>134406670.02590799</v>
      </c>
      <c r="H269" s="342">
        <v>267657249.02771199</v>
      </c>
      <c r="I269" s="342">
        <v>-717390.15</v>
      </c>
      <c r="J269" t="s">
        <v>251</v>
      </c>
      <c r="K269" t="s">
        <v>1175</v>
      </c>
      <c r="L269" t="s">
        <v>155</v>
      </c>
      <c r="M269" t="s">
        <v>151</v>
      </c>
      <c r="N269" s="2"/>
      <c r="O269" s="4"/>
    </row>
    <row r="270" spans="1:15" ht="12.75" customHeight="1" x14ac:dyDescent="0.2">
      <c r="A270" s="369">
        <v>265512</v>
      </c>
      <c r="B270" t="s">
        <v>261</v>
      </c>
      <c r="C270" s="342">
        <v>1560</v>
      </c>
      <c r="D270" s="342">
        <v>2232</v>
      </c>
      <c r="E270" s="342">
        <v>3792</v>
      </c>
      <c r="F270" s="342">
        <v>170472441.03613099</v>
      </c>
      <c r="G270" s="342">
        <v>316423085.82209897</v>
      </c>
      <c r="H270" s="342">
        <v>486895526.85823101</v>
      </c>
      <c r="I270" s="342">
        <v>-15800487.76</v>
      </c>
      <c r="J270" t="s">
        <v>156</v>
      </c>
      <c r="K270" t="s">
        <v>1156</v>
      </c>
      <c r="L270" t="s">
        <v>262</v>
      </c>
      <c r="M270" t="s">
        <v>151</v>
      </c>
      <c r="N270" s="2"/>
      <c r="O270" s="4"/>
    </row>
    <row r="271" spans="1:15" ht="12.75" customHeight="1" x14ac:dyDescent="0.2">
      <c r="A271" s="369">
        <v>388298</v>
      </c>
      <c r="B271" t="s">
        <v>313</v>
      </c>
      <c r="C271" s="342">
        <v>1650</v>
      </c>
      <c r="D271" s="342">
        <v>2032</v>
      </c>
      <c r="E271" s="342">
        <v>3682</v>
      </c>
      <c r="F271" s="342">
        <v>162556675.93951401</v>
      </c>
      <c r="G271" s="342">
        <v>223276358.71364</v>
      </c>
      <c r="H271" s="342">
        <v>385833034.65315503</v>
      </c>
      <c r="I271" s="342">
        <v>-2013493.92</v>
      </c>
      <c r="J271" t="s">
        <v>190</v>
      </c>
      <c r="K271" t="s">
        <v>1175</v>
      </c>
      <c r="L271" t="s">
        <v>222</v>
      </c>
      <c r="M271" t="s">
        <v>46</v>
      </c>
      <c r="N271" s="2"/>
      <c r="O271" s="4"/>
    </row>
    <row r="272" spans="1:15" ht="12.75" customHeight="1" x14ac:dyDescent="0.2">
      <c r="A272" s="369">
        <v>700310</v>
      </c>
      <c r="B272" t="s">
        <v>425</v>
      </c>
      <c r="C272" s="342">
        <v>1826</v>
      </c>
      <c r="D272" s="342">
        <v>1800</v>
      </c>
      <c r="E272" s="342">
        <v>3626</v>
      </c>
      <c r="F272" s="342">
        <v>74151944.741865799</v>
      </c>
      <c r="G272" s="342">
        <v>87280606.764767602</v>
      </c>
      <c r="H272" s="342">
        <v>161432551.50663301</v>
      </c>
      <c r="I272" s="342">
        <v>-643953.96</v>
      </c>
      <c r="J272" t="s">
        <v>192</v>
      </c>
      <c r="K272" t="s">
        <v>1156</v>
      </c>
      <c r="L272" t="s">
        <v>240</v>
      </c>
      <c r="M272" t="s">
        <v>46</v>
      </c>
      <c r="N272" s="2"/>
      <c r="O272" s="4"/>
    </row>
    <row r="273" spans="1:15" ht="12.75" customHeight="1" x14ac:dyDescent="0.2">
      <c r="A273" s="369">
        <v>374421</v>
      </c>
      <c r="B273" t="s">
        <v>1081</v>
      </c>
      <c r="C273" s="342">
        <v>1435</v>
      </c>
      <c r="D273" s="342">
        <v>2179</v>
      </c>
      <c r="E273" s="342">
        <v>3614</v>
      </c>
      <c r="F273" s="342">
        <v>121717689.928433</v>
      </c>
      <c r="G273" s="342">
        <v>215971207.168704</v>
      </c>
      <c r="H273" s="342">
        <v>337688897.09713697</v>
      </c>
      <c r="I273" s="342">
        <v>-3519956.8</v>
      </c>
      <c r="J273" t="s">
        <v>242</v>
      </c>
      <c r="K273" t="s">
        <v>1177</v>
      </c>
      <c r="L273" t="s">
        <v>967</v>
      </c>
      <c r="M273" t="s">
        <v>46</v>
      </c>
      <c r="N273" s="2"/>
      <c r="O273" s="4"/>
    </row>
    <row r="274" spans="1:15" ht="12.75" customHeight="1" x14ac:dyDescent="0.2">
      <c r="A274" s="369">
        <v>496729</v>
      </c>
      <c r="B274" t="s">
        <v>1012</v>
      </c>
      <c r="C274" s="342">
        <v>1106</v>
      </c>
      <c r="D274" s="342">
        <v>2482</v>
      </c>
      <c r="E274" s="342">
        <v>3588</v>
      </c>
      <c r="F274" s="342">
        <v>92284869.823956594</v>
      </c>
      <c r="G274" s="342">
        <v>243345562.27200499</v>
      </c>
      <c r="H274" s="342">
        <v>335630432.09596199</v>
      </c>
      <c r="I274" s="342">
        <v>14992094.140000001</v>
      </c>
      <c r="J274" t="s">
        <v>224</v>
      </c>
      <c r="K274" t="s">
        <v>1177</v>
      </c>
      <c r="L274" t="s">
        <v>212</v>
      </c>
      <c r="M274" t="s">
        <v>46</v>
      </c>
      <c r="N274" s="2"/>
      <c r="O274" s="4"/>
    </row>
    <row r="275" spans="1:15" ht="12.75" customHeight="1" x14ac:dyDescent="0.2">
      <c r="A275" s="369">
        <v>678128</v>
      </c>
      <c r="B275" t="s">
        <v>418</v>
      </c>
      <c r="C275" s="342">
        <v>1696</v>
      </c>
      <c r="D275" s="342">
        <v>1828</v>
      </c>
      <c r="E275" s="342">
        <v>3524</v>
      </c>
      <c r="F275" s="342">
        <v>159145057.314605</v>
      </c>
      <c r="G275" s="342">
        <v>191908463.90024099</v>
      </c>
      <c r="H275" s="342">
        <v>351053521.21484601</v>
      </c>
      <c r="I275" s="342">
        <v>-516844.2</v>
      </c>
      <c r="J275" t="s">
        <v>197</v>
      </c>
      <c r="K275" t="s">
        <v>1175</v>
      </c>
      <c r="L275" t="s">
        <v>155</v>
      </c>
      <c r="M275" t="s">
        <v>151</v>
      </c>
      <c r="N275" s="2"/>
      <c r="O275" s="4"/>
    </row>
    <row r="276" spans="1:15" ht="12.75" customHeight="1" x14ac:dyDescent="0.2">
      <c r="A276" s="369">
        <v>214163</v>
      </c>
      <c r="B276" t="s">
        <v>233</v>
      </c>
      <c r="C276" s="342">
        <v>1843</v>
      </c>
      <c r="D276" s="342">
        <v>1668</v>
      </c>
      <c r="E276" s="342">
        <v>3511</v>
      </c>
      <c r="F276" s="342">
        <v>81094553.678764403</v>
      </c>
      <c r="G276" s="342">
        <v>116748951.618788</v>
      </c>
      <c r="H276" s="342">
        <v>197843505.297553</v>
      </c>
      <c r="I276" s="342">
        <v>-3846749.6</v>
      </c>
      <c r="J276" t="s">
        <v>187</v>
      </c>
      <c r="K276" t="s">
        <v>1156</v>
      </c>
      <c r="L276" t="s">
        <v>234</v>
      </c>
      <c r="M276" t="s">
        <v>151</v>
      </c>
      <c r="N276" s="2"/>
      <c r="O276" s="4"/>
    </row>
    <row r="277" spans="1:15" ht="12.75" customHeight="1" x14ac:dyDescent="0.2">
      <c r="A277" s="369">
        <v>302760</v>
      </c>
      <c r="B277" t="s">
        <v>1077</v>
      </c>
      <c r="C277" s="342">
        <v>1677</v>
      </c>
      <c r="D277" s="342">
        <v>1799</v>
      </c>
      <c r="E277" s="342">
        <v>3476</v>
      </c>
      <c r="F277" s="342">
        <v>90042436.830725193</v>
      </c>
      <c r="G277" s="342">
        <v>107205839.54225799</v>
      </c>
      <c r="H277" s="342">
        <v>197248276.37298301</v>
      </c>
      <c r="I277" s="342">
        <v>-184896.67</v>
      </c>
      <c r="J277" t="s">
        <v>172</v>
      </c>
      <c r="K277" t="s">
        <v>1153</v>
      </c>
      <c r="L277" t="s">
        <v>967</v>
      </c>
      <c r="M277" t="s">
        <v>46</v>
      </c>
      <c r="N277" s="2"/>
      <c r="O277" s="4"/>
    </row>
    <row r="278" spans="1:15" ht="12.75" customHeight="1" x14ac:dyDescent="0.2">
      <c r="A278" s="369">
        <v>147348</v>
      </c>
      <c r="B278" t="s">
        <v>193</v>
      </c>
      <c r="C278" s="342">
        <v>1497</v>
      </c>
      <c r="D278" s="342">
        <v>1971</v>
      </c>
      <c r="E278" s="342">
        <v>3468</v>
      </c>
      <c r="F278" s="342">
        <v>131866076.032943</v>
      </c>
      <c r="G278" s="342">
        <v>213066252.14909601</v>
      </c>
      <c r="H278" s="342">
        <v>344932328.18203998</v>
      </c>
      <c r="I278" s="342">
        <v>-1430517.86</v>
      </c>
      <c r="J278" t="s">
        <v>194</v>
      </c>
      <c r="K278" t="s">
        <v>1176</v>
      </c>
      <c r="L278" t="s">
        <v>162</v>
      </c>
      <c r="M278" t="s">
        <v>46</v>
      </c>
      <c r="N278" s="2"/>
      <c r="O278" s="4"/>
    </row>
    <row r="279" spans="1:15" ht="12.75" customHeight="1" x14ac:dyDescent="0.2">
      <c r="A279" s="369">
        <v>582791</v>
      </c>
      <c r="B279" t="s">
        <v>388</v>
      </c>
      <c r="C279" s="342">
        <v>1485</v>
      </c>
      <c r="D279" s="342">
        <v>1926</v>
      </c>
      <c r="E279" s="342">
        <v>3411</v>
      </c>
      <c r="F279" s="342">
        <v>68841328.509919897</v>
      </c>
      <c r="G279" s="342">
        <v>104860143.06761201</v>
      </c>
      <c r="H279" s="342">
        <v>173701471.57753199</v>
      </c>
      <c r="I279" s="342">
        <v>-700364.42</v>
      </c>
      <c r="J279" t="s">
        <v>206</v>
      </c>
      <c r="K279" t="s">
        <v>1176</v>
      </c>
      <c r="L279" t="s">
        <v>152</v>
      </c>
      <c r="M279" t="s">
        <v>151</v>
      </c>
      <c r="N279" s="2"/>
      <c r="O279" s="4"/>
    </row>
    <row r="280" spans="1:15" ht="12.75" customHeight="1" x14ac:dyDescent="0.2">
      <c r="A280" s="369">
        <v>332156</v>
      </c>
      <c r="B280" t="s">
        <v>296</v>
      </c>
      <c r="C280" s="342">
        <v>1282</v>
      </c>
      <c r="D280" s="342">
        <v>2095</v>
      </c>
      <c r="E280" s="342">
        <v>3377</v>
      </c>
      <c r="F280" s="342">
        <v>126589862.170416</v>
      </c>
      <c r="G280" s="342">
        <v>239310317.85471201</v>
      </c>
      <c r="H280" s="342">
        <v>365900180.02512801</v>
      </c>
      <c r="I280" s="342">
        <v>206350391.05000001</v>
      </c>
      <c r="J280" t="s">
        <v>259</v>
      </c>
      <c r="K280" t="s">
        <v>1177</v>
      </c>
      <c r="L280" t="s">
        <v>297</v>
      </c>
      <c r="M280" t="s">
        <v>46</v>
      </c>
      <c r="N280" s="2"/>
      <c r="O280" s="4"/>
    </row>
    <row r="281" spans="1:15" ht="12.75" customHeight="1" x14ac:dyDescent="0.2">
      <c r="A281" s="369">
        <v>524702</v>
      </c>
      <c r="B281" t="s">
        <v>366</v>
      </c>
      <c r="C281" s="342">
        <v>1800</v>
      </c>
      <c r="D281" s="342">
        <v>1567</v>
      </c>
      <c r="E281" s="342">
        <v>3367</v>
      </c>
      <c r="F281" s="342">
        <v>88353978.779278398</v>
      </c>
      <c r="G281" s="342">
        <v>102247235.409785</v>
      </c>
      <c r="H281" s="342">
        <v>190601214.18906301</v>
      </c>
      <c r="I281" s="342">
        <v>-2937252.41</v>
      </c>
      <c r="J281" t="s">
        <v>156</v>
      </c>
      <c r="K281" t="s">
        <v>1156</v>
      </c>
      <c r="L281" t="s">
        <v>181</v>
      </c>
      <c r="M281" t="s">
        <v>151</v>
      </c>
      <c r="N281" s="2"/>
      <c r="O281" s="4"/>
    </row>
    <row r="282" spans="1:15" ht="12.75" customHeight="1" x14ac:dyDescent="0.2">
      <c r="A282" s="369">
        <v>551804</v>
      </c>
      <c r="B282" t="s">
        <v>376</v>
      </c>
      <c r="C282" s="342">
        <v>1562</v>
      </c>
      <c r="D282" s="342">
        <v>1792</v>
      </c>
      <c r="E282" s="342">
        <v>3354</v>
      </c>
      <c r="F282" s="342">
        <v>64032316.752806596</v>
      </c>
      <c r="G282" s="342">
        <v>99572000.590150207</v>
      </c>
      <c r="H282" s="342">
        <v>163604317.34295601</v>
      </c>
      <c r="I282" s="342">
        <v>890921.13</v>
      </c>
      <c r="J282" t="s">
        <v>166</v>
      </c>
      <c r="K282" t="s">
        <v>1156</v>
      </c>
      <c r="L282" t="s">
        <v>966</v>
      </c>
      <c r="M282" t="s">
        <v>46</v>
      </c>
      <c r="N282" s="2"/>
      <c r="O282" s="4"/>
    </row>
    <row r="283" spans="1:15" ht="12.75" customHeight="1" x14ac:dyDescent="0.2">
      <c r="A283" s="369">
        <v>639633</v>
      </c>
      <c r="B283" t="s">
        <v>533</v>
      </c>
      <c r="C283" s="342">
        <v>1642</v>
      </c>
      <c r="D283" s="342">
        <v>1710</v>
      </c>
      <c r="E283" s="342">
        <v>3352</v>
      </c>
      <c r="F283" s="342">
        <v>56646569.671558097</v>
      </c>
      <c r="G283" s="342">
        <v>70600813.071932599</v>
      </c>
      <c r="H283" s="342">
        <v>127247382.74349</v>
      </c>
      <c r="I283" s="342">
        <v>-163215.70000000001</v>
      </c>
      <c r="J283" t="s">
        <v>172</v>
      </c>
      <c r="K283" t="s">
        <v>1153</v>
      </c>
      <c r="L283" t="s">
        <v>178</v>
      </c>
      <c r="M283" t="s">
        <v>46</v>
      </c>
      <c r="N283" s="2"/>
      <c r="O283" s="4"/>
    </row>
    <row r="284" spans="1:15" ht="12.75" customHeight="1" x14ac:dyDescent="0.2">
      <c r="A284" s="369">
        <v>103606</v>
      </c>
      <c r="B284" t="s">
        <v>150</v>
      </c>
      <c r="C284" s="342">
        <v>1363</v>
      </c>
      <c r="D284" s="342">
        <v>1949</v>
      </c>
      <c r="E284" s="342">
        <v>3312</v>
      </c>
      <c r="F284" s="342">
        <v>199110954.12579301</v>
      </c>
      <c r="G284" s="342">
        <v>323515210.33230197</v>
      </c>
      <c r="H284" s="342">
        <v>522626164.45809603</v>
      </c>
      <c r="I284" s="342">
        <v>-2075710.63</v>
      </c>
      <c r="J284" t="s">
        <v>153</v>
      </c>
      <c r="K284" t="s">
        <v>1174</v>
      </c>
      <c r="L284" t="s">
        <v>152</v>
      </c>
      <c r="M284" t="s">
        <v>151</v>
      </c>
      <c r="N284" s="2"/>
      <c r="O284" s="4"/>
    </row>
    <row r="285" spans="1:15" ht="12.75" customHeight="1" x14ac:dyDescent="0.2">
      <c r="A285" s="369">
        <v>280867</v>
      </c>
      <c r="B285" t="s">
        <v>267</v>
      </c>
      <c r="C285" s="342">
        <v>1639</v>
      </c>
      <c r="D285" s="342">
        <v>1645</v>
      </c>
      <c r="E285" s="342">
        <v>3284</v>
      </c>
      <c r="F285" s="342">
        <v>105038725.76195499</v>
      </c>
      <c r="G285" s="342">
        <v>117065347.962718</v>
      </c>
      <c r="H285" s="342">
        <v>222104073.724673</v>
      </c>
      <c r="I285" s="342">
        <v>-831419.27</v>
      </c>
      <c r="J285" t="s">
        <v>179</v>
      </c>
      <c r="K285" t="s">
        <v>1175</v>
      </c>
      <c r="L285" t="s">
        <v>297</v>
      </c>
      <c r="M285" t="s">
        <v>46</v>
      </c>
      <c r="N285" s="2"/>
      <c r="O285" s="4"/>
    </row>
    <row r="286" spans="1:15" ht="12.75" customHeight="1" x14ac:dyDescent="0.2">
      <c r="A286" s="369">
        <v>976506</v>
      </c>
      <c r="B286" t="s">
        <v>535</v>
      </c>
      <c r="C286" s="342">
        <v>1605</v>
      </c>
      <c r="D286" s="342">
        <v>1629</v>
      </c>
      <c r="E286" s="342">
        <v>3234</v>
      </c>
      <c r="F286" s="342">
        <v>131880976.552499</v>
      </c>
      <c r="G286" s="342">
        <v>153742220.899611</v>
      </c>
      <c r="H286" s="342">
        <v>285623197.45211101</v>
      </c>
      <c r="I286" s="342">
        <v>2659361.61</v>
      </c>
      <c r="J286" t="s">
        <v>243</v>
      </c>
      <c r="K286" t="s">
        <v>1177</v>
      </c>
      <c r="L286" t="s">
        <v>393</v>
      </c>
      <c r="M286" t="s">
        <v>46</v>
      </c>
      <c r="N286" s="2"/>
      <c r="O286" s="4"/>
    </row>
    <row r="287" spans="1:15" ht="12.75" customHeight="1" x14ac:dyDescent="0.2">
      <c r="A287" s="369">
        <v>832360</v>
      </c>
      <c r="B287" t="s">
        <v>460</v>
      </c>
      <c r="C287" s="342">
        <v>1669</v>
      </c>
      <c r="D287" s="342">
        <v>1560</v>
      </c>
      <c r="E287" s="342">
        <v>3229</v>
      </c>
      <c r="F287" s="342">
        <v>251603635.950966</v>
      </c>
      <c r="G287" s="342">
        <v>279330619.589553</v>
      </c>
      <c r="H287" s="342">
        <v>530934255.540519</v>
      </c>
      <c r="I287" s="342">
        <v>850894.59</v>
      </c>
      <c r="J287" t="s">
        <v>236</v>
      </c>
      <c r="K287" t="s">
        <v>1150</v>
      </c>
      <c r="L287" t="s">
        <v>231</v>
      </c>
      <c r="M287" t="s">
        <v>151</v>
      </c>
      <c r="N287" s="2"/>
      <c r="O287" s="4"/>
    </row>
    <row r="288" spans="1:15" ht="12.75" customHeight="1" x14ac:dyDescent="0.2">
      <c r="A288" s="369">
        <v>479840</v>
      </c>
      <c r="B288" t="s">
        <v>348</v>
      </c>
      <c r="C288" s="342">
        <v>1217</v>
      </c>
      <c r="D288" s="342">
        <v>1956</v>
      </c>
      <c r="E288" s="342">
        <v>3173</v>
      </c>
      <c r="F288" s="342">
        <v>79881283.491627797</v>
      </c>
      <c r="G288" s="342">
        <v>151455126.75007501</v>
      </c>
      <c r="H288" s="342">
        <v>231336410.241703</v>
      </c>
      <c r="I288" s="342">
        <v>3813300.25</v>
      </c>
      <c r="J288" t="s">
        <v>179</v>
      </c>
      <c r="K288" t="s">
        <v>1175</v>
      </c>
      <c r="L288" t="s">
        <v>231</v>
      </c>
      <c r="M288" t="s">
        <v>151</v>
      </c>
      <c r="N288" s="2"/>
      <c r="O288" s="4"/>
    </row>
    <row r="289" spans="1:15" ht="12.75" customHeight="1" x14ac:dyDescent="0.2">
      <c r="A289" s="369">
        <v>687442</v>
      </c>
      <c r="B289" t="s">
        <v>420</v>
      </c>
      <c r="C289" s="342">
        <v>1125</v>
      </c>
      <c r="D289" s="342">
        <v>2008</v>
      </c>
      <c r="E289" s="342">
        <v>3133</v>
      </c>
      <c r="F289" s="342">
        <v>78873046.1473106</v>
      </c>
      <c r="G289" s="342">
        <v>181520735.160099</v>
      </c>
      <c r="H289" s="342">
        <v>260393781.30741</v>
      </c>
      <c r="I289" s="342">
        <v>-34581429.840000004</v>
      </c>
      <c r="J289" t="s">
        <v>194</v>
      </c>
      <c r="K289" t="s">
        <v>1176</v>
      </c>
      <c r="L289" t="s">
        <v>173</v>
      </c>
      <c r="M289" t="s">
        <v>46</v>
      </c>
      <c r="N289" s="2"/>
      <c r="O289" s="4"/>
    </row>
    <row r="290" spans="1:15" ht="12.75" customHeight="1" x14ac:dyDescent="0.2">
      <c r="A290" s="369">
        <v>296327</v>
      </c>
      <c r="B290" t="s">
        <v>276</v>
      </c>
      <c r="C290" s="342">
        <v>1415</v>
      </c>
      <c r="D290" s="342">
        <v>1623</v>
      </c>
      <c r="E290" s="342">
        <v>3038</v>
      </c>
      <c r="F290" s="342">
        <v>99226087.4084941</v>
      </c>
      <c r="G290" s="342">
        <v>137347858.174914</v>
      </c>
      <c r="H290" s="342">
        <v>236573945.583408</v>
      </c>
      <c r="I290" s="342">
        <v>4143456.38</v>
      </c>
      <c r="J290" t="s">
        <v>194</v>
      </c>
      <c r="K290" t="s">
        <v>1176</v>
      </c>
      <c r="L290" t="s">
        <v>175</v>
      </c>
      <c r="M290" t="s">
        <v>46</v>
      </c>
      <c r="N290" s="2"/>
      <c r="O290" s="4"/>
    </row>
    <row r="291" spans="1:15" ht="12.75" customHeight="1" x14ac:dyDescent="0.2">
      <c r="A291" s="369">
        <v>131409</v>
      </c>
      <c r="B291" t="s">
        <v>1208</v>
      </c>
      <c r="C291" s="342">
        <v>1605</v>
      </c>
      <c r="D291" s="342">
        <v>1415</v>
      </c>
      <c r="E291" s="342">
        <v>3020</v>
      </c>
      <c r="F291" s="342">
        <v>83544160.789403096</v>
      </c>
      <c r="G291" s="342">
        <v>90422508.173112705</v>
      </c>
      <c r="H291" s="342">
        <v>173966668.962515</v>
      </c>
      <c r="I291" s="342">
        <v>-2678080.87</v>
      </c>
      <c r="J291" t="s">
        <v>156</v>
      </c>
      <c r="K291" t="s">
        <v>1156</v>
      </c>
      <c r="L291" t="s">
        <v>184</v>
      </c>
      <c r="M291" t="s">
        <v>46</v>
      </c>
      <c r="N291" s="20"/>
      <c r="O291" s="4"/>
    </row>
    <row r="292" spans="1:15" ht="12.75" customHeight="1" x14ac:dyDescent="0.2">
      <c r="A292" s="369">
        <v>391896</v>
      </c>
      <c r="B292" t="s">
        <v>1082</v>
      </c>
      <c r="C292" s="342">
        <v>1014</v>
      </c>
      <c r="D292" s="342">
        <v>2005</v>
      </c>
      <c r="E292" s="342">
        <v>3019</v>
      </c>
      <c r="F292" s="342">
        <v>84309784.154237002</v>
      </c>
      <c r="G292" s="342">
        <v>192682079.967601</v>
      </c>
      <c r="H292" s="342">
        <v>276991864.12183797</v>
      </c>
      <c r="I292" s="342">
        <v>-18435653.23</v>
      </c>
      <c r="J292" t="s">
        <v>245</v>
      </c>
      <c r="K292" t="s">
        <v>1176</v>
      </c>
      <c r="L292" t="s">
        <v>967</v>
      </c>
      <c r="M292" t="s">
        <v>46</v>
      </c>
      <c r="N292" s="2"/>
      <c r="O292" s="4"/>
    </row>
    <row r="293" spans="1:15" ht="12.75" customHeight="1" x14ac:dyDescent="0.2">
      <c r="A293" s="369">
        <v>865774</v>
      </c>
      <c r="B293" t="s">
        <v>1167</v>
      </c>
      <c r="C293" s="342">
        <v>1550</v>
      </c>
      <c r="D293" s="342">
        <v>1456</v>
      </c>
      <c r="E293" s="342">
        <v>3006</v>
      </c>
      <c r="F293" s="342">
        <v>70738388.346290097</v>
      </c>
      <c r="G293" s="342">
        <v>88002553.150369301</v>
      </c>
      <c r="H293" s="342">
        <v>158740941.49665901</v>
      </c>
      <c r="I293" s="342">
        <v>-1573177.31</v>
      </c>
      <c r="J293" t="s">
        <v>187</v>
      </c>
      <c r="K293" t="s">
        <v>1156</v>
      </c>
      <c r="L293" t="s">
        <v>991</v>
      </c>
      <c r="M293" t="s">
        <v>46</v>
      </c>
      <c r="N293" s="2"/>
      <c r="O293" s="4"/>
    </row>
    <row r="294" spans="1:15" ht="12.75" customHeight="1" x14ac:dyDescent="0.2">
      <c r="A294" s="369">
        <v>111518</v>
      </c>
      <c r="B294" t="s">
        <v>161</v>
      </c>
      <c r="C294" s="342">
        <v>1531</v>
      </c>
      <c r="D294" s="342">
        <v>1387</v>
      </c>
      <c r="E294" s="342">
        <v>2918</v>
      </c>
      <c r="F294" s="342">
        <v>57676779.647674002</v>
      </c>
      <c r="G294" s="342">
        <v>67472424.430379406</v>
      </c>
      <c r="H294" s="342">
        <v>125149204.078053</v>
      </c>
      <c r="I294" s="342">
        <v>-3738611.34</v>
      </c>
      <c r="J294" t="s">
        <v>163</v>
      </c>
      <c r="K294" t="s">
        <v>1156</v>
      </c>
      <c r="L294" t="s">
        <v>162</v>
      </c>
      <c r="M294" t="s">
        <v>46</v>
      </c>
      <c r="N294" s="2"/>
      <c r="O294" s="4"/>
    </row>
    <row r="295" spans="1:15" ht="12.75" customHeight="1" x14ac:dyDescent="0.2">
      <c r="A295" s="369">
        <v>408484</v>
      </c>
      <c r="B295" t="s">
        <v>322</v>
      </c>
      <c r="C295" s="342">
        <v>1517</v>
      </c>
      <c r="D295" s="342">
        <v>1365</v>
      </c>
      <c r="E295" s="342">
        <v>2882</v>
      </c>
      <c r="F295" s="342">
        <v>80321804.761236295</v>
      </c>
      <c r="G295" s="342">
        <v>85617336.539797693</v>
      </c>
      <c r="H295" s="342">
        <v>165939141.301034</v>
      </c>
      <c r="I295" s="342">
        <v>-1253443.67</v>
      </c>
      <c r="J295" t="s">
        <v>183</v>
      </c>
      <c r="K295" t="s">
        <v>1153</v>
      </c>
      <c r="L295" t="s">
        <v>966</v>
      </c>
      <c r="M295" t="s">
        <v>46</v>
      </c>
      <c r="N295" s="2"/>
      <c r="O295" s="4"/>
    </row>
    <row r="296" spans="1:15" ht="12.75" customHeight="1" x14ac:dyDescent="0.2">
      <c r="A296" s="369">
        <v>715955</v>
      </c>
      <c r="B296" t="s">
        <v>993</v>
      </c>
      <c r="C296" s="342">
        <v>727</v>
      </c>
      <c r="D296" s="342">
        <v>2117</v>
      </c>
      <c r="E296" s="342">
        <v>2844</v>
      </c>
      <c r="F296" s="342">
        <v>44301936.350005202</v>
      </c>
      <c r="G296" s="342">
        <v>127924569.15563799</v>
      </c>
      <c r="H296" s="342">
        <v>172226505.50564399</v>
      </c>
      <c r="I296" s="342">
        <v>-958174.35</v>
      </c>
      <c r="J296" t="s">
        <v>169</v>
      </c>
      <c r="K296" t="s">
        <v>1175</v>
      </c>
      <c r="L296" t="s">
        <v>437</v>
      </c>
      <c r="M296" t="s">
        <v>151</v>
      </c>
      <c r="N296" s="2"/>
      <c r="O296" s="4"/>
    </row>
    <row r="297" spans="1:15" ht="12.75" customHeight="1" x14ac:dyDescent="0.2">
      <c r="A297" s="369">
        <v>785907</v>
      </c>
      <c r="B297" t="s">
        <v>450</v>
      </c>
      <c r="C297" s="342">
        <v>1270</v>
      </c>
      <c r="D297" s="342">
        <v>1519</v>
      </c>
      <c r="E297" s="342">
        <v>2789</v>
      </c>
      <c r="F297" s="342">
        <v>126714501.691635</v>
      </c>
      <c r="G297" s="342">
        <v>173293288.963734</v>
      </c>
      <c r="H297" s="342">
        <v>300007790.65536898</v>
      </c>
      <c r="I297" s="342">
        <v>3927031.16</v>
      </c>
      <c r="J297" t="s">
        <v>159</v>
      </c>
      <c r="K297" t="s">
        <v>1175</v>
      </c>
      <c r="L297" t="s">
        <v>181</v>
      </c>
      <c r="M297" t="s">
        <v>151</v>
      </c>
      <c r="N297" s="2"/>
      <c r="O297" s="4"/>
    </row>
    <row r="298" spans="1:15" ht="12.75" customHeight="1" x14ac:dyDescent="0.2">
      <c r="A298" s="369">
        <v>621631</v>
      </c>
      <c r="B298" t="s">
        <v>400</v>
      </c>
      <c r="C298" s="342">
        <v>1235</v>
      </c>
      <c r="D298" s="342">
        <v>1480</v>
      </c>
      <c r="E298" s="342">
        <v>2715</v>
      </c>
      <c r="F298" s="342">
        <v>59206072.732892402</v>
      </c>
      <c r="G298" s="342">
        <v>81688556.573332995</v>
      </c>
      <c r="H298" s="342">
        <v>140894629.306225</v>
      </c>
      <c r="I298" s="342">
        <v>110387.33</v>
      </c>
      <c r="J298" t="s">
        <v>192</v>
      </c>
      <c r="K298" t="s">
        <v>1156</v>
      </c>
      <c r="L298" t="s">
        <v>240</v>
      </c>
      <c r="M298" t="s">
        <v>46</v>
      </c>
      <c r="N298" s="2"/>
      <c r="O298" s="4"/>
    </row>
    <row r="299" spans="1:15" ht="12.75" customHeight="1" x14ac:dyDescent="0.2">
      <c r="A299" s="369">
        <v>517508</v>
      </c>
      <c r="B299" t="s">
        <v>363</v>
      </c>
      <c r="C299" s="342">
        <v>1015</v>
      </c>
      <c r="D299" s="342">
        <v>1698</v>
      </c>
      <c r="E299" s="342">
        <v>2713</v>
      </c>
      <c r="F299" s="342">
        <v>68674007.339488506</v>
      </c>
      <c r="G299" s="342">
        <v>135186439.48519</v>
      </c>
      <c r="H299" s="342">
        <v>203860446.82467899</v>
      </c>
      <c r="I299" s="342">
        <v>-911670.2</v>
      </c>
      <c r="J299" t="s">
        <v>242</v>
      </c>
      <c r="K299" t="s">
        <v>1177</v>
      </c>
      <c r="L299" t="s">
        <v>173</v>
      </c>
      <c r="M299" t="s">
        <v>46</v>
      </c>
      <c r="N299" s="2"/>
      <c r="O299" s="4"/>
    </row>
    <row r="300" spans="1:15" ht="12.75" customHeight="1" x14ac:dyDescent="0.2">
      <c r="A300" s="369">
        <v>153833</v>
      </c>
      <c r="B300" t="s">
        <v>203</v>
      </c>
      <c r="C300" s="342">
        <v>976</v>
      </c>
      <c r="D300" s="342">
        <v>1671</v>
      </c>
      <c r="E300" s="342">
        <v>2647</v>
      </c>
      <c r="F300" s="342">
        <v>37716018.628096499</v>
      </c>
      <c r="G300" s="342">
        <v>73130603.044170097</v>
      </c>
      <c r="H300" s="342">
        <v>110846621.67226601</v>
      </c>
      <c r="I300" s="342">
        <v>-980067.79</v>
      </c>
      <c r="J300" t="s">
        <v>204</v>
      </c>
      <c r="K300" t="s">
        <v>1153</v>
      </c>
      <c r="L300" t="s">
        <v>966</v>
      </c>
      <c r="M300" t="s">
        <v>46</v>
      </c>
      <c r="N300" s="2"/>
      <c r="O300" s="4"/>
    </row>
    <row r="301" spans="1:15" ht="12.75" customHeight="1" x14ac:dyDescent="0.2">
      <c r="A301" s="369">
        <v>385401</v>
      </c>
      <c r="B301" t="s">
        <v>310</v>
      </c>
      <c r="C301" s="342">
        <v>1052</v>
      </c>
      <c r="D301" s="342">
        <v>1439</v>
      </c>
      <c r="E301" s="342">
        <v>2491</v>
      </c>
      <c r="F301" s="342">
        <v>72649143.017356202</v>
      </c>
      <c r="G301" s="342">
        <v>121875009.396521</v>
      </c>
      <c r="H301" s="342">
        <v>194524152.41387701</v>
      </c>
      <c r="I301" s="342">
        <v>-3075778.44</v>
      </c>
      <c r="J301" t="s">
        <v>251</v>
      </c>
      <c r="K301" t="s">
        <v>1175</v>
      </c>
      <c r="L301" t="s">
        <v>231</v>
      </c>
      <c r="M301" t="s">
        <v>151</v>
      </c>
      <c r="N301" s="2"/>
      <c r="O301" s="4"/>
    </row>
    <row r="302" spans="1:15" ht="12.75" customHeight="1" x14ac:dyDescent="0.2">
      <c r="A302" s="369">
        <v>459891</v>
      </c>
      <c r="B302" t="s">
        <v>1222</v>
      </c>
      <c r="C302" s="342">
        <v>896</v>
      </c>
      <c r="D302" s="342">
        <v>1593</v>
      </c>
      <c r="E302" s="342">
        <v>2489</v>
      </c>
      <c r="F302" s="342">
        <v>58477511.391658403</v>
      </c>
      <c r="G302" s="342">
        <v>112897537.13767201</v>
      </c>
      <c r="H302" s="342">
        <v>171375048.529331</v>
      </c>
      <c r="I302" s="342">
        <v>-384439.89</v>
      </c>
      <c r="J302" t="s">
        <v>169</v>
      </c>
      <c r="K302" t="s">
        <v>1175</v>
      </c>
      <c r="L302" t="s">
        <v>191</v>
      </c>
      <c r="M302" t="s">
        <v>151</v>
      </c>
      <c r="N302" s="2"/>
      <c r="O302" s="4"/>
    </row>
    <row r="303" spans="1:15" ht="12.75" customHeight="1" x14ac:dyDescent="0.2">
      <c r="A303" s="369">
        <v>500976</v>
      </c>
      <c r="B303" t="s">
        <v>1225</v>
      </c>
      <c r="C303" s="342">
        <v>1041</v>
      </c>
      <c r="D303" s="342">
        <v>1417</v>
      </c>
      <c r="E303" s="342">
        <v>2458</v>
      </c>
      <c r="F303" s="342">
        <v>71206320.092106894</v>
      </c>
      <c r="G303" s="342">
        <v>128981172.25495601</v>
      </c>
      <c r="H303" s="342">
        <v>200187492.347063</v>
      </c>
      <c r="I303" s="342">
        <v>-36536733.420000002</v>
      </c>
      <c r="J303" t="s">
        <v>242</v>
      </c>
      <c r="K303" t="s">
        <v>1177</v>
      </c>
      <c r="L303" t="s">
        <v>459</v>
      </c>
      <c r="M303" t="s">
        <v>151</v>
      </c>
      <c r="N303" s="2"/>
      <c r="O303" s="4"/>
    </row>
    <row r="304" spans="1:15" ht="12.75" customHeight="1" x14ac:dyDescent="0.2">
      <c r="A304" s="369">
        <v>259903</v>
      </c>
      <c r="B304" t="s">
        <v>524</v>
      </c>
      <c r="C304" s="342">
        <v>852</v>
      </c>
      <c r="D304" s="342">
        <v>1600</v>
      </c>
      <c r="E304" s="342">
        <v>2452</v>
      </c>
      <c r="F304" s="342">
        <v>59754441.920649797</v>
      </c>
      <c r="G304" s="342">
        <v>150495958.248319</v>
      </c>
      <c r="H304" s="342">
        <v>210250400.16896901</v>
      </c>
      <c r="I304" s="342">
        <v>-24920434.789999999</v>
      </c>
      <c r="J304" t="s">
        <v>253</v>
      </c>
      <c r="K304" t="s">
        <v>1176</v>
      </c>
      <c r="L304" t="s">
        <v>178</v>
      </c>
      <c r="M304" t="s">
        <v>46</v>
      </c>
      <c r="N304" s="2"/>
      <c r="O304" s="4"/>
    </row>
    <row r="305" spans="1:15" ht="12.75" customHeight="1" x14ac:dyDescent="0.2">
      <c r="A305" s="369">
        <v>442897</v>
      </c>
      <c r="B305" t="s">
        <v>335</v>
      </c>
      <c r="C305" s="342">
        <v>1177</v>
      </c>
      <c r="D305" s="342">
        <v>1247</v>
      </c>
      <c r="E305" s="342">
        <v>2424</v>
      </c>
      <c r="F305" s="342">
        <v>91555928.288268194</v>
      </c>
      <c r="G305" s="342">
        <v>134531156.23690099</v>
      </c>
      <c r="H305" s="342">
        <v>226087084.52516899</v>
      </c>
      <c r="I305" s="342">
        <v>-1773441.37</v>
      </c>
      <c r="J305" t="s">
        <v>187</v>
      </c>
      <c r="K305" t="s">
        <v>1156</v>
      </c>
      <c r="L305" t="s">
        <v>191</v>
      </c>
      <c r="M305" t="s">
        <v>151</v>
      </c>
      <c r="N305" s="2"/>
      <c r="O305" s="4"/>
    </row>
    <row r="306" spans="1:15" ht="12.75" customHeight="1" x14ac:dyDescent="0.2">
      <c r="A306" s="369">
        <v>577833</v>
      </c>
      <c r="B306" t="s">
        <v>387</v>
      </c>
      <c r="C306" s="342">
        <v>1129</v>
      </c>
      <c r="D306" s="342">
        <v>1290</v>
      </c>
      <c r="E306" s="342">
        <v>2419</v>
      </c>
      <c r="F306" s="342">
        <v>95645447.788584605</v>
      </c>
      <c r="G306" s="342">
        <v>131690836.001067</v>
      </c>
      <c r="H306" s="342">
        <v>227336283.78965199</v>
      </c>
      <c r="I306" s="342">
        <v>-61130.94</v>
      </c>
      <c r="J306" t="s">
        <v>201</v>
      </c>
      <c r="K306" t="s">
        <v>1174</v>
      </c>
      <c r="L306" t="s">
        <v>155</v>
      </c>
      <c r="M306" t="s">
        <v>151</v>
      </c>
      <c r="N306" s="2"/>
      <c r="O306" s="4"/>
    </row>
    <row r="307" spans="1:15" ht="12.75" customHeight="1" x14ac:dyDescent="0.2">
      <c r="A307" s="369">
        <v>418699</v>
      </c>
      <c r="B307" t="s">
        <v>511</v>
      </c>
      <c r="C307" s="342">
        <v>1202</v>
      </c>
      <c r="D307" s="342">
        <v>1184</v>
      </c>
      <c r="E307" s="342">
        <v>2386</v>
      </c>
      <c r="F307" s="342">
        <v>86412567.005164802</v>
      </c>
      <c r="G307" s="342">
        <v>122196624.000291</v>
      </c>
      <c r="H307" s="342">
        <v>208609191.005456</v>
      </c>
      <c r="I307" s="342">
        <v>7804393.1399999997</v>
      </c>
      <c r="J307" t="s">
        <v>187</v>
      </c>
      <c r="K307" t="s">
        <v>1156</v>
      </c>
      <c r="L307" t="s">
        <v>271</v>
      </c>
      <c r="M307" t="s">
        <v>151</v>
      </c>
      <c r="N307" s="2"/>
      <c r="O307" s="4"/>
    </row>
    <row r="308" spans="1:15" ht="12.75" customHeight="1" x14ac:dyDescent="0.2">
      <c r="A308" s="369">
        <v>477729</v>
      </c>
      <c r="B308" t="s">
        <v>978</v>
      </c>
      <c r="C308" s="342">
        <v>922</v>
      </c>
      <c r="D308" s="342">
        <v>1445</v>
      </c>
      <c r="E308" s="342">
        <v>2367</v>
      </c>
      <c r="F308" s="342">
        <v>80220381.342737198</v>
      </c>
      <c r="G308" s="342">
        <v>150876873.70181099</v>
      </c>
      <c r="H308" s="342">
        <v>231097255.044548</v>
      </c>
      <c r="I308" s="342">
        <v>-2776366</v>
      </c>
      <c r="J308" t="s">
        <v>251</v>
      </c>
      <c r="K308" t="s">
        <v>1175</v>
      </c>
      <c r="L308" t="s">
        <v>522</v>
      </c>
      <c r="M308" t="s">
        <v>46</v>
      </c>
      <c r="N308" s="2"/>
      <c r="O308" s="4"/>
    </row>
    <row r="309" spans="1:15" ht="12.75" customHeight="1" x14ac:dyDescent="0.2">
      <c r="A309" s="369">
        <v>408062</v>
      </c>
      <c r="B309" t="s">
        <v>307</v>
      </c>
      <c r="C309" s="342">
        <v>906</v>
      </c>
      <c r="D309" s="342">
        <v>1457</v>
      </c>
      <c r="E309" s="342">
        <v>2363</v>
      </c>
      <c r="F309" s="342">
        <v>77262916.738864705</v>
      </c>
      <c r="G309" s="342">
        <v>144336496.194666</v>
      </c>
      <c r="H309" s="342">
        <v>221599412.93353099</v>
      </c>
      <c r="I309" s="342">
        <v>-2821724.17</v>
      </c>
      <c r="J309" t="s">
        <v>251</v>
      </c>
      <c r="K309" t="s">
        <v>1175</v>
      </c>
      <c r="L309" t="s">
        <v>158</v>
      </c>
      <c r="M309" t="s">
        <v>46</v>
      </c>
      <c r="N309" s="2"/>
      <c r="O309" s="4"/>
    </row>
    <row r="310" spans="1:15" ht="12.75" customHeight="1" x14ac:dyDescent="0.2">
      <c r="A310" s="369">
        <v>262741</v>
      </c>
      <c r="B310" t="s">
        <v>971</v>
      </c>
      <c r="C310" s="342">
        <v>977</v>
      </c>
      <c r="D310" s="342">
        <v>1356</v>
      </c>
      <c r="E310" s="342">
        <v>2333</v>
      </c>
      <c r="F310" s="342">
        <v>34000170.435335197</v>
      </c>
      <c r="G310" s="342">
        <v>59859193.692753203</v>
      </c>
      <c r="H310" s="342">
        <v>93859364.1280884</v>
      </c>
      <c r="I310" s="342">
        <v>-574903.09</v>
      </c>
      <c r="J310" t="s">
        <v>160</v>
      </c>
      <c r="K310" t="s">
        <v>1177</v>
      </c>
      <c r="L310" t="s">
        <v>522</v>
      </c>
      <c r="M310" t="s">
        <v>46</v>
      </c>
      <c r="N310" s="2"/>
      <c r="O310" s="4"/>
    </row>
    <row r="311" spans="1:15" ht="12.75" customHeight="1" x14ac:dyDescent="0.2">
      <c r="A311" s="369">
        <v>768499</v>
      </c>
      <c r="B311" t="s">
        <v>1094</v>
      </c>
      <c r="C311" s="342">
        <v>815</v>
      </c>
      <c r="D311" s="342">
        <v>1459</v>
      </c>
      <c r="E311" s="342">
        <v>2274</v>
      </c>
      <c r="F311" s="342">
        <v>58518177.369823001</v>
      </c>
      <c r="G311" s="342">
        <v>128084783.556501</v>
      </c>
      <c r="H311" s="342">
        <v>186602960.92632401</v>
      </c>
      <c r="I311" s="342">
        <v>-309694.92</v>
      </c>
      <c r="J311" t="s">
        <v>213</v>
      </c>
      <c r="K311" t="s">
        <v>1176</v>
      </c>
      <c r="L311" t="s">
        <v>967</v>
      </c>
      <c r="M311" t="s">
        <v>46</v>
      </c>
      <c r="N311" s="2"/>
      <c r="O311" s="4"/>
    </row>
    <row r="312" spans="1:15" ht="12.75" customHeight="1" x14ac:dyDescent="0.2">
      <c r="A312" s="369">
        <v>170894</v>
      </c>
      <c r="B312" t="s">
        <v>520</v>
      </c>
      <c r="C312" s="342">
        <v>882</v>
      </c>
      <c r="D312" s="342">
        <v>1387</v>
      </c>
      <c r="E312" s="342">
        <v>2269</v>
      </c>
      <c r="F312" s="342">
        <v>55778820.6903724</v>
      </c>
      <c r="G312" s="342">
        <v>114372156.06120899</v>
      </c>
      <c r="H312" s="342">
        <v>170150976.751582</v>
      </c>
      <c r="I312" s="342">
        <v>24987916.280000001</v>
      </c>
      <c r="J312" t="s">
        <v>213</v>
      </c>
      <c r="K312" t="s">
        <v>1176</v>
      </c>
      <c r="L312" t="s">
        <v>212</v>
      </c>
      <c r="M312" t="s">
        <v>46</v>
      </c>
      <c r="N312" s="2"/>
      <c r="O312" s="4"/>
    </row>
    <row r="313" spans="1:15" ht="12.75" customHeight="1" x14ac:dyDescent="0.2">
      <c r="A313" s="369">
        <v>184416</v>
      </c>
      <c r="B313" t="s">
        <v>220</v>
      </c>
      <c r="C313" s="342">
        <v>1134</v>
      </c>
      <c r="D313" s="342">
        <v>1100</v>
      </c>
      <c r="E313" s="342">
        <v>2234</v>
      </c>
      <c r="F313" s="342">
        <v>128959756.992902</v>
      </c>
      <c r="G313" s="342">
        <v>152469899.93983701</v>
      </c>
      <c r="H313" s="342">
        <v>281429656.93273902</v>
      </c>
      <c r="I313" s="342">
        <v>-1912254.5</v>
      </c>
      <c r="J313" t="s">
        <v>153</v>
      </c>
      <c r="K313" t="s">
        <v>1174</v>
      </c>
      <c r="L313" t="s">
        <v>165</v>
      </c>
      <c r="M313" t="s">
        <v>151</v>
      </c>
      <c r="N313" s="2"/>
      <c r="O313" s="4"/>
    </row>
    <row r="314" spans="1:15" ht="12.75" customHeight="1" x14ac:dyDescent="0.2">
      <c r="A314" s="369">
        <v>331686</v>
      </c>
      <c r="B314" t="s">
        <v>294</v>
      </c>
      <c r="C314" s="342">
        <v>865</v>
      </c>
      <c r="D314" s="342">
        <v>1230</v>
      </c>
      <c r="E314" s="342">
        <v>2095</v>
      </c>
      <c r="F314" s="342">
        <v>42919654.629199602</v>
      </c>
      <c r="G314" s="342">
        <v>82741196.734315395</v>
      </c>
      <c r="H314" s="342">
        <v>125660851.363515</v>
      </c>
      <c r="I314" s="342">
        <v>39181197.049999997</v>
      </c>
      <c r="J314" t="s">
        <v>163</v>
      </c>
      <c r="K314" t="s">
        <v>1156</v>
      </c>
      <c r="L314" t="s">
        <v>191</v>
      </c>
      <c r="M314" t="s">
        <v>151</v>
      </c>
      <c r="N314" s="2"/>
      <c r="O314" s="4"/>
    </row>
    <row r="315" spans="1:15" ht="12.75" customHeight="1" x14ac:dyDescent="0.2">
      <c r="A315" s="369">
        <v>182584</v>
      </c>
      <c r="B315" t="s">
        <v>521</v>
      </c>
      <c r="C315" s="342">
        <v>966</v>
      </c>
      <c r="D315" s="342">
        <v>1087</v>
      </c>
      <c r="E315" s="342">
        <v>2053</v>
      </c>
      <c r="F315" s="342">
        <v>107405510.46649601</v>
      </c>
      <c r="G315" s="342">
        <v>141625477.13662401</v>
      </c>
      <c r="H315" s="342">
        <v>249030987.60312101</v>
      </c>
      <c r="I315" s="342">
        <v>-18492586.23</v>
      </c>
      <c r="J315" t="s">
        <v>194</v>
      </c>
      <c r="K315" t="s">
        <v>1176</v>
      </c>
      <c r="L315" t="s">
        <v>217</v>
      </c>
      <c r="M315" t="s">
        <v>46</v>
      </c>
      <c r="N315" s="2"/>
      <c r="O315" s="4"/>
    </row>
    <row r="316" spans="1:15" ht="12.75" customHeight="1" x14ac:dyDescent="0.2">
      <c r="A316" s="369">
        <v>496497</v>
      </c>
      <c r="B316" t="s">
        <v>532</v>
      </c>
      <c r="C316" s="342">
        <v>1010</v>
      </c>
      <c r="D316" s="342">
        <v>1027</v>
      </c>
      <c r="E316" s="342">
        <v>2037</v>
      </c>
      <c r="F316" s="342">
        <v>54641873.1096486</v>
      </c>
      <c r="G316" s="342">
        <v>64861602.242842503</v>
      </c>
      <c r="H316" s="342">
        <v>119503475.35249101</v>
      </c>
      <c r="I316" s="342">
        <v>-381293.79</v>
      </c>
      <c r="J316" t="s">
        <v>156</v>
      </c>
      <c r="K316" t="s">
        <v>1156</v>
      </c>
      <c r="L316" t="s">
        <v>178</v>
      </c>
      <c r="M316" t="s">
        <v>46</v>
      </c>
      <c r="N316" s="2"/>
      <c r="O316" s="4"/>
    </row>
    <row r="317" spans="1:15" ht="12.75" customHeight="1" x14ac:dyDescent="0.2">
      <c r="A317" s="369">
        <v>189258</v>
      </c>
      <c r="B317" t="s">
        <v>223</v>
      </c>
      <c r="C317" s="342">
        <v>748</v>
      </c>
      <c r="D317" s="342">
        <v>1288</v>
      </c>
      <c r="E317" s="342">
        <v>2036</v>
      </c>
      <c r="F317" s="342">
        <v>52812644.800646201</v>
      </c>
      <c r="G317" s="342">
        <v>105499716.90165</v>
      </c>
      <c r="H317" s="342">
        <v>158312361.70229599</v>
      </c>
      <c r="I317" s="342">
        <v>1278976.1299999999</v>
      </c>
      <c r="J317" t="s">
        <v>160</v>
      </c>
      <c r="K317" t="s">
        <v>1177</v>
      </c>
      <c r="L317" t="s">
        <v>215</v>
      </c>
      <c r="M317" t="s">
        <v>46</v>
      </c>
      <c r="N317" s="2"/>
      <c r="O317" s="4"/>
    </row>
    <row r="318" spans="1:15" ht="12.75" customHeight="1" x14ac:dyDescent="0.2">
      <c r="A318" s="369">
        <v>192146</v>
      </c>
      <c r="B318" t="s">
        <v>1007</v>
      </c>
      <c r="C318" s="342">
        <v>834</v>
      </c>
      <c r="D318" s="342">
        <v>1179</v>
      </c>
      <c r="E318" s="342">
        <v>2013</v>
      </c>
      <c r="F318" s="342">
        <v>51483906.514977597</v>
      </c>
      <c r="G318" s="342">
        <v>91237097.965781301</v>
      </c>
      <c r="H318" s="342">
        <v>142721004.48075899</v>
      </c>
      <c r="I318" s="342">
        <v>-821665.48</v>
      </c>
      <c r="J318" t="s">
        <v>206</v>
      </c>
      <c r="K318" t="s">
        <v>1176</v>
      </c>
      <c r="L318" t="s">
        <v>225</v>
      </c>
      <c r="M318" t="s">
        <v>46</v>
      </c>
      <c r="N318" s="2"/>
      <c r="O318" s="4"/>
    </row>
    <row r="319" spans="1:15" ht="12.75" customHeight="1" x14ac:dyDescent="0.2">
      <c r="A319" s="369">
        <v>308908</v>
      </c>
      <c r="B319" t="s">
        <v>526</v>
      </c>
      <c r="C319" s="342">
        <v>1104</v>
      </c>
      <c r="D319" s="342">
        <v>897</v>
      </c>
      <c r="E319" s="342">
        <v>2001</v>
      </c>
      <c r="F319" s="342">
        <v>39314126.5815823</v>
      </c>
      <c r="G319" s="342">
        <v>44394543.1391178</v>
      </c>
      <c r="H319" s="342">
        <v>83708669.720700204</v>
      </c>
      <c r="I319" s="342">
        <v>-677055.85</v>
      </c>
      <c r="J319" t="s">
        <v>156</v>
      </c>
      <c r="K319" t="s">
        <v>1156</v>
      </c>
      <c r="L319" t="s">
        <v>283</v>
      </c>
      <c r="M319" t="s">
        <v>151</v>
      </c>
      <c r="N319" s="2"/>
      <c r="O319" s="4"/>
    </row>
    <row r="320" spans="1:15" ht="12.75" customHeight="1" x14ac:dyDescent="0.2">
      <c r="A320" s="369">
        <v>570630</v>
      </c>
      <c r="B320" t="s">
        <v>383</v>
      </c>
      <c r="C320" s="342">
        <v>1138</v>
      </c>
      <c r="D320" s="342">
        <v>830</v>
      </c>
      <c r="E320" s="342">
        <v>1968</v>
      </c>
      <c r="F320" s="342">
        <v>68234986.408386901</v>
      </c>
      <c r="G320" s="342">
        <v>57194162.958398499</v>
      </c>
      <c r="H320" s="342">
        <v>125429149.366785</v>
      </c>
      <c r="I320" s="342">
        <v>18379.62</v>
      </c>
      <c r="J320" t="s">
        <v>179</v>
      </c>
      <c r="K320" t="s">
        <v>1175</v>
      </c>
      <c r="L320" t="s">
        <v>155</v>
      </c>
      <c r="M320" t="s">
        <v>151</v>
      </c>
      <c r="N320" s="2"/>
      <c r="O320" s="4"/>
    </row>
    <row r="321" spans="1:15" ht="12.75" customHeight="1" x14ac:dyDescent="0.2">
      <c r="A321" s="369">
        <v>294918</v>
      </c>
      <c r="B321" t="s">
        <v>274</v>
      </c>
      <c r="C321" s="342">
        <v>842</v>
      </c>
      <c r="D321" s="342">
        <v>1123</v>
      </c>
      <c r="E321" s="342">
        <v>1965</v>
      </c>
      <c r="F321" s="342">
        <v>55111490.523486398</v>
      </c>
      <c r="G321" s="342">
        <v>100008607.54132999</v>
      </c>
      <c r="H321" s="342">
        <v>155120098.064816</v>
      </c>
      <c r="I321" s="342">
        <v>-448048.43</v>
      </c>
      <c r="J321" t="s">
        <v>187</v>
      </c>
      <c r="K321" t="s">
        <v>1156</v>
      </c>
      <c r="L321" t="s">
        <v>155</v>
      </c>
      <c r="M321" t="s">
        <v>151</v>
      </c>
      <c r="N321" s="2"/>
      <c r="O321" s="4"/>
    </row>
    <row r="322" spans="1:15" ht="12.75" customHeight="1" x14ac:dyDescent="0.2">
      <c r="A322" s="369">
        <v>443721</v>
      </c>
      <c r="B322" t="s">
        <v>336</v>
      </c>
      <c r="C322" s="342">
        <v>921</v>
      </c>
      <c r="D322" s="342">
        <v>1032</v>
      </c>
      <c r="E322" s="342">
        <v>1953</v>
      </c>
      <c r="F322" s="342">
        <v>52138037.601111799</v>
      </c>
      <c r="G322" s="342">
        <v>74265992.785180703</v>
      </c>
      <c r="H322" s="342">
        <v>126404030.386292</v>
      </c>
      <c r="I322" s="342">
        <v>-1794296.75</v>
      </c>
      <c r="J322" t="s">
        <v>192</v>
      </c>
      <c r="K322" t="s">
        <v>1156</v>
      </c>
      <c r="L322" t="s">
        <v>325</v>
      </c>
      <c r="M322" t="s">
        <v>46</v>
      </c>
      <c r="N322" s="2"/>
      <c r="O322" s="4"/>
    </row>
    <row r="323" spans="1:15" ht="12.75" customHeight="1" x14ac:dyDescent="0.2">
      <c r="A323" s="369">
        <v>410258</v>
      </c>
      <c r="B323" t="s">
        <v>1083</v>
      </c>
      <c r="C323" s="342">
        <v>742</v>
      </c>
      <c r="D323" s="342">
        <v>1163</v>
      </c>
      <c r="E323" s="342">
        <v>1905</v>
      </c>
      <c r="F323" s="342">
        <v>53003665.998996504</v>
      </c>
      <c r="G323" s="342">
        <v>101697211.664101</v>
      </c>
      <c r="H323" s="342">
        <v>154700877.66309801</v>
      </c>
      <c r="I323" s="342">
        <v>-26171968.57</v>
      </c>
      <c r="J323" t="s">
        <v>243</v>
      </c>
      <c r="K323" t="s">
        <v>1177</v>
      </c>
      <c r="L323" t="s">
        <v>967</v>
      </c>
      <c r="M323" t="s">
        <v>46</v>
      </c>
      <c r="N323" s="2"/>
      <c r="O323" s="4"/>
    </row>
    <row r="324" spans="1:15" ht="12.75" customHeight="1" x14ac:dyDescent="0.2">
      <c r="A324" s="369">
        <v>317040</v>
      </c>
      <c r="B324" t="s">
        <v>287</v>
      </c>
      <c r="C324" s="342">
        <v>775</v>
      </c>
      <c r="D324" s="342">
        <v>1125</v>
      </c>
      <c r="E324" s="342">
        <v>1900</v>
      </c>
      <c r="F324" s="342">
        <v>47269384.197677501</v>
      </c>
      <c r="G324" s="342">
        <v>85589397.525245205</v>
      </c>
      <c r="H324" s="342">
        <v>132858781.722922</v>
      </c>
      <c r="I324" s="342">
        <v>-7403953.0599999996</v>
      </c>
      <c r="J324" t="s">
        <v>159</v>
      </c>
      <c r="K324" t="s">
        <v>1175</v>
      </c>
      <c r="L324" t="s">
        <v>199</v>
      </c>
      <c r="M324" t="s">
        <v>46</v>
      </c>
      <c r="N324" s="2"/>
      <c r="O324" s="4"/>
    </row>
    <row r="325" spans="1:15" ht="12.75" customHeight="1" x14ac:dyDescent="0.2">
      <c r="A325" s="369">
        <v>112755</v>
      </c>
      <c r="B325" t="s">
        <v>164</v>
      </c>
      <c r="C325" s="342">
        <v>999</v>
      </c>
      <c r="D325" s="342">
        <v>900</v>
      </c>
      <c r="E325" s="342">
        <v>1899</v>
      </c>
      <c r="F325" s="342">
        <v>50033851.9462611</v>
      </c>
      <c r="G325" s="342">
        <v>58354244.7175363</v>
      </c>
      <c r="H325" s="342">
        <v>108388096.66379701</v>
      </c>
      <c r="I325" s="342">
        <v>-247190.61</v>
      </c>
      <c r="J325" t="s">
        <v>156</v>
      </c>
      <c r="K325" t="s">
        <v>1156</v>
      </c>
      <c r="L325" t="s">
        <v>165</v>
      </c>
      <c r="M325" t="s">
        <v>151</v>
      </c>
      <c r="N325" s="2"/>
      <c r="O325" s="4"/>
    </row>
    <row r="326" spans="1:15" ht="12.75" customHeight="1" x14ac:dyDescent="0.2">
      <c r="A326" s="369">
        <v>513722</v>
      </c>
      <c r="B326" t="s">
        <v>1192</v>
      </c>
      <c r="C326" s="342">
        <v>937</v>
      </c>
      <c r="D326" s="342">
        <v>939</v>
      </c>
      <c r="E326" s="342">
        <v>1876</v>
      </c>
      <c r="F326" s="342">
        <v>40916640.340746298</v>
      </c>
      <c r="G326" s="342">
        <v>59562257.742252</v>
      </c>
      <c r="H326" s="342">
        <v>100478898.08299799</v>
      </c>
      <c r="I326" s="342">
        <v>-1631119.57</v>
      </c>
      <c r="J326" t="s">
        <v>156</v>
      </c>
      <c r="K326" t="s">
        <v>1156</v>
      </c>
      <c r="L326" t="s">
        <v>155</v>
      </c>
      <c r="M326" t="s">
        <v>151</v>
      </c>
      <c r="N326" s="2"/>
      <c r="O326" s="4"/>
    </row>
    <row r="327" spans="1:15" ht="12.75" customHeight="1" x14ac:dyDescent="0.2">
      <c r="A327" s="369">
        <v>874271</v>
      </c>
      <c r="B327" t="s">
        <v>473</v>
      </c>
      <c r="C327" s="342">
        <v>803</v>
      </c>
      <c r="D327" s="342">
        <v>1064</v>
      </c>
      <c r="E327" s="342">
        <v>1867</v>
      </c>
      <c r="F327" s="342">
        <v>56853353.809773199</v>
      </c>
      <c r="G327" s="342">
        <v>94924537.734151199</v>
      </c>
      <c r="H327" s="342">
        <v>151777891.543924</v>
      </c>
      <c r="I327" s="342">
        <v>-1049225.22</v>
      </c>
      <c r="J327" t="s">
        <v>213</v>
      </c>
      <c r="K327" t="s">
        <v>1176</v>
      </c>
      <c r="L327" t="s">
        <v>215</v>
      </c>
      <c r="M327" t="s">
        <v>46</v>
      </c>
      <c r="N327" s="2"/>
      <c r="O327" s="4"/>
    </row>
    <row r="328" spans="1:15" ht="12.75" customHeight="1" x14ac:dyDescent="0.2">
      <c r="A328" s="369">
        <v>764951</v>
      </c>
      <c r="B328" t="s">
        <v>446</v>
      </c>
      <c r="C328" s="342">
        <v>804</v>
      </c>
      <c r="D328" s="342">
        <v>990</v>
      </c>
      <c r="E328" s="342">
        <v>1794</v>
      </c>
      <c r="F328" s="342">
        <v>54078607.171822801</v>
      </c>
      <c r="G328" s="342">
        <v>82480776.791995406</v>
      </c>
      <c r="H328" s="342">
        <v>136559383.96381801</v>
      </c>
      <c r="I328" s="342">
        <v>1092196.68</v>
      </c>
      <c r="J328" t="s">
        <v>179</v>
      </c>
      <c r="K328" t="s">
        <v>1175</v>
      </c>
      <c r="L328" t="s">
        <v>240</v>
      </c>
      <c r="M328" t="s">
        <v>46</v>
      </c>
      <c r="N328" s="2"/>
      <c r="O328" s="4"/>
    </row>
    <row r="329" spans="1:15" ht="12.75" customHeight="1" x14ac:dyDescent="0.2">
      <c r="A329" s="369">
        <v>536806</v>
      </c>
      <c r="B329" t="s">
        <v>1087</v>
      </c>
      <c r="C329" s="342">
        <v>626</v>
      </c>
      <c r="D329" s="342">
        <v>1157</v>
      </c>
      <c r="E329" s="342">
        <v>1783</v>
      </c>
      <c r="F329" s="342">
        <v>45736102.785220399</v>
      </c>
      <c r="G329" s="342">
        <v>99938326.031998798</v>
      </c>
      <c r="H329" s="342">
        <v>145674428.81721899</v>
      </c>
      <c r="I329" s="342">
        <v>-32827049.34</v>
      </c>
      <c r="J329" t="s">
        <v>160</v>
      </c>
      <c r="K329" t="s">
        <v>1177</v>
      </c>
      <c r="L329" t="s">
        <v>967</v>
      </c>
      <c r="M329" t="s">
        <v>46</v>
      </c>
      <c r="N329" s="2"/>
      <c r="O329" s="4"/>
    </row>
    <row r="330" spans="1:15" ht="12.75" customHeight="1" x14ac:dyDescent="0.2">
      <c r="A330" s="369">
        <v>349150</v>
      </c>
      <c r="B330" t="s">
        <v>1080</v>
      </c>
      <c r="C330" s="342">
        <v>767</v>
      </c>
      <c r="D330" s="342">
        <v>1009</v>
      </c>
      <c r="E330" s="342">
        <v>1776</v>
      </c>
      <c r="F330" s="342">
        <v>60974970.241175003</v>
      </c>
      <c r="G330" s="342">
        <v>97927314.561607003</v>
      </c>
      <c r="H330" s="342">
        <v>158902284.802782</v>
      </c>
      <c r="I330" s="342">
        <v>-4068869.97</v>
      </c>
      <c r="J330" t="s">
        <v>169</v>
      </c>
      <c r="K330" t="s">
        <v>1175</v>
      </c>
      <c r="L330" t="s">
        <v>195</v>
      </c>
      <c r="M330" t="s">
        <v>46</v>
      </c>
      <c r="N330" s="2"/>
      <c r="O330" s="4"/>
    </row>
    <row r="331" spans="1:15" ht="12.75" customHeight="1" x14ac:dyDescent="0.2">
      <c r="A331" s="369">
        <v>320358</v>
      </c>
      <c r="B331" t="s">
        <v>973</v>
      </c>
      <c r="C331" s="342">
        <v>859</v>
      </c>
      <c r="D331" s="342">
        <v>909</v>
      </c>
      <c r="E331" s="342">
        <v>1768</v>
      </c>
      <c r="F331" s="342">
        <v>67800841.376418605</v>
      </c>
      <c r="G331" s="342">
        <v>84885418.587702602</v>
      </c>
      <c r="H331" s="342">
        <v>152686259.96412101</v>
      </c>
      <c r="I331" s="342">
        <v>-2725021.27</v>
      </c>
      <c r="J331" t="s">
        <v>159</v>
      </c>
      <c r="K331" t="s">
        <v>1175</v>
      </c>
      <c r="L331" t="s">
        <v>966</v>
      </c>
      <c r="M331" t="s">
        <v>46</v>
      </c>
      <c r="N331" s="2"/>
      <c r="O331" s="4"/>
    </row>
    <row r="332" spans="1:15" ht="12.75" customHeight="1" x14ac:dyDescent="0.2">
      <c r="A332" s="369">
        <v>184580</v>
      </c>
      <c r="B332" t="s">
        <v>221</v>
      </c>
      <c r="C332" s="342">
        <v>801</v>
      </c>
      <c r="D332" s="342">
        <v>958</v>
      </c>
      <c r="E332" s="342">
        <v>1759</v>
      </c>
      <c r="F332" s="342">
        <v>73441837.0381874</v>
      </c>
      <c r="G332" s="342">
        <v>99740678.723555505</v>
      </c>
      <c r="H332" s="342">
        <v>173182515.76174301</v>
      </c>
      <c r="I332" s="342">
        <v>-9532411.6400000006</v>
      </c>
      <c r="J332" t="s">
        <v>159</v>
      </c>
      <c r="K332" t="s">
        <v>1175</v>
      </c>
      <c r="L332" t="s">
        <v>222</v>
      </c>
      <c r="M332" t="s">
        <v>46</v>
      </c>
      <c r="N332" s="2"/>
      <c r="O332" s="4"/>
    </row>
    <row r="333" spans="1:15" ht="12.75" customHeight="1" x14ac:dyDescent="0.2">
      <c r="A333" s="369">
        <v>235291</v>
      </c>
      <c r="B333" t="s">
        <v>970</v>
      </c>
      <c r="C333" s="342">
        <v>776</v>
      </c>
      <c r="D333" s="342">
        <v>956</v>
      </c>
      <c r="E333" s="342">
        <v>1732</v>
      </c>
      <c r="F333" s="342">
        <v>29806904.623328902</v>
      </c>
      <c r="G333" s="342">
        <v>49457919.543898903</v>
      </c>
      <c r="H333" s="342">
        <v>79264824.167227805</v>
      </c>
      <c r="I333" s="342">
        <v>12183748.939999999</v>
      </c>
      <c r="J333" t="s">
        <v>229</v>
      </c>
      <c r="K333" t="s">
        <v>1175</v>
      </c>
      <c r="L333" t="s">
        <v>522</v>
      </c>
      <c r="M333" t="s">
        <v>46</v>
      </c>
      <c r="N333" s="2"/>
      <c r="O333" s="4"/>
    </row>
    <row r="334" spans="1:15" ht="12.75" customHeight="1" x14ac:dyDescent="0.2">
      <c r="A334" s="369">
        <v>759100</v>
      </c>
      <c r="B334" t="s">
        <v>1163</v>
      </c>
      <c r="C334" s="342">
        <v>758</v>
      </c>
      <c r="D334" s="342">
        <v>951</v>
      </c>
      <c r="E334" s="342">
        <v>1709</v>
      </c>
      <c r="F334" s="342">
        <v>54685697.194372199</v>
      </c>
      <c r="G334" s="342">
        <v>83594421.642548606</v>
      </c>
      <c r="H334" s="342">
        <v>138280118.83691999</v>
      </c>
      <c r="I334" s="342">
        <v>-4403414.99</v>
      </c>
      <c r="J334" t="s">
        <v>190</v>
      </c>
      <c r="K334" t="s">
        <v>1175</v>
      </c>
      <c r="L334" t="s">
        <v>173</v>
      </c>
      <c r="M334" t="s">
        <v>46</v>
      </c>
      <c r="N334" s="2"/>
      <c r="O334" s="4"/>
    </row>
    <row r="335" spans="1:15" ht="12.75" customHeight="1" x14ac:dyDescent="0.2">
      <c r="A335" s="369">
        <v>912220</v>
      </c>
      <c r="B335" t="s">
        <v>480</v>
      </c>
      <c r="C335" s="342">
        <v>795</v>
      </c>
      <c r="D335" s="342">
        <v>816</v>
      </c>
      <c r="E335" s="342">
        <v>1611</v>
      </c>
      <c r="F335" s="342">
        <v>59747419.097017199</v>
      </c>
      <c r="G335" s="342">
        <v>70227297.835308701</v>
      </c>
      <c r="H335" s="342">
        <v>129974716.932326</v>
      </c>
      <c r="I335" s="342">
        <v>-2211624.58</v>
      </c>
      <c r="J335" t="s">
        <v>159</v>
      </c>
      <c r="K335" t="s">
        <v>1175</v>
      </c>
      <c r="L335" t="s">
        <v>191</v>
      </c>
      <c r="M335" t="s">
        <v>151</v>
      </c>
      <c r="N335" s="2"/>
      <c r="O335" s="4"/>
    </row>
    <row r="336" spans="1:15" ht="12.75" customHeight="1" x14ac:dyDescent="0.2">
      <c r="A336" s="369">
        <v>470104</v>
      </c>
      <c r="B336" t="s">
        <v>344</v>
      </c>
      <c r="C336" s="342">
        <v>561</v>
      </c>
      <c r="D336" s="342">
        <v>995</v>
      </c>
      <c r="E336" s="342">
        <v>1556</v>
      </c>
      <c r="F336" s="342">
        <v>29859691.716189101</v>
      </c>
      <c r="G336" s="342">
        <v>68627882.688446507</v>
      </c>
      <c r="H336" s="342">
        <v>98487574.404635698</v>
      </c>
      <c r="I336" s="342">
        <v>-1029372.91</v>
      </c>
      <c r="J336" t="s">
        <v>206</v>
      </c>
      <c r="K336" t="s">
        <v>1176</v>
      </c>
      <c r="L336" t="s">
        <v>231</v>
      </c>
      <c r="M336" t="s">
        <v>151</v>
      </c>
      <c r="N336" s="2"/>
      <c r="O336" s="4"/>
    </row>
    <row r="337" spans="1:15" ht="12.75" customHeight="1" x14ac:dyDescent="0.2">
      <c r="A337" s="369">
        <v>170423</v>
      </c>
      <c r="B337" t="s">
        <v>211</v>
      </c>
      <c r="C337" s="342">
        <v>644</v>
      </c>
      <c r="D337" s="342">
        <v>894</v>
      </c>
      <c r="E337" s="342">
        <v>1538</v>
      </c>
      <c r="F337" s="342">
        <v>68650159.765396506</v>
      </c>
      <c r="G337" s="342">
        <v>114274630.138487</v>
      </c>
      <c r="H337" s="342">
        <v>182924789.90388301</v>
      </c>
      <c r="I337" s="342">
        <v>-2124417.44</v>
      </c>
      <c r="J337" t="s">
        <v>201</v>
      </c>
      <c r="K337" t="s">
        <v>1174</v>
      </c>
      <c r="L337" t="s">
        <v>186</v>
      </c>
      <c r="M337" t="s">
        <v>151</v>
      </c>
      <c r="N337" s="2"/>
      <c r="O337" s="4"/>
    </row>
    <row r="338" spans="1:15" ht="12.75" customHeight="1" x14ac:dyDescent="0.2">
      <c r="A338" s="369">
        <v>922435</v>
      </c>
      <c r="B338" t="s">
        <v>1102</v>
      </c>
      <c r="C338" s="342">
        <v>635</v>
      </c>
      <c r="D338" s="342">
        <v>893</v>
      </c>
      <c r="E338" s="342">
        <v>1528</v>
      </c>
      <c r="F338" s="342">
        <v>42582271.031397097</v>
      </c>
      <c r="G338" s="342">
        <v>71983107.702525705</v>
      </c>
      <c r="H338" s="342">
        <v>114565378.733922</v>
      </c>
      <c r="I338" s="342">
        <v>-889116.63</v>
      </c>
      <c r="J338" t="s">
        <v>251</v>
      </c>
      <c r="K338" t="s">
        <v>1175</v>
      </c>
      <c r="L338" t="s">
        <v>195</v>
      </c>
      <c r="M338" t="s">
        <v>46</v>
      </c>
      <c r="N338" s="2"/>
      <c r="O338" s="4"/>
    </row>
    <row r="339" spans="1:15" ht="12.75" customHeight="1" x14ac:dyDescent="0.2">
      <c r="A339" s="369">
        <v>118000</v>
      </c>
      <c r="B339" t="s">
        <v>174</v>
      </c>
      <c r="C339" s="342">
        <v>407</v>
      </c>
      <c r="D339" s="342">
        <v>1106</v>
      </c>
      <c r="E339" s="342">
        <v>1513</v>
      </c>
      <c r="F339" s="342">
        <v>15962484.331307899</v>
      </c>
      <c r="G339" s="342">
        <v>49043142.8555374</v>
      </c>
      <c r="H339" s="342">
        <v>65005627.186845303</v>
      </c>
      <c r="I339" s="342">
        <v>34547.22</v>
      </c>
      <c r="J339" t="s">
        <v>159</v>
      </c>
      <c r="K339" t="s">
        <v>1175</v>
      </c>
      <c r="L339" t="s">
        <v>966</v>
      </c>
      <c r="M339" t="s">
        <v>46</v>
      </c>
      <c r="N339" s="2"/>
      <c r="O339" s="4"/>
    </row>
    <row r="340" spans="1:15" ht="12.75" customHeight="1" x14ac:dyDescent="0.2">
      <c r="A340" s="369">
        <v>900894</v>
      </c>
      <c r="B340" t="s">
        <v>1017</v>
      </c>
      <c r="C340" s="342">
        <v>670</v>
      </c>
      <c r="D340" s="342">
        <v>798</v>
      </c>
      <c r="E340" s="342">
        <v>1468</v>
      </c>
      <c r="F340" s="342">
        <v>45301656.520783201</v>
      </c>
      <c r="G340" s="342">
        <v>60763858.279421203</v>
      </c>
      <c r="H340" s="342">
        <v>106065514.80020399</v>
      </c>
      <c r="I340" s="342">
        <v>-1102485.8600000001</v>
      </c>
      <c r="J340" t="s">
        <v>192</v>
      </c>
      <c r="K340" t="s">
        <v>1156</v>
      </c>
      <c r="L340" t="s">
        <v>225</v>
      </c>
      <c r="M340" t="s">
        <v>46</v>
      </c>
      <c r="N340" s="2"/>
      <c r="O340" s="4"/>
    </row>
    <row r="341" spans="1:15" ht="12.75" customHeight="1" x14ac:dyDescent="0.2">
      <c r="A341" s="369">
        <v>479725</v>
      </c>
      <c r="B341" t="s">
        <v>157</v>
      </c>
      <c r="C341" s="342">
        <v>701</v>
      </c>
      <c r="D341" s="342">
        <v>743</v>
      </c>
      <c r="E341" s="342">
        <v>1444</v>
      </c>
      <c r="F341" s="342">
        <v>68700473.778385594</v>
      </c>
      <c r="G341" s="342">
        <v>83833097.331642702</v>
      </c>
      <c r="H341" s="342">
        <v>152533571.110028</v>
      </c>
      <c r="I341" s="342">
        <v>-1097195.33</v>
      </c>
      <c r="J341" t="s">
        <v>159</v>
      </c>
      <c r="K341" t="s">
        <v>1175</v>
      </c>
      <c r="L341" t="s">
        <v>158</v>
      </c>
      <c r="M341" t="s">
        <v>46</v>
      </c>
      <c r="N341" s="2"/>
      <c r="O341" s="4"/>
    </row>
    <row r="342" spans="1:15" ht="12.75" customHeight="1" x14ac:dyDescent="0.2">
      <c r="A342" s="369">
        <v>756031</v>
      </c>
      <c r="B342" t="s">
        <v>1122</v>
      </c>
      <c r="C342" s="342">
        <v>608</v>
      </c>
      <c r="D342" s="342">
        <v>829</v>
      </c>
      <c r="E342" s="342">
        <v>1437</v>
      </c>
      <c r="F342" s="342">
        <v>24969648.8711432</v>
      </c>
      <c r="G342" s="342">
        <v>46919980.851124197</v>
      </c>
      <c r="H342" s="342">
        <v>71889629.722267494</v>
      </c>
      <c r="I342" s="342">
        <v>23927800.149999999</v>
      </c>
      <c r="J342" t="s">
        <v>229</v>
      </c>
      <c r="K342" t="s">
        <v>1175</v>
      </c>
      <c r="L342" t="s">
        <v>207</v>
      </c>
      <c r="M342" t="s">
        <v>46</v>
      </c>
      <c r="N342" s="2"/>
      <c r="O342" s="4"/>
    </row>
    <row r="343" spans="1:15" ht="12.75" customHeight="1" x14ac:dyDescent="0.2">
      <c r="A343" s="369">
        <v>844100</v>
      </c>
      <c r="B343" t="s">
        <v>466</v>
      </c>
      <c r="C343" s="342">
        <v>714</v>
      </c>
      <c r="D343" s="342">
        <v>723</v>
      </c>
      <c r="E343" s="342">
        <v>1437</v>
      </c>
      <c r="F343" s="342">
        <v>28719360.992029101</v>
      </c>
      <c r="G343" s="342">
        <v>38873200.304522</v>
      </c>
      <c r="H343" s="342">
        <v>67592561.296551198</v>
      </c>
      <c r="I343" s="342">
        <v>-478561.25</v>
      </c>
      <c r="J343" t="s">
        <v>156</v>
      </c>
      <c r="K343" t="s">
        <v>1156</v>
      </c>
      <c r="L343" t="s">
        <v>155</v>
      </c>
      <c r="M343" t="s">
        <v>151</v>
      </c>
      <c r="N343" s="2"/>
      <c r="O343" s="4"/>
    </row>
    <row r="344" spans="1:15" ht="12.75" customHeight="1" x14ac:dyDescent="0.2">
      <c r="A344" s="369">
        <v>339473</v>
      </c>
      <c r="B344" t="s">
        <v>528</v>
      </c>
      <c r="C344" s="342">
        <v>463</v>
      </c>
      <c r="D344" s="342">
        <v>885</v>
      </c>
      <c r="E344" s="342">
        <v>1348</v>
      </c>
      <c r="F344" s="342">
        <v>41421232.707741298</v>
      </c>
      <c r="G344" s="342">
        <v>90087937.821132496</v>
      </c>
      <c r="H344" s="342">
        <v>131509170.528873</v>
      </c>
      <c r="I344" s="342">
        <v>-18654639.850000001</v>
      </c>
      <c r="J344" t="s">
        <v>190</v>
      </c>
      <c r="K344" t="s">
        <v>1175</v>
      </c>
      <c r="L344" t="s">
        <v>217</v>
      </c>
      <c r="M344" t="s">
        <v>46</v>
      </c>
      <c r="N344" s="2"/>
      <c r="O344" s="4"/>
    </row>
    <row r="345" spans="1:15" ht="12.75" customHeight="1" x14ac:dyDescent="0.2">
      <c r="A345" s="369">
        <v>231100</v>
      </c>
      <c r="B345" t="s">
        <v>969</v>
      </c>
      <c r="C345" s="342">
        <v>484</v>
      </c>
      <c r="D345" s="342">
        <v>845</v>
      </c>
      <c r="E345" s="342">
        <v>1329</v>
      </c>
      <c r="F345" s="342">
        <v>31038485.5154608</v>
      </c>
      <c r="G345" s="342">
        <v>66010448.063850701</v>
      </c>
      <c r="H345" s="342">
        <v>97048933.579311505</v>
      </c>
      <c r="I345" s="342">
        <v>-3814016.49</v>
      </c>
      <c r="J345" t="s">
        <v>169</v>
      </c>
      <c r="K345" t="s">
        <v>1175</v>
      </c>
      <c r="L345" t="s">
        <v>967</v>
      </c>
      <c r="M345" t="s">
        <v>46</v>
      </c>
      <c r="N345" s="2"/>
      <c r="O345" s="4"/>
    </row>
    <row r="346" spans="1:15" ht="12.75" customHeight="1" x14ac:dyDescent="0.2">
      <c r="A346" s="369">
        <v>571695</v>
      </c>
      <c r="B346" t="s">
        <v>384</v>
      </c>
      <c r="C346" s="342">
        <v>751</v>
      </c>
      <c r="D346" s="342">
        <v>568</v>
      </c>
      <c r="E346" s="342">
        <v>1319</v>
      </c>
      <c r="F346" s="342">
        <v>34385422.302178703</v>
      </c>
      <c r="G346" s="342">
        <v>30735674.355653498</v>
      </c>
      <c r="H346" s="342">
        <v>65121096.657832302</v>
      </c>
      <c r="I346" s="342">
        <v>-432355.03</v>
      </c>
      <c r="J346" t="s">
        <v>179</v>
      </c>
      <c r="K346" t="s">
        <v>1175</v>
      </c>
      <c r="L346" t="s">
        <v>222</v>
      </c>
      <c r="M346" t="s">
        <v>46</v>
      </c>
      <c r="N346" s="2"/>
      <c r="O346" s="4"/>
    </row>
    <row r="347" spans="1:15" ht="12.75" customHeight="1" x14ac:dyDescent="0.2">
      <c r="A347" s="369">
        <v>852079</v>
      </c>
      <c r="B347" t="s">
        <v>468</v>
      </c>
      <c r="C347" s="342">
        <v>536</v>
      </c>
      <c r="D347" s="342">
        <v>712</v>
      </c>
      <c r="E347" s="342">
        <v>1248</v>
      </c>
      <c r="F347" s="342">
        <v>19671380.0908226</v>
      </c>
      <c r="G347" s="342">
        <v>31862007.232866298</v>
      </c>
      <c r="H347" s="342">
        <v>51533387.323688902</v>
      </c>
      <c r="I347" s="342">
        <v>18694790.84</v>
      </c>
      <c r="J347" t="s">
        <v>259</v>
      </c>
      <c r="K347" t="s">
        <v>1177</v>
      </c>
      <c r="L347" t="s">
        <v>439</v>
      </c>
      <c r="M347" t="s">
        <v>46</v>
      </c>
      <c r="N347" s="2"/>
      <c r="O347" s="4"/>
    </row>
    <row r="348" spans="1:15" ht="12.75" customHeight="1" x14ac:dyDescent="0.2">
      <c r="A348" s="369">
        <v>357658</v>
      </c>
      <c r="B348" t="s">
        <v>996</v>
      </c>
      <c r="C348" s="342">
        <v>531</v>
      </c>
      <c r="D348" s="342">
        <v>703</v>
      </c>
      <c r="E348" s="342">
        <v>1234</v>
      </c>
      <c r="F348" s="342">
        <v>41175089.416592203</v>
      </c>
      <c r="G348" s="342">
        <v>66925412.738752298</v>
      </c>
      <c r="H348" s="342">
        <v>108100502.15534399</v>
      </c>
      <c r="I348" s="342">
        <v>2261846.2799999998</v>
      </c>
      <c r="J348" t="s">
        <v>201</v>
      </c>
      <c r="K348" t="s">
        <v>1174</v>
      </c>
      <c r="L348" t="s">
        <v>191</v>
      </c>
      <c r="M348" t="s">
        <v>151</v>
      </c>
      <c r="N348" s="2"/>
      <c r="O348" s="4"/>
    </row>
    <row r="349" spans="1:15" ht="12.75" customHeight="1" x14ac:dyDescent="0.2">
      <c r="A349" s="369">
        <v>401810</v>
      </c>
      <c r="B349" t="s">
        <v>317</v>
      </c>
      <c r="C349" s="342">
        <v>516</v>
      </c>
      <c r="D349" s="342">
        <v>710</v>
      </c>
      <c r="E349" s="342">
        <v>1226</v>
      </c>
      <c r="F349" s="342">
        <v>32290711.580530699</v>
      </c>
      <c r="G349" s="342">
        <v>54516393.553527303</v>
      </c>
      <c r="H349" s="342">
        <v>86807105.134058103</v>
      </c>
      <c r="I349" s="342">
        <v>-334115.43</v>
      </c>
      <c r="J349" t="s">
        <v>251</v>
      </c>
      <c r="K349" t="s">
        <v>1175</v>
      </c>
      <c r="L349" t="s">
        <v>199</v>
      </c>
      <c r="M349" t="s">
        <v>46</v>
      </c>
      <c r="N349" s="2"/>
      <c r="O349" s="4"/>
    </row>
    <row r="350" spans="1:15" ht="12.75" customHeight="1" x14ac:dyDescent="0.2">
      <c r="A350" s="369">
        <v>723270</v>
      </c>
      <c r="B350" t="s">
        <v>1162</v>
      </c>
      <c r="C350" s="342">
        <v>480</v>
      </c>
      <c r="D350" s="342">
        <v>718</v>
      </c>
      <c r="E350" s="342">
        <v>1198</v>
      </c>
      <c r="F350" s="342">
        <v>37142862.1752069</v>
      </c>
      <c r="G350" s="342">
        <v>62753889.514701098</v>
      </c>
      <c r="H350" s="342">
        <v>99896751.689907998</v>
      </c>
      <c r="I350" s="342">
        <v>-704260.51</v>
      </c>
      <c r="J350" t="s">
        <v>159</v>
      </c>
      <c r="K350" t="s">
        <v>1175</v>
      </c>
      <c r="L350" t="s">
        <v>173</v>
      </c>
      <c r="M350" t="s">
        <v>46</v>
      </c>
      <c r="N350" s="2"/>
      <c r="O350" s="4"/>
    </row>
    <row r="351" spans="1:15" ht="12.75" customHeight="1" x14ac:dyDescent="0.2">
      <c r="A351" s="369">
        <v>545426</v>
      </c>
      <c r="B351" t="s">
        <v>371</v>
      </c>
      <c r="C351" s="342">
        <v>479</v>
      </c>
      <c r="D351" s="342">
        <v>693</v>
      </c>
      <c r="E351" s="342">
        <v>1172</v>
      </c>
      <c r="F351" s="342">
        <v>47950053.792848602</v>
      </c>
      <c r="G351" s="342">
        <v>79963300.223707601</v>
      </c>
      <c r="H351" s="342">
        <v>127913354.01655599</v>
      </c>
      <c r="I351" s="342">
        <v>434215.19</v>
      </c>
      <c r="J351" t="s">
        <v>159</v>
      </c>
      <c r="K351" t="s">
        <v>1175</v>
      </c>
      <c r="L351" t="s">
        <v>152</v>
      </c>
      <c r="M351" t="s">
        <v>151</v>
      </c>
      <c r="N351" s="2"/>
      <c r="O351" s="4"/>
    </row>
    <row r="352" spans="1:15" ht="12.75" customHeight="1" x14ac:dyDescent="0.2">
      <c r="A352" s="369">
        <v>720201</v>
      </c>
      <c r="B352" t="s">
        <v>1121</v>
      </c>
      <c r="C352" s="342">
        <v>455</v>
      </c>
      <c r="D352" s="342">
        <v>715</v>
      </c>
      <c r="E352" s="342">
        <v>1170</v>
      </c>
      <c r="F352" s="342">
        <v>37141346.5852184</v>
      </c>
      <c r="G352" s="342">
        <v>68284632.942127705</v>
      </c>
      <c r="H352" s="342">
        <v>105425979.527346</v>
      </c>
      <c r="I352" s="342">
        <v>-631754.52</v>
      </c>
      <c r="J352" t="s">
        <v>213</v>
      </c>
      <c r="K352" t="s">
        <v>1176</v>
      </c>
      <c r="L352" t="s">
        <v>207</v>
      </c>
      <c r="M352" t="s">
        <v>46</v>
      </c>
      <c r="N352" s="2"/>
      <c r="O352" s="4"/>
    </row>
    <row r="353" spans="1:15" ht="12.75" customHeight="1" x14ac:dyDescent="0.2">
      <c r="A353" s="369">
        <v>256362</v>
      </c>
      <c r="B353" t="s">
        <v>257</v>
      </c>
      <c r="C353" s="342">
        <v>418</v>
      </c>
      <c r="D353" s="342">
        <v>730</v>
      </c>
      <c r="E353" s="342">
        <v>1148</v>
      </c>
      <c r="F353" s="342">
        <v>35515424.509416498</v>
      </c>
      <c r="G353" s="342">
        <v>76432044.720449001</v>
      </c>
      <c r="H353" s="342">
        <v>111947469.229865</v>
      </c>
      <c r="I353" s="342">
        <v>462556.82</v>
      </c>
      <c r="J353" t="s">
        <v>197</v>
      </c>
      <c r="K353" t="s">
        <v>1175</v>
      </c>
      <c r="L353" t="s">
        <v>152</v>
      </c>
      <c r="M353" t="s">
        <v>151</v>
      </c>
      <c r="N353" s="2"/>
      <c r="O353" s="4"/>
    </row>
    <row r="354" spans="1:15" ht="12.75" customHeight="1" x14ac:dyDescent="0.2">
      <c r="A354" s="369">
        <v>447086</v>
      </c>
      <c r="B354" t="s">
        <v>337</v>
      </c>
      <c r="C354" s="342">
        <v>550</v>
      </c>
      <c r="D354" s="342">
        <v>590</v>
      </c>
      <c r="E354" s="342">
        <v>1140</v>
      </c>
      <c r="F354" s="342">
        <v>59375598.992852598</v>
      </c>
      <c r="G354" s="342">
        <v>59812816.255560301</v>
      </c>
      <c r="H354" s="342">
        <v>119188415.248412</v>
      </c>
      <c r="I354" s="342">
        <v>-1100788.58</v>
      </c>
      <c r="J354" t="s">
        <v>319</v>
      </c>
      <c r="K354" t="s">
        <v>1153</v>
      </c>
      <c r="L354" t="s">
        <v>338</v>
      </c>
      <c r="M354" t="s">
        <v>151</v>
      </c>
      <c r="N354" s="2"/>
      <c r="O354" s="4"/>
    </row>
    <row r="355" spans="1:15" ht="12.75" customHeight="1" x14ac:dyDescent="0.2">
      <c r="A355" s="369">
        <v>992099</v>
      </c>
      <c r="B355" t="s">
        <v>990</v>
      </c>
      <c r="C355" s="342">
        <v>496</v>
      </c>
      <c r="D355" s="342">
        <v>644</v>
      </c>
      <c r="E355" s="342">
        <v>1140</v>
      </c>
      <c r="F355" s="342">
        <v>32278064.6789557</v>
      </c>
      <c r="G355" s="342">
        <v>51741481.201127701</v>
      </c>
      <c r="H355" s="342">
        <v>84019545.880083501</v>
      </c>
      <c r="I355" s="342">
        <v>-391120.89</v>
      </c>
      <c r="J355" t="s">
        <v>251</v>
      </c>
      <c r="K355" t="s">
        <v>1175</v>
      </c>
      <c r="L355" t="s">
        <v>974</v>
      </c>
      <c r="M355" t="s">
        <v>46</v>
      </c>
      <c r="N355" s="2"/>
      <c r="O355" s="4"/>
    </row>
    <row r="356" spans="1:15" ht="12.75" customHeight="1" x14ac:dyDescent="0.2">
      <c r="A356" s="369">
        <v>698952</v>
      </c>
      <c r="B356" t="s">
        <v>1197</v>
      </c>
      <c r="C356" s="342">
        <v>559</v>
      </c>
      <c r="D356" s="342">
        <v>525</v>
      </c>
      <c r="E356" s="342">
        <v>1084</v>
      </c>
      <c r="F356" s="342">
        <v>73587879.969796494</v>
      </c>
      <c r="G356" s="342">
        <v>70313379.299714893</v>
      </c>
      <c r="H356" s="342">
        <v>143901259.26951101</v>
      </c>
      <c r="I356" s="342">
        <v>-928203.33</v>
      </c>
      <c r="J356" t="s">
        <v>159</v>
      </c>
      <c r="K356" t="s">
        <v>1175</v>
      </c>
      <c r="L356" t="s">
        <v>178</v>
      </c>
      <c r="M356" t="s">
        <v>151</v>
      </c>
      <c r="N356" s="2"/>
      <c r="O356" s="4"/>
    </row>
    <row r="357" spans="1:15" ht="12.75" customHeight="1" x14ac:dyDescent="0.2">
      <c r="A357" s="369">
        <v>863522</v>
      </c>
      <c r="B357" t="s">
        <v>1125</v>
      </c>
      <c r="C357" s="342">
        <v>365</v>
      </c>
      <c r="D357" s="342">
        <v>699</v>
      </c>
      <c r="E357" s="342">
        <v>1064</v>
      </c>
      <c r="F357" s="342">
        <v>21369333.973774899</v>
      </c>
      <c r="G357" s="342">
        <v>55160454.285977997</v>
      </c>
      <c r="H357" s="342">
        <v>76529788.259752899</v>
      </c>
      <c r="I357" s="342">
        <v>-624169.12</v>
      </c>
      <c r="J357" t="s">
        <v>172</v>
      </c>
      <c r="K357" t="s">
        <v>1153</v>
      </c>
      <c r="L357" t="s">
        <v>207</v>
      </c>
      <c r="M357" t="s">
        <v>46</v>
      </c>
      <c r="N357" s="2"/>
      <c r="O357" s="4"/>
    </row>
    <row r="358" spans="1:15" ht="12.75" customHeight="1" x14ac:dyDescent="0.2">
      <c r="A358" s="369">
        <v>401695</v>
      </c>
      <c r="B358" t="s">
        <v>976</v>
      </c>
      <c r="C358" s="342">
        <v>438</v>
      </c>
      <c r="D358" s="342">
        <v>624</v>
      </c>
      <c r="E358" s="342">
        <v>1062</v>
      </c>
      <c r="F358" s="342">
        <v>41689118.840135798</v>
      </c>
      <c r="G358" s="342">
        <v>70221560.886527106</v>
      </c>
      <c r="H358" s="342">
        <v>111910679.72666299</v>
      </c>
      <c r="I358" s="342">
        <v>-107606.39999999999</v>
      </c>
      <c r="J358" t="s">
        <v>224</v>
      </c>
      <c r="K358" t="s">
        <v>1177</v>
      </c>
      <c r="L358" t="s">
        <v>974</v>
      </c>
      <c r="M358" t="s">
        <v>46</v>
      </c>
      <c r="N358" s="2"/>
      <c r="O358" s="4"/>
    </row>
    <row r="359" spans="1:15" ht="12.75" customHeight="1" x14ac:dyDescent="0.2">
      <c r="A359" s="369">
        <v>574582</v>
      </c>
      <c r="B359" t="s">
        <v>386</v>
      </c>
      <c r="C359" s="342">
        <v>564</v>
      </c>
      <c r="D359" s="342">
        <v>498</v>
      </c>
      <c r="E359" s="342">
        <v>1062</v>
      </c>
      <c r="F359" s="342">
        <v>17701140.261315901</v>
      </c>
      <c r="G359" s="342">
        <v>24548335.729611699</v>
      </c>
      <c r="H359" s="342">
        <v>42249475.990927599</v>
      </c>
      <c r="I359" s="342">
        <v>-17066.689999999999</v>
      </c>
      <c r="J359" t="s">
        <v>163</v>
      </c>
      <c r="K359" t="s">
        <v>1156</v>
      </c>
      <c r="L359" t="s">
        <v>240</v>
      </c>
      <c r="M359" t="s">
        <v>46</v>
      </c>
      <c r="N359" s="2"/>
      <c r="O359" s="4"/>
    </row>
    <row r="360" spans="1:15" ht="12.75" customHeight="1" x14ac:dyDescent="0.2">
      <c r="A360" s="369">
        <v>502922</v>
      </c>
      <c r="B360" t="s">
        <v>358</v>
      </c>
      <c r="C360" s="342">
        <v>265</v>
      </c>
      <c r="D360" s="342">
        <v>796</v>
      </c>
      <c r="E360" s="342">
        <v>1061</v>
      </c>
      <c r="F360" s="342">
        <v>18346702.276954699</v>
      </c>
      <c r="G360" s="342">
        <v>65481910.963547699</v>
      </c>
      <c r="H360" s="342">
        <v>83828613.240502506</v>
      </c>
      <c r="I360" s="342">
        <v>-12379120.27</v>
      </c>
      <c r="J360" t="s">
        <v>160</v>
      </c>
      <c r="K360" t="s">
        <v>1177</v>
      </c>
      <c r="L360" t="s">
        <v>255</v>
      </c>
      <c r="M360" t="s">
        <v>46</v>
      </c>
      <c r="N360" s="2"/>
      <c r="O360" s="4"/>
    </row>
    <row r="361" spans="1:15" ht="12.75" customHeight="1" x14ac:dyDescent="0.2">
      <c r="A361" s="369">
        <v>393488</v>
      </c>
      <c r="B361" t="s">
        <v>998</v>
      </c>
      <c r="C361" s="342">
        <v>439</v>
      </c>
      <c r="D361" s="342">
        <v>616</v>
      </c>
      <c r="E361" s="342">
        <v>1055</v>
      </c>
      <c r="F361" s="342">
        <v>35778459.549473099</v>
      </c>
      <c r="G361" s="342">
        <v>51879473.6241052</v>
      </c>
      <c r="H361" s="342">
        <v>87657933.173578307</v>
      </c>
      <c r="I361" s="342">
        <v>18198.89</v>
      </c>
      <c r="J361" t="s">
        <v>159</v>
      </c>
      <c r="K361" t="s">
        <v>1175</v>
      </c>
      <c r="L361" t="s">
        <v>191</v>
      </c>
      <c r="M361" t="s">
        <v>151</v>
      </c>
      <c r="N361" s="2"/>
      <c r="O361" s="4"/>
    </row>
    <row r="362" spans="1:15" ht="12.75" customHeight="1" x14ac:dyDescent="0.2">
      <c r="A362" s="369">
        <v>987784</v>
      </c>
      <c r="B362" t="s">
        <v>989</v>
      </c>
      <c r="C362" s="342">
        <v>423</v>
      </c>
      <c r="D362" s="342">
        <v>628</v>
      </c>
      <c r="E362" s="342">
        <v>1051</v>
      </c>
      <c r="F362" s="342">
        <v>25770571.537059698</v>
      </c>
      <c r="G362" s="342">
        <v>50379940.375948399</v>
      </c>
      <c r="H362" s="342">
        <v>76150511.913008198</v>
      </c>
      <c r="I362" s="342">
        <v>20211319.43</v>
      </c>
      <c r="J362" t="s">
        <v>306</v>
      </c>
      <c r="K362" t="s">
        <v>1175</v>
      </c>
      <c r="L362" t="s">
        <v>967</v>
      </c>
      <c r="M362" t="s">
        <v>46</v>
      </c>
      <c r="N362" s="2"/>
      <c r="O362" s="4"/>
    </row>
    <row r="363" spans="1:15" ht="12.75" customHeight="1" x14ac:dyDescent="0.2">
      <c r="A363" s="369">
        <v>934711</v>
      </c>
      <c r="B363" t="s">
        <v>484</v>
      </c>
      <c r="C363" s="342">
        <v>398</v>
      </c>
      <c r="D363" s="342">
        <v>620</v>
      </c>
      <c r="E363" s="342">
        <v>1018</v>
      </c>
      <c r="F363" s="342">
        <v>24762209.389672302</v>
      </c>
      <c r="G363" s="342">
        <v>47802319.020381503</v>
      </c>
      <c r="H363" s="342">
        <v>72564528.410053894</v>
      </c>
      <c r="I363" s="342">
        <v>1864078.48</v>
      </c>
      <c r="J363" t="s">
        <v>256</v>
      </c>
      <c r="K363" t="s">
        <v>1156</v>
      </c>
      <c r="L363" t="s">
        <v>271</v>
      </c>
      <c r="M363" t="s">
        <v>151</v>
      </c>
      <c r="N363" s="2"/>
      <c r="O363" s="4"/>
    </row>
    <row r="364" spans="1:15" ht="12.75" customHeight="1" x14ac:dyDescent="0.2">
      <c r="A364" s="369">
        <v>785493</v>
      </c>
      <c r="B364" t="s">
        <v>449</v>
      </c>
      <c r="C364" s="342">
        <v>419</v>
      </c>
      <c r="D364" s="342">
        <v>583</v>
      </c>
      <c r="E364" s="342">
        <v>1002</v>
      </c>
      <c r="F364" s="342">
        <v>36007417.778200597</v>
      </c>
      <c r="G364" s="342">
        <v>59454182.057144202</v>
      </c>
      <c r="H364" s="342">
        <v>95461599.835344806</v>
      </c>
      <c r="I364" s="342">
        <v>-26372888.829999998</v>
      </c>
      <c r="J364" t="s">
        <v>190</v>
      </c>
      <c r="K364" t="s">
        <v>1175</v>
      </c>
      <c r="L364" t="s">
        <v>227</v>
      </c>
      <c r="M364" t="s">
        <v>46</v>
      </c>
      <c r="N364" s="2"/>
      <c r="O364" s="4"/>
    </row>
    <row r="365" spans="1:15" ht="12.75" customHeight="1" x14ac:dyDescent="0.2">
      <c r="A365" s="369">
        <v>554691</v>
      </c>
      <c r="B365" t="s">
        <v>542</v>
      </c>
      <c r="C365" s="342">
        <v>485</v>
      </c>
      <c r="D365" s="342">
        <v>498</v>
      </c>
      <c r="E365" s="342">
        <v>983</v>
      </c>
      <c r="F365" s="342">
        <v>27524758.009317901</v>
      </c>
      <c r="G365" s="342">
        <v>36595183.284821801</v>
      </c>
      <c r="H365" s="342">
        <v>64119941.294139802</v>
      </c>
      <c r="I365" s="342">
        <v>-977940.37</v>
      </c>
      <c r="J365" t="s">
        <v>156</v>
      </c>
      <c r="K365" t="s">
        <v>1156</v>
      </c>
      <c r="L365" t="s">
        <v>234</v>
      </c>
      <c r="M365" t="s">
        <v>151</v>
      </c>
      <c r="N365" s="2"/>
      <c r="O365" s="4"/>
    </row>
    <row r="366" spans="1:15" ht="12.75" customHeight="1" x14ac:dyDescent="0.2">
      <c r="A366" s="369">
        <v>515973</v>
      </c>
      <c r="B366" t="s">
        <v>979</v>
      </c>
      <c r="C366" s="342">
        <v>480</v>
      </c>
      <c r="D366" s="342">
        <v>453</v>
      </c>
      <c r="E366" s="342">
        <v>933</v>
      </c>
      <c r="F366" s="342">
        <v>17606746.6931132</v>
      </c>
      <c r="G366" s="342">
        <v>18476710.424758099</v>
      </c>
      <c r="H366" s="342">
        <v>36083457.117871299</v>
      </c>
      <c r="I366" s="342">
        <v>73153.460000000006</v>
      </c>
      <c r="J366" t="s">
        <v>256</v>
      </c>
      <c r="K366" t="s">
        <v>1156</v>
      </c>
      <c r="L366" t="s">
        <v>966</v>
      </c>
      <c r="M366" t="s">
        <v>46</v>
      </c>
      <c r="N366" s="2"/>
      <c r="O366" s="4"/>
    </row>
    <row r="367" spans="1:15" ht="12.75" customHeight="1" x14ac:dyDescent="0.2">
      <c r="A367" s="369">
        <v>444315</v>
      </c>
      <c r="B367" t="s">
        <v>977</v>
      </c>
      <c r="C367" s="342">
        <v>527</v>
      </c>
      <c r="D367" s="342">
        <v>394</v>
      </c>
      <c r="E367" s="342">
        <v>921</v>
      </c>
      <c r="F367" s="342">
        <v>23689103.132403899</v>
      </c>
      <c r="G367" s="342">
        <v>22086740.3397092</v>
      </c>
      <c r="H367" s="342">
        <v>45775843.472113103</v>
      </c>
      <c r="I367" s="342">
        <v>-286406.89</v>
      </c>
      <c r="J367" t="s">
        <v>183</v>
      </c>
      <c r="K367" t="s">
        <v>1153</v>
      </c>
      <c r="L367" t="s">
        <v>966</v>
      </c>
      <c r="M367" t="s">
        <v>46</v>
      </c>
      <c r="N367" s="2"/>
      <c r="O367" s="4"/>
    </row>
    <row r="368" spans="1:15" ht="12.75" customHeight="1" x14ac:dyDescent="0.2">
      <c r="A368" s="369">
        <v>832717</v>
      </c>
      <c r="B368" t="s">
        <v>516</v>
      </c>
      <c r="C368" s="342">
        <v>348</v>
      </c>
      <c r="D368" s="342">
        <v>569</v>
      </c>
      <c r="E368" s="342">
        <v>917</v>
      </c>
      <c r="F368" s="342">
        <v>24387288.114766099</v>
      </c>
      <c r="G368" s="342">
        <v>52690014.809421897</v>
      </c>
      <c r="H368" s="342">
        <v>77077302.924188107</v>
      </c>
      <c r="I368" s="342">
        <v>-1529829.06</v>
      </c>
      <c r="J368" t="s">
        <v>156</v>
      </c>
      <c r="K368" t="s">
        <v>1156</v>
      </c>
      <c r="L368" t="s">
        <v>271</v>
      </c>
      <c r="M368" t="s">
        <v>151</v>
      </c>
      <c r="N368" s="2"/>
      <c r="O368" s="4"/>
    </row>
    <row r="369" spans="1:15" ht="12.75" customHeight="1" x14ac:dyDescent="0.2">
      <c r="A369" s="369">
        <v>309492</v>
      </c>
      <c r="B369" t="s">
        <v>527</v>
      </c>
      <c r="C369" s="342">
        <v>438</v>
      </c>
      <c r="D369" s="342">
        <v>455</v>
      </c>
      <c r="E369" s="342">
        <v>893</v>
      </c>
      <c r="F369" s="342">
        <v>26671507.3814907</v>
      </c>
      <c r="G369" s="342">
        <v>34977379.2583967</v>
      </c>
      <c r="H369" s="342">
        <v>61648886.639887497</v>
      </c>
      <c r="I369" s="342">
        <v>1468919.64</v>
      </c>
      <c r="J369" t="s">
        <v>179</v>
      </c>
      <c r="K369" t="s">
        <v>1175</v>
      </c>
      <c r="L369" t="s">
        <v>284</v>
      </c>
      <c r="M369" t="s">
        <v>46</v>
      </c>
      <c r="N369" s="2"/>
      <c r="O369" s="4"/>
    </row>
    <row r="370" spans="1:15" ht="12.75" customHeight="1" x14ac:dyDescent="0.2">
      <c r="A370" s="369">
        <v>480145</v>
      </c>
      <c r="B370" t="s">
        <v>349</v>
      </c>
      <c r="C370" s="342">
        <v>467</v>
      </c>
      <c r="D370" s="342">
        <v>412</v>
      </c>
      <c r="E370" s="342">
        <v>879</v>
      </c>
      <c r="F370" s="342">
        <v>18390954.639898799</v>
      </c>
      <c r="G370" s="342">
        <v>19152896.744689699</v>
      </c>
      <c r="H370" s="342">
        <v>37543851.384588502</v>
      </c>
      <c r="I370" s="342">
        <v>-62236.88</v>
      </c>
      <c r="J370" t="s">
        <v>319</v>
      </c>
      <c r="K370" t="s">
        <v>1153</v>
      </c>
      <c r="L370" t="s">
        <v>966</v>
      </c>
      <c r="M370" t="s">
        <v>46</v>
      </c>
      <c r="N370" s="2"/>
      <c r="O370" s="4"/>
    </row>
    <row r="371" spans="1:15" ht="12.75" customHeight="1" x14ac:dyDescent="0.2">
      <c r="A371" s="369">
        <v>955435</v>
      </c>
      <c r="B371" t="s">
        <v>545</v>
      </c>
      <c r="C371" s="342">
        <v>385</v>
      </c>
      <c r="D371" s="342">
        <v>490</v>
      </c>
      <c r="E371" s="342">
        <v>875</v>
      </c>
      <c r="F371" s="342">
        <v>23719289.468636502</v>
      </c>
      <c r="G371" s="342">
        <v>40962009.417703003</v>
      </c>
      <c r="H371" s="342">
        <v>64681298.886339501</v>
      </c>
      <c r="I371" s="342">
        <v>2909467.61</v>
      </c>
      <c r="J371" t="s">
        <v>192</v>
      </c>
      <c r="K371" t="s">
        <v>1156</v>
      </c>
      <c r="L371" t="s">
        <v>182</v>
      </c>
      <c r="M371" t="s">
        <v>46</v>
      </c>
      <c r="N371" s="2"/>
      <c r="O371" s="4"/>
    </row>
    <row r="372" spans="1:15" ht="12.75" customHeight="1" x14ac:dyDescent="0.2">
      <c r="A372" s="369">
        <v>901603</v>
      </c>
      <c r="B372" t="s">
        <v>1169</v>
      </c>
      <c r="C372" s="342">
        <v>475</v>
      </c>
      <c r="D372" s="342">
        <v>388</v>
      </c>
      <c r="E372" s="342">
        <v>863</v>
      </c>
      <c r="F372" s="342">
        <v>18284786.576817501</v>
      </c>
      <c r="G372" s="342">
        <v>20189323.897889402</v>
      </c>
      <c r="H372" s="342">
        <v>38474110.474707</v>
      </c>
      <c r="I372" s="342">
        <v>-575269.75</v>
      </c>
      <c r="J372" t="s">
        <v>156</v>
      </c>
      <c r="K372" t="s">
        <v>1156</v>
      </c>
      <c r="L372" t="s">
        <v>991</v>
      </c>
      <c r="M372" t="s">
        <v>46</v>
      </c>
      <c r="N372" s="2"/>
      <c r="O372" s="4"/>
    </row>
    <row r="373" spans="1:15" ht="12.75" customHeight="1" x14ac:dyDescent="0.2">
      <c r="A373" s="369">
        <v>886606</v>
      </c>
      <c r="B373" t="s">
        <v>1099</v>
      </c>
      <c r="C373" s="342">
        <v>325</v>
      </c>
      <c r="D373" s="342">
        <v>532</v>
      </c>
      <c r="E373" s="342">
        <v>857</v>
      </c>
      <c r="F373" s="342">
        <v>25538455.566995699</v>
      </c>
      <c r="G373" s="342">
        <v>48143139.989998899</v>
      </c>
      <c r="H373" s="342">
        <v>73681595.556994602</v>
      </c>
      <c r="I373" s="342">
        <v>-761034.94</v>
      </c>
      <c r="J373" t="s">
        <v>245</v>
      </c>
      <c r="K373" t="s">
        <v>1176</v>
      </c>
      <c r="L373" t="s">
        <v>195</v>
      </c>
      <c r="M373" t="s">
        <v>46</v>
      </c>
      <c r="N373" s="2"/>
      <c r="O373" s="4"/>
    </row>
    <row r="374" spans="1:15" ht="12.75" customHeight="1" x14ac:dyDescent="0.2">
      <c r="A374" s="369">
        <v>201111</v>
      </c>
      <c r="B374" t="s">
        <v>1213</v>
      </c>
      <c r="C374" s="342">
        <v>462</v>
      </c>
      <c r="D374" s="342">
        <v>379</v>
      </c>
      <c r="E374" s="342">
        <v>841</v>
      </c>
      <c r="F374" s="342">
        <v>40437545.138679698</v>
      </c>
      <c r="G374" s="342">
        <v>39478615.806267403</v>
      </c>
      <c r="H374" s="342">
        <v>79916160.944947094</v>
      </c>
      <c r="I374" s="342">
        <v>51339.78</v>
      </c>
      <c r="J374" t="s">
        <v>176</v>
      </c>
      <c r="K374" t="s">
        <v>1175</v>
      </c>
      <c r="L374" t="s">
        <v>191</v>
      </c>
      <c r="M374" t="s">
        <v>151</v>
      </c>
      <c r="N374" s="2"/>
      <c r="O374" s="4"/>
    </row>
    <row r="375" spans="1:15" ht="12.75" customHeight="1" x14ac:dyDescent="0.2">
      <c r="A375" s="369">
        <v>316752</v>
      </c>
      <c r="B375" t="s">
        <v>286</v>
      </c>
      <c r="C375" s="342">
        <v>363</v>
      </c>
      <c r="D375" s="342">
        <v>469</v>
      </c>
      <c r="E375" s="342">
        <v>832</v>
      </c>
      <c r="F375" s="342">
        <v>19560981.9292363</v>
      </c>
      <c r="G375" s="342">
        <v>33418174.614247099</v>
      </c>
      <c r="H375" s="342">
        <v>52979156.543483503</v>
      </c>
      <c r="I375" s="342">
        <v>-389110.82</v>
      </c>
      <c r="J375" t="s">
        <v>256</v>
      </c>
      <c r="K375" t="s">
        <v>1156</v>
      </c>
      <c r="L375" t="s">
        <v>215</v>
      </c>
      <c r="M375" t="s">
        <v>46</v>
      </c>
      <c r="N375" s="2"/>
      <c r="O375" s="4"/>
    </row>
    <row r="376" spans="1:15" ht="12.75" customHeight="1" x14ac:dyDescent="0.2">
      <c r="A376" s="369">
        <v>296749</v>
      </c>
      <c r="B376" t="s">
        <v>277</v>
      </c>
      <c r="C376" s="342">
        <v>326</v>
      </c>
      <c r="D376" s="342">
        <v>502</v>
      </c>
      <c r="E376" s="342">
        <v>828</v>
      </c>
      <c r="F376" s="342">
        <v>31116420.074178401</v>
      </c>
      <c r="G376" s="342">
        <v>60460108.366633698</v>
      </c>
      <c r="H376" s="342">
        <v>91576528.440812096</v>
      </c>
      <c r="I376" s="342">
        <v>-94677.22</v>
      </c>
      <c r="J376" t="s">
        <v>224</v>
      </c>
      <c r="K376" t="s">
        <v>1177</v>
      </c>
      <c r="L376" t="s">
        <v>215</v>
      </c>
      <c r="M376" t="s">
        <v>46</v>
      </c>
      <c r="N376" s="2"/>
      <c r="O376" s="4"/>
    </row>
    <row r="377" spans="1:15" ht="12.75" customHeight="1" x14ac:dyDescent="0.2">
      <c r="A377" s="369">
        <v>814947</v>
      </c>
      <c r="B377" t="s">
        <v>1097</v>
      </c>
      <c r="C377" s="342">
        <v>300</v>
      </c>
      <c r="D377" s="342">
        <v>504</v>
      </c>
      <c r="E377" s="342">
        <v>804</v>
      </c>
      <c r="F377" s="342">
        <v>19520429.004464801</v>
      </c>
      <c r="G377" s="342">
        <v>36364323.286376096</v>
      </c>
      <c r="H377" s="342">
        <v>55884752.290840998</v>
      </c>
      <c r="I377" s="342">
        <v>-237504.24</v>
      </c>
      <c r="J377" t="s">
        <v>179</v>
      </c>
      <c r="K377" t="s">
        <v>1175</v>
      </c>
      <c r="L377" t="s">
        <v>195</v>
      </c>
      <c r="M377" t="s">
        <v>46</v>
      </c>
      <c r="N377" s="2"/>
      <c r="O377" s="4"/>
    </row>
    <row r="378" spans="1:15" ht="12.75" customHeight="1" x14ac:dyDescent="0.2">
      <c r="A378" s="369">
        <v>901181</v>
      </c>
      <c r="B378" t="s">
        <v>1168</v>
      </c>
      <c r="C378" s="342">
        <v>384</v>
      </c>
      <c r="D378" s="342">
        <v>400</v>
      </c>
      <c r="E378" s="342">
        <v>784</v>
      </c>
      <c r="F378" s="342">
        <v>27072945.682020199</v>
      </c>
      <c r="G378" s="342">
        <v>30296532.309547</v>
      </c>
      <c r="H378" s="342">
        <v>57369477.991567202</v>
      </c>
      <c r="I378" s="342">
        <v>-392784.26</v>
      </c>
      <c r="J378" t="s">
        <v>179</v>
      </c>
      <c r="K378" t="s">
        <v>1175</v>
      </c>
      <c r="L378" t="s">
        <v>991</v>
      </c>
      <c r="M378" t="s">
        <v>46</v>
      </c>
      <c r="N378" s="2"/>
      <c r="O378" s="4"/>
    </row>
    <row r="379" spans="1:15" ht="12.75" customHeight="1" x14ac:dyDescent="0.2">
      <c r="A379" s="369">
        <v>111096</v>
      </c>
      <c r="B379" t="s">
        <v>1005</v>
      </c>
      <c r="C379" s="342">
        <v>248</v>
      </c>
      <c r="D379" s="342">
        <v>534</v>
      </c>
      <c r="E379" s="342">
        <v>782</v>
      </c>
      <c r="F379" s="342">
        <v>19846016.039824501</v>
      </c>
      <c r="G379" s="342">
        <v>49489031.433619797</v>
      </c>
      <c r="H379" s="342">
        <v>69335047.473444402</v>
      </c>
      <c r="I379" s="342">
        <v>-3381925.6</v>
      </c>
      <c r="J379" t="s">
        <v>197</v>
      </c>
      <c r="K379" t="s">
        <v>1175</v>
      </c>
      <c r="L379" t="s">
        <v>189</v>
      </c>
      <c r="M379" t="s">
        <v>151</v>
      </c>
      <c r="N379" s="20"/>
      <c r="O379" s="4"/>
    </row>
    <row r="380" spans="1:15" ht="12.75" customHeight="1" x14ac:dyDescent="0.2">
      <c r="A380" s="369">
        <v>688986</v>
      </c>
      <c r="B380" t="s">
        <v>422</v>
      </c>
      <c r="C380" s="342">
        <v>356</v>
      </c>
      <c r="D380" s="342">
        <v>426</v>
      </c>
      <c r="E380" s="342">
        <v>782</v>
      </c>
      <c r="F380" s="342">
        <v>23568329.956233401</v>
      </c>
      <c r="G380" s="342">
        <v>33496105.787421901</v>
      </c>
      <c r="H380" s="342">
        <v>57064435.743655398</v>
      </c>
      <c r="I380" s="342">
        <v>-110441.1</v>
      </c>
      <c r="J380" t="s">
        <v>242</v>
      </c>
      <c r="K380" t="s">
        <v>1177</v>
      </c>
      <c r="L380" t="s">
        <v>215</v>
      </c>
      <c r="M380" t="s">
        <v>46</v>
      </c>
      <c r="N380" s="2"/>
      <c r="O380" s="4"/>
    </row>
    <row r="381" spans="1:15" ht="12.75" customHeight="1" x14ac:dyDescent="0.2">
      <c r="A381" s="369">
        <v>159442</v>
      </c>
      <c r="B381" t="s">
        <v>1074</v>
      </c>
      <c r="C381" s="342">
        <v>327</v>
      </c>
      <c r="D381" s="342">
        <v>443</v>
      </c>
      <c r="E381" s="342">
        <v>770</v>
      </c>
      <c r="F381" s="342">
        <v>20960298.561218798</v>
      </c>
      <c r="G381" s="342">
        <v>34231780.449257903</v>
      </c>
      <c r="H381" s="342">
        <v>55192079.010476798</v>
      </c>
      <c r="I381" s="342">
        <v>-900778.12</v>
      </c>
      <c r="J381" t="s">
        <v>206</v>
      </c>
      <c r="K381" t="s">
        <v>1176</v>
      </c>
      <c r="L381" t="s">
        <v>967</v>
      </c>
      <c r="M381" t="s">
        <v>46</v>
      </c>
      <c r="N381" s="2"/>
      <c r="O381" s="4"/>
    </row>
    <row r="382" spans="1:15" ht="12.75" customHeight="1" x14ac:dyDescent="0.2">
      <c r="A382" s="369">
        <v>810465</v>
      </c>
      <c r="B382" t="s">
        <v>1124</v>
      </c>
      <c r="C382" s="342">
        <v>365</v>
      </c>
      <c r="D382" s="342">
        <v>393</v>
      </c>
      <c r="E382" s="342">
        <v>758</v>
      </c>
      <c r="F382" s="342">
        <v>17589574.514818601</v>
      </c>
      <c r="G382" s="342">
        <v>22312933.695686501</v>
      </c>
      <c r="H382" s="342">
        <v>39902508.210505202</v>
      </c>
      <c r="I382" s="342">
        <v>-830670.01</v>
      </c>
      <c r="J382" t="s">
        <v>179</v>
      </c>
      <c r="K382" t="s">
        <v>1175</v>
      </c>
      <c r="L382" t="s">
        <v>215</v>
      </c>
      <c r="M382" t="s">
        <v>46</v>
      </c>
      <c r="N382" s="2"/>
      <c r="O382" s="4"/>
    </row>
    <row r="383" spans="1:15" ht="12.75" customHeight="1" x14ac:dyDescent="0.2">
      <c r="A383" s="369">
        <v>237834</v>
      </c>
      <c r="B383" t="s">
        <v>246</v>
      </c>
      <c r="C383" s="342">
        <v>341</v>
      </c>
      <c r="D383" s="342">
        <v>414</v>
      </c>
      <c r="E383" s="342">
        <v>755</v>
      </c>
      <c r="F383" s="342">
        <v>33369726.990685198</v>
      </c>
      <c r="G383" s="342">
        <v>52441750.396962598</v>
      </c>
      <c r="H383" s="342">
        <v>85811477.387647793</v>
      </c>
      <c r="I383" s="342">
        <v>-324454.78999999998</v>
      </c>
      <c r="J383" t="s">
        <v>190</v>
      </c>
      <c r="K383" t="s">
        <v>1175</v>
      </c>
      <c r="L383" t="s">
        <v>227</v>
      </c>
      <c r="M383" t="s">
        <v>46</v>
      </c>
      <c r="N383" s="2"/>
      <c r="O383" s="4"/>
    </row>
    <row r="384" spans="1:15" ht="12.75" customHeight="1" x14ac:dyDescent="0.2">
      <c r="A384" s="369">
        <v>173435</v>
      </c>
      <c r="B384" t="s">
        <v>214</v>
      </c>
      <c r="C384" s="342">
        <v>364</v>
      </c>
      <c r="D384" s="342">
        <v>390</v>
      </c>
      <c r="E384" s="342">
        <v>754</v>
      </c>
      <c r="F384" s="342">
        <v>17969452.029733799</v>
      </c>
      <c r="G384" s="342">
        <v>24331900.471704599</v>
      </c>
      <c r="H384" s="342">
        <v>42301352.501438402</v>
      </c>
      <c r="I384" s="342">
        <v>-586050.32999999996</v>
      </c>
      <c r="J384" t="s">
        <v>216</v>
      </c>
      <c r="K384" t="s">
        <v>1156</v>
      </c>
      <c r="L384" t="s">
        <v>215</v>
      </c>
      <c r="M384" t="s">
        <v>46</v>
      </c>
      <c r="N384" s="2"/>
      <c r="O384" s="4"/>
    </row>
    <row r="385" spans="1:15" ht="12.75" customHeight="1" x14ac:dyDescent="0.2">
      <c r="A385" s="369">
        <v>666370</v>
      </c>
      <c r="B385" t="s">
        <v>983</v>
      </c>
      <c r="C385" s="342">
        <v>254</v>
      </c>
      <c r="D385" s="342">
        <v>499</v>
      </c>
      <c r="E385" s="342">
        <v>753</v>
      </c>
      <c r="F385" s="342">
        <v>20496581.298835501</v>
      </c>
      <c r="G385" s="342">
        <v>44063016.629243597</v>
      </c>
      <c r="H385" s="342">
        <v>64559597.928079098</v>
      </c>
      <c r="I385" s="342">
        <v>-1541741.63</v>
      </c>
      <c r="J385" t="s">
        <v>245</v>
      </c>
      <c r="K385" t="s">
        <v>1176</v>
      </c>
      <c r="L385" t="s">
        <v>974</v>
      </c>
      <c r="M385" t="s">
        <v>46</v>
      </c>
      <c r="N385" s="2"/>
      <c r="O385" s="4"/>
    </row>
    <row r="386" spans="1:15" ht="12.75" customHeight="1" x14ac:dyDescent="0.2">
      <c r="A386" s="369">
        <v>429316</v>
      </c>
      <c r="B386" t="s">
        <v>1000</v>
      </c>
      <c r="C386" s="342">
        <v>305</v>
      </c>
      <c r="D386" s="342">
        <v>424</v>
      </c>
      <c r="E386" s="342">
        <v>729</v>
      </c>
      <c r="F386" s="342">
        <v>17048650.331723001</v>
      </c>
      <c r="G386" s="342">
        <v>26224729.208958101</v>
      </c>
      <c r="H386" s="342">
        <v>43273379.540681101</v>
      </c>
      <c r="I386" s="342">
        <v>-703567.88</v>
      </c>
      <c r="J386" t="s">
        <v>169</v>
      </c>
      <c r="K386" t="s">
        <v>1175</v>
      </c>
      <c r="L386" t="s">
        <v>191</v>
      </c>
      <c r="M386" t="s">
        <v>151</v>
      </c>
      <c r="N386" s="2"/>
      <c r="O386" s="4"/>
    </row>
    <row r="387" spans="1:15" ht="12.75" customHeight="1" x14ac:dyDescent="0.2">
      <c r="A387" s="369">
        <v>652628</v>
      </c>
      <c r="B387" t="s">
        <v>408</v>
      </c>
      <c r="C387" s="342">
        <v>309</v>
      </c>
      <c r="D387" s="342">
        <v>408</v>
      </c>
      <c r="E387" s="342">
        <v>717</v>
      </c>
      <c r="F387" s="342">
        <v>14933885.3993675</v>
      </c>
      <c r="G387" s="342">
        <v>23438926.879092</v>
      </c>
      <c r="H387" s="342">
        <v>38372812.278459601</v>
      </c>
      <c r="I387" s="342">
        <v>-100566.82</v>
      </c>
      <c r="J387" t="s">
        <v>206</v>
      </c>
      <c r="K387" t="s">
        <v>1176</v>
      </c>
      <c r="L387" t="s">
        <v>199</v>
      </c>
      <c r="M387" t="s">
        <v>46</v>
      </c>
      <c r="N387" s="2"/>
      <c r="O387" s="4"/>
    </row>
    <row r="388" spans="1:15" ht="12.75" customHeight="1" x14ac:dyDescent="0.2">
      <c r="A388" s="369">
        <v>804385</v>
      </c>
      <c r="B388" t="s">
        <v>1096</v>
      </c>
      <c r="C388" s="342">
        <v>268</v>
      </c>
      <c r="D388" s="342">
        <v>445</v>
      </c>
      <c r="E388" s="342">
        <v>713</v>
      </c>
      <c r="F388" s="342">
        <v>22394461.188977402</v>
      </c>
      <c r="G388" s="342">
        <v>45963999.037556097</v>
      </c>
      <c r="H388" s="342">
        <v>68358460.226533502</v>
      </c>
      <c r="I388" s="342">
        <v>-1909899.2</v>
      </c>
      <c r="J388" t="s">
        <v>197</v>
      </c>
      <c r="K388" t="s">
        <v>1175</v>
      </c>
      <c r="L388" t="s">
        <v>967</v>
      </c>
      <c r="M388" t="s">
        <v>46</v>
      </c>
      <c r="N388" s="2"/>
      <c r="O388" s="4"/>
    </row>
    <row r="389" spans="1:15" ht="12.75" customHeight="1" x14ac:dyDescent="0.2">
      <c r="A389" s="369">
        <v>368407</v>
      </c>
      <c r="B389" t="s">
        <v>305</v>
      </c>
      <c r="C389" s="342">
        <v>315</v>
      </c>
      <c r="D389" s="342">
        <v>396</v>
      </c>
      <c r="E389" s="342">
        <v>711</v>
      </c>
      <c r="F389" s="342">
        <v>16796568.264855601</v>
      </c>
      <c r="G389" s="342">
        <v>25023324.153580301</v>
      </c>
      <c r="H389" s="342">
        <v>41819892.418435901</v>
      </c>
      <c r="I389" s="342">
        <v>-3629341.52</v>
      </c>
      <c r="J389" t="s">
        <v>306</v>
      </c>
      <c r="K389" t="s">
        <v>1175</v>
      </c>
      <c r="L389" t="s">
        <v>215</v>
      </c>
      <c r="M389" t="s">
        <v>46</v>
      </c>
      <c r="N389" s="2"/>
      <c r="O389" s="4"/>
    </row>
    <row r="390" spans="1:15" ht="12.75" customHeight="1" x14ac:dyDescent="0.2">
      <c r="A390" s="369">
        <v>755033</v>
      </c>
      <c r="B390" t="s">
        <v>444</v>
      </c>
      <c r="C390" s="342">
        <v>203</v>
      </c>
      <c r="D390" s="342">
        <v>470</v>
      </c>
      <c r="E390" s="342">
        <v>673</v>
      </c>
      <c r="F390" s="342">
        <v>13336485.3793933</v>
      </c>
      <c r="G390" s="342">
        <v>37954108.382424101</v>
      </c>
      <c r="H390" s="342">
        <v>51290593.761817403</v>
      </c>
      <c r="I390" s="342">
        <v>-31498686.579999998</v>
      </c>
      <c r="J390" t="s">
        <v>160</v>
      </c>
      <c r="K390" t="s">
        <v>1177</v>
      </c>
      <c r="L390" t="s">
        <v>215</v>
      </c>
      <c r="M390" t="s">
        <v>46</v>
      </c>
      <c r="N390" s="2"/>
      <c r="O390" s="4"/>
    </row>
    <row r="391" spans="1:15" ht="12.75" customHeight="1" x14ac:dyDescent="0.2">
      <c r="A391" s="369">
        <v>134593</v>
      </c>
      <c r="B391" t="s">
        <v>185</v>
      </c>
      <c r="C391" s="342">
        <v>334</v>
      </c>
      <c r="D391" s="342">
        <v>339</v>
      </c>
      <c r="E391" s="342">
        <v>673</v>
      </c>
      <c r="F391" s="342">
        <v>16711820.488279199</v>
      </c>
      <c r="G391" s="342">
        <v>24423042.022593699</v>
      </c>
      <c r="H391" s="342">
        <v>41134862.510872997</v>
      </c>
      <c r="I391" s="342">
        <v>9797.0400000000009</v>
      </c>
      <c r="J391" t="s">
        <v>156</v>
      </c>
      <c r="K391" t="s">
        <v>1156</v>
      </c>
      <c r="L391" t="s">
        <v>186</v>
      </c>
      <c r="M391" t="s">
        <v>151</v>
      </c>
      <c r="N391" s="2"/>
      <c r="O391" s="4"/>
    </row>
    <row r="392" spans="1:15" ht="12.75" customHeight="1" x14ac:dyDescent="0.2">
      <c r="A392" s="369">
        <v>294322</v>
      </c>
      <c r="B392" t="s">
        <v>273</v>
      </c>
      <c r="C392" s="342">
        <v>325</v>
      </c>
      <c r="D392" s="342">
        <v>325</v>
      </c>
      <c r="E392" s="342">
        <v>650</v>
      </c>
      <c r="F392" s="342">
        <v>18494685.518890001</v>
      </c>
      <c r="G392" s="342">
        <v>25147856.868657399</v>
      </c>
      <c r="H392" s="342">
        <v>43642542.3875475</v>
      </c>
      <c r="I392" s="342">
        <v>-61836.92</v>
      </c>
      <c r="J392" t="s">
        <v>159</v>
      </c>
      <c r="K392" t="s">
        <v>1175</v>
      </c>
      <c r="L392" t="s">
        <v>199</v>
      </c>
      <c r="M392" t="s">
        <v>46</v>
      </c>
      <c r="N392" s="2"/>
      <c r="O392" s="4"/>
    </row>
    <row r="393" spans="1:15" ht="12.75" customHeight="1" x14ac:dyDescent="0.2">
      <c r="A393" s="369">
        <v>389239</v>
      </c>
      <c r="B393" t="s">
        <v>1010</v>
      </c>
      <c r="C393" s="342">
        <v>193</v>
      </c>
      <c r="D393" s="342">
        <v>447</v>
      </c>
      <c r="E393" s="342">
        <v>640</v>
      </c>
      <c r="F393" s="342">
        <v>18672129.635336399</v>
      </c>
      <c r="G393" s="342">
        <v>47802950.546429902</v>
      </c>
      <c r="H393" s="342">
        <v>66475080.181766301</v>
      </c>
      <c r="I393" s="342">
        <v>4756971.97</v>
      </c>
      <c r="J393" t="s">
        <v>242</v>
      </c>
      <c r="K393" t="s">
        <v>1177</v>
      </c>
      <c r="L393" t="s">
        <v>212</v>
      </c>
      <c r="M393" t="s">
        <v>46</v>
      </c>
      <c r="N393" s="2"/>
      <c r="O393" s="4"/>
    </row>
    <row r="394" spans="1:15" ht="12.75" customHeight="1" x14ac:dyDescent="0.2">
      <c r="A394" s="369">
        <v>146928</v>
      </c>
      <c r="B394" t="s">
        <v>1073</v>
      </c>
      <c r="C394" s="342">
        <v>284</v>
      </c>
      <c r="D394" s="342">
        <v>355</v>
      </c>
      <c r="E394" s="342">
        <v>639</v>
      </c>
      <c r="F394" s="342">
        <v>21770601.446066499</v>
      </c>
      <c r="G394" s="342">
        <v>32794961.445232801</v>
      </c>
      <c r="H394" s="342">
        <v>54565562.8912993</v>
      </c>
      <c r="I394" s="342">
        <v>-1147850.95</v>
      </c>
      <c r="J394" t="s">
        <v>201</v>
      </c>
      <c r="K394" t="s">
        <v>1174</v>
      </c>
      <c r="L394" t="s">
        <v>346</v>
      </c>
      <c r="M394" t="s">
        <v>151</v>
      </c>
      <c r="N394" s="2"/>
      <c r="O394" s="4"/>
    </row>
    <row r="395" spans="1:15" ht="12.75" customHeight="1" x14ac:dyDescent="0.2">
      <c r="A395" s="369">
        <v>613729</v>
      </c>
      <c r="B395" t="s">
        <v>1190</v>
      </c>
      <c r="C395" s="342">
        <v>334</v>
      </c>
      <c r="D395" s="342">
        <v>290</v>
      </c>
      <c r="E395" s="342">
        <v>624</v>
      </c>
      <c r="F395" s="342">
        <v>36480071.685607798</v>
      </c>
      <c r="G395" s="342">
        <v>35215916.899923898</v>
      </c>
      <c r="H395" s="342">
        <v>71695988.585531697</v>
      </c>
      <c r="I395" s="342">
        <v>-186103.48</v>
      </c>
      <c r="J395" t="s">
        <v>159</v>
      </c>
      <c r="K395" t="s">
        <v>1175</v>
      </c>
      <c r="L395" t="s">
        <v>991</v>
      </c>
      <c r="M395" t="s">
        <v>46</v>
      </c>
      <c r="N395" s="2"/>
      <c r="O395" s="4"/>
    </row>
    <row r="396" spans="1:15" ht="12.75" customHeight="1" x14ac:dyDescent="0.2">
      <c r="A396" s="369">
        <v>242495</v>
      </c>
      <c r="B396" t="s">
        <v>248</v>
      </c>
      <c r="C396" s="342">
        <v>264</v>
      </c>
      <c r="D396" s="342">
        <v>355</v>
      </c>
      <c r="E396" s="342">
        <v>619</v>
      </c>
      <c r="F396" s="342">
        <v>23327821.5877381</v>
      </c>
      <c r="G396" s="342">
        <v>36850655.143279597</v>
      </c>
      <c r="H396" s="342">
        <v>60178476.731017798</v>
      </c>
      <c r="I396" s="342">
        <v>-684547.36</v>
      </c>
      <c r="J396" t="s">
        <v>190</v>
      </c>
      <c r="K396" t="s">
        <v>1175</v>
      </c>
      <c r="L396" t="s">
        <v>249</v>
      </c>
      <c r="M396" t="s">
        <v>46</v>
      </c>
      <c r="N396" s="2"/>
      <c r="O396" s="4"/>
    </row>
    <row r="397" spans="1:15" ht="12.75" customHeight="1" x14ac:dyDescent="0.2">
      <c r="A397" s="369">
        <v>318469</v>
      </c>
      <c r="B397" t="s">
        <v>288</v>
      </c>
      <c r="C397" s="342">
        <v>241</v>
      </c>
      <c r="D397" s="342">
        <v>373</v>
      </c>
      <c r="E397" s="342">
        <v>614</v>
      </c>
      <c r="F397" s="342">
        <v>17074963.516744301</v>
      </c>
      <c r="G397" s="342">
        <v>35950040.657561101</v>
      </c>
      <c r="H397" s="342">
        <v>53025004.174305499</v>
      </c>
      <c r="I397" s="342">
        <v>-7969074.8099999996</v>
      </c>
      <c r="J397" t="s">
        <v>194</v>
      </c>
      <c r="K397" t="s">
        <v>1176</v>
      </c>
      <c r="L397" t="s">
        <v>168</v>
      </c>
      <c r="M397" t="s">
        <v>46</v>
      </c>
      <c r="N397" s="2"/>
      <c r="O397" s="4"/>
    </row>
    <row r="398" spans="1:15" ht="12.75" customHeight="1" x14ac:dyDescent="0.2">
      <c r="A398" s="369">
        <v>354290</v>
      </c>
      <c r="B398" t="s">
        <v>300</v>
      </c>
      <c r="C398" s="342">
        <v>275</v>
      </c>
      <c r="D398" s="342">
        <v>328</v>
      </c>
      <c r="E398" s="342">
        <v>603</v>
      </c>
      <c r="F398" s="342">
        <v>22780976.896024201</v>
      </c>
      <c r="G398" s="342">
        <v>32677754.066160001</v>
      </c>
      <c r="H398" s="342">
        <v>55458730.962184198</v>
      </c>
      <c r="I398" s="342">
        <v>-11018242.050000001</v>
      </c>
      <c r="J398" t="s">
        <v>190</v>
      </c>
      <c r="K398" t="s">
        <v>1175</v>
      </c>
      <c r="L398" t="s">
        <v>168</v>
      </c>
      <c r="M398" t="s">
        <v>46</v>
      </c>
      <c r="N398" s="2"/>
      <c r="O398" s="4"/>
    </row>
    <row r="399" spans="1:15" ht="12.75" customHeight="1" x14ac:dyDescent="0.2">
      <c r="A399" s="369">
        <v>260497</v>
      </c>
      <c r="B399" t="s">
        <v>258</v>
      </c>
      <c r="C399" s="342">
        <v>215</v>
      </c>
      <c r="D399" s="342">
        <v>376</v>
      </c>
      <c r="E399" s="342">
        <v>591</v>
      </c>
      <c r="F399" s="342">
        <v>13454971.5962674</v>
      </c>
      <c r="G399" s="342">
        <v>30730170.574975502</v>
      </c>
      <c r="H399" s="342">
        <v>44185142.1712429</v>
      </c>
      <c r="I399" s="342">
        <v>4121063.35</v>
      </c>
      <c r="J399" t="s">
        <v>259</v>
      </c>
      <c r="K399" t="s">
        <v>1177</v>
      </c>
      <c r="L399" t="s">
        <v>175</v>
      </c>
      <c r="M399" t="s">
        <v>46</v>
      </c>
      <c r="N399" s="2"/>
      <c r="O399" s="4"/>
    </row>
    <row r="400" spans="1:15" ht="12.75" customHeight="1" x14ac:dyDescent="0.2">
      <c r="A400" s="369">
        <v>920439</v>
      </c>
      <c r="B400" t="s">
        <v>987</v>
      </c>
      <c r="C400" s="342">
        <v>236</v>
      </c>
      <c r="D400" s="342">
        <v>317</v>
      </c>
      <c r="E400" s="342">
        <v>553</v>
      </c>
      <c r="F400" s="342">
        <v>9311935.3971828502</v>
      </c>
      <c r="G400" s="342">
        <v>16647344.3828752</v>
      </c>
      <c r="H400" s="342">
        <v>25959279.780058</v>
      </c>
      <c r="I400" s="342">
        <v>-1009247.28</v>
      </c>
      <c r="J400" t="s">
        <v>206</v>
      </c>
      <c r="K400" t="s">
        <v>1176</v>
      </c>
      <c r="L400" t="s">
        <v>974</v>
      </c>
      <c r="M400" t="s">
        <v>46</v>
      </c>
      <c r="N400" s="2"/>
      <c r="O400" s="4"/>
    </row>
    <row r="401" spans="1:15" ht="12.75" customHeight="1" x14ac:dyDescent="0.2">
      <c r="A401" s="369">
        <v>384750</v>
      </c>
      <c r="B401" t="s">
        <v>530</v>
      </c>
      <c r="C401" s="342">
        <v>257</v>
      </c>
      <c r="D401" s="342">
        <v>292</v>
      </c>
      <c r="E401" s="342">
        <v>549</v>
      </c>
      <c r="F401" s="342">
        <v>13788042.3520549</v>
      </c>
      <c r="G401" s="342">
        <v>22278910.4065408</v>
      </c>
      <c r="H401" s="342">
        <v>36066952.758595698</v>
      </c>
      <c r="I401" s="342">
        <v>-273973.11</v>
      </c>
      <c r="J401" t="s">
        <v>156</v>
      </c>
      <c r="K401" t="s">
        <v>1156</v>
      </c>
      <c r="L401" t="s">
        <v>270</v>
      </c>
      <c r="M401" t="s">
        <v>151</v>
      </c>
      <c r="N401" s="2"/>
      <c r="O401" s="4"/>
    </row>
    <row r="402" spans="1:15" ht="12.75" customHeight="1" x14ac:dyDescent="0.2">
      <c r="A402" s="369">
        <v>562421</v>
      </c>
      <c r="B402" t="s">
        <v>379</v>
      </c>
      <c r="C402" s="342">
        <v>208</v>
      </c>
      <c r="D402" s="342">
        <v>331</v>
      </c>
      <c r="E402" s="342">
        <v>539</v>
      </c>
      <c r="F402" s="342">
        <v>18974899.582812</v>
      </c>
      <c r="G402" s="342">
        <v>34858462.811468199</v>
      </c>
      <c r="H402" s="342">
        <v>53833362.3942803</v>
      </c>
      <c r="I402" s="342">
        <v>520967.12</v>
      </c>
      <c r="J402" t="s">
        <v>159</v>
      </c>
      <c r="K402" t="s">
        <v>1175</v>
      </c>
      <c r="L402" t="s">
        <v>297</v>
      </c>
      <c r="M402" t="s">
        <v>46</v>
      </c>
      <c r="N402" s="2"/>
      <c r="O402" s="4"/>
    </row>
    <row r="403" spans="1:15" ht="12.75" customHeight="1" x14ac:dyDescent="0.2">
      <c r="A403" s="369">
        <v>408898</v>
      </c>
      <c r="B403" t="s">
        <v>1161</v>
      </c>
      <c r="C403" s="342">
        <v>260</v>
      </c>
      <c r="D403" s="342">
        <v>261</v>
      </c>
      <c r="E403" s="342">
        <v>521</v>
      </c>
      <c r="F403" s="342">
        <v>15570891.5028453</v>
      </c>
      <c r="G403" s="342">
        <v>17356687.0603863</v>
      </c>
      <c r="H403" s="342">
        <v>32927578.563231699</v>
      </c>
      <c r="I403" s="342">
        <v>-215870.05</v>
      </c>
      <c r="J403" t="s">
        <v>256</v>
      </c>
      <c r="K403" t="s">
        <v>1156</v>
      </c>
      <c r="L403" t="s">
        <v>991</v>
      </c>
      <c r="M403" t="s">
        <v>46</v>
      </c>
      <c r="N403" s="2"/>
      <c r="O403" s="4"/>
    </row>
    <row r="404" spans="1:15" ht="12.75" customHeight="1" x14ac:dyDescent="0.2">
      <c r="A404" s="369">
        <v>721506</v>
      </c>
      <c r="B404" t="s">
        <v>433</v>
      </c>
      <c r="C404" s="342">
        <v>231</v>
      </c>
      <c r="D404" s="342">
        <v>257</v>
      </c>
      <c r="E404" s="342">
        <v>488</v>
      </c>
      <c r="F404" s="342">
        <v>19107622.136043299</v>
      </c>
      <c r="G404" s="342">
        <v>26830379.292920899</v>
      </c>
      <c r="H404" s="342">
        <v>45938001.428964198</v>
      </c>
      <c r="I404" s="342">
        <v>984895.5</v>
      </c>
      <c r="J404" t="s">
        <v>156</v>
      </c>
      <c r="K404" t="s">
        <v>1156</v>
      </c>
      <c r="L404" t="s">
        <v>191</v>
      </c>
      <c r="M404" t="s">
        <v>151</v>
      </c>
      <c r="N404" s="2"/>
      <c r="O404" s="4"/>
    </row>
    <row r="405" spans="1:15" ht="12.75" customHeight="1" x14ac:dyDescent="0.2">
      <c r="A405" s="369">
        <v>313320</v>
      </c>
      <c r="B405" t="s">
        <v>1078</v>
      </c>
      <c r="C405" s="342">
        <v>171</v>
      </c>
      <c r="D405" s="342">
        <v>306</v>
      </c>
      <c r="E405" s="342">
        <v>477</v>
      </c>
      <c r="F405" s="342">
        <v>11657374.4124895</v>
      </c>
      <c r="G405" s="342">
        <v>23452566.2858315</v>
      </c>
      <c r="H405" s="342">
        <v>35109940.698321097</v>
      </c>
      <c r="I405" s="342">
        <v>-98358.66</v>
      </c>
      <c r="J405" t="s">
        <v>251</v>
      </c>
      <c r="K405" t="s">
        <v>1175</v>
      </c>
      <c r="L405" t="s">
        <v>195</v>
      </c>
      <c r="M405" t="s">
        <v>46</v>
      </c>
      <c r="N405" s="2"/>
      <c r="O405" s="4"/>
    </row>
    <row r="406" spans="1:15" ht="12.75" customHeight="1" x14ac:dyDescent="0.2">
      <c r="A406" s="369">
        <v>857037</v>
      </c>
      <c r="B406" t="s">
        <v>985</v>
      </c>
      <c r="C406" s="342">
        <v>268</v>
      </c>
      <c r="D406" s="342">
        <v>199</v>
      </c>
      <c r="E406" s="342">
        <v>467</v>
      </c>
      <c r="F406" s="342">
        <v>7773744.7205450097</v>
      </c>
      <c r="G406" s="342">
        <v>7530925.5659923898</v>
      </c>
      <c r="H406" s="342">
        <v>15304670.2865374</v>
      </c>
      <c r="I406" s="342">
        <v>-111908.94</v>
      </c>
      <c r="J406" t="s">
        <v>172</v>
      </c>
      <c r="K406" t="s">
        <v>1153</v>
      </c>
      <c r="L406" t="s">
        <v>974</v>
      </c>
      <c r="M406" t="s">
        <v>46</v>
      </c>
      <c r="N406" s="2"/>
      <c r="O406" s="4"/>
    </row>
    <row r="407" spans="1:15" ht="12.75" customHeight="1" x14ac:dyDescent="0.2">
      <c r="A407" s="369">
        <v>167643</v>
      </c>
      <c r="B407" t="s">
        <v>209</v>
      </c>
      <c r="C407" s="342">
        <v>256</v>
      </c>
      <c r="D407" s="342">
        <v>182</v>
      </c>
      <c r="E407" s="342">
        <v>438</v>
      </c>
      <c r="F407" s="342">
        <v>14704588.620015301</v>
      </c>
      <c r="G407" s="342">
        <v>13456466.509288801</v>
      </c>
      <c r="H407" s="342">
        <v>28161055.1293042</v>
      </c>
      <c r="I407" s="342">
        <v>-1182528.3899999999</v>
      </c>
      <c r="J407" t="s">
        <v>159</v>
      </c>
      <c r="K407" t="s">
        <v>1175</v>
      </c>
      <c r="L407" t="s">
        <v>210</v>
      </c>
      <c r="M407" t="s">
        <v>46</v>
      </c>
      <c r="N407" s="2"/>
      <c r="O407" s="4"/>
    </row>
    <row r="408" spans="1:15" ht="12.75" customHeight="1" x14ac:dyDescent="0.2">
      <c r="A408" s="369">
        <v>882126</v>
      </c>
      <c r="B408" t="s">
        <v>1191</v>
      </c>
      <c r="C408" s="342">
        <v>151</v>
      </c>
      <c r="D408" s="342">
        <v>285</v>
      </c>
      <c r="E408" s="342">
        <v>436</v>
      </c>
      <c r="F408" s="342">
        <v>13798345.8769278</v>
      </c>
      <c r="G408" s="342">
        <v>31605797.3390407</v>
      </c>
      <c r="H408" s="342">
        <v>45404143.215968497</v>
      </c>
      <c r="I408" s="342">
        <v>-685550.89</v>
      </c>
      <c r="J408" t="s">
        <v>245</v>
      </c>
      <c r="K408" t="s">
        <v>1176</v>
      </c>
      <c r="L408" t="s">
        <v>215</v>
      </c>
      <c r="M408" t="s">
        <v>46</v>
      </c>
      <c r="N408" s="2"/>
      <c r="O408" s="4"/>
    </row>
    <row r="409" spans="1:15" ht="12.75" customHeight="1" x14ac:dyDescent="0.2">
      <c r="A409" s="369">
        <v>324665</v>
      </c>
      <c r="B409" t="s">
        <v>290</v>
      </c>
      <c r="C409" s="342">
        <v>200</v>
      </c>
      <c r="D409" s="342">
        <v>236</v>
      </c>
      <c r="E409" s="342">
        <v>436</v>
      </c>
      <c r="F409" s="342">
        <v>18289667.685807101</v>
      </c>
      <c r="G409" s="342">
        <v>24722606.621720001</v>
      </c>
      <c r="H409" s="342">
        <v>43012274.307527199</v>
      </c>
      <c r="I409" s="342">
        <v>-891747.65</v>
      </c>
      <c r="J409" t="s">
        <v>194</v>
      </c>
      <c r="K409" t="s">
        <v>1176</v>
      </c>
      <c r="L409" t="s">
        <v>291</v>
      </c>
      <c r="M409" t="s">
        <v>46</v>
      </c>
      <c r="N409" s="2"/>
      <c r="O409" s="4"/>
    </row>
    <row r="410" spans="1:15" ht="12.75" customHeight="1" x14ac:dyDescent="0.2">
      <c r="A410" s="369">
        <v>395434</v>
      </c>
      <c r="B410" t="s">
        <v>316</v>
      </c>
      <c r="C410" s="342">
        <v>143</v>
      </c>
      <c r="D410" s="342">
        <v>292</v>
      </c>
      <c r="E410" s="342">
        <v>435</v>
      </c>
      <c r="F410" s="342">
        <v>5931949.8601009902</v>
      </c>
      <c r="G410" s="342">
        <v>17489198.1731482</v>
      </c>
      <c r="H410" s="342">
        <v>23421148.033249199</v>
      </c>
      <c r="I410" s="342">
        <v>-75039.86</v>
      </c>
      <c r="J410" t="s">
        <v>194</v>
      </c>
      <c r="K410" t="s">
        <v>1176</v>
      </c>
      <c r="L410" t="s">
        <v>255</v>
      </c>
      <c r="M410" t="s">
        <v>46</v>
      </c>
      <c r="N410" s="2"/>
      <c r="O410" s="4"/>
    </row>
    <row r="411" spans="1:15" ht="12.75" customHeight="1" x14ac:dyDescent="0.2">
      <c r="A411" s="369">
        <v>250878</v>
      </c>
      <c r="B411" t="s">
        <v>254</v>
      </c>
      <c r="C411" s="342">
        <v>133</v>
      </c>
      <c r="D411" s="342">
        <v>296</v>
      </c>
      <c r="E411" s="342">
        <v>429</v>
      </c>
      <c r="F411" s="342">
        <v>8896356.18412086</v>
      </c>
      <c r="G411" s="342">
        <v>20438970.705430102</v>
      </c>
      <c r="H411" s="342">
        <v>29335326.889550898</v>
      </c>
      <c r="I411" s="342">
        <v>-507803.12</v>
      </c>
      <c r="J411" t="s">
        <v>251</v>
      </c>
      <c r="K411" t="s">
        <v>1175</v>
      </c>
      <c r="L411" t="s">
        <v>255</v>
      </c>
      <c r="M411" t="s">
        <v>46</v>
      </c>
      <c r="N411" s="2"/>
      <c r="O411" s="4"/>
    </row>
    <row r="412" spans="1:15" ht="12.75" customHeight="1" x14ac:dyDescent="0.2">
      <c r="A412" s="369">
        <v>917955</v>
      </c>
      <c r="B412" t="s">
        <v>1101</v>
      </c>
      <c r="C412" s="342">
        <v>182</v>
      </c>
      <c r="D412" s="342">
        <v>245</v>
      </c>
      <c r="E412" s="342">
        <v>427</v>
      </c>
      <c r="F412" s="342">
        <v>13506195.5885952</v>
      </c>
      <c r="G412" s="342">
        <v>23053268.063228</v>
      </c>
      <c r="H412" s="342">
        <v>36559463.651823297</v>
      </c>
      <c r="I412" s="342">
        <v>-289575.59999999998</v>
      </c>
      <c r="J412" t="s">
        <v>251</v>
      </c>
      <c r="K412" t="s">
        <v>1175</v>
      </c>
      <c r="L412" t="s">
        <v>215</v>
      </c>
      <c r="M412" t="s">
        <v>46</v>
      </c>
      <c r="N412" s="2"/>
      <c r="O412" s="4"/>
    </row>
    <row r="413" spans="1:15" ht="12.75" customHeight="1" x14ac:dyDescent="0.2">
      <c r="A413" s="369">
        <v>165755</v>
      </c>
      <c r="B413" t="s">
        <v>994</v>
      </c>
      <c r="C413" s="342">
        <v>153</v>
      </c>
      <c r="D413" s="342">
        <v>268</v>
      </c>
      <c r="E413" s="342">
        <v>421</v>
      </c>
      <c r="F413" s="342">
        <v>12929001.186356001</v>
      </c>
      <c r="G413" s="342">
        <v>26773687.962239601</v>
      </c>
      <c r="H413" s="342">
        <v>39702689.148595601</v>
      </c>
      <c r="I413" s="342">
        <v>-9338007.3900000006</v>
      </c>
      <c r="J413" t="s">
        <v>194</v>
      </c>
      <c r="K413" t="s">
        <v>1176</v>
      </c>
      <c r="L413" t="s">
        <v>210</v>
      </c>
      <c r="M413" t="s">
        <v>46</v>
      </c>
      <c r="N413" s="2"/>
      <c r="O413" s="4"/>
    </row>
    <row r="414" spans="1:15" ht="12.75" customHeight="1" x14ac:dyDescent="0.2">
      <c r="A414" s="369">
        <v>968891</v>
      </c>
      <c r="B414" t="s">
        <v>492</v>
      </c>
      <c r="C414" s="342">
        <v>111</v>
      </c>
      <c r="D414" s="342">
        <v>308</v>
      </c>
      <c r="E414" s="342">
        <v>419</v>
      </c>
      <c r="F414" s="342">
        <v>9443943.2640997004</v>
      </c>
      <c r="G414" s="342">
        <v>25691342.434035402</v>
      </c>
      <c r="H414" s="342">
        <v>35135285.6981351</v>
      </c>
      <c r="I414" s="342">
        <v>1618388.76</v>
      </c>
      <c r="J414" t="s">
        <v>243</v>
      </c>
      <c r="K414" t="s">
        <v>1177</v>
      </c>
      <c r="L414" t="s">
        <v>215</v>
      </c>
      <c r="M414" t="s">
        <v>46</v>
      </c>
      <c r="N414" s="2"/>
      <c r="O414" s="4"/>
    </row>
    <row r="415" spans="1:15" ht="12.75" customHeight="1" x14ac:dyDescent="0.2">
      <c r="A415" s="369">
        <v>792697</v>
      </c>
      <c r="B415" t="s">
        <v>451</v>
      </c>
      <c r="C415" s="342">
        <v>160</v>
      </c>
      <c r="D415" s="342">
        <v>257</v>
      </c>
      <c r="E415" s="342">
        <v>417</v>
      </c>
      <c r="F415" s="342">
        <v>15306579.3314617</v>
      </c>
      <c r="G415" s="342">
        <v>28276895.181961801</v>
      </c>
      <c r="H415" s="342">
        <v>43583474.513423502</v>
      </c>
      <c r="I415" s="342">
        <v>328594.75</v>
      </c>
      <c r="J415" t="s">
        <v>201</v>
      </c>
      <c r="K415" t="s">
        <v>1174</v>
      </c>
      <c r="L415" t="s">
        <v>158</v>
      </c>
      <c r="M415" t="s">
        <v>46</v>
      </c>
      <c r="N415" s="2"/>
      <c r="O415" s="4"/>
    </row>
    <row r="416" spans="1:15" ht="12.75" customHeight="1" x14ac:dyDescent="0.2">
      <c r="A416" s="369">
        <v>117176</v>
      </c>
      <c r="B416" t="s">
        <v>1157</v>
      </c>
      <c r="C416" s="342">
        <v>169</v>
      </c>
      <c r="D416" s="342">
        <v>244</v>
      </c>
      <c r="E416" s="342">
        <v>413</v>
      </c>
      <c r="F416" s="342">
        <v>10632234.0520138</v>
      </c>
      <c r="G416" s="342">
        <v>19439670.330698598</v>
      </c>
      <c r="H416" s="342">
        <v>30071904.382712401</v>
      </c>
      <c r="I416" s="342">
        <v>1341277.55</v>
      </c>
      <c r="J416" t="s">
        <v>169</v>
      </c>
      <c r="K416" t="s">
        <v>1175</v>
      </c>
      <c r="L416" t="s">
        <v>173</v>
      </c>
      <c r="M416" t="s">
        <v>46</v>
      </c>
      <c r="N416" s="2"/>
      <c r="O416" s="4"/>
    </row>
    <row r="417" spans="1:15" ht="12.75" customHeight="1" x14ac:dyDescent="0.2">
      <c r="A417" s="369">
        <v>916122</v>
      </c>
      <c r="B417" t="s">
        <v>1100</v>
      </c>
      <c r="C417" s="342">
        <v>164</v>
      </c>
      <c r="D417" s="342">
        <v>248</v>
      </c>
      <c r="E417" s="342">
        <v>412</v>
      </c>
      <c r="F417" s="342">
        <v>10208859.039641</v>
      </c>
      <c r="G417" s="342">
        <v>19893304.3323038</v>
      </c>
      <c r="H417" s="342">
        <v>30102163.371944901</v>
      </c>
      <c r="I417" s="342">
        <v>229640.41</v>
      </c>
      <c r="J417" t="s">
        <v>179</v>
      </c>
      <c r="K417" t="s">
        <v>1175</v>
      </c>
      <c r="L417" t="s">
        <v>967</v>
      </c>
      <c r="M417" t="s">
        <v>46</v>
      </c>
      <c r="N417" s="2"/>
      <c r="O417" s="4"/>
    </row>
    <row r="418" spans="1:15" ht="12.75" customHeight="1" x14ac:dyDescent="0.2">
      <c r="A418" s="369">
        <v>757575</v>
      </c>
      <c r="B418" t="s">
        <v>1014</v>
      </c>
      <c r="C418" s="342">
        <v>161</v>
      </c>
      <c r="D418" s="342">
        <v>248</v>
      </c>
      <c r="E418" s="342">
        <v>409</v>
      </c>
      <c r="F418" s="342">
        <v>11307063.0705947</v>
      </c>
      <c r="G418" s="342">
        <v>19544548.970214501</v>
      </c>
      <c r="H418" s="342">
        <v>30851612.040809199</v>
      </c>
      <c r="I418" s="342">
        <v>-287450.44</v>
      </c>
      <c r="J418" t="s">
        <v>206</v>
      </c>
      <c r="K418" t="s">
        <v>1176</v>
      </c>
      <c r="L418" t="s">
        <v>225</v>
      </c>
      <c r="M418" t="s">
        <v>46</v>
      </c>
      <c r="N418" s="2"/>
      <c r="O418" s="4"/>
    </row>
    <row r="419" spans="1:15" ht="12.75" customHeight="1" x14ac:dyDescent="0.2">
      <c r="A419" s="369">
        <v>616797</v>
      </c>
      <c r="B419" t="s">
        <v>398</v>
      </c>
      <c r="C419" s="342">
        <v>186</v>
      </c>
      <c r="D419" s="342">
        <v>221</v>
      </c>
      <c r="E419" s="342">
        <v>407</v>
      </c>
      <c r="F419" s="342">
        <v>16105504.314559801</v>
      </c>
      <c r="G419" s="342">
        <v>23220287.4459983</v>
      </c>
      <c r="H419" s="342">
        <v>39325791.760558203</v>
      </c>
      <c r="I419" s="342">
        <v>-1190578.51</v>
      </c>
      <c r="J419" t="s">
        <v>197</v>
      </c>
      <c r="K419" t="s">
        <v>1175</v>
      </c>
      <c r="L419" t="s">
        <v>199</v>
      </c>
      <c r="M419" t="s">
        <v>46</v>
      </c>
      <c r="N419" s="2"/>
      <c r="O419" s="4"/>
    </row>
    <row r="420" spans="1:15" ht="12.75" customHeight="1" x14ac:dyDescent="0.2">
      <c r="A420" s="369">
        <v>182759</v>
      </c>
      <c r="B420" t="s">
        <v>1075</v>
      </c>
      <c r="C420" s="342">
        <v>127</v>
      </c>
      <c r="D420" s="342">
        <v>254</v>
      </c>
      <c r="E420" s="342">
        <v>381</v>
      </c>
      <c r="F420" s="342">
        <v>9455865.6977356002</v>
      </c>
      <c r="G420" s="342">
        <v>25426904.032244001</v>
      </c>
      <c r="H420" s="342">
        <v>34882769.729979597</v>
      </c>
      <c r="I420" s="342">
        <v>-2442703.1800000002</v>
      </c>
      <c r="J420" t="s">
        <v>170</v>
      </c>
      <c r="K420" t="s">
        <v>1175</v>
      </c>
      <c r="L420" t="s">
        <v>346</v>
      </c>
      <c r="M420" t="s">
        <v>151</v>
      </c>
      <c r="N420" s="2"/>
      <c r="O420" s="4"/>
    </row>
    <row r="421" spans="1:15" ht="12.75" customHeight="1" x14ac:dyDescent="0.2">
      <c r="A421" s="369">
        <v>660704</v>
      </c>
      <c r="B421" t="s">
        <v>411</v>
      </c>
      <c r="C421" s="342">
        <v>124</v>
      </c>
      <c r="D421" s="342">
        <v>252</v>
      </c>
      <c r="E421" s="342">
        <v>376</v>
      </c>
      <c r="F421" s="342">
        <v>10723790.354785601</v>
      </c>
      <c r="G421" s="342">
        <v>23877945.621410999</v>
      </c>
      <c r="H421" s="342">
        <v>34601735.976196699</v>
      </c>
      <c r="I421" s="342">
        <v>1954561.7</v>
      </c>
      <c r="J421" t="s">
        <v>306</v>
      </c>
      <c r="K421" t="s">
        <v>1175</v>
      </c>
      <c r="L421" t="s">
        <v>412</v>
      </c>
      <c r="M421" t="s">
        <v>46</v>
      </c>
      <c r="N421" s="2"/>
      <c r="O421" s="4"/>
    </row>
    <row r="422" spans="1:15" ht="12.75" customHeight="1" x14ac:dyDescent="0.2">
      <c r="A422" s="369">
        <v>651679</v>
      </c>
      <c r="B422" t="s">
        <v>407</v>
      </c>
      <c r="C422" s="342">
        <v>201</v>
      </c>
      <c r="D422" s="342">
        <v>141</v>
      </c>
      <c r="E422" s="342">
        <v>342</v>
      </c>
      <c r="F422" s="342">
        <v>22115995.370898299</v>
      </c>
      <c r="G422" s="342">
        <v>23835740.6235977</v>
      </c>
      <c r="H422" s="342">
        <v>45951735.9944961</v>
      </c>
      <c r="I422" s="342">
        <v>810190.09</v>
      </c>
      <c r="J422" t="s">
        <v>156</v>
      </c>
      <c r="K422" t="s">
        <v>1156</v>
      </c>
      <c r="L422" t="s">
        <v>178</v>
      </c>
      <c r="M422" t="s">
        <v>46</v>
      </c>
      <c r="N422" s="2"/>
      <c r="O422" s="4"/>
    </row>
    <row r="423" spans="1:15" ht="12.75" customHeight="1" x14ac:dyDescent="0.2">
      <c r="A423" s="369">
        <v>356063</v>
      </c>
      <c r="B423" t="s">
        <v>301</v>
      </c>
      <c r="C423" s="342">
        <v>156</v>
      </c>
      <c r="D423" s="342">
        <v>182</v>
      </c>
      <c r="E423" s="342">
        <v>338</v>
      </c>
      <c r="F423" s="342">
        <v>11047423.0011009</v>
      </c>
      <c r="G423" s="342">
        <v>15531931.672637301</v>
      </c>
      <c r="H423" s="342">
        <v>26579354.6737382</v>
      </c>
      <c r="I423" s="342">
        <v>-306361.21999999997</v>
      </c>
      <c r="J423" t="s">
        <v>170</v>
      </c>
      <c r="K423" t="s">
        <v>1175</v>
      </c>
      <c r="L423" t="s">
        <v>227</v>
      </c>
      <c r="M423" t="s">
        <v>46</v>
      </c>
      <c r="N423" s="2"/>
      <c r="O423" s="4"/>
    </row>
    <row r="424" spans="1:15" ht="12.75" customHeight="1" x14ac:dyDescent="0.2">
      <c r="A424" s="369">
        <v>994095</v>
      </c>
      <c r="B424" t="s">
        <v>1104</v>
      </c>
      <c r="C424" s="342">
        <v>87</v>
      </c>
      <c r="D424" s="342">
        <v>248</v>
      </c>
      <c r="E424" s="342">
        <v>335</v>
      </c>
      <c r="F424" s="342">
        <v>5778598.21829818</v>
      </c>
      <c r="G424" s="342">
        <v>20236488.1710588</v>
      </c>
      <c r="H424" s="342">
        <v>26015086.389357001</v>
      </c>
      <c r="I424" s="342">
        <v>167448.04</v>
      </c>
      <c r="J424" t="s">
        <v>251</v>
      </c>
      <c r="K424" t="s">
        <v>1175</v>
      </c>
      <c r="L424" t="s">
        <v>195</v>
      </c>
      <c r="M424" t="s">
        <v>46</v>
      </c>
      <c r="N424" s="2"/>
      <c r="O424" s="4"/>
    </row>
    <row r="425" spans="1:15" ht="12.75" customHeight="1" x14ac:dyDescent="0.2">
      <c r="A425" s="369">
        <v>850776</v>
      </c>
      <c r="B425" t="s">
        <v>1098</v>
      </c>
      <c r="C425" s="342">
        <v>118</v>
      </c>
      <c r="D425" s="342">
        <v>210</v>
      </c>
      <c r="E425" s="342">
        <v>328</v>
      </c>
      <c r="F425" s="342">
        <v>8506733.2439861</v>
      </c>
      <c r="G425" s="342">
        <v>16713087.318647301</v>
      </c>
      <c r="H425" s="342">
        <v>25219820.562633399</v>
      </c>
      <c r="I425" s="342">
        <v>-2470740.83</v>
      </c>
      <c r="J425" t="s">
        <v>197</v>
      </c>
      <c r="K425" t="s">
        <v>1175</v>
      </c>
      <c r="L425" t="s">
        <v>195</v>
      </c>
      <c r="M425" t="s">
        <v>46</v>
      </c>
      <c r="N425" s="2"/>
      <c r="O425" s="4"/>
    </row>
    <row r="426" spans="1:15" ht="12.75" customHeight="1" x14ac:dyDescent="0.2">
      <c r="A426" s="369">
        <v>755090</v>
      </c>
      <c r="B426" t="s">
        <v>515</v>
      </c>
      <c r="C426" s="342">
        <v>159</v>
      </c>
      <c r="D426" s="342">
        <v>167</v>
      </c>
      <c r="E426" s="342">
        <v>326</v>
      </c>
      <c r="F426" s="342">
        <v>9186112.2816982698</v>
      </c>
      <c r="G426" s="342">
        <v>10814059.4618097</v>
      </c>
      <c r="H426" s="342">
        <v>20000171.743508</v>
      </c>
      <c r="I426" s="342">
        <v>-17318.12</v>
      </c>
      <c r="J426" t="s">
        <v>179</v>
      </c>
      <c r="K426" t="s">
        <v>1175</v>
      </c>
      <c r="L426" t="s">
        <v>291</v>
      </c>
      <c r="M426" t="s">
        <v>46</v>
      </c>
      <c r="N426" s="2"/>
      <c r="O426" s="4"/>
    </row>
    <row r="427" spans="1:15" ht="12.75" customHeight="1" x14ac:dyDescent="0.2">
      <c r="A427" s="369">
        <v>753731</v>
      </c>
      <c r="B427" t="s">
        <v>443</v>
      </c>
      <c r="C427" s="342">
        <v>78</v>
      </c>
      <c r="D427" s="342">
        <v>226</v>
      </c>
      <c r="E427" s="342">
        <v>304</v>
      </c>
      <c r="F427" s="342">
        <v>5884664.0723201102</v>
      </c>
      <c r="G427" s="342">
        <v>17887513.476009998</v>
      </c>
      <c r="H427" s="342">
        <v>23772177.548330098</v>
      </c>
      <c r="I427" s="342">
        <v>-65134.29</v>
      </c>
      <c r="J427" t="s">
        <v>245</v>
      </c>
      <c r="K427" t="s">
        <v>1176</v>
      </c>
      <c r="L427" t="s">
        <v>255</v>
      </c>
      <c r="M427" t="s">
        <v>46</v>
      </c>
      <c r="N427" s="2"/>
      <c r="O427" s="4"/>
    </row>
    <row r="428" spans="1:15" ht="12.75" customHeight="1" x14ac:dyDescent="0.2">
      <c r="A428" s="369">
        <v>923383</v>
      </c>
      <c r="B428" t="s">
        <v>482</v>
      </c>
      <c r="C428" s="342">
        <v>138</v>
      </c>
      <c r="D428" s="342">
        <v>165</v>
      </c>
      <c r="E428" s="342">
        <v>303</v>
      </c>
      <c r="F428" s="342">
        <v>11219846.4093251</v>
      </c>
      <c r="G428" s="342">
        <v>15324918.3966786</v>
      </c>
      <c r="H428" s="342">
        <v>26544764.806003802</v>
      </c>
      <c r="I428" s="342">
        <v>503149.61</v>
      </c>
      <c r="J428" t="s">
        <v>159</v>
      </c>
      <c r="K428" t="s">
        <v>1175</v>
      </c>
      <c r="L428" t="s">
        <v>215</v>
      </c>
      <c r="M428" t="s">
        <v>46</v>
      </c>
      <c r="N428" s="2"/>
      <c r="O428" s="4"/>
    </row>
    <row r="429" spans="1:15" ht="12.75" customHeight="1" x14ac:dyDescent="0.2">
      <c r="A429" s="369">
        <v>910109</v>
      </c>
      <c r="B429" t="s">
        <v>1170</v>
      </c>
      <c r="C429" s="342">
        <v>109</v>
      </c>
      <c r="D429" s="342">
        <v>174</v>
      </c>
      <c r="E429" s="342">
        <v>283</v>
      </c>
      <c r="F429" s="342">
        <v>5801552.0944529204</v>
      </c>
      <c r="G429" s="342">
        <v>11257020.183621099</v>
      </c>
      <c r="H429" s="342">
        <v>17058572.278074101</v>
      </c>
      <c r="I429" s="342">
        <v>30092.55</v>
      </c>
      <c r="J429" t="s">
        <v>206</v>
      </c>
      <c r="K429" t="s">
        <v>1176</v>
      </c>
      <c r="L429" t="s">
        <v>215</v>
      </c>
      <c r="M429" t="s">
        <v>46</v>
      </c>
      <c r="N429" s="2"/>
      <c r="O429" s="4"/>
    </row>
    <row r="430" spans="1:15" ht="12.75" customHeight="1" x14ac:dyDescent="0.2">
      <c r="A430" s="369">
        <v>277491</v>
      </c>
      <c r="B430" t="s">
        <v>1076</v>
      </c>
      <c r="C430" s="342">
        <v>94</v>
      </c>
      <c r="D430" s="342">
        <v>188</v>
      </c>
      <c r="E430" s="342">
        <v>282</v>
      </c>
      <c r="F430" s="342">
        <v>6689568.8617393496</v>
      </c>
      <c r="G430" s="342">
        <v>16270752.171958201</v>
      </c>
      <c r="H430" s="342">
        <v>22960321.033697601</v>
      </c>
      <c r="I430" s="342">
        <v>-1800970.71</v>
      </c>
      <c r="J430" t="s">
        <v>256</v>
      </c>
      <c r="K430" t="s">
        <v>1156</v>
      </c>
      <c r="L430" t="s">
        <v>195</v>
      </c>
      <c r="M430" t="s">
        <v>46</v>
      </c>
      <c r="N430" s="2"/>
      <c r="O430" s="4"/>
    </row>
    <row r="431" spans="1:15" ht="12.75" customHeight="1" x14ac:dyDescent="0.2">
      <c r="A431" s="369">
        <v>861104</v>
      </c>
      <c r="B431" t="s">
        <v>470</v>
      </c>
      <c r="C431" s="342">
        <v>110</v>
      </c>
      <c r="D431" s="342">
        <v>168</v>
      </c>
      <c r="E431" s="342">
        <v>278</v>
      </c>
      <c r="F431" s="342">
        <v>10209831.9263406</v>
      </c>
      <c r="G431" s="342">
        <v>19636806.231078099</v>
      </c>
      <c r="H431" s="342">
        <v>29846638.157418702</v>
      </c>
      <c r="I431" s="342">
        <v>-40809.83</v>
      </c>
      <c r="J431" t="s">
        <v>172</v>
      </c>
      <c r="K431" t="s">
        <v>1153</v>
      </c>
      <c r="L431" t="s">
        <v>346</v>
      </c>
      <c r="M431" t="s">
        <v>151</v>
      </c>
      <c r="N431" s="2"/>
      <c r="O431" s="4"/>
    </row>
    <row r="432" spans="1:15" ht="12.75" customHeight="1" x14ac:dyDescent="0.2">
      <c r="A432" s="369">
        <v>874560</v>
      </c>
      <c r="B432" t="s">
        <v>517</v>
      </c>
      <c r="C432" s="342">
        <v>107</v>
      </c>
      <c r="D432" s="342">
        <v>169</v>
      </c>
      <c r="E432" s="342">
        <v>276</v>
      </c>
      <c r="F432" s="342">
        <v>9783127.6035723705</v>
      </c>
      <c r="G432" s="342">
        <v>19381139.928591602</v>
      </c>
      <c r="H432" s="342">
        <v>29164267.532164</v>
      </c>
      <c r="I432" s="342">
        <v>-1085592.6000000001</v>
      </c>
      <c r="J432" t="s">
        <v>163</v>
      </c>
      <c r="K432" t="s">
        <v>1156</v>
      </c>
      <c r="L432" t="s">
        <v>231</v>
      </c>
      <c r="M432" t="s">
        <v>151</v>
      </c>
      <c r="N432" s="2"/>
      <c r="O432" s="4"/>
    </row>
    <row r="433" spans="1:15" ht="12.75" customHeight="1" x14ac:dyDescent="0.2">
      <c r="A433" s="369">
        <v>202002</v>
      </c>
      <c r="B433" t="s">
        <v>226</v>
      </c>
      <c r="C433" s="342">
        <v>116</v>
      </c>
      <c r="D433" s="342">
        <v>153</v>
      </c>
      <c r="E433" s="342">
        <v>269</v>
      </c>
      <c r="F433" s="342">
        <v>10583401.9636748</v>
      </c>
      <c r="G433" s="342">
        <v>14015765.508408001</v>
      </c>
      <c r="H433" s="342">
        <v>24599167.472082902</v>
      </c>
      <c r="I433" s="342">
        <v>-12456.18</v>
      </c>
      <c r="J433" t="s">
        <v>159</v>
      </c>
      <c r="K433" t="s">
        <v>1175</v>
      </c>
      <c r="L433" t="s">
        <v>227</v>
      </c>
      <c r="M433" t="s">
        <v>46</v>
      </c>
      <c r="N433" s="2"/>
      <c r="O433" s="4"/>
    </row>
    <row r="434" spans="1:15" ht="12.75" customHeight="1" x14ac:dyDescent="0.2">
      <c r="A434" s="369">
        <v>538751</v>
      </c>
      <c r="B434" t="s">
        <v>369</v>
      </c>
      <c r="C434" s="342">
        <v>83</v>
      </c>
      <c r="D434" s="342">
        <v>180</v>
      </c>
      <c r="E434" s="342">
        <v>263</v>
      </c>
      <c r="F434" s="342">
        <v>6541260.5312052201</v>
      </c>
      <c r="G434" s="342">
        <v>15124402.148251601</v>
      </c>
      <c r="H434" s="342">
        <v>21665662.6794568</v>
      </c>
      <c r="I434" s="342">
        <v>363894.72</v>
      </c>
      <c r="J434" t="s">
        <v>170</v>
      </c>
      <c r="K434" t="s">
        <v>1175</v>
      </c>
      <c r="L434" t="s">
        <v>255</v>
      </c>
      <c r="M434" t="s">
        <v>46</v>
      </c>
      <c r="N434" s="2"/>
      <c r="O434" s="4"/>
    </row>
    <row r="435" spans="1:15" ht="12.75" customHeight="1" x14ac:dyDescent="0.2">
      <c r="A435" s="369">
        <v>404236</v>
      </c>
      <c r="B435" t="s">
        <v>320</v>
      </c>
      <c r="C435" s="342">
        <v>109</v>
      </c>
      <c r="D435" s="342">
        <v>150</v>
      </c>
      <c r="E435" s="342">
        <v>259</v>
      </c>
      <c r="F435" s="342">
        <v>6210051.3659440298</v>
      </c>
      <c r="G435" s="342">
        <v>10510334.4124118</v>
      </c>
      <c r="H435" s="342">
        <v>16720385.7783558</v>
      </c>
      <c r="I435" s="342">
        <v>-304333.73</v>
      </c>
      <c r="J435" t="s">
        <v>169</v>
      </c>
      <c r="K435" t="s">
        <v>1175</v>
      </c>
      <c r="L435" t="s">
        <v>215</v>
      </c>
      <c r="M435" t="s">
        <v>46</v>
      </c>
      <c r="N435" s="2"/>
      <c r="O435" s="4"/>
    </row>
    <row r="436" spans="1:15" ht="12.75" customHeight="1" x14ac:dyDescent="0.2">
      <c r="A436" s="369">
        <v>848770</v>
      </c>
      <c r="B436" t="s">
        <v>984</v>
      </c>
      <c r="C436" s="342">
        <v>104</v>
      </c>
      <c r="D436" s="342">
        <v>140</v>
      </c>
      <c r="E436" s="342">
        <v>244</v>
      </c>
      <c r="F436" s="342">
        <v>4587107.8353256797</v>
      </c>
      <c r="G436" s="342">
        <v>8033265.8639362799</v>
      </c>
      <c r="H436" s="342">
        <v>12620373.6992619</v>
      </c>
      <c r="I436" s="342">
        <v>-1190040.6399999999</v>
      </c>
      <c r="J436" t="s">
        <v>179</v>
      </c>
      <c r="K436" t="s">
        <v>1175</v>
      </c>
      <c r="L436" t="s">
        <v>974</v>
      </c>
      <c r="M436" t="s">
        <v>46</v>
      </c>
      <c r="N436" s="2"/>
      <c r="O436" s="4"/>
    </row>
    <row r="437" spans="1:15" ht="12.75" customHeight="1" x14ac:dyDescent="0.2">
      <c r="A437" s="369">
        <v>980284</v>
      </c>
      <c r="B437" t="s">
        <v>519</v>
      </c>
      <c r="C437" s="342">
        <v>74</v>
      </c>
      <c r="D437" s="342">
        <v>160</v>
      </c>
      <c r="E437" s="342">
        <v>234</v>
      </c>
      <c r="F437" s="342">
        <v>5011176.3098831801</v>
      </c>
      <c r="G437" s="342">
        <v>14017456.7064126</v>
      </c>
      <c r="H437" s="342">
        <v>19028633.016295802</v>
      </c>
      <c r="I437" s="342">
        <v>-3999422.78</v>
      </c>
      <c r="J437" t="s">
        <v>166</v>
      </c>
      <c r="K437" t="s">
        <v>1156</v>
      </c>
      <c r="L437" t="s">
        <v>168</v>
      </c>
      <c r="M437" t="s">
        <v>46</v>
      </c>
      <c r="N437" s="2"/>
      <c r="O437" s="4"/>
    </row>
    <row r="438" spans="1:15" ht="12.75" customHeight="1" x14ac:dyDescent="0.2">
      <c r="A438" s="369">
        <v>696898</v>
      </c>
      <c r="B438" t="s">
        <v>1093</v>
      </c>
      <c r="C438" s="342">
        <v>97</v>
      </c>
      <c r="D438" s="342">
        <v>132</v>
      </c>
      <c r="E438" s="342">
        <v>229</v>
      </c>
      <c r="F438" s="342">
        <v>6452661.8090657499</v>
      </c>
      <c r="G438" s="342">
        <v>9961558.4613950308</v>
      </c>
      <c r="H438" s="342">
        <v>16414220.270460701</v>
      </c>
      <c r="I438" s="342">
        <v>-303647.01</v>
      </c>
      <c r="J438" t="s">
        <v>179</v>
      </c>
      <c r="K438" t="s">
        <v>1175</v>
      </c>
      <c r="L438" t="s">
        <v>967</v>
      </c>
      <c r="M438" t="s">
        <v>46</v>
      </c>
      <c r="N438" s="2"/>
      <c r="O438" s="4"/>
    </row>
    <row r="439" spans="1:15" ht="12.75" customHeight="1" x14ac:dyDescent="0.2">
      <c r="A439" s="369">
        <v>882358</v>
      </c>
      <c r="B439" t="s">
        <v>544</v>
      </c>
      <c r="C439" s="342">
        <v>86</v>
      </c>
      <c r="D439" s="342">
        <v>140</v>
      </c>
      <c r="E439" s="342">
        <v>226</v>
      </c>
      <c r="F439" s="342">
        <v>10165337.6481502</v>
      </c>
      <c r="G439" s="342">
        <v>13710589.0849854</v>
      </c>
      <c r="H439" s="342">
        <v>23875926.7331357</v>
      </c>
      <c r="I439" s="342">
        <v>843147.46</v>
      </c>
      <c r="J439" t="s">
        <v>256</v>
      </c>
      <c r="K439" t="s">
        <v>1156</v>
      </c>
      <c r="L439" t="s">
        <v>178</v>
      </c>
      <c r="M439" t="s">
        <v>46</v>
      </c>
      <c r="N439" s="2"/>
      <c r="O439" s="4"/>
    </row>
    <row r="440" spans="1:15" ht="12.75" customHeight="1" x14ac:dyDescent="0.2">
      <c r="A440" s="369">
        <v>366154</v>
      </c>
      <c r="B440" t="s">
        <v>1180</v>
      </c>
      <c r="C440" s="342">
        <v>94</v>
      </c>
      <c r="D440" s="342">
        <v>121</v>
      </c>
      <c r="E440" s="342">
        <v>215</v>
      </c>
      <c r="F440" s="342">
        <v>9099715.0229151491</v>
      </c>
      <c r="G440" s="342">
        <v>12623363.3086146</v>
      </c>
      <c r="H440" s="342">
        <v>21723078.3315298</v>
      </c>
      <c r="I440" s="342">
        <v>-245281.73</v>
      </c>
      <c r="J440" t="s">
        <v>243</v>
      </c>
      <c r="K440" t="s">
        <v>1177</v>
      </c>
      <c r="L440" t="s">
        <v>1179</v>
      </c>
      <c r="M440" t="s">
        <v>46</v>
      </c>
      <c r="N440" s="2"/>
      <c r="O440" s="4"/>
    </row>
    <row r="441" spans="1:15" ht="12.75" customHeight="1" x14ac:dyDescent="0.2">
      <c r="A441" s="369">
        <v>899773</v>
      </c>
      <c r="B441" t="s">
        <v>986</v>
      </c>
      <c r="C441" s="342">
        <v>103</v>
      </c>
      <c r="D441" s="342">
        <v>106</v>
      </c>
      <c r="E441" s="342">
        <v>209</v>
      </c>
      <c r="F441" s="342">
        <v>5019437.7222078899</v>
      </c>
      <c r="G441" s="342">
        <v>7006250.1875416003</v>
      </c>
      <c r="H441" s="342">
        <v>12025687.9097494</v>
      </c>
      <c r="I441" s="342">
        <v>-233157.14</v>
      </c>
      <c r="J441" t="s">
        <v>179</v>
      </c>
      <c r="K441" t="s">
        <v>1175</v>
      </c>
      <c r="L441" t="s">
        <v>974</v>
      </c>
      <c r="M441" t="s">
        <v>46</v>
      </c>
      <c r="N441" s="2"/>
      <c r="O441" s="4"/>
    </row>
    <row r="442" spans="1:15" ht="12.75" customHeight="1" x14ac:dyDescent="0.2">
      <c r="A442" s="369">
        <v>780411</v>
      </c>
      <c r="B442" t="s">
        <v>448</v>
      </c>
      <c r="C442" s="342">
        <v>58</v>
      </c>
      <c r="D442" s="342">
        <v>145</v>
      </c>
      <c r="E442" s="342">
        <v>203</v>
      </c>
      <c r="F442" s="342">
        <v>3574806.3700231598</v>
      </c>
      <c r="G442" s="342">
        <v>10563096.9071138</v>
      </c>
      <c r="H442" s="342">
        <v>14137903.277137</v>
      </c>
      <c r="I442" s="342">
        <v>-547110.01</v>
      </c>
      <c r="J442" t="s">
        <v>259</v>
      </c>
      <c r="K442" t="s">
        <v>1177</v>
      </c>
      <c r="L442" t="s">
        <v>439</v>
      </c>
      <c r="M442" t="s">
        <v>46</v>
      </c>
      <c r="N442" s="2"/>
      <c r="O442" s="4"/>
    </row>
    <row r="443" spans="1:15" ht="12.75" customHeight="1" x14ac:dyDescent="0.2">
      <c r="A443" s="369">
        <v>572637</v>
      </c>
      <c r="B443" t="s">
        <v>1088</v>
      </c>
      <c r="C443" s="342">
        <v>51</v>
      </c>
      <c r="D443" s="342">
        <v>148</v>
      </c>
      <c r="E443" s="342">
        <v>199</v>
      </c>
      <c r="F443" s="342">
        <v>4647994.3067998001</v>
      </c>
      <c r="G443" s="342">
        <v>15081837.660561601</v>
      </c>
      <c r="H443" s="342">
        <v>19729831.967361402</v>
      </c>
      <c r="I443" s="342">
        <v>53822</v>
      </c>
      <c r="J443" t="s">
        <v>256</v>
      </c>
      <c r="K443" t="s">
        <v>1156</v>
      </c>
      <c r="L443" t="s">
        <v>967</v>
      </c>
      <c r="M443" t="s">
        <v>46</v>
      </c>
      <c r="N443" s="2"/>
      <c r="O443" s="4"/>
    </row>
    <row r="444" spans="1:15" ht="12.75" customHeight="1" x14ac:dyDescent="0.2">
      <c r="A444" s="369">
        <v>419101</v>
      </c>
      <c r="B444" t="s">
        <v>326</v>
      </c>
      <c r="C444" s="342">
        <v>75</v>
      </c>
      <c r="D444" s="342">
        <v>119</v>
      </c>
      <c r="E444" s="342">
        <v>194</v>
      </c>
      <c r="F444" s="342">
        <v>3995880.6616261201</v>
      </c>
      <c r="G444" s="342">
        <v>7259358.9040141599</v>
      </c>
      <c r="H444" s="342">
        <v>11255239.5656402</v>
      </c>
      <c r="I444" s="342">
        <v>444684.66</v>
      </c>
      <c r="J444" t="s">
        <v>169</v>
      </c>
      <c r="K444" t="s">
        <v>1175</v>
      </c>
      <c r="L444" t="s">
        <v>297</v>
      </c>
      <c r="M444" t="s">
        <v>46</v>
      </c>
      <c r="N444" s="2"/>
      <c r="O444" s="4"/>
    </row>
    <row r="445" spans="1:15" ht="12.75" customHeight="1" x14ac:dyDescent="0.2">
      <c r="A445" s="369">
        <v>153007</v>
      </c>
      <c r="B445" t="s">
        <v>502</v>
      </c>
      <c r="C445" s="342">
        <v>54</v>
      </c>
      <c r="D445" s="342">
        <v>137</v>
      </c>
      <c r="E445" s="342">
        <v>191</v>
      </c>
      <c r="F445" s="342">
        <v>5501723.1196543602</v>
      </c>
      <c r="G445" s="342">
        <v>14265369.732469199</v>
      </c>
      <c r="H445" s="342">
        <v>19767092.852123599</v>
      </c>
      <c r="I445" s="342">
        <v>-6793017.1500000004</v>
      </c>
      <c r="J445" t="s">
        <v>159</v>
      </c>
      <c r="K445" t="s">
        <v>1175</v>
      </c>
      <c r="L445" t="s">
        <v>175</v>
      </c>
      <c r="M445" t="s">
        <v>46</v>
      </c>
      <c r="N445" s="2"/>
      <c r="O445" s="4"/>
    </row>
    <row r="446" spans="1:15" ht="12.75" customHeight="1" x14ac:dyDescent="0.2">
      <c r="A446" s="369">
        <v>386870</v>
      </c>
      <c r="B446" t="s">
        <v>311</v>
      </c>
      <c r="C446" s="342">
        <v>70</v>
      </c>
      <c r="D446" s="342">
        <v>116</v>
      </c>
      <c r="E446" s="342">
        <v>186</v>
      </c>
      <c r="F446" s="342">
        <v>10495019.816078199</v>
      </c>
      <c r="G446" s="342">
        <v>21552112.492336199</v>
      </c>
      <c r="H446" s="342">
        <v>32047132.3084145</v>
      </c>
      <c r="I446" s="342">
        <v>-272748.77</v>
      </c>
      <c r="J446" t="s">
        <v>163</v>
      </c>
      <c r="K446" t="s">
        <v>1156</v>
      </c>
      <c r="L446" t="s">
        <v>312</v>
      </c>
      <c r="M446" t="s">
        <v>46</v>
      </c>
      <c r="N446" s="2"/>
      <c r="O446" s="4"/>
    </row>
    <row r="447" spans="1:15" ht="12.75" customHeight="1" x14ac:dyDescent="0.2">
      <c r="A447" s="369">
        <v>367698</v>
      </c>
      <c r="B447" t="s">
        <v>1009</v>
      </c>
      <c r="C447" s="342">
        <v>79</v>
      </c>
      <c r="D447" s="342">
        <v>107</v>
      </c>
      <c r="E447" s="342">
        <v>186</v>
      </c>
      <c r="F447" s="342">
        <v>4688000.1046738401</v>
      </c>
      <c r="G447" s="342">
        <v>8994788.3635831308</v>
      </c>
      <c r="H447" s="342">
        <v>13682788.4682569</v>
      </c>
      <c r="I447" s="342">
        <v>-119586.37</v>
      </c>
      <c r="J447" t="s">
        <v>179</v>
      </c>
      <c r="K447" t="s">
        <v>1175</v>
      </c>
      <c r="L447" t="s">
        <v>225</v>
      </c>
      <c r="M447" t="s">
        <v>46</v>
      </c>
      <c r="N447" s="2"/>
      <c r="O447" s="4"/>
    </row>
    <row r="448" spans="1:15" ht="12.75" customHeight="1" x14ac:dyDescent="0.2">
      <c r="A448" s="369">
        <v>643700</v>
      </c>
      <c r="B448" t="s">
        <v>404</v>
      </c>
      <c r="C448" s="342">
        <v>68</v>
      </c>
      <c r="D448" s="342">
        <v>116</v>
      </c>
      <c r="E448" s="342">
        <v>184</v>
      </c>
      <c r="F448" s="342">
        <v>8133249.3788635395</v>
      </c>
      <c r="G448" s="342">
        <v>15158966.8487036</v>
      </c>
      <c r="H448" s="342">
        <v>23292216.2275672</v>
      </c>
      <c r="I448" s="342">
        <v>2365263.2599999998</v>
      </c>
      <c r="J448" t="s">
        <v>201</v>
      </c>
      <c r="K448" t="s">
        <v>1174</v>
      </c>
      <c r="L448" t="s">
        <v>186</v>
      </c>
      <c r="M448" t="s">
        <v>151</v>
      </c>
      <c r="N448" s="2"/>
      <c r="O448" s="4"/>
    </row>
    <row r="449" spans="1:15" ht="12.75" customHeight="1" x14ac:dyDescent="0.2">
      <c r="A449" s="369">
        <v>229625</v>
      </c>
      <c r="B449" t="s">
        <v>239</v>
      </c>
      <c r="C449" s="342">
        <v>86</v>
      </c>
      <c r="D449" s="342">
        <v>98</v>
      </c>
      <c r="E449" s="342">
        <v>184</v>
      </c>
      <c r="F449" s="342">
        <v>3984051.9511234998</v>
      </c>
      <c r="G449" s="342">
        <v>5896666.4421605496</v>
      </c>
      <c r="H449" s="342">
        <v>9880718.3932840601</v>
      </c>
      <c r="I449" s="342">
        <v>-15442.36</v>
      </c>
      <c r="J449" t="s">
        <v>216</v>
      </c>
      <c r="K449" t="s">
        <v>1156</v>
      </c>
      <c r="L449" t="s">
        <v>240</v>
      </c>
      <c r="M449" t="s">
        <v>46</v>
      </c>
      <c r="N449" s="2"/>
      <c r="O449" s="4"/>
    </row>
    <row r="450" spans="1:15" ht="12.75" customHeight="1" x14ac:dyDescent="0.2">
      <c r="A450" s="369">
        <v>367987</v>
      </c>
      <c r="B450" t="s">
        <v>304</v>
      </c>
      <c r="C450" s="342">
        <v>72</v>
      </c>
      <c r="D450" s="342">
        <v>111</v>
      </c>
      <c r="E450" s="342">
        <v>183</v>
      </c>
      <c r="F450" s="342">
        <v>5756051.9462978505</v>
      </c>
      <c r="G450" s="342">
        <v>11319342.949492401</v>
      </c>
      <c r="H450" s="342">
        <v>17075394.895790301</v>
      </c>
      <c r="I450" s="342">
        <v>-4433861.88</v>
      </c>
      <c r="J450" t="s">
        <v>169</v>
      </c>
      <c r="K450" t="s">
        <v>1175</v>
      </c>
      <c r="L450" t="s">
        <v>240</v>
      </c>
      <c r="M450" t="s">
        <v>46</v>
      </c>
      <c r="N450" s="2"/>
      <c r="O450" s="4"/>
    </row>
    <row r="451" spans="1:15" ht="12.75" customHeight="1" x14ac:dyDescent="0.2">
      <c r="A451" s="369">
        <v>660829</v>
      </c>
      <c r="B451" t="s">
        <v>413</v>
      </c>
      <c r="C451" s="342">
        <v>67</v>
      </c>
      <c r="D451" s="342">
        <v>101</v>
      </c>
      <c r="E451" s="342">
        <v>168</v>
      </c>
      <c r="F451" s="342">
        <v>6804547.8155007297</v>
      </c>
      <c r="G451" s="342">
        <v>14082457.4486333</v>
      </c>
      <c r="H451" s="342">
        <v>20887005.264134001</v>
      </c>
      <c r="I451" s="342">
        <v>-114181.57</v>
      </c>
      <c r="J451" t="s">
        <v>187</v>
      </c>
      <c r="K451" t="s">
        <v>1156</v>
      </c>
      <c r="L451" t="s">
        <v>155</v>
      </c>
      <c r="M451" t="s">
        <v>151</v>
      </c>
      <c r="N451" s="2"/>
      <c r="O451" s="4"/>
    </row>
    <row r="452" spans="1:15" ht="12.75" customHeight="1" x14ac:dyDescent="0.2">
      <c r="A452" s="369">
        <v>644294</v>
      </c>
      <c r="B452" t="s">
        <v>1091</v>
      </c>
      <c r="C452" s="342">
        <v>40</v>
      </c>
      <c r="D452" s="342">
        <v>125</v>
      </c>
      <c r="E452" s="342">
        <v>165</v>
      </c>
      <c r="F452" s="342">
        <v>2719351.4894712102</v>
      </c>
      <c r="G452" s="342">
        <v>11489427.736850999</v>
      </c>
      <c r="H452" s="342">
        <v>14208779.226322301</v>
      </c>
      <c r="I452" s="342">
        <v>730868.9</v>
      </c>
      <c r="J452" t="s">
        <v>259</v>
      </c>
      <c r="K452" t="s">
        <v>1177</v>
      </c>
      <c r="L452" t="s">
        <v>967</v>
      </c>
      <c r="M452" t="s">
        <v>46</v>
      </c>
      <c r="N452" s="2"/>
      <c r="O452" s="4"/>
    </row>
    <row r="453" spans="1:15" ht="12.75" customHeight="1" x14ac:dyDescent="0.2">
      <c r="A453" s="369">
        <v>981340</v>
      </c>
      <c r="B453" t="s">
        <v>1173</v>
      </c>
      <c r="C453" s="342">
        <v>50</v>
      </c>
      <c r="D453" s="342">
        <v>110</v>
      </c>
      <c r="E453" s="342">
        <v>160</v>
      </c>
      <c r="F453" s="342">
        <v>3401499.7222727598</v>
      </c>
      <c r="G453" s="342">
        <v>8757029.5537455194</v>
      </c>
      <c r="H453" s="342">
        <v>12158529.2760182</v>
      </c>
      <c r="I453" s="342">
        <v>2488290.77</v>
      </c>
      <c r="J453" t="s">
        <v>179</v>
      </c>
      <c r="K453" t="s">
        <v>1175</v>
      </c>
      <c r="L453" t="s">
        <v>173</v>
      </c>
      <c r="M453" t="s">
        <v>46</v>
      </c>
      <c r="N453" s="2"/>
      <c r="O453" s="4"/>
    </row>
    <row r="454" spans="1:15" ht="12.75" customHeight="1" x14ac:dyDescent="0.2">
      <c r="A454" s="369">
        <v>606103</v>
      </c>
      <c r="B454" t="s">
        <v>1184</v>
      </c>
      <c r="C454" s="342">
        <v>101</v>
      </c>
      <c r="D454" s="342">
        <v>56</v>
      </c>
      <c r="E454" s="342">
        <v>157</v>
      </c>
      <c r="F454" s="342">
        <v>4996414.1437834902</v>
      </c>
      <c r="G454" s="342">
        <v>4552055.3827853398</v>
      </c>
      <c r="H454" s="342">
        <v>9548469.52656883</v>
      </c>
      <c r="I454" s="342">
        <v>-31810.98</v>
      </c>
      <c r="J454" t="s">
        <v>256</v>
      </c>
      <c r="K454" t="s">
        <v>1156</v>
      </c>
      <c r="L454" t="s">
        <v>393</v>
      </c>
      <c r="M454" t="s">
        <v>46</v>
      </c>
      <c r="N454" s="2"/>
      <c r="O454" s="4"/>
    </row>
    <row r="455" spans="1:15" ht="12.75" customHeight="1" x14ac:dyDescent="0.2">
      <c r="A455" s="369">
        <v>365981</v>
      </c>
      <c r="B455" t="s">
        <v>303</v>
      </c>
      <c r="C455" s="342">
        <v>64</v>
      </c>
      <c r="D455" s="342">
        <v>91</v>
      </c>
      <c r="E455" s="342">
        <v>155</v>
      </c>
      <c r="F455" s="342">
        <v>2909631.1703421702</v>
      </c>
      <c r="G455" s="342">
        <v>4926071.2188058803</v>
      </c>
      <c r="H455" s="342">
        <v>7835702.38914805</v>
      </c>
      <c r="I455" s="342">
        <v>65584.850000000006</v>
      </c>
      <c r="J455" t="s">
        <v>206</v>
      </c>
      <c r="K455" t="s">
        <v>1176</v>
      </c>
      <c r="L455" t="s">
        <v>199</v>
      </c>
      <c r="M455" t="s">
        <v>46</v>
      </c>
      <c r="N455" s="2"/>
      <c r="O455" s="4"/>
    </row>
    <row r="456" spans="1:15" ht="12.75" customHeight="1" x14ac:dyDescent="0.2">
      <c r="A456" s="369">
        <v>352872</v>
      </c>
      <c r="B456" t="s">
        <v>299</v>
      </c>
      <c r="C456" s="342">
        <v>53</v>
      </c>
      <c r="D456" s="342">
        <v>95</v>
      </c>
      <c r="E456" s="342">
        <v>148</v>
      </c>
      <c r="F456" s="342">
        <v>4050770.2895325902</v>
      </c>
      <c r="G456" s="342">
        <v>10973997.7623129</v>
      </c>
      <c r="H456" s="342">
        <v>15024768.0518455</v>
      </c>
      <c r="I456" s="342">
        <v>-131127.10999999999</v>
      </c>
      <c r="J456" t="s">
        <v>197</v>
      </c>
      <c r="K456" t="s">
        <v>1175</v>
      </c>
      <c r="L456" t="s">
        <v>199</v>
      </c>
      <c r="M456" t="s">
        <v>46</v>
      </c>
      <c r="N456" s="2"/>
      <c r="O456" s="4"/>
    </row>
    <row r="457" spans="1:15" ht="12.75" customHeight="1" x14ac:dyDescent="0.2">
      <c r="A457" s="369">
        <v>865063</v>
      </c>
      <c r="B457" t="s">
        <v>1016</v>
      </c>
      <c r="C457" s="342">
        <v>57</v>
      </c>
      <c r="D457" s="342">
        <v>90</v>
      </c>
      <c r="E457" s="342">
        <v>147</v>
      </c>
      <c r="F457" s="342">
        <v>5343313.6134845102</v>
      </c>
      <c r="G457" s="342">
        <v>8757016.6193096098</v>
      </c>
      <c r="H457" s="342">
        <v>14100330.2327941</v>
      </c>
      <c r="I457" s="342">
        <v>-160522.32999999999</v>
      </c>
      <c r="J457" t="s">
        <v>179</v>
      </c>
      <c r="K457" t="s">
        <v>1175</v>
      </c>
      <c r="L457" t="s">
        <v>225</v>
      </c>
      <c r="M457" t="s">
        <v>46</v>
      </c>
      <c r="N457" s="2"/>
      <c r="O457" s="4"/>
    </row>
    <row r="458" spans="1:15" ht="12.75" customHeight="1" x14ac:dyDescent="0.2">
      <c r="A458" s="369">
        <v>647669</v>
      </c>
      <c r="B458" t="s">
        <v>982</v>
      </c>
      <c r="C458" s="342">
        <v>74</v>
      </c>
      <c r="D458" s="342">
        <v>72</v>
      </c>
      <c r="E458" s="342">
        <v>146</v>
      </c>
      <c r="F458" s="342">
        <v>3793856.0341758402</v>
      </c>
      <c r="G458" s="342">
        <v>5073401.2009475101</v>
      </c>
      <c r="H458" s="342">
        <v>8867257.2351233605</v>
      </c>
      <c r="I458" s="342">
        <v>110403.95</v>
      </c>
      <c r="J458" t="s">
        <v>172</v>
      </c>
      <c r="K458" t="s">
        <v>1153</v>
      </c>
      <c r="L458" t="s">
        <v>966</v>
      </c>
      <c r="M458" t="s">
        <v>46</v>
      </c>
      <c r="N458" s="2"/>
      <c r="O458" s="4"/>
    </row>
    <row r="459" spans="1:15" ht="12.75" customHeight="1" x14ac:dyDescent="0.2">
      <c r="A459" s="369">
        <v>280925</v>
      </c>
      <c r="B459" t="s">
        <v>268</v>
      </c>
      <c r="C459" s="342">
        <v>49</v>
      </c>
      <c r="D459" s="342">
        <v>90</v>
      </c>
      <c r="E459" s="342">
        <v>139</v>
      </c>
      <c r="F459" s="342">
        <v>1681381.84752769</v>
      </c>
      <c r="G459" s="342">
        <v>6346306.9638723396</v>
      </c>
      <c r="H459" s="342">
        <v>8027688.8114000401</v>
      </c>
      <c r="I459" s="342">
        <v>696995.41</v>
      </c>
      <c r="J459" t="s">
        <v>192</v>
      </c>
      <c r="K459" t="s">
        <v>1156</v>
      </c>
      <c r="L459" t="s">
        <v>215</v>
      </c>
      <c r="M459" t="s">
        <v>46</v>
      </c>
      <c r="N459" s="2"/>
      <c r="O459" s="4"/>
    </row>
    <row r="460" spans="1:15" ht="12.75" customHeight="1" x14ac:dyDescent="0.2">
      <c r="A460" s="369">
        <v>938845</v>
      </c>
      <c r="B460" t="s">
        <v>485</v>
      </c>
      <c r="C460" s="342">
        <v>36</v>
      </c>
      <c r="D460" s="342">
        <v>100</v>
      </c>
      <c r="E460" s="342">
        <v>136</v>
      </c>
      <c r="F460" s="342">
        <v>2533636.5654392401</v>
      </c>
      <c r="G460" s="342">
        <v>7316998.9128641998</v>
      </c>
      <c r="H460" s="342">
        <v>9850635.4783034399</v>
      </c>
      <c r="I460" s="342">
        <v>-1031134.03</v>
      </c>
      <c r="J460" t="s">
        <v>251</v>
      </c>
      <c r="K460" t="s">
        <v>1175</v>
      </c>
      <c r="L460" t="s">
        <v>393</v>
      </c>
      <c r="M460" t="s">
        <v>46</v>
      </c>
      <c r="N460" s="2"/>
      <c r="O460" s="4"/>
    </row>
    <row r="461" spans="1:15" ht="12.75" customHeight="1" x14ac:dyDescent="0.2">
      <c r="A461" s="369">
        <v>608463</v>
      </c>
      <c r="B461" t="s">
        <v>1089</v>
      </c>
      <c r="C461" s="342">
        <v>35</v>
      </c>
      <c r="D461" s="342">
        <v>98</v>
      </c>
      <c r="E461" s="342">
        <v>133</v>
      </c>
      <c r="F461" s="342">
        <v>2123207.3203853802</v>
      </c>
      <c r="G461" s="342">
        <v>7438516.5286782999</v>
      </c>
      <c r="H461" s="342">
        <v>9561723.8490636796</v>
      </c>
      <c r="I461" s="342">
        <v>361080.26</v>
      </c>
      <c r="J461" t="s">
        <v>251</v>
      </c>
      <c r="K461" t="s">
        <v>1175</v>
      </c>
      <c r="L461" t="s">
        <v>967</v>
      </c>
      <c r="M461" t="s">
        <v>46</v>
      </c>
      <c r="N461" s="2"/>
      <c r="O461" s="4"/>
    </row>
    <row r="462" spans="1:15" ht="12.75" customHeight="1" x14ac:dyDescent="0.2">
      <c r="A462" s="369">
        <v>383159</v>
      </c>
      <c r="B462" t="s">
        <v>1219</v>
      </c>
      <c r="C462" s="342">
        <v>29</v>
      </c>
      <c r="D462" s="342">
        <v>95</v>
      </c>
      <c r="E462" s="342">
        <v>124</v>
      </c>
      <c r="F462" s="342">
        <v>3344911.7163581201</v>
      </c>
      <c r="G462" s="342">
        <v>10275822.6940559</v>
      </c>
      <c r="H462" s="342">
        <v>13620734.4104141</v>
      </c>
      <c r="I462" s="342">
        <v>13560948.01</v>
      </c>
      <c r="J462" t="s">
        <v>306</v>
      </c>
      <c r="K462" t="s">
        <v>1175</v>
      </c>
      <c r="L462" t="s">
        <v>178</v>
      </c>
      <c r="M462" t="s">
        <v>46</v>
      </c>
      <c r="N462" s="2"/>
      <c r="O462" s="4"/>
    </row>
    <row r="463" spans="1:15" s="130" customFormat="1" ht="12.75" customHeight="1" x14ac:dyDescent="0.2">
      <c r="A463" s="369">
        <v>163923</v>
      </c>
      <c r="B463" t="s">
        <v>1210</v>
      </c>
      <c r="C463" s="342">
        <v>31</v>
      </c>
      <c r="D463" s="342">
        <v>90</v>
      </c>
      <c r="E463" s="342">
        <v>121</v>
      </c>
      <c r="F463" s="342">
        <v>2829213.2727200701</v>
      </c>
      <c r="G463" s="342">
        <v>8722331.1968007907</v>
      </c>
      <c r="H463" s="342">
        <v>11551544.4695208</v>
      </c>
      <c r="I463" s="342">
        <v>11238761</v>
      </c>
      <c r="J463" t="s">
        <v>159</v>
      </c>
      <c r="K463" t="s">
        <v>1175</v>
      </c>
      <c r="L463" t="s">
        <v>155</v>
      </c>
      <c r="M463" t="s">
        <v>151</v>
      </c>
      <c r="N463" s="2"/>
    </row>
    <row r="464" spans="1:15" ht="12.75" customHeight="1" x14ac:dyDescent="0.2">
      <c r="A464" s="369">
        <v>360495</v>
      </c>
      <c r="B464" t="s">
        <v>510</v>
      </c>
      <c r="C464" s="342">
        <v>46</v>
      </c>
      <c r="D464" s="342">
        <v>75</v>
      </c>
      <c r="E464" s="342">
        <v>121</v>
      </c>
      <c r="F464" s="342">
        <v>4595626.8604947897</v>
      </c>
      <c r="G464" s="342">
        <v>6323444.4485811302</v>
      </c>
      <c r="H464" s="342">
        <v>10919071.309075899</v>
      </c>
      <c r="I464" s="342">
        <v>235122.55</v>
      </c>
      <c r="J464" t="s">
        <v>197</v>
      </c>
      <c r="K464" t="s">
        <v>1175</v>
      </c>
      <c r="L464" t="s">
        <v>291</v>
      </c>
      <c r="M464" t="s">
        <v>46</v>
      </c>
      <c r="N464" s="2"/>
      <c r="O464" s="4"/>
    </row>
    <row r="465" spans="1:15" ht="12.75" customHeight="1" x14ac:dyDescent="0.2">
      <c r="A465" s="369">
        <v>205832</v>
      </c>
      <c r="B465" t="s">
        <v>1008</v>
      </c>
      <c r="C465" s="342">
        <v>43</v>
      </c>
      <c r="D465" s="342">
        <v>71</v>
      </c>
      <c r="E465" s="342">
        <v>114</v>
      </c>
      <c r="F465" s="342">
        <v>2446251.6591420802</v>
      </c>
      <c r="G465" s="342">
        <v>7976878.698961</v>
      </c>
      <c r="H465" s="342">
        <v>10423130.358103</v>
      </c>
      <c r="I465" s="342">
        <v>-179013.61</v>
      </c>
      <c r="J465" t="s">
        <v>172</v>
      </c>
      <c r="K465" t="s">
        <v>1153</v>
      </c>
      <c r="L465" t="s">
        <v>283</v>
      </c>
      <c r="M465" t="s">
        <v>151</v>
      </c>
      <c r="N465" s="2"/>
      <c r="O465" s="4"/>
    </row>
    <row r="466" spans="1:15" ht="12.75" customHeight="1" x14ac:dyDescent="0.2">
      <c r="A466" s="369">
        <v>282632</v>
      </c>
      <c r="B466" t="s">
        <v>506</v>
      </c>
      <c r="C466" s="342">
        <v>32</v>
      </c>
      <c r="D466" s="342">
        <v>76</v>
      </c>
      <c r="E466" s="342">
        <v>108</v>
      </c>
      <c r="F466" s="342">
        <v>4014160.6446988801</v>
      </c>
      <c r="G466" s="342">
        <v>8024237.1799452603</v>
      </c>
      <c r="H466" s="342">
        <v>12038397.8246441</v>
      </c>
      <c r="I466" s="342">
        <v>-22099.96</v>
      </c>
      <c r="J466" t="s">
        <v>159</v>
      </c>
      <c r="K466" t="s">
        <v>1175</v>
      </c>
      <c r="L466" t="s">
        <v>168</v>
      </c>
      <c r="M466" t="s">
        <v>46</v>
      </c>
      <c r="N466" s="2"/>
      <c r="O466" s="4"/>
    </row>
    <row r="467" spans="1:15" ht="12.75" customHeight="1" x14ac:dyDescent="0.2">
      <c r="A467" s="369">
        <v>151001</v>
      </c>
      <c r="B467" t="s">
        <v>198</v>
      </c>
      <c r="C467" s="342">
        <v>43</v>
      </c>
      <c r="D467" s="342">
        <v>62</v>
      </c>
      <c r="E467" s="342">
        <v>105</v>
      </c>
      <c r="F467" s="342">
        <v>1608639.33142737</v>
      </c>
      <c r="G467" s="342">
        <v>3652115.4503829102</v>
      </c>
      <c r="H467" s="342">
        <v>5260754.7818102799</v>
      </c>
      <c r="I467" s="342">
        <v>170790.07</v>
      </c>
      <c r="J467" t="s">
        <v>179</v>
      </c>
      <c r="K467" t="s">
        <v>1175</v>
      </c>
      <c r="L467" t="s">
        <v>199</v>
      </c>
      <c r="M467" t="s">
        <v>46</v>
      </c>
      <c r="N467" s="2"/>
      <c r="O467" s="4"/>
    </row>
    <row r="468" spans="1:15" ht="12.75" customHeight="1" x14ac:dyDescent="0.2">
      <c r="A468" s="369">
        <v>285990</v>
      </c>
      <c r="B468" t="s">
        <v>1188</v>
      </c>
      <c r="C468" s="342">
        <v>25</v>
      </c>
      <c r="D468" s="342">
        <v>77</v>
      </c>
      <c r="E468" s="342">
        <v>102</v>
      </c>
      <c r="F468" s="342">
        <v>1914335.81483775</v>
      </c>
      <c r="G468" s="342">
        <v>6597740.2335543605</v>
      </c>
      <c r="H468" s="342">
        <v>8512076.0483921207</v>
      </c>
      <c r="I468" s="342">
        <v>-81167.839999999997</v>
      </c>
      <c r="J468" t="s">
        <v>197</v>
      </c>
      <c r="K468" t="s">
        <v>1175</v>
      </c>
      <c r="L468" t="s">
        <v>966</v>
      </c>
      <c r="M468" t="s">
        <v>46</v>
      </c>
      <c r="N468" s="2"/>
      <c r="O468" s="4"/>
    </row>
    <row r="469" spans="1:15" ht="12.75" customHeight="1" x14ac:dyDescent="0.2">
      <c r="A469" s="369">
        <v>717900</v>
      </c>
      <c r="B469" t="s">
        <v>430</v>
      </c>
      <c r="C469" s="342">
        <v>37</v>
      </c>
      <c r="D469" s="342">
        <v>65</v>
      </c>
      <c r="E469" s="342">
        <v>102</v>
      </c>
      <c r="F469" s="342">
        <v>1765629.5412522</v>
      </c>
      <c r="G469" s="342">
        <v>5156179.5008363398</v>
      </c>
      <c r="H469" s="342">
        <v>6921809.0420885496</v>
      </c>
      <c r="I469" s="342">
        <v>-134806.01999999999</v>
      </c>
      <c r="J469" t="s">
        <v>192</v>
      </c>
      <c r="K469" t="s">
        <v>1156</v>
      </c>
      <c r="L469" t="s">
        <v>255</v>
      </c>
      <c r="M469" t="s">
        <v>46</v>
      </c>
      <c r="N469" s="2"/>
      <c r="O469" s="4"/>
    </row>
    <row r="470" spans="1:15" ht="12.75" customHeight="1" x14ac:dyDescent="0.2">
      <c r="A470" s="369">
        <v>245381</v>
      </c>
      <c r="B470" t="s">
        <v>250</v>
      </c>
      <c r="C470" s="342">
        <v>37</v>
      </c>
      <c r="D470" s="342">
        <v>64</v>
      </c>
      <c r="E470" s="342">
        <v>101</v>
      </c>
      <c r="F470" s="342">
        <v>2722848.0875254399</v>
      </c>
      <c r="G470" s="342">
        <v>6575024.1900306903</v>
      </c>
      <c r="H470" s="342">
        <v>9297872.2775561307</v>
      </c>
      <c r="I470" s="342">
        <v>1367683.04</v>
      </c>
      <c r="J470" t="s">
        <v>251</v>
      </c>
      <c r="K470" t="s">
        <v>1175</v>
      </c>
      <c r="L470" t="s">
        <v>199</v>
      </c>
      <c r="M470" t="s">
        <v>46</v>
      </c>
      <c r="N470" s="2"/>
      <c r="O470" s="4"/>
    </row>
    <row r="471" spans="1:15" ht="12.75" customHeight="1" x14ac:dyDescent="0.2">
      <c r="A471" s="369">
        <v>958264</v>
      </c>
      <c r="B471" t="s">
        <v>1103</v>
      </c>
      <c r="C471" s="342">
        <v>27</v>
      </c>
      <c r="D471" s="342">
        <v>70</v>
      </c>
      <c r="E471" s="342">
        <v>97</v>
      </c>
      <c r="F471" s="342">
        <v>2108360.7259383299</v>
      </c>
      <c r="G471" s="342">
        <v>7354268.6191187901</v>
      </c>
      <c r="H471" s="342">
        <v>9462629.3450571299</v>
      </c>
      <c r="I471" s="342">
        <v>-905473.78</v>
      </c>
      <c r="J471" t="s">
        <v>245</v>
      </c>
      <c r="K471" t="s">
        <v>1176</v>
      </c>
      <c r="L471" t="s">
        <v>195</v>
      </c>
      <c r="M471" t="s">
        <v>46</v>
      </c>
      <c r="N471" s="2"/>
      <c r="O471" s="4"/>
    </row>
    <row r="472" spans="1:15" ht="12.75" customHeight="1" x14ac:dyDescent="0.2">
      <c r="A472" s="369">
        <v>238832</v>
      </c>
      <c r="B472" t="s">
        <v>1159</v>
      </c>
      <c r="C472" s="342">
        <v>36</v>
      </c>
      <c r="D472" s="342">
        <v>60</v>
      </c>
      <c r="E472" s="342">
        <v>96</v>
      </c>
      <c r="F472" s="342">
        <v>2734422.6692467202</v>
      </c>
      <c r="G472" s="342">
        <v>4548268.0766380504</v>
      </c>
      <c r="H472" s="342">
        <v>7282690.7458847798</v>
      </c>
      <c r="I472" s="342">
        <v>1727172.77</v>
      </c>
      <c r="J472" t="s">
        <v>179</v>
      </c>
      <c r="K472" t="s">
        <v>1175</v>
      </c>
      <c r="L472" t="s">
        <v>182</v>
      </c>
      <c r="M472" t="s">
        <v>46</v>
      </c>
      <c r="N472" s="2"/>
      <c r="O472" s="4"/>
    </row>
    <row r="473" spans="1:15" ht="12.75" customHeight="1" x14ac:dyDescent="0.2">
      <c r="A473" s="369">
        <v>793109</v>
      </c>
      <c r="B473" t="s">
        <v>452</v>
      </c>
      <c r="C473" s="342">
        <v>38</v>
      </c>
      <c r="D473" s="342">
        <v>55</v>
      </c>
      <c r="E473" s="342">
        <v>93</v>
      </c>
      <c r="F473" s="342">
        <v>3006231.0452008802</v>
      </c>
      <c r="G473" s="342">
        <v>4536601.8477918999</v>
      </c>
      <c r="H473" s="342">
        <v>7542832.8929927796</v>
      </c>
      <c r="I473" s="342">
        <v>-989336.42</v>
      </c>
      <c r="J473" t="s">
        <v>159</v>
      </c>
      <c r="K473" t="s">
        <v>1175</v>
      </c>
      <c r="L473" t="s">
        <v>240</v>
      </c>
      <c r="M473" t="s">
        <v>46</v>
      </c>
      <c r="N473" s="2"/>
      <c r="O473" s="4"/>
    </row>
    <row r="474" spans="1:15" ht="12.75" customHeight="1" x14ac:dyDescent="0.2">
      <c r="A474" s="369">
        <v>664482</v>
      </c>
      <c r="B474" t="s">
        <v>414</v>
      </c>
      <c r="C474" s="342">
        <v>32</v>
      </c>
      <c r="D474" s="342">
        <v>56</v>
      </c>
      <c r="E474" s="342">
        <v>88</v>
      </c>
      <c r="F474" s="342">
        <v>1978433.7696683099</v>
      </c>
      <c r="G474" s="342">
        <v>4494456.1901491499</v>
      </c>
      <c r="H474" s="342">
        <v>6472889.9598174598</v>
      </c>
      <c r="I474" s="342">
        <v>-28579</v>
      </c>
      <c r="J474" t="s">
        <v>192</v>
      </c>
      <c r="K474" t="s">
        <v>1156</v>
      </c>
      <c r="L474" t="s">
        <v>240</v>
      </c>
      <c r="M474" t="s">
        <v>46</v>
      </c>
      <c r="N474" s="2"/>
      <c r="O474" s="4"/>
    </row>
    <row r="475" spans="1:15" ht="12.75" customHeight="1" x14ac:dyDescent="0.2">
      <c r="A475" s="369">
        <v>549552</v>
      </c>
      <c r="B475" t="s">
        <v>1196</v>
      </c>
      <c r="C475" s="342">
        <v>15</v>
      </c>
      <c r="D475" s="342">
        <v>40</v>
      </c>
      <c r="E475" s="342">
        <v>55</v>
      </c>
      <c r="F475" s="342">
        <v>1168888.5858429</v>
      </c>
      <c r="G475" s="342">
        <v>2750204.6281605898</v>
      </c>
      <c r="H475" s="342">
        <v>3919093.2140034898</v>
      </c>
      <c r="I475" s="342">
        <v>2849363.76</v>
      </c>
      <c r="J475" t="s">
        <v>159</v>
      </c>
      <c r="K475" t="s">
        <v>1175</v>
      </c>
      <c r="L475" t="s">
        <v>181</v>
      </c>
      <c r="M475" t="s">
        <v>151</v>
      </c>
      <c r="N475" s="2"/>
      <c r="O475" s="4"/>
    </row>
    <row r="476" spans="1:15" ht="12.75" customHeight="1" x14ac:dyDescent="0.2">
      <c r="A476" s="369">
        <v>887901</v>
      </c>
      <c r="B476" t="s">
        <v>476</v>
      </c>
      <c r="C476" s="342">
        <v>13</v>
      </c>
      <c r="D476" s="342">
        <v>39</v>
      </c>
      <c r="E476" s="342">
        <v>52</v>
      </c>
      <c r="F476" s="342">
        <v>683174.88644194696</v>
      </c>
      <c r="G476" s="342">
        <v>2397806.05899551</v>
      </c>
      <c r="H476" s="342">
        <v>3080980.94543745</v>
      </c>
      <c r="I476" s="342">
        <v>98000.29</v>
      </c>
      <c r="J476" t="s">
        <v>259</v>
      </c>
      <c r="K476" t="s">
        <v>1177</v>
      </c>
      <c r="L476" t="s">
        <v>439</v>
      </c>
      <c r="M476" t="s">
        <v>46</v>
      </c>
      <c r="N476" s="2"/>
      <c r="O476" s="4"/>
    </row>
    <row r="477" spans="1:15" ht="12.75" customHeight="1" x14ac:dyDescent="0.2">
      <c r="A477" s="369">
        <v>116111</v>
      </c>
      <c r="B477" t="s">
        <v>501</v>
      </c>
      <c r="C477" s="342">
        <v>15</v>
      </c>
      <c r="D477" s="342">
        <v>35</v>
      </c>
      <c r="E477" s="342">
        <v>50</v>
      </c>
      <c r="F477" s="342">
        <v>629546.11151639896</v>
      </c>
      <c r="G477" s="342">
        <v>1977674.0216169499</v>
      </c>
      <c r="H477" s="342">
        <v>2607220.1331333499</v>
      </c>
      <c r="I477" s="342">
        <v>999.98</v>
      </c>
      <c r="J477" t="s">
        <v>169</v>
      </c>
      <c r="K477" t="s">
        <v>1175</v>
      </c>
      <c r="L477" t="s">
        <v>168</v>
      </c>
      <c r="M477" t="s">
        <v>46</v>
      </c>
      <c r="N477" s="2"/>
      <c r="O477" s="4"/>
    </row>
    <row r="478" spans="1:15" ht="12.75" customHeight="1" x14ac:dyDescent="0.2">
      <c r="A478" s="369">
        <v>214338</v>
      </c>
      <c r="B478" t="s">
        <v>1141</v>
      </c>
      <c r="C478" s="342">
        <v>20</v>
      </c>
      <c r="D478" s="342">
        <v>29</v>
      </c>
      <c r="E478" s="342">
        <v>49</v>
      </c>
      <c r="F478" s="342">
        <v>922133.41387515794</v>
      </c>
      <c r="G478" s="342">
        <v>3004014.24116378</v>
      </c>
      <c r="H478" s="342">
        <v>3926147.6550389398</v>
      </c>
      <c r="I478" s="342">
        <v>-136192.75</v>
      </c>
      <c r="J478" t="s">
        <v>172</v>
      </c>
      <c r="K478" t="s">
        <v>1153</v>
      </c>
      <c r="L478" t="s">
        <v>966</v>
      </c>
      <c r="M478" t="s">
        <v>46</v>
      </c>
      <c r="N478" s="2"/>
      <c r="O478" s="4"/>
    </row>
    <row r="479" spans="1:15" ht="12.75" customHeight="1" x14ac:dyDescent="0.2">
      <c r="A479" s="369">
        <v>690693</v>
      </c>
      <c r="B479" t="s">
        <v>423</v>
      </c>
      <c r="C479" s="342">
        <v>12</v>
      </c>
      <c r="D479" s="342">
        <v>36</v>
      </c>
      <c r="E479" s="342">
        <v>48</v>
      </c>
      <c r="F479" s="342">
        <v>955592.35020574497</v>
      </c>
      <c r="G479" s="342">
        <v>2526194.2372328402</v>
      </c>
      <c r="H479" s="342">
        <v>3481786.5874385801</v>
      </c>
      <c r="I479" s="342">
        <v>-212856.39</v>
      </c>
      <c r="J479" t="s">
        <v>159</v>
      </c>
      <c r="K479" t="s">
        <v>1175</v>
      </c>
      <c r="L479" t="s">
        <v>215</v>
      </c>
      <c r="M479" t="s">
        <v>46</v>
      </c>
      <c r="N479" s="2"/>
      <c r="O479" s="4"/>
    </row>
    <row r="480" spans="1:15" ht="12.75" customHeight="1" x14ac:dyDescent="0.2">
      <c r="A480" s="369">
        <v>106849</v>
      </c>
      <c r="B480" t="s">
        <v>1004</v>
      </c>
      <c r="C480" s="342">
        <v>17</v>
      </c>
      <c r="D480" s="342">
        <v>28</v>
      </c>
      <c r="E480" s="342">
        <v>45</v>
      </c>
      <c r="F480" s="342">
        <v>1433602.89955678</v>
      </c>
      <c r="G480" s="342">
        <v>4085845.9858092</v>
      </c>
      <c r="H480" s="342">
        <v>5519448.8853659797</v>
      </c>
      <c r="I480" s="342">
        <v>-230971.88</v>
      </c>
      <c r="J480" t="s">
        <v>201</v>
      </c>
      <c r="K480" t="s">
        <v>1174</v>
      </c>
      <c r="L480" t="s">
        <v>265</v>
      </c>
      <c r="M480" t="s">
        <v>151</v>
      </c>
      <c r="N480" s="2"/>
      <c r="O480" s="4"/>
    </row>
    <row r="481" spans="1:15" ht="12.75" customHeight="1" x14ac:dyDescent="0.2">
      <c r="A481" s="369">
        <v>250167</v>
      </c>
      <c r="B481" t="s">
        <v>1187</v>
      </c>
      <c r="C481" s="342">
        <v>7</v>
      </c>
      <c r="D481" s="342">
        <v>29</v>
      </c>
      <c r="E481" s="342">
        <v>36</v>
      </c>
      <c r="F481" s="342">
        <v>1047323.29881502</v>
      </c>
      <c r="G481" s="342">
        <v>3063261.0597774698</v>
      </c>
      <c r="H481" s="342">
        <v>4110584.3585925</v>
      </c>
      <c r="I481" s="342">
        <v>2839583.66</v>
      </c>
      <c r="J481" t="s">
        <v>170</v>
      </c>
      <c r="K481" t="s">
        <v>1175</v>
      </c>
      <c r="L481" t="s">
        <v>966</v>
      </c>
      <c r="M481" t="s">
        <v>46</v>
      </c>
      <c r="N481" s="2"/>
      <c r="O481" s="4"/>
    </row>
    <row r="482" spans="1:15" ht="12.75" customHeight="1" x14ac:dyDescent="0.2">
      <c r="A482" s="369">
        <v>129924</v>
      </c>
      <c r="B482" t="s">
        <v>1006</v>
      </c>
      <c r="C482" s="342">
        <v>4</v>
      </c>
      <c r="D482" s="342">
        <v>19</v>
      </c>
      <c r="E482" s="342">
        <v>23</v>
      </c>
      <c r="F482" s="342">
        <v>276662.966476703</v>
      </c>
      <c r="G482" s="342">
        <v>2128259.9764030599</v>
      </c>
      <c r="H482" s="342">
        <v>2404922.94287977</v>
      </c>
      <c r="I482" s="342">
        <v>-88626.73</v>
      </c>
      <c r="J482" t="s">
        <v>163</v>
      </c>
      <c r="K482" t="s">
        <v>1156</v>
      </c>
      <c r="L482" t="s">
        <v>393</v>
      </c>
      <c r="M482" t="s">
        <v>46</v>
      </c>
      <c r="N482" s="2"/>
      <c r="O482" s="4"/>
    </row>
    <row r="483" spans="1:15" ht="12.75" customHeight="1" x14ac:dyDescent="0.2">
      <c r="A483" s="369">
        <v>199753</v>
      </c>
      <c r="B483" t="s">
        <v>1212</v>
      </c>
      <c r="C483" s="342">
        <v>5</v>
      </c>
      <c r="D483" s="342">
        <v>16</v>
      </c>
      <c r="E483" s="342">
        <v>21</v>
      </c>
      <c r="F483" s="342">
        <v>581998.68905639998</v>
      </c>
      <c r="G483" s="342">
        <v>1893658.5525013099</v>
      </c>
      <c r="H483" s="342">
        <v>2475657.2415577099</v>
      </c>
      <c r="I483" s="342">
        <v>2417072</v>
      </c>
      <c r="J483" t="s">
        <v>159</v>
      </c>
      <c r="K483" t="s">
        <v>1175</v>
      </c>
      <c r="L483" t="s">
        <v>155</v>
      </c>
      <c r="M483" t="s">
        <v>151</v>
      </c>
      <c r="N483" s="2"/>
      <c r="O483" s="4"/>
    </row>
    <row r="484" spans="1:15" ht="12.75" customHeight="1" x14ac:dyDescent="0.2">
      <c r="A484" s="369">
        <v>142679</v>
      </c>
      <c r="B484" t="s">
        <v>1136</v>
      </c>
      <c r="C484" s="342">
        <v>3</v>
      </c>
      <c r="D484" s="342">
        <v>17</v>
      </c>
      <c r="E484" s="342">
        <v>20</v>
      </c>
      <c r="F484" s="342">
        <v>187234.136933261</v>
      </c>
      <c r="G484" s="342">
        <v>964316.97432097699</v>
      </c>
      <c r="H484" s="342">
        <v>1151551.1112542299</v>
      </c>
      <c r="I484" s="342">
        <v>16343.14</v>
      </c>
      <c r="J484" t="s">
        <v>206</v>
      </c>
      <c r="K484" t="s">
        <v>1176</v>
      </c>
      <c r="L484" t="s">
        <v>966</v>
      </c>
      <c r="M484" t="s">
        <v>46</v>
      </c>
      <c r="N484" s="2"/>
      <c r="O484" s="4"/>
    </row>
    <row r="485" spans="1:15" ht="12.75" customHeight="1" x14ac:dyDescent="0.2">
      <c r="A485" s="369">
        <v>241661</v>
      </c>
      <c r="B485" t="s">
        <v>1126</v>
      </c>
      <c r="C485" s="342">
        <v>3</v>
      </c>
      <c r="D485" s="342">
        <v>13</v>
      </c>
      <c r="E485" s="342">
        <v>16</v>
      </c>
      <c r="F485" s="342">
        <v>276227.70845098898</v>
      </c>
      <c r="G485" s="342">
        <v>861478.57133711199</v>
      </c>
      <c r="H485" s="342">
        <v>1137706.2797880999</v>
      </c>
      <c r="I485" s="342">
        <v>-32107.68</v>
      </c>
      <c r="J485" t="s">
        <v>216</v>
      </c>
      <c r="K485" t="s">
        <v>1156</v>
      </c>
      <c r="L485" t="s">
        <v>215</v>
      </c>
      <c r="M485" t="s">
        <v>46</v>
      </c>
      <c r="N485" s="2"/>
      <c r="O485" s="4"/>
    </row>
    <row r="486" spans="1:15" ht="12.75" customHeight="1" x14ac:dyDescent="0.2">
      <c r="A486" s="369">
        <v>523050</v>
      </c>
      <c r="B486" t="s">
        <v>980</v>
      </c>
      <c r="C486" s="342">
        <v>6</v>
      </c>
      <c r="D486" s="342">
        <v>9</v>
      </c>
      <c r="E486" s="342">
        <v>15</v>
      </c>
      <c r="F486" s="342">
        <v>409816.46245888202</v>
      </c>
      <c r="G486" s="342">
        <v>988714.18007366406</v>
      </c>
      <c r="H486" s="342">
        <v>1398530.64253254</v>
      </c>
      <c r="I486" s="342">
        <v>43651.32</v>
      </c>
      <c r="J486" t="s">
        <v>159</v>
      </c>
      <c r="K486" t="s">
        <v>1175</v>
      </c>
      <c r="L486" t="s">
        <v>974</v>
      </c>
      <c r="M486" t="s">
        <v>46</v>
      </c>
      <c r="N486" s="2"/>
      <c r="O486" s="4"/>
    </row>
    <row r="487" spans="1:15" ht="12.75" customHeight="1" x14ac:dyDescent="0.2">
      <c r="A487" s="369">
        <v>732959</v>
      </c>
      <c r="B487" t="s">
        <v>1198</v>
      </c>
      <c r="C487" s="342">
        <v>2</v>
      </c>
      <c r="D487" s="342">
        <v>5</v>
      </c>
      <c r="E487" s="342">
        <v>7</v>
      </c>
      <c r="F487" s="342">
        <v>160659.68527861999</v>
      </c>
      <c r="G487" s="342">
        <v>642322.57162655995</v>
      </c>
      <c r="H487" s="342">
        <v>802982.25690518005</v>
      </c>
      <c r="I487" s="342">
        <v>604246.38</v>
      </c>
      <c r="J487" t="s">
        <v>201</v>
      </c>
      <c r="K487" t="s">
        <v>1174</v>
      </c>
      <c r="L487" t="s">
        <v>152</v>
      </c>
      <c r="M487" t="s">
        <v>151</v>
      </c>
      <c r="N487" s="2"/>
      <c r="O487" s="4"/>
    </row>
    <row r="488" spans="1:15" ht="12.75" customHeight="1" x14ac:dyDescent="0.2">
      <c r="A488" s="369">
        <v>321828</v>
      </c>
      <c r="B488" t="s">
        <v>1145</v>
      </c>
      <c r="C488" s="342">
        <v>1</v>
      </c>
      <c r="D488" s="342">
        <v>5</v>
      </c>
      <c r="E488" s="342">
        <v>6</v>
      </c>
      <c r="F488" s="342">
        <v>46839.924602624102</v>
      </c>
      <c r="G488" s="342">
        <v>571917.06822808099</v>
      </c>
      <c r="H488" s="342">
        <v>618756.99283070501</v>
      </c>
      <c r="I488" s="342">
        <v>0</v>
      </c>
      <c r="J488" t="s">
        <v>251</v>
      </c>
      <c r="K488" t="s">
        <v>1175</v>
      </c>
      <c r="L488" t="s">
        <v>966</v>
      </c>
      <c r="M488" t="s">
        <v>46</v>
      </c>
      <c r="N488" s="2"/>
      <c r="O488" s="4"/>
    </row>
    <row r="489" spans="1:15" ht="12.75" customHeight="1" x14ac:dyDescent="0.2">
      <c r="A489" s="369">
        <v>178509</v>
      </c>
      <c r="B489" t="s">
        <v>1139</v>
      </c>
      <c r="C489" s="342">
        <v>2</v>
      </c>
      <c r="D489" s="342">
        <v>4</v>
      </c>
      <c r="E489" s="342">
        <v>6</v>
      </c>
      <c r="F489" s="342">
        <v>43036.378226830697</v>
      </c>
      <c r="G489" s="342">
        <v>267479.86514851003</v>
      </c>
      <c r="H489" s="342">
        <v>310516.24337534001</v>
      </c>
      <c r="I489" s="342">
        <v>249986.96</v>
      </c>
      <c r="J489" t="s">
        <v>216</v>
      </c>
      <c r="K489" t="s">
        <v>1156</v>
      </c>
      <c r="L489" t="s">
        <v>966</v>
      </c>
      <c r="M489" t="s">
        <v>46</v>
      </c>
      <c r="N489" s="2"/>
      <c r="O489" s="4"/>
    </row>
    <row r="490" spans="1:15" ht="12.75" customHeight="1" x14ac:dyDescent="0.2">
      <c r="A490" s="369">
        <v>899352</v>
      </c>
      <c r="B490" t="s">
        <v>1232</v>
      </c>
      <c r="C490" s="342">
        <v>2</v>
      </c>
      <c r="D490" s="342">
        <v>2</v>
      </c>
      <c r="E490" s="342">
        <v>4</v>
      </c>
      <c r="F490" s="342">
        <v>158633.87056826599</v>
      </c>
      <c r="G490" s="342">
        <v>50611.348027975597</v>
      </c>
      <c r="H490" s="342">
        <v>209245.218596241</v>
      </c>
      <c r="I490" s="342">
        <v>195281.75</v>
      </c>
      <c r="J490" t="s">
        <v>179</v>
      </c>
      <c r="K490" t="s">
        <v>1175</v>
      </c>
      <c r="L490" t="s">
        <v>974</v>
      </c>
      <c r="M490" t="s">
        <v>46</v>
      </c>
      <c r="N490" s="2"/>
      <c r="O490" s="4"/>
    </row>
    <row r="491" spans="1:15" ht="12.75" customHeight="1" x14ac:dyDescent="0.2">
      <c r="A491" s="369">
        <v>971010</v>
      </c>
      <c r="B491" t="s">
        <v>1134</v>
      </c>
      <c r="C491" s="342">
        <v>1</v>
      </c>
      <c r="D491" s="342">
        <v>3</v>
      </c>
      <c r="E491" s="342">
        <v>4</v>
      </c>
      <c r="F491" s="342">
        <v>7272.8631772999997</v>
      </c>
      <c r="G491" s="342">
        <v>195369.53017078</v>
      </c>
      <c r="H491" s="342">
        <v>202642.39334807999</v>
      </c>
      <c r="I491" s="342">
        <v>3112.74</v>
      </c>
      <c r="J491" t="s">
        <v>192</v>
      </c>
      <c r="K491" t="s">
        <v>1156</v>
      </c>
      <c r="L491" t="s">
        <v>974</v>
      </c>
      <c r="M491" t="s">
        <v>46</v>
      </c>
      <c r="N491" s="2"/>
      <c r="O491" s="4"/>
    </row>
    <row r="492" spans="1:15" ht="12.75" customHeight="1" x14ac:dyDescent="0.2">
      <c r="A492" s="369">
        <v>460899</v>
      </c>
      <c r="B492" t="s">
        <v>1128</v>
      </c>
      <c r="C492" s="342">
        <v>0</v>
      </c>
      <c r="D492" s="342">
        <v>3</v>
      </c>
      <c r="E492" s="342">
        <v>3</v>
      </c>
      <c r="F492" s="342">
        <v>0</v>
      </c>
      <c r="G492" s="342">
        <v>112217.65914829999</v>
      </c>
      <c r="H492" s="342">
        <v>112217.65914829999</v>
      </c>
      <c r="I492" s="342">
        <v>959.58</v>
      </c>
      <c r="J492" t="s">
        <v>256</v>
      </c>
      <c r="K492" t="s">
        <v>1156</v>
      </c>
      <c r="L492" t="s">
        <v>212</v>
      </c>
      <c r="M492" t="s">
        <v>46</v>
      </c>
      <c r="N492" s="2"/>
      <c r="O492" s="4"/>
    </row>
    <row r="493" spans="1:15" ht="12.75" customHeight="1" x14ac:dyDescent="0.2">
      <c r="A493" s="369"/>
      <c r="B493"/>
      <c r="C493" s="342"/>
      <c r="D493" s="342"/>
      <c r="E493" s="342"/>
      <c r="F493" s="342"/>
      <c r="G493" s="342"/>
      <c r="H493" s="342"/>
      <c r="I493" s="342"/>
      <c r="K493"/>
      <c r="L493"/>
      <c r="M493"/>
      <c r="N493" s="2"/>
      <c r="O493" s="4"/>
    </row>
    <row r="494" spans="1:15" ht="12.75" customHeight="1" x14ac:dyDescent="0.2">
      <c r="A494" s="369"/>
      <c r="B494"/>
      <c r="C494" s="342"/>
      <c r="D494" s="342"/>
      <c r="E494" s="342"/>
      <c r="F494" s="342"/>
      <c r="G494" s="342"/>
      <c r="H494" s="342"/>
      <c r="I494" s="342"/>
      <c r="K494"/>
      <c r="L494"/>
      <c r="M494"/>
      <c r="N494" s="2"/>
      <c r="O494" s="4"/>
    </row>
    <row r="495" spans="1:15" ht="12.75" customHeight="1" x14ac:dyDescent="0.2">
      <c r="A495" s="369"/>
      <c r="B495"/>
      <c r="C495" s="342"/>
      <c r="D495" s="342"/>
      <c r="E495" s="342"/>
      <c r="F495" s="342"/>
      <c r="G495" s="342"/>
      <c r="H495" s="342"/>
      <c r="I495" s="342"/>
      <c r="K495"/>
      <c r="L495"/>
      <c r="M495"/>
      <c r="N495" s="2"/>
      <c r="O495" s="4"/>
    </row>
    <row r="496" spans="1:15" ht="12.75" customHeight="1" x14ac:dyDescent="0.2">
      <c r="A496" s="369"/>
      <c r="B496"/>
      <c r="C496" s="342"/>
      <c r="D496" s="342"/>
      <c r="E496" s="342"/>
      <c r="F496" s="342"/>
      <c r="G496" s="342"/>
      <c r="H496" s="342"/>
      <c r="I496" s="342"/>
      <c r="K496"/>
      <c r="L496"/>
      <c r="M496"/>
      <c r="N496" s="2"/>
      <c r="O496" s="4"/>
    </row>
    <row r="497" spans="1:15" ht="12.75" customHeight="1" x14ac:dyDescent="0.2">
      <c r="A497" s="369"/>
      <c r="B497"/>
      <c r="C497" s="342"/>
      <c r="D497" s="342"/>
      <c r="E497" s="342"/>
      <c r="F497" s="342"/>
      <c r="G497" s="342"/>
      <c r="H497" s="342"/>
      <c r="I497" s="342"/>
      <c r="K497"/>
      <c r="L497"/>
      <c r="M497"/>
      <c r="N497" s="2"/>
      <c r="O497" s="4"/>
    </row>
    <row r="498" spans="1:15" ht="12.75" customHeight="1" x14ac:dyDescent="0.2">
      <c r="A498" s="369"/>
      <c r="B498"/>
      <c r="C498" s="342"/>
      <c r="D498" s="342"/>
      <c r="E498" s="342"/>
      <c r="F498" s="342"/>
      <c r="G498" s="342"/>
      <c r="H498" s="342"/>
      <c r="I498" s="342"/>
      <c r="K498"/>
      <c r="L498"/>
      <c r="M498"/>
      <c r="N498" s="2"/>
      <c r="O498" s="4"/>
    </row>
    <row r="499" spans="1:15" ht="12.75" customHeight="1" x14ac:dyDescent="0.2">
      <c r="A499" s="369"/>
      <c r="B499"/>
      <c r="C499" s="342"/>
      <c r="D499" s="342"/>
      <c r="E499" s="342"/>
      <c r="F499" s="342"/>
      <c r="G499" s="342"/>
      <c r="H499" s="342"/>
      <c r="I499" s="342"/>
      <c r="K499"/>
      <c r="L499"/>
      <c r="M499"/>
      <c r="N499" s="2"/>
      <c r="O499" s="4"/>
    </row>
    <row r="500" spans="1:15" ht="12.75" customHeight="1" x14ac:dyDescent="0.2">
      <c r="A500" s="369"/>
      <c r="B500"/>
      <c r="C500" s="342"/>
      <c r="D500" s="342"/>
      <c r="E500" s="342"/>
      <c r="F500" s="342"/>
      <c r="G500" s="342"/>
      <c r="H500" s="342"/>
      <c r="I500" s="342"/>
      <c r="K500"/>
      <c r="L500"/>
      <c r="M500"/>
      <c r="N500" s="2"/>
      <c r="O500" s="4"/>
    </row>
    <row r="501" spans="1:15" ht="12.75" customHeight="1" x14ac:dyDescent="0.2">
      <c r="A501" s="369"/>
      <c r="B501"/>
      <c r="C501" s="342"/>
      <c r="D501" s="342"/>
      <c r="E501" s="342"/>
      <c r="F501" s="342"/>
      <c r="G501" s="342"/>
      <c r="H501" s="342"/>
      <c r="I501" s="342"/>
      <c r="K501"/>
      <c r="L501"/>
      <c r="M501"/>
      <c r="N501" s="2"/>
      <c r="O501" s="4"/>
    </row>
    <row r="502" spans="1:15" ht="12.75" customHeight="1" x14ac:dyDescent="0.2">
      <c r="A502" s="369"/>
      <c r="B502"/>
      <c r="C502" s="342"/>
      <c r="D502" s="342"/>
      <c r="E502" s="342"/>
      <c r="F502" s="342"/>
      <c r="G502" s="342"/>
      <c r="H502" s="342"/>
      <c r="I502" s="342"/>
      <c r="K502"/>
      <c r="L502"/>
      <c r="M502"/>
      <c r="N502" s="2"/>
      <c r="O502" s="4"/>
    </row>
    <row r="503" spans="1:15" ht="12.75" customHeight="1" x14ac:dyDescent="0.2">
      <c r="A503" s="369"/>
      <c r="B503"/>
      <c r="C503" s="342"/>
      <c r="D503" s="342"/>
      <c r="E503" s="342"/>
      <c r="F503" s="342"/>
      <c r="G503" s="342"/>
      <c r="H503" s="342"/>
      <c r="I503" s="342"/>
      <c r="K503"/>
      <c r="L503"/>
      <c r="M503"/>
      <c r="N503" s="2"/>
      <c r="O503" s="4"/>
    </row>
    <row r="504" spans="1:15" ht="12.75" customHeight="1" x14ac:dyDescent="0.2">
      <c r="A504" s="369"/>
      <c r="B504"/>
      <c r="C504" s="342"/>
      <c r="D504" s="342"/>
      <c r="E504" s="342"/>
      <c r="F504" s="342"/>
      <c r="G504" s="342"/>
      <c r="H504" s="342"/>
      <c r="I504" s="342"/>
      <c r="K504"/>
      <c r="L504"/>
      <c r="M504"/>
      <c r="N504" s="2"/>
      <c r="O504" s="4"/>
    </row>
    <row r="505" spans="1:15" ht="12.75" customHeight="1" x14ac:dyDescent="0.2">
      <c r="A505" s="369"/>
      <c r="B505"/>
      <c r="C505" s="342"/>
      <c r="D505" s="342"/>
      <c r="E505" s="342"/>
      <c r="F505" s="342"/>
      <c r="G505" s="342"/>
      <c r="H505" s="342"/>
      <c r="I505" s="342"/>
      <c r="K505"/>
      <c r="L505"/>
      <c r="M505"/>
      <c r="N505" s="2"/>
      <c r="O505" s="4"/>
    </row>
    <row r="506" spans="1:15" ht="12.75" customHeight="1" x14ac:dyDescent="0.2">
      <c r="A506" s="369"/>
      <c r="B506"/>
      <c r="C506" s="342"/>
      <c r="D506" s="342"/>
      <c r="E506" s="342"/>
      <c r="F506" s="342"/>
      <c r="G506" s="342"/>
      <c r="H506" s="342"/>
      <c r="I506" s="342"/>
      <c r="K506"/>
      <c r="L506"/>
      <c r="M506"/>
      <c r="N506" s="2"/>
      <c r="O506" s="4"/>
    </row>
    <row r="507" spans="1:15" ht="12.75" customHeight="1" x14ac:dyDescent="0.2">
      <c r="A507" s="369"/>
      <c r="B507"/>
      <c r="C507" s="342"/>
      <c r="D507" s="342"/>
      <c r="E507" s="342"/>
      <c r="F507" s="342"/>
      <c r="G507" s="342"/>
      <c r="H507" s="342"/>
      <c r="I507" s="342"/>
      <c r="K507"/>
      <c r="L507"/>
      <c r="M507"/>
      <c r="N507" s="2"/>
      <c r="O507" s="4"/>
    </row>
    <row r="508" spans="1:15" ht="12.75" customHeight="1" x14ac:dyDescent="0.2">
      <c r="A508" s="369"/>
      <c r="B508"/>
      <c r="C508" s="342"/>
      <c r="D508" s="342"/>
      <c r="E508" s="342"/>
      <c r="F508" s="342"/>
      <c r="G508" s="342"/>
      <c r="H508" s="342"/>
      <c r="I508" s="342"/>
      <c r="K508"/>
      <c r="L508"/>
      <c r="M508"/>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3">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2021-06-30</v>
      </c>
      <c r="C5" s="98"/>
      <c r="D5" s="98"/>
      <c r="E5" s="98"/>
      <c r="F5" s="98"/>
      <c r="G5" s="98"/>
      <c r="H5" s="98"/>
      <c r="I5" s="98"/>
      <c r="J5" s="98"/>
    </row>
    <row r="6" spans="1:16" x14ac:dyDescent="0.2">
      <c r="B6" s="271" t="str">
        <f>'Fondval &amp; marknadsvärde'!A7</f>
        <v>Nästa uppdatering: 2021-08-11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1120</v>
      </c>
      <c r="J11" s="98"/>
      <c r="L11" s="102"/>
      <c r="M11" s="330"/>
      <c r="N11" s="338"/>
      <c r="O11" s="330"/>
      <c r="P11" s="330"/>
    </row>
    <row r="12" spans="1:16" ht="12.75" customHeight="1" x14ac:dyDescent="0.2">
      <c r="A12" s="103"/>
      <c r="B12" s="380" t="s">
        <v>146</v>
      </c>
      <c r="C12" s="383">
        <v>2312792</v>
      </c>
      <c r="D12" s="383">
        <v>2540492</v>
      </c>
      <c r="E12" s="383">
        <v>4853284</v>
      </c>
      <c r="F12" s="383">
        <v>359434493883.08502</v>
      </c>
      <c r="G12" s="383">
        <v>444332878910.60999</v>
      </c>
      <c r="H12" s="383">
        <v>803767372793.69604</v>
      </c>
      <c r="I12" s="384"/>
      <c r="J12" s="98"/>
      <c r="L12" s="339"/>
      <c r="M12" s="330"/>
      <c r="N12" s="330"/>
      <c r="O12" s="330"/>
      <c r="P12" s="330"/>
    </row>
    <row r="13" spans="1:16" ht="12.75" customHeight="1" x14ac:dyDescent="0.2">
      <c r="A13" s="103"/>
      <c r="B13" s="380" t="s">
        <v>525</v>
      </c>
      <c r="C13" s="383">
        <v>151130</v>
      </c>
      <c r="D13" s="383">
        <v>178624</v>
      </c>
      <c r="E13" s="383">
        <v>329754</v>
      </c>
      <c r="F13" s="383">
        <v>25527771234.878899</v>
      </c>
      <c r="G13" s="383">
        <v>36354143668.808296</v>
      </c>
      <c r="H13" s="383">
        <v>61881914903.687302</v>
      </c>
      <c r="I13" s="385">
        <f>VLOOKUP($B$12:$B$21,Fondstatistik!$B$24:$Q$998,2,FALSE)</f>
        <v>21</v>
      </c>
      <c r="J13" s="98"/>
      <c r="L13" s="102"/>
      <c r="M13" s="330"/>
      <c r="N13" s="330"/>
      <c r="O13" s="330"/>
      <c r="P13" s="330"/>
    </row>
    <row r="14" spans="1:16" ht="12.75" customHeight="1" x14ac:dyDescent="0.2">
      <c r="A14" s="103"/>
      <c r="B14" s="380" t="s">
        <v>83</v>
      </c>
      <c r="C14" s="383">
        <v>96988</v>
      </c>
      <c r="D14" s="383">
        <v>101100</v>
      </c>
      <c r="E14" s="383">
        <v>198088</v>
      </c>
      <c r="F14" s="383">
        <v>12743412127.232201</v>
      </c>
      <c r="G14" s="383">
        <v>16541920697.813999</v>
      </c>
      <c r="H14" s="383">
        <v>29285332825.0462</v>
      </c>
      <c r="I14" s="385">
        <f>VLOOKUP($B$12:$B$21,Fondstatistik!$B$24:$Q$998,2,FALSE)</f>
        <v>22</v>
      </c>
      <c r="J14" s="98"/>
      <c r="L14" s="332"/>
      <c r="M14" s="331"/>
      <c r="N14" s="331"/>
      <c r="O14" s="331"/>
      <c r="P14" s="331"/>
    </row>
    <row r="15" spans="1:16" ht="12.75" customHeight="1" x14ac:dyDescent="0.2">
      <c r="A15" s="103"/>
      <c r="B15" s="380" t="s">
        <v>74</v>
      </c>
      <c r="C15" s="383">
        <v>91835</v>
      </c>
      <c r="D15" s="383">
        <v>97105</v>
      </c>
      <c r="E15" s="383">
        <v>188940</v>
      </c>
      <c r="F15" s="383">
        <v>13965353095.869101</v>
      </c>
      <c r="G15" s="383">
        <v>17741460219.401699</v>
      </c>
      <c r="H15" s="383">
        <v>31706813315.270901</v>
      </c>
      <c r="I15" s="385">
        <f>VLOOKUP($B$12:$B$21,Fondstatistik!$B$24:$Q$998,2,FALSE)</f>
        <v>22</v>
      </c>
      <c r="J15" s="98"/>
      <c r="M15" s="331"/>
      <c r="N15" s="331"/>
      <c r="O15" s="331"/>
      <c r="P15" s="331"/>
    </row>
    <row r="16" spans="1:16" ht="12.75" customHeight="1" x14ac:dyDescent="0.2">
      <c r="A16" s="103"/>
      <c r="B16" s="380" t="s">
        <v>82</v>
      </c>
      <c r="C16" s="383">
        <v>90920</v>
      </c>
      <c r="D16" s="383">
        <v>92343</v>
      </c>
      <c r="E16" s="383">
        <v>183263</v>
      </c>
      <c r="F16" s="383">
        <v>11002040023.5285</v>
      </c>
      <c r="G16" s="383">
        <v>14066085466.4032</v>
      </c>
      <c r="H16" s="383">
        <v>25068125489.931801</v>
      </c>
      <c r="I16" s="385">
        <f>VLOOKUP($B$12:$B$21,Fondstatistik!$B$24:$Q$998,2,FALSE)</f>
        <v>19</v>
      </c>
      <c r="J16" s="98"/>
    </row>
    <row r="17" spans="1:10" ht="12.75" customHeight="1" x14ac:dyDescent="0.2">
      <c r="A17" s="103"/>
      <c r="B17" s="380" t="s">
        <v>39</v>
      </c>
      <c r="C17" s="383">
        <v>93486</v>
      </c>
      <c r="D17" s="383">
        <v>75085</v>
      </c>
      <c r="E17" s="383">
        <v>168571</v>
      </c>
      <c r="F17" s="383">
        <v>12794239151.4993</v>
      </c>
      <c r="G17" s="383">
        <v>12498919239.1756</v>
      </c>
      <c r="H17" s="383">
        <v>25293158390.6749</v>
      </c>
      <c r="I17" s="385">
        <f>VLOOKUP($B$12:$B$21,Fondstatistik!$B$24:$Q$998,2,FALSE)</f>
        <v>19</v>
      </c>
      <c r="J17" s="98"/>
    </row>
    <row r="18" spans="1:10" ht="12.75" customHeight="1" x14ac:dyDescent="0.2">
      <c r="A18" s="103"/>
      <c r="B18" s="380" t="s">
        <v>149</v>
      </c>
      <c r="C18" s="383">
        <v>80338</v>
      </c>
      <c r="D18" s="383">
        <v>70688</v>
      </c>
      <c r="E18" s="383">
        <v>151026</v>
      </c>
      <c r="F18" s="383">
        <v>8403600381.19419</v>
      </c>
      <c r="G18" s="383">
        <v>8962974285.2612</v>
      </c>
      <c r="H18" s="383">
        <v>17366574666.455399</v>
      </c>
      <c r="I18" s="385">
        <f>VLOOKUP($B$12:$B$21,Fondstatistik!$B$24:$Q$998,2,FALSE)</f>
        <v>19</v>
      </c>
      <c r="J18" s="98"/>
    </row>
    <row r="19" spans="1:10" ht="12.75" customHeight="1" x14ac:dyDescent="0.2">
      <c r="A19" s="103"/>
      <c r="B19" s="380" t="s">
        <v>118</v>
      </c>
      <c r="C19" s="383">
        <v>58503</v>
      </c>
      <c r="D19" s="383">
        <v>86561</v>
      </c>
      <c r="E19" s="383">
        <v>145064</v>
      </c>
      <c r="F19" s="383">
        <v>11549713076.5772</v>
      </c>
      <c r="G19" s="383">
        <v>18893029656.594101</v>
      </c>
      <c r="H19" s="383">
        <v>30442742733.171398</v>
      </c>
      <c r="I19" s="385">
        <f>VLOOKUP($B$12:$B$21,Fondstatistik!$B$24:$Q$998,2,FALSE)</f>
        <v>20</v>
      </c>
      <c r="J19" s="98"/>
    </row>
    <row r="20" spans="1:10" ht="12.75" customHeight="1" x14ac:dyDescent="0.2">
      <c r="A20" s="103"/>
      <c r="B20" s="380" t="s">
        <v>37</v>
      </c>
      <c r="C20" s="383">
        <v>63165</v>
      </c>
      <c r="D20" s="383">
        <v>61594</v>
      </c>
      <c r="E20" s="383">
        <v>124759</v>
      </c>
      <c r="F20" s="383">
        <v>15066894986.240601</v>
      </c>
      <c r="G20" s="383">
        <v>17944846592.640301</v>
      </c>
      <c r="H20" s="383">
        <v>33011741578.880901</v>
      </c>
      <c r="I20" s="385">
        <f>VLOOKUP($B$12:$B$21,Fondstatistik!$B$24:$Q$998,2,FALSE)</f>
        <v>18</v>
      </c>
      <c r="J20" s="98"/>
    </row>
    <row r="21" spans="1:10" ht="12.75" customHeight="1" x14ac:dyDescent="0.2">
      <c r="A21" s="103"/>
      <c r="B21" s="380" t="s">
        <v>147</v>
      </c>
      <c r="C21" s="383">
        <v>65459</v>
      </c>
      <c r="D21" s="383">
        <v>57219</v>
      </c>
      <c r="E21" s="383">
        <v>122678</v>
      </c>
      <c r="F21" s="383">
        <v>7250005144.6270599</v>
      </c>
      <c r="G21" s="383">
        <v>7690156062.7594604</v>
      </c>
      <c r="H21" s="383">
        <v>14940161207.386499</v>
      </c>
      <c r="I21" s="385">
        <f>VLOOKUP($B$12:$B$21,Fondstatistik!$B$24:$Q$998,2,FALSE)</f>
        <v>18</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1120</v>
      </c>
      <c r="J25" s="98"/>
    </row>
    <row r="26" spans="1:10" ht="12.75" customHeight="1" x14ac:dyDescent="0.2">
      <c r="A26" s="103"/>
      <c r="B26" s="380" t="s">
        <v>146</v>
      </c>
      <c r="C26" s="383">
        <v>2312792</v>
      </c>
      <c r="D26" s="383">
        <v>2540492</v>
      </c>
      <c r="E26" s="383">
        <v>4853284</v>
      </c>
      <c r="F26" s="383">
        <v>359434493883.08502</v>
      </c>
      <c r="G26" s="383">
        <v>444332878910.60999</v>
      </c>
      <c r="H26" s="383">
        <v>803767372793.69604</v>
      </c>
      <c r="I26" s="386"/>
      <c r="J26" s="98"/>
    </row>
    <row r="27" spans="1:10" ht="12.75" customHeight="1" x14ac:dyDescent="0.2">
      <c r="A27" s="103"/>
      <c r="B27" s="380" t="s">
        <v>525</v>
      </c>
      <c r="C27" s="383">
        <v>151130</v>
      </c>
      <c r="D27" s="383">
        <v>178624</v>
      </c>
      <c r="E27" s="383">
        <v>329754</v>
      </c>
      <c r="F27" s="383">
        <v>25527771234.878899</v>
      </c>
      <c r="G27" s="383">
        <v>36354143668.808296</v>
      </c>
      <c r="H27" s="383">
        <v>61881914903.687302</v>
      </c>
      <c r="I27" s="386">
        <f>VLOOKUP($B$27:$B$35,Fondstatistik!$B$24:$Q$998,2,FALSE)</f>
        <v>21</v>
      </c>
      <c r="J27" s="98"/>
    </row>
    <row r="28" spans="1:10" ht="12.75" customHeight="1" x14ac:dyDescent="0.2">
      <c r="A28" s="103"/>
      <c r="B28" s="380" t="s">
        <v>37</v>
      </c>
      <c r="C28" s="383">
        <v>63165</v>
      </c>
      <c r="D28" s="383">
        <v>61594</v>
      </c>
      <c r="E28" s="383">
        <v>124759</v>
      </c>
      <c r="F28" s="383">
        <v>15066894986.240601</v>
      </c>
      <c r="G28" s="383">
        <v>17944846592.640301</v>
      </c>
      <c r="H28" s="383">
        <v>33011741578.880901</v>
      </c>
      <c r="I28" s="386">
        <f>VLOOKUP($B$27:$B$35,Fondstatistik!$B$24:$Q$998,2,FALSE)</f>
        <v>18</v>
      </c>
      <c r="J28" s="98"/>
    </row>
    <row r="29" spans="1:10" ht="12.75" customHeight="1" x14ac:dyDescent="0.2">
      <c r="A29" s="103"/>
      <c r="B29" s="380" t="s">
        <v>38</v>
      </c>
      <c r="C29" s="383">
        <v>65319</v>
      </c>
      <c r="D29" s="383">
        <v>50512</v>
      </c>
      <c r="E29" s="383">
        <v>115831</v>
      </c>
      <c r="F29" s="383">
        <v>16746703986.396799</v>
      </c>
      <c r="G29" s="383">
        <v>15070522927.1633</v>
      </c>
      <c r="H29" s="383">
        <v>31817226913.5602</v>
      </c>
      <c r="I29" s="386">
        <f>VLOOKUP($B$27:$B$35,Fondstatistik!$B$24:$Q$998,2,FALSE)</f>
        <v>18</v>
      </c>
      <c r="J29" s="98"/>
    </row>
    <row r="30" spans="1:10" ht="12.75" customHeight="1" x14ac:dyDescent="0.2">
      <c r="A30" s="103"/>
      <c r="B30" s="380" t="s">
        <v>74</v>
      </c>
      <c r="C30" s="383">
        <v>91835</v>
      </c>
      <c r="D30" s="383">
        <v>97105</v>
      </c>
      <c r="E30" s="383">
        <v>188940</v>
      </c>
      <c r="F30" s="383">
        <v>13965353095.869101</v>
      </c>
      <c r="G30" s="383">
        <v>17741460219.401699</v>
      </c>
      <c r="H30" s="383">
        <v>31706813315.270901</v>
      </c>
      <c r="I30" s="386">
        <f>VLOOKUP($B$27:$B$35,Fondstatistik!$B$24:$Q$998,2,FALSE)</f>
        <v>22</v>
      </c>
      <c r="J30" s="98"/>
    </row>
    <row r="31" spans="1:10" ht="12.75" customHeight="1" x14ac:dyDescent="0.2">
      <c r="A31" s="103"/>
      <c r="B31" s="380" t="s">
        <v>102</v>
      </c>
      <c r="C31" s="383">
        <v>47674</v>
      </c>
      <c r="D31" s="383">
        <v>38058</v>
      </c>
      <c r="E31" s="383">
        <v>85732</v>
      </c>
      <c r="F31" s="383">
        <v>15922231678.7808</v>
      </c>
      <c r="G31" s="383">
        <v>14927163920.9098</v>
      </c>
      <c r="H31" s="383">
        <v>30849395599.690601</v>
      </c>
      <c r="I31" s="386">
        <f>VLOOKUP($B$27:$B$35,Fondstatistik!$B$24:$Q$998,2,FALSE)</f>
        <v>16</v>
      </c>
      <c r="J31" s="98"/>
    </row>
    <row r="32" spans="1:10" ht="12.75" customHeight="1" x14ac:dyDescent="0.2">
      <c r="A32" s="103"/>
      <c r="B32" s="380" t="s">
        <v>118</v>
      </c>
      <c r="C32" s="383">
        <v>58503</v>
      </c>
      <c r="D32" s="383">
        <v>86561</v>
      </c>
      <c r="E32" s="383">
        <v>145064</v>
      </c>
      <c r="F32" s="383">
        <v>11549713076.5772</v>
      </c>
      <c r="G32" s="383">
        <v>18893029656.594101</v>
      </c>
      <c r="H32" s="383">
        <v>30442742733.171398</v>
      </c>
      <c r="I32" s="386">
        <f>VLOOKUP($B$27:$B$35,Fondstatistik!$B$24:$Q$998,2,FALSE)</f>
        <v>20</v>
      </c>
      <c r="J32" s="98"/>
    </row>
    <row r="33" spans="1:13" ht="12.75" customHeight="1" x14ac:dyDescent="0.2">
      <c r="A33" s="103"/>
      <c r="B33" s="380" t="s">
        <v>83</v>
      </c>
      <c r="C33" s="383">
        <v>96988</v>
      </c>
      <c r="D33" s="383">
        <v>101100</v>
      </c>
      <c r="E33" s="383">
        <v>198088</v>
      </c>
      <c r="F33" s="383">
        <v>12743412127.232201</v>
      </c>
      <c r="G33" s="383">
        <v>16541920697.813999</v>
      </c>
      <c r="H33" s="383">
        <v>29285332825.0462</v>
      </c>
      <c r="I33" s="386">
        <f>VLOOKUP($B$27:$B$35,Fondstatistik!$B$24:$Q$998,2,FALSE)</f>
        <v>22</v>
      </c>
      <c r="J33" s="98"/>
    </row>
    <row r="34" spans="1:13" ht="12.75" customHeight="1" x14ac:dyDescent="0.2">
      <c r="A34" s="103"/>
      <c r="B34" s="380" t="s">
        <v>269</v>
      </c>
      <c r="C34" s="383">
        <v>45392</v>
      </c>
      <c r="D34" s="383">
        <v>37423</v>
      </c>
      <c r="E34" s="383">
        <v>82815</v>
      </c>
      <c r="F34" s="383">
        <v>13120587555.5306</v>
      </c>
      <c r="G34" s="383">
        <v>12656061718.0975</v>
      </c>
      <c r="H34" s="383">
        <v>25776649273.628201</v>
      </c>
      <c r="I34" s="386">
        <f>VLOOKUP($B$27:$B$35,Fondstatistik!$B$24:$Q$998,2,FALSE)</f>
        <v>17</v>
      </c>
      <c r="J34" s="98"/>
    </row>
    <row r="35" spans="1:13" ht="12.75" customHeight="1" x14ac:dyDescent="0.2">
      <c r="A35" s="103"/>
      <c r="B35" s="380" t="s">
        <v>39</v>
      </c>
      <c r="C35" s="383">
        <v>93486</v>
      </c>
      <c r="D35" s="383">
        <v>75085</v>
      </c>
      <c r="E35" s="383">
        <v>168571</v>
      </c>
      <c r="F35" s="383">
        <v>12794239151.4993</v>
      </c>
      <c r="G35" s="383">
        <v>12498919239.1756</v>
      </c>
      <c r="H35" s="383">
        <v>25293158390.6749</v>
      </c>
      <c r="I35" s="386">
        <f>VLOOKUP($B$27:$B$35,Fondstatistik!$B$24:$Q$998,2,FALSE)</f>
        <v>19</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1084</v>
      </c>
      <c r="C39" s="381">
        <v>12</v>
      </c>
      <c r="D39" s="381">
        <v>11</v>
      </c>
      <c r="E39" s="381">
        <v>11</v>
      </c>
      <c r="F39" s="381">
        <v>12</v>
      </c>
      <c r="G39" s="381">
        <v>39</v>
      </c>
      <c r="H39" s="381">
        <v>132</v>
      </c>
      <c r="I39" s="381">
        <v>382</v>
      </c>
      <c r="J39" s="382">
        <v>37</v>
      </c>
    </row>
    <row r="40" spans="1:13" ht="12.75" customHeight="1" x14ac:dyDescent="0.2">
      <c r="A40" s="103"/>
      <c r="B40" s="380" t="s">
        <v>1012</v>
      </c>
      <c r="C40" s="381">
        <v>21</v>
      </c>
      <c r="D40" s="381">
        <v>12</v>
      </c>
      <c r="E40" s="381">
        <v>14</v>
      </c>
      <c r="F40" s="381">
        <v>21</v>
      </c>
      <c r="G40" s="381">
        <v>37</v>
      </c>
      <c r="H40" s="381">
        <v>120</v>
      </c>
      <c r="I40" s="381">
        <v>301</v>
      </c>
      <c r="J40" s="382">
        <v>32</v>
      </c>
    </row>
    <row r="41" spans="1:13" ht="12.75" customHeight="1" x14ac:dyDescent="0.2">
      <c r="A41" s="103"/>
      <c r="B41" s="380" t="s">
        <v>525</v>
      </c>
      <c r="C41" s="381">
        <v>21</v>
      </c>
      <c r="D41" s="381">
        <v>10</v>
      </c>
      <c r="E41" s="381">
        <v>10</v>
      </c>
      <c r="F41" s="381">
        <v>21</v>
      </c>
      <c r="G41" s="381">
        <v>39</v>
      </c>
      <c r="H41" s="381">
        <v>113</v>
      </c>
      <c r="I41" s="381">
        <v>297</v>
      </c>
      <c r="J41" s="382">
        <v>31.8</v>
      </c>
    </row>
    <row r="42" spans="1:13" ht="12.75" customHeight="1" x14ac:dyDescent="0.2">
      <c r="A42" s="103"/>
      <c r="B42" s="380" t="s">
        <v>1210</v>
      </c>
      <c r="C42" s="381"/>
      <c r="D42" s="381">
        <v>7</v>
      </c>
      <c r="E42" s="381"/>
      <c r="F42" s="381"/>
      <c r="G42" s="381"/>
      <c r="H42" s="381">
        <v>125</v>
      </c>
      <c r="I42" s="381">
        <v>285</v>
      </c>
      <c r="J42" s="382">
        <v>30.9</v>
      </c>
    </row>
    <row r="43" spans="1:13" ht="12.75" customHeight="1" x14ac:dyDescent="0.2">
      <c r="A43" s="103"/>
      <c r="B43" s="380" t="s">
        <v>421</v>
      </c>
      <c r="C43" s="381">
        <v>4</v>
      </c>
      <c r="D43" s="381">
        <v>7</v>
      </c>
      <c r="E43" s="381">
        <v>5</v>
      </c>
      <c r="F43" s="381">
        <v>4</v>
      </c>
      <c r="G43" s="381">
        <v>95</v>
      </c>
      <c r="H43" s="381">
        <v>134</v>
      </c>
      <c r="I43" s="381">
        <v>226</v>
      </c>
      <c r="J43" s="382">
        <v>26.7</v>
      </c>
      <c r="M43" s="104"/>
    </row>
    <row r="44" spans="1:13" ht="12.75" customHeight="1" x14ac:dyDescent="0.2">
      <c r="A44" s="103"/>
      <c r="B44" s="380" t="s">
        <v>537</v>
      </c>
      <c r="C44" s="381">
        <v>11</v>
      </c>
      <c r="D44" s="381">
        <v>6</v>
      </c>
      <c r="E44" s="381">
        <v>6</v>
      </c>
      <c r="F44" s="381">
        <v>11</v>
      </c>
      <c r="G44" s="381">
        <v>38</v>
      </c>
      <c r="H44" s="381">
        <v>86</v>
      </c>
      <c r="I44" s="381">
        <v>221</v>
      </c>
      <c r="J44" s="382">
        <v>26.3</v>
      </c>
      <c r="L44" s="104"/>
      <c r="M44" s="104"/>
    </row>
    <row r="45" spans="1:13" ht="12.75" customHeight="1" x14ac:dyDescent="0.2">
      <c r="A45" s="103"/>
      <c r="B45" s="380" t="s">
        <v>119</v>
      </c>
      <c r="C45" s="381">
        <v>21</v>
      </c>
      <c r="D45" s="381">
        <v>4</v>
      </c>
      <c r="E45" s="381">
        <v>5</v>
      </c>
      <c r="F45" s="381">
        <v>21</v>
      </c>
      <c r="G45" s="381">
        <v>37</v>
      </c>
      <c r="H45" s="381">
        <v>76</v>
      </c>
      <c r="I45" s="381">
        <v>215</v>
      </c>
      <c r="J45" s="382">
        <v>25.8</v>
      </c>
      <c r="L45" s="104"/>
      <c r="M45" s="104"/>
    </row>
    <row r="46" spans="1:13" ht="12.75" customHeight="1" x14ac:dyDescent="0.2">
      <c r="A46" s="103"/>
      <c r="B46" s="380" t="s">
        <v>362</v>
      </c>
      <c r="C46" s="381">
        <v>10</v>
      </c>
      <c r="D46" s="381">
        <v>-1</v>
      </c>
      <c r="E46" s="381">
        <v>5</v>
      </c>
      <c r="F46" s="381">
        <v>10</v>
      </c>
      <c r="G46" s="381">
        <v>51</v>
      </c>
      <c r="H46" s="381">
        <v>118</v>
      </c>
      <c r="I46" s="381">
        <v>204</v>
      </c>
      <c r="J46" s="382">
        <v>24.9</v>
      </c>
      <c r="L46" s="104"/>
      <c r="M46" s="104"/>
    </row>
    <row r="47" spans="1:13" ht="12.75" customHeight="1" x14ac:dyDescent="0.2">
      <c r="A47" s="103"/>
      <c r="B47" s="380" t="s">
        <v>1138</v>
      </c>
      <c r="C47" s="381">
        <v>16</v>
      </c>
      <c r="D47" s="381">
        <v>1</v>
      </c>
      <c r="E47" s="381">
        <v>13</v>
      </c>
      <c r="F47" s="381">
        <v>16</v>
      </c>
      <c r="G47" s="381">
        <v>69</v>
      </c>
      <c r="H47" s="381">
        <v>124</v>
      </c>
      <c r="I47" s="381">
        <v>203</v>
      </c>
      <c r="J47" s="382">
        <v>24.8</v>
      </c>
      <c r="L47" s="104"/>
      <c r="M47" s="104"/>
    </row>
    <row r="48" spans="1:13" ht="12.75" customHeight="1" x14ac:dyDescent="0.2">
      <c r="A48" s="103"/>
      <c r="B48" s="380" t="s">
        <v>148</v>
      </c>
      <c r="C48" s="381">
        <v>23</v>
      </c>
      <c r="D48" s="381">
        <v>4</v>
      </c>
      <c r="E48" s="381">
        <v>5</v>
      </c>
      <c r="F48" s="381">
        <v>23</v>
      </c>
      <c r="G48" s="381">
        <v>35</v>
      </c>
      <c r="H48" s="381">
        <v>74</v>
      </c>
      <c r="I48" s="381">
        <v>202</v>
      </c>
      <c r="J48" s="382">
        <v>24.8</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1239</v>
      </c>
      <c r="C5" s="45"/>
      <c r="D5" s="45"/>
      <c r="E5" s="45"/>
      <c r="F5" s="45"/>
      <c r="G5" s="45"/>
      <c r="H5" s="45"/>
      <c r="I5" s="39"/>
      <c r="L5" s="40"/>
      <c r="M5" s="41"/>
      <c r="O5" s="39"/>
      <c r="Q5" s="44"/>
      <c r="R5" s="46"/>
      <c r="T5" s="318"/>
    </row>
    <row r="6" spans="1:21" ht="14.25" x14ac:dyDescent="0.2">
      <c r="A6" s="301" t="str">
        <f>'Fondval &amp; marknadsvärde'!A7</f>
        <v>Nästa uppdatering: 2021-08-11</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504</v>
      </c>
      <c r="C22">
        <v>19</v>
      </c>
      <c r="D22">
        <v>3</v>
      </c>
      <c r="E22">
        <v>6</v>
      </c>
      <c r="F22">
        <v>19</v>
      </c>
      <c r="G22">
        <v>33</v>
      </c>
      <c r="H22">
        <v>52</v>
      </c>
      <c r="I22">
        <v>109</v>
      </c>
      <c r="J22">
        <v>15.9</v>
      </c>
      <c r="K22">
        <v>0</v>
      </c>
      <c r="L22">
        <v>0</v>
      </c>
      <c r="M22">
        <v>15.5</v>
      </c>
      <c r="N22">
        <v>1</v>
      </c>
      <c r="O22" t="s">
        <v>548</v>
      </c>
      <c r="P22" s="368">
        <v>41163</v>
      </c>
      <c r="Q22" t="s">
        <v>151</v>
      </c>
      <c r="R22" t="s">
        <v>614</v>
      </c>
      <c r="S22" t="s">
        <v>181</v>
      </c>
      <c r="T22" t="s">
        <v>236</v>
      </c>
      <c r="U22" s="373"/>
    </row>
    <row r="23" spans="1:21" x14ac:dyDescent="0.2">
      <c r="A23">
        <v>278853</v>
      </c>
      <c r="B23" t="s">
        <v>505</v>
      </c>
      <c r="C23">
        <v>19</v>
      </c>
      <c r="D23">
        <v>3</v>
      </c>
      <c r="E23">
        <v>6</v>
      </c>
      <c r="F23">
        <v>19</v>
      </c>
      <c r="G23">
        <v>33</v>
      </c>
      <c r="H23">
        <v>52</v>
      </c>
      <c r="I23">
        <v>109</v>
      </c>
      <c r="J23">
        <v>15.8</v>
      </c>
      <c r="K23">
        <v>0</v>
      </c>
      <c r="L23">
        <v>0</v>
      </c>
      <c r="M23">
        <v>15.5</v>
      </c>
      <c r="N23">
        <v>1</v>
      </c>
      <c r="O23" t="s">
        <v>548</v>
      </c>
      <c r="P23" s="368">
        <v>41163</v>
      </c>
      <c r="Q23" t="s">
        <v>151</v>
      </c>
      <c r="R23" t="s">
        <v>629</v>
      </c>
      <c r="S23" t="s">
        <v>181</v>
      </c>
      <c r="T23" t="s">
        <v>236</v>
      </c>
      <c r="U23" s="373"/>
    </row>
    <row r="24" spans="1:21" x14ac:dyDescent="0.2">
      <c r="A24">
        <v>734491</v>
      </c>
      <c r="B24" t="s">
        <v>436</v>
      </c>
      <c r="C24">
        <v>23</v>
      </c>
      <c r="D24">
        <v>0</v>
      </c>
      <c r="E24">
        <v>4</v>
      </c>
      <c r="F24">
        <v>23</v>
      </c>
      <c r="G24">
        <v>39</v>
      </c>
      <c r="H24">
        <v>57</v>
      </c>
      <c r="I24">
        <v>99</v>
      </c>
      <c r="J24">
        <v>14.7</v>
      </c>
      <c r="K24">
        <v>0</v>
      </c>
      <c r="L24">
        <v>0</v>
      </c>
      <c r="M24">
        <v>18.3</v>
      </c>
      <c r="N24">
        <v>0.9</v>
      </c>
      <c r="O24" t="s">
        <v>548</v>
      </c>
      <c r="P24" s="368">
        <v>38887</v>
      </c>
      <c r="Q24" t="s">
        <v>151</v>
      </c>
      <c r="R24" t="s">
        <v>855</v>
      </c>
      <c r="S24" t="s">
        <v>437</v>
      </c>
      <c r="T24" t="s">
        <v>201</v>
      </c>
      <c r="U24" s="373"/>
    </row>
    <row r="25" spans="1:21" x14ac:dyDescent="0.2">
      <c r="A25">
        <v>350512</v>
      </c>
      <c r="B25" t="s">
        <v>509</v>
      </c>
      <c r="C25">
        <v>14</v>
      </c>
      <c r="D25">
        <v>2</v>
      </c>
      <c r="E25">
        <v>5</v>
      </c>
      <c r="F25">
        <v>14</v>
      </c>
      <c r="G25">
        <v>26</v>
      </c>
      <c r="H25">
        <v>42</v>
      </c>
      <c r="I25">
        <v>91</v>
      </c>
      <c r="J25">
        <v>13.8</v>
      </c>
      <c r="K25">
        <v>0</v>
      </c>
      <c r="L25">
        <v>0</v>
      </c>
      <c r="M25">
        <v>13</v>
      </c>
      <c r="N25">
        <v>1</v>
      </c>
      <c r="O25" t="s">
        <v>548</v>
      </c>
      <c r="P25" s="368">
        <v>41163</v>
      </c>
      <c r="Q25" t="s">
        <v>151</v>
      </c>
      <c r="R25" t="s">
        <v>674</v>
      </c>
      <c r="S25" t="s">
        <v>181</v>
      </c>
      <c r="T25" t="s">
        <v>236</v>
      </c>
      <c r="U25" s="373"/>
    </row>
    <row r="26" spans="1:21" x14ac:dyDescent="0.2">
      <c r="A26">
        <v>314682</v>
      </c>
      <c r="B26" t="s">
        <v>507</v>
      </c>
      <c r="C26">
        <v>7</v>
      </c>
      <c r="D26">
        <v>1</v>
      </c>
      <c r="E26">
        <v>3</v>
      </c>
      <c r="F26">
        <v>7</v>
      </c>
      <c r="G26">
        <v>13</v>
      </c>
      <c r="H26">
        <v>23</v>
      </c>
      <c r="I26">
        <v>49</v>
      </c>
      <c r="J26">
        <v>8.3000000000000007</v>
      </c>
      <c r="K26">
        <v>0</v>
      </c>
      <c r="L26">
        <v>0</v>
      </c>
      <c r="M26">
        <v>7.2</v>
      </c>
      <c r="N26">
        <v>1</v>
      </c>
      <c r="O26" t="s">
        <v>548</v>
      </c>
      <c r="P26" s="368">
        <v>41163</v>
      </c>
      <c r="Q26" t="s">
        <v>151</v>
      </c>
      <c r="R26" t="s">
        <v>655</v>
      </c>
      <c r="S26" t="s">
        <v>181</v>
      </c>
      <c r="T26" t="s">
        <v>208</v>
      </c>
      <c r="U26" s="373"/>
    </row>
    <row r="27" spans="1:21" x14ac:dyDescent="0.2">
      <c r="A27">
        <v>167114</v>
      </c>
      <c r="B27" t="s">
        <v>503</v>
      </c>
      <c r="C27">
        <v>4</v>
      </c>
      <c r="D27">
        <v>1</v>
      </c>
      <c r="E27">
        <v>2</v>
      </c>
      <c r="F27">
        <v>4</v>
      </c>
      <c r="G27">
        <v>8</v>
      </c>
      <c r="H27">
        <v>14</v>
      </c>
      <c r="I27">
        <v>25</v>
      </c>
      <c r="J27">
        <v>4.5999999999999996</v>
      </c>
      <c r="K27">
        <v>0</v>
      </c>
      <c r="L27">
        <v>0</v>
      </c>
      <c r="M27">
        <v>4</v>
      </c>
      <c r="N27">
        <v>1.1000000000000001</v>
      </c>
      <c r="O27" t="s">
        <v>548</v>
      </c>
      <c r="P27" s="368">
        <v>41163</v>
      </c>
      <c r="Q27" t="s">
        <v>151</v>
      </c>
      <c r="R27" t="s">
        <v>578</v>
      </c>
      <c r="S27" t="s">
        <v>181</v>
      </c>
      <c r="T27" t="s">
        <v>208</v>
      </c>
      <c r="U27" s="373"/>
    </row>
    <row r="28" spans="1:21" x14ac:dyDescent="0.2">
      <c r="A28">
        <v>545541</v>
      </c>
      <c r="B28" t="s">
        <v>372</v>
      </c>
      <c r="C28">
        <v>0</v>
      </c>
      <c r="D28">
        <v>0</v>
      </c>
      <c r="E28">
        <v>0</v>
      </c>
      <c r="F28">
        <v>0</v>
      </c>
      <c r="G28">
        <v>0</v>
      </c>
      <c r="H28">
        <v>0</v>
      </c>
      <c r="I28">
        <v>0</v>
      </c>
      <c r="J28">
        <v>0</v>
      </c>
      <c r="K28">
        <v>0.04</v>
      </c>
      <c r="L28">
        <v>0.04</v>
      </c>
      <c r="M28">
        <v>0.7</v>
      </c>
      <c r="N28">
        <v>0.2</v>
      </c>
      <c r="O28" t="s">
        <v>548</v>
      </c>
      <c r="P28" s="368">
        <v>40304</v>
      </c>
      <c r="Q28" t="s">
        <v>151</v>
      </c>
      <c r="R28" t="s">
        <v>774</v>
      </c>
      <c r="S28" t="s">
        <v>373</v>
      </c>
      <c r="T28" t="s">
        <v>156</v>
      </c>
      <c r="U28" s="373"/>
    </row>
    <row r="29" spans="1:21" x14ac:dyDescent="0.2">
      <c r="A29">
        <v>581371</v>
      </c>
      <c r="B29" t="s">
        <v>118</v>
      </c>
      <c r="C29">
        <v>20</v>
      </c>
      <c r="D29">
        <v>4</v>
      </c>
      <c r="E29">
        <v>6</v>
      </c>
      <c r="F29">
        <v>20</v>
      </c>
      <c r="G29">
        <v>36</v>
      </c>
      <c r="H29">
        <v>52</v>
      </c>
      <c r="I29">
        <v>128</v>
      </c>
      <c r="J29">
        <v>17.899999999999999</v>
      </c>
      <c r="K29">
        <v>0.08</v>
      </c>
      <c r="L29">
        <v>0.08</v>
      </c>
      <c r="M29">
        <v>18.2</v>
      </c>
      <c r="N29">
        <v>0.9</v>
      </c>
      <c r="O29" t="s">
        <v>548</v>
      </c>
      <c r="P29" s="368">
        <v>40304</v>
      </c>
      <c r="Q29" t="s">
        <v>151</v>
      </c>
      <c r="R29" t="s">
        <v>792</v>
      </c>
      <c r="S29" t="s">
        <v>373</v>
      </c>
      <c r="T29" t="s">
        <v>159</v>
      </c>
      <c r="U29" s="373"/>
    </row>
    <row r="30" spans="1:21" x14ac:dyDescent="0.2">
      <c r="A30">
        <v>680124</v>
      </c>
      <c r="B30" t="s">
        <v>992</v>
      </c>
      <c r="C30">
        <v>18</v>
      </c>
      <c r="D30">
        <v>4</v>
      </c>
      <c r="E30">
        <v>6</v>
      </c>
      <c r="F30">
        <v>18</v>
      </c>
      <c r="G30">
        <v>28</v>
      </c>
      <c r="H30"/>
      <c r="I30"/>
      <c r="J30"/>
      <c r="K30">
        <v>0.08</v>
      </c>
      <c r="L30">
        <v>0.08</v>
      </c>
      <c r="M30"/>
      <c r="N30"/>
      <c r="O30" t="s">
        <v>548</v>
      </c>
      <c r="P30" s="368">
        <v>43857</v>
      </c>
      <c r="Q30" t="s">
        <v>151</v>
      </c>
      <c r="R30" t="s">
        <v>1002</v>
      </c>
      <c r="S30" t="s">
        <v>437</v>
      </c>
      <c r="T30" t="s">
        <v>159</v>
      </c>
      <c r="U30"/>
    </row>
    <row r="31" spans="1:21" x14ac:dyDescent="0.2">
      <c r="A31">
        <v>972497</v>
      </c>
      <c r="B31" t="s">
        <v>493</v>
      </c>
      <c r="C31">
        <v>1</v>
      </c>
      <c r="D31">
        <v>0</v>
      </c>
      <c r="E31">
        <v>1</v>
      </c>
      <c r="F31">
        <v>1</v>
      </c>
      <c r="G31">
        <v>4</v>
      </c>
      <c r="H31">
        <v>6</v>
      </c>
      <c r="I31">
        <v>9</v>
      </c>
      <c r="J31">
        <v>1.8</v>
      </c>
      <c r="K31">
        <v>0.1</v>
      </c>
      <c r="L31">
        <v>0.1</v>
      </c>
      <c r="M31">
        <v>2.6</v>
      </c>
      <c r="N31">
        <v>0.8</v>
      </c>
      <c r="O31" t="s">
        <v>548</v>
      </c>
      <c r="P31" s="368">
        <v>39559</v>
      </c>
      <c r="Q31" t="s">
        <v>151</v>
      </c>
      <c r="R31" t="s">
        <v>949</v>
      </c>
      <c r="S31" t="s">
        <v>200</v>
      </c>
      <c r="T31" t="s">
        <v>187</v>
      </c>
      <c r="U31"/>
    </row>
    <row r="32" spans="1:21" x14ac:dyDescent="0.2">
      <c r="A32">
        <v>574293</v>
      </c>
      <c r="B32" t="s">
        <v>385</v>
      </c>
      <c r="C32">
        <v>0</v>
      </c>
      <c r="D32">
        <v>0</v>
      </c>
      <c r="E32">
        <v>0</v>
      </c>
      <c r="F32">
        <v>0</v>
      </c>
      <c r="G32">
        <v>1</v>
      </c>
      <c r="H32">
        <v>3</v>
      </c>
      <c r="I32">
        <v>5</v>
      </c>
      <c r="J32">
        <v>1</v>
      </c>
      <c r="K32">
        <v>0.1</v>
      </c>
      <c r="L32">
        <v>0.1</v>
      </c>
      <c r="M32">
        <v>1.9</v>
      </c>
      <c r="N32">
        <v>0.6</v>
      </c>
      <c r="O32" t="s">
        <v>548</v>
      </c>
      <c r="P32" s="368">
        <v>36712</v>
      </c>
      <c r="Q32" t="s">
        <v>151</v>
      </c>
      <c r="R32" t="s">
        <v>789</v>
      </c>
      <c r="S32" t="s">
        <v>262</v>
      </c>
      <c r="T32" t="s">
        <v>156</v>
      </c>
      <c r="U32"/>
    </row>
    <row r="33" spans="1:21" x14ac:dyDescent="0.2">
      <c r="A33">
        <v>265512</v>
      </c>
      <c r="B33" t="s">
        <v>261</v>
      </c>
      <c r="C33">
        <v>-1</v>
      </c>
      <c r="D33">
        <v>0</v>
      </c>
      <c r="E33">
        <v>0</v>
      </c>
      <c r="F33">
        <v>-1</v>
      </c>
      <c r="G33">
        <v>-1</v>
      </c>
      <c r="H33">
        <v>3</v>
      </c>
      <c r="I33">
        <v>1</v>
      </c>
      <c r="J33">
        <v>0.2</v>
      </c>
      <c r="K33">
        <v>0.1</v>
      </c>
      <c r="L33">
        <v>0.1</v>
      </c>
      <c r="M33">
        <v>1.7</v>
      </c>
      <c r="N33">
        <v>0.7</v>
      </c>
      <c r="O33" t="s">
        <v>548</v>
      </c>
      <c r="P33" s="368">
        <v>40925</v>
      </c>
      <c r="Q33" t="s">
        <v>151</v>
      </c>
      <c r="R33" t="s">
        <v>625</v>
      </c>
      <c r="S33" t="s">
        <v>262</v>
      </c>
      <c r="T33" t="s">
        <v>156</v>
      </c>
      <c r="U33"/>
    </row>
    <row r="34" spans="1:21" x14ac:dyDescent="0.2">
      <c r="A34">
        <v>294918</v>
      </c>
      <c r="B34" t="s">
        <v>274</v>
      </c>
      <c r="C34">
        <v>0</v>
      </c>
      <c r="D34">
        <v>0</v>
      </c>
      <c r="E34">
        <v>0</v>
      </c>
      <c r="F34">
        <v>0</v>
      </c>
      <c r="G34">
        <v>0</v>
      </c>
      <c r="H34">
        <v>-1</v>
      </c>
      <c r="I34">
        <v>1</v>
      </c>
      <c r="J34">
        <v>0.2</v>
      </c>
      <c r="K34">
        <v>0.1</v>
      </c>
      <c r="L34">
        <v>0.11</v>
      </c>
      <c r="M34">
        <v>0.2</v>
      </c>
      <c r="N34">
        <v>-2.7</v>
      </c>
      <c r="O34" t="s">
        <v>548</v>
      </c>
      <c r="P34" s="368">
        <v>37208</v>
      </c>
      <c r="Q34" t="s">
        <v>151</v>
      </c>
      <c r="R34" t="s">
        <v>641</v>
      </c>
      <c r="S34" t="s">
        <v>155</v>
      </c>
      <c r="T34" t="s">
        <v>187</v>
      </c>
      <c r="U34"/>
    </row>
    <row r="35" spans="1:21" x14ac:dyDescent="0.2">
      <c r="A35">
        <v>717611</v>
      </c>
      <c r="B35" t="s">
        <v>429</v>
      </c>
      <c r="C35">
        <v>0</v>
      </c>
      <c r="D35">
        <v>0</v>
      </c>
      <c r="E35">
        <v>0</v>
      </c>
      <c r="F35">
        <v>0</v>
      </c>
      <c r="G35">
        <v>0</v>
      </c>
      <c r="H35">
        <v>0</v>
      </c>
      <c r="I35">
        <v>-1</v>
      </c>
      <c r="J35">
        <v>-0.1</v>
      </c>
      <c r="K35">
        <v>0.1</v>
      </c>
      <c r="L35">
        <v>0.1</v>
      </c>
      <c r="M35">
        <v>0.2</v>
      </c>
      <c r="N35">
        <v>0.5</v>
      </c>
      <c r="O35" t="s">
        <v>548</v>
      </c>
      <c r="P35" s="368">
        <v>36712</v>
      </c>
      <c r="Q35" t="s">
        <v>151</v>
      </c>
      <c r="R35" t="s">
        <v>846</v>
      </c>
      <c r="S35" t="s">
        <v>167</v>
      </c>
      <c r="T35" t="s">
        <v>187</v>
      </c>
      <c r="U35"/>
    </row>
    <row r="36" spans="1:21" x14ac:dyDescent="0.2">
      <c r="A36">
        <v>305185</v>
      </c>
      <c r="B36" t="s">
        <v>281</v>
      </c>
      <c r="C36">
        <v>0</v>
      </c>
      <c r="D36">
        <v>0</v>
      </c>
      <c r="E36">
        <v>0</v>
      </c>
      <c r="F36">
        <v>0</v>
      </c>
      <c r="G36">
        <v>0</v>
      </c>
      <c r="H36">
        <v>0</v>
      </c>
      <c r="I36">
        <v>-1</v>
      </c>
      <c r="J36">
        <v>-0.2</v>
      </c>
      <c r="K36">
        <v>0.1</v>
      </c>
      <c r="L36">
        <v>0.1</v>
      </c>
      <c r="M36">
        <v>0.2</v>
      </c>
      <c r="N36">
        <v>-0.1</v>
      </c>
      <c r="O36" t="s">
        <v>548</v>
      </c>
      <c r="P36" s="368">
        <v>38125</v>
      </c>
      <c r="Q36" t="s">
        <v>151</v>
      </c>
      <c r="R36" t="s">
        <v>649</v>
      </c>
      <c r="S36" t="s">
        <v>262</v>
      </c>
      <c r="T36" t="s">
        <v>187</v>
      </c>
      <c r="U36"/>
    </row>
    <row r="37" spans="1:21" x14ac:dyDescent="0.2">
      <c r="A37">
        <v>534800</v>
      </c>
      <c r="B37" t="s">
        <v>1226</v>
      </c>
      <c r="C37">
        <v>-1</v>
      </c>
      <c r="D37">
        <v>0</v>
      </c>
      <c r="E37">
        <v>0</v>
      </c>
      <c r="F37">
        <v>-1</v>
      </c>
      <c r="G37">
        <v>0</v>
      </c>
      <c r="H37">
        <v>2</v>
      </c>
      <c r="I37">
        <v>4</v>
      </c>
      <c r="J37">
        <v>0.7</v>
      </c>
      <c r="K37">
        <v>0.11</v>
      </c>
      <c r="L37">
        <v>0.21</v>
      </c>
      <c r="M37">
        <v>1.7</v>
      </c>
      <c r="N37">
        <v>0.5</v>
      </c>
      <c r="O37" t="s">
        <v>548</v>
      </c>
      <c r="P37" s="368">
        <v>36712</v>
      </c>
      <c r="Q37" t="s">
        <v>151</v>
      </c>
      <c r="R37" t="s">
        <v>768</v>
      </c>
      <c r="S37" t="s">
        <v>191</v>
      </c>
      <c r="T37" t="s">
        <v>156</v>
      </c>
      <c r="U37"/>
    </row>
    <row r="38" spans="1:21" x14ac:dyDescent="0.2">
      <c r="A38">
        <v>718205</v>
      </c>
      <c r="B38" t="s">
        <v>431</v>
      </c>
      <c r="C38">
        <v>0</v>
      </c>
      <c r="D38">
        <v>0</v>
      </c>
      <c r="E38">
        <v>0</v>
      </c>
      <c r="F38">
        <v>0</v>
      </c>
      <c r="G38">
        <v>1</v>
      </c>
      <c r="H38">
        <v>1</v>
      </c>
      <c r="I38">
        <v>1</v>
      </c>
      <c r="J38">
        <v>0.1</v>
      </c>
      <c r="K38">
        <v>0.11</v>
      </c>
      <c r="L38">
        <v>0.15</v>
      </c>
      <c r="M38">
        <v>0.4</v>
      </c>
      <c r="N38">
        <v>0.8</v>
      </c>
      <c r="O38" t="s">
        <v>548</v>
      </c>
      <c r="P38" s="368">
        <v>36712</v>
      </c>
      <c r="Q38" t="s">
        <v>151</v>
      </c>
      <c r="R38" t="s">
        <v>848</v>
      </c>
      <c r="S38" t="s">
        <v>181</v>
      </c>
      <c r="T38" t="s">
        <v>187</v>
      </c>
      <c r="U38"/>
    </row>
    <row r="39" spans="1:21" x14ac:dyDescent="0.2">
      <c r="A39">
        <v>420646</v>
      </c>
      <c r="B39" t="s">
        <v>328</v>
      </c>
      <c r="C39">
        <v>0</v>
      </c>
      <c r="D39">
        <v>0</v>
      </c>
      <c r="E39">
        <v>0</v>
      </c>
      <c r="F39">
        <v>0</v>
      </c>
      <c r="G39">
        <v>1</v>
      </c>
      <c r="H39">
        <v>0</v>
      </c>
      <c r="I39">
        <v>0</v>
      </c>
      <c r="J39">
        <v>0</v>
      </c>
      <c r="K39">
        <v>0.11</v>
      </c>
      <c r="L39">
        <v>0.2</v>
      </c>
      <c r="M39">
        <v>0.7</v>
      </c>
      <c r="N39">
        <v>0.3</v>
      </c>
      <c r="O39" t="s">
        <v>548</v>
      </c>
      <c r="P39" s="368">
        <v>36712</v>
      </c>
      <c r="Q39" t="s">
        <v>151</v>
      </c>
      <c r="R39" t="s">
        <v>712</v>
      </c>
      <c r="S39" t="s">
        <v>231</v>
      </c>
      <c r="T39" t="s">
        <v>187</v>
      </c>
      <c r="U39"/>
    </row>
    <row r="40" spans="1:21" x14ac:dyDescent="0.2">
      <c r="A40">
        <v>442897</v>
      </c>
      <c r="B40" t="s">
        <v>335</v>
      </c>
      <c r="C40">
        <v>0</v>
      </c>
      <c r="D40">
        <v>0</v>
      </c>
      <c r="E40">
        <v>0</v>
      </c>
      <c r="F40">
        <v>0</v>
      </c>
      <c r="G40">
        <v>0</v>
      </c>
      <c r="H40">
        <v>0</v>
      </c>
      <c r="I40">
        <v>0</v>
      </c>
      <c r="J40">
        <v>-0.1</v>
      </c>
      <c r="K40">
        <v>0.11</v>
      </c>
      <c r="L40">
        <v>0.21</v>
      </c>
      <c r="M40">
        <v>0.3</v>
      </c>
      <c r="N40">
        <v>0.7</v>
      </c>
      <c r="O40" t="s">
        <v>548</v>
      </c>
      <c r="P40" s="368">
        <v>40346</v>
      </c>
      <c r="Q40" t="s">
        <v>151</v>
      </c>
      <c r="R40" t="s">
        <v>720</v>
      </c>
      <c r="S40" t="s">
        <v>191</v>
      </c>
      <c r="T40" t="s">
        <v>187</v>
      </c>
      <c r="U40"/>
    </row>
    <row r="41" spans="1:21" x14ac:dyDescent="0.2">
      <c r="A41">
        <v>721506</v>
      </c>
      <c r="B41" t="s">
        <v>433</v>
      </c>
      <c r="C41">
        <v>0</v>
      </c>
      <c r="D41">
        <v>0</v>
      </c>
      <c r="E41">
        <v>0</v>
      </c>
      <c r="F41">
        <v>0</v>
      </c>
      <c r="G41">
        <v>2</v>
      </c>
      <c r="H41">
        <v>3</v>
      </c>
      <c r="I41">
        <v>5</v>
      </c>
      <c r="J41">
        <v>0.9</v>
      </c>
      <c r="K41">
        <v>0.12</v>
      </c>
      <c r="L41">
        <v>0.31</v>
      </c>
      <c r="M41">
        <v>1.9</v>
      </c>
      <c r="N41">
        <v>0.6</v>
      </c>
      <c r="O41" t="s">
        <v>548</v>
      </c>
      <c r="P41" s="368">
        <v>42150</v>
      </c>
      <c r="Q41" t="s">
        <v>151</v>
      </c>
      <c r="R41" t="s">
        <v>851</v>
      </c>
      <c r="S41" t="s">
        <v>191</v>
      </c>
      <c r="T41" t="s">
        <v>156</v>
      </c>
      <c r="U41"/>
    </row>
    <row r="42" spans="1:21" x14ac:dyDescent="0.2">
      <c r="A42">
        <v>418699</v>
      </c>
      <c r="B42" t="s">
        <v>511</v>
      </c>
      <c r="C42">
        <v>0</v>
      </c>
      <c r="D42">
        <v>0</v>
      </c>
      <c r="E42">
        <v>0</v>
      </c>
      <c r="F42">
        <v>0</v>
      </c>
      <c r="G42">
        <v>1</v>
      </c>
      <c r="H42">
        <v>2</v>
      </c>
      <c r="I42">
        <v>3</v>
      </c>
      <c r="J42">
        <v>0.6</v>
      </c>
      <c r="K42">
        <v>0.12</v>
      </c>
      <c r="L42">
        <v>0.17</v>
      </c>
      <c r="M42">
        <v>1.2</v>
      </c>
      <c r="N42">
        <v>0.6</v>
      </c>
      <c r="O42" t="s">
        <v>548</v>
      </c>
      <c r="P42" s="368">
        <v>39027</v>
      </c>
      <c r="Q42" t="s">
        <v>151</v>
      </c>
      <c r="R42" t="s">
        <v>709</v>
      </c>
      <c r="S42" t="s">
        <v>271</v>
      </c>
      <c r="T42" t="s">
        <v>187</v>
      </c>
      <c r="U42"/>
    </row>
    <row r="43" spans="1:21" x14ac:dyDescent="0.2">
      <c r="A43">
        <v>478313</v>
      </c>
      <c r="B43" t="s">
        <v>1183</v>
      </c>
      <c r="C43">
        <v>1</v>
      </c>
      <c r="D43">
        <v>0</v>
      </c>
      <c r="E43">
        <v>0</v>
      </c>
      <c r="F43">
        <v>1</v>
      </c>
      <c r="G43">
        <v>2</v>
      </c>
      <c r="H43">
        <v>2</v>
      </c>
      <c r="I43">
        <v>3</v>
      </c>
      <c r="J43">
        <v>0.6</v>
      </c>
      <c r="K43">
        <v>0.12</v>
      </c>
      <c r="L43">
        <v>0.21</v>
      </c>
      <c r="M43">
        <v>1.6</v>
      </c>
      <c r="N43">
        <v>0.5</v>
      </c>
      <c r="O43" t="s">
        <v>548</v>
      </c>
      <c r="P43" s="368">
        <v>37272</v>
      </c>
      <c r="Q43" t="s">
        <v>151</v>
      </c>
      <c r="R43" t="s">
        <v>737</v>
      </c>
      <c r="S43" t="s">
        <v>346</v>
      </c>
      <c r="T43" t="s">
        <v>187</v>
      </c>
      <c r="U43"/>
    </row>
    <row r="44" spans="1:21" x14ac:dyDescent="0.2">
      <c r="A44">
        <v>677534</v>
      </c>
      <c r="B44" t="s">
        <v>417</v>
      </c>
      <c r="C44">
        <v>-1</v>
      </c>
      <c r="D44">
        <v>0</v>
      </c>
      <c r="E44">
        <v>0</v>
      </c>
      <c r="F44">
        <v>-1</v>
      </c>
      <c r="G44">
        <v>-1</v>
      </c>
      <c r="H44">
        <v>1</v>
      </c>
      <c r="I44">
        <v>2</v>
      </c>
      <c r="J44">
        <v>0.4</v>
      </c>
      <c r="K44">
        <v>0.12</v>
      </c>
      <c r="L44">
        <v>0.3</v>
      </c>
      <c r="M44">
        <v>1.4</v>
      </c>
      <c r="N44">
        <v>0.3</v>
      </c>
      <c r="O44" t="s">
        <v>548</v>
      </c>
      <c r="P44" s="368">
        <v>36712</v>
      </c>
      <c r="Q44" t="s">
        <v>151</v>
      </c>
      <c r="R44" t="s">
        <v>832</v>
      </c>
      <c r="S44" t="s">
        <v>167</v>
      </c>
      <c r="T44" t="s">
        <v>156</v>
      </c>
      <c r="U44"/>
    </row>
    <row r="45" spans="1:21" x14ac:dyDescent="0.2">
      <c r="A45">
        <v>613133</v>
      </c>
      <c r="B45" t="s">
        <v>396</v>
      </c>
      <c r="C45">
        <v>0</v>
      </c>
      <c r="D45">
        <v>0</v>
      </c>
      <c r="E45">
        <v>0</v>
      </c>
      <c r="F45">
        <v>0</v>
      </c>
      <c r="G45">
        <v>0</v>
      </c>
      <c r="H45">
        <v>0</v>
      </c>
      <c r="I45">
        <v>1</v>
      </c>
      <c r="J45">
        <v>0.2</v>
      </c>
      <c r="K45">
        <v>0.12</v>
      </c>
      <c r="L45">
        <v>0.3</v>
      </c>
      <c r="M45">
        <v>0.8</v>
      </c>
      <c r="N45">
        <v>0.2</v>
      </c>
      <c r="O45" t="s">
        <v>548</v>
      </c>
      <c r="P45" s="368">
        <v>37008</v>
      </c>
      <c r="Q45" t="s">
        <v>151</v>
      </c>
      <c r="R45" t="s">
        <v>802</v>
      </c>
      <c r="S45" t="s">
        <v>184</v>
      </c>
      <c r="T45" t="s">
        <v>187</v>
      </c>
      <c r="U45"/>
    </row>
    <row r="46" spans="1:21" x14ac:dyDescent="0.2">
      <c r="A46">
        <v>865774</v>
      </c>
      <c r="B46" t="s">
        <v>1167</v>
      </c>
      <c r="C46">
        <v>0</v>
      </c>
      <c r="D46">
        <v>0</v>
      </c>
      <c r="E46">
        <v>0</v>
      </c>
      <c r="F46">
        <v>0</v>
      </c>
      <c r="G46">
        <v>1</v>
      </c>
      <c r="H46">
        <v>1</v>
      </c>
      <c r="I46">
        <v>2</v>
      </c>
      <c r="J46">
        <v>0.4</v>
      </c>
      <c r="K46">
        <v>0.13</v>
      </c>
      <c r="L46">
        <v>0.2</v>
      </c>
      <c r="M46">
        <v>1.4</v>
      </c>
      <c r="N46">
        <v>0.4</v>
      </c>
      <c r="O46" t="s">
        <v>548</v>
      </c>
      <c r="P46" s="368">
        <v>36712</v>
      </c>
      <c r="Q46" t="s">
        <v>46</v>
      </c>
      <c r="R46" t="s">
        <v>911</v>
      </c>
      <c r="S46" t="s">
        <v>991</v>
      </c>
      <c r="T46" t="s">
        <v>187</v>
      </c>
      <c r="U46"/>
    </row>
    <row r="47" spans="1:21" x14ac:dyDescent="0.2">
      <c r="A47">
        <v>214163</v>
      </c>
      <c r="B47" t="s">
        <v>233</v>
      </c>
      <c r="C47">
        <v>0</v>
      </c>
      <c r="D47">
        <v>0</v>
      </c>
      <c r="E47">
        <v>0</v>
      </c>
      <c r="F47">
        <v>0</v>
      </c>
      <c r="G47">
        <v>1</v>
      </c>
      <c r="H47">
        <v>0</v>
      </c>
      <c r="I47">
        <v>1</v>
      </c>
      <c r="J47">
        <v>0.1</v>
      </c>
      <c r="K47">
        <v>0.13</v>
      </c>
      <c r="L47">
        <v>0.3</v>
      </c>
      <c r="M47">
        <v>1</v>
      </c>
      <c r="N47">
        <v>0.2</v>
      </c>
      <c r="O47" t="s">
        <v>548</v>
      </c>
      <c r="P47" s="368">
        <v>36712</v>
      </c>
      <c r="Q47" t="s">
        <v>151</v>
      </c>
      <c r="R47" t="s">
        <v>601</v>
      </c>
      <c r="S47" t="s">
        <v>234</v>
      </c>
      <c r="T47" t="s">
        <v>187</v>
      </c>
      <c r="U47"/>
    </row>
    <row r="48" spans="1:21" x14ac:dyDescent="0.2">
      <c r="A48">
        <v>331983</v>
      </c>
      <c r="B48" t="s">
        <v>295</v>
      </c>
      <c r="C48">
        <v>0</v>
      </c>
      <c r="D48">
        <v>0</v>
      </c>
      <c r="E48">
        <v>0</v>
      </c>
      <c r="F48">
        <v>0</v>
      </c>
      <c r="G48">
        <v>0</v>
      </c>
      <c r="H48">
        <v>0</v>
      </c>
      <c r="I48">
        <v>-1</v>
      </c>
      <c r="J48">
        <v>-0.1</v>
      </c>
      <c r="K48">
        <v>0.13</v>
      </c>
      <c r="L48">
        <v>0.25</v>
      </c>
      <c r="M48">
        <v>0.5</v>
      </c>
      <c r="N48">
        <v>0.1</v>
      </c>
      <c r="O48" t="s">
        <v>548</v>
      </c>
      <c r="P48" s="368">
        <v>36712</v>
      </c>
      <c r="Q48" t="s">
        <v>151</v>
      </c>
      <c r="R48" t="s">
        <v>665</v>
      </c>
      <c r="S48" t="s">
        <v>152</v>
      </c>
      <c r="T48" t="s">
        <v>156</v>
      </c>
      <c r="U48"/>
    </row>
    <row r="49" spans="1:21" x14ac:dyDescent="0.2">
      <c r="A49">
        <v>331686</v>
      </c>
      <c r="B49" t="s">
        <v>294</v>
      </c>
      <c r="C49">
        <v>1</v>
      </c>
      <c r="D49">
        <v>0</v>
      </c>
      <c r="E49">
        <v>0</v>
      </c>
      <c r="F49">
        <v>1</v>
      </c>
      <c r="G49">
        <v>4</v>
      </c>
      <c r="H49">
        <v>5</v>
      </c>
      <c r="I49">
        <v>9</v>
      </c>
      <c r="J49">
        <v>1.7</v>
      </c>
      <c r="K49">
        <v>0.14000000000000001</v>
      </c>
      <c r="L49">
        <v>0.41</v>
      </c>
      <c r="M49">
        <v>3.1</v>
      </c>
      <c r="N49">
        <v>0.6</v>
      </c>
      <c r="O49" t="s">
        <v>548</v>
      </c>
      <c r="P49" s="368">
        <v>41200</v>
      </c>
      <c r="Q49" t="s">
        <v>151</v>
      </c>
      <c r="R49" t="s">
        <v>664</v>
      </c>
      <c r="S49" t="s">
        <v>191</v>
      </c>
      <c r="T49" t="s">
        <v>163</v>
      </c>
      <c r="U49"/>
    </row>
    <row r="50" spans="1:21" x14ac:dyDescent="0.2">
      <c r="A50">
        <v>513722</v>
      </c>
      <c r="B50" t="s">
        <v>1192</v>
      </c>
      <c r="C50"/>
      <c r="D50">
        <v>0</v>
      </c>
      <c r="E50">
        <v>0</v>
      </c>
      <c r="F50"/>
      <c r="G50"/>
      <c r="H50">
        <v>1</v>
      </c>
      <c r="I50"/>
      <c r="J50"/>
      <c r="K50">
        <v>0.14000000000000001</v>
      </c>
      <c r="L50">
        <v>0.36</v>
      </c>
      <c r="M50">
        <v>1.4</v>
      </c>
      <c r="N50">
        <v>0.4</v>
      </c>
      <c r="O50" t="s">
        <v>548</v>
      </c>
      <c r="P50" s="368">
        <v>44270</v>
      </c>
      <c r="Q50" t="s">
        <v>151</v>
      </c>
      <c r="R50" t="s">
        <v>1193</v>
      </c>
      <c r="S50" t="s">
        <v>155</v>
      </c>
      <c r="T50" t="s">
        <v>156</v>
      </c>
      <c r="U50"/>
    </row>
    <row r="51" spans="1:21" x14ac:dyDescent="0.2">
      <c r="A51">
        <v>242081</v>
      </c>
      <c r="B51" t="s">
        <v>247</v>
      </c>
      <c r="C51">
        <v>-1</v>
      </c>
      <c r="D51">
        <v>0</v>
      </c>
      <c r="E51">
        <v>0</v>
      </c>
      <c r="F51">
        <v>-1</v>
      </c>
      <c r="G51">
        <v>-1</v>
      </c>
      <c r="H51">
        <v>1</v>
      </c>
      <c r="I51">
        <v>2</v>
      </c>
      <c r="J51">
        <v>0.4</v>
      </c>
      <c r="K51">
        <v>0.15</v>
      </c>
      <c r="L51">
        <v>0.51</v>
      </c>
      <c r="M51">
        <v>1.9</v>
      </c>
      <c r="N51">
        <v>0.3</v>
      </c>
      <c r="O51" t="s">
        <v>548</v>
      </c>
      <c r="P51" s="368">
        <v>37007</v>
      </c>
      <c r="Q51" t="s">
        <v>151</v>
      </c>
      <c r="R51" t="s">
        <v>612</v>
      </c>
      <c r="S51" t="s">
        <v>231</v>
      </c>
      <c r="T51" t="s">
        <v>156</v>
      </c>
      <c r="U51"/>
    </row>
    <row r="52" spans="1:21" x14ac:dyDescent="0.2">
      <c r="A52">
        <v>405704</v>
      </c>
      <c r="B52" t="s">
        <v>321</v>
      </c>
      <c r="C52">
        <v>0</v>
      </c>
      <c r="D52">
        <v>0</v>
      </c>
      <c r="E52">
        <v>0</v>
      </c>
      <c r="F52">
        <v>0</v>
      </c>
      <c r="G52">
        <v>0</v>
      </c>
      <c r="H52">
        <v>3</v>
      </c>
      <c r="I52">
        <v>1</v>
      </c>
      <c r="J52">
        <v>0.1</v>
      </c>
      <c r="K52">
        <v>0.15</v>
      </c>
      <c r="L52">
        <v>0.46</v>
      </c>
      <c r="M52">
        <v>1.2</v>
      </c>
      <c r="N52">
        <v>1</v>
      </c>
      <c r="O52" t="s">
        <v>548</v>
      </c>
      <c r="P52" s="368">
        <v>42263</v>
      </c>
      <c r="Q52" t="s">
        <v>46</v>
      </c>
      <c r="R52" t="s">
        <v>700</v>
      </c>
      <c r="S52" t="s">
        <v>178</v>
      </c>
      <c r="T52" t="s">
        <v>256</v>
      </c>
      <c r="U52"/>
    </row>
    <row r="53" spans="1:21" x14ac:dyDescent="0.2">
      <c r="A53">
        <v>131409</v>
      </c>
      <c r="B53" t="s">
        <v>1208</v>
      </c>
      <c r="C53">
        <v>0</v>
      </c>
      <c r="D53">
        <v>0</v>
      </c>
      <c r="E53">
        <v>0</v>
      </c>
      <c r="F53">
        <v>0</v>
      </c>
      <c r="G53">
        <v>0</v>
      </c>
      <c r="H53">
        <v>-3</v>
      </c>
      <c r="I53">
        <v>0</v>
      </c>
      <c r="J53">
        <v>0</v>
      </c>
      <c r="K53">
        <v>0.15</v>
      </c>
      <c r="L53">
        <v>0.5</v>
      </c>
      <c r="M53">
        <v>3.5</v>
      </c>
      <c r="N53">
        <v>-0.2</v>
      </c>
      <c r="O53" t="s">
        <v>548</v>
      </c>
      <c r="P53" s="368">
        <v>39545</v>
      </c>
      <c r="Q53" t="s">
        <v>46</v>
      </c>
      <c r="R53" t="s">
        <v>563</v>
      </c>
      <c r="S53" t="s">
        <v>184</v>
      </c>
      <c r="T53" t="s">
        <v>156</v>
      </c>
      <c r="U53"/>
    </row>
    <row r="54" spans="1:21" x14ac:dyDescent="0.2">
      <c r="A54">
        <v>929224</v>
      </c>
      <c r="B54" t="s">
        <v>483</v>
      </c>
      <c r="C54">
        <v>20</v>
      </c>
      <c r="D54">
        <v>5</v>
      </c>
      <c r="E54">
        <v>7</v>
      </c>
      <c r="F54">
        <v>20</v>
      </c>
      <c r="G54">
        <v>31</v>
      </c>
      <c r="H54">
        <v>66</v>
      </c>
      <c r="I54">
        <v>140</v>
      </c>
      <c r="J54">
        <v>19.100000000000001</v>
      </c>
      <c r="K54">
        <v>0.16</v>
      </c>
      <c r="L54">
        <v>0.2</v>
      </c>
      <c r="M54">
        <v>17.100000000000001</v>
      </c>
      <c r="N54">
        <v>1.1000000000000001</v>
      </c>
      <c r="O54" t="s">
        <v>548</v>
      </c>
      <c r="P54" s="368">
        <v>41611</v>
      </c>
      <c r="Q54" t="s">
        <v>151</v>
      </c>
      <c r="R54" t="s">
        <v>937</v>
      </c>
      <c r="S54" t="s">
        <v>181</v>
      </c>
      <c r="T54" t="s">
        <v>197</v>
      </c>
      <c r="U54"/>
    </row>
    <row r="55" spans="1:21" x14ac:dyDescent="0.2">
      <c r="A55">
        <v>248161</v>
      </c>
      <c r="B55" t="s">
        <v>1214</v>
      </c>
      <c r="C55">
        <v>21</v>
      </c>
      <c r="D55">
        <v>5</v>
      </c>
      <c r="E55">
        <v>7</v>
      </c>
      <c r="F55">
        <v>21</v>
      </c>
      <c r="G55">
        <v>32</v>
      </c>
      <c r="H55">
        <v>63</v>
      </c>
      <c r="I55">
        <v>134</v>
      </c>
      <c r="J55">
        <v>18.600000000000001</v>
      </c>
      <c r="K55">
        <v>0.16</v>
      </c>
      <c r="L55">
        <v>0.21</v>
      </c>
      <c r="M55">
        <v>17.100000000000001</v>
      </c>
      <c r="N55">
        <v>1</v>
      </c>
      <c r="O55" t="s">
        <v>548</v>
      </c>
      <c r="P55" s="368">
        <v>36712</v>
      </c>
      <c r="Q55" t="s">
        <v>151</v>
      </c>
      <c r="R55" t="s">
        <v>616</v>
      </c>
      <c r="S55" t="s">
        <v>191</v>
      </c>
      <c r="T55" t="s">
        <v>197</v>
      </c>
      <c r="U55"/>
    </row>
    <row r="56" spans="1:21" x14ac:dyDescent="0.2">
      <c r="A56">
        <v>150649</v>
      </c>
      <c r="B56" t="s">
        <v>196</v>
      </c>
      <c r="C56">
        <v>20</v>
      </c>
      <c r="D56">
        <v>5</v>
      </c>
      <c r="E56">
        <v>7</v>
      </c>
      <c r="F56">
        <v>20</v>
      </c>
      <c r="G56">
        <v>31</v>
      </c>
      <c r="H56">
        <v>60</v>
      </c>
      <c r="I56">
        <v>130</v>
      </c>
      <c r="J56">
        <v>18.100000000000001</v>
      </c>
      <c r="K56">
        <v>0.16</v>
      </c>
      <c r="L56">
        <v>0.21</v>
      </c>
      <c r="M56">
        <v>17.100000000000001</v>
      </c>
      <c r="N56">
        <v>1</v>
      </c>
      <c r="O56" t="s">
        <v>548</v>
      </c>
      <c r="P56" s="368">
        <v>42272</v>
      </c>
      <c r="Q56" t="s">
        <v>151</v>
      </c>
      <c r="R56" t="s">
        <v>569</v>
      </c>
      <c r="S56" t="s">
        <v>167</v>
      </c>
      <c r="T56" t="s">
        <v>197</v>
      </c>
      <c r="U56"/>
    </row>
    <row r="57" spans="1:21" x14ac:dyDescent="0.2">
      <c r="A57">
        <v>551507</v>
      </c>
      <c r="B57" t="s">
        <v>375</v>
      </c>
      <c r="C57">
        <v>20</v>
      </c>
      <c r="D57">
        <v>4</v>
      </c>
      <c r="E57">
        <v>6</v>
      </c>
      <c r="F57">
        <v>20</v>
      </c>
      <c r="G57">
        <v>30</v>
      </c>
      <c r="H57">
        <v>57</v>
      </c>
      <c r="I57">
        <v>123</v>
      </c>
      <c r="J57">
        <v>17.399999999999999</v>
      </c>
      <c r="K57">
        <v>0.16</v>
      </c>
      <c r="L57">
        <v>0.2</v>
      </c>
      <c r="M57">
        <v>17.100000000000001</v>
      </c>
      <c r="N57">
        <v>1</v>
      </c>
      <c r="O57" t="s">
        <v>548</v>
      </c>
      <c r="P57" s="368">
        <v>41471</v>
      </c>
      <c r="Q57" t="s">
        <v>151</v>
      </c>
      <c r="R57" t="s">
        <v>776</v>
      </c>
      <c r="S57" t="s">
        <v>231</v>
      </c>
      <c r="T57" t="s">
        <v>197</v>
      </c>
      <c r="U57"/>
    </row>
    <row r="58" spans="1:21" x14ac:dyDescent="0.2">
      <c r="A58">
        <v>465914</v>
      </c>
      <c r="B58" t="s">
        <v>531</v>
      </c>
      <c r="C58">
        <v>20</v>
      </c>
      <c r="D58">
        <v>1</v>
      </c>
      <c r="E58">
        <v>6</v>
      </c>
      <c r="F58">
        <v>20</v>
      </c>
      <c r="G58">
        <v>43</v>
      </c>
      <c r="H58">
        <v>62</v>
      </c>
      <c r="I58">
        <v>112</v>
      </c>
      <c r="J58">
        <v>16.2</v>
      </c>
      <c r="K58">
        <v>0.16</v>
      </c>
      <c r="L58">
        <v>0.2</v>
      </c>
      <c r="M58">
        <v>18.2</v>
      </c>
      <c r="N58">
        <v>1</v>
      </c>
      <c r="O58" t="s">
        <v>548</v>
      </c>
      <c r="P58" s="368">
        <v>40989</v>
      </c>
      <c r="Q58" t="s">
        <v>151</v>
      </c>
      <c r="R58" t="s">
        <v>731</v>
      </c>
      <c r="S58" t="s">
        <v>181</v>
      </c>
      <c r="T58" t="s">
        <v>201</v>
      </c>
      <c r="U58"/>
    </row>
    <row r="59" spans="1:21" x14ac:dyDescent="0.2">
      <c r="A59">
        <v>587337</v>
      </c>
      <c r="B59" t="s">
        <v>390</v>
      </c>
      <c r="C59">
        <v>20</v>
      </c>
      <c r="D59">
        <v>1</v>
      </c>
      <c r="E59">
        <v>6</v>
      </c>
      <c r="F59">
        <v>20</v>
      </c>
      <c r="G59">
        <v>41</v>
      </c>
      <c r="H59">
        <v>60</v>
      </c>
      <c r="I59">
        <v>109</v>
      </c>
      <c r="J59">
        <v>15.9</v>
      </c>
      <c r="K59">
        <v>0.16</v>
      </c>
      <c r="L59">
        <v>0.2</v>
      </c>
      <c r="M59">
        <v>18</v>
      </c>
      <c r="N59">
        <v>1</v>
      </c>
      <c r="O59" t="s">
        <v>548</v>
      </c>
      <c r="P59" s="368">
        <v>41471</v>
      </c>
      <c r="Q59" t="s">
        <v>151</v>
      </c>
      <c r="R59" t="s">
        <v>795</v>
      </c>
      <c r="S59" t="s">
        <v>231</v>
      </c>
      <c r="T59" t="s">
        <v>201</v>
      </c>
      <c r="U59"/>
    </row>
    <row r="60" spans="1:21" x14ac:dyDescent="0.2">
      <c r="A60">
        <v>212332</v>
      </c>
      <c r="B60" t="s">
        <v>232</v>
      </c>
      <c r="C60">
        <v>20</v>
      </c>
      <c r="D60">
        <v>1</v>
      </c>
      <c r="E60">
        <v>6</v>
      </c>
      <c r="F60">
        <v>20</v>
      </c>
      <c r="G60">
        <v>41</v>
      </c>
      <c r="H60">
        <v>59</v>
      </c>
      <c r="I60">
        <v>108</v>
      </c>
      <c r="J60">
        <v>15.8</v>
      </c>
      <c r="K60">
        <v>0.16</v>
      </c>
      <c r="L60">
        <v>0.21</v>
      </c>
      <c r="M60">
        <v>17.8</v>
      </c>
      <c r="N60">
        <v>1</v>
      </c>
      <c r="O60" t="s">
        <v>548</v>
      </c>
      <c r="P60" s="368">
        <v>36712</v>
      </c>
      <c r="Q60" t="s">
        <v>151</v>
      </c>
      <c r="R60" t="s">
        <v>600</v>
      </c>
      <c r="S60" t="s">
        <v>191</v>
      </c>
      <c r="T60" t="s">
        <v>201</v>
      </c>
      <c r="U60"/>
    </row>
    <row r="61" spans="1:21" x14ac:dyDescent="0.2">
      <c r="A61">
        <v>719674</v>
      </c>
      <c r="B61" t="s">
        <v>149</v>
      </c>
      <c r="C61">
        <v>19</v>
      </c>
      <c r="D61">
        <v>1</v>
      </c>
      <c r="E61">
        <v>5</v>
      </c>
      <c r="F61">
        <v>19</v>
      </c>
      <c r="G61">
        <v>39</v>
      </c>
      <c r="H61">
        <v>58</v>
      </c>
      <c r="I61">
        <v>106</v>
      </c>
      <c r="J61">
        <v>15.6</v>
      </c>
      <c r="K61">
        <v>0.16</v>
      </c>
      <c r="L61">
        <v>0.21</v>
      </c>
      <c r="M61">
        <v>18</v>
      </c>
      <c r="N61">
        <v>0.9</v>
      </c>
      <c r="O61" t="s">
        <v>548</v>
      </c>
      <c r="P61" s="368">
        <v>42261</v>
      </c>
      <c r="Q61" t="s">
        <v>151</v>
      </c>
      <c r="R61" t="s">
        <v>849</v>
      </c>
      <c r="S61" t="s">
        <v>167</v>
      </c>
      <c r="T61" t="s">
        <v>201</v>
      </c>
      <c r="U61"/>
    </row>
    <row r="62" spans="1:21" x14ac:dyDescent="0.2">
      <c r="A62">
        <v>114819</v>
      </c>
      <c r="B62" t="s">
        <v>147</v>
      </c>
      <c r="C62">
        <v>18</v>
      </c>
      <c r="D62">
        <v>3</v>
      </c>
      <c r="E62">
        <v>5</v>
      </c>
      <c r="F62">
        <v>18</v>
      </c>
      <c r="G62">
        <v>28</v>
      </c>
      <c r="H62">
        <v>45</v>
      </c>
      <c r="I62">
        <v>104</v>
      </c>
      <c r="J62">
        <v>15.3</v>
      </c>
      <c r="K62">
        <v>0.16</v>
      </c>
      <c r="L62">
        <v>0.2</v>
      </c>
      <c r="M62">
        <v>16</v>
      </c>
      <c r="N62">
        <v>0.9</v>
      </c>
      <c r="O62" t="s">
        <v>548</v>
      </c>
      <c r="P62" s="368">
        <v>42289</v>
      </c>
      <c r="Q62" t="s">
        <v>151</v>
      </c>
      <c r="R62" t="s">
        <v>554</v>
      </c>
      <c r="S62" t="s">
        <v>167</v>
      </c>
      <c r="T62" t="s">
        <v>159</v>
      </c>
      <c r="U62"/>
    </row>
    <row r="63" spans="1:21" x14ac:dyDescent="0.2">
      <c r="A63">
        <v>658997</v>
      </c>
      <c r="B63" t="s">
        <v>410</v>
      </c>
      <c r="C63">
        <v>18</v>
      </c>
      <c r="D63">
        <v>4</v>
      </c>
      <c r="E63">
        <v>5</v>
      </c>
      <c r="F63">
        <v>18</v>
      </c>
      <c r="G63">
        <v>28</v>
      </c>
      <c r="H63">
        <v>44</v>
      </c>
      <c r="I63">
        <v>102</v>
      </c>
      <c r="J63">
        <v>15.1</v>
      </c>
      <c r="K63">
        <v>0.16</v>
      </c>
      <c r="L63">
        <v>0.2</v>
      </c>
      <c r="M63">
        <v>16.3</v>
      </c>
      <c r="N63">
        <v>0.8</v>
      </c>
      <c r="O63" t="s">
        <v>548</v>
      </c>
      <c r="P63" s="368">
        <v>41471</v>
      </c>
      <c r="Q63" t="s">
        <v>151</v>
      </c>
      <c r="R63" t="s">
        <v>822</v>
      </c>
      <c r="S63" t="s">
        <v>231</v>
      </c>
      <c r="T63" t="s">
        <v>159</v>
      </c>
      <c r="U63"/>
    </row>
    <row r="64" spans="1:21" x14ac:dyDescent="0.2">
      <c r="A64">
        <v>978981</v>
      </c>
      <c r="B64" t="s">
        <v>495</v>
      </c>
      <c r="C64">
        <v>11</v>
      </c>
      <c r="D64">
        <v>3</v>
      </c>
      <c r="E64">
        <v>1</v>
      </c>
      <c r="F64">
        <v>11</v>
      </c>
      <c r="G64">
        <v>28</v>
      </c>
      <c r="H64">
        <v>35</v>
      </c>
      <c r="I64">
        <v>97</v>
      </c>
      <c r="J64">
        <v>14.5</v>
      </c>
      <c r="K64">
        <v>0.16</v>
      </c>
      <c r="L64">
        <v>0.2</v>
      </c>
      <c r="M64">
        <v>14.8</v>
      </c>
      <c r="N64">
        <v>0.8</v>
      </c>
      <c r="O64" t="s">
        <v>548</v>
      </c>
      <c r="P64" s="368">
        <v>42272</v>
      </c>
      <c r="Q64" t="s">
        <v>151</v>
      </c>
      <c r="R64" t="s">
        <v>953</v>
      </c>
      <c r="S64" t="s">
        <v>167</v>
      </c>
      <c r="T64" t="s">
        <v>251</v>
      </c>
      <c r="U64"/>
    </row>
    <row r="65" spans="1:21" x14ac:dyDescent="0.2">
      <c r="A65">
        <v>629543</v>
      </c>
      <c r="B65" t="s">
        <v>401</v>
      </c>
      <c r="C65">
        <v>16</v>
      </c>
      <c r="D65">
        <v>1</v>
      </c>
      <c r="E65">
        <v>5</v>
      </c>
      <c r="F65">
        <v>16</v>
      </c>
      <c r="G65">
        <v>25</v>
      </c>
      <c r="H65">
        <v>27</v>
      </c>
      <c r="I65">
        <v>70</v>
      </c>
      <c r="J65">
        <v>11.2</v>
      </c>
      <c r="K65">
        <v>0.16</v>
      </c>
      <c r="L65">
        <v>0.2</v>
      </c>
      <c r="M65">
        <v>16.5</v>
      </c>
      <c r="N65">
        <v>0.6</v>
      </c>
      <c r="O65" t="s">
        <v>548</v>
      </c>
      <c r="P65" s="368">
        <v>36712</v>
      </c>
      <c r="Q65" t="s">
        <v>151</v>
      </c>
      <c r="R65" t="s">
        <v>809</v>
      </c>
      <c r="S65" t="s">
        <v>181</v>
      </c>
      <c r="T65" t="s">
        <v>179</v>
      </c>
      <c r="U65"/>
    </row>
    <row r="66" spans="1:21" x14ac:dyDescent="0.2">
      <c r="A66">
        <v>140673</v>
      </c>
      <c r="B66" t="s">
        <v>1209</v>
      </c>
      <c r="C66">
        <v>16</v>
      </c>
      <c r="D66">
        <v>1</v>
      </c>
      <c r="E66">
        <v>5</v>
      </c>
      <c r="F66">
        <v>16</v>
      </c>
      <c r="G66">
        <v>25</v>
      </c>
      <c r="H66">
        <v>25</v>
      </c>
      <c r="I66">
        <v>69</v>
      </c>
      <c r="J66">
        <v>11.1</v>
      </c>
      <c r="K66">
        <v>0.16</v>
      </c>
      <c r="L66">
        <v>0.21</v>
      </c>
      <c r="M66">
        <v>16.3</v>
      </c>
      <c r="N66">
        <v>0.5</v>
      </c>
      <c r="O66" t="s">
        <v>548</v>
      </c>
      <c r="P66" s="368">
        <v>36712</v>
      </c>
      <c r="Q66" t="s">
        <v>151</v>
      </c>
      <c r="R66" t="s">
        <v>566</v>
      </c>
      <c r="S66" t="s">
        <v>191</v>
      </c>
      <c r="T66" t="s">
        <v>179</v>
      </c>
      <c r="U66"/>
    </row>
    <row r="67" spans="1:21" x14ac:dyDescent="0.2">
      <c r="A67">
        <v>470104</v>
      </c>
      <c r="B67" t="s">
        <v>344</v>
      </c>
      <c r="C67">
        <v>6</v>
      </c>
      <c r="D67">
        <v>2</v>
      </c>
      <c r="E67">
        <v>-4</v>
      </c>
      <c r="F67">
        <v>6</v>
      </c>
      <c r="G67">
        <v>14</v>
      </c>
      <c r="H67">
        <v>17</v>
      </c>
      <c r="I67">
        <v>68</v>
      </c>
      <c r="J67">
        <v>11</v>
      </c>
      <c r="K67">
        <v>0.16</v>
      </c>
      <c r="L67">
        <v>0.2</v>
      </c>
      <c r="M67">
        <v>14.7</v>
      </c>
      <c r="N67">
        <v>0.4</v>
      </c>
      <c r="O67" t="s">
        <v>548</v>
      </c>
      <c r="P67" s="368">
        <v>41933</v>
      </c>
      <c r="Q67" t="s">
        <v>151</v>
      </c>
      <c r="R67" t="s">
        <v>734</v>
      </c>
      <c r="S67" t="s">
        <v>231</v>
      </c>
      <c r="T67" t="s">
        <v>206</v>
      </c>
      <c r="U67"/>
    </row>
    <row r="68" spans="1:21" x14ac:dyDescent="0.2">
      <c r="A68">
        <v>755504</v>
      </c>
      <c r="B68" t="s">
        <v>445</v>
      </c>
      <c r="C68">
        <v>16</v>
      </c>
      <c r="D68">
        <v>1</v>
      </c>
      <c r="E68">
        <v>6</v>
      </c>
      <c r="F68">
        <v>16</v>
      </c>
      <c r="G68">
        <v>24</v>
      </c>
      <c r="H68">
        <v>24</v>
      </c>
      <c r="I68">
        <v>69</v>
      </c>
      <c r="J68">
        <v>11</v>
      </c>
      <c r="K68">
        <v>0.16</v>
      </c>
      <c r="L68">
        <v>0.21</v>
      </c>
      <c r="M68">
        <v>16.2</v>
      </c>
      <c r="N68">
        <v>0.5</v>
      </c>
      <c r="O68" t="s">
        <v>548</v>
      </c>
      <c r="P68" s="368">
        <v>42261</v>
      </c>
      <c r="Q68" t="s">
        <v>151</v>
      </c>
      <c r="R68" t="s">
        <v>865</v>
      </c>
      <c r="S68" t="s">
        <v>167</v>
      </c>
      <c r="T68" t="s">
        <v>179</v>
      </c>
      <c r="U68"/>
    </row>
    <row r="69" spans="1:21" x14ac:dyDescent="0.2">
      <c r="A69">
        <v>479840</v>
      </c>
      <c r="B69" t="s">
        <v>348</v>
      </c>
      <c r="C69">
        <v>16</v>
      </c>
      <c r="D69">
        <v>1</v>
      </c>
      <c r="E69">
        <v>5</v>
      </c>
      <c r="F69">
        <v>16</v>
      </c>
      <c r="G69">
        <v>25</v>
      </c>
      <c r="H69">
        <v>22</v>
      </c>
      <c r="I69">
        <v>67</v>
      </c>
      <c r="J69">
        <v>10.8</v>
      </c>
      <c r="K69">
        <v>0.16</v>
      </c>
      <c r="L69">
        <v>0.21</v>
      </c>
      <c r="M69">
        <v>16.600000000000001</v>
      </c>
      <c r="N69">
        <v>0.5</v>
      </c>
      <c r="O69" t="s">
        <v>548</v>
      </c>
      <c r="P69" s="368">
        <v>41471</v>
      </c>
      <c r="Q69" t="s">
        <v>151</v>
      </c>
      <c r="R69" t="s">
        <v>740</v>
      </c>
      <c r="S69" t="s">
        <v>231</v>
      </c>
      <c r="T69" t="s">
        <v>179</v>
      </c>
      <c r="U69"/>
    </row>
    <row r="70" spans="1:21" x14ac:dyDescent="0.2">
      <c r="A70">
        <v>176503</v>
      </c>
      <c r="B70" t="s">
        <v>1211</v>
      </c>
      <c r="C70">
        <v>5</v>
      </c>
      <c r="D70">
        <v>1</v>
      </c>
      <c r="E70">
        <v>-4</v>
      </c>
      <c r="F70">
        <v>5</v>
      </c>
      <c r="G70">
        <v>13</v>
      </c>
      <c r="H70">
        <v>16</v>
      </c>
      <c r="I70">
        <v>63</v>
      </c>
      <c r="J70">
        <v>10.3</v>
      </c>
      <c r="K70">
        <v>0.16</v>
      </c>
      <c r="L70">
        <v>0.21</v>
      </c>
      <c r="M70">
        <v>14.6</v>
      </c>
      <c r="N70">
        <v>0.4</v>
      </c>
      <c r="O70" t="s">
        <v>548</v>
      </c>
      <c r="P70" s="368">
        <v>36712</v>
      </c>
      <c r="Q70" t="s">
        <v>151</v>
      </c>
      <c r="R70" t="s">
        <v>585</v>
      </c>
      <c r="S70" t="s">
        <v>191</v>
      </c>
      <c r="T70" t="s">
        <v>206</v>
      </c>
      <c r="U70"/>
    </row>
    <row r="71" spans="1:21" x14ac:dyDescent="0.2">
      <c r="A71">
        <v>443721</v>
      </c>
      <c r="B71" t="s">
        <v>336</v>
      </c>
      <c r="C71">
        <v>-2</v>
      </c>
      <c r="D71">
        <v>1</v>
      </c>
      <c r="E71">
        <v>-2</v>
      </c>
      <c r="F71">
        <v>-2</v>
      </c>
      <c r="G71">
        <v>-4</v>
      </c>
      <c r="H71">
        <v>5</v>
      </c>
      <c r="I71">
        <v>14</v>
      </c>
      <c r="J71">
        <v>2.6</v>
      </c>
      <c r="K71">
        <v>0.16</v>
      </c>
      <c r="L71">
        <v>0.28000000000000003</v>
      </c>
      <c r="M71">
        <v>7.1</v>
      </c>
      <c r="N71">
        <v>0.3</v>
      </c>
      <c r="O71" t="s">
        <v>556</v>
      </c>
      <c r="P71" s="368">
        <v>36712</v>
      </c>
      <c r="Q71" t="s">
        <v>46</v>
      </c>
      <c r="R71" t="s">
        <v>721</v>
      </c>
      <c r="S71" t="s">
        <v>325</v>
      </c>
      <c r="T71" t="s">
        <v>192</v>
      </c>
      <c r="U71"/>
    </row>
    <row r="72" spans="1:21" x14ac:dyDescent="0.2">
      <c r="A72">
        <v>554691</v>
      </c>
      <c r="B72" t="s">
        <v>542</v>
      </c>
      <c r="C72">
        <v>-2</v>
      </c>
      <c r="D72">
        <v>0</v>
      </c>
      <c r="E72">
        <v>0</v>
      </c>
      <c r="F72">
        <v>-2</v>
      </c>
      <c r="G72">
        <v>-2</v>
      </c>
      <c r="H72">
        <v>1</v>
      </c>
      <c r="I72">
        <v>2</v>
      </c>
      <c r="J72">
        <v>0.5</v>
      </c>
      <c r="K72">
        <v>0.16</v>
      </c>
      <c r="L72">
        <v>0.5</v>
      </c>
      <c r="M72">
        <v>2.2999999999999998</v>
      </c>
      <c r="N72">
        <v>0.3</v>
      </c>
      <c r="O72" t="s">
        <v>548</v>
      </c>
      <c r="P72" s="368">
        <v>39393</v>
      </c>
      <c r="Q72" t="s">
        <v>151</v>
      </c>
      <c r="R72" t="s">
        <v>779</v>
      </c>
      <c r="S72" t="s">
        <v>234</v>
      </c>
      <c r="T72" t="s">
        <v>156</v>
      </c>
      <c r="U72"/>
    </row>
    <row r="73" spans="1:21" x14ac:dyDescent="0.2">
      <c r="A73">
        <v>574582</v>
      </c>
      <c r="B73" t="s">
        <v>386</v>
      </c>
      <c r="C73">
        <v>1</v>
      </c>
      <c r="D73">
        <v>0</v>
      </c>
      <c r="E73">
        <v>0</v>
      </c>
      <c r="F73">
        <v>1</v>
      </c>
      <c r="G73">
        <v>2</v>
      </c>
      <c r="H73">
        <v>2</v>
      </c>
      <c r="I73">
        <v>2</v>
      </c>
      <c r="J73">
        <v>0.5</v>
      </c>
      <c r="K73">
        <v>0.16</v>
      </c>
      <c r="L73">
        <v>0.3</v>
      </c>
      <c r="M73">
        <v>1.6</v>
      </c>
      <c r="N73">
        <v>0.5</v>
      </c>
      <c r="O73" t="s">
        <v>548</v>
      </c>
      <c r="P73" s="368">
        <v>41418</v>
      </c>
      <c r="Q73" t="s">
        <v>46</v>
      </c>
      <c r="R73" t="s">
        <v>790</v>
      </c>
      <c r="S73" t="s">
        <v>240</v>
      </c>
      <c r="T73" t="s">
        <v>163</v>
      </c>
      <c r="U73"/>
    </row>
    <row r="74" spans="1:21" x14ac:dyDescent="0.2">
      <c r="A74">
        <v>648964</v>
      </c>
      <c r="B74" t="s">
        <v>406</v>
      </c>
      <c r="C74">
        <v>-2</v>
      </c>
      <c r="D74">
        <v>0</v>
      </c>
      <c r="E74">
        <v>0</v>
      </c>
      <c r="F74">
        <v>-2</v>
      </c>
      <c r="G74">
        <v>-1</v>
      </c>
      <c r="H74">
        <v>2</v>
      </c>
      <c r="I74">
        <v>2</v>
      </c>
      <c r="J74">
        <v>0.5</v>
      </c>
      <c r="K74">
        <v>0.16</v>
      </c>
      <c r="L74">
        <v>0.65</v>
      </c>
      <c r="M74">
        <v>2.8</v>
      </c>
      <c r="N74">
        <v>0.3</v>
      </c>
      <c r="O74" t="s">
        <v>548</v>
      </c>
      <c r="P74" s="368">
        <v>37008</v>
      </c>
      <c r="Q74" t="s">
        <v>151</v>
      </c>
      <c r="R74" t="s">
        <v>817</v>
      </c>
      <c r="S74" t="s">
        <v>184</v>
      </c>
      <c r="T74" t="s">
        <v>156</v>
      </c>
      <c r="U74"/>
    </row>
    <row r="75" spans="1:21" x14ac:dyDescent="0.2">
      <c r="A75">
        <v>726117</v>
      </c>
      <c r="B75" t="s">
        <v>434</v>
      </c>
      <c r="C75">
        <v>-1</v>
      </c>
      <c r="D75">
        <v>0</v>
      </c>
      <c r="E75">
        <v>0</v>
      </c>
      <c r="F75">
        <v>-1</v>
      </c>
      <c r="G75">
        <v>0</v>
      </c>
      <c r="H75">
        <v>1</v>
      </c>
      <c r="I75">
        <v>2</v>
      </c>
      <c r="J75">
        <v>0.4</v>
      </c>
      <c r="K75">
        <v>0.16</v>
      </c>
      <c r="L75">
        <v>0.4</v>
      </c>
      <c r="M75">
        <v>1.4</v>
      </c>
      <c r="N75">
        <v>0.4</v>
      </c>
      <c r="O75" t="s">
        <v>548</v>
      </c>
      <c r="P75" s="368">
        <v>36712</v>
      </c>
      <c r="Q75" t="s">
        <v>151</v>
      </c>
      <c r="R75" t="s">
        <v>853</v>
      </c>
      <c r="S75" t="s">
        <v>152</v>
      </c>
      <c r="T75" t="s">
        <v>156</v>
      </c>
      <c r="U75"/>
    </row>
    <row r="76" spans="1:21" x14ac:dyDescent="0.2">
      <c r="A76">
        <v>496497</v>
      </c>
      <c r="B76" t="s">
        <v>532</v>
      </c>
      <c r="C76">
        <v>0</v>
      </c>
      <c r="D76">
        <v>1</v>
      </c>
      <c r="E76">
        <v>0</v>
      </c>
      <c r="F76">
        <v>0</v>
      </c>
      <c r="G76">
        <v>0</v>
      </c>
      <c r="H76">
        <v>-3</v>
      </c>
      <c r="I76">
        <v>-1</v>
      </c>
      <c r="J76">
        <v>-0.1</v>
      </c>
      <c r="K76">
        <v>0.16</v>
      </c>
      <c r="L76">
        <v>0.55000000000000004</v>
      </c>
      <c r="M76">
        <v>3.3</v>
      </c>
      <c r="N76">
        <v>-0.3</v>
      </c>
      <c r="O76" t="s">
        <v>548</v>
      </c>
      <c r="P76" s="368">
        <v>37977</v>
      </c>
      <c r="Q76" t="s">
        <v>46</v>
      </c>
      <c r="R76" t="s">
        <v>749</v>
      </c>
      <c r="S76" t="s">
        <v>178</v>
      </c>
      <c r="T76" t="s">
        <v>156</v>
      </c>
      <c r="U76"/>
    </row>
    <row r="77" spans="1:21" x14ac:dyDescent="0.2">
      <c r="A77">
        <v>292193</v>
      </c>
      <c r="B77" t="s">
        <v>272</v>
      </c>
      <c r="C77">
        <v>21</v>
      </c>
      <c r="D77">
        <v>1</v>
      </c>
      <c r="E77">
        <v>7</v>
      </c>
      <c r="F77">
        <v>21</v>
      </c>
      <c r="G77">
        <v>48</v>
      </c>
      <c r="H77">
        <v>73</v>
      </c>
      <c r="I77">
        <v>124</v>
      </c>
      <c r="J77">
        <v>17.5</v>
      </c>
      <c r="K77">
        <v>0.17</v>
      </c>
      <c r="L77">
        <v>0.26</v>
      </c>
      <c r="M77">
        <v>18.600000000000001</v>
      </c>
      <c r="N77">
        <v>1.1000000000000001</v>
      </c>
      <c r="O77" t="s">
        <v>548</v>
      </c>
      <c r="P77" s="368">
        <v>41414</v>
      </c>
      <c r="Q77" t="s">
        <v>151</v>
      </c>
      <c r="R77" t="s">
        <v>639</v>
      </c>
      <c r="S77" t="s">
        <v>152</v>
      </c>
      <c r="T77" t="s">
        <v>201</v>
      </c>
      <c r="U77"/>
    </row>
    <row r="78" spans="1:21" x14ac:dyDescent="0.2">
      <c r="A78">
        <v>256362</v>
      </c>
      <c r="B78" t="s">
        <v>257</v>
      </c>
      <c r="C78">
        <v>20</v>
      </c>
      <c r="D78">
        <v>5</v>
      </c>
      <c r="E78">
        <v>7</v>
      </c>
      <c r="F78">
        <v>20</v>
      </c>
      <c r="G78">
        <v>30</v>
      </c>
      <c r="H78">
        <v>57</v>
      </c>
      <c r="I78">
        <v>123</v>
      </c>
      <c r="J78">
        <v>17.399999999999999</v>
      </c>
      <c r="K78">
        <v>0.17</v>
      </c>
      <c r="L78">
        <v>0.25</v>
      </c>
      <c r="M78">
        <v>17.5</v>
      </c>
      <c r="N78">
        <v>1</v>
      </c>
      <c r="O78" t="s">
        <v>548</v>
      </c>
      <c r="P78" s="368">
        <v>41414</v>
      </c>
      <c r="Q78" t="s">
        <v>151</v>
      </c>
      <c r="R78" t="s">
        <v>620</v>
      </c>
      <c r="S78" t="s">
        <v>152</v>
      </c>
      <c r="T78" t="s">
        <v>197</v>
      </c>
      <c r="U78"/>
    </row>
    <row r="79" spans="1:21" x14ac:dyDescent="0.2">
      <c r="A79">
        <v>407064</v>
      </c>
      <c r="B79" t="s">
        <v>1220</v>
      </c>
      <c r="C79">
        <v>17</v>
      </c>
      <c r="D79">
        <v>4</v>
      </c>
      <c r="E79">
        <v>5</v>
      </c>
      <c r="F79">
        <v>17</v>
      </c>
      <c r="G79">
        <v>29</v>
      </c>
      <c r="H79">
        <v>45</v>
      </c>
      <c r="I79">
        <v>103</v>
      </c>
      <c r="J79">
        <v>15.2</v>
      </c>
      <c r="K79">
        <v>0.17</v>
      </c>
      <c r="L79">
        <v>0.31</v>
      </c>
      <c r="M79">
        <v>15.5</v>
      </c>
      <c r="N79">
        <v>0.9</v>
      </c>
      <c r="O79" t="s">
        <v>548</v>
      </c>
      <c r="P79" s="368">
        <v>40346</v>
      </c>
      <c r="Q79" t="s">
        <v>151</v>
      </c>
      <c r="R79" t="s">
        <v>701</v>
      </c>
      <c r="S79" t="s">
        <v>191</v>
      </c>
      <c r="T79" t="s">
        <v>159</v>
      </c>
      <c r="U79"/>
    </row>
    <row r="80" spans="1:21" x14ac:dyDescent="0.2">
      <c r="A80">
        <v>545426</v>
      </c>
      <c r="B80" t="s">
        <v>371</v>
      </c>
      <c r="C80">
        <v>17</v>
      </c>
      <c r="D80">
        <v>4</v>
      </c>
      <c r="E80">
        <v>6</v>
      </c>
      <c r="F80">
        <v>17</v>
      </c>
      <c r="G80">
        <v>28</v>
      </c>
      <c r="H80">
        <v>44</v>
      </c>
      <c r="I80">
        <v>102</v>
      </c>
      <c r="J80">
        <v>15.1</v>
      </c>
      <c r="K80">
        <v>0.17</v>
      </c>
      <c r="L80">
        <v>0.26</v>
      </c>
      <c r="M80">
        <v>16.2</v>
      </c>
      <c r="N80">
        <v>0.8</v>
      </c>
      <c r="O80" t="s">
        <v>548</v>
      </c>
      <c r="P80" s="368">
        <v>41554</v>
      </c>
      <c r="Q80" t="s">
        <v>151</v>
      </c>
      <c r="R80" t="s">
        <v>773</v>
      </c>
      <c r="S80" t="s">
        <v>152</v>
      </c>
      <c r="T80" t="s">
        <v>159</v>
      </c>
      <c r="U80"/>
    </row>
    <row r="81" spans="1:21" x14ac:dyDescent="0.2">
      <c r="A81">
        <v>723270</v>
      </c>
      <c r="B81" t="s">
        <v>1162</v>
      </c>
      <c r="C81">
        <v>19</v>
      </c>
      <c r="D81">
        <v>5</v>
      </c>
      <c r="E81">
        <v>6</v>
      </c>
      <c r="F81">
        <v>19</v>
      </c>
      <c r="G81">
        <v>28</v>
      </c>
      <c r="H81">
        <v>46</v>
      </c>
      <c r="I81">
        <v>101</v>
      </c>
      <c r="J81">
        <v>15</v>
      </c>
      <c r="K81">
        <v>0.17</v>
      </c>
      <c r="L81">
        <v>0.21</v>
      </c>
      <c r="M81">
        <v>15.8</v>
      </c>
      <c r="N81">
        <v>0.9</v>
      </c>
      <c r="O81" t="s">
        <v>551</v>
      </c>
      <c r="P81" s="368">
        <v>42888</v>
      </c>
      <c r="Q81" t="s">
        <v>46</v>
      </c>
      <c r="R81" t="s">
        <v>852</v>
      </c>
      <c r="S81" t="s">
        <v>173</v>
      </c>
      <c r="T81" t="s">
        <v>159</v>
      </c>
      <c r="U81"/>
    </row>
    <row r="82" spans="1:21" x14ac:dyDescent="0.2">
      <c r="A82">
        <v>654459</v>
      </c>
      <c r="B82" t="s">
        <v>409</v>
      </c>
      <c r="C82">
        <v>17</v>
      </c>
      <c r="D82">
        <v>2</v>
      </c>
      <c r="E82">
        <v>7</v>
      </c>
      <c r="F82">
        <v>17</v>
      </c>
      <c r="G82">
        <v>25</v>
      </c>
      <c r="H82">
        <v>24</v>
      </c>
      <c r="I82">
        <v>68</v>
      </c>
      <c r="J82">
        <v>11</v>
      </c>
      <c r="K82">
        <v>0.17</v>
      </c>
      <c r="L82">
        <v>0.26</v>
      </c>
      <c r="M82">
        <v>16.2</v>
      </c>
      <c r="N82">
        <v>0.5</v>
      </c>
      <c r="O82" t="s">
        <v>548</v>
      </c>
      <c r="P82" s="368">
        <v>36712</v>
      </c>
      <c r="Q82" t="s">
        <v>151</v>
      </c>
      <c r="R82" t="s">
        <v>821</v>
      </c>
      <c r="S82" t="s">
        <v>152</v>
      </c>
      <c r="T82" t="s">
        <v>179</v>
      </c>
      <c r="U82"/>
    </row>
    <row r="83" spans="1:21" x14ac:dyDescent="0.2">
      <c r="A83">
        <v>582791</v>
      </c>
      <c r="B83" t="s">
        <v>388</v>
      </c>
      <c r="C83">
        <v>5</v>
      </c>
      <c r="D83">
        <v>2</v>
      </c>
      <c r="E83">
        <v>-4</v>
      </c>
      <c r="F83">
        <v>5</v>
      </c>
      <c r="G83">
        <v>14</v>
      </c>
      <c r="H83">
        <v>17</v>
      </c>
      <c r="I83">
        <v>64</v>
      </c>
      <c r="J83">
        <v>10.4</v>
      </c>
      <c r="K83">
        <v>0.17</v>
      </c>
      <c r="L83">
        <v>0.25</v>
      </c>
      <c r="M83">
        <v>14.7</v>
      </c>
      <c r="N83">
        <v>0.4</v>
      </c>
      <c r="O83" t="s">
        <v>548</v>
      </c>
      <c r="P83" s="368">
        <v>36712</v>
      </c>
      <c r="Q83" t="s">
        <v>151</v>
      </c>
      <c r="R83" t="s">
        <v>793</v>
      </c>
      <c r="S83" t="s">
        <v>152</v>
      </c>
      <c r="T83" t="s">
        <v>206</v>
      </c>
      <c r="U83"/>
    </row>
    <row r="84" spans="1:21" x14ac:dyDescent="0.2">
      <c r="A84">
        <v>874560</v>
      </c>
      <c r="B84" t="s">
        <v>517</v>
      </c>
      <c r="C84">
        <v>1</v>
      </c>
      <c r="D84">
        <v>0</v>
      </c>
      <c r="E84">
        <v>0</v>
      </c>
      <c r="F84">
        <v>1</v>
      </c>
      <c r="G84">
        <v>4</v>
      </c>
      <c r="H84">
        <v>5</v>
      </c>
      <c r="I84">
        <v>10</v>
      </c>
      <c r="J84">
        <v>2</v>
      </c>
      <c r="K84">
        <v>0.17</v>
      </c>
      <c r="L84">
        <v>0.65</v>
      </c>
      <c r="M84">
        <v>3.8</v>
      </c>
      <c r="N84">
        <v>0.5</v>
      </c>
      <c r="O84" t="s">
        <v>548</v>
      </c>
      <c r="P84" s="368">
        <v>41708</v>
      </c>
      <c r="Q84" t="s">
        <v>151</v>
      </c>
      <c r="R84" t="s">
        <v>914</v>
      </c>
      <c r="S84" t="s">
        <v>231</v>
      </c>
      <c r="T84" t="s">
        <v>163</v>
      </c>
      <c r="U84"/>
    </row>
    <row r="85" spans="1:21" x14ac:dyDescent="0.2">
      <c r="A85">
        <v>840090</v>
      </c>
      <c r="B85" t="s">
        <v>1229</v>
      </c>
      <c r="C85">
        <v>-1</v>
      </c>
      <c r="D85">
        <v>0</v>
      </c>
      <c r="E85">
        <v>0</v>
      </c>
      <c r="F85">
        <v>-1</v>
      </c>
      <c r="G85">
        <v>1</v>
      </c>
      <c r="H85">
        <v>5</v>
      </c>
      <c r="I85">
        <v>6</v>
      </c>
      <c r="J85">
        <v>1.2</v>
      </c>
      <c r="K85">
        <v>0.17</v>
      </c>
      <c r="L85">
        <v>0.73</v>
      </c>
      <c r="M85">
        <v>2.8</v>
      </c>
      <c r="N85">
        <v>0.6</v>
      </c>
      <c r="O85" t="s">
        <v>548</v>
      </c>
      <c r="P85" s="368">
        <v>41617</v>
      </c>
      <c r="Q85" t="s">
        <v>46</v>
      </c>
      <c r="R85" t="s">
        <v>896</v>
      </c>
      <c r="S85" t="s">
        <v>184</v>
      </c>
      <c r="T85" t="s">
        <v>166</v>
      </c>
      <c r="U85"/>
    </row>
    <row r="86" spans="1:21" x14ac:dyDescent="0.2">
      <c r="A86">
        <v>469817</v>
      </c>
      <c r="B86" t="s">
        <v>343</v>
      </c>
      <c r="C86">
        <v>0</v>
      </c>
      <c r="D86">
        <v>0</v>
      </c>
      <c r="E86">
        <v>1</v>
      </c>
      <c r="F86">
        <v>0</v>
      </c>
      <c r="G86">
        <v>1</v>
      </c>
      <c r="H86">
        <v>-2</v>
      </c>
      <c r="I86">
        <v>1</v>
      </c>
      <c r="J86">
        <v>0.2</v>
      </c>
      <c r="K86">
        <v>0.17</v>
      </c>
      <c r="L86">
        <v>0.5</v>
      </c>
      <c r="M86">
        <v>3.3</v>
      </c>
      <c r="N86">
        <v>-0.1</v>
      </c>
      <c r="O86" t="s">
        <v>548</v>
      </c>
      <c r="P86" s="368">
        <v>37007</v>
      </c>
      <c r="Q86" t="s">
        <v>151</v>
      </c>
      <c r="R86" t="s">
        <v>733</v>
      </c>
      <c r="S86" t="s">
        <v>152</v>
      </c>
      <c r="T86" t="s">
        <v>156</v>
      </c>
      <c r="U86"/>
    </row>
    <row r="87" spans="1:21" x14ac:dyDescent="0.2">
      <c r="A87">
        <v>844100</v>
      </c>
      <c r="B87" t="s">
        <v>466</v>
      </c>
      <c r="C87">
        <v>0</v>
      </c>
      <c r="D87">
        <v>0</v>
      </c>
      <c r="E87">
        <v>1</v>
      </c>
      <c r="F87">
        <v>0</v>
      </c>
      <c r="G87">
        <v>1</v>
      </c>
      <c r="H87">
        <v>-2</v>
      </c>
      <c r="I87">
        <v>0</v>
      </c>
      <c r="J87">
        <v>0</v>
      </c>
      <c r="K87">
        <v>0.17</v>
      </c>
      <c r="L87">
        <v>0.51</v>
      </c>
      <c r="M87">
        <v>3.4</v>
      </c>
      <c r="N87">
        <v>-0.2</v>
      </c>
      <c r="O87" t="s">
        <v>548</v>
      </c>
      <c r="P87" s="368">
        <v>43244</v>
      </c>
      <c r="Q87" t="s">
        <v>151</v>
      </c>
      <c r="R87" t="s">
        <v>898</v>
      </c>
      <c r="S87" t="s">
        <v>155</v>
      </c>
      <c r="T87" t="s">
        <v>156</v>
      </c>
      <c r="U87"/>
    </row>
    <row r="88" spans="1:21" x14ac:dyDescent="0.2">
      <c r="A88">
        <v>357658</v>
      </c>
      <c r="B88" t="s">
        <v>996</v>
      </c>
      <c r="C88">
        <v>19</v>
      </c>
      <c r="D88">
        <v>1</v>
      </c>
      <c r="E88">
        <v>7</v>
      </c>
      <c r="F88">
        <v>19</v>
      </c>
      <c r="G88">
        <v>46</v>
      </c>
      <c r="H88">
        <v>73</v>
      </c>
      <c r="I88"/>
      <c r="J88"/>
      <c r="K88">
        <v>0.17</v>
      </c>
      <c r="L88">
        <v>0.31</v>
      </c>
      <c r="M88">
        <v>18.399999999999999</v>
      </c>
      <c r="N88">
        <v>1.1000000000000001</v>
      </c>
      <c r="O88" t="s">
        <v>548</v>
      </c>
      <c r="P88" s="368">
        <v>43860</v>
      </c>
      <c r="Q88" t="s">
        <v>151</v>
      </c>
      <c r="R88" t="s">
        <v>997</v>
      </c>
      <c r="S88" t="s">
        <v>191</v>
      </c>
      <c r="T88" t="s">
        <v>201</v>
      </c>
      <c r="U88"/>
    </row>
    <row r="89" spans="1:21" x14ac:dyDescent="0.2">
      <c r="A89">
        <v>715955</v>
      </c>
      <c r="B89" t="s">
        <v>993</v>
      </c>
      <c r="C89">
        <v>12</v>
      </c>
      <c r="D89">
        <v>4</v>
      </c>
      <c r="E89">
        <v>2</v>
      </c>
      <c r="F89">
        <v>12</v>
      </c>
      <c r="G89">
        <v>29</v>
      </c>
      <c r="H89"/>
      <c r="I89"/>
      <c r="J89"/>
      <c r="K89">
        <v>0.17</v>
      </c>
      <c r="L89">
        <v>0.27</v>
      </c>
      <c r="M89"/>
      <c r="N89"/>
      <c r="O89" t="s">
        <v>548</v>
      </c>
      <c r="P89" s="368">
        <v>43857</v>
      </c>
      <c r="Q89" t="s">
        <v>151</v>
      </c>
      <c r="R89" t="s">
        <v>1003</v>
      </c>
      <c r="S89" t="s">
        <v>437</v>
      </c>
      <c r="T89" t="s">
        <v>169</v>
      </c>
      <c r="U89"/>
    </row>
    <row r="90" spans="1:21" x14ac:dyDescent="0.2">
      <c r="A90">
        <v>269357</v>
      </c>
      <c r="B90" t="s">
        <v>263</v>
      </c>
      <c r="C90">
        <v>19</v>
      </c>
      <c r="D90">
        <v>1</v>
      </c>
      <c r="E90">
        <v>13</v>
      </c>
      <c r="F90">
        <v>19</v>
      </c>
      <c r="G90">
        <v>66</v>
      </c>
      <c r="H90">
        <v>119</v>
      </c>
      <c r="I90">
        <v>199</v>
      </c>
      <c r="J90">
        <v>24.5</v>
      </c>
      <c r="K90">
        <v>0.18</v>
      </c>
      <c r="L90">
        <v>0.4</v>
      </c>
      <c r="M90">
        <v>20.8</v>
      </c>
      <c r="N90">
        <v>1.4</v>
      </c>
      <c r="O90" t="s">
        <v>548</v>
      </c>
      <c r="P90" s="368">
        <v>38125</v>
      </c>
      <c r="Q90" t="s">
        <v>151</v>
      </c>
      <c r="R90" t="s">
        <v>626</v>
      </c>
      <c r="S90" t="s">
        <v>262</v>
      </c>
      <c r="T90" t="s">
        <v>153</v>
      </c>
      <c r="U90"/>
    </row>
    <row r="91" spans="1:21" x14ac:dyDescent="0.2">
      <c r="A91">
        <v>520692</v>
      </c>
      <c r="B91" t="s">
        <v>364</v>
      </c>
      <c r="C91">
        <v>23</v>
      </c>
      <c r="D91">
        <v>5</v>
      </c>
      <c r="E91">
        <v>7</v>
      </c>
      <c r="F91">
        <v>23</v>
      </c>
      <c r="G91">
        <v>33</v>
      </c>
      <c r="H91">
        <v>69</v>
      </c>
      <c r="I91">
        <v>133</v>
      </c>
      <c r="J91">
        <v>18.399999999999999</v>
      </c>
      <c r="K91">
        <v>0.18</v>
      </c>
      <c r="L91">
        <v>0.4</v>
      </c>
      <c r="M91">
        <v>16.5</v>
      </c>
      <c r="N91">
        <v>1.2</v>
      </c>
      <c r="O91" t="s">
        <v>548</v>
      </c>
      <c r="P91" s="368">
        <v>39356</v>
      </c>
      <c r="Q91" t="s">
        <v>151</v>
      </c>
      <c r="R91" t="s">
        <v>762</v>
      </c>
      <c r="S91" t="s">
        <v>262</v>
      </c>
      <c r="T91" t="s">
        <v>197</v>
      </c>
      <c r="U91"/>
    </row>
    <row r="92" spans="1:21" x14ac:dyDescent="0.2">
      <c r="A92">
        <v>976928</v>
      </c>
      <c r="B92" t="s">
        <v>494</v>
      </c>
      <c r="C92">
        <v>18</v>
      </c>
      <c r="D92">
        <v>1</v>
      </c>
      <c r="E92">
        <v>5</v>
      </c>
      <c r="F92">
        <v>18</v>
      </c>
      <c r="G92">
        <v>43</v>
      </c>
      <c r="H92">
        <v>61</v>
      </c>
      <c r="I92">
        <v>114</v>
      </c>
      <c r="J92">
        <v>16.5</v>
      </c>
      <c r="K92">
        <v>0.18</v>
      </c>
      <c r="L92">
        <v>0.4</v>
      </c>
      <c r="M92">
        <v>19.3</v>
      </c>
      <c r="N92">
        <v>0.9</v>
      </c>
      <c r="O92" t="s">
        <v>548</v>
      </c>
      <c r="P92" s="368">
        <v>36712</v>
      </c>
      <c r="Q92" t="s">
        <v>151</v>
      </c>
      <c r="R92" t="s">
        <v>952</v>
      </c>
      <c r="S92" t="s">
        <v>167</v>
      </c>
      <c r="T92" t="s">
        <v>201</v>
      </c>
      <c r="U92"/>
    </row>
    <row r="93" spans="1:21" x14ac:dyDescent="0.2">
      <c r="A93">
        <v>393488</v>
      </c>
      <c r="B93" t="s">
        <v>998</v>
      </c>
      <c r="C93">
        <v>18</v>
      </c>
      <c r="D93">
        <v>4</v>
      </c>
      <c r="E93">
        <v>6</v>
      </c>
      <c r="F93">
        <v>18</v>
      </c>
      <c r="G93">
        <v>31</v>
      </c>
      <c r="H93">
        <v>53</v>
      </c>
      <c r="I93">
        <v>114</v>
      </c>
      <c r="J93">
        <v>16.399999999999999</v>
      </c>
      <c r="K93">
        <v>0.18</v>
      </c>
      <c r="L93">
        <v>0.41</v>
      </c>
      <c r="M93">
        <v>16.2</v>
      </c>
      <c r="N93">
        <v>1</v>
      </c>
      <c r="O93" t="s">
        <v>548</v>
      </c>
      <c r="P93" s="368">
        <v>43860</v>
      </c>
      <c r="Q93" t="s">
        <v>151</v>
      </c>
      <c r="R93" t="s">
        <v>999</v>
      </c>
      <c r="S93" t="s">
        <v>191</v>
      </c>
      <c r="T93" t="s">
        <v>159</v>
      </c>
      <c r="U93"/>
    </row>
    <row r="94" spans="1:21" x14ac:dyDescent="0.2">
      <c r="A94">
        <v>941096</v>
      </c>
      <c r="B94" t="s">
        <v>486</v>
      </c>
      <c r="C94">
        <v>15</v>
      </c>
      <c r="D94">
        <v>3</v>
      </c>
      <c r="E94">
        <v>4</v>
      </c>
      <c r="F94">
        <v>15</v>
      </c>
      <c r="G94">
        <v>32</v>
      </c>
      <c r="H94">
        <v>53</v>
      </c>
      <c r="I94">
        <v>110</v>
      </c>
      <c r="J94">
        <v>16</v>
      </c>
      <c r="K94">
        <v>0.18</v>
      </c>
      <c r="L94">
        <v>0.4</v>
      </c>
      <c r="M94">
        <v>16.100000000000001</v>
      </c>
      <c r="N94">
        <v>1</v>
      </c>
      <c r="O94" t="s">
        <v>548</v>
      </c>
      <c r="P94" s="368">
        <v>36712</v>
      </c>
      <c r="Q94" t="s">
        <v>151</v>
      </c>
      <c r="R94" t="s">
        <v>940</v>
      </c>
      <c r="S94" t="s">
        <v>167</v>
      </c>
      <c r="T94" t="s">
        <v>159</v>
      </c>
      <c r="U94"/>
    </row>
    <row r="95" spans="1:21" x14ac:dyDescent="0.2">
      <c r="A95">
        <v>785907</v>
      </c>
      <c r="B95" t="s">
        <v>450</v>
      </c>
      <c r="C95">
        <v>17</v>
      </c>
      <c r="D95">
        <v>3</v>
      </c>
      <c r="E95">
        <v>5</v>
      </c>
      <c r="F95">
        <v>17</v>
      </c>
      <c r="G95">
        <v>27</v>
      </c>
      <c r="H95">
        <v>48</v>
      </c>
      <c r="I95">
        <v>109</v>
      </c>
      <c r="J95">
        <v>15.9</v>
      </c>
      <c r="K95">
        <v>0.18</v>
      </c>
      <c r="L95">
        <v>0.4</v>
      </c>
      <c r="M95">
        <v>15.5</v>
      </c>
      <c r="N95">
        <v>0.9</v>
      </c>
      <c r="O95" t="s">
        <v>548</v>
      </c>
      <c r="P95" s="368">
        <v>41611</v>
      </c>
      <c r="Q95" t="s">
        <v>151</v>
      </c>
      <c r="R95" t="s">
        <v>877</v>
      </c>
      <c r="S95" t="s">
        <v>181</v>
      </c>
      <c r="T95" t="s">
        <v>159</v>
      </c>
      <c r="U95"/>
    </row>
    <row r="96" spans="1:21" x14ac:dyDescent="0.2">
      <c r="A96">
        <v>908277</v>
      </c>
      <c r="B96" t="s">
        <v>479</v>
      </c>
      <c r="C96">
        <v>17</v>
      </c>
      <c r="D96">
        <v>3</v>
      </c>
      <c r="E96">
        <v>3</v>
      </c>
      <c r="F96">
        <v>17</v>
      </c>
      <c r="G96">
        <v>27</v>
      </c>
      <c r="H96">
        <v>51</v>
      </c>
      <c r="I96">
        <v>104</v>
      </c>
      <c r="J96">
        <v>15.4</v>
      </c>
      <c r="K96">
        <v>0.18</v>
      </c>
      <c r="L96">
        <v>0.4</v>
      </c>
      <c r="M96">
        <v>14.3</v>
      </c>
      <c r="N96">
        <v>1</v>
      </c>
      <c r="O96" t="s">
        <v>548</v>
      </c>
      <c r="P96" s="368">
        <v>37231</v>
      </c>
      <c r="Q96" t="s">
        <v>151</v>
      </c>
      <c r="R96" t="s">
        <v>927</v>
      </c>
      <c r="S96" t="s">
        <v>262</v>
      </c>
      <c r="T96" t="s">
        <v>159</v>
      </c>
      <c r="U96"/>
    </row>
    <row r="97" spans="1:21" x14ac:dyDescent="0.2">
      <c r="A97">
        <v>681783</v>
      </c>
      <c r="B97" t="s">
        <v>83</v>
      </c>
      <c r="C97">
        <v>22</v>
      </c>
      <c r="D97">
        <v>2</v>
      </c>
      <c r="E97">
        <v>9</v>
      </c>
      <c r="F97">
        <v>22</v>
      </c>
      <c r="G97">
        <v>46</v>
      </c>
      <c r="H97">
        <v>58</v>
      </c>
      <c r="I97">
        <v>103</v>
      </c>
      <c r="J97">
        <v>15.2</v>
      </c>
      <c r="K97">
        <v>0.18</v>
      </c>
      <c r="L97">
        <v>0.4</v>
      </c>
      <c r="M97">
        <v>18.600000000000001</v>
      </c>
      <c r="N97">
        <v>0.9</v>
      </c>
      <c r="O97" t="s">
        <v>548</v>
      </c>
      <c r="P97" s="368">
        <v>36712</v>
      </c>
      <c r="Q97" t="s">
        <v>151</v>
      </c>
      <c r="R97" t="s">
        <v>835</v>
      </c>
      <c r="S97" t="s">
        <v>262</v>
      </c>
      <c r="T97" t="s">
        <v>201</v>
      </c>
      <c r="U97"/>
    </row>
    <row r="98" spans="1:21" x14ac:dyDescent="0.2">
      <c r="A98">
        <v>645952</v>
      </c>
      <c r="B98" t="s">
        <v>82</v>
      </c>
      <c r="C98">
        <v>19</v>
      </c>
      <c r="D98">
        <v>2</v>
      </c>
      <c r="E98">
        <v>7</v>
      </c>
      <c r="F98">
        <v>19</v>
      </c>
      <c r="G98">
        <v>37</v>
      </c>
      <c r="H98">
        <v>52</v>
      </c>
      <c r="I98">
        <v>99</v>
      </c>
      <c r="J98">
        <v>14.8</v>
      </c>
      <c r="K98">
        <v>0.18</v>
      </c>
      <c r="L98">
        <v>0.4</v>
      </c>
      <c r="M98">
        <v>16.5</v>
      </c>
      <c r="N98">
        <v>0.9</v>
      </c>
      <c r="O98" t="s">
        <v>548</v>
      </c>
      <c r="P98" s="368">
        <v>36712</v>
      </c>
      <c r="Q98" t="s">
        <v>151</v>
      </c>
      <c r="R98" t="s">
        <v>815</v>
      </c>
      <c r="S98" t="s">
        <v>262</v>
      </c>
      <c r="T98" t="s">
        <v>176</v>
      </c>
      <c r="U98"/>
    </row>
    <row r="99" spans="1:21" x14ac:dyDescent="0.2">
      <c r="A99">
        <v>785022</v>
      </c>
      <c r="B99" t="s">
        <v>39</v>
      </c>
      <c r="C99">
        <v>19</v>
      </c>
      <c r="D99">
        <v>2</v>
      </c>
      <c r="E99">
        <v>4</v>
      </c>
      <c r="F99">
        <v>19</v>
      </c>
      <c r="G99">
        <v>29</v>
      </c>
      <c r="H99">
        <v>42</v>
      </c>
      <c r="I99">
        <v>99</v>
      </c>
      <c r="J99">
        <v>14.8</v>
      </c>
      <c r="K99">
        <v>0.18</v>
      </c>
      <c r="L99">
        <v>0.43</v>
      </c>
      <c r="M99">
        <v>15.7</v>
      </c>
      <c r="N99">
        <v>0.8</v>
      </c>
      <c r="O99" t="s">
        <v>548</v>
      </c>
      <c r="P99" s="368">
        <v>36712</v>
      </c>
      <c r="Q99" t="s">
        <v>151</v>
      </c>
      <c r="R99" t="s">
        <v>875</v>
      </c>
      <c r="S99" t="s">
        <v>167</v>
      </c>
      <c r="T99" t="s">
        <v>176</v>
      </c>
      <c r="U99"/>
    </row>
    <row r="100" spans="1:21" x14ac:dyDescent="0.2">
      <c r="A100">
        <v>844522</v>
      </c>
      <c r="B100" t="s">
        <v>467</v>
      </c>
      <c r="C100">
        <v>18</v>
      </c>
      <c r="D100">
        <v>3</v>
      </c>
      <c r="E100">
        <v>4</v>
      </c>
      <c r="F100">
        <v>18</v>
      </c>
      <c r="G100">
        <v>30</v>
      </c>
      <c r="H100">
        <v>43</v>
      </c>
      <c r="I100">
        <v>93</v>
      </c>
      <c r="J100">
        <v>14</v>
      </c>
      <c r="K100">
        <v>0.18</v>
      </c>
      <c r="L100">
        <v>0.41</v>
      </c>
      <c r="M100">
        <v>15.1</v>
      </c>
      <c r="N100">
        <v>0.9</v>
      </c>
      <c r="O100" t="s">
        <v>548</v>
      </c>
      <c r="P100" s="368">
        <v>36712</v>
      </c>
      <c r="Q100" t="s">
        <v>151</v>
      </c>
      <c r="R100" t="s">
        <v>899</v>
      </c>
      <c r="S100" t="s">
        <v>191</v>
      </c>
      <c r="T100" t="s">
        <v>236</v>
      </c>
      <c r="U100"/>
    </row>
    <row r="101" spans="1:21" x14ac:dyDescent="0.2">
      <c r="A101">
        <v>498972</v>
      </c>
      <c r="B101" t="s">
        <v>355</v>
      </c>
      <c r="C101">
        <v>18</v>
      </c>
      <c r="D101">
        <v>3</v>
      </c>
      <c r="E101">
        <v>4</v>
      </c>
      <c r="F101">
        <v>18</v>
      </c>
      <c r="G101">
        <v>30</v>
      </c>
      <c r="H101">
        <v>43</v>
      </c>
      <c r="I101">
        <v>92</v>
      </c>
      <c r="J101">
        <v>13.9</v>
      </c>
      <c r="K101">
        <v>0.18</v>
      </c>
      <c r="L101">
        <v>0.41</v>
      </c>
      <c r="M101">
        <v>15</v>
      </c>
      <c r="N101">
        <v>0.9</v>
      </c>
      <c r="O101" t="s">
        <v>548</v>
      </c>
      <c r="P101" s="368">
        <v>36712</v>
      </c>
      <c r="Q101" t="s">
        <v>151</v>
      </c>
      <c r="R101" t="s">
        <v>750</v>
      </c>
      <c r="S101" t="s">
        <v>191</v>
      </c>
      <c r="T101" t="s">
        <v>236</v>
      </c>
      <c r="U101"/>
    </row>
    <row r="102" spans="1:21" x14ac:dyDescent="0.2">
      <c r="A102">
        <v>823096</v>
      </c>
      <c r="B102" t="s">
        <v>457</v>
      </c>
      <c r="C102">
        <v>8</v>
      </c>
      <c r="D102">
        <v>3</v>
      </c>
      <c r="E102">
        <v>-2</v>
      </c>
      <c r="F102">
        <v>8</v>
      </c>
      <c r="G102">
        <v>23</v>
      </c>
      <c r="H102">
        <v>39</v>
      </c>
      <c r="I102">
        <v>90</v>
      </c>
      <c r="J102">
        <v>13.7</v>
      </c>
      <c r="K102">
        <v>0.18</v>
      </c>
      <c r="L102">
        <v>0.4</v>
      </c>
      <c r="M102">
        <v>13.3</v>
      </c>
      <c r="N102">
        <v>0.9</v>
      </c>
      <c r="O102" t="s">
        <v>548</v>
      </c>
      <c r="P102" s="368">
        <v>39720</v>
      </c>
      <c r="Q102" t="s">
        <v>151</v>
      </c>
      <c r="R102" t="s">
        <v>887</v>
      </c>
      <c r="S102" t="s">
        <v>262</v>
      </c>
      <c r="T102" t="s">
        <v>251</v>
      </c>
      <c r="U102"/>
    </row>
    <row r="103" spans="1:21" x14ac:dyDescent="0.2">
      <c r="A103">
        <v>434274</v>
      </c>
      <c r="B103" t="s">
        <v>332</v>
      </c>
      <c r="C103">
        <v>12</v>
      </c>
      <c r="D103">
        <v>4</v>
      </c>
      <c r="E103">
        <v>2</v>
      </c>
      <c r="F103">
        <v>12</v>
      </c>
      <c r="G103">
        <v>28</v>
      </c>
      <c r="H103">
        <v>30</v>
      </c>
      <c r="I103">
        <v>83</v>
      </c>
      <c r="J103">
        <v>12.8</v>
      </c>
      <c r="K103">
        <v>0.18</v>
      </c>
      <c r="L103">
        <v>0.41</v>
      </c>
      <c r="M103">
        <v>15.4</v>
      </c>
      <c r="N103">
        <v>0.7</v>
      </c>
      <c r="O103" t="s">
        <v>548</v>
      </c>
      <c r="P103" s="368">
        <v>41933</v>
      </c>
      <c r="Q103" t="s">
        <v>151</v>
      </c>
      <c r="R103" t="s">
        <v>717</v>
      </c>
      <c r="S103" t="s">
        <v>231</v>
      </c>
      <c r="T103" t="s">
        <v>169</v>
      </c>
      <c r="U103"/>
    </row>
    <row r="104" spans="1:21" x14ac:dyDescent="0.2">
      <c r="A104">
        <v>463141</v>
      </c>
      <c r="B104" t="s">
        <v>342</v>
      </c>
      <c r="C104">
        <v>15</v>
      </c>
      <c r="D104">
        <v>2</v>
      </c>
      <c r="E104">
        <v>4</v>
      </c>
      <c r="F104">
        <v>15</v>
      </c>
      <c r="G104">
        <v>25</v>
      </c>
      <c r="H104">
        <v>37</v>
      </c>
      <c r="I104">
        <v>81</v>
      </c>
      <c r="J104">
        <v>12.6</v>
      </c>
      <c r="K104">
        <v>0.18</v>
      </c>
      <c r="L104">
        <v>0.41</v>
      </c>
      <c r="M104">
        <v>13.5</v>
      </c>
      <c r="N104">
        <v>0.9</v>
      </c>
      <c r="O104" t="s">
        <v>548</v>
      </c>
      <c r="P104" s="368">
        <v>36712</v>
      </c>
      <c r="Q104" t="s">
        <v>151</v>
      </c>
      <c r="R104" t="s">
        <v>730</v>
      </c>
      <c r="S104" t="s">
        <v>191</v>
      </c>
      <c r="T104" t="s">
        <v>208</v>
      </c>
      <c r="U104"/>
    </row>
    <row r="105" spans="1:21" x14ac:dyDescent="0.2">
      <c r="A105">
        <v>538462</v>
      </c>
      <c r="B105" t="s">
        <v>368</v>
      </c>
      <c r="C105">
        <v>14</v>
      </c>
      <c r="D105">
        <v>2</v>
      </c>
      <c r="E105">
        <v>4</v>
      </c>
      <c r="F105">
        <v>14</v>
      </c>
      <c r="G105">
        <v>26</v>
      </c>
      <c r="H105">
        <v>32</v>
      </c>
      <c r="I105">
        <v>74</v>
      </c>
      <c r="J105">
        <v>11.8</v>
      </c>
      <c r="K105">
        <v>0.18</v>
      </c>
      <c r="L105">
        <v>0.4</v>
      </c>
      <c r="M105">
        <v>16.7</v>
      </c>
      <c r="N105">
        <v>0.7</v>
      </c>
      <c r="O105" t="s">
        <v>548</v>
      </c>
      <c r="P105" s="368">
        <v>36712</v>
      </c>
      <c r="Q105" t="s">
        <v>151</v>
      </c>
      <c r="R105" t="s">
        <v>770</v>
      </c>
      <c r="S105" t="s">
        <v>262</v>
      </c>
      <c r="T105" t="s">
        <v>179</v>
      </c>
      <c r="U105"/>
    </row>
    <row r="106" spans="1:21" x14ac:dyDescent="0.2">
      <c r="A106">
        <v>981340</v>
      </c>
      <c r="B106" t="s">
        <v>1173</v>
      </c>
      <c r="C106">
        <v>16</v>
      </c>
      <c r="D106">
        <v>2</v>
      </c>
      <c r="E106">
        <v>6</v>
      </c>
      <c r="F106">
        <v>16</v>
      </c>
      <c r="G106">
        <v>25</v>
      </c>
      <c r="H106">
        <v>25</v>
      </c>
      <c r="I106">
        <v>72</v>
      </c>
      <c r="J106">
        <v>11.5</v>
      </c>
      <c r="K106">
        <v>0.18</v>
      </c>
      <c r="L106">
        <v>0.27</v>
      </c>
      <c r="M106">
        <v>15.2</v>
      </c>
      <c r="N106">
        <v>0.6</v>
      </c>
      <c r="O106" t="s">
        <v>551</v>
      </c>
      <c r="P106" s="368">
        <v>43698</v>
      </c>
      <c r="Q106" t="s">
        <v>46</v>
      </c>
      <c r="R106" t="s">
        <v>956</v>
      </c>
      <c r="S106" t="s">
        <v>173</v>
      </c>
      <c r="T106" t="s">
        <v>179</v>
      </c>
      <c r="U106"/>
    </row>
    <row r="107" spans="1:21" x14ac:dyDescent="0.2">
      <c r="A107">
        <v>224493</v>
      </c>
      <c r="B107" t="s">
        <v>238</v>
      </c>
      <c r="C107">
        <v>13</v>
      </c>
      <c r="D107">
        <v>2</v>
      </c>
      <c r="E107">
        <v>3</v>
      </c>
      <c r="F107">
        <v>13</v>
      </c>
      <c r="G107">
        <v>21</v>
      </c>
      <c r="H107">
        <v>30</v>
      </c>
      <c r="I107">
        <v>58</v>
      </c>
      <c r="J107">
        <v>9.6</v>
      </c>
      <c r="K107">
        <v>0.18</v>
      </c>
      <c r="L107">
        <v>0.4</v>
      </c>
      <c r="M107">
        <v>11.2</v>
      </c>
      <c r="N107">
        <v>0.8</v>
      </c>
      <c r="O107" t="s">
        <v>548</v>
      </c>
      <c r="P107" s="368">
        <v>36712</v>
      </c>
      <c r="Q107" t="s">
        <v>151</v>
      </c>
      <c r="R107" t="s">
        <v>604</v>
      </c>
      <c r="S107" t="s">
        <v>167</v>
      </c>
      <c r="T107" t="s">
        <v>172</v>
      </c>
      <c r="U107"/>
    </row>
    <row r="108" spans="1:21" x14ac:dyDescent="0.2">
      <c r="A108">
        <v>610121</v>
      </c>
      <c r="B108" t="s">
        <v>394</v>
      </c>
      <c r="C108">
        <v>12</v>
      </c>
      <c r="D108">
        <v>1</v>
      </c>
      <c r="E108">
        <v>5</v>
      </c>
      <c r="F108">
        <v>12</v>
      </c>
      <c r="G108">
        <v>24</v>
      </c>
      <c r="H108">
        <v>32</v>
      </c>
      <c r="I108">
        <v>56</v>
      </c>
      <c r="J108">
        <v>9.3000000000000007</v>
      </c>
      <c r="K108">
        <v>0.18</v>
      </c>
      <c r="L108">
        <v>0.4</v>
      </c>
      <c r="M108">
        <v>10.6</v>
      </c>
      <c r="N108">
        <v>0.9</v>
      </c>
      <c r="O108" t="s">
        <v>548</v>
      </c>
      <c r="P108" s="368">
        <v>36712</v>
      </c>
      <c r="Q108" t="s">
        <v>151</v>
      </c>
      <c r="R108" t="s">
        <v>800</v>
      </c>
      <c r="S108" t="s">
        <v>262</v>
      </c>
      <c r="T108" t="s">
        <v>172</v>
      </c>
      <c r="U108"/>
    </row>
    <row r="109" spans="1:21" x14ac:dyDescent="0.2">
      <c r="A109">
        <v>749192</v>
      </c>
      <c r="B109" t="s">
        <v>440</v>
      </c>
      <c r="C109">
        <v>8</v>
      </c>
      <c r="D109">
        <v>1</v>
      </c>
      <c r="E109">
        <v>1</v>
      </c>
      <c r="F109">
        <v>8</v>
      </c>
      <c r="G109">
        <v>12</v>
      </c>
      <c r="H109">
        <v>19</v>
      </c>
      <c r="I109">
        <v>40</v>
      </c>
      <c r="J109">
        <v>6.9</v>
      </c>
      <c r="K109">
        <v>0.18</v>
      </c>
      <c r="L109">
        <v>0.43</v>
      </c>
      <c r="M109">
        <v>8.1</v>
      </c>
      <c r="N109">
        <v>0.8</v>
      </c>
      <c r="O109" t="s">
        <v>548</v>
      </c>
      <c r="P109" s="368">
        <v>36712</v>
      </c>
      <c r="Q109" t="s">
        <v>151</v>
      </c>
      <c r="R109" t="s">
        <v>858</v>
      </c>
      <c r="S109" t="s">
        <v>167</v>
      </c>
      <c r="T109" t="s">
        <v>172</v>
      </c>
      <c r="U109"/>
    </row>
    <row r="110" spans="1:21" x14ac:dyDescent="0.2">
      <c r="A110">
        <v>427310</v>
      </c>
      <c r="B110" t="s">
        <v>330</v>
      </c>
      <c r="C110">
        <v>6</v>
      </c>
      <c r="D110">
        <v>1</v>
      </c>
      <c r="E110">
        <v>2</v>
      </c>
      <c r="F110">
        <v>6</v>
      </c>
      <c r="G110">
        <v>10</v>
      </c>
      <c r="H110">
        <v>15</v>
      </c>
      <c r="I110">
        <v>35</v>
      </c>
      <c r="J110">
        <v>6.2</v>
      </c>
      <c r="K110">
        <v>0.18</v>
      </c>
      <c r="L110">
        <v>0.41</v>
      </c>
      <c r="M110">
        <v>6.1</v>
      </c>
      <c r="N110">
        <v>0.8</v>
      </c>
      <c r="O110" t="s">
        <v>548</v>
      </c>
      <c r="P110" s="368">
        <v>36712</v>
      </c>
      <c r="Q110" t="s">
        <v>151</v>
      </c>
      <c r="R110" t="s">
        <v>714</v>
      </c>
      <c r="S110" t="s">
        <v>191</v>
      </c>
      <c r="T110" t="s">
        <v>208</v>
      </c>
      <c r="U110"/>
    </row>
    <row r="111" spans="1:21" x14ac:dyDescent="0.2">
      <c r="A111">
        <v>391482</v>
      </c>
      <c r="B111" t="s">
        <v>314</v>
      </c>
      <c r="C111">
        <v>4</v>
      </c>
      <c r="D111">
        <v>1</v>
      </c>
      <c r="E111">
        <v>1</v>
      </c>
      <c r="F111">
        <v>4</v>
      </c>
      <c r="G111">
        <v>7</v>
      </c>
      <c r="H111">
        <v>10</v>
      </c>
      <c r="I111">
        <v>20</v>
      </c>
      <c r="J111">
        <v>3.8</v>
      </c>
      <c r="K111">
        <v>0.18</v>
      </c>
      <c r="L111">
        <v>0.41</v>
      </c>
      <c r="M111">
        <v>4</v>
      </c>
      <c r="N111">
        <v>0.8</v>
      </c>
      <c r="O111" t="s">
        <v>548</v>
      </c>
      <c r="P111" s="368">
        <v>36712</v>
      </c>
      <c r="Q111" t="s">
        <v>151</v>
      </c>
      <c r="R111" t="s">
        <v>692</v>
      </c>
      <c r="S111" t="s">
        <v>191</v>
      </c>
      <c r="T111" t="s">
        <v>208</v>
      </c>
      <c r="U111"/>
    </row>
    <row r="112" spans="1:21" x14ac:dyDescent="0.2">
      <c r="A112">
        <v>524702</v>
      </c>
      <c r="B112" t="s">
        <v>366</v>
      </c>
      <c r="C112">
        <v>-1</v>
      </c>
      <c r="D112">
        <v>0</v>
      </c>
      <c r="E112">
        <v>0</v>
      </c>
      <c r="F112">
        <v>-1</v>
      </c>
      <c r="G112">
        <v>-1</v>
      </c>
      <c r="H112">
        <v>0</v>
      </c>
      <c r="I112">
        <v>2</v>
      </c>
      <c r="J112">
        <v>0.3</v>
      </c>
      <c r="K112">
        <v>0.18</v>
      </c>
      <c r="L112">
        <v>0.75</v>
      </c>
      <c r="M112">
        <v>1.9</v>
      </c>
      <c r="N112">
        <v>0.1</v>
      </c>
      <c r="O112" t="s">
        <v>548</v>
      </c>
      <c r="P112" s="368">
        <v>42661</v>
      </c>
      <c r="Q112" t="s">
        <v>151</v>
      </c>
      <c r="R112" t="s">
        <v>766</v>
      </c>
      <c r="S112" t="s">
        <v>181</v>
      </c>
      <c r="T112" t="s">
        <v>156</v>
      </c>
      <c r="U112"/>
    </row>
    <row r="113" spans="1:21" x14ac:dyDescent="0.2">
      <c r="A113">
        <v>290072</v>
      </c>
      <c r="B113" t="s">
        <v>1217</v>
      </c>
      <c r="C113">
        <v>23</v>
      </c>
      <c r="D113">
        <v>0</v>
      </c>
      <c r="E113">
        <v>4</v>
      </c>
      <c r="F113">
        <v>23</v>
      </c>
      <c r="G113">
        <v>39</v>
      </c>
      <c r="H113">
        <v>55</v>
      </c>
      <c r="I113">
        <v>96</v>
      </c>
      <c r="J113">
        <v>14.4</v>
      </c>
      <c r="K113">
        <v>0.19</v>
      </c>
      <c r="L113">
        <v>0.31</v>
      </c>
      <c r="M113">
        <v>18.3</v>
      </c>
      <c r="N113">
        <v>0.9</v>
      </c>
      <c r="O113" t="s">
        <v>548</v>
      </c>
      <c r="P113" s="368">
        <v>36712</v>
      </c>
      <c r="Q113" t="s">
        <v>151</v>
      </c>
      <c r="R113" t="s">
        <v>637</v>
      </c>
      <c r="S113" t="s">
        <v>270</v>
      </c>
      <c r="T113" t="s">
        <v>201</v>
      </c>
      <c r="U113"/>
    </row>
    <row r="114" spans="1:21" x14ac:dyDescent="0.2">
      <c r="A114">
        <v>215996</v>
      </c>
      <c r="B114" t="s">
        <v>235</v>
      </c>
      <c r="C114">
        <v>17</v>
      </c>
      <c r="D114">
        <v>2</v>
      </c>
      <c r="E114">
        <v>5</v>
      </c>
      <c r="F114">
        <v>17</v>
      </c>
      <c r="G114">
        <v>28</v>
      </c>
      <c r="H114">
        <v>43</v>
      </c>
      <c r="I114">
        <v>94</v>
      </c>
      <c r="J114">
        <v>14.2</v>
      </c>
      <c r="K114">
        <v>0.19</v>
      </c>
      <c r="L114">
        <v>0.51</v>
      </c>
      <c r="M114">
        <v>14.9</v>
      </c>
      <c r="N114">
        <v>0.9</v>
      </c>
      <c r="O114" t="s">
        <v>548</v>
      </c>
      <c r="P114" s="368">
        <v>36712</v>
      </c>
      <c r="Q114" t="s">
        <v>151</v>
      </c>
      <c r="R114" t="s">
        <v>602</v>
      </c>
      <c r="S114" t="s">
        <v>184</v>
      </c>
      <c r="T114" t="s">
        <v>236</v>
      </c>
      <c r="U114"/>
    </row>
    <row r="115" spans="1:21" x14ac:dyDescent="0.2">
      <c r="A115">
        <v>287656</v>
      </c>
      <c r="B115" t="s">
        <v>269</v>
      </c>
      <c r="C115">
        <v>17</v>
      </c>
      <c r="D115">
        <v>2</v>
      </c>
      <c r="E115">
        <v>5</v>
      </c>
      <c r="F115">
        <v>17</v>
      </c>
      <c r="G115">
        <v>28</v>
      </c>
      <c r="H115">
        <v>43</v>
      </c>
      <c r="I115">
        <v>94</v>
      </c>
      <c r="J115">
        <v>14.2</v>
      </c>
      <c r="K115">
        <v>0.19</v>
      </c>
      <c r="L115">
        <v>0.51</v>
      </c>
      <c r="M115">
        <v>14.9</v>
      </c>
      <c r="N115">
        <v>0.9</v>
      </c>
      <c r="O115" t="s">
        <v>548</v>
      </c>
      <c r="P115" s="368">
        <v>36712</v>
      </c>
      <c r="Q115" t="s">
        <v>151</v>
      </c>
      <c r="R115" t="s">
        <v>636</v>
      </c>
      <c r="S115" t="s">
        <v>184</v>
      </c>
      <c r="T115" t="s">
        <v>236</v>
      </c>
      <c r="U115"/>
    </row>
    <row r="116" spans="1:21" x14ac:dyDescent="0.2">
      <c r="A116">
        <v>359315</v>
      </c>
      <c r="B116" t="s">
        <v>102</v>
      </c>
      <c r="C116">
        <v>16</v>
      </c>
      <c r="D116">
        <v>2</v>
      </c>
      <c r="E116">
        <v>5</v>
      </c>
      <c r="F116">
        <v>16</v>
      </c>
      <c r="G116">
        <v>28</v>
      </c>
      <c r="H116">
        <v>43</v>
      </c>
      <c r="I116">
        <v>94</v>
      </c>
      <c r="J116">
        <v>14.1</v>
      </c>
      <c r="K116">
        <v>0.19</v>
      </c>
      <c r="L116">
        <v>0.51</v>
      </c>
      <c r="M116">
        <v>14.5</v>
      </c>
      <c r="N116">
        <v>0.9</v>
      </c>
      <c r="O116" t="s">
        <v>548</v>
      </c>
      <c r="P116" s="368">
        <v>36712</v>
      </c>
      <c r="Q116" t="s">
        <v>151</v>
      </c>
      <c r="R116" t="s">
        <v>679</v>
      </c>
      <c r="S116" t="s">
        <v>184</v>
      </c>
      <c r="T116" t="s">
        <v>208</v>
      </c>
      <c r="U116"/>
    </row>
    <row r="117" spans="1:21" x14ac:dyDescent="0.2">
      <c r="A117">
        <v>459891</v>
      </c>
      <c r="B117" t="s">
        <v>1222</v>
      </c>
      <c r="C117">
        <v>12</v>
      </c>
      <c r="D117">
        <v>3</v>
      </c>
      <c r="E117">
        <v>1</v>
      </c>
      <c r="F117">
        <v>12</v>
      </c>
      <c r="G117">
        <v>27</v>
      </c>
      <c r="H117">
        <v>32</v>
      </c>
      <c r="I117">
        <v>83</v>
      </c>
      <c r="J117">
        <v>12.9</v>
      </c>
      <c r="K117">
        <v>0.19</v>
      </c>
      <c r="L117">
        <v>0.44</v>
      </c>
      <c r="M117">
        <v>15.1</v>
      </c>
      <c r="N117">
        <v>0.7</v>
      </c>
      <c r="O117" t="s">
        <v>548</v>
      </c>
      <c r="P117" s="368">
        <v>40889</v>
      </c>
      <c r="Q117" t="s">
        <v>151</v>
      </c>
      <c r="R117" t="s">
        <v>729</v>
      </c>
      <c r="S117" t="s">
        <v>191</v>
      </c>
      <c r="T117" t="s">
        <v>169</v>
      </c>
      <c r="U117"/>
    </row>
    <row r="118" spans="1:21" x14ac:dyDescent="0.2">
      <c r="A118">
        <v>320762</v>
      </c>
      <c r="B118" t="s">
        <v>289</v>
      </c>
      <c r="C118">
        <v>19</v>
      </c>
      <c r="D118">
        <v>3</v>
      </c>
      <c r="E118">
        <v>4</v>
      </c>
      <c r="F118">
        <v>19</v>
      </c>
      <c r="G118">
        <v>28</v>
      </c>
      <c r="H118">
        <v>38</v>
      </c>
      <c r="I118">
        <v>81</v>
      </c>
      <c r="J118">
        <v>12.6</v>
      </c>
      <c r="K118">
        <v>0.19</v>
      </c>
      <c r="L118">
        <v>0.5</v>
      </c>
      <c r="M118">
        <v>15.7</v>
      </c>
      <c r="N118">
        <v>0.8</v>
      </c>
      <c r="O118" t="s">
        <v>548</v>
      </c>
      <c r="P118" s="368">
        <v>41087</v>
      </c>
      <c r="Q118" t="s">
        <v>151</v>
      </c>
      <c r="R118" t="s">
        <v>661</v>
      </c>
      <c r="S118" t="s">
        <v>167</v>
      </c>
      <c r="T118" t="s">
        <v>236</v>
      </c>
      <c r="U118"/>
    </row>
    <row r="119" spans="1:21" x14ac:dyDescent="0.2">
      <c r="A119">
        <v>747899</v>
      </c>
      <c r="B119" t="s">
        <v>37</v>
      </c>
      <c r="C119">
        <v>18</v>
      </c>
      <c r="D119">
        <v>3</v>
      </c>
      <c r="E119">
        <v>4</v>
      </c>
      <c r="F119">
        <v>18</v>
      </c>
      <c r="G119">
        <v>26</v>
      </c>
      <c r="H119">
        <v>34</v>
      </c>
      <c r="I119">
        <v>73</v>
      </c>
      <c r="J119">
        <v>11.6</v>
      </c>
      <c r="K119">
        <v>0.19</v>
      </c>
      <c r="L119">
        <v>0.5</v>
      </c>
      <c r="M119">
        <v>14.8</v>
      </c>
      <c r="N119">
        <v>0.7</v>
      </c>
      <c r="O119" t="s">
        <v>548</v>
      </c>
      <c r="P119" s="368">
        <v>38153</v>
      </c>
      <c r="Q119" t="s">
        <v>151</v>
      </c>
      <c r="R119" t="s">
        <v>857</v>
      </c>
      <c r="S119" t="s">
        <v>167</v>
      </c>
      <c r="T119" t="s">
        <v>236</v>
      </c>
      <c r="U119"/>
    </row>
    <row r="120" spans="1:21" x14ac:dyDescent="0.2">
      <c r="A120">
        <v>783720</v>
      </c>
      <c r="B120" t="s">
        <v>38</v>
      </c>
      <c r="C120">
        <v>18</v>
      </c>
      <c r="D120">
        <v>3</v>
      </c>
      <c r="E120">
        <v>4</v>
      </c>
      <c r="F120">
        <v>18</v>
      </c>
      <c r="G120">
        <v>27</v>
      </c>
      <c r="H120">
        <v>36</v>
      </c>
      <c r="I120">
        <v>68</v>
      </c>
      <c r="J120">
        <v>10.9</v>
      </c>
      <c r="K120">
        <v>0.19</v>
      </c>
      <c r="L120">
        <v>0.5</v>
      </c>
      <c r="M120">
        <v>14.9</v>
      </c>
      <c r="N120">
        <v>0.8</v>
      </c>
      <c r="O120" t="s">
        <v>548</v>
      </c>
      <c r="P120" s="368">
        <v>38153</v>
      </c>
      <c r="Q120" t="s">
        <v>151</v>
      </c>
      <c r="R120" t="s">
        <v>874</v>
      </c>
      <c r="S120" t="s">
        <v>167</v>
      </c>
      <c r="T120" t="s">
        <v>236</v>
      </c>
      <c r="U120"/>
    </row>
    <row r="121" spans="1:21" x14ac:dyDescent="0.2">
      <c r="A121">
        <v>430975</v>
      </c>
      <c r="B121" t="s">
        <v>331</v>
      </c>
      <c r="C121">
        <v>7</v>
      </c>
      <c r="D121">
        <v>0</v>
      </c>
      <c r="E121">
        <v>2</v>
      </c>
      <c r="F121">
        <v>7</v>
      </c>
      <c r="G121">
        <v>14</v>
      </c>
      <c r="H121">
        <v>20</v>
      </c>
      <c r="I121">
        <v>42</v>
      </c>
      <c r="J121">
        <v>7.3</v>
      </c>
      <c r="K121">
        <v>0.19</v>
      </c>
      <c r="L121">
        <v>0.51</v>
      </c>
      <c r="M121">
        <v>8</v>
      </c>
      <c r="N121">
        <v>0.8</v>
      </c>
      <c r="O121" t="s">
        <v>548</v>
      </c>
      <c r="P121" s="368">
        <v>36712</v>
      </c>
      <c r="Q121" t="s">
        <v>151</v>
      </c>
      <c r="R121" t="s">
        <v>715</v>
      </c>
      <c r="S121" t="s">
        <v>184</v>
      </c>
      <c r="T121" t="s">
        <v>208</v>
      </c>
      <c r="U121"/>
    </row>
    <row r="122" spans="1:21" x14ac:dyDescent="0.2">
      <c r="A122">
        <v>819557</v>
      </c>
      <c r="B122" t="s">
        <v>455</v>
      </c>
      <c r="C122">
        <v>11</v>
      </c>
      <c r="D122">
        <v>2</v>
      </c>
      <c r="E122">
        <v>2</v>
      </c>
      <c r="F122">
        <v>11</v>
      </c>
      <c r="G122">
        <v>17</v>
      </c>
      <c r="H122">
        <v>24</v>
      </c>
      <c r="I122">
        <v>41</v>
      </c>
      <c r="J122">
        <v>7.1</v>
      </c>
      <c r="K122">
        <v>0.19</v>
      </c>
      <c r="L122">
        <v>0.5</v>
      </c>
      <c r="M122">
        <v>9.9</v>
      </c>
      <c r="N122">
        <v>0.8</v>
      </c>
      <c r="O122" t="s">
        <v>548</v>
      </c>
      <c r="P122" s="368">
        <v>38153</v>
      </c>
      <c r="Q122" t="s">
        <v>151</v>
      </c>
      <c r="R122" t="s">
        <v>885</v>
      </c>
      <c r="S122" t="s">
        <v>167</v>
      </c>
      <c r="T122" t="s">
        <v>208</v>
      </c>
      <c r="U122"/>
    </row>
    <row r="123" spans="1:21" x14ac:dyDescent="0.2">
      <c r="A123">
        <v>855387</v>
      </c>
      <c r="B123" t="s">
        <v>469</v>
      </c>
      <c r="C123">
        <v>4</v>
      </c>
      <c r="D123">
        <v>1</v>
      </c>
      <c r="E123">
        <v>1</v>
      </c>
      <c r="F123">
        <v>4</v>
      </c>
      <c r="G123">
        <v>6</v>
      </c>
      <c r="H123">
        <v>10</v>
      </c>
      <c r="I123">
        <v>17</v>
      </c>
      <c r="J123">
        <v>3.2</v>
      </c>
      <c r="K123">
        <v>0.19</v>
      </c>
      <c r="L123">
        <v>0.5</v>
      </c>
      <c r="M123">
        <v>3.8</v>
      </c>
      <c r="N123">
        <v>0.9</v>
      </c>
      <c r="O123" t="s">
        <v>548</v>
      </c>
      <c r="P123" s="368">
        <v>38153</v>
      </c>
      <c r="Q123" t="s">
        <v>151</v>
      </c>
      <c r="R123" t="s">
        <v>904</v>
      </c>
      <c r="S123" t="s">
        <v>167</v>
      </c>
      <c r="T123" t="s">
        <v>208</v>
      </c>
      <c r="U123"/>
    </row>
    <row r="124" spans="1:21" x14ac:dyDescent="0.2">
      <c r="A124">
        <v>502633</v>
      </c>
      <c r="B124" t="s">
        <v>357</v>
      </c>
      <c r="C124">
        <v>3</v>
      </c>
      <c r="D124">
        <v>0</v>
      </c>
      <c r="E124">
        <v>1</v>
      </c>
      <c r="F124">
        <v>3</v>
      </c>
      <c r="G124">
        <v>6</v>
      </c>
      <c r="H124">
        <v>9</v>
      </c>
      <c r="I124">
        <v>14</v>
      </c>
      <c r="J124">
        <v>2.6</v>
      </c>
      <c r="K124">
        <v>0.19</v>
      </c>
      <c r="L124">
        <v>0.52</v>
      </c>
      <c r="M124">
        <v>3.6</v>
      </c>
      <c r="N124">
        <v>0.8</v>
      </c>
      <c r="O124" t="s">
        <v>548</v>
      </c>
      <c r="P124" s="368">
        <v>36712</v>
      </c>
      <c r="Q124" t="s">
        <v>151</v>
      </c>
      <c r="R124" t="s">
        <v>752</v>
      </c>
      <c r="S124" t="s">
        <v>184</v>
      </c>
      <c r="T124" t="s">
        <v>208</v>
      </c>
      <c r="U124"/>
    </row>
    <row r="125" spans="1:21" x14ac:dyDescent="0.2">
      <c r="A125">
        <v>384750</v>
      </c>
      <c r="B125" t="s">
        <v>530</v>
      </c>
      <c r="C125">
        <v>1</v>
      </c>
      <c r="D125">
        <v>0</v>
      </c>
      <c r="E125">
        <v>0</v>
      </c>
      <c r="F125">
        <v>1</v>
      </c>
      <c r="G125">
        <v>3</v>
      </c>
      <c r="H125">
        <v>4</v>
      </c>
      <c r="I125">
        <v>7</v>
      </c>
      <c r="J125">
        <v>1.4</v>
      </c>
      <c r="K125">
        <v>0.19</v>
      </c>
      <c r="L125">
        <v>0.52</v>
      </c>
      <c r="M125">
        <v>3.2</v>
      </c>
      <c r="N125">
        <v>0.4</v>
      </c>
      <c r="O125" t="s">
        <v>548</v>
      </c>
      <c r="P125" s="368">
        <v>37959</v>
      </c>
      <c r="Q125" t="s">
        <v>151</v>
      </c>
      <c r="R125" t="s">
        <v>688</v>
      </c>
      <c r="S125" t="s">
        <v>270</v>
      </c>
      <c r="T125" t="s">
        <v>156</v>
      </c>
      <c r="U125"/>
    </row>
    <row r="126" spans="1:21" x14ac:dyDescent="0.2">
      <c r="A126">
        <v>660829</v>
      </c>
      <c r="B126" t="s">
        <v>413</v>
      </c>
      <c r="C126">
        <v>1</v>
      </c>
      <c r="D126">
        <v>0</v>
      </c>
      <c r="E126">
        <v>0</v>
      </c>
      <c r="F126">
        <v>1</v>
      </c>
      <c r="G126">
        <v>3</v>
      </c>
      <c r="H126">
        <v>3</v>
      </c>
      <c r="I126">
        <v>7</v>
      </c>
      <c r="J126">
        <v>1.4</v>
      </c>
      <c r="K126">
        <v>0.19</v>
      </c>
      <c r="L126">
        <v>0.61</v>
      </c>
      <c r="M126">
        <v>3.2</v>
      </c>
      <c r="N126">
        <v>0.4</v>
      </c>
      <c r="O126" t="s">
        <v>548</v>
      </c>
      <c r="P126" s="368">
        <v>41332</v>
      </c>
      <c r="Q126" t="s">
        <v>151</v>
      </c>
      <c r="R126" t="s">
        <v>824</v>
      </c>
      <c r="S126" t="s">
        <v>155</v>
      </c>
      <c r="T126" t="s">
        <v>187</v>
      </c>
      <c r="U126"/>
    </row>
    <row r="127" spans="1:21" x14ac:dyDescent="0.2">
      <c r="A127">
        <v>651679</v>
      </c>
      <c r="B127" t="s">
        <v>407</v>
      </c>
      <c r="C127">
        <v>0</v>
      </c>
      <c r="D127">
        <v>0</v>
      </c>
      <c r="E127">
        <v>1</v>
      </c>
      <c r="F127">
        <v>0</v>
      </c>
      <c r="G127">
        <v>2</v>
      </c>
      <c r="H127">
        <v>2</v>
      </c>
      <c r="I127">
        <v>4</v>
      </c>
      <c r="J127">
        <v>0.7</v>
      </c>
      <c r="K127">
        <v>0.19</v>
      </c>
      <c r="L127">
        <v>0.72</v>
      </c>
      <c r="M127">
        <v>2</v>
      </c>
      <c r="N127">
        <v>0.5</v>
      </c>
      <c r="O127" t="s">
        <v>548</v>
      </c>
      <c r="P127" s="368">
        <v>41975</v>
      </c>
      <c r="Q127" t="s">
        <v>46</v>
      </c>
      <c r="R127" t="s">
        <v>818</v>
      </c>
      <c r="S127" t="s">
        <v>178</v>
      </c>
      <c r="T127" t="s">
        <v>156</v>
      </c>
      <c r="U127"/>
    </row>
    <row r="128" spans="1:21" x14ac:dyDescent="0.2">
      <c r="A128">
        <v>296327</v>
      </c>
      <c r="B128" t="s">
        <v>276</v>
      </c>
      <c r="C128">
        <v>24</v>
      </c>
      <c r="D128">
        <v>3</v>
      </c>
      <c r="E128">
        <v>8</v>
      </c>
      <c r="F128">
        <v>24</v>
      </c>
      <c r="G128">
        <v>49</v>
      </c>
      <c r="H128">
        <v>38</v>
      </c>
      <c r="I128">
        <v>98</v>
      </c>
      <c r="J128">
        <v>14.6</v>
      </c>
      <c r="K128">
        <v>0.2</v>
      </c>
      <c r="L128">
        <v>0.6</v>
      </c>
      <c r="M128">
        <v>18.5</v>
      </c>
      <c r="N128">
        <v>0.7</v>
      </c>
      <c r="O128" t="s">
        <v>551</v>
      </c>
      <c r="P128" s="368">
        <v>43699</v>
      </c>
      <c r="Q128" t="s">
        <v>46</v>
      </c>
      <c r="R128" t="s">
        <v>643</v>
      </c>
      <c r="S128" t="s">
        <v>175</v>
      </c>
      <c r="T128" t="s">
        <v>194</v>
      </c>
      <c r="U128"/>
    </row>
    <row r="129" spans="1:21" x14ac:dyDescent="0.2">
      <c r="A129">
        <v>832360</v>
      </c>
      <c r="B129" t="s">
        <v>460</v>
      </c>
      <c r="C129">
        <v>18</v>
      </c>
      <c r="D129">
        <v>3</v>
      </c>
      <c r="E129">
        <v>5</v>
      </c>
      <c r="F129">
        <v>18</v>
      </c>
      <c r="G129">
        <v>32</v>
      </c>
      <c r="H129">
        <v>45</v>
      </c>
      <c r="I129">
        <v>94</v>
      </c>
      <c r="J129">
        <v>14.2</v>
      </c>
      <c r="K129">
        <v>0.2</v>
      </c>
      <c r="L129">
        <v>0.53</v>
      </c>
      <c r="M129">
        <v>15.6</v>
      </c>
      <c r="N129">
        <v>0.9</v>
      </c>
      <c r="O129" t="s">
        <v>548</v>
      </c>
      <c r="P129" s="368">
        <v>37118</v>
      </c>
      <c r="Q129" t="s">
        <v>151</v>
      </c>
      <c r="R129" t="s">
        <v>890</v>
      </c>
      <c r="S129" t="s">
        <v>231</v>
      </c>
      <c r="T129" t="s">
        <v>236</v>
      </c>
      <c r="U129"/>
    </row>
    <row r="130" spans="1:21" x14ac:dyDescent="0.2">
      <c r="A130">
        <v>596429</v>
      </c>
      <c r="B130" t="s">
        <v>391</v>
      </c>
      <c r="C130">
        <v>17</v>
      </c>
      <c r="D130">
        <v>2</v>
      </c>
      <c r="E130">
        <v>5</v>
      </c>
      <c r="F130">
        <v>17</v>
      </c>
      <c r="G130">
        <v>28</v>
      </c>
      <c r="H130">
        <v>43</v>
      </c>
      <c r="I130">
        <v>92</v>
      </c>
      <c r="J130">
        <v>13.9</v>
      </c>
      <c r="K130">
        <v>0.2</v>
      </c>
      <c r="L130">
        <v>0.59</v>
      </c>
      <c r="M130">
        <v>15.1</v>
      </c>
      <c r="N130">
        <v>0.9</v>
      </c>
      <c r="O130" t="s">
        <v>548</v>
      </c>
      <c r="P130" s="368">
        <v>41807</v>
      </c>
      <c r="Q130" t="s">
        <v>151</v>
      </c>
      <c r="R130" t="s">
        <v>796</v>
      </c>
      <c r="S130" t="s">
        <v>184</v>
      </c>
      <c r="T130" t="s">
        <v>236</v>
      </c>
      <c r="U130"/>
    </row>
    <row r="131" spans="1:21" x14ac:dyDescent="0.2">
      <c r="A131">
        <v>635623</v>
      </c>
      <c r="B131" t="s">
        <v>402</v>
      </c>
      <c r="C131">
        <v>17</v>
      </c>
      <c r="D131">
        <v>3</v>
      </c>
      <c r="E131">
        <v>5</v>
      </c>
      <c r="F131">
        <v>17</v>
      </c>
      <c r="G131">
        <v>31</v>
      </c>
      <c r="H131">
        <v>43</v>
      </c>
      <c r="I131">
        <v>91</v>
      </c>
      <c r="J131">
        <v>13.8</v>
      </c>
      <c r="K131">
        <v>0.2</v>
      </c>
      <c r="L131">
        <v>0.53</v>
      </c>
      <c r="M131">
        <v>15.1</v>
      </c>
      <c r="N131">
        <v>0.9</v>
      </c>
      <c r="O131" t="s">
        <v>548</v>
      </c>
      <c r="P131" s="368">
        <v>36712</v>
      </c>
      <c r="Q131" t="s">
        <v>151</v>
      </c>
      <c r="R131" t="s">
        <v>810</v>
      </c>
      <c r="S131" t="s">
        <v>231</v>
      </c>
      <c r="T131" t="s">
        <v>236</v>
      </c>
      <c r="U131"/>
    </row>
    <row r="132" spans="1:21" x14ac:dyDescent="0.2">
      <c r="A132">
        <v>671453</v>
      </c>
      <c r="B132" t="s">
        <v>416</v>
      </c>
      <c r="C132">
        <v>16</v>
      </c>
      <c r="D132">
        <v>2</v>
      </c>
      <c r="E132">
        <v>5</v>
      </c>
      <c r="F132">
        <v>16</v>
      </c>
      <c r="G132">
        <v>29</v>
      </c>
      <c r="H132">
        <v>41</v>
      </c>
      <c r="I132">
        <v>87</v>
      </c>
      <c r="J132">
        <v>13.3</v>
      </c>
      <c r="K132">
        <v>0.2</v>
      </c>
      <c r="L132">
        <v>0.53</v>
      </c>
      <c r="M132">
        <v>14.4</v>
      </c>
      <c r="N132">
        <v>0.9</v>
      </c>
      <c r="O132" t="s">
        <v>548</v>
      </c>
      <c r="P132" s="368">
        <v>36712</v>
      </c>
      <c r="Q132" t="s">
        <v>151</v>
      </c>
      <c r="R132" t="s">
        <v>831</v>
      </c>
      <c r="S132" t="s">
        <v>231</v>
      </c>
      <c r="T132" t="s">
        <v>236</v>
      </c>
      <c r="U132"/>
    </row>
    <row r="133" spans="1:21" x14ac:dyDescent="0.2">
      <c r="A133">
        <v>429316</v>
      </c>
      <c r="B133" t="s">
        <v>1000</v>
      </c>
      <c r="C133">
        <v>12</v>
      </c>
      <c r="D133">
        <v>3</v>
      </c>
      <c r="E133">
        <v>1</v>
      </c>
      <c r="F133">
        <v>12</v>
      </c>
      <c r="G133">
        <v>29</v>
      </c>
      <c r="H133">
        <v>34</v>
      </c>
      <c r="I133">
        <v>84</v>
      </c>
      <c r="J133">
        <v>12.9</v>
      </c>
      <c r="K133">
        <v>0.2</v>
      </c>
      <c r="L133">
        <v>0.54</v>
      </c>
      <c r="M133">
        <v>15.4</v>
      </c>
      <c r="N133">
        <v>0.7</v>
      </c>
      <c r="O133" t="s">
        <v>548</v>
      </c>
      <c r="P133" s="368">
        <v>43860</v>
      </c>
      <c r="Q133" t="s">
        <v>151</v>
      </c>
      <c r="R133" t="s">
        <v>1001</v>
      </c>
      <c r="S133" t="s">
        <v>191</v>
      </c>
      <c r="T133" t="s">
        <v>169</v>
      </c>
      <c r="U133"/>
    </row>
    <row r="134" spans="1:21" x14ac:dyDescent="0.2">
      <c r="A134">
        <v>707281</v>
      </c>
      <c r="B134" t="s">
        <v>427</v>
      </c>
      <c r="C134">
        <v>14</v>
      </c>
      <c r="D134">
        <v>2</v>
      </c>
      <c r="E134">
        <v>4</v>
      </c>
      <c r="F134">
        <v>14</v>
      </c>
      <c r="G134">
        <v>25</v>
      </c>
      <c r="H134">
        <v>37</v>
      </c>
      <c r="I134">
        <v>80</v>
      </c>
      <c r="J134">
        <v>12.5</v>
      </c>
      <c r="K134">
        <v>0.2</v>
      </c>
      <c r="L134">
        <v>0.53</v>
      </c>
      <c r="M134">
        <v>13.3</v>
      </c>
      <c r="N134">
        <v>0.9</v>
      </c>
      <c r="O134" t="s">
        <v>548</v>
      </c>
      <c r="P134" s="368">
        <v>36712</v>
      </c>
      <c r="Q134" t="s">
        <v>151</v>
      </c>
      <c r="R134" t="s">
        <v>844</v>
      </c>
      <c r="S134" t="s">
        <v>231</v>
      </c>
      <c r="T134" t="s">
        <v>208</v>
      </c>
      <c r="U134"/>
    </row>
    <row r="135" spans="1:21" x14ac:dyDescent="0.2">
      <c r="A135">
        <v>750075</v>
      </c>
      <c r="B135" t="s">
        <v>441</v>
      </c>
      <c r="C135">
        <v>12</v>
      </c>
      <c r="D135">
        <v>3</v>
      </c>
      <c r="E135">
        <v>1</v>
      </c>
      <c r="F135">
        <v>12</v>
      </c>
      <c r="G135">
        <v>25</v>
      </c>
      <c r="H135">
        <v>27</v>
      </c>
      <c r="I135">
        <v>76</v>
      </c>
      <c r="J135">
        <v>12</v>
      </c>
      <c r="K135">
        <v>0.2</v>
      </c>
      <c r="L135">
        <v>0.6</v>
      </c>
      <c r="M135">
        <v>15.3</v>
      </c>
      <c r="N135">
        <v>0.6</v>
      </c>
      <c r="O135" t="s">
        <v>548</v>
      </c>
      <c r="P135" s="368">
        <v>41611</v>
      </c>
      <c r="Q135" t="s">
        <v>151</v>
      </c>
      <c r="R135" t="s">
        <v>859</v>
      </c>
      <c r="S135" t="s">
        <v>181</v>
      </c>
      <c r="T135" t="s">
        <v>169</v>
      </c>
      <c r="U135"/>
    </row>
    <row r="136" spans="1:21" x14ac:dyDescent="0.2">
      <c r="A136">
        <v>743112</v>
      </c>
      <c r="B136" t="s">
        <v>438</v>
      </c>
      <c r="C136">
        <v>10</v>
      </c>
      <c r="D136">
        <v>2</v>
      </c>
      <c r="E136">
        <v>4</v>
      </c>
      <c r="F136">
        <v>10</v>
      </c>
      <c r="G136">
        <v>20</v>
      </c>
      <c r="H136">
        <v>30</v>
      </c>
      <c r="I136">
        <v>66</v>
      </c>
      <c r="J136">
        <v>10.6</v>
      </c>
      <c r="K136">
        <v>0.2</v>
      </c>
      <c r="L136">
        <v>0.53</v>
      </c>
      <c r="M136">
        <v>11.4</v>
      </c>
      <c r="N136">
        <v>0.8</v>
      </c>
      <c r="O136" t="s">
        <v>548</v>
      </c>
      <c r="P136" s="368">
        <v>36712</v>
      </c>
      <c r="Q136" t="s">
        <v>151</v>
      </c>
      <c r="R136" t="s">
        <v>856</v>
      </c>
      <c r="S136" t="s">
        <v>231</v>
      </c>
      <c r="T136" t="s">
        <v>208</v>
      </c>
      <c r="U136"/>
    </row>
    <row r="137" spans="1:21" x14ac:dyDescent="0.2">
      <c r="A137">
        <v>778944</v>
      </c>
      <c r="B137" t="s">
        <v>447</v>
      </c>
      <c r="C137">
        <v>6</v>
      </c>
      <c r="D137">
        <v>2</v>
      </c>
      <c r="E137">
        <v>3</v>
      </c>
      <c r="F137">
        <v>6</v>
      </c>
      <c r="G137">
        <v>13</v>
      </c>
      <c r="H137">
        <v>24</v>
      </c>
      <c r="I137">
        <v>48</v>
      </c>
      <c r="J137">
        <v>8.1999999999999993</v>
      </c>
      <c r="K137">
        <v>0.2</v>
      </c>
      <c r="L137">
        <v>0.53</v>
      </c>
      <c r="M137">
        <v>8.3000000000000007</v>
      </c>
      <c r="N137">
        <v>0.9</v>
      </c>
      <c r="O137" t="s">
        <v>548</v>
      </c>
      <c r="P137" s="368">
        <v>36712</v>
      </c>
      <c r="Q137" t="s">
        <v>151</v>
      </c>
      <c r="R137" t="s">
        <v>872</v>
      </c>
      <c r="S137" t="s">
        <v>231</v>
      </c>
      <c r="T137" t="s">
        <v>208</v>
      </c>
      <c r="U137"/>
    </row>
    <row r="138" spans="1:21" x14ac:dyDescent="0.2">
      <c r="A138">
        <v>814772</v>
      </c>
      <c r="B138" t="s">
        <v>454</v>
      </c>
      <c r="C138">
        <v>6</v>
      </c>
      <c r="D138">
        <v>2</v>
      </c>
      <c r="E138">
        <v>3</v>
      </c>
      <c r="F138">
        <v>6</v>
      </c>
      <c r="G138">
        <v>13</v>
      </c>
      <c r="H138">
        <v>23</v>
      </c>
      <c r="I138">
        <v>41</v>
      </c>
      <c r="J138">
        <v>7.1</v>
      </c>
      <c r="K138">
        <v>0.2</v>
      </c>
      <c r="L138">
        <v>0.53</v>
      </c>
      <c r="M138">
        <v>8</v>
      </c>
      <c r="N138">
        <v>0.9</v>
      </c>
      <c r="O138" t="s">
        <v>548</v>
      </c>
      <c r="P138" s="368">
        <v>36712</v>
      </c>
      <c r="Q138" t="s">
        <v>151</v>
      </c>
      <c r="R138" t="s">
        <v>884</v>
      </c>
      <c r="S138" t="s">
        <v>231</v>
      </c>
      <c r="T138" t="s">
        <v>208</v>
      </c>
      <c r="U138"/>
    </row>
    <row r="139" spans="1:21" x14ac:dyDescent="0.2">
      <c r="A139">
        <v>144501</v>
      </c>
      <c r="B139" t="s">
        <v>536</v>
      </c>
      <c r="C139">
        <v>2</v>
      </c>
      <c r="D139">
        <v>0</v>
      </c>
      <c r="E139">
        <v>1</v>
      </c>
      <c r="F139">
        <v>2</v>
      </c>
      <c r="G139">
        <v>6</v>
      </c>
      <c r="H139">
        <v>4</v>
      </c>
      <c r="I139">
        <v>8</v>
      </c>
      <c r="J139">
        <v>1.5</v>
      </c>
      <c r="K139">
        <v>0.2</v>
      </c>
      <c r="L139">
        <v>0.69</v>
      </c>
      <c r="M139">
        <v>4.2</v>
      </c>
      <c r="N139">
        <v>0.4</v>
      </c>
      <c r="O139" t="s">
        <v>548</v>
      </c>
      <c r="P139" s="368">
        <v>43367</v>
      </c>
      <c r="Q139" t="s">
        <v>46</v>
      </c>
      <c r="R139" t="s">
        <v>567</v>
      </c>
      <c r="S139" t="s">
        <v>182</v>
      </c>
      <c r="T139" t="s">
        <v>192</v>
      </c>
      <c r="U139"/>
    </row>
    <row r="140" spans="1:21" x14ac:dyDescent="0.2">
      <c r="A140">
        <v>199753</v>
      </c>
      <c r="B140" t="s">
        <v>1212</v>
      </c>
      <c r="C140"/>
      <c r="D140">
        <v>5</v>
      </c>
      <c r="E140"/>
      <c r="F140"/>
      <c r="G140"/>
      <c r="H140">
        <v>51</v>
      </c>
      <c r="I140"/>
      <c r="J140"/>
      <c r="K140">
        <v>0.2</v>
      </c>
      <c r="L140">
        <v>0.42</v>
      </c>
      <c r="M140">
        <v>16.100000000000001</v>
      </c>
      <c r="N140">
        <v>0.9</v>
      </c>
      <c r="O140" t="s">
        <v>548</v>
      </c>
      <c r="P140" s="368">
        <v>44349</v>
      </c>
      <c r="Q140" t="s">
        <v>151</v>
      </c>
      <c r="R140" t="s">
        <v>1237</v>
      </c>
      <c r="S140" t="s">
        <v>155</v>
      </c>
      <c r="T140" t="s">
        <v>159</v>
      </c>
      <c r="U140"/>
    </row>
    <row r="141" spans="1:21" x14ac:dyDescent="0.2">
      <c r="A141">
        <v>549552</v>
      </c>
      <c r="B141" t="s">
        <v>1196</v>
      </c>
      <c r="C141"/>
      <c r="D141">
        <v>3</v>
      </c>
      <c r="E141">
        <v>4</v>
      </c>
      <c r="F141"/>
      <c r="G141"/>
      <c r="H141">
        <v>36</v>
      </c>
      <c r="I141"/>
      <c r="J141"/>
      <c r="K141">
        <v>0.2</v>
      </c>
      <c r="L141">
        <v>0.6</v>
      </c>
      <c r="M141">
        <v>20.399999999999999</v>
      </c>
      <c r="N141">
        <v>0.6</v>
      </c>
      <c r="O141" t="s">
        <v>548</v>
      </c>
      <c r="P141" s="368">
        <v>44327</v>
      </c>
      <c r="Q141" t="s">
        <v>151</v>
      </c>
      <c r="R141" t="s">
        <v>1201</v>
      </c>
      <c r="S141" t="s">
        <v>181</v>
      </c>
      <c r="T141" t="s">
        <v>159</v>
      </c>
      <c r="U141"/>
    </row>
    <row r="142" spans="1:21" x14ac:dyDescent="0.2">
      <c r="A142">
        <v>577833</v>
      </c>
      <c r="B142" t="s">
        <v>387</v>
      </c>
      <c r="C142">
        <v>20</v>
      </c>
      <c r="D142">
        <v>1</v>
      </c>
      <c r="E142">
        <v>4</v>
      </c>
      <c r="F142">
        <v>20</v>
      </c>
      <c r="G142">
        <v>41</v>
      </c>
      <c r="H142">
        <v>57</v>
      </c>
      <c r="I142">
        <v>102</v>
      </c>
      <c r="J142">
        <v>15.1</v>
      </c>
      <c r="K142">
        <v>0.21</v>
      </c>
      <c r="L142">
        <v>0.49</v>
      </c>
      <c r="M142">
        <v>17.3</v>
      </c>
      <c r="N142">
        <v>1</v>
      </c>
      <c r="O142" t="s">
        <v>548</v>
      </c>
      <c r="P142" s="368">
        <v>38663</v>
      </c>
      <c r="Q142" t="s">
        <v>151</v>
      </c>
      <c r="R142" t="s">
        <v>791</v>
      </c>
      <c r="S142" t="s">
        <v>155</v>
      </c>
      <c r="T142" t="s">
        <v>201</v>
      </c>
      <c r="U142"/>
    </row>
    <row r="143" spans="1:21" x14ac:dyDescent="0.2">
      <c r="A143">
        <v>184119</v>
      </c>
      <c r="B143" t="s">
        <v>219</v>
      </c>
      <c r="C143">
        <v>12</v>
      </c>
      <c r="D143">
        <v>7</v>
      </c>
      <c r="E143">
        <v>7</v>
      </c>
      <c r="F143">
        <v>12</v>
      </c>
      <c r="G143">
        <v>40</v>
      </c>
      <c r="H143">
        <v>63</v>
      </c>
      <c r="I143">
        <v>136</v>
      </c>
      <c r="J143">
        <v>18.7</v>
      </c>
      <c r="K143">
        <v>0.22</v>
      </c>
      <c r="L143">
        <v>0.76</v>
      </c>
      <c r="M143">
        <v>16.8</v>
      </c>
      <c r="N143">
        <v>1.1000000000000001</v>
      </c>
      <c r="O143" t="s">
        <v>548</v>
      </c>
      <c r="P143" s="368">
        <v>41184</v>
      </c>
      <c r="Q143" t="s">
        <v>151</v>
      </c>
      <c r="R143" t="s">
        <v>588</v>
      </c>
      <c r="S143" t="s">
        <v>191</v>
      </c>
      <c r="T143" t="s">
        <v>159</v>
      </c>
      <c r="U143"/>
    </row>
    <row r="144" spans="1:21" x14ac:dyDescent="0.2">
      <c r="A144">
        <v>117002</v>
      </c>
      <c r="B144" t="s">
        <v>171</v>
      </c>
      <c r="C144">
        <v>12</v>
      </c>
      <c r="D144">
        <v>2</v>
      </c>
      <c r="E144">
        <v>4</v>
      </c>
      <c r="F144">
        <v>12</v>
      </c>
      <c r="G144">
        <v>25</v>
      </c>
      <c r="H144">
        <v>37</v>
      </c>
      <c r="I144">
        <v>75</v>
      </c>
      <c r="J144">
        <v>11.9</v>
      </c>
      <c r="K144">
        <v>0.22</v>
      </c>
      <c r="L144">
        <v>0.59</v>
      </c>
      <c r="M144">
        <v>11.5</v>
      </c>
      <c r="N144">
        <v>1</v>
      </c>
      <c r="O144" t="s">
        <v>548</v>
      </c>
      <c r="P144" s="368">
        <v>36712</v>
      </c>
      <c r="Q144" t="s">
        <v>151</v>
      </c>
      <c r="R144" t="s">
        <v>557</v>
      </c>
      <c r="S144" t="s">
        <v>155</v>
      </c>
      <c r="T144" t="s">
        <v>172</v>
      </c>
      <c r="U144"/>
    </row>
    <row r="145" spans="1:21" x14ac:dyDescent="0.2">
      <c r="A145">
        <v>912220</v>
      </c>
      <c r="B145" t="s">
        <v>480</v>
      </c>
      <c r="C145">
        <v>15</v>
      </c>
      <c r="D145">
        <v>4</v>
      </c>
      <c r="E145">
        <v>3</v>
      </c>
      <c r="F145">
        <v>15</v>
      </c>
      <c r="G145">
        <v>14</v>
      </c>
      <c r="H145">
        <v>22</v>
      </c>
      <c r="I145">
        <v>47</v>
      </c>
      <c r="J145">
        <v>8</v>
      </c>
      <c r="K145">
        <v>0.22</v>
      </c>
      <c r="L145">
        <v>0.71</v>
      </c>
      <c r="M145">
        <v>14.9</v>
      </c>
      <c r="N145">
        <v>0.5</v>
      </c>
      <c r="O145" t="s">
        <v>548</v>
      </c>
      <c r="P145" s="368">
        <v>41577</v>
      </c>
      <c r="Q145" t="s">
        <v>151</v>
      </c>
      <c r="R145" t="s">
        <v>929</v>
      </c>
      <c r="S145" t="s">
        <v>191</v>
      </c>
      <c r="T145" t="s">
        <v>159</v>
      </c>
      <c r="U145"/>
    </row>
    <row r="146" spans="1:21" x14ac:dyDescent="0.2">
      <c r="A146">
        <v>901603</v>
      </c>
      <c r="B146" t="s">
        <v>1169</v>
      </c>
      <c r="C146">
        <v>-1</v>
      </c>
      <c r="D146">
        <v>0</v>
      </c>
      <c r="E146">
        <v>0</v>
      </c>
      <c r="F146">
        <v>-1</v>
      </c>
      <c r="G146">
        <v>0</v>
      </c>
      <c r="H146">
        <v>1</v>
      </c>
      <c r="I146">
        <v>1</v>
      </c>
      <c r="J146">
        <v>0.1</v>
      </c>
      <c r="K146">
        <v>0.22</v>
      </c>
      <c r="L146">
        <v>0.5</v>
      </c>
      <c r="M146">
        <v>1.6</v>
      </c>
      <c r="N146">
        <v>0.3</v>
      </c>
      <c r="O146" t="s">
        <v>548</v>
      </c>
      <c r="P146" s="368">
        <v>36712</v>
      </c>
      <c r="Q146" t="s">
        <v>46</v>
      </c>
      <c r="R146" t="s">
        <v>925</v>
      </c>
      <c r="S146" t="s">
        <v>991</v>
      </c>
      <c r="T146" t="s">
        <v>156</v>
      </c>
      <c r="U146"/>
    </row>
    <row r="147" spans="1:21" x14ac:dyDescent="0.2">
      <c r="A147">
        <v>152835</v>
      </c>
      <c r="B147" t="s">
        <v>202</v>
      </c>
      <c r="C147">
        <v>16</v>
      </c>
      <c r="D147">
        <v>2</v>
      </c>
      <c r="E147">
        <v>5</v>
      </c>
      <c r="F147">
        <v>16</v>
      </c>
      <c r="G147">
        <v>35</v>
      </c>
      <c r="H147">
        <v>53</v>
      </c>
      <c r="I147">
        <v>112</v>
      </c>
      <c r="J147">
        <v>16.2</v>
      </c>
      <c r="K147">
        <v>0.23</v>
      </c>
      <c r="L147">
        <v>0.6</v>
      </c>
      <c r="M147">
        <v>16.2</v>
      </c>
      <c r="N147">
        <v>1</v>
      </c>
      <c r="O147" t="s">
        <v>548</v>
      </c>
      <c r="P147" s="368">
        <v>36712</v>
      </c>
      <c r="Q147" t="s">
        <v>151</v>
      </c>
      <c r="R147" t="s">
        <v>572</v>
      </c>
      <c r="S147" t="s">
        <v>155</v>
      </c>
      <c r="T147" t="s">
        <v>176</v>
      </c>
      <c r="U147"/>
    </row>
    <row r="148" spans="1:21" x14ac:dyDescent="0.2">
      <c r="A148">
        <v>201111</v>
      </c>
      <c r="B148" t="s">
        <v>1213</v>
      </c>
      <c r="C148">
        <v>18</v>
      </c>
      <c r="D148">
        <v>3</v>
      </c>
      <c r="E148">
        <v>5</v>
      </c>
      <c r="F148">
        <v>18</v>
      </c>
      <c r="G148">
        <v>35</v>
      </c>
      <c r="H148">
        <v>51</v>
      </c>
      <c r="I148">
        <v>102</v>
      </c>
      <c r="J148">
        <v>15.1</v>
      </c>
      <c r="K148">
        <v>0.23</v>
      </c>
      <c r="L148">
        <v>0.87</v>
      </c>
      <c r="M148">
        <v>15.9</v>
      </c>
      <c r="N148">
        <v>1</v>
      </c>
      <c r="O148" t="s">
        <v>548</v>
      </c>
      <c r="P148" s="368">
        <v>41253</v>
      </c>
      <c r="Q148" t="s">
        <v>151</v>
      </c>
      <c r="R148" t="s">
        <v>596</v>
      </c>
      <c r="S148" t="s">
        <v>191</v>
      </c>
      <c r="T148" t="s">
        <v>176</v>
      </c>
      <c r="U148"/>
    </row>
    <row r="149" spans="1:21" x14ac:dyDescent="0.2">
      <c r="A149">
        <v>981175</v>
      </c>
      <c r="B149" t="s">
        <v>496</v>
      </c>
      <c r="C149">
        <v>5</v>
      </c>
      <c r="D149">
        <v>1</v>
      </c>
      <c r="E149">
        <v>2</v>
      </c>
      <c r="F149">
        <v>5</v>
      </c>
      <c r="G149">
        <v>11</v>
      </c>
      <c r="H149">
        <v>15</v>
      </c>
      <c r="I149">
        <v>26</v>
      </c>
      <c r="J149">
        <v>4.8</v>
      </c>
      <c r="K149">
        <v>0.23</v>
      </c>
      <c r="L149">
        <v>0.6</v>
      </c>
      <c r="M149">
        <v>5.0999999999999996</v>
      </c>
      <c r="N149">
        <v>1</v>
      </c>
      <c r="O149" t="s">
        <v>548</v>
      </c>
      <c r="P149" s="368">
        <v>36712</v>
      </c>
      <c r="Q149" t="s">
        <v>151</v>
      </c>
      <c r="R149" t="s">
        <v>955</v>
      </c>
      <c r="S149" t="s">
        <v>155</v>
      </c>
      <c r="T149" t="s">
        <v>172</v>
      </c>
      <c r="U149"/>
    </row>
    <row r="150" spans="1:21" x14ac:dyDescent="0.2">
      <c r="A150">
        <v>882358</v>
      </c>
      <c r="B150" t="s">
        <v>544</v>
      </c>
      <c r="C150">
        <v>2</v>
      </c>
      <c r="D150">
        <v>1</v>
      </c>
      <c r="E150">
        <v>2</v>
      </c>
      <c r="F150">
        <v>2</v>
      </c>
      <c r="G150">
        <v>11</v>
      </c>
      <c r="H150">
        <v>9</v>
      </c>
      <c r="I150">
        <v>16</v>
      </c>
      <c r="J150">
        <v>3.1</v>
      </c>
      <c r="K150">
        <v>0.23</v>
      </c>
      <c r="L150">
        <v>1.07</v>
      </c>
      <c r="M150">
        <v>8.5</v>
      </c>
      <c r="N150">
        <v>0.4</v>
      </c>
      <c r="O150" t="s">
        <v>548</v>
      </c>
      <c r="P150" s="368">
        <v>43782</v>
      </c>
      <c r="Q150" t="s">
        <v>46</v>
      </c>
      <c r="R150" t="s">
        <v>918</v>
      </c>
      <c r="S150" t="s">
        <v>178</v>
      </c>
      <c r="T150" t="s">
        <v>256</v>
      </c>
      <c r="U150"/>
    </row>
    <row r="151" spans="1:21" x14ac:dyDescent="0.2">
      <c r="A151">
        <v>621631</v>
      </c>
      <c r="B151" t="s">
        <v>400</v>
      </c>
      <c r="C151">
        <v>2</v>
      </c>
      <c r="D151">
        <v>0</v>
      </c>
      <c r="E151">
        <v>-1</v>
      </c>
      <c r="F151">
        <v>2</v>
      </c>
      <c r="G151">
        <v>2</v>
      </c>
      <c r="H151">
        <v>1</v>
      </c>
      <c r="I151">
        <v>15</v>
      </c>
      <c r="J151">
        <v>2.9</v>
      </c>
      <c r="K151">
        <v>0.23</v>
      </c>
      <c r="L151">
        <v>0.55000000000000004</v>
      </c>
      <c r="M151">
        <v>5.5</v>
      </c>
      <c r="N151">
        <v>0.1</v>
      </c>
      <c r="O151" t="s">
        <v>556</v>
      </c>
      <c r="P151" s="368">
        <v>37246</v>
      </c>
      <c r="Q151" t="s">
        <v>46</v>
      </c>
      <c r="R151" t="s">
        <v>807</v>
      </c>
      <c r="S151" t="s">
        <v>240</v>
      </c>
      <c r="T151" t="s">
        <v>192</v>
      </c>
      <c r="U151"/>
    </row>
    <row r="152" spans="1:21" x14ac:dyDescent="0.2">
      <c r="A152">
        <v>537639</v>
      </c>
      <c r="B152" t="s">
        <v>541</v>
      </c>
      <c r="C152">
        <v>3</v>
      </c>
      <c r="D152">
        <v>0</v>
      </c>
      <c r="E152">
        <v>1</v>
      </c>
      <c r="F152">
        <v>3</v>
      </c>
      <c r="G152">
        <v>8</v>
      </c>
      <c r="H152">
        <v>5</v>
      </c>
      <c r="I152">
        <v>13</v>
      </c>
      <c r="J152">
        <v>2.4</v>
      </c>
      <c r="K152">
        <v>0.23</v>
      </c>
      <c r="L152">
        <v>1.08</v>
      </c>
      <c r="M152">
        <v>8</v>
      </c>
      <c r="N152">
        <v>0.3</v>
      </c>
      <c r="O152" t="s">
        <v>548</v>
      </c>
      <c r="P152" s="368">
        <v>40196</v>
      </c>
      <c r="Q152" t="s">
        <v>46</v>
      </c>
      <c r="R152" t="s">
        <v>769</v>
      </c>
      <c r="S152" t="s">
        <v>393</v>
      </c>
      <c r="T152" t="s">
        <v>163</v>
      </c>
      <c r="U152"/>
    </row>
    <row r="153" spans="1:21" x14ac:dyDescent="0.2">
      <c r="A153">
        <v>465147</v>
      </c>
      <c r="B153" t="s">
        <v>1011</v>
      </c>
      <c r="C153">
        <v>23</v>
      </c>
      <c r="D153">
        <v>1</v>
      </c>
      <c r="E153">
        <v>4</v>
      </c>
      <c r="F153">
        <v>23</v>
      </c>
      <c r="G153">
        <v>42</v>
      </c>
      <c r="H153">
        <v>43</v>
      </c>
      <c r="I153"/>
      <c r="J153"/>
      <c r="K153">
        <v>0.23</v>
      </c>
      <c r="L153">
        <v>0.5</v>
      </c>
      <c r="M153">
        <v>18.600000000000001</v>
      </c>
      <c r="N153">
        <v>0.7</v>
      </c>
      <c r="O153" t="s">
        <v>548</v>
      </c>
      <c r="P153" s="368">
        <v>43872</v>
      </c>
      <c r="Q153" t="s">
        <v>151</v>
      </c>
      <c r="R153" t="s">
        <v>1025</v>
      </c>
      <c r="S153" t="s">
        <v>200</v>
      </c>
      <c r="T153" t="s">
        <v>159</v>
      </c>
      <c r="U153"/>
    </row>
    <row r="154" spans="1:21" x14ac:dyDescent="0.2">
      <c r="A154">
        <v>678128</v>
      </c>
      <c r="B154" t="s">
        <v>418</v>
      </c>
      <c r="C154">
        <v>20</v>
      </c>
      <c r="D154">
        <v>6</v>
      </c>
      <c r="E154">
        <v>7</v>
      </c>
      <c r="F154">
        <v>20</v>
      </c>
      <c r="G154">
        <v>26</v>
      </c>
      <c r="H154">
        <v>60</v>
      </c>
      <c r="I154">
        <v>124</v>
      </c>
      <c r="J154">
        <v>17.5</v>
      </c>
      <c r="K154">
        <v>0.24</v>
      </c>
      <c r="L154">
        <v>0.66</v>
      </c>
      <c r="M154">
        <v>17.100000000000001</v>
      </c>
      <c r="N154">
        <v>1</v>
      </c>
      <c r="O154" t="s">
        <v>548</v>
      </c>
      <c r="P154" s="368">
        <v>36712</v>
      </c>
      <c r="Q154" t="s">
        <v>151</v>
      </c>
      <c r="R154" t="s">
        <v>833</v>
      </c>
      <c r="S154" t="s">
        <v>155</v>
      </c>
      <c r="T154" t="s">
        <v>197</v>
      </c>
      <c r="U154"/>
    </row>
    <row r="155" spans="1:21" x14ac:dyDescent="0.2">
      <c r="A155">
        <v>252411</v>
      </c>
      <c r="B155" t="s">
        <v>1160</v>
      </c>
      <c r="C155">
        <v>18</v>
      </c>
      <c r="D155">
        <v>4</v>
      </c>
      <c r="E155">
        <v>5</v>
      </c>
      <c r="F155">
        <v>18</v>
      </c>
      <c r="G155">
        <v>27</v>
      </c>
      <c r="H155">
        <v>44</v>
      </c>
      <c r="I155">
        <v>98</v>
      </c>
      <c r="J155">
        <v>14.7</v>
      </c>
      <c r="K155">
        <v>0.24</v>
      </c>
      <c r="L155">
        <v>0.47</v>
      </c>
      <c r="M155">
        <v>16.600000000000001</v>
      </c>
      <c r="N155">
        <v>0.8</v>
      </c>
      <c r="O155" t="s">
        <v>548</v>
      </c>
      <c r="P155" s="368">
        <v>36712</v>
      </c>
      <c r="Q155" t="s">
        <v>46</v>
      </c>
      <c r="R155" t="s">
        <v>619</v>
      </c>
      <c r="S155" t="s">
        <v>991</v>
      </c>
      <c r="T155" t="s">
        <v>159</v>
      </c>
      <c r="U155"/>
    </row>
    <row r="156" spans="1:21" x14ac:dyDescent="0.2">
      <c r="A156">
        <v>570630</v>
      </c>
      <c r="B156" t="s">
        <v>383</v>
      </c>
      <c r="C156">
        <v>16</v>
      </c>
      <c r="D156">
        <v>2</v>
      </c>
      <c r="E156">
        <v>6</v>
      </c>
      <c r="F156">
        <v>16</v>
      </c>
      <c r="G156">
        <v>22</v>
      </c>
      <c r="H156">
        <v>28</v>
      </c>
      <c r="I156">
        <v>71</v>
      </c>
      <c r="J156">
        <v>11.4</v>
      </c>
      <c r="K156">
        <v>0.24</v>
      </c>
      <c r="L156">
        <v>0.68</v>
      </c>
      <c r="M156">
        <v>15.6</v>
      </c>
      <c r="N156">
        <v>0.6</v>
      </c>
      <c r="O156" t="s">
        <v>548</v>
      </c>
      <c r="P156" s="368">
        <v>36712</v>
      </c>
      <c r="Q156" t="s">
        <v>151</v>
      </c>
      <c r="R156" t="s">
        <v>787</v>
      </c>
      <c r="S156" t="s">
        <v>155</v>
      </c>
      <c r="T156" t="s">
        <v>179</v>
      </c>
      <c r="U156"/>
    </row>
    <row r="157" spans="1:21" x14ac:dyDescent="0.2">
      <c r="A157">
        <v>642298</v>
      </c>
      <c r="B157" t="s">
        <v>403</v>
      </c>
      <c r="C157">
        <v>12</v>
      </c>
      <c r="D157">
        <v>1</v>
      </c>
      <c r="E157">
        <v>3</v>
      </c>
      <c r="F157">
        <v>12</v>
      </c>
      <c r="G157">
        <v>21</v>
      </c>
      <c r="H157">
        <v>26</v>
      </c>
      <c r="I157">
        <v>65</v>
      </c>
      <c r="J157">
        <v>10.5</v>
      </c>
      <c r="K157">
        <v>0.24</v>
      </c>
      <c r="L157">
        <v>0.68</v>
      </c>
      <c r="M157">
        <v>17.600000000000001</v>
      </c>
      <c r="N157">
        <v>0.5</v>
      </c>
      <c r="O157" t="s">
        <v>548</v>
      </c>
      <c r="P157" s="368">
        <v>36712</v>
      </c>
      <c r="Q157" t="s">
        <v>151</v>
      </c>
      <c r="R157" t="s">
        <v>812</v>
      </c>
      <c r="S157" t="s">
        <v>155</v>
      </c>
      <c r="T157" t="s">
        <v>251</v>
      </c>
      <c r="U157"/>
    </row>
    <row r="158" spans="1:21" x14ac:dyDescent="0.2">
      <c r="A158">
        <v>560599</v>
      </c>
      <c r="B158" t="s">
        <v>378</v>
      </c>
      <c r="C158">
        <v>3</v>
      </c>
      <c r="D158">
        <v>0</v>
      </c>
      <c r="E158">
        <v>1</v>
      </c>
      <c r="F158">
        <v>3</v>
      </c>
      <c r="G158">
        <v>9</v>
      </c>
      <c r="H158">
        <v>9</v>
      </c>
      <c r="I158">
        <v>21</v>
      </c>
      <c r="J158">
        <v>3.9</v>
      </c>
      <c r="K158">
        <v>0.24</v>
      </c>
      <c r="L158">
        <v>0.75</v>
      </c>
      <c r="M158">
        <v>8.6</v>
      </c>
      <c r="N158">
        <v>0.4</v>
      </c>
      <c r="O158" t="s">
        <v>548</v>
      </c>
      <c r="P158" s="368">
        <v>41807</v>
      </c>
      <c r="Q158" t="s">
        <v>151</v>
      </c>
      <c r="R158" t="s">
        <v>781</v>
      </c>
      <c r="S158" t="s">
        <v>200</v>
      </c>
      <c r="T158" t="s">
        <v>163</v>
      </c>
      <c r="U158"/>
    </row>
    <row r="159" spans="1:21" x14ac:dyDescent="0.2">
      <c r="A159">
        <v>111518</v>
      </c>
      <c r="B159" t="s">
        <v>161</v>
      </c>
      <c r="C159">
        <v>4</v>
      </c>
      <c r="D159">
        <v>0</v>
      </c>
      <c r="E159">
        <v>-2</v>
      </c>
      <c r="F159">
        <v>4</v>
      </c>
      <c r="G159">
        <v>4</v>
      </c>
      <c r="H159">
        <v>-3</v>
      </c>
      <c r="I159">
        <v>10</v>
      </c>
      <c r="J159">
        <v>1.9</v>
      </c>
      <c r="K159">
        <v>0.24</v>
      </c>
      <c r="L159">
        <v>0.5</v>
      </c>
      <c r="M159">
        <v>8.3000000000000007</v>
      </c>
      <c r="N159">
        <v>-0.1</v>
      </c>
      <c r="O159" t="s">
        <v>551</v>
      </c>
      <c r="P159" s="368">
        <v>37194</v>
      </c>
      <c r="Q159" t="s">
        <v>46</v>
      </c>
      <c r="R159" t="s">
        <v>552</v>
      </c>
      <c r="S159" t="s">
        <v>162</v>
      </c>
      <c r="T159" t="s">
        <v>163</v>
      </c>
      <c r="U159"/>
    </row>
    <row r="160" spans="1:21" x14ac:dyDescent="0.2">
      <c r="A160">
        <v>916189</v>
      </c>
      <c r="B160" t="s">
        <v>1171</v>
      </c>
      <c r="C160">
        <v>13</v>
      </c>
      <c r="D160">
        <v>0</v>
      </c>
      <c r="E160">
        <v>5</v>
      </c>
      <c r="F160">
        <v>13</v>
      </c>
      <c r="G160">
        <v>46</v>
      </c>
      <c r="H160">
        <v>91</v>
      </c>
      <c r="I160">
        <v>151</v>
      </c>
      <c r="J160">
        <v>20.2</v>
      </c>
      <c r="K160">
        <v>0.25</v>
      </c>
      <c r="L160">
        <v>1</v>
      </c>
      <c r="M160">
        <v>19</v>
      </c>
      <c r="N160">
        <v>1.2</v>
      </c>
      <c r="O160" t="s">
        <v>548</v>
      </c>
      <c r="P160" s="368">
        <v>36712</v>
      </c>
      <c r="Q160" t="s">
        <v>151</v>
      </c>
      <c r="R160" t="s">
        <v>932</v>
      </c>
      <c r="S160" t="s">
        <v>181</v>
      </c>
      <c r="T160" t="s">
        <v>201</v>
      </c>
      <c r="U160"/>
    </row>
    <row r="161" spans="1:21" x14ac:dyDescent="0.2">
      <c r="A161">
        <v>984187</v>
      </c>
      <c r="B161" t="s">
        <v>498</v>
      </c>
      <c r="C161">
        <v>23</v>
      </c>
      <c r="D161">
        <v>7</v>
      </c>
      <c r="E161">
        <v>11</v>
      </c>
      <c r="F161">
        <v>23</v>
      </c>
      <c r="G161">
        <v>27</v>
      </c>
      <c r="H161">
        <v>48</v>
      </c>
      <c r="I161">
        <v>106</v>
      </c>
      <c r="J161">
        <v>15.5</v>
      </c>
      <c r="K161">
        <v>0.25</v>
      </c>
      <c r="L161">
        <v>1</v>
      </c>
      <c r="M161">
        <v>16.5</v>
      </c>
      <c r="N161">
        <v>0.9</v>
      </c>
      <c r="O161" t="s">
        <v>551</v>
      </c>
      <c r="P161" s="368">
        <v>37273</v>
      </c>
      <c r="Q161" t="s">
        <v>46</v>
      </c>
      <c r="R161" t="s">
        <v>959</v>
      </c>
      <c r="S161" t="s">
        <v>175</v>
      </c>
      <c r="T161" t="s">
        <v>159</v>
      </c>
      <c r="U161"/>
    </row>
    <row r="162" spans="1:21" x14ac:dyDescent="0.2">
      <c r="A162">
        <v>282517</v>
      </c>
      <c r="B162" t="s">
        <v>1215</v>
      </c>
      <c r="C162">
        <v>20</v>
      </c>
      <c r="D162">
        <v>3</v>
      </c>
      <c r="E162">
        <v>4</v>
      </c>
      <c r="F162">
        <v>20</v>
      </c>
      <c r="G162">
        <v>29</v>
      </c>
      <c r="H162">
        <v>43</v>
      </c>
      <c r="I162">
        <v>104</v>
      </c>
      <c r="J162">
        <v>15.3</v>
      </c>
      <c r="K162">
        <v>0.25</v>
      </c>
      <c r="L162">
        <v>1</v>
      </c>
      <c r="M162">
        <v>17.100000000000001</v>
      </c>
      <c r="N162">
        <v>0.8</v>
      </c>
      <c r="O162" t="s">
        <v>548</v>
      </c>
      <c r="P162" s="368">
        <v>40988</v>
      </c>
      <c r="Q162" t="s">
        <v>46</v>
      </c>
      <c r="R162" t="s">
        <v>632</v>
      </c>
      <c r="S162" t="s">
        <v>184</v>
      </c>
      <c r="T162" t="s">
        <v>159</v>
      </c>
      <c r="U162"/>
    </row>
    <row r="163" spans="1:21" x14ac:dyDescent="0.2">
      <c r="A163">
        <v>610410</v>
      </c>
      <c r="B163" t="s">
        <v>395</v>
      </c>
      <c r="C163">
        <v>23</v>
      </c>
      <c r="D163">
        <v>0</v>
      </c>
      <c r="E163">
        <v>4</v>
      </c>
      <c r="F163">
        <v>23</v>
      </c>
      <c r="G163">
        <v>39</v>
      </c>
      <c r="H163">
        <v>55</v>
      </c>
      <c r="I163">
        <v>96</v>
      </c>
      <c r="J163">
        <v>14.4</v>
      </c>
      <c r="K163">
        <v>0.25</v>
      </c>
      <c r="L163">
        <v>0.5</v>
      </c>
      <c r="M163">
        <v>18.3</v>
      </c>
      <c r="N163">
        <v>0.9</v>
      </c>
      <c r="O163" t="s">
        <v>548</v>
      </c>
      <c r="P163" s="368">
        <v>41425</v>
      </c>
      <c r="Q163" t="s">
        <v>46</v>
      </c>
      <c r="R163" t="s">
        <v>801</v>
      </c>
      <c r="S163" t="s">
        <v>240</v>
      </c>
      <c r="T163" t="s">
        <v>201</v>
      </c>
      <c r="U163"/>
    </row>
    <row r="164" spans="1:21" x14ac:dyDescent="0.2">
      <c r="A164">
        <v>955435</v>
      </c>
      <c r="B164" t="s">
        <v>545</v>
      </c>
      <c r="C164">
        <v>5</v>
      </c>
      <c r="D164">
        <v>1</v>
      </c>
      <c r="E164">
        <v>1</v>
      </c>
      <c r="F164">
        <v>5</v>
      </c>
      <c r="G164">
        <v>8</v>
      </c>
      <c r="H164">
        <v>4</v>
      </c>
      <c r="I164">
        <v>27</v>
      </c>
      <c r="J164">
        <v>4.8</v>
      </c>
      <c r="K164">
        <v>0.25</v>
      </c>
      <c r="L164">
        <v>1</v>
      </c>
      <c r="M164">
        <v>9</v>
      </c>
      <c r="N164">
        <v>0.2</v>
      </c>
      <c r="O164" t="s">
        <v>556</v>
      </c>
      <c r="P164" s="368">
        <v>40492</v>
      </c>
      <c r="Q164" t="s">
        <v>46</v>
      </c>
      <c r="R164" t="s">
        <v>944</v>
      </c>
      <c r="S164" t="s">
        <v>182</v>
      </c>
      <c r="T164" t="s">
        <v>192</v>
      </c>
      <c r="U164"/>
    </row>
    <row r="165" spans="1:21" x14ac:dyDescent="0.2">
      <c r="A165">
        <v>104786</v>
      </c>
      <c r="B165" t="s">
        <v>154</v>
      </c>
      <c r="C165">
        <v>2</v>
      </c>
      <c r="D165">
        <v>0</v>
      </c>
      <c r="E165">
        <v>1</v>
      </c>
      <c r="F165">
        <v>2</v>
      </c>
      <c r="G165">
        <v>4</v>
      </c>
      <c r="H165">
        <v>4</v>
      </c>
      <c r="I165">
        <v>8</v>
      </c>
      <c r="J165">
        <v>1.6</v>
      </c>
      <c r="K165">
        <v>0.25</v>
      </c>
      <c r="L165">
        <v>1.01</v>
      </c>
      <c r="M165">
        <v>3.4</v>
      </c>
      <c r="N165">
        <v>0.4</v>
      </c>
      <c r="O165" t="s">
        <v>548</v>
      </c>
      <c r="P165" s="368">
        <v>38013</v>
      </c>
      <c r="Q165" t="s">
        <v>151</v>
      </c>
      <c r="R165" t="s">
        <v>550</v>
      </c>
      <c r="S165" t="s">
        <v>155</v>
      </c>
      <c r="T165" t="s">
        <v>156</v>
      </c>
      <c r="U165"/>
    </row>
    <row r="166" spans="1:21" x14ac:dyDescent="0.2">
      <c r="A166">
        <v>613729</v>
      </c>
      <c r="B166" t="s">
        <v>1190</v>
      </c>
      <c r="C166">
        <v>18</v>
      </c>
      <c r="D166">
        <v>4</v>
      </c>
      <c r="E166">
        <v>5</v>
      </c>
      <c r="F166">
        <v>18</v>
      </c>
      <c r="G166">
        <v>27</v>
      </c>
      <c r="H166">
        <v>46</v>
      </c>
      <c r="I166">
        <v>102</v>
      </c>
      <c r="J166">
        <v>15</v>
      </c>
      <c r="K166">
        <v>0.26</v>
      </c>
      <c r="L166">
        <v>0.53</v>
      </c>
      <c r="M166">
        <v>16.3</v>
      </c>
      <c r="N166">
        <v>0.9</v>
      </c>
      <c r="O166" t="s">
        <v>548</v>
      </c>
      <c r="P166" s="368">
        <v>37609</v>
      </c>
      <c r="Q166" t="s">
        <v>46</v>
      </c>
      <c r="R166" t="s">
        <v>803</v>
      </c>
      <c r="S166" t="s">
        <v>991</v>
      </c>
      <c r="T166" t="s">
        <v>159</v>
      </c>
      <c r="U166"/>
    </row>
    <row r="167" spans="1:21" x14ac:dyDescent="0.2">
      <c r="A167">
        <v>134593</v>
      </c>
      <c r="B167" t="s">
        <v>185</v>
      </c>
      <c r="C167">
        <v>2</v>
      </c>
      <c r="D167">
        <v>0</v>
      </c>
      <c r="E167">
        <v>1</v>
      </c>
      <c r="F167">
        <v>2</v>
      </c>
      <c r="G167">
        <v>5</v>
      </c>
      <c r="H167">
        <v>5</v>
      </c>
      <c r="I167">
        <v>7</v>
      </c>
      <c r="J167">
        <v>1.3</v>
      </c>
      <c r="K167">
        <v>0.26</v>
      </c>
      <c r="L167">
        <v>0.54</v>
      </c>
      <c r="M167">
        <v>3.6</v>
      </c>
      <c r="N167">
        <v>0.5</v>
      </c>
      <c r="O167" t="s">
        <v>548</v>
      </c>
      <c r="P167" s="368">
        <v>37001</v>
      </c>
      <c r="Q167" t="s">
        <v>151</v>
      </c>
      <c r="R167" t="s">
        <v>564</v>
      </c>
      <c r="S167" t="s">
        <v>186</v>
      </c>
      <c r="T167" t="s">
        <v>156</v>
      </c>
      <c r="U167"/>
    </row>
    <row r="168" spans="1:21" x14ac:dyDescent="0.2">
      <c r="A168">
        <v>283408</v>
      </c>
      <c r="B168" t="s">
        <v>525</v>
      </c>
      <c r="C168">
        <v>21</v>
      </c>
      <c r="D168">
        <v>10</v>
      </c>
      <c r="E168">
        <v>10</v>
      </c>
      <c r="F168">
        <v>21</v>
      </c>
      <c r="G168">
        <v>39</v>
      </c>
      <c r="H168">
        <v>113</v>
      </c>
      <c r="I168">
        <v>297</v>
      </c>
      <c r="J168">
        <v>31.8</v>
      </c>
      <c r="K168">
        <v>0.27</v>
      </c>
      <c r="L168">
        <v>1.25</v>
      </c>
      <c r="M168">
        <v>19.5</v>
      </c>
      <c r="N168">
        <v>1.4</v>
      </c>
      <c r="O168" t="s">
        <v>548</v>
      </c>
      <c r="P168" s="368">
        <v>36712</v>
      </c>
      <c r="Q168" t="s">
        <v>151</v>
      </c>
      <c r="R168" t="s">
        <v>634</v>
      </c>
      <c r="S168" t="s">
        <v>167</v>
      </c>
      <c r="T168" t="s">
        <v>224</v>
      </c>
      <c r="U168"/>
    </row>
    <row r="169" spans="1:21" x14ac:dyDescent="0.2">
      <c r="A169">
        <v>856682</v>
      </c>
      <c r="B169" t="s">
        <v>1015</v>
      </c>
      <c r="C169">
        <v>14</v>
      </c>
      <c r="D169">
        <v>1</v>
      </c>
      <c r="E169">
        <v>13</v>
      </c>
      <c r="F169">
        <v>14</v>
      </c>
      <c r="G169">
        <v>53</v>
      </c>
      <c r="H169">
        <v>108</v>
      </c>
      <c r="I169">
        <v>192</v>
      </c>
      <c r="J169">
        <v>23.9</v>
      </c>
      <c r="K169">
        <v>0.27</v>
      </c>
      <c r="L169">
        <v>1.25</v>
      </c>
      <c r="M169">
        <v>21.1</v>
      </c>
      <c r="N169">
        <v>1.3</v>
      </c>
      <c r="O169" t="s">
        <v>548</v>
      </c>
      <c r="P169" s="368">
        <v>36712</v>
      </c>
      <c r="Q169" t="s">
        <v>151</v>
      </c>
      <c r="R169" t="s">
        <v>905</v>
      </c>
      <c r="S169" t="s">
        <v>167</v>
      </c>
      <c r="T169" t="s">
        <v>153</v>
      </c>
      <c r="U169"/>
    </row>
    <row r="170" spans="1:21" x14ac:dyDescent="0.2">
      <c r="A170">
        <v>896761</v>
      </c>
      <c r="B170" t="s">
        <v>477</v>
      </c>
      <c r="C170">
        <v>8</v>
      </c>
      <c r="D170">
        <v>1</v>
      </c>
      <c r="E170">
        <v>2</v>
      </c>
      <c r="F170">
        <v>8</v>
      </c>
      <c r="G170">
        <v>35</v>
      </c>
      <c r="H170">
        <v>35</v>
      </c>
      <c r="I170">
        <v>111</v>
      </c>
      <c r="J170">
        <v>16.100000000000001</v>
      </c>
      <c r="K170">
        <v>0.27</v>
      </c>
      <c r="L170">
        <v>1.26</v>
      </c>
      <c r="M170">
        <v>19.5</v>
      </c>
      <c r="N170">
        <v>0.6</v>
      </c>
      <c r="O170" t="s">
        <v>548</v>
      </c>
      <c r="P170" s="368">
        <v>36712</v>
      </c>
      <c r="Q170" t="s">
        <v>151</v>
      </c>
      <c r="R170" t="s">
        <v>921</v>
      </c>
      <c r="S170" t="s">
        <v>167</v>
      </c>
      <c r="T170" t="s">
        <v>170</v>
      </c>
      <c r="U170"/>
    </row>
    <row r="171" spans="1:21" x14ac:dyDescent="0.2">
      <c r="A171">
        <v>820852</v>
      </c>
      <c r="B171" t="s">
        <v>456</v>
      </c>
      <c r="C171">
        <v>18</v>
      </c>
      <c r="D171">
        <v>2</v>
      </c>
      <c r="E171">
        <v>7</v>
      </c>
      <c r="F171">
        <v>18</v>
      </c>
      <c r="G171">
        <v>42</v>
      </c>
      <c r="H171">
        <v>46</v>
      </c>
      <c r="I171">
        <v>83</v>
      </c>
      <c r="J171">
        <v>12.9</v>
      </c>
      <c r="K171">
        <v>0.27</v>
      </c>
      <c r="L171">
        <v>1.26</v>
      </c>
      <c r="M171">
        <v>17.7</v>
      </c>
      <c r="N171">
        <v>0.8</v>
      </c>
      <c r="O171" t="s">
        <v>548</v>
      </c>
      <c r="P171" s="368">
        <v>36712</v>
      </c>
      <c r="Q171" t="s">
        <v>151</v>
      </c>
      <c r="R171" t="s">
        <v>886</v>
      </c>
      <c r="S171" t="s">
        <v>167</v>
      </c>
      <c r="T171" t="s">
        <v>190</v>
      </c>
      <c r="U171"/>
    </row>
    <row r="172" spans="1:21" x14ac:dyDescent="0.2">
      <c r="A172">
        <v>968420</v>
      </c>
      <c r="B172" t="s">
        <v>518</v>
      </c>
      <c r="C172">
        <v>21</v>
      </c>
      <c r="D172">
        <v>5</v>
      </c>
      <c r="E172">
        <v>11</v>
      </c>
      <c r="F172">
        <v>21</v>
      </c>
      <c r="G172">
        <v>28</v>
      </c>
      <c r="H172">
        <v>58</v>
      </c>
      <c r="I172">
        <v>83</v>
      </c>
      <c r="J172">
        <v>12.9</v>
      </c>
      <c r="K172">
        <v>0.27</v>
      </c>
      <c r="L172">
        <v>1.26</v>
      </c>
      <c r="M172">
        <v>16.899999999999999</v>
      </c>
      <c r="N172">
        <v>1</v>
      </c>
      <c r="O172" t="s">
        <v>548</v>
      </c>
      <c r="P172" s="368">
        <v>36712</v>
      </c>
      <c r="Q172" t="s">
        <v>151</v>
      </c>
      <c r="R172" t="s">
        <v>947</v>
      </c>
      <c r="S172" t="s">
        <v>167</v>
      </c>
      <c r="T172" t="s">
        <v>259</v>
      </c>
      <c r="U172"/>
    </row>
    <row r="173" spans="1:21" x14ac:dyDescent="0.2">
      <c r="A173">
        <v>928341</v>
      </c>
      <c r="B173" t="s">
        <v>1194</v>
      </c>
      <c r="C173">
        <v>14</v>
      </c>
      <c r="D173">
        <v>5</v>
      </c>
      <c r="E173">
        <v>7</v>
      </c>
      <c r="F173">
        <v>14</v>
      </c>
      <c r="G173">
        <v>14</v>
      </c>
      <c r="H173">
        <v>50</v>
      </c>
      <c r="I173">
        <v>68</v>
      </c>
      <c r="J173">
        <v>10.9</v>
      </c>
      <c r="K173">
        <v>0.27</v>
      </c>
      <c r="L173">
        <v>1.26</v>
      </c>
      <c r="M173">
        <v>15.2</v>
      </c>
      <c r="N173">
        <v>1</v>
      </c>
      <c r="O173" t="s">
        <v>548</v>
      </c>
      <c r="P173" s="368">
        <v>36712</v>
      </c>
      <c r="Q173" t="s">
        <v>151</v>
      </c>
      <c r="R173" t="s">
        <v>936</v>
      </c>
      <c r="S173" t="s">
        <v>167</v>
      </c>
      <c r="T173" t="s">
        <v>242</v>
      </c>
      <c r="U173"/>
    </row>
    <row r="174" spans="1:21" x14ac:dyDescent="0.2">
      <c r="A174">
        <v>838441</v>
      </c>
      <c r="B174" t="s">
        <v>463</v>
      </c>
      <c r="C174">
        <v>21</v>
      </c>
      <c r="D174">
        <v>1</v>
      </c>
      <c r="E174">
        <v>7</v>
      </c>
      <c r="F174">
        <v>21</v>
      </c>
      <c r="G174">
        <v>45</v>
      </c>
      <c r="H174">
        <v>70</v>
      </c>
      <c r="I174">
        <v>118</v>
      </c>
      <c r="J174">
        <v>16.899999999999999</v>
      </c>
      <c r="K174">
        <v>0.28000000000000003</v>
      </c>
      <c r="L174">
        <v>0.62</v>
      </c>
      <c r="M174">
        <v>17.600000000000001</v>
      </c>
      <c r="N174">
        <v>1.1000000000000001</v>
      </c>
      <c r="O174" t="s">
        <v>548</v>
      </c>
      <c r="P174" s="368">
        <v>36712</v>
      </c>
      <c r="Q174" t="s">
        <v>151</v>
      </c>
      <c r="R174" t="s">
        <v>894</v>
      </c>
      <c r="S174" t="s">
        <v>165</v>
      </c>
      <c r="T174" t="s">
        <v>201</v>
      </c>
      <c r="U174"/>
    </row>
    <row r="175" spans="1:21" x14ac:dyDescent="0.2">
      <c r="A175">
        <v>295857</v>
      </c>
      <c r="B175" t="s">
        <v>275</v>
      </c>
      <c r="C175">
        <v>10</v>
      </c>
      <c r="D175">
        <v>4</v>
      </c>
      <c r="E175">
        <v>0</v>
      </c>
      <c r="F175">
        <v>10</v>
      </c>
      <c r="G175">
        <v>28</v>
      </c>
      <c r="H175">
        <v>39</v>
      </c>
      <c r="I175">
        <v>116</v>
      </c>
      <c r="J175">
        <v>16.600000000000001</v>
      </c>
      <c r="K175">
        <v>0.28000000000000003</v>
      </c>
      <c r="L175">
        <v>0.92</v>
      </c>
      <c r="M175">
        <v>15.9</v>
      </c>
      <c r="N175">
        <v>0.8</v>
      </c>
      <c r="O175" t="s">
        <v>548</v>
      </c>
      <c r="P175" s="368">
        <v>41199</v>
      </c>
      <c r="Q175" t="s">
        <v>151</v>
      </c>
      <c r="R175" t="s">
        <v>642</v>
      </c>
      <c r="S175" t="s">
        <v>155</v>
      </c>
      <c r="T175" t="s">
        <v>169</v>
      </c>
      <c r="U175"/>
    </row>
    <row r="176" spans="1:21" x14ac:dyDescent="0.2">
      <c r="A176">
        <v>572637</v>
      </c>
      <c r="B176" t="s">
        <v>1088</v>
      </c>
      <c r="C176">
        <v>7</v>
      </c>
      <c r="D176">
        <v>4</v>
      </c>
      <c r="E176">
        <v>0</v>
      </c>
      <c r="F176">
        <v>7</v>
      </c>
      <c r="G176">
        <v>4</v>
      </c>
      <c r="H176">
        <v>16</v>
      </c>
      <c r="I176">
        <v>40</v>
      </c>
      <c r="J176">
        <v>6.9</v>
      </c>
      <c r="K176">
        <v>0.28000000000000003</v>
      </c>
      <c r="L176">
        <v>1.45</v>
      </c>
      <c r="M176">
        <v>9.5</v>
      </c>
      <c r="N176">
        <v>0.6</v>
      </c>
      <c r="O176" t="s">
        <v>576</v>
      </c>
      <c r="P176" s="368">
        <v>43893</v>
      </c>
      <c r="Q176" t="s">
        <v>46</v>
      </c>
      <c r="R176" t="s">
        <v>1111</v>
      </c>
      <c r="S176" t="s">
        <v>967</v>
      </c>
      <c r="T176" t="s">
        <v>256</v>
      </c>
      <c r="U176"/>
    </row>
    <row r="177" spans="1:21" x14ac:dyDescent="0.2">
      <c r="A177">
        <v>112755</v>
      </c>
      <c r="B177" t="s">
        <v>164</v>
      </c>
      <c r="C177">
        <v>1</v>
      </c>
      <c r="D177">
        <v>0</v>
      </c>
      <c r="E177">
        <v>0</v>
      </c>
      <c r="F177">
        <v>1</v>
      </c>
      <c r="G177">
        <v>3</v>
      </c>
      <c r="H177">
        <v>2</v>
      </c>
      <c r="I177">
        <v>4</v>
      </c>
      <c r="J177">
        <v>0.8</v>
      </c>
      <c r="K177">
        <v>0.28000000000000003</v>
      </c>
      <c r="L177">
        <v>0.72</v>
      </c>
      <c r="M177">
        <v>1.9</v>
      </c>
      <c r="N177">
        <v>0.5</v>
      </c>
      <c r="O177" t="s">
        <v>548</v>
      </c>
      <c r="P177" s="368">
        <v>36712</v>
      </c>
      <c r="Q177" t="s">
        <v>151</v>
      </c>
      <c r="R177" t="s">
        <v>553</v>
      </c>
      <c r="S177" t="s">
        <v>165</v>
      </c>
      <c r="T177" t="s">
        <v>156</v>
      </c>
      <c r="U177"/>
    </row>
    <row r="178" spans="1:21" x14ac:dyDescent="0.2">
      <c r="A178">
        <v>479550</v>
      </c>
      <c r="B178" t="s">
        <v>347</v>
      </c>
      <c r="C178">
        <v>17</v>
      </c>
      <c r="D178">
        <v>4</v>
      </c>
      <c r="E178">
        <v>7</v>
      </c>
      <c r="F178">
        <v>17</v>
      </c>
      <c r="G178">
        <v>31</v>
      </c>
      <c r="H178">
        <v>58</v>
      </c>
      <c r="I178">
        <v>126</v>
      </c>
      <c r="J178">
        <v>17.7</v>
      </c>
      <c r="K178">
        <v>0.28999999999999998</v>
      </c>
      <c r="L178">
        <v>0.6</v>
      </c>
      <c r="M178">
        <v>15.4</v>
      </c>
      <c r="N178">
        <v>1.1000000000000001</v>
      </c>
      <c r="O178" t="s">
        <v>556</v>
      </c>
      <c r="P178" s="368">
        <v>36712</v>
      </c>
      <c r="Q178" t="s">
        <v>46</v>
      </c>
      <c r="R178" t="s">
        <v>738</v>
      </c>
      <c r="S178" t="s">
        <v>325</v>
      </c>
      <c r="T178" t="s">
        <v>159</v>
      </c>
      <c r="U178"/>
    </row>
    <row r="179" spans="1:21" x14ac:dyDescent="0.2">
      <c r="A179">
        <v>752204</v>
      </c>
      <c r="B179" t="s">
        <v>534</v>
      </c>
      <c r="C179">
        <v>24</v>
      </c>
      <c r="D179">
        <v>5</v>
      </c>
      <c r="E179">
        <v>12</v>
      </c>
      <c r="F179">
        <v>24</v>
      </c>
      <c r="G179">
        <v>30</v>
      </c>
      <c r="H179">
        <v>51</v>
      </c>
      <c r="I179">
        <v>117</v>
      </c>
      <c r="J179">
        <v>16.8</v>
      </c>
      <c r="K179">
        <v>0.28999999999999998</v>
      </c>
      <c r="L179">
        <v>1.43</v>
      </c>
      <c r="M179">
        <v>23</v>
      </c>
      <c r="N179">
        <v>0.7</v>
      </c>
      <c r="O179" t="s">
        <v>548</v>
      </c>
      <c r="P179" s="368">
        <v>37008</v>
      </c>
      <c r="Q179" t="s">
        <v>151</v>
      </c>
      <c r="R179" t="s">
        <v>861</v>
      </c>
      <c r="S179" t="s">
        <v>167</v>
      </c>
      <c r="T179" t="s">
        <v>253</v>
      </c>
      <c r="U179"/>
    </row>
    <row r="180" spans="1:21" x14ac:dyDescent="0.2">
      <c r="A180">
        <v>861757</v>
      </c>
      <c r="B180" t="s">
        <v>1231</v>
      </c>
      <c r="C180">
        <v>22</v>
      </c>
      <c r="D180">
        <v>1</v>
      </c>
      <c r="E180">
        <v>7</v>
      </c>
      <c r="F180">
        <v>22</v>
      </c>
      <c r="G180">
        <v>43</v>
      </c>
      <c r="H180">
        <v>55</v>
      </c>
      <c r="I180">
        <v>106</v>
      </c>
      <c r="J180">
        <v>15.5</v>
      </c>
      <c r="K180">
        <v>0.28999999999999998</v>
      </c>
      <c r="L180">
        <v>1.4</v>
      </c>
      <c r="M180">
        <v>16.7</v>
      </c>
      <c r="N180">
        <v>1</v>
      </c>
      <c r="O180" t="s">
        <v>548</v>
      </c>
      <c r="P180" s="368">
        <v>42620</v>
      </c>
      <c r="Q180" t="s">
        <v>46</v>
      </c>
      <c r="R180" t="s">
        <v>909</v>
      </c>
      <c r="S180" t="s">
        <v>184</v>
      </c>
      <c r="T180" t="s">
        <v>190</v>
      </c>
      <c r="U180"/>
    </row>
    <row r="181" spans="1:21" x14ac:dyDescent="0.2">
      <c r="A181">
        <v>291906</v>
      </c>
      <c r="B181" t="s">
        <v>74</v>
      </c>
      <c r="C181">
        <v>22</v>
      </c>
      <c r="D181">
        <v>1</v>
      </c>
      <c r="E181">
        <v>5</v>
      </c>
      <c r="F181">
        <v>22</v>
      </c>
      <c r="G181">
        <v>49</v>
      </c>
      <c r="H181">
        <v>52</v>
      </c>
      <c r="I181">
        <v>98</v>
      </c>
      <c r="J181">
        <v>14.7</v>
      </c>
      <c r="K181">
        <v>0.28999999999999998</v>
      </c>
      <c r="L181">
        <v>1.22</v>
      </c>
      <c r="M181">
        <v>21.5</v>
      </c>
      <c r="N181">
        <v>0.8</v>
      </c>
      <c r="O181" t="s">
        <v>548</v>
      </c>
      <c r="P181" s="368">
        <v>36712</v>
      </c>
      <c r="Q181" t="s">
        <v>151</v>
      </c>
      <c r="R181" t="s">
        <v>638</v>
      </c>
      <c r="S181" t="s">
        <v>189</v>
      </c>
      <c r="T181" t="s">
        <v>201</v>
      </c>
      <c r="U181"/>
    </row>
    <row r="182" spans="1:21" x14ac:dyDescent="0.2">
      <c r="A182">
        <v>203067</v>
      </c>
      <c r="B182" t="s">
        <v>228</v>
      </c>
      <c r="C182">
        <v>16</v>
      </c>
      <c r="D182">
        <v>1</v>
      </c>
      <c r="E182">
        <v>5</v>
      </c>
      <c r="F182">
        <v>16</v>
      </c>
      <c r="G182">
        <v>42</v>
      </c>
      <c r="H182">
        <v>38</v>
      </c>
      <c r="I182">
        <v>90</v>
      </c>
      <c r="J182">
        <v>13.7</v>
      </c>
      <c r="K182">
        <v>0.28999999999999998</v>
      </c>
      <c r="L182">
        <v>1.4</v>
      </c>
      <c r="M182">
        <v>20.7</v>
      </c>
      <c r="N182">
        <v>0.6</v>
      </c>
      <c r="O182" t="s">
        <v>548</v>
      </c>
      <c r="P182" s="368">
        <v>39545</v>
      </c>
      <c r="Q182" t="s">
        <v>151</v>
      </c>
      <c r="R182" t="s">
        <v>598</v>
      </c>
      <c r="S182" t="s">
        <v>184</v>
      </c>
      <c r="T182" t="s">
        <v>201</v>
      </c>
      <c r="U182"/>
    </row>
    <row r="183" spans="1:21" x14ac:dyDescent="0.2">
      <c r="A183">
        <v>987842</v>
      </c>
      <c r="B183" t="s">
        <v>499</v>
      </c>
      <c r="C183">
        <v>8</v>
      </c>
      <c r="D183">
        <v>3</v>
      </c>
      <c r="E183">
        <v>0</v>
      </c>
      <c r="F183">
        <v>8</v>
      </c>
      <c r="G183">
        <v>22</v>
      </c>
      <c r="H183">
        <v>28</v>
      </c>
      <c r="I183">
        <v>83</v>
      </c>
      <c r="J183">
        <v>12.8</v>
      </c>
      <c r="K183">
        <v>0.28999999999999998</v>
      </c>
      <c r="L183">
        <v>1.3</v>
      </c>
      <c r="M183">
        <v>15.5</v>
      </c>
      <c r="N183">
        <v>0.6</v>
      </c>
      <c r="O183" t="s">
        <v>548</v>
      </c>
      <c r="P183" s="368">
        <v>36712</v>
      </c>
      <c r="Q183" t="s">
        <v>151</v>
      </c>
      <c r="R183" t="s">
        <v>961</v>
      </c>
      <c r="S183" t="s">
        <v>181</v>
      </c>
      <c r="T183" t="s">
        <v>169</v>
      </c>
      <c r="U183"/>
    </row>
    <row r="184" spans="1:21" x14ac:dyDescent="0.2">
      <c r="A184">
        <v>825109</v>
      </c>
      <c r="B184" t="s">
        <v>458</v>
      </c>
      <c r="C184">
        <v>12</v>
      </c>
      <c r="D184">
        <v>3</v>
      </c>
      <c r="E184">
        <v>8</v>
      </c>
      <c r="F184">
        <v>12</v>
      </c>
      <c r="G184">
        <v>14</v>
      </c>
      <c r="H184">
        <v>15</v>
      </c>
      <c r="I184">
        <v>60</v>
      </c>
      <c r="J184">
        <v>9.8000000000000007</v>
      </c>
      <c r="K184">
        <v>0.28999999999999998</v>
      </c>
      <c r="L184">
        <v>1.46</v>
      </c>
      <c r="M184">
        <v>22.6</v>
      </c>
      <c r="N184">
        <v>0.3</v>
      </c>
      <c r="O184" t="s">
        <v>548</v>
      </c>
      <c r="P184" s="368">
        <v>36712</v>
      </c>
      <c r="Q184" t="s">
        <v>151</v>
      </c>
      <c r="R184" t="s">
        <v>888</v>
      </c>
      <c r="S184" t="s">
        <v>167</v>
      </c>
      <c r="T184" t="s">
        <v>306</v>
      </c>
      <c r="U184"/>
    </row>
    <row r="185" spans="1:21" x14ac:dyDescent="0.2">
      <c r="A185">
        <v>416982</v>
      </c>
      <c r="B185" t="s">
        <v>324</v>
      </c>
      <c r="C185">
        <v>14</v>
      </c>
      <c r="D185">
        <v>9</v>
      </c>
      <c r="E185">
        <v>6</v>
      </c>
      <c r="F185">
        <v>14</v>
      </c>
      <c r="G185">
        <v>1</v>
      </c>
      <c r="H185">
        <v>35</v>
      </c>
      <c r="I185">
        <v>47</v>
      </c>
      <c r="J185">
        <v>8.1</v>
      </c>
      <c r="K185">
        <v>0.28999999999999998</v>
      </c>
      <c r="L185">
        <v>0.61</v>
      </c>
      <c r="M185">
        <v>14.7</v>
      </c>
      <c r="N185">
        <v>0.8</v>
      </c>
      <c r="O185" t="s">
        <v>556</v>
      </c>
      <c r="P185" s="368">
        <v>36914</v>
      </c>
      <c r="Q185" t="s">
        <v>46</v>
      </c>
      <c r="R185" t="s">
        <v>708</v>
      </c>
      <c r="S185" t="s">
        <v>325</v>
      </c>
      <c r="T185" t="s">
        <v>242</v>
      </c>
      <c r="U185"/>
    </row>
    <row r="186" spans="1:21" x14ac:dyDescent="0.2">
      <c r="A186">
        <v>403642</v>
      </c>
      <c r="B186" t="s">
        <v>318</v>
      </c>
      <c r="C186">
        <v>5</v>
      </c>
      <c r="D186">
        <v>1</v>
      </c>
      <c r="E186">
        <v>2</v>
      </c>
      <c r="F186">
        <v>5</v>
      </c>
      <c r="G186">
        <v>7</v>
      </c>
      <c r="H186">
        <v>8</v>
      </c>
      <c r="I186">
        <v>13</v>
      </c>
      <c r="J186">
        <v>2.4</v>
      </c>
      <c r="K186">
        <v>0.28999999999999998</v>
      </c>
      <c r="L186">
        <v>0.91</v>
      </c>
      <c r="M186">
        <v>3.8</v>
      </c>
      <c r="N186">
        <v>0.7</v>
      </c>
      <c r="O186" t="s">
        <v>548</v>
      </c>
      <c r="P186" s="368">
        <v>36712</v>
      </c>
      <c r="Q186" t="s">
        <v>151</v>
      </c>
      <c r="R186" t="s">
        <v>698</v>
      </c>
      <c r="S186" t="s">
        <v>152</v>
      </c>
      <c r="T186" t="s">
        <v>319</v>
      </c>
      <c r="U186"/>
    </row>
    <row r="187" spans="1:21" x14ac:dyDescent="0.2">
      <c r="A187">
        <v>308908</v>
      </c>
      <c r="B187" t="s">
        <v>526</v>
      </c>
      <c r="C187">
        <v>1</v>
      </c>
      <c r="D187">
        <v>0</v>
      </c>
      <c r="E187">
        <v>0</v>
      </c>
      <c r="F187">
        <v>1</v>
      </c>
      <c r="G187">
        <v>2</v>
      </c>
      <c r="H187">
        <v>2</v>
      </c>
      <c r="I187">
        <v>3</v>
      </c>
      <c r="J187">
        <v>0.5</v>
      </c>
      <c r="K187">
        <v>0.28999999999999998</v>
      </c>
      <c r="L187">
        <v>0.63</v>
      </c>
      <c r="M187">
        <v>2</v>
      </c>
      <c r="N187">
        <v>0.4</v>
      </c>
      <c r="O187" t="s">
        <v>548</v>
      </c>
      <c r="P187" s="368">
        <v>36712</v>
      </c>
      <c r="Q187" t="s">
        <v>151</v>
      </c>
      <c r="R187" t="s">
        <v>652</v>
      </c>
      <c r="S187" t="s">
        <v>283</v>
      </c>
      <c r="T187" t="s">
        <v>156</v>
      </c>
      <c r="U187"/>
    </row>
    <row r="188" spans="1:21" x14ac:dyDescent="0.2">
      <c r="A188">
        <v>639633</v>
      </c>
      <c r="B188" t="s">
        <v>533</v>
      </c>
      <c r="C188">
        <v>5</v>
      </c>
      <c r="D188">
        <v>-1</v>
      </c>
      <c r="E188">
        <v>0</v>
      </c>
      <c r="F188">
        <v>5</v>
      </c>
      <c r="G188">
        <v>15</v>
      </c>
      <c r="H188">
        <v>7</v>
      </c>
      <c r="I188">
        <v>0</v>
      </c>
      <c r="J188">
        <v>-0.1</v>
      </c>
      <c r="K188">
        <v>0.28999999999999998</v>
      </c>
      <c r="L188">
        <v>1.1499999999999999</v>
      </c>
      <c r="M188">
        <v>7.7</v>
      </c>
      <c r="N188">
        <v>0.3</v>
      </c>
      <c r="O188" t="s">
        <v>548</v>
      </c>
      <c r="P188" s="368">
        <v>40574</v>
      </c>
      <c r="Q188" t="s">
        <v>46</v>
      </c>
      <c r="R188" t="s">
        <v>811</v>
      </c>
      <c r="S188" t="s">
        <v>178</v>
      </c>
      <c r="T188" t="s">
        <v>172</v>
      </c>
      <c r="U188"/>
    </row>
    <row r="189" spans="1:21" x14ac:dyDescent="0.2">
      <c r="A189">
        <v>123679</v>
      </c>
      <c r="B189" t="s">
        <v>180</v>
      </c>
      <c r="C189">
        <v>13</v>
      </c>
      <c r="D189">
        <v>5</v>
      </c>
      <c r="E189">
        <v>6</v>
      </c>
      <c r="F189">
        <v>13</v>
      </c>
      <c r="G189">
        <v>32</v>
      </c>
      <c r="H189">
        <v>56</v>
      </c>
      <c r="I189">
        <v>120</v>
      </c>
      <c r="J189">
        <v>17.100000000000001</v>
      </c>
      <c r="K189">
        <v>0.3</v>
      </c>
      <c r="L189">
        <v>1.4</v>
      </c>
      <c r="M189">
        <v>16.2</v>
      </c>
      <c r="N189">
        <v>1</v>
      </c>
      <c r="O189" t="s">
        <v>548</v>
      </c>
      <c r="P189" s="368">
        <v>36712</v>
      </c>
      <c r="Q189" t="s">
        <v>151</v>
      </c>
      <c r="R189" t="s">
        <v>561</v>
      </c>
      <c r="S189" t="s">
        <v>181</v>
      </c>
      <c r="T189" t="s">
        <v>159</v>
      </c>
      <c r="U189"/>
    </row>
    <row r="190" spans="1:21" x14ac:dyDescent="0.2">
      <c r="A190">
        <v>528133</v>
      </c>
      <c r="B190" t="s">
        <v>367</v>
      </c>
      <c r="C190">
        <v>19</v>
      </c>
      <c r="D190">
        <v>1</v>
      </c>
      <c r="E190">
        <v>5</v>
      </c>
      <c r="F190">
        <v>19</v>
      </c>
      <c r="G190">
        <v>41</v>
      </c>
      <c r="H190">
        <v>61</v>
      </c>
      <c r="I190">
        <v>120</v>
      </c>
      <c r="J190">
        <v>17</v>
      </c>
      <c r="K190">
        <v>0.3</v>
      </c>
      <c r="L190">
        <v>1.31</v>
      </c>
      <c r="M190">
        <v>18.100000000000001</v>
      </c>
      <c r="N190">
        <v>1</v>
      </c>
      <c r="O190" t="s">
        <v>548</v>
      </c>
      <c r="P190" s="368">
        <v>36712</v>
      </c>
      <c r="Q190" t="s">
        <v>151</v>
      </c>
      <c r="R190" t="s">
        <v>767</v>
      </c>
      <c r="S190" t="s">
        <v>231</v>
      </c>
      <c r="T190" t="s">
        <v>201</v>
      </c>
      <c r="U190"/>
    </row>
    <row r="191" spans="1:21" x14ac:dyDescent="0.2">
      <c r="A191">
        <v>792697</v>
      </c>
      <c r="B191" t="s">
        <v>451</v>
      </c>
      <c r="C191">
        <v>11</v>
      </c>
      <c r="D191">
        <v>0</v>
      </c>
      <c r="E191">
        <v>5</v>
      </c>
      <c r="F191">
        <v>11</v>
      </c>
      <c r="G191">
        <v>37</v>
      </c>
      <c r="H191">
        <v>56</v>
      </c>
      <c r="I191">
        <v>110</v>
      </c>
      <c r="J191">
        <v>16</v>
      </c>
      <c r="K191">
        <v>0.3</v>
      </c>
      <c r="L191">
        <v>1.2</v>
      </c>
      <c r="M191">
        <v>19.899999999999999</v>
      </c>
      <c r="N191">
        <v>0.9</v>
      </c>
      <c r="O191" t="s">
        <v>548</v>
      </c>
      <c r="P191" s="368">
        <v>40266</v>
      </c>
      <c r="Q191" t="s">
        <v>46</v>
      </c>
      <c r="R191" t="s">
        <v>878</v>
      </c>
      <c r="S191" t="s">
        <v>158</v>
      </c>
      <c r="T191" t="s">
        <v>201</v>
      </c>
      <c r="U191"/>
    </row>
    <row r="192" spans="1:21" x14ac:dyDescent="0.2">
      <c r="A192">
        <v>564849</v>
      </c>
      <c r="B192" t="s">
        <v>1227</v>
      </c>
      <c r="C192">
        <v>18</v>
      </c>
      <c r="D192">
        <v>1</v>
      </c>
      <c r="E192">
        <v>7</v>
      </c>
      <c r="F192">
        <v>18</v>
      </c>
      <c r="G192">
        <v>28</v>
      </c>
      <c r="H192">
        <v>36</v>
      </c>
      <c r="I192">
        <v>79</v>
      </c>
      <c r="J192">
        <v>12.3</v>
      </c>
      <c r="K192">
        <v>0.3</v>
      </c>
      <c r="L192">
        <v>1.5</v>
      </c>
      <c r="M192">
        <v>17.3</v>
      </c>
      <c r="N192">
        <v>0.7</v>
      </c>
      <c r="O192" t="s">
        <v>548</v>
      </c>
      <c r="P192" s="368">
        <v>41864</v>
      </c>
      <c r="Q192" t="s">
        <v>46</v>
      </c>
      <c r="R192" t="s">
        <v>785</v>
      </c>
      <c r="S192" t="s">
        <v>184</v>
      </c>
      <c r="T192" t="s">
        <v>179</v>
      </c>
      <c r="U192"/>
    </row>
    <row r="193" spans="1:21" x14ac:dyDescent="0.2">
      <c r="A193">
        <v>515973</v>
      </c>
      <c r="B193" t="s">
        <v>979</v>
      </c>
      <c r="C193">
        <v>0</v>
      </c>
      <c r="D193">
        <v>0</v>
      </c>
      <c r="E193">
        <v>-1</v>
      </c>
      <c r="F193">
        <v>0</v>
      </c>
      <c r="G193">
        <v>-2</v>
      </c>
      <c r="H193">
        <v>-3</v>
      </c>
      <c r="I193">
        <v>6</v>
      </c>
      <c r="J193">
        <v>1.2</v>
      </c>
      <c r="K193">
        <v>0.3</v>
      </c>
      <c r="L193">
        <v>0.77</v>
      </c>
      <c r="M193">
        <v>5.5</v>
      </c>
      <c r="N193">
        <v>-0.1</v>
      </c>
      <c r="O193" t="s">
        <v>556</v>
      </c>
      <c r="P193" s="368">
        <v>36712</v>
      </c>
      <c r="Q193" t="s">
        <v>46</v>
      </c>
      <c r="R193" t="s">
        <v>759</v>
      </c>
      <c r="S193" t="s">
        <v>966</v>
      </c>
      <c r="T193" t="s">
        <v>256</v>
      </c>
      <c r="U193"/>
    </row>
    <row r="194" spans="1:21" x14ac:dyDescent="0.2">
      <c r="A194">
        <v>687509</v>
      </c>
      <c r="B194" t="s">
        <v>421</v>
      </c>
      <c r="C194">
        <v>4</v>
      </c>
      <c r="D194">
        <v>7</v>
      </c>
      <c r="E194">
        <v>5</v>
      </c>
      <c r="F194">
        <v>4</v>
      </c>
      <c r="G194">
        <v>95</v>
      </c>
      <c r="H194">
        <v>134</v>
      </c>
      <c r="I194">
        <v>226</v>
      </c>
      <c r="J194">
        <v>26.7</v>
      </c>
      <c r="K194">
        <v>0.31</v>
      </c>
      <c r="L194">
        <v>1.5</v>
      </c>
      <c r="M194">
        <v>26.9</v>
      </c>
      <c r="N194">
        <v>1.2</v>
      </c>
      <c r="O194" t="s">
        <v>548</v>
      </c>
      <c r="P194" s="368">
        <v>41978</v>
      </c>
      <c r="Q194" t="s">
        <v>151</v>
      </c>
      <c r="R194" t="s">
        <v>837</v>
      </c>
      <c r="S194" t="s">
        <v>181</v>
      </c>
      <c r="T194" t="s">
        <v>160</v>
      </c>
      <c r="U194"/>
    </row>
    <row r="195" spans="1:21" x14ac:dyDescent="0.2">
      <c r="A195">
        <v>313742</v>
      </c>
      <c r="B195" t="s">
        <v>285</v>
      </c>
      <c r="C195">
        <v>21</v>
      </c>
      <c r="D195">
        <v>2</v>
      </c>
      <c r="E195">
        <v>20</v>
      </c>
      <c r="F195">
        <v>21</v>
      </c>
      <c r="G195">
        <v>48</v>
      </c>
      <c r="H195">
        <v>112</v>
      </c>
      <c r="I195">
        <v>171</v>
      </c>
      <c r="J195">
        <v>22</v>
      </c>
      <c r="K195">
        <v>0.31</v>
      </c>
      <c r="L195">
        <v>1.41</v>
      </c>
      <c r="M195">
        <v>23.7</v>
      </c>
      <c r="N195">
        <v>1.2</v>
      </c>
      <c r="O195" t="s">
        <v>548</v>
      </c>
      <c r="P195" s="368">
        <v>37007</v>
      </c>
      <c r="Q195" t="s">
        <v>151</v>
      </c>
      <c r="R195" t="s">
        <v>654</v>
      </c>
      <c r="S195" t="s">
        <v>231</v>
      </c>
      <c r="T195" t="s">
        <v>259</v>
      </c>
      <c r="U195"/>
    </row>
    <row r="196" spans="1:21" x14ac:dyDescent="0.2">
      <c r="A196">
        <v>286294</v>
      </c>
      <c r="B196" t="s">
        <v>1216</v>
      </c>
      <c r="C196">
        <v>12</v>
      </c>
      <c r="D196">
        <v>-1</v>
      </c>
      <c r="E196">
        <v>6</v>
      </c>
      <c r="F196">
        <v>12</v>
      </c>
      <c r="G196">
        <v>45</v>
      </c>
      <c r="H196">
        <v>77</v>
      </c>
      <c r="I196">
        <v>164</v>
      </c>
      <c r="J196">
        <v>21.4</v>
      </c>
      <c r="K196">
        <v>0.31</v>
      </c>
      <c r="L196">
        <v>1.6</v>
      </c>
      <c r="M196">
        <v>18.399999999999999</v>
      </c>
      <c r="N196">
        <v>1.1000000000000001</v>
      </c>
      <c r="O196" t="s">
        <v>548</v>
      </c>
      <c r="P196" s="368">
        <v>39111</v>
      </c>
      <c r="Q196" t="s">
        <v>46</v>
      </c>
      <c r="R196" t="s">
        <v>635</v>
      </c>
      <c r="S196" t="s">
        <v>184</v>
      </c>
      <c r="T196" t="s">
        <v>190</v>
      </c>
      <c r="U196"/>
    </row>
    <row r="197" spans="1:21" x14ac:dyDescent="0.2">
      <c r="A197">
        <v>952010</v>
      </c>
      <c r="B197" t="s">
        <v>490</v>
      </c>
      <c r="C197">
        <v>14</v>
      </c>
      <c r="D197">
        <v>0</v>
      </c>
      <c r="E197">
        <v>8</v>
      </c>
      <c r="F197">
        <v>14</v>
      </c>
      <c r="G197">
        <v>55</v>
      </c>
      <c r="H197">
        <v>91</v>
      </c>
      <c r="I197">
        <v>158</v>
      </c>
      <c r="J197">
        <v>20.9</v>
      </c>
      <c r="K197">
        <v>0.31</v>
      </c>
      <c r="L197">
        <v>1.5</v>
      </c>
      <c r="M197">
        <v>21.5</v>
      </c>
      <c r="N197">
        <v>1.1000000000000001</v>
      </c>
      <c r="O197" t="s">
        <v>548</v>
      </c>
      <c r="P197" s="368">
        <v>36712</v>
      </c>
      <c r="Q197" t="s">
        <v>151</v>
      </c>
      <c r="R197" t="s">
        <v>943</v>
      </c>
      <c r="S197" t="s">
        <v>181</v>
      </c>
      <c r="T197" t="s">
        <v>153</v>
      </c>
      <c r="U197"/>
    </row>
    <row r="198" spans="1:21" x14ac:dyDescent="0.2">
      <c r="A198">
        <v>494427</v>
      </c>
      <c r="B198" t="s">
        <v>1224</v>
      </c>
      <c r="C198">
        <v>10</v>
      </c>
      <c r="D198">
        <v>3</v>
      </c>
      <c r="E198">
        <v>1</v>
      </c>
      <c r="F198">
        <v>10</v>
      </c>
      <c r="G198">
        <v>34</v>
      </c>
      <c r="H198">
        <v>60</v>
      </c>
      <c r="I198">
        <v>150</v>
      </c>
      <c r="J198">
        <v>20.100000000000001</v>
      </c>
      <c r="K198">
        <v>0.31</v>
      </c>
      <c r="L198">
        <v>1.6</v>
      </c>
      <c r="M198">
        <v>16.3</v>
      </c>
      <c r="N198">
        <v>1.1000000000000001</v>
      </c>
      <c r="O198" t="s">
        <v>548</v>
      </c>
      <c r="P198" s="368">
        <v>41374</v>
      </c>
      <c r="Q198" t="s">
        <v>46</v>
      </c>
      <c r="R198" t="s">
        <v>748</v>
      </c>
      <c r="S198" t="s">
        <v>184</v>
      </c>
      <c r="T198" t="s">
        <v>251</v>
      </c>
      <c r="U198"/>
    </row>
    <row r="199" spans="1:21" x14ac:dyDescent="0.2">
      <c r="A199">
        <v>846527</v>
      </c>
      <c r="B199" t="s">
        <v>1230</v>
      </c>
      <c r="C199">
        <v>20</v>
      </c>
      <c r="D199">
        <v>3</v>
      </c>
      <c r="E199">
        <v>11</v>
      </c>
      <c r="F199">
        <v>20</v>
      </c>
      <c r="G199">
        <v>45</v>
      </c>
      <c r="H199">
        <v>79</v>
      </c>
      <c r="I199">
        <v>132</v>
      </c>
      <c r="J199">
        <v>18.399999999999999</v>
      </c>
      <c r="K199">
        <v>0.31</v>
      </c>
      <c r="L199">
        <v>1.3</v>
      </c>
      <c r="M199">
        <v>18.2</v>
      </c>
      <c r="N199">
        <v>1.2</v>
      </c>
      <c r="O199" t="s">
        <v>548</v>
      </c>
      <c r="P199" s="368">
        <v>43782</v>
      </c>
      <c r="Q199" t="s">
        <v>46</v>
      </c>
      <c r="R199" t="s">
        <v>900</v>
      </c>
      <c r="S199" t="s">
        <v>178</v>
      </c>
      <c r="T199" t="s">
        <v>201</v>
      </c>
      <c r="U199"/>
    </row>
    <row r="200" spans="1:21" x14ac:dyDescent="0.2">
      <c r="A200">
        <v>140491</v>
      </c>
      <c r="B200" t="s">
        <v>188</v>
      </c>
      <c r="C200">
        <v>15</v>
      </c>
      <c r="D200">
        <v>-2</v>
      </c>
      <c r="E200">
        <v>4</v>
      </c>
      <c r="F200">
        <v>15</v>
      </c>
      <c r="G200">
        <v>55</v>
      </c>
      <c r="H200">
        <v>60</v>
      </c>
      <c r="I200">
        <v>115</v>
      </c>
      <c r="J200">
        <v>16.600000000000001</v>
      </c>
      <c r="K200">
        <v>0.31</v>
      </c>
      <c r="L200">
        <v>1.4</v>
      </c>
      <c r="M200">
        <v>22.2</v>
      </c>
      <c r="N200">
        <v>0.8</v>
      </c>
      <c r="O200" t="s">
        <v>548</v>
      </c>
      <c r="P200" s="368">
        <v>39832</v>
      </c>
      <c r="Q200" t="s">
        <v>151</v>
      </c>
      <c r="R200" t="s">
        <v>565</v>
      </c>
      <c r="S200" t="s">
        <v>189</v>
      </c>
      <c r="T200" t="s">
        <v>190</v>
      </c>
      <c r="U200"/>
    </row>
    <row r="201" spans="1:21" x14ac:dyDescent="0.2">
      <c r="A201">
        <v>490292</v>
      </c>
      <c r="B201" t="s">
        <v>353</v>
      </c>
      <c r="C201">
        <v>22</v>
      </c>
      <c r="D201">
        <v>0</v>
      </c>
      <c r="E201">
        <v>4</v>
      </c>
      <c r="F201">
        <v>22</v>
      </c>
      <c r="G201">
        <v>47</v>
      </c>
      <c r="H201">
        <v>58</v>
      </c>
      <c r="I201">
        <v>114</v>
      </c>
      <c r="J201">
        <v>16.399999999999999</v>
      </c>
      <c r="K201">
        <v>0.31</v>
      </c>
      <c r="L201">
        <v>1.06</v>
      </c>
      <c r="M201">
        <v>21.5</v>
      </c>
      <c r="N201">
        <v>0.8</v>
      </c>
      <c r="O201" t="s">
        <v>548</v>
      </c>
      <c r="P201" s="368">
        <v>39804</v>
      </c>
      <c r="Q201" t="s">
        <v>151</v>
      </c>
      <c r="R201" t="s">
        <v>746</v>
      </c>
      <c r="S201" t="s">
        <v>346</v>
      </c>
      <c r="T201" t="s">
        <v>201</v>
      </c>
      <c r="U201"/>
    </row>
    <row r="202" spans="1:21" x14ac:dyDescent="0.2">
      <c r="A202">
        <v>504100</v>
      </c>
      <c r="B202" t="s">
        <v>359</v>
      </c>
      <c r="C202">
        <v>10</v>
      </c>
      <c r="D202">
        <v>3</v>
      </c>
      <c r="E202">
        <v>-2</v>
      </c>
      <c r="F202">
        <v>10</v>
      </c>
      <c r="G202">
        <v>25</v>
      </c>
      <c r="H202">
        <v>37</v>
      </c>
      <c r="I202">
        <v>113</v>
      </c>
      <c r="J202">
        <v>16.399999999999999</v>
      </c>
      <c r="K202">
        <v>0.31</v>
      </c>
      <c r="L202">
        <v>1.5</v>
      </c>
      <c r="M202">
        <v>15.8</v>
      </c>
      <c r="N202">
        <v>0.7</v>
      </c>
      <c r="O202" t="s">
        <v>548</v>
      </c>
      <c r="P202" s="368">
        <v>41974</v>
      </c>
      <c r="Q202" t="s">
        <v>151</v>
      </c>
      <c r="R202" t="s">
        <v>754</v>
      </c>
      <c r="S202" t="s">
        <v>181</v>
      </c>
      <c r="T202" t="s">
        <v>251</v>
      </c>
      <c r="U202"/>
    </row>
    <row r="203" spans="1:21" x14ac:dyDescent="0.2">
      <c r="A203">
        <v>644005</v>
      </c>
      <c r="B203" t="s">
        <v>405</v>
      </c>
      <c r="C203">
        <v>9</v>
      </c>
      <c r="D203">
        <v>5</v>
      </c>
      <c r="E203">
        <v>6</v>
      </c>
      <c r="F203">
        <v>9</v>
      </c>
      <c r="G203">
        <v>13</v>
      </c>
      <c r="H203">
        <v>52</v>
      </c>
      <c r="I203">
        <v>109</v>
      </c>
      <c r="J203">
        <v>15.9</v>
      </c>
      <c r="K203">
        <v>0.31</v>
      </c>
      <c r="L203">
        <v>1.5</v>
      </c>
      <c r="M203">
        <v>14.2</v>
      </c>
      <c r="N203">
        <v>1.1000000000000001</v>
      </c>
      <c r="O203" t="s">
        <v>548</v>
      </c>
      <c r="P203" s="368">
        <v>39048</v>
      </c>
      <c r="Q203" t="s">
        <v>151</v>
      </c>
      <c r="R203" t="s">
        <v>814</v>
      </c>
      <c r="S203" t="s">
        <v>181</v>
      </c>
      <c r="T203" t="s">
        <v>242</v>
      </c>
      <c r="U203"/>
    </row>
    <row r="204" spans="1:21" x14ac:dyDescent="0.2">
      <c r="A204">
        <v>158261</v>
      </c>
      <c r="B204" t="s">
        <v>205</v>
      </c>
      <c r="C204">
        <v>19</v>
      </c>
      <c r="D204">
        <v>3</v>
      </c>
      <c r="E204">
        <v>10</v>
      </c>
      <c r="F204">
        <v>19</v>
      </c>
      <c r="G204">
        <v>41</v>
      </c>
      <c r="H204">
        <v>56</v>
      </c>
      <c r="I204">
        <v>105</v>
      </c>
      <c r="J204">
        <v>15.4</v>
      </c>
      <c r="K204">
        <v>0.31</v>
      </c>
      <c r="L204">
        <v>1.25</v>
      </c>
      <c r="M204">
        <v>18.3</v>
      </c>
      <c r="N204">
        <v>0.9</v>
      </c>
      <c r="O204" t="s">
        <v>548</v>
      </c>
      <c r="P204" s="368">
        <v>37574</v>
      </c>
      <c r="Q204" t="s">
        <v>151</v>
      </c>
      <c r="R204" t="s">
        <v>575</v>
      </c>
      <c r="S204" t="s">
        <v>178</v>
      </c>
      <c r="T204" t="s">
        <v>201</v>
      </c>
      <c r="U204"/>
    </row>
    <row r="205" spans="1:21" x14ac:dyDescent="0.2">
      <c r="A205">
        <v>106849</v>
      </c>
      <c r="B205" t="s">
        <v>1004</v>
      </c>
      <c r="C205">
        <v>17</v>
      </c>
      <c r="D205">
        <v>2</v>
      </c>
      <c r="E205">
        <v>4</v>
      </c>
      <c r="F205">
        <v>17</v>
      </c>
      <c r="G205">
        <v>37</v>
      </c>
      <c r="H205">
        <v>54</v>
      </c>
      <c r="I205">
        <v>102</v>
      </c>
      <c r="J205">
        <v>15.1</v>
      </c>
      <c r="K205">
        <v>0.31</v>
      </c>
      <c r="L205">
        <v>1.3</v>
      </c>
      <c r="M205">
        <v>18.100000000000001</v>
      </c>
      <c r="N205">
        <v>0.9</v>
      </c>
      <c r="O205" t="s">
        <v>548</v>
      </c>
      <c r="P205" s="368">
        <v>43879</v>
      </c>
      <c r="Q205" t="s">
        <v>151</v>
      </c>
      <c r="R205" t="s">
        <v>1018</v>
      </c>
      <c r="S205" t="s">
        <v>265</v>
      </c>
      <c r="T205" t="s">
        <v>201</v>
      </c>
      <c r="U205"/>
    </row>
    <row r="206" spans="1:21" x14ac:dyDescent="0.2">
      <c r="A206">
        <v>484923</v>
      </c>
      <c r="B206" t="s">
        <v>350</v>
      </c>
      <c r="C206">
        <v>18</v>
      </c>
      <c r="D206">
        <v>2</v>
      </c>
      <c r="E206">
        <v>9</v>
      </c>
      <c r="F206">
        <v>18</v>
      </c>
      <c r="G206">
        <v>42</v>
      </c>
      <c r="H206">
        <v>42</v>
      </c>
      <c r="I206">
        <v>100</v>
      </c>
      <c r="J206">
        <v>14.9</v>
      </c>
      <c r="K206">
        <v>0.31</v>
      </c>
      <c r="L206">
        <v>1.3</v>
      </c>
      <c r="M206">
        <v>19.600000000000001</v>
      </c>
      <c r="N206">
        <v>0.7</v>
      </c>
      <c r="O206" t="s">
        <v>548</v>
      </c>
      <c r="P206" s="368">
        <v>38398</v>
      </c>
      <c r="Q206" t="s">
        <v>151</v>
      </c>
      <c r="R206" t="s">
        <v>743</v>
      </c>
      <c r="S206" t="s">
        <v>178</v>
      </c>
      <c r="T206" t="s">
        <v>190</v>
      </c>
      <c r="U206"/>
    </row>
    <row r="207" spans="1:21" x14ac:dyDescent="0.2">
      <c r="A207">
        <v>811117</v>
      </c>
      <c r="B207" t="s">
        <v>1164</v>
      </c>
      <c r="C207">
        <v>15</v>
      </c>
      <c r="D207">
        <v>1</v>
      </c>
      <c r="E207">
        <v>5</v>
      </c>
      <c r="F207">
        <v>15</v>
      </c>
      <c r="G207">
        <v>36</v>
      </c>
      <c r="H207">
        <v>37</v>
      </c>
      <c r="I207">
        <v>88</v>
      </c>
      <c r="J207">
        <v>13.5</v>
      </c>
      <c r="K207">
        <v>0.31</v>
      </c>
      <c r="L207">
        <v>1.5</v>
      </c>
      <c r="M207">
        <v>15.9</v>
      </c>
      <c r="N207">
        <v>0.8</v>
      </c>
      <c r="O207" t="s">
        <v>548</v>
      </c>
      <c r="P207" s="368">
        <v>36847</v>
      </c>
      <c r="Q207" t="s">
        <v>151</v>
      </c>
      <c r="R207" t="s">
        <v>883</v>
      </c>
      <c r="S207" t="s">
        <v>181</v>
      </c>
      <c r="T207" t="s">
        <v>190</v>
      </c>
      <c r="U207"/>
    </row>
    <row r="208" spans="1:21" x14ac:dyDescent="0.2">
      <c r="A208">
        <v>995571</v>
      </c>
      <c r="B208" t="s">
        <v>1233</v>
      </c>
      <c r="C208">
        <v>14</v>
      </c>
      <c r="D208">
        <v>3</v>
      </c>
      <c r="E208">
        <v>1</v>
      </c>
      <c r="F208">
        <v>14</v>
      </c>
      <c r="G208">
        <v>32</v>
      </c>
      <c r="H208">
        <v>38</v>
      </c>
      <c r="I208">
        <v>85</v>
      </c>
      <c r="J208">
        <v>13.1</v>
      </c>
      <c r="K208">
        <v>0.31</v>
      </c>
      <c r="L208">
        <v>1.6</v>
      </c>
      <c r="M208">
        <v>16</v>
      </c>
      <c r="N208">
        <v>0.8</v>
      </c>
      <c r="O208" t="s">
        <v>548</v>
      </c>
      <c r="P208" s="368">
        <v>39545</v>
      </c>
      <c r="Q208" t="s">
        <v>46</v>
      </c>
      <c r="R208" t="s">
        <v>964</v>
      </c>
      <c r="S208" t="s">
        <v>184</v>
      </c>
      <c r="T208" t="s">
        <v>169</v>
      </c>
      <c r="U208"/>
    </row>
    <row r="209" spans="1:21" x14ac:dyDescent="0.2">
      <c r="A209">
        <v>520759</v>
      </c>
      <c r="B209" t="s">
        <v>365</v>
      </c>
      <c r="C209">
        <v>21</v>
      </c>
      <c r="D209">
        <v>3</v>
      </c>
      <c r="E209">
        <v>6</v>
      </c>
      <c r="F209">
        <v>21</v>
      </c>
      <c r="G209">
        <v>28</v>
      </c>
      <c r="H209">
        <v>26</v>
      </c>
      <c r="I209">
        <v>79</v>
      </c>
      <c r="J209">
        <v>12.4</v>
      </c>
      <c r="K209">
        <v>0.31</v>
      </c>
      <c r="L209">
        <v>1.25</v>
      </c>
      <c r="M209">
        <v>16.7</v>
      </c>
      <c r="N209">
        <v>0.6</v>
      </c>
      <c r="O209" t="s">
        <v>548</v>
      </c>
      <c r="P209" s="368">
        <v>38398</v>
      </c>
      <c r="Q209" t="s">
        <v>151</v>
      </c>
      <c r="R209" t="s">
        <v>763</v>
      </c>
      <c r="S209" t="s">
        <v>178</v>
      </c>
      <c r="T209" t="s">
        <v>159</v>
      </c>
      <c r="U209"/>
    </row>
    <row r="210" spans="1:21" x14ac:dyDescent="0.2">
      <c r="A210">
        <v>260497</v>
      </c>
      <c r="B210" t="s">
        <v>258</v>
      </c>
      <c r="C210">
        <v>17</v>
      </c>
      <c r="D210">
        <v>3</v>
      </c>
      <c r="E210">
        <v>9</v>
      </c>
      <c r="F210">
        <v>17</v>
      </c>
      <c r="G210">
        <v>19</v>
      </c>
      <c r="H210">
        <v>18</v>
      </c>
      <c r="I210">
        <v>67</v>
      </c>
      <c r="J210">
        <v>10.8</v>
      </c>
      <c r="K210">
        <v>0.31</v>
      </c>
      <c r="L210">
        <v>1.5</v>
      </c>
      <c r="M210">
        <v>16.100000000000001</v>
      </c>
      <c r="N210">
        <v>0.4</v>
      </c>
      <c r="O210" t="s">
        <v>551</v>
      </c>
      <c r="P210" s="368">
        <v>43699</v>
      </c>
      <c r="Q210" t="s">
        <v>46</v>
      </c>
      <c r="R210" t="s">
        <v>622</v>
      </c>
      <c r="S210" t="s">
        <v>175</v>
      </c>
      <c r="T210" t="s">
        <v>259</v>
      </c>
      <c r="U210"/>
    </row>
    <row r="211" spans="1:21" x14ac:dyDescent="0.2">
      <c r="A211">
        <v>879114</v>
      </c>
      <c r="B211" t="s">
        <v>1199</v>
      </c>
      <c r="C211">
        <v>14</v>
      </c>
      <c r="D211">
        <v>2</v>
      </c>
      <c r="E211">
        <v>4</v>
      </c>
      <c r="F211">
        <v>14</v>
      </c>
      <c r="G211">
        <v>20</v>
      </c>
      <c r="H211">
        <v>19</v>
      </c>
      <c r="I211">
        <v>44</v>
      </c>
      <c r="J211">
        <v>7.6</v>
      </c>
      <c r="K211">
        <v>0.31</v>
      </c>
      <c r="L211">
        <v>1.25</v>
      </c>
      <c r="M211">
        <v>10.9</v>
      </c>
      <c r="N211">
        <v>0.6</v>
      </c>
      <c r="O211" t="s">
        <v>548</v>
      </c>
      <c r="P211" s="368">
        <v>37574</v>
      </c>
      <c r="Q211" t="s">
        <v>151</v>
      </c>
      <c r="R211" t="s">
        <v>916</v>
      </c>
      <c r="S211" t="s">
        <v>178</v>
      </c>
      <c r="T211" t="s">
        <v>204</v>
      </c>
      <c r="U211"/>
    </row>
    <row r="212" spans="1:21" x14ac:dyDescent="0.2">
      <c r="A212">
        <v>664482</v>
      </c>
      <c r="B212" t="s">
        <v>414</v>
      </c>
      <c r="C212">
        <v>1</v>
      </c>
      <c r="D212">
        <v>0</v>
      </c>
      <c r="E212">
        <v>1</v>
      </c>
      <c r="F212">
        <v>1</v>
      </c>
      <c r="G212">
        <v>6</v>
      </c>
      <c r="H212">
        <v>8</v>
      </c>
      <c r="I212">
        <v>14</v>
      </c>
      <c r="J212">
        <v>2.7</v>
      </c>
      <c r="K212">
        <v>0.31</v>
      </c>
      <c r="L212">
        <v>0.85</v>
      </c>
      <c r="M212">
        <v>6.1</v>
      </c>
      <c r="N212">
        <v>0.5</v>
      </c>
      <c r="O212" t="s">
        <v>548</v>
      </c>
      <c r="P212" s="368">
        <v>41144</v>
      </c>
      <c r="Q212" t="s">
        <v>46</v>
      </c>
      <c r="R212" t="s">
        <v>826</v>
      </c>
      <c r="S212" t="s">
        <v>240</v>
      </c>
      <c r="T212" t="s">
        <v>192</v>
      </c>
      <c r="U212"/>
    </row>
    <row r="213" spans="1:21" x14ac:dyDescent="0.2">
      <c r="A213">
        <v>178509</v>
      </c>
      <c r="B213" t="s">
        <v>1139</v>
      </c>
      <c r="C213">
        <v>0</v>
      </c>
      <c r="D213">
        <v>1</v>
      </c>
      <c r="E213">
        <v>-1</v>
      </c>
      <c r="F213">
        <v>0</v>
      </c>
      <c r="G213">
        <v>-1</v>
      </c>
      <c r="H213">
        <v>-3</v>
      </c>
      <c r="I213">
        <v>8</v>
      </c>
      <c r="J213">
        <v>1.6</v>
      </c>
      <c r="K213">
        <v>0.31</v>
      </c>
      <c r="L213">
        <v>0.79</v>
      </c>
      <c r="M213">
        <v>5.3</v>
      </c>
      <c r="N213">
        <v>-0.1</v>
      </c>
      <c r="O213" t="s">
        <v>556</v>
      </c>
      <c r="P213" s="368">
        <v>44027</v>
      </c>
      <c r="Q213" t="s">
        <v>46</v>
      </c>
      <c r="R213" t="s">
        <v>1140</v>
      </c>
      <c r="S213" t="s">
        <v>966</v>
      </c>
      <c r="T213" t="s">
        <v>216</v>
      </c>
      <c r="U213"/>
    </row>
    <row r="214" spans="1:21" x14ac:dyDescent="0.2">
      <c r="A214">
        <v>551804</v>
      </c>
      <c r="B214" t="s">
        <v>376</v>
      </c>
      <c r="C214">
        <v>2</v>
      </c>
      <c r="D214">
        <v>2</v>
      </c>
      <c r="E214">
        <v>-2</v>
      </c>
      <c r="F214">
        <v>2</v>
      </c>
      <c r="G214">
        <v>-11</v>
      </c>
      <c r="H214">
        <v>5</v>
      </c>
      <c r="I214">
        <v>6</v>
      </c>
      <c r="J214">
        <v>1.2</v>
      </c>
      <c r="K214">
        <v>0.31</v>
      </c>
      <c r="L214">
        <v>0.8</v>
      </c>
      <c r="M214">
        <v>11</v>
      </c>
      <c r="N214">
        <v>0.2</v>
      </c>
      <c r="O214" t="s">
        <v>576</v>
      </c>
      <c r="P214" s="368">
        <v>36712</v>
      </c>
      <c r="Q214" t="s">
        <v>46</v>
      </c>
      <c r="R214" t="s">
        <v>777</v>
      </c>
      <c r="S214" t="s">
        <v>966</v>
      </c>
      <c r="T214" t="s">
        <v>166</v>
      </c>
      <c r="U214"/>
    </row>
    <row r="215" spans="1:21" x14ac:dyDescent="0.2">
      <c r="A215">
        <v>840033</v>
      </c>
      <c r="B215" t="s">
        <v>464</v>
      </c>
      <c r="C215">
        <v>21</v>
      </c>
      <c r="D215">
        <v>7</v>
      </c>
      <c r="E215">
        <v>9</v>
      </c>
      <c r="F215">
        <v>21</v>
      </c>
      <c r="G215">
        <v>34</v>
      </c>
      <c r="H215">
        <v>71</v>
      </c>
      <c r="I215">
        <v>157</v>
      </c>
      <c r="J215">
        <v>20.8</v>
      </c>
      <c r="K215">
        <v>0.32</v>
      </c>
      <c r="L215">
        <v>1.6</v>
      </c>
      <c r="M215">
        <v>17.8</v>
      </c>
      <c r="N215">
        <v>1.1000000000000001</v>
      </c>
      <c r="O215" t="s">
        <v>548</v>
      </c>
      <c r="P215" s="368">
        <v>40602</v>
      </c>
      <c r="Q215" t="s">
        <v>151</v>
      </c>
      <c r="R215" t="s">
        <v>895</v>
      </c>
      <c r="S215" t="s">
        <v>181</v>
      </c>
      <c r="T215" t="s">
        <v>197</v>
      </c>
      <c r="U215"/>
    </row>
    <row r="216" spans="1:21" x14ac:dyDescent="0.2">
      <c r="A216">
        <v>751495</v>
      </c>
      <c r="B216" t="s">
        <v>442</v>
      </c>
      <c r="C216">
        <v>16</v>
      </c>
      <c r="D216">
        <v>0</v>
      </c>
      <c r="E216">
        <v>7</v>
      </c>
      <c r="F216">
        <v>16</v>
      </c>
      <c r="G216">
        <v>53</v>
      </c>
      <c r="H216">
        <v>64</v>
      </c>
      <c r="I216">
        <v>152</v>
      </c>
      <c r="J216">
        <v>20.3</v>
      </c>
      <c r="K216">
        <v>0.32</v>
      </c>
      <c r="L216">
        <v>1.6</v>
      </c>
      <c r="M216">
        <v>20.9</v>
      </c>
      <c r="N216">
        <v>0.9</v>
      </c>
      <c r="O216" t="s">
        <v>548</v>
      </c>
      <c r="P216" s="368">
        <v>39048</v>
      </c>
      <c r="Q216" t="s">
        <v>151</v>
      </c>
      <c r="R216" t="s">
        <v>860</v>
      </c>
      <c r="S216" t="s">
        <v>181</v>
      </c>
      <c r="T216" t="s">
        <v>190</v>
      </c>
      <c r="U216"/>
    </row>
    <row r="217" spans="1:21" x14ac:dyDescent="0.2">
      <c r="A217">
        <v>563965</v>
      </c>
      <c r="B217" t="s">
        <v>381</v>
      </c>
      <c r="C217">
        <v>16</v>
      </c>
      <c r="D217">
        <v>3</v>
      </c>
      <c r="E217">
        <v>4</v>
      </c>
      <c r="F217">
        <v>16</v>
      </c>
      <c r="G217">
        <v>27</v>
      </c>
      <c r="H217">
        <v>41</v>
      </c>
      <c r="I217">
        <v>97</v>
      </c>
      <c r="J217">
        <v>14.6</v>
      </c>
      <c r="K217">
        <v>0.32</v>
      </c>
      <c r="L217">
        <v>1.5</v>
      </c>
      <c r="M217">
        <v>16.5</v>
      </c>
      <c r="N217">
        <v>0.8</v>
      </c>
      <c r="O217" t="s">
        <v>548</v>
      </c>
      <c r="P217" s="368">
        <v>36712</v>
      </c>
      <c r="Q217" t="s">
        <v>151</v>
      </c>
      <c r="R217" t="s">
        <v>784</v>
      </c>
      <c r="S217" t="s">
        <v>231</v>
      </c>
      <c r="T217" t="s">
        <v>159</v>
      </c>
      <c r="U217"/>
    </row>
    <row r="218" spans="1:21" x14ac:dyDescent="0.2">
      <c r="A218">
        <v>599795</v>
      </c>
      <c r="B218" t="s">
        <v>513</v>
      </c>
      <c r="C218">
        <v>9</v>
      </c>
      <c r="D218">
        <v>2</v>
      </c>
      <c r="E218">
        <v>3</v>
      </c>
      <c r="F218">
        <v>9</v>
      </c>
      <c r="G218">
        <v>20</v>
      </c>
      <c r="H218">
        <v>30</v>
      </c>
      <c r="I218">
        <v>50</v>
      </c>
      <c r="J218">
        <v>8.4</v>
      </c>
      <c r="K218">
        <v>0.32</v>
      </c>
      <c r="L218">
        <v>1.57</v>
      </c>
      <c r="M218">
        <v>11.1</v>
      </c>
      <c r="N218">
        <v>0.9</v>
      </c>
      <c r="O218" t="s">
        <v>548</v>
      </c>
      <c r="P218" s="368">
        <v>36712</v>
      </c>
      <c r="Q218" t="s">
        <v>151</v>
      </c>
      <c r="R218" t="s">
        <v>798</v>
      </c>
      <c r="S218" t="s">
        <v>231</v>
      </c>
      <c r="T218" t="s">
        <v>183</v>
      </c>
      <c r="U218"/>
    </row>
    <row r="219" spans="1:21" x14ac:dyDescent="0.2">
      <c r="A219">
        <v>997403</v>
      </c>
      <c r="B219" t="s">
        <v>500</v>
      </c>
      <c r="C219">
        <v>10</v>
      </c>
      <c r="D219">
        <v>2</v>
      </c>
      <c r="E219">
        <v>4</v>
      </c>
      <c r="F219">
        <v>10</v>
      </c>
      <c r="G219">
        <v>16</v>
      </c>
      <c r="H219">
        <v>21</v>
      </c>
      <c r="I219">
        <v>36</v>
      </c>
      <c r="J219">
        <v>6.3</v>
      </c>
      <c r="K219">
        <v>0.32</v>
      </c>
      <c r="L219">
        <v>1.37</v>
      </c>
      <c r="M219">
        <v>10</v>
      </c>
      <c r="N219">
        <v>0.7</v>
      </c>
      <c r="O219" t="s">
        <v>548</v>
      </c>
      <c r="P219" s="368">
        <v>41529</v>
      </c>
      <c r="Q219" t="s">
        <v>46</v>
      </c>
      <c r="R219" t="s">
        <v>965</v>
      </c>
      <c r="S219" t="s">
        <v>178</v>
      </c>
      <c r="T219" t="s">
        <v>183</v>
      </c>
      <c r="U219"/>
    </row>
    <row r="220" spans="1:21" x14ac:dyDescent="0.2">
      <c r="A220">
        <v>679837</v>
      </c>
      <c r="B220" t="s">
        <v>419</v>
      </c>
      <c r="C220">
        <v>4</v>
      </c>
      <c r="D220">
        <v>6</v>
      </c>
      <c r="E220">
        <v>10</v>
      </c>
      <c r="F220">
        <v>4</v>
      </c>
      <c r="G220">
        <v>9</v>
      </c>
      <c r="H220">
        <v>-3</v>
      </c>
      <c r="I220">
        <v>6</v>
      </c>
      <c r="J220">
        <v>1.2</v>
      </c>
      <c r="K220">
        <v>0.32</v>
      </c>
      <c r="L220">
        <v>1.6</v>
      </c>
      <c r="M220">
        <v>27.4</v>
      </c>
      <c r="N220">
        <v>0.1</v>
      </c>
      <c r="O220" t="s">
        <v>548</v>
      </c>
      <c r="P220" s="368">
        <v>39048</v>
      </c>
      <c r="Q220" t="s">
        <v>151</v>
      </c>
      <c r="R220" t="s">
        <v>834</v>
      </c>
      <c r="S220" t="s">
        <v>181</v>
      </c>
      <c r="T220" t="s">
        <v>229</v>
      </c>
      <c r="U220"/>
    </row>
    <row r="221" spans="1:21" x14ac:dyDescent="0.2">
      <c r="A221">
        <v>153007</v>
      </c>
      <c r="B221" t="s">
        <v>502</v>
      </c>
      <c r="C221">
        <v>19</v>
      </c>
      <c r="D221">
        <v>-1</v>
      </c>
      <c r="E221">
        <v>4</v>
      </c>
      <c r="F221">
        <v>19</v>
      </c>
      <c r="G221">
        <v>50</v>
      </c>
      <c r="H221"/>
      <c r="I221"/>
      <c r="J221"/>
      <c r="K221">
        <v>0.32</v>
      </c>
      <c r="L221">
        <v>1.6</v>
      </c>
      <c r="M221"/>
      <c r="N221"/>
      <c r="O221" t="s">
        <v>551</v>
      </c>
      <c r="P221" s="368">
        <v>43712</v>
      </c>
      <c r="Q221" t="s">
        <v>46</v>
      </c>
      <c r="R221" t="s">
        <v>573</v>
      </c>
      <c r="S221" t="s">
        <v>175</v>
      </c>
      <c r="T221" t="s">
        <v>159</v>
      </c>
      <c r="U221"/>
    </row>
    <row r="222" spans="1:21" x14ac:dyDescent="0.2">
      <c r="A222">
        <v>456475</v>
      </c>
      <c r="B222" t="s">
        <v>341</v>
      </c>
      <c r="C222">
        <v>21</v>
      </c>
      <c r="D222">
        <v>8</v>
      </c>
      <c r="E222">
        <v>11</v>
      </c>
      <c r="F222">
        <v>21</v>
      </c>
      <c r="G222">
        <v>29</v>
      </c>
      <c r="H222">
        <v>66</v>
      </c>
      <c r="I222">
        <v>134</v>
      </c>
      <c r="J222">
        <v>18.5</v>
      </c>
      <c r="K222">
        <v>0.33</v>
      </c>
      <c r="L222">
        <v>1.55</v>
      </c>
      <c r="M222">
        <v>18.399999999999999</v>
      </c>
      <c r="N222">
        <v>1</v>
      </c>
      <c r="O222" t="s">
        <v>548</v>
      </c>
      <c r="P222" s="368">
        <v>36712</v>
      </c>
      <c r="Q222" t="s">
        <v>151</v>
      </c>
      <c r="R222" t="s">
        <v>728</v>
      </c>
      <c r="S222" t="s">
        <v>231</v>
      </c>
      <c r="T222" t="s">
        <v>197</v>
      </c>
      <c r="U222"/>
    </row>
    <row r="223" spans="1:21" x14ac:dyDescent="0.2">
      <c r="A223">
        <v>393314</v>
      </c>
      <c r="B223" t="s">
        <v>315</v>
      </c>
      <c r="C223">
        <v>18</v>
      </c>
      <c r="D223">
        <v>1</v>
      </c>
      <c r="E223">
        <v>6</v>
      </c>
      <c r="F223">
        <v>18</v>
      </c>
      <c r="G223">
        <v>39</v>
      </c>
      <c r="H223">
        <v>57</v>
      </c>
      <c r="I223">
        <v>103</v>
      </c>
      <c r="J223">
        <v>15.2</v>
      </c>
      <c r="K223">
        <v>0.33</v>
      </c>
      <c r="L223">
        <v>1.42</v>
      </c>
      <c r="M223">
        <v>19.7</v>
      </c>
      <c r="N223">
        <v>0.9</v>
      </c>
      <c r="O223" t="s">
        <v>548</v>
      </c>
      <c r="P223" s="368">
        <v>36712</v>
      </c>
      <c r="Q223" t="s">
        <v>151</v>
      </c>
      <c r="R223" t="s">
        <v>694</v>
      </c>
      <c r="S223" t="s">
        <v>234</v>
      </c>
      <c r="T223" t="s">
        <v>201</v>
      </c>
      <c r="U223"/>
    </row>
    <row r="224" spans="1:21" x14ac:dyDescent="0.2">
      <c r="A224">
        <v>301580</v>
      </c>
      <c r="B224" t="s">
        <v>278</v>
      </c>
      <c r="C224">
        <v>18</v>
      </c>
      <c r="D224">
        <v>3</v>
      </c>
      <c r="E224">
        <v>5</v>
      </c>
      <c r="F224">
        <v>18</v>
      </c>
      <c r="G224">
        <v>28</v>
      </c>
      <c r="H224">
        <v>27</v>
      </c>
      <c r="I224">
        <v>63</v>
      </c>
      <c r="J224">
        <v>10.199999999999999</v>
      </c>
      <c r="K224">
        <v>0.33</v>
      </c>
      <c r="L224">
        <v>1.4</v>
      </c>
      <c r="M224">
        <v>15.7</v>
      </c>
      <c r="N224">
        <v>0.6</v>
      </c>
      <c r="O224" t="s">
        <v>548</v>
      </c>
      <c r="P224" s="368">
        <v>37574</v>
      </c>
      <c r="Q224" t="s">
        <v>151</v>
      </c>
      <c r="R224" t="s">
        <v>646</v>
      </c>
      <c r="S224" t="s">
        <v>178</v>
      </c>
      <c r="T224" t="s">
        <v>176</v>
      </c>
      <c r="U224"/>
    </row>
    <row r="225" spans="1:21" x14ac:dyDescent="0.2">
      <c r="A225">
        <v>122432</v>
      </c>
      <c r="B225" t="s">
        <v>177</v>
      </c>
      <c r="C225">
        <v>18</v>
      </c>
      <c r="D225">
        <v>1</v>
      </c>
      <c r="E225">
        <v>6</v>
      </c>
      <c r="F225">
        <v>18</v>
      </c>
      <c r="G225">
        <v>27</v>
      </c>
      <c r="H225">
        <v>14</v>
      </c>
      <c r="I225">
        <v>55</v>
      </c>
      <c r="J225">
        <v>9.1999999999999993</v>
      </c>
      <c r="K225">
        <v>0.33</v>
      </c>
      <c r="L225">
        <v>1.4</v>
      </c>
      <c r="M225">
        <v>18.100000000000001</v>
      </c>
      <c r="N225">
        <v>0.3</v>
      </c>
      <c r="O225" t="s">
        <v>548</v>
      </c>
      <c r="P225" s="368">
        <v>37574</v>
      </c>
      <c r="Q225" t="s">
        <v>151</v>
      </c>
      <c r="R225" t="s">
        <v>560</v>
      </c>
      <c r="S225" t="s">
        <v>178</v>
      </c>
      <c r="T225" t="s">
        <v>179</v>
      </c>
      <c r="U225"/>
    </row>
    <row r="226" spans="1:21" x14ac:dyDescent="0.2">
      <c r="A226">
        <v>492306</v>
      </c>
      <c r="B226" t="s">
        <v>354</v>
      </c>
      <c r="C226">
        <v>16</v>
      </c>
      <c r="D226">
        <v>2</v>
      </c>
      <c r="E226">
        <v>7</v>
      </c>
      <c r="F226">
        <v>16</v>
      </c>
      <c r="G226">
        <v>21</v>
      </c>
      <c r="H226">
        <v>20</v>
      </c>
      <c r="I226">
        <v>48</v>
      </c>
      <c r="J226">
        <v>8.1</v>
      </c>
      <c r="K226">
        <v>0.33</v>
      </c>
      <c r="L226">
        <v>1.55</v>
      </c>
      <c r="M226">
        <v>16.100000000000001</v>
      </c>
      <c r="N226">
        <v>0.5</v>
      </c>
      <c r="O226" t="s">
        <v>548</v>
      </c>
      <c r="P226" s="368">
        <v>36712</v>
      </c>
      <c r="Q226" t="s">
        <v>151</v>
      </c>
      <c r="R226" t="s">
        <v>747</v>
      </c>
      <c r="S226" t="s">
        <v>231</v>
      </c>
      <c r="T226" t="s">
        <v>179</v>
      </c>
      <c r="U226"/>
    </row>
    <row r="227" spans="1:21" x14ac:dyDescent="0.2">
      <c r="A227">
        <v>241661</v>
      </c>
      <c r="B227" t="s">
        <v>1126</v>
      </c>
      <c r="C227">
        <v>4</v>
      </c>
      <c r="D227">
        <v>3</v>
      </c>
      <c r="E227">
        <v>-1</v>
      </c>
      <c r="F227">
        <v>4</v>
      </c>
      <c r="G227">
        <v>0</v>
      </c>
      <c r="H227">
        <v>11</v>
      </c>
      <c r="I227">
        <v>21</v>
      </c>
      <c r="J227">
        <v>4</v>
      </c>
      <c r="K227">
        <v>0.33</v>
      </c>
      <c r="L227">
        <v>2.04</v>
      </c>
      <c r="M227">
        <v>10.9</v>
      </c>
      <c r="N227">
        <v>0.4</v>
      </c>
      <c r="O227" t="s">
        <v>576</v>
      </c>
      <c r="P227" s="368">
        <v>43963</v>
      </c>
      <c r="Q227" t="s">
        <v>46</v>
      </c>
      <c r="R227" t="s">
        <v>1127</v>
      </c>
      <c r="S227" t="s">
        <v>215</v>
      </c>
      <c r="T227" t="s">
        <v>216</v>
      </c>
      <c r="U227"/>
    </row>
    <row r="228" spans="1:21" x14ac:dyDescent="0.2">
      <c r="A228">
        <v>173435</v>
      </c>
      <c r="B228" t="s">
        <v>214</v>
      </c>
      <c r="C228">
        <v>2</v>
      </c>
      <c r="D228">
        <v>3</v>
      </c>
      <c r="E228">
        <v>1</v>
      </c>
      <c r="F228">
        <v>2</v>
      </c>
      <c r="G228">
        <v>-3</v>
      </c>
      <c r="H228">
        <v>13</v>
      </c>
      <c r="I228">
        <v>18</v>
      </c>
      <c r="J228">
        <v>3.3</v>
      </c>
      <c r="K228">
        <v>0.33</v>
      </c>
      <c r="L228">
        <v>1.73</v>
      </c>
      <c r="M228">
        <v>9.9</v>
      </c>
      <c r="N228">
        <v>0.5</v>
      </c>
      <c r="O228" t="s">
        <v>576</v>
      </c>
      <c r="P228" s="368">
        <v>37690</v>
      </c>
      <c r="Q228" t="s">
        <v>46</v>
      </c>
      <c r="R228" t="s">
        <v>582</v>
      </c>
      <c r="S228" t="s">
        <v>215</v>
      </c>
      <c r="T228" t="s">
        <v>216</v>
      </c>
      <c r="U228"/>
    </row>
    <row r="229" spans="1:21" x14ac:dyDescent="0.2">
      <c r="A229">
        <v>280925</v>
      </c>
      <c r="B229" t="s">
        <v>268</v>
      </c>
      <c r="C229">
        <v>-2</v>
      </c>
      <c r="D229">
        <v>1</v>
      </c>
      <c r="E229">
        <v>-1</v>
      </c>
      <c r="F229">
        <v>-2</v>
      </c>
      <c r="G229">
        <v>-3</v>
      </c>
      <c r="H229">
        <v>6</v>
      </c>
      <c r="I229">
        <v>15</v>
      </c>
      <c r="J229">
        <v>2.9</v>
      </c>
      <c r="K229">
        <v>0.33</v>
      </c>
      <c r="L229">
        <v>1.2</v>
      </c>
      <c r="M229">
        <v>6.8</v>
      </c>
      <c r="N229">
        <v>0.4</v>
      </c>
      <c r="O229" t="s">
        <v>556</v>
      </c>
      <c r="P229" s="368">
        <v>37690</v>
      </c>
      <c r="Q229" t="s">
        <v>46</v>
      </c>
      <c r="R229" t="s">
        <v>631</v>
      </c>
      <c r="S229" t="s">
        <v>215</v>
      </c>
      <c r="T229" t="s">
        <v>192</v>
      </c>
      <c r="U229"/>
    </row>
    <row r="230" spans="1:21" x14ac:dyDescent="0.2">
      <c r="A230">
        <v>316752</v>
      </c>
      <c r="B230" t="s">
        <v>286</v>
      </c>
      <c r="C230">
        <v>-2</v>
      </c>
      <c r="D230">
        <v>2</v>
      </c>
      <c r="E230">
        <v>-1</v>
      </c>
      <c r="F230">
        <v>-2</v>
      </c>
      <c r="G230">
        <v>-8</v>
      </c>
      <c r="H230">
        <v>7</v>
      </c>
      <c r="I230">
        <v>9</v>
      </c>
      <c r="J230">
        <v>1.7</v>
      </c>
      <c r="K230">
        <v>0.33</v>
      </c>
      <c r="L230">
        <v>1.22</v>
      </c>
      <c r="M230">
        <v>9</v>
      </c>
      <c r="N230">
        <v>0.3</v>
      </c>
      <c r="O230" t="s">
        <v>576</v>
      </c>
      <c r="P230" s="368">
        <v>37690</v>
      </c>
      <c r="Q230" t="s">
        <v>46</v>
      </c>
      <c r="R230" t="s">
        <v>656</v>
      </c>
      <c r="S230" t="s">
        <v>215</v>
      </c>
      <c r="T230" t="s">
        <v>256</v>
      </c>
      <c r="U230"/>
    </row>
    <row r="231" spans="1:21" x14ac:dyDescent="0.2">
      <c r="A231">
        <v>515676</v>
      </c>
      <c r="B231" t="s">
        <v>362</v>
      </c>
      <c r="C231">
        <v>10</v>
      </c>
      <c r="D231">
        <v>-1</v>
      </c>
      <c r="E231">
        <v>5</v>
      </c>
      <c r="F231">
        <v>10</v>
      </c>
      <c r="G231">
        <v>51</v>
      </c>
      <c r="H231">
        <v>118</v>
      </c>
      <c r="I231">
        <v>204</v>
      </c>
      <c r="J231">
        <v>24.9</v>
      </c>
      <c r="K231">
        <v>0.34</v>
      </c>
      <c r="L231">
        <v>1.62</v>
      </c>
      <c r="M231">
        <v>20.8</v>
      </c>
      <c r="N231">
        <v>1.4</v>
      </c>
      <c r="O231" t="s">
        <v>548</v>
      </c>
      <c r="P231" s="368">
        <v>41471</v>
      </c>
      <c r="Q231" t="s">
        <v>151</v>
      </c>
      <c r="R231" t="s">
        <v>758</v>
      </c>
      <c r="S231" t="s">
        <v>231</v>
      </c>
      <c r="T231" t="s">
        <v>153</v>
      </c>
      <c r="U231"/>
    </row>
    <row r="232" spans="1:21" x14ac:dyDescent="0.2">
      <c r="A232">
        <v>194092</v>
      </c>
      <c r="B232" t="s">
        <v>523</v>
      </c>
      <c r="C232">
        <v>11</v>
      </c>
      <c r="D232">
        <v>12</v>
      </c>
      <c r="E232">
        <v>10</v>
      </c>
      <c r="F232">
        <v>11</v>
      </c>
      <c r="G232">
        <v>30</v>
      </c>
      <c r="H232">
        <v>79</v>
      </c>
      <c r="I232">
        <v>188</v>
      </c>
      <c r="J232">
        <v>23.6</v>
      </c>
      <c r="K232">
        <v>0.34</v>
      </c>
      <c r="L232">
        <v>1.5</v>
      </c>
      <c r="M232">
        <v>19.899999999999999</v>
      </c>
      <c r="N232">
        <v>1.1000000000000001</v>
      </c>
      <c r="O232" t="s">
        <v>548</v>
      </c>
      <c r="P232" s="368">
        <v>37574</v>
      </c>
      <c r="Q232" t="s">
        <v>151</v>
      </c>
      <c r="R232" t="s">
        <v>595</v>
      </c>
      <c r="S232" t="s">
        <v>178</v>
      </c>
      <c r="T232" t="s">
        <v>224</v>
      </c>
      <c r="U232"/>
    </row>
    <row r="233" spans="1:21" x14ac:dyDescent="0.2">
      <c r="A233">
        <v>341362</v>
      </c>
      <c r="B233" t="s">
        <v>1189</v>
      </c>
      <c r="C233">
        <v>26</v>
      </c>
      <c r="D233">
        <v>4</v>
      </c>
      <c r="E233">
        <v>9</v>
      </c>
      <c r="F233">
        <v>26</v>
      </c>
      <c r="G233">
        <v>43</v>
      </c>
      <c r="H233">
        <v>64</v>
      </c>
      <c r="I233">
        <v>151</v>
      </c>
      <c r="J233">
        <v>20.2</v>
      </c>
      <c r="K233">
        <v>0.34</v>
      </c>
      <c r="L233">
        <v>1.5</v>
      </c>
      <c r="M233">
        <v>20.100000000000001</v>
      </c>
      <c r="N233">
        <v>0.9</v>
      </c>
      <c r="O233" t="s">
        <v>548</v>
      </c>
      <c r="P233" s="368">
        <v>41809</v>
      </c>
      <c r="Q233" t="s">
        <v>151</v>
      </c>
      <c r="R233" t="s">
        <v>672</v>
      </c>
      <c r="S233" t="s">
        <v>234</v>
      </c>
      <c r="T233" t="s">
        <v>159</v>
      </c>
      <c r="U233"/>
    </row>
    <row r="234" spans="1:21" x14ac:dyDescent="0.2">
      <c r="A234">
        <v>653097</v>
      </c>
      <c r="B234" t="s">
        <v>1228</v>
      </c>
      <c r="C234">
        <v>11</v>
      </c>
      <c r="D234">
        <v>6</v>
      </c>
      <c r="E234">
        <v>2</v>
      </c>
      <c r="F234">
        <v>11</v>
      </c>
      <c r="G234">
        <v>23</v>
      </c>
      <c r="H234">
        <v>46</v>
      </c>
      <c r="I234">
        <v>141</v>
      </c>
      <c r="J234">
        <v>19.2</v>
      </c>
      <c r="K234">
        <v>0.34</v>
      </c>
      <c r="L234">
        <v>1.85</v>
      </c>
      <c r="M234">
        <v>17.7</v>
      </c>
      <c r="N234">
        <v>0.8</v>
      </c>
      <c r="O234" t="s">
        <v>548</v>
      </c>
      <c r="P234" s="368">
        <v>39111</v>
      </c>
      <c r="Q234" t="s">
        <v>46</v>
      </c>
      <c r="R234" t="s">
        <v>820</v>
      </c>
      <c r="S234" t="s">
        <v>184</v>
      </c>
      <c r="T234" t="s">
        <v>245</v>
      </c>
      <c r="U234"/>
    </row>
    <row r="235" spans="1:21" x14ac:dyDescent="0.2">
      <c r="A235">
        <v>964767</v>
      </c>
      <c r="B235" t="s">
        <v>491</v>
      </c>
      <c r="C235">
        <v>12</v>
      </c>
      <c r="D235">
        <v>3</v>
      </c>
      <c r="E235">
        <v>3</v>
      </c>
      <c r="F235">
        <v>12</v>
      </c>
      <c r="G235">
        <v>24</v>
      </c>
      <c r="H235">
        <v>52</v>
      </c>
      <c r="I235">
        <v>124</v>
      </c>
      <c r="J235">
        <v>17.5</v>
      </c>
      <c r="K235">
        <v>0.34</v>
      </c>
      <c r="L235">
        <v>1.3</v>
      </c>
      <c r="M235">
        <v>16.100000000000001</v>
      </c>
      <c r="N235">
        <v>1</v>
      </c>
      <c r="O235" t="s">
        <v>548</v>
      </c>
      <c r="P235" s="368">
        <v>36712</v>
      </c>
      <c r="Q235" t="s">
        <v>151</v>
      </c>
      <c r="R235" t="s">
        <v>946</v>
      </c>
      <c r="S235" t="s">
        <v>155</v>
      </c>
      <c r="T235" t="s">
        <v>159</v>
      </c>
      <c r="U235"/>
    </row>
    <row r="236" spans="1:21" x14ac:dyDescent="0.2">
      <c r="A236">
        <v>433862</v>
      </c>
      <c r="B236" t="s">
        <v>1221</v>
      </c>
      <c r="C236">
        <v>25</v>
      </c>
      <c r="D236">
        <v>6</v>
      </c>
      <c r="E236">
        <v>12</v>
      </c>
      <c r="F236">
        <v>25</v>
      </c>
      <c r="G236">
        <v>29</v>
      </c>
      <c r="H236">
        <v>43</v>
      </c>
      <c r="I236">
        <v>114</v>
      </c>
      <c r="J236">
        <v>16.5</v>
      </c>
      <c r="K236">
        <v>0.34</v>
      </c>
      <c r="L236">
        <v>1.85</v>
      </c>
      <c r="M236">
        <v>22.5</v>
      </c>
      <c r="N236">
        <v>0.7</v>
      </c>
      <c r="O236" t="s">
        <v>548</v>
      </c>
      <c r="P236" s="368">
        <v>39111</v>
      </c>
      <c r="Q236" t="s">
        <v>46</v>
      </c>
      <c r="R236" t="s">
        <v>716</v>
      </c>
      <c r="S236" t="s">
        <v>184</v>
      </c>
      <c r="T236" t="s">
        <v>253</v>
      </c>
      <c r="U236"/>
    </row>
    <row r="237" spans="1:21" x14ac:dyDescent="0.2">
      <c r="A237">
        <v>385401</v>
      </c>
      <c r="B237" t="s">
        <v>310</v>
      </c>
      <c r="C237">
        <v>11</v>
      </c>
      <c r="D237">
        <v>3</v>
      </c>
      <c r="E237">
        <v>-1</v>
      </c>
      <c r="F237">
        <v>11</v>
      </c>
      <c r="G237">
        <v>24</v>
      </c>
      <c r="H237">
        <v>31</v>
      </c>
      <c r="I237">
        <v>83</v>
      </c>
      <c r="J237">
        <v>12.8</v>
      </c>
      <c r="K237">
        <v>0.34</v>
      </c>
      <c r="L237">
        <v>1.62</v>
      </c>
      <c r="M237">
        <v>16.2</v>
      </c>
      <c r="N237">
        <v>0.6</v>
      </c>
      <c r="O237" t="s">
        <v>548</v>
      </c>
      <c r="P237" s="368">
        <v>37007</v>
      </c>
      <c r="Q237" t="s">
        <v>151</v>
      </c>
      <c r="R237" t="s">
        <v>689</v>
      </c>
      <c r="S237" t="s">
        <v>231</v>
      </c>
      <c r="T237" t="s">
        <v>251</v>
      </c>
      <c r="U237"/>
    </row>
    <row r="238" spans="1:21" x14ac:dyDescent="0.2">
      <c r="A238">
        <v>904904</v>
      </c>
      <c r="B238" t="s">
        <v>478</v>
      </c>
      <c r="C238">
        <v>20</v>
      </c>
      <c r="D238">
        <v>1</v>
      </c>
      <c r="E238">
        <v>7</v>
      </c>
      <c r="F238">
        <v>20</v>
      </c>
      <c r="G238">
        <v>44</v>
      </c>
      <c r="H238">
        <v>42</v>
      </c>
      <c r="I238">
        <v>81</v>
      </c>
      <c r="J238">
        <v>12.6</v>
      </c>
      <c r="K238">
        <v>0.34</v>
      </c>
      <c r="L238">
        <v>1.31</v>
      </c>
      <c r="M238">
        <v>18</v>
      </c>
      <c r="N238">
        <v>0.8</v>
      </c>
      <c r="O238" t="s">
        <v>548</v>
      </c>
      <c r="P238" s="368">
        <v>42164</v>
      </c>
      <c r="Q238" t="s">
        <v>151</v>
      </c>
      <c r="R238" t="s">
        <v>926</v>
      </c>
      <c r="S238" t="s">
        <v>155</v>
      </c>
      <c r="T238" t="s">
        <v>201</v>
      </c>
      <c r="U238"/>
    </row>
    <row r="239" spans="1:21" x14ac:dyDescent="0.2">
      <c r="A239">
        <v>357483</v>
      </c>
      <c r="B239" t="s">
        <v>302</v>
      </c>
      <c r="C239">
        <v>12</v>
      </c>
      <c r="D239">
        <v>1</v>
      </c>
      <c r="E239">
        <v>6</v>
      </c>
      <c r="F239">
        <v>12</v>
      </c>
      <c r="G239">
        <v>30</v>
      </c>
      <c r="H239">
        <v>47</v>
      </c>
      <c r="I239">
        <v>76</v>
      </c>
      <c r="J239">
        <v>12</v>
      </c>
      <c r="K239">
        <v>0.34</v>
      </c>
      <c r="L239">
        <v>1.51</v>
      </c>
      <c r="M239">
        <v>14.9</v>
      </c>
      <c r="N239">
        <v>0.9</v>
      </c>
      <c r="O239" t="s">
        <v>548</v>
      </c>
      <c r="P239" s="368">
        <v>36712</v>
      </c>
      <c r="Q239" t="s">
        <v>151</v>
      </c>
      <c r="R239" t="s">
        <v>678</v>
      </c>
      <c r="S239" t="s">
        <v>234</v>
      </c>
      <c r="T239" t="s">
        <v>172</v>
      </c>
      <c r="U239"/>
    </row>
    <row r="240" spans="1:21" x14ac:dyDescent="0.2">
      <c r="A240">
        <v>541235</v>
      </c>
      <c r="B240" t="s">
        <v>370</v>
      </c>
      <c r="C240">
        <v>11</v>
      </c>
      <c r="D240">
        <v>2</v>
      </c>
      <c r="E240">
        <v>1</v>
      </c>
      <c r="F240">
        <v>11</v>
      </c>
      <c r="G240">
        <v>22</v>
      </c>
      <c r="H240">
        <v>28</v>
      </c>
      <c r="I240">
        <v>71</v>
      </c>
      <c r="J240">
        <v>11.3</v>
      </c>
      <c r="K240">
        <v>0.34</v>
      </c>
      <c r="L240">
        <v>1.61</v>
      </c>
      <c r="M240">
        <v>15.9</v>
      </c>
      <c r="N240">
        <v>0.6</v>
      </c>
      <c r="O240" t="s">
        <v>548</v>
      </c>
      <c r="P240" s="368">
        <v>40816</v>
      </c>
      <c r="Q240" t="s">
        <v>151</v>
      </c>
      <c r="R240" t="s">
        <v>772</v>
      </c>
      <c r="S240" t="s">
        <v>189</v>
      </c>
      <c r="T240" t="s">
        <v>159</v>
      </c>
      <c r="U240"/>
    </row>
    <row r="241" spans="1:21" x14ac:dyDescent="0.2">
      <c r="A241">
        <v>698952</v>
      </c>
      <c r="B241" t="s">
        <v>1197</v>
      </c>
      <c r="C241">
        <v>19</v>
      </c>
      <c r="D241">
        <v>3</v>
      </c>
      <c r="E241">
        <v>5</v>
      </c>
      <c r="F241">
        <v>19</v>
      </c>
      <c r="G241">
        <v>24</v>
      </c>
      <c r="H241">
        <v>26</v>
      </c>
      <c r="I241">
        <v>69</v>
      </c>
      <c r="J241">
        <v>11</v>
      </c>
      <c r="K241">
        <v>0.34</v>
      </c>
      <c r="L241">
        <v>1.5</v>
      </c>
      <c r="M241">
        <v>16.399999999999999</v>
      </c>
      <c r="N241">
        <v>0.6</v>
      </c>
      <c r="O241" t="s">
        <v>548</v>
      </c>
      <c r="P241" s="368">
        <v>43768</v>
      </c>
      <c r="Q241" t="s">
        <v>151</v>
      </c>
      <c r="R241" t="s">
        <v>842</v>
      </c>
      <c r="S241" t="s">
        <v>178</v>
      </c>
      <c r="T241" t="s">
        <v>159</v>
      </c>
      <c r="U241"/>
    </row>
    <row r="242" spans="1:21" x14ac:dyDescent="0.2">
      <c r="A242">
        <v>469692</v>
      </c>
      <c r="B242" t="s">
        <v>1223</v>
      </c>
      <c r="C242">
        <v>26</v>
      </c>
      <c r="D242">
        <v>1</v>
      </c>
      <c r="E242">
        <v>5</v>
      </c>
      <c r="F242">
        <v>26</v>
      </c>
      <c r="G242">
        <v>53</v>
      </c>
      <c r="H242">
        <v>27</v>
      </c>
      <c r="I242">
        <v>66</v>
      </c>
      <c r="J242">
        <v>10.7</v>
      </c>
      <c r="K242">
        <v>0.34</v>
      </c>
      <c r="L242">
        <v>1.85</v>
      </c>
      <c r="M242">
        <v>23.9</v>
      </c>
      <c r="N242">
        <v>0.5</v>
      </c>
      <c r="O242" t="s">
        <v>548</v>
      </c>
      <c r="P242" s="368">
        <v>39111</v>
      </c>
      <c r="Q242" t="s">
        <v>46</v>
      </c>
      <c r="R242" t="s">
        <v>732</v>
      </c>
      <c r="S242" t="s">
        <v>184</v>
      </c>
      <c r="T242" t="s">
        <v>213</v>
      </c>
      <c r="U242"/>
    </row>
    <row r="243" spans="1:21" x14ac:dyDescent="0.2">
      <c r="A243">
        <v>229922</v>
      </c>
      <c r="B243" t="s">
        <v>241</v>
      </c>
      <c r="C243">
        <v>12</v>
      </c>
      <c r="D243">
        <v>5</v>
      </c>
      <c r="E243">
        <v>5</v>
      </c>
      <c r="F243">
        <v>12</v>
      </c>
      <c r="G243">
        <v>9</v>
      </c>
      <c r="H243">
        <v>31</v>
      </c>
      <c r="I243">
        <v>59</v>
      </c>
      <c r="J243">
        <v>9.6999999999999993</v>
      </c>
      <c r="K243">
        <v>0.34</v>
      </c>
      <c r="L243">
        <v>1.5</v>
      </c>
      <c r="M243">
        <v>13.6</v>
      </c>
      <c r="N243">
        <v>0.7</v>
      </c>
      <c r="O243" t="s">
        <v>548</v>
      </c>
      <c r="P243" s="368">
        <v>37574</v>
      </c>
      <c r="Q243" t="s">
        <v>151</v>
      </c>
      <c r="R243" t="s">
        <v>606</v>
      </c>
      <c r="S243" t="s">
        <v>178</v>
      </c>
      <c r="T243" t="s">
        <v>242</v>
      </c>
      <c r="U243"/>
    </row>
    <row r="244" spans="1:21" x14ac:dyDescent="0.2">
      <c r="A244">
        <v>700310</v>
      </c>
      <c r="B244" t="s">
        <v>425</v>
      </c>
      <c r="C244">
        <v>4</v>
      </c>
      <c r="D244">
        <v>1</v>
      </c>
      <c r="E244">
        <v>2</v>
      </c>
      <c r="F244">
        <v>4</v>
      </c>
      <c r="G244">
        <v>11</v>
      </c>
      <c r="H244">
        <v>7</v>
      </c>
      <c r="I244">
        <v>19</v>
      </c>
      <c r="J244">
        <v>3.6</v>
      </c>
      <c r="K244">
        <v>0.34</v>
      </c>
      <c r="L244">
        <v>0.95</v>
      </c>
      <c r="M244">
        <v>11.6</v>
      </c>
      <c r="N244">
        <v>0.3</v>
      </c>
      <c r="O244" t="s">
        <v>548</v>
      </c>
      <c r="P244" s="368">
        <v>41144</v>
      </c>
      <c r="Q244" t="s">
        <v>46</v>
      </c>
      <c r="R244" t="s">
        <v>843</v>
      </c>
      <c r="S244" t="s">
        <v>240</v>
      </c>
      <c r="T244" t="s">
        <v>192</v>
      </c>
      <c r="U244"/>
    </row>
    <row r="245" spans="1:21" x14ac:dyDescent="0.2">
      <c r="A245">
        <v>832717</v>
      </c>
      <c r="B245" t="s">
        <v>516</v>
      </c>
      <c r="C245">
        <v>2</v>
      </c>
      <c r="D245">
        <v>0</v>
      </c>
      <c r="E245">
        <v>1</v>
      </c>
      <c r="F245">
        <v>2</v>
      </c>
      <c r="G245">
        <v>7</v>
      </c>
      <c r="H245">
        <v>6</v>
      </c>
      <c r="I245">
        <v>13</v>
      </c>
      <c r="J245">
        <v>2.4</v>
      </c>
      <c r="K245">
        <v>0.34</v>
      </c>
      <c r="L245">
        <v>0.82</v>
      </c>
      <c r="M245">
        <v>6.3</v>
      </c>
      <c r="N245">
        <v>0.3</v>
      </c>
      <c r="O245" t="s">
        <v>548</v>
      </c>
      <c r="P245" s="368">
        <v>41001</v>
      </c>
      <c r="Q245" t="s">
        <v>151</v>
      </c>
      <c r="R245" t="s">
        <v>891</v>
      </c>
      <c r="S245" t="s">
        <v>271</v>
      </c>
      <c r="T245" t="s">
        <v>156</v>
      </c>
      <c r="U245"/>
    </row>
    <row r="246" spans="1:21" x14ac:dyDescent="0.2">
      <c r="A246">
        <v>307306</v>
      </c>
      <c r="B246" t="s">
        <v>282</v>
      </c>
      <c r="C246">
        <v>2</v>
      </c>
      <c r="D246">
        <v>0</v>
      </c>
      <c r="E246">
        <v>0</v>
      </c>
      <c r="F246">
        <v>2</v>
      </c>
      <c r="G246">
        <v>2</v>
      </c>
      <c r="H246">
        <v>4</v>
      </c>
      <c r="I246">
        <v>9</v>
      </c>
      <c r="J246">
        <v>1.7</v>
      </c>
      <c r="K246">
        <v>0.34</v>
      </c>
      <c r="L246">
        <v>1.51</v>
      </c>
      <c r="M246">
        <v>3.5</v>
      </c>
      <c r="N246">
        <v>0.5</v>
      </c>
      <c r="O246" t="s">
        <v>548</v>
      </c>
      <c r="P246" s="368">
        <v>42559</v>
      </c>
      <c r="Q246" t="s">
        <v>151</v>
      </c>
      <c r="R246" t="s">
        <v>651</v>
      </c>
      <c r="S246" t="s">
        <v>265</v>
      </c>
      <c r="T246" t="s">
        <v>319</v>
      </c>
      <c r="U246"/>
    </row>
    <row r="247" spans="1:21" x14ac:dyDescent="0.2">
      <c r="A247">
        <v>111096</v>
      </c>
      <c r="B247" t="s">
        <v>1005</v>
      </c>
      <c r="C247">
        <v>14</v>
      </c>
      <c r="D247">
        <v>3</v>
      </c>
      <c r="E247">
        <v>3</v>
      </c>
      <c r="F247">
        <v>14</v>
      </c>
      <c r="G247">
        <v>28</v>
      </c>
      <c r="H247">
        <v>25</v>
      </c>
      <c r="I247"/>
      <c r="J247"/>
      <c r="K247">
        <v>0.34</v>
      </c>
      <c r="L247">
        <v>1.61</v>
      </c>
      <c r="M247">
        <v>16.8</v>
      </c>
      <c r="N247">
        <v>0.5</v>
      </c>
      <c r="O247" t="s">
        <v>548</v>
      </c>
      <c r="P247" s="368">
        <v>43872</v>
      </c>
      <c r="Q247" t="s">
        <v>151</v>
      </c>
      <c r="R247" t="s">
        <v>1019</v>
      </c>
      <c r="S247" t="s">
        <v>189</v>
      </c>
      <c r="T247" t="s">
        <v>197</v>
      </c>
      <c r="U247"/>
    </row>
    <row r="248" spans="1:21" x14ac:dyDescent="0.2">
      <c r="A248">
        <v>617670</v>
      </c>
      <c r="B248" t="s">
        <v>399</v>
      </c>
      <c r="C248">
        <v>10</v>
      </c>
      <c r="D248">
        <v>2</v>
      </c>
      <c r="E248">
        <v>-3</v>
      </c>
      <c r="F248">
        <v>10</v>
      </c>
      <c r="G248">
        <v>23</v>
      </c>
      <c r="H248">
        <v>43</v>
      </c>
      <c r="I248">
        <v>139</v>
      </c>
      <c r="J248">
        <v>19</v>
      </c>
      <c r="K248">
        <v>0.35</v>
      </c>
      <c r="L248">
        <v>1.85</v>
      </c>
      <c r="M248">
        <v>17.600000000000001</v>
      </c>
      <c r="N248">
        <v>0.8</v>
      </c>
      <c r="O248" t="s">
        <v>548</v>
      </c>
      <c r="P248" s="368">
        <v>41925</v>
      </c>
      <c r="Q248" t="s">
        <v>151</v>
      </c>
      <c r="R248" t="s">
        <v>806</v>
      </c>
      <c r="S248" t="s">
        <v>181</v>
      </c>
      <c r="T248" t="s">
        <v>245</v>
      </c>
      <c r="U248"/>
    </row>
    <row r="249" spans="1:21" x14ac:dyDescent="0.2">
      <c r="A249">
        <v>980284</v>
      </c>
      <c r="B249" t="s">
        <v>519</v>
      </c>
      <c r="C249">
        <v>12</v>
      </c>
      <c r="D249">
        <v>1</v>
      </c>
      <c r="E249">
        <v>0</v>
      </c>
      <c r="F249">
        <v>12</v>
      </c>
      <c r="G249">
        <v>21</v>
      </c>
      <c r="H249">
        <v>4</v>
      </c>
      <c r="I249">
        <v>34</v>
      </c>
      <c r="J249">
        <v>6</v>
      </c>
      <c r="K249">
        <v>0.35</v>
      </c>
      <c r="L249">
        <v>0.8</v>
      </c>
      <c r="M249">
        <v>19.2</v>
      </c>
      <c r="N249">
        <v>0.2</v>
      </c>
      <c r="O249" t="s">
        <v>551</v>
      </c>
      <c r="P249" s="368">
        <v>41016</v>
      </c>
      <c r="Q249" t="s">
        <v>46</v>
      </c>
      <c r="R249" t="s">
        <v>954</v>
      </c>
      <c r="S249" t="s">
        <v>168</v>
      </c>
      <c r="T249" t="s">
        <v>166</v>
      </c>
      <c r="U249"/>
    </row>
    <row r="250" spans="1:21" x14ac:dyDescent="0.2">
      <c r="A250">
        <v>229625</v>
      </c>
      <c r="B250" t="s">
        <v>239</v>
      </c>
      <c r="C250">
        <v>2</v>
      </c>
      <c r="D250">
        <v>1</v>
      </c>
      <c r="E250">
        <v>0</v>
      </c>
      <c r="F250">
        <v>2</v>
      </c>
      <c r="G250">
        <v>4</v>
      </c>
      <c r="H250">
        <v>11</v>
      </c>
      <c r="I250">
        <v>21</v>
      </c>
      <c r="J250">
        <v>4</v>
      </c>
      <c r="K250">
        <v>0.35</v>
      </c>
      <c r="L250">
        <v>1</v>
      </c>
      <c r="M250">
        <v>7.7</v>
      </c>
      <c r="N250">
        <v>0.5</v>
      </c>
      <c r="O250" t="s">
        <v>556</v>
      </c>
      <c r="P250" s="368">
        <v>41773</v>
      </c>
      <c r="Q250" t="s">
        <v>46</v>
      </c>
      <c r="R250" t="s">
        <v>605</v>
      </c>
      <c r="S250" t="s">
        <v>240</v>
      </c>
      <c r="T250" t="s">
        <v>216</v>
      </c>
      <c r="U250"/>
    </row>
    <row r="251" spans="1:21" x14ac:dyDescent="0.2">
      <c r="A251">
        <v>386870</v>
      </c>
      <c r="B251" t="s">
        <v>311</v>
      </c>
      <c r="C251">
        <v>4</v>
      </c>
      <c r="D251">
        <v>0</v>
      </c>
      <c r="E251">
        <v>2</v>
      </c>
      <c r="F251">
        <v>4</v>
      </c>
      <c r="G251">
        <v>10</v>
      </c>
      <c r="H251">
        <v>7</v>
      </c>
      <c r="I251">
        <v>16</v>
      </c>
      <c r="J251">
        <v>3</v>
      </c>
      <c r="K251">
        <v>0.35</v>
      </c>
      <c r="L251">
        <v>1.17</v>
      </c>
      <c r="M251">
        <v>8.4</v>
      </c>
      <c r="N251">
        <v>0.3</v>
      </c>
      <c r="O251" t="s">
        <v>548</v>
      </c>
      <c r="P251" s="368">
        <v>42331</v>
      </c>
      <c r="Q251" t="s">
        <v>46</v>
      </c>
      <c r="R251" t="s">
        <v>690</v>
      </c>
      <c r="S251" t="s">
        <v>312</v>
      </c>
      <c r="T251" t="s">
        <v>163</v>
      </c>
      <c r="U251"/>
    </row>
    <row r="252" spans="1:21" x14ac:dyDescent="0.2">
      <c r="A252">
        <v>721035</v>
      </c>
      <c r="B252" t="s">
        <v>432</v>
      </c>
      <c r="C252">
        <v>10</v>
      </c>
      <c r="D252">
        <v>-1</v>
      </c>
      <c r="E252">
        <v>9</v>
      </c>
      <c r="F252">
        <v>10</v>
      </c>
      <c r="G252">
        <v>49</v>
      </c>
      <c r="H252">
        <v>100</v>
      </c>
      <c r="I252">
        <v>183</v>
      </c>
      <c r="J252">
        <v>23.1</v>
      </c>
      <c r="K252">
        <v>0.36</v>
      </c>
      <c r="L252">
        <v>1.61</v>
      </c>
      <c r="M252">
        <v>20.100000000000001</v>
      </c>
      <c r="N252">
        <v>1.3</v>
      </c>
      <c r="O252" t="s">
        <v>548</v>
      </c>
      <c r="P252" s="368">
        <v>40266</v>
      </c>
      <c r="Q252" t="s">
        <v>46</v>
      </c>
      <c r="R252" t="s">
        <v>850</v>
      </c>
      <c r="S252" t="s">
        <v>158</v>
      </c>
      <c r="T252" t="s">
        <v>153</v>
      </c>
      <c r="U252"/>
    </row>
    <row r="253" spans="1:21" x14ac:dyDescent="0.2">
      <c r="A253">
        <v>320176</v>
      </c>
      <c r="B253" t="s">
        <v>539</v>
      </c>
      <c r="C253">
        <v>16</v>
      </c>
      <c r="D253">
        <v>1</v>
      </c>
      <c r="E253">
        <v>18</v>
      </c>
      <c r="F253">
        <v>16</v>
      </c>
      <c r="G253">
        <v>44</v>
      </c>
      <c r="H253">
        <v>90</v>
      </c>
      <c r="I253">
        <v>140</v>
      </c>
      <c r="J253">
        <v>19.100000000000001</v>
      </c>
      <c r="K253">
        <v>0.36</v>
      </c>
      <c r="L253">
        <v>1.63</v>
      </c>
      <c r="M253">
        <v>24.3</v>
      </c>
      <c r="N253">
        <v>1</v>
      </c>
      <c r="O253" t="s">
        <v>548</v>
      </c>
      <c r="P253" s="368">
        <v>40876</v>
      </c>
      <c r="Q253" t="s">
        <v>151</v>
      </c>
      <c r="R253" t="s">
        <v>659</v>
      </c>
      <c r="S253" t="s">
        <v>234</v>
      </c>
      <c r="T253" t="s">
        <v>259</v>
      </c>
      <c r="U253"/>
    </row>
    <row r="254" spans="1:21" x14ac:dyDescent="0.2">
      <c r="A254">
        <v>479725</v>
      </c>
      <c r="B254" t="s">
        <v>157</v>
      </c>
      <c r="C254">
        <v>12</v>
      </c>
      <c r="D254">
        <v>3</v>
      </c>
      <c r="E254">
        <v>3</v>
      </c>
      <c r="F254">
        <v>12</v>
      </c>
      <c r="G254">
        <v>21</v>
      </c>
      <c r="H254">
        <v>56</v>
      </c>
      <c r="I254">
        <v>110</v>
      </c>
      <c r="J254">
        <v>16</v>
      </c>
      <c r="K254">
        <v>0.36</v>
      </c>
      <c r="L254">
        <v>1.63</v>
      </c>
      <c r="M254">
        <v>13.1</v>
      </c>
      <c r="N254">
        <v>1.2</v>
      </c>
      <c r="O254" t="s">
        <v>556</v>
      </c>
      <c r="P254" s="368">
        <v>43733</v>
      </c>
      <c r="Q254" t="s">
        <v>46</v>
      </c>
      <c r="R254" t="s">
        <v>739</v>
      </c>
      <c r="S254" t="s">
        <v>158</v>
      </c>
      <c r="T254" t="s">
        <v>159</v>
      </c>
      <c r="U254"/>
    </row>
    <row r="255" spans="1:21" x14ac:dyDescent="0.2">
      <c r="A255">
        <v>584912</v>
      </c>
      <c r="B255" t="s">
        <v>389</v>
      </c>
      <c r="C255">
        <v>12</v>
      </c>
      <c r="D255">
        <v>-1</v>
      </c>
      <c r="E255">
        <v>7</v>
      </c>
      <c r="F255">
        <v>12</v>
      </c>
      <c r="G255">
        <v>52</v>
      </c>
      <c r="H255">
        <v>58</v>
      </c>
      <c r="I255">
        <v>101</v>
      </c>
      <c r="J255">
        <v>15</v>
      </c>
      <c r="K255">
        <v>0.36</v>
      </c>
      <c r="L255">
        <v>1.63</v>
      </c>
      <c r="M255">
        <v>21.2</v>
      </c>
      <c r="N255">
        <v>0.8</v>
      </c>
      <c r="O255" t="s">
        <v>548</v>
      </c>
      <c r="P255" s="368">
        <v>41298</v>
      </c>
      <c r="Q255" t="s">
        <v>151</v>
      </c>
      <c r="R255" t="s">
        <v>794</v>
      </c>
      <c r="S255" t="s">
        <v>234</v>
      </c>
      <c r="T255" t="s">
        <v>153</v>
      </c>
      <c r="U255"/>
    </row>
    <row r="256" spans="1:21" x14ac:dyDescent="0.2">
      <c r="A256">
        <v>515554</v>
      </c>
      <c r="B256" t="s">
        <v>309</v>
      </c>
      <c r="C256">
        <v>12</v>
      </c>
      <c r="D256">
        <v>3</v>
      </c>
      <c r="E256">
        <v>3</v>
      </c>
      <c r="F256">
        <v>12</v>
      </c>
      <c r="G256">
        <v>21</v>
      </c>
      <c r="H256">
        <v>46</v>
      </c>
      <c r="I256">
        <v>97</v>
      </c>
      <c r="J256">
        <v>14.5</v>
      </c>
      <c r="K256">
        <v>0.36</v>
      </c>
      <c r="L256">
        <v>1.63</v>
      </c>
      <c r="M256">
        <v>13.4</v>
      </c>
      <c r="N256">
        <v>1</v>
      </c>
      <c r="O256" t="s">
        <v>576</v>
      </c>
      <c r="P256" s="368">
        <v>43733</v>
      </c>
      <c r="Q256" t="s">
        <v>46</v>
      </c>
      <c r="R256" t="s">
        <v>757</v>
      </c>
      <c r="S256" t="s">
        <v>158</v>
      </c>
      <c r="T256" t="s">
        <v>159</v>
      </c>
      <c r="U256"/>
    </row>
    <row r="257" spans="1:21" x14ac:dyDescent="0.2">
      <c r="A257">
        <v>206250</v>
      </c>
      <c r="B257" t="s">
        <v>230</v>
      </c>
      <c r="C257">
        <v>12</v>
      </c>
      <c r="D257">
        <v>3</v>
      </c>
      <c r="E257">
        <v>1</v>
      </c>
      <c r="F257">
        <v>12</v>
      </c>
      <c r="G257">
        <v>29</v>
      </c>
      <c r="H257">
        <v>27</v>
      </c>
      <c r="I257">
        <v>85</v>
      </c>
      <c r="J257">
        <v>13.2</v>
      </c>
      <c r="K257">
        <v>0.36</v>
      </c>
      <c r="L257">
        <v>1.82</v>
      </c>
      <c r="M257">
        <v>16.5</v>
      </c>
      <c r="N257">
        <v>0.6</v>
      </c>
      <c r="O257" t="s">
        <v>548</v>
      </c>
      <c r="P257" s="368">
        <v>37007</v>
      </c>
      <c r="Q257" t="s">
        <v>151</v>
      </c>
      <c r="R257" t="s">
        <v>599</v>
      </c>
      <c r="S257" t="s">
        <v>231</v>
      </c>
      <c r="T257" t="s">
        <v>169</v>
      </c>
      <c r="U257"/>
    </row>
    <row r="258" spans="1:21" x14ac:dyDescent="0.2">
      <c r="A258">
        <v>521104</v>
      </c>
      <c r="B258" t="s">
        <v>540</v>
      </c>
      <c r="C258">
        <v>20</v>
      </c>
      <c r="D258">
        <v>1</v>
      </c>
      <c r="E258">
        <v>6</v>
      </c>
      <c r="F258">
        <v>20</v>
      </c>
      <c r="G258">
        <v>39</v>
      </c>
      <c r="H258">
        <v>44</v>
      </c>
      <c r="I258">
        <v>72</v>
      </c>
      <c r="J258">
        <v>11.5</v>
      </c>
      <c r="K258">
        <v>0.36</v>
      </c>
      <c r="L258">
        <v>1.4</v>
      </c>
      <c r="M258">
        <v>16.8</v>
      </c>
      <c r="N258">
        <v>0.8</v>
      </c>
      <c r="O258" t="s">
        <v>548</v>
      </c>
      <c r="P258" s="368">
        <v>42110</v>
      </c>
      <c r="Q258" t="s">
        <v>46</v>
      </c>
      <c r="R258" t="s">
        <v>764</v>
      </c>
      <c r="S258" t="s">
        <v>182</v>
      </c>
      <c r="T258" t="s">
        <v>190</v>
      </c>
      <c r="U258"/>
    </row>
    <row r="259" spans="1:21" x14ac:dyDescent="0.2">
      <c r="A259">
        <v>443895</v>
      </c>
      <c r="B259" t="s">
        <v>512</v>
      </c>
      <c r="C259">
        <v>7</v>
      </c>
      <c r="D259">
        <v>7</v>
      </c>
      <c r="E259">
        <v>7</v>
      </c>
      <c r="F259">
        <v>7</v>
      </c>
      <c r="G259">
        <v>17</v>
      </c>
      <c r="H259">
        <v>48</v>
      </c>
      <c r="I259">
        <v>70</v>
      </c>
      <c r="J259">
        <v>11.2</v>
      </c>
      <c r="K259">
        <v>0.36</v>
      </c>
      <c r="L259">
        <v>1.61</v>
      </c>
      <c r="M259">
        <v>17.5</v>
      </c>
      <c r="N259">
        <v>0.8</v>
      </c>
      <c r="O259" t="s">
        <v>556</v>
      </c>
      <c r="P259" s="368">
        <v>43733</v>
      </c>
      <c r="Q259" t="s">
        <v>46</v>
      </c>
      <c r="R259" t="s">
        <v>722</v>
      </c>
      <c r="S259" t="s">
        <v>158</v>
      </c>
      <c r="T259" t="s">
        <v>242</v>
      </c>
      <c r="U259"/>
    </row>
    <row r="260" spans="1:21" x14ac:dyDescent="0.2">
      <c r="A260">
        <v>238832</v>
      </c>
      <c r="B260" t="s">
        <v>1159</v>
      </c>
      <c r="C260">
        <v>17</v>
      </c>
      <c r="D260">
        <v>1</v>
      </c>
      <c r="E260">
        <v>6</v>
      </c>
      <c r="F260">
        <v>17</v>
      </c>
      <c r="G260">
        <v>26</v>
      </c>
      <c r="H260">
        <v>26</v>
      </c>
      <c r="I260">
        <v>52</v>
      </c>
      <c r="J260">
        <v>8.8000000000000007</v>
      </c>
      <c r="K260">
        <v>0.36</v>
      </c>
      <c r="L260">
        <v>1.4</v>
      </c>
      <c r="M260">
        <v>15.5</v>
      </c>
      <c r="N260">
        <v>0.6</v>
      </c>
      <c r="O260" t="s">
        <v>556</v>
      </c>
      <c r="P260" s="368">
        <v>40492</v>
      </c>
      <c r="Q260" t="s">
        <v>46</v>
      </c>
      <c r="R260" t="s">
        <v>611</v>
      </c>
      <c r="S260" t="s">
        <v>182</v>
      </c>
      <c r="T260" t="s">
        <v>179</v>
      </c>
      <c r="U260"/>
    </row>
    <row r="261" spans="1:21" x14ac:dyDescent="0.2">
      <c r="A261">
        <v>408898</v>
      </c>
      <c r="B261" t="s">
        <v>1161</v>
      </c>
      <c r="C261">
        <v>0</v>
      </c>
      <c r="D261">
        <v>0</v>
      </c>
      <c r="E261">
        <v>0</v>
      </c>
      <c r="F261">
        <v>0</v>
      </c>
      <c r="G261">
        <v>4</v>
      </c>
      <c r="H261">
        <v>8</v>
      </c>
      <c r="I261">
        <v>10</v>
      </c>
      <c r="J261">
        <v>2</v>
      </c>
      <c r="K261">
        <v>0.36</v>
      </c>
      <c r="L261">
        <v>1.07</v>
      </c>
      <c r="M261">
        <v>5.3</v>
      </c>
      <c r="N261">
        <v>0.5</v>
      </c>
      <c r="O261" t="s">
        <v>548</v>
      </c>
      <c r="P261" s="368">
        <v>40101</v>
      </c>
      <c r="Q261" t="s">
        <v>46</v>
      </c>
      <c r="R261" t="s">
        <v>705</v>
      </c>
      <c r="S261" t="s">
        <v>991</v>
      </c>
      <c r="T261" t="s">
        <v>256</v>
      </c>
      <c r="U261"/>
    </row>
    <row r="262" spans="1:21" x14ac:dyDescent="0.2">
      <c r="A262">
        <v>501981</v>
      </c>
      <c r="B262" t="s">
        <v>356</v>
      </c>
      <c r="C262">
        <v>15</v>
      </c>
      <c r="D262">
        <v>3</v>
      </c>
      <c r="E262">
        <v>3</v>
      </c>
      <c r="F262">
        <v>15</v>
      </c>
      <c r="G262">
        <v>43</v>
      </c>
      <c r="H262">
        <v>25</v>
      </c>
      <c r="I262">
        <v>68</v>
      </c>
      <c r="J262">
        <v>11</v>
      </c>
      <c r="K262">
        <v>0.37</v>
      </c>
      <c r="L262">
        <v>2</v>
      </c>
      <c r="M262">
        <v>17.2</v>
      </c>
      <c r="N262">
        <v>0.5</v>
      </c>
      <c r="O262" t="s">
        <v>551</v>
      </c>
      <c r="P262" s="368">
        <v>37628</v>
      </c>
      <c r="Q262" t="s">
        <v>46</v>
      </c>
      <c r="R262" t="s">
        <v>751</v>
      </c>
      <c r="S262" t="s">
        <v>175</v>
      </c>
      <c r="T262" t="s">
        <v>169</v>
      </c>
      <c r="U262"/>
    </row>
    <row r="263" spans="1:21" x14ac:dyDescent="0.2">
      <c r="A263">
        <v>388298</v>
      </c>
      <c r="B263" t="s">
        <v>313</v>
      </c>
      <c r="C263">
        <v>9</v>
      </c>
      <c r="D263">
        <v>1</v>
      </c>
      <c r="E263">
        <v>2</v>
      </c>
      <c r="F263">
        <v>9</v>
      </c>
      <c r="G263">
        <v>43</v>
      </c>
      <c r="H263">
        <v>26</v>
      </c>
      <c r="I263">
        <v>66</v>
      </c>
      <c r="J263">
        <v>10.6</v>
      </c>
      <c r="K263">
        <v>0.37</v>
      </c>
      <c r="L263">
        <v>2</v>
      </c>
      <c r="M263">
        <v>18.600000000000001</v>
      </c>
      <c r="N263">
        <v>0.5</v>
      </c>
      <c r="O263" t="s">
        <v>551</v>
      </c>
      <c r="P263" s="368">
        <v>39475</v>
      </c>
      <c r="Q263" t="s">
        <v>46</v>
      </c>
      <c r="R263" t="s">
        <v>691</v>
      </c>
      <c r="S263" t="s">
        <v>222</v>
      </c>
      <c r="T263" t="s">
        <v>190</v>
      </c>
      <c r="U263"/>
    </row>
    <row r="264" spans="1:21" x14ac:dyDescent="0.2">
      <c r="A264">
        <v>571695</v>
      </c>
      <c r="B264" t="s">
        <v>384</v>
      </c>
      <c r="C264">
        <v>10</v>
      </c>
      <c r="D264">
        <v>1</v>
      </c>
      <c r="E264">
        <v>1</v>
      </c>
      <c r="F264">
        <v>10</v>
      </c>
      <c r="G264">
        <v>25</v>
      </c>
      <c r="H264">
        <v>7</v>
      </c>
      <c r="I264">
        <v>44</v>
      </c>
      <c r="J264">
        <v>7.5</v>
      </c>
      <c r="K264">
        <v>0.37</v>
      </c>
      <c r="L264">
        <v>2</v>
      </c>
      <c r="M264">
        <v>15.7</v>
      </c>
      <c r="N264">
        <v>0.2</v>
      </c>
      <c r="O264" t="s">
        <v>551</v>
      </c>
      <c r="P264" s="368">
        <v>39475</v>
      </c>
      <c r="Q264" t="s">
        <v>46</v>
      </c>
      <c r="R264" t="s">
        <v>788</v>
      </c>
      <c r="S264" t="s">
        <v>222</v>
      </c>
      <c r="T264" t="s">
        <v>179</v>
      </c>
      <c r="U264"/>
    </row>
    <row r="265" spans="1:21" x14ac:dyDescent="0.2">
      <c r="A265">
        <v>900894</v>
      </c>
      <c r="B265" t="s">
        <v>1017</v>
      </c>
      <c r="C265">
        <v>4</v>
      </c>
      <c r="D265">
        <v>1</v>
      </c>
      <c r="E265">
        <v>0</v>
      </c>
      <c r="F265">
        <v>4</v>
      </c>
      <c r="G265">
        <v>8</v>
      </c>
      <c r="H265">
        <v>9</v>
      </c>
      <c r="I265">
        <v>31</v>
      </c>
      <c r="J265">
        <v>5.5</v>
      </c>
      <c r="K265">
        <v>0.37</v>
      </c>
      <c r="L265">
        <v>1.44</v>
      </c>
      <c r="M265">
        <v>9.6</v>
      </c>
      <c r="N265">
        <v>0.3</v>
      </c>
      <c r="O265" t="s">
        <v>556</v>
      </c>
      <c r="P265" s="368">
        <v>38901</v>
      </c>
      <c r="Q265" t="s">
        <v>46</v>
      </c>
      <c r="R265" t="s">
        <v>923</v>
      </c>
      <c r="S265" t="s">
        <v>225</v>
      </c>
      <c r="T265" t="s">
        <v>192</v>
      </c>
      <c r="U265"/>
    </row>
    <row r="266" spans="1:21" x14ac:dyDescent="0.2">
      <c r="A266">
        <v>934711</v>
      </c>
      <c r="B266" t="s">
        <v>484</v>
      </c>
      <c r="C266">
        <v>3</v>
      </c>
      <c r="D266">
        <v>1</v>
      </c>
      <c r="E266">
        <v>2</v>
      </c>
      <c r="F266">
        <v>3</v>
      </c>
      <c r="G266">
        <v>9</v>
      </c>
      <c r="H266">
        <v>5</v>
      </c>
      <c r="I266">
        <v>10</v>
      </c>
      <c r="J266">
        <v>2</v>
      </c>
      <c r="K266">
        <v>0.37</v>
      </c>
      <c r="L266">
        <v>0.93</v>
      </c>
      <c r="M266">
        <v>7.7</v>
      </c>
      <c r="N266">
        <v>0.3</v>
      </c>
      <c r="O266" t="s">
        <v>548</v>
      </c>
      <c r="P266" s="368">
        <v>41276</v>
      </c>
      <c r="Q266" t="s">
        <v>151</v>
      </c>
      <c r="R266" t="s">
        <v>938</v>
      </c>
      <c r="S266" t="s">
        <v>271</v>
      </c>
      <c r="T266" t="s">
        <v>256</v>
      </c>
      <c r="U266"/>
    </row>
    <row r="267" spans="1:21" x14ac:dyDescent="0.2">
      <c r="A267">
        <v>184580</v>
      </c>
      <c r="B267" t="s">
        <v>221</v>
      </c>
      <c r="C267">
        <v>21</v>
      </c>
      <c r="D267">
        <v>6</v>
      </c>
      <c r="E267">
        <v>4</v>
      </c>
      <c r="F267">
        <v>21</v>
      </c>
      <c r="G267">
        <v>46</v>
      </c>
      <c r="H267"/>
      <c r="I267"/>
      <c r="J267"/>
      <c r="K267">
        <v>0.37</v>
      </c>
      <c r="L267">
        <v>2</v>
      </c>
      <c r="M267"/>
      <c r="N267"/>
      <c r="O267" t="s">
        <v>548</v>
      </c>
      <c r="P267" s="368">
        <v>43602</v>
      </c>
      <c r="Q267" t="s">
        <v>46</v>
      </c>
      <c r="R267" t="s">
        <v>590</v>
      </c>
      <c r="S267" t="s">
        <v>222</v>
      </c>
      <c r="T267" t="s">
        <v>159</v>
      </c>
      <c r="U267"/>
    </row>
    <row r="268" spans="1:21" x14ac:dyDescent="0.2">
      <c r="A268">
        <v>439471</v>
      </c>
      <c r="B268" t="s">
        <v>119</v>
      </c>
      <c r="C268">
        <v>21</v>
      </c>
      <c r="D268">
        <v>4</v>
      </c>
      <c r="E268">
        <v>5</v>
      </c>
      <c r="F268">
        <v>21</v>
      </c>
      <c r="G268">
        <v>37</v>
      </c>
      <c r="H268">
        <v>76</v>
      </c>
      <c r="I268">
        <v>215</v>
      </c>
      <c r="J268">
        <v>25.8</v>
      </c>
      <c r="K268">
        <v>0.38</v>
      </c>
      <c r="L268">
        <v>1.4</v>
      </c>
      <c r="M268">
        <v>17</v>
      </c>
      <c r="N268">
        <v>1.2</v>
      </c>
      <c r="O268" t="s">
        <v>548</v>
      </c>
      <c r="P268" s="368">
        <v>36712</v>
      </c>
      <c r="Q268" t="s">
        <v>151</v>
      </c>
      <c r="R268" t="s">
        <v>718</v>
      </c>
      <c r="S268" t="s">
        <v>152</v>
      </c>
      <c r="T268" t="s">
        <v>224</v>
      </c>
      <c r="U268"/>
    </row>
    <row r="269" spans="1:21" x14ac:dyDescent="0.2">
      <c r="A269">
        <v>103606</v>
      </c>
      <c r="B269" t="s">
        <v>150</v>
      </c>
      <c r="C269">
        <v>12</v>
      </c>
      <c r="D269">
        <v>0</v>
      </c>
      <c r="E269">
        <v>6</v>
      </c>
      <c r="F269">
        <v>12</v>
      </c>
      <c r="G269">
        <v>48</v>
      </c>
      <c r="H269">
        <v>90</v>
      </c>
      <c r="I269">
        <v>164</v>
      </c>
      <c r="J269">
        <v>21.4</v>
      </c>
      <c r="K269">
        <v>0.38</v>
      </c>
      <c r="L269">
        <v>1.4</v>
      </c>
      <c r="M269">
        <v>21.1</v>
      </c>
      <c r="N269">
        <v>1.1000000000000001</v>
      </c>
      <c r="O269" t="s">
        <v>548</v>
      </c>
      <c r="P269" s="368">
        <v>37608</v>
      </c>
      <c r="Q269" t="s">
        <v>151</v>
      </c>
      <c r="R269" t="s">
        <v>549</v>
      </c>
      <c r="S269" t="s">
        <v>152</v>
      </c>
      <c r="T269" t="s">
        <v>153</v>
      </c>
      <c r="U269"/>
    </row>
    <row r="270" spans="1:21" x14ac:dyDescent="0.2">
      <c r="A270">
        <v>416867</v>
      </c>
      <c r="B270" t="s">
        <v>323</v>
      </c>
      <c r="C270">
        <v>16</v>
      </c>
      <c r="D270">
        <v>-1</v>
      </c>
      <c r="E270">
        <v>11</v>
      </c>
      <c r="F270">
        <v>16</v>
      </c>
      <c r="G270">
        <v>55</v>
      </c>
      <c r="H270">
        <v>65</v>
      </c>
      <c r="I270">
        <v>145</v>
      </c>
      <c r="J270">
        <v>19.600000000000001</v>
      </c>
      <c r="K270">
        <v>0.38</v>
      </c>
      <c r="L270">
        <v>1.54</v>
      </c>
      <c r="M270">
        <v>21</v>
      </c>
      <c r="N270">
        <v>0.9</v>
      </c>
      <c r="O270" t="s">
        <v>548</v>
      </c>
      <c r="P270" s="368">
        <v>39062</v>
      </c>
      <c r="Q270" t="s">
        <v>151</v>
      </c>
      <c r="R270" t="s">
        <v>707</v>
      </c>
      <c r="S270" t="s">
        <v>155</v>
      </c>
      <c r="T270" t="s">
        <v>153</v>
      </c>
      <c r="U270"/>
    </row>
    <row r="271" spans="1:21" x14ac:dyDescent="0.2">
      <c r="A271">
        <v>694539</v>
      </c>
      <c r="B271" t="s">
        <v>424</v>
      </c>
      <c r="C271">
        <v>14</v>
      </c>
      <c r="D271">
        <v>-1</v>
      </c>
      <c r="E271">
        <v>9</v>
      </c>
      <c r="F271">
        <v>14</v>
      </c>
      <c r="G271">
        <v>50</v>
      </c>
      <c r="H271">
        <v>64</v>
      </c>
      <c r="I271">
        <v>139</v>
      </c>
      <c r="J271">
        <v>19</v>
      </c>
      <c r="K271">
        <v>0.38</v>
      </c>
      <c r="L271">
        <v>1.54</v>
      </c>
      <c r="M271">
        <v>19.8</v>
      </c>
      <c r="N271">
        <v>0.9</v>
      </c>
      <c r="O271" t="s">
        <v>548</v>
      </c>
      <c r="P271" s="368">
        <v>36712</v>
      </c>
      <c r="Q271" t="s">
        <v>151</v>
      </c>
      <c r="R271" t="s">
        <v>840</v>
      </c>
      <c r="S271" t="s">
        <v>155</v>
      </c>
      <c r="T271" t="s">
        <v>153</v>
      </c>
      <c r="U271"/>
    </row>
    <row r="272" spans="1:21" x14ac:dyDescent="0.2">
      <c r="A272">
        <v>556589</v>
      </c>
      <c r="B272" t="s">
        <v>377</v>
      </c>
      <c r="C272">
        <v>15</v>
      </c>
      <c r="D272">
        <v>1</v>
      </c>
      <c r="E272">
        <v>13</v>
      </c>
      <c r="F272">
        <v>15</v>
      </c>
      <c r="G272">
        <v>51</v>
      </c>
      <c r="H272">
        <v>64</v>
      </c>
      <c r="I272">
        <v>134</v>
      </c>
      <c r="J272">
        <v>18.600000000000001</v>
      </c>
      <c r="K272">
        <v>0.38</v>
      </c>
      <c r="L272">
        <v>1.75</v>
      </c>
      <c r="M272">
        <v>19</v>
      </c>
      <c r="N272">
        <v>1</v>
      </c>
      <c r="O272" t="s">
        <v>548</v>
      </c>
      <c r="P272" s="368">
        <v>38398</v>
      </c>
      <c r="Q272" t="s">
        <v>151</v>
      </c>
      <c r="R272" t="s">
        <v>780</v>
      </c>
      <c r="S272" t="s">
        <v>178</v>
      </c>
      <c r="T272" t="s">
        <v>170</v>
      </c>
      <c r="U272"/>
    </row>
    <row r="273" spans="1:21" x14ac:dyDescent="0.2">
      <c r="A273">
        <v>511139</v>
      </c>
      <c r="B273" t="s">
        <v>361</v>
      </c>
      <c r="C273">
        <v>20</v>
      </c>
      <c r="D273">
        <v>4</v>
      </c>
      <c r="E273">
        <v>5</v>
      </c>
      <c r="F273">
        <v>20</v>
      </c>
      <c r="G273">
        <v>30</v>
      </c>
      <c r="H273">
        <v>47</v>
      </c>
      <c r="I273">
        <v>115</v>
      </c>
      <c r="J273">
        <v>16.5</v>
      </c>
      <c r="K273">
        <v>0.38</v>
      </c>
      <c r="L273">
        <v>1.4</v>
      </c>
      <c r="M273">
        <v>17.600000000000001</v>
      </c>
      <c r="N273">
        <v>0.8</v>
      </c>
      <c r="O273" t="s">
        <v>548</v>
      </c>
      <c r="P273" s="368">
        <v>36712</v>
      </c>
      <c r="Q273" t="s">
        <v>151</v>
      </c>
      <c r="R273" t="s">
        <v>756</v>
      </c>
      <c r="S273" t="s">
        <v>152</v>
      </c>
      <c r="T273" t="s">
        <v>197</v>
      </c>
      <c r="U273"/>
    </row>
    <row r="274" spans="1:21" x14ac:dyDescent="0.2">
      <c r="A274">
        <v>475301</v>
      </c>
      <c r="B274" t="s">
        <v>345</v>
      </c>
      <c r="C274">
        <v>17</v>
      </c>
      <c r="D274">
        <v>3</v>
      </c>
      <c r="E274">
        <v>5</v>
      </c>
      <c r="F274">
        <v>17</v>
      </c>
      <c r="G274">
        <v>26</v>
      </c>
      <c r="H274">
        <v>40</v>
      </c>
      <c r="I274">
        <v>98</v>
      </c>
      <c r="J274">
        <v>14.7</v>
      </c>
      <c r="K274">
        <v>0.38</v>
      </c>
      <c r="L274">
        <v>1.4</v>
      </c>
      <c r="M274">
        <v>15</v>
      </c>
      <c r="N274">
        <v>0.8</v>
      </c>
      <c r="O274" t="s">
        <v>548</v>
      </c>
      <c r="P274" s="368">
        <v>36712</v>
      </c>
      <c r="Q274" t="s">
        <v>151</v>
      </c>
      <c r="R274" t="s">
        <v>735</v>
      </c>
      <c r="S274" t="s">
        <v>152</v>
      </c>
      <c r="T274" t="s">
        <v>159</v>
      </c>
      <c r="U274"/>
    </row>
    <row r="275" spans="1:21" x14ac:dyDescent="0.2">
      <c r="A275">
        <v>916354</v>
      </c>
      <c r="B275" t="s">
        <v>1200</v>
      </c>
      <c r="C275"/>
      <c r="D275">
        <v>1</v>
      </c>
      <c r="E275"/>
      <c r="F275"/>
      <c r="G275"/>
      <c r="H275">
        <v>31</v>
      </c>
      <c r="I275">
        <v>76</v>
      </c>
      <c r="J275">
        <v>12</v>
      </c>
      <c r="K275">
        <v>0.38</v>
      </c>
      <c r="L275">
        <v>1.75</v>
      </c>
      <c r="M275">
        <v>20.399999999999999</v>
      </c>
      <c r="N275">
        <v>0.6</v>
      </c>
      <c r="O275" t="s">
        <v>548</v>
      </c>
      <c r="P275" s="368">
        <v>44327</v>
      </c>
      <c r="Q275" t="s">
        <v>151</v>
      </c>
      <c r="R275" t="s">
        <v>1204</v>
      </c>
      <c r="S275" t="s">
        <v>178</v>
      </c>
      <c r="T275" t="s">
        <v>197</v>
      </c>
      <c r="U275"/>
    </row>
    <row r="276" spans="1:21" x14ac:dyDescent="0.2">
      <c r="A276">
        <v>914945</v>
      </c>
      <c r="B276" t="s">
        <v>481</v>
      </c>
      <c r="C276">
        <v>18</v>
      </c>
      <c r="D276">
        <v>4</v>
      </c>
      <c r="E276">
        <v>2</v>
      </c>
      <c r="F276">
        <v>18</v>
      </c>
      <c r="G276">
        <v>28</v>
      </c>
      <c r="H276">
        <v>16</v>
      </c>
      <c r="I276">
        <v>66</v>
      </c>
      <c r="J276">
        <v>10.7</v>
      </c>
      <c r="K276">
        <v>0.38</v>
      </c>
      <c r="L276">
        <v>1.76</v>
      </c>
      <c r="M276">
        <v>14.3</v>
      </c>
      <c r="N276">
        <v>0.4</v>
      </c>
      <c r="O276" t="s">
        <v>548</v>
      </c>
      <c r="P276" s="368">
        <v>37574</v>
      </c>
      <c r="Q276" t="s">
        <v>151</v>
      </c>
      <c r="R276" t="s">
        <v>930</v>
      </c>
      <c r="S276" t="s">
        <v>178</v>
      </c>
      <c r="T276" t="s">
        <v>251</v>
      </c>
      <c r="U276"/>
    </row>
    <row r="277" spans="1:21" x14ac:dyDescent="0.2">
      <c r="A277">
        <v>950774</v>
      </c>
      <c r="B277" t="s">
        <v>489</v>
      </c>
      <c r="C277">
        <v>14</v>
      </c>
      <c r="D277">
        <v>3</v>
      </c>
      <c r="E277">
        <v>2</v>
      </c>
      <c r="F277">
        <v>14</v>
      </c>
      <c r="G277">
        <v>24</v>
      </c>
      <c r="H277">
        <v>15</v>
      </c>
      <c r="I277">
        <v>66</v>
      </c>
      <c r="J277">
        <v>10.7</v>
      </c>
      <c r="K277">
        <v>0.38</v>
      </c>
      <c r="L277">
        <v>1.75</v>
      </c>
      <c r="M277">
        <v>14.7</v>
      </c>
      <c r="N277">
        <v>0.4</v>
      </c>
      <c r="O277" t="s">
        <v>548</v>
      </c>
      <c r="P277" s="368">
        <v>37574</v>
      </c>
      <c r="Q277" t="s">
        <v>151</v>
      </c>
      <c r="R277" t="s">
        <v>942</v>
      </c>
      <c r="S277" t="s">
        <v>178</v>
      </c>
      <c r="T277" t="s">
        <v>169</v>
      </c>
      <c r="U277"/>
    </row>
    <row r="278" spans="1:21" x14ac:dyDescent="0.2">
      <c r="A278">
        <v>449090</v>
      </c>
      <c r="B278" t="s">
        <v>339</v>
      </c>
      <c r="C278">
        <v>19</v>
      </c>
      <c r="D278">
        <v>1</v>
      </c>
      <c r="E278">
        <v>11</v>
      </c>
      <c r="F278">
        <v>19</v>
      </c>
      <c r="G278">
        <v>18</v>
      </c>
      <c r="H278">
        <v>13</v>
      </c>
      <c r="I278">
        <v>51</v>
      </c>
      <c r="J278">
        <v>8.6</v>
      </c>
      <c r="K278">
        <v>0.38</v>
      </c>
      <c r="L278">
        <v>1.76</v>
      </c>
      <c r="M278">
        <v>23.2</v>
      </c>
      <c r="N278">
        <v>0.3</v>
      </c>
      <c r="O278" t="s">
        <v>548</v>
      </c>
      <c r="P278" s="368">
        <v>38398</v>
      </c>
      <c r="Q278" t="s">
        <v>151</v>
      </c>
      <c r="R278" t="s">
        <v>726</v>
      </c>
      <c r="S278" t="s">
        <v>178</v>
      </c>
      <c r="T278" t="s">
        <v>306</v>
      </c>
      <c r="U278"/>
    </row>
    <row r="279" spans="1:21" x14ac:dyDescent="0.2">
      <c r="A279">
        <v>546960</v>
      </c>
      <c r="B279" t="s">
        <v>374</v>
      </c>
      <c r="C279">
        <v>11</v>
      </c>
      <c r="D279">
        <v>1</v>
      </c>
      <c r="E279">
        <v>3</v>
      </c>
      <c r="F279">
        <v>11</v>
      </c>
      <c r="G279">
        <v>20</v>
      </c>
      <c r="H279">
        <v>24</v>
      </c>
      <c r="I279">
        <v>47</v>
      </c>
      <c r="J279">
        <v>8</v>
      </c>
      <c r="K279">
        <v>0.38</v>
      </c>
      <c r="L279">
        <v>1.4</v>
      </c>
      <c r="M279">
        <v>10.1</v>
      </c>
      <c r="N279">
        <v>0.8</v>
      </c>
      <c r="O279" t="s">
        <v>548</v>
      </c>
      <c r="P279" s="368">
        <v>36712</v>
      </c>
      <c r="Q279" t="s">
        <v>151</v>
      </c>
      <c r="R279" t="s">
        <v>775</v>
      </c>
      <c r="S279" t="s">
        <v>152</v>
      </c>
      <c r="T279" t="s">
        <v>183</v>
      </c>
      <c r="U279"/>
    </row>
    <row r="280" spans="1:21" x14ac:dyDescent="0.2">
      <c r="A280">
        <v>123901</v>
      </c>
      <c r="B280" t="s">
        <v>1195</v>
      </c>
      <c r="C280">
        <v>11</v>
      </c>
      <c r="D280">
        <v>1</v>
      </c>
      <c r="E280">
        <v>3</v>
      </c>
      <c r="F280">
        <v>11</v>
      </c>
      <c r="G280">
        <v>19</v>
      </c>
      <c r="H280">
        <v>23</v>
      </c>
      <c r="I280">
        <v>30</v>
      </c>
      <c r="J280">
        <v>5.4</v>
      </c>
      <c r="K280">
        <v>0.38</v>
      </c>
      <c r="L280">
        <v>1.5</v>
      </c>
      <c r="M280">
        <v>10.7</v>
      </c>
      <c r="N280">
        <v>0.7</v>
      </c>
      <c r="O280" t="s">
        <v>548</v>
      </c>
      <c r="P280" s="368">
        <v>42632</v>
      </c>
      <c r="Q280" t="s">
        <v>46</v>
      </c>
      <c r="R280" t="s">
        <v>562</v>
      </c>
      <c r="S280" t="s">
        <v>182</v>
      </c>
      <c r="T280" t="s">
        <v>172</v>
      </c>
      <c r="U280"/>
    </row>
    <row r="281" spans="1:21" x14ac:dyDescent="0.2">
      <c r="A281">
        <v>460899</v>
      </c>
      <c r="B281" t="s">
        <v>1128</v>
      </c>
      <c r="C281">
        <v>-3</v>
      </c>
      <c r="D281">
        <v>-1</v>
      </c>
      <c r="E281">
        <v>0</v>
      </c>
      <c r="F281">
        <v>-3</v>
      </c>
      <c r="G281">
        <v>-2</v>
      </c>
      <c r="H281">
        <v>-8</v>
      </c>
      <c r="I281">
        <v>-5</v>
      </c>
      <c r="J281">
        <v>-1</v>
      </c>
      <c r="K281">
        <v>0.38</v>
      </c>
      <c r="L281">
        <v>1.41</v>
      </c>
      <c r="M281">
        <v>5.9</v>
      </c>
      <c r="N281">
        <v>-0.4</v>
      </c>
      <c r="O281" t="s">
        <v>548</v>
      </c>
      <c r="P281" s="368">
        <v>43963</v>
      </c>
      <c r="Q281" t="s">
        <v>46</v>
      </c>
      <c r="R281" t="s">
        <v>1129</v>
      </c>
      <c r="S281" t="s">
        <v>212</v>
      </c>
      <c r="T281" t="s">
        <v>256</v>
      </c>
      <c r="U281"/>
    </row>
    <row r="282" spans="1:21" x14ac:dyDescent="0.2">
      <c r="A282">
        <v>732959</v>
      </c>
      <c r="B282" t="s">
        <v>1198</v>
      </c>
      <c r="C282"/>
      <c r="D282">
        <v>0</v>
      </c>
      <c r="E282"/>
      <c r="F282"/>
      <c r="G282"/>
      <c r="H282">
        <v>75</v>
      </c>
      <c r="I282"/>
      <c r="J282"/>
      <c r="K282">
        <v>0.38</v>
      </c>
      <c r="L282">
        <v>1.4</v>
      </c>
      <c r="M282">
        <v>19.8</v>
      </c>
      <c r="N282">
        <v>1.1000000000000001</v>
      </c>
      <c r="O282" t="s">
        <v>548</v>
      </c>
      <c r="P282" s="368">
        <v>44327</v>
      </c>
      <c r="Q282" t="s">
        <v>151</v>
      </c>
      <c r="R282" t="s">
        <v>1202</v>
      </c>
      <c r="S282" t="s">
        <v>152</v>
      </c>
      <c r="T282" t="s">
        <v>201</v>
      </c>
      <c r="U282"/>
    </row>
    <row r="283" spans="1:21" x14ac:dyDescent="0.2">
      <c r="A283">
        <v>383159</v>
      </c>
      <c r="B283" t="s">
        <v>1219</v>
      </c>
      <c r="C283"/>
      <c r="D283">
        <v>3</v>
      </c>
      <c r="E283"/>
      <c r="F283"/>
      <c r="G283"/>
      <c r="H283">
        <v>31</v>
      </c>
      <c r="I283">
        <v>101</v>
      </c>
      <c r="J283">
        <v>15</v>
      </c>
      <c r="K283">
        <v>0.39</v>
      </c>
      <c r="L283">
        <v>1.81</v>
      </c>
      <c r="M283">
        <v>22.2</v>
      </c>
      <c r="N283">
        <v>0.5</v>
      </c>
      <c r="O283" t="s">
        <v>556</v>
      </c>
      <c r="P283" s="368">
        <v>44354</v>
      </c>
      <c r="Q283" t="s">
        <v>46</v>
      </c>
      <c r="R283" t="s">
        <v>1238</v>
      </c>
      <c r="S283" t="s">
        <v>178</v>
      </c>
      <c r="T283" t="s">
        <v>306</v>
      </c>
      <c r="U283"/>
    </row>
    <row r="284" spans="1:21" x14ac:dyDescent="0.2">
      <c r="A284">
        <v>861104</v>
      </c>
      <c r="B284" t="s">
        <v>470</v>
      </c>
      <c r="C284">
        <v>15</v>
      </c>
      <c r="D284">
        <v>1</v>
      </c>
      <c r="E284">
        <v>5</v>
      </c>
      <c r="F284">
        <v>15</v>
      </c>
      <c r="G284">
        <v>34</v>
      </c>
      <c r="H284">
        <v>44</v>
      </c>
      <c r="I284">
        <v>93</v>
      </c>
      <c r="J284">
        <v>14</v>
      </c>
      <c r="K284">
        <v>0.39</v>
      </c>
      <c r="L284">
        <v>1.65</v>
      </c>
      <c r="M284">
        <v>16.2</v>
      </c>
      <c r="N284">
        <v>0.8</v>
      </c>
      <c r="O284" t="s">
        <v>548</v>
      </c>
      <c r="P284" s="368">
        <v>43364</v>
      </c>
      <c r="Q284" t="s">
        <v>151</v>
      </c>
      <c r="R284" t="s">
        <v>907</v>
      </c>
      <c r="S284" t="s">
        <v>346</v>
      </c>
      <c r="T284" t="s">
        <v>172</v>
      </c>
      <c r="U284"/>
    </row>
    <row r="285" spans="1:21" x14ac:dyDescent="0.2">
      <c r="A285">
        <v>878520</v>
      </c>
      <c r="B285" t="s">
        <v>474</v>
      </c>
      <c r="C285">
        <v>12</v>
      </c>
      <c r="D285">
        <v>1</v>
      </c>
      <c r="E285">
        <v>5</v>
      </c>
      <c r="F285">
        <v>12</v>
      </c>
      <c r="G285">
        <v>27</v>
      </c>
      <c r="H285">
        <v>34</v>
      </c>
      <c r="I285">
        <v>58</v>
      </c>
      <c r="J285">
        <v>9.6</v>
      </c>
      <c r="K285">
        <v>0.39</v>
      </c>
      <c r="L285">
        <v>1.65</v>
      </c>
      <c r="M285">
        <v>12.5</v>
      </c>
      <c r="N285">
        <v>0.9</v>
      </c>
      <c r="O285" t="s">
        <v>548</v>
      </c>
      <c r="P285" s="368">
        <v>36752</v>
      </c>
      <c r="Q285" t="s">
        <v>151</v>
      </c>
      <c r="R285" t="s">
        <v>915</v>
      </c>
      <c r="S285" t="s">
        <v>346</v>
      </c>
      <c r="T285" t="s">
        <v>172</v>
      </c>
      <c r="U285"/>
    </row>
    <row r="286" spans="1:21" x14ac:dyDescent="0.2">
      <c r="A286">
        <v>408062</v>
      </c>
      <c r="B286" t="s">
        <v>307</v>
      </c>
      <c r="C286">
        <v>10</v>
      </c>
      <c r="D286">
        <v>4</v>
      </c>
      <c r="E286">
        <v>0</v>
      </c>
      <c r="F286">
        <v>10</v>
      </c>
      <c r="G286">
        <v>31</v>
      </c>
      <c r="H286">
        <v>38</v>
      </c>
      <c r="I286">
        <v>104</v>
      </c>
      <c r="J286">
        <v>15.4</v>
      </c>
      <c r="K286">
        <v>0.4</v>
      </c>
      <c r="L286">
        <v>1.86</v>
      </c>
      <c r="M286">
        <v>18.5</v>
      </c>
      <c r="N286">
        <v>0.7</v>
      </c>
      <c r="O286" t="s">
        <v>576</v>
      </c>
      <c r="P286" s="368">
        <v>43733</v>
      </c>
      <c r="Q286" t="s">
        <v>46</v>
      </c>
      <c r="R286" t="s">
        <v>703</v>
      </c>
      <c r="S286" t="s">
        <v>158</v>
      </c>
      <c r="T286" t="s">
        <v>251</v>
      </c>
      <c r="U286"/>
    </row>
    <row r="287" spans="1:21" x14ac:dyDescent="0.2">
      <c r="A287">
        <v>771030</v>
      </c>
      <c r="B287" t="s">
        <v>543</v>
      </c>
      <c r="C287">
        <v>17</v>
      </c>
      <c r="D287">
        <v>6</v>
      </c>
      <c r="E287">
        <v>9</v>
      </c>
      <c r="F287">
        <v>17</v>
      </c>
      <c r="G287">
        <v>29</v>
      </c>
      <c r="H287">
        <v>88</v>
      </c>
      <c r="I287">
        <v>202</v>
      </c>
      <c r="J287">
        <v>24.7</v>
      </c>
      <c r="K287">
        <v>0.41</v>
      </c>
      <c r="L287">
        <v>1.64</v>
      </c>
      <c r="M287">
        <v>17.399999999999999</v>
      </c>
      <c r="N287">
        <v>1.3</v>
      </c>
      <c r="O287" t="s">
        <v>548</v>
      </c>
      <c r="P287" s="368">
        <v>36752</v>
      </c>
      <c r="Q287" t="s">
        <v>151</v>
      </c>
      <c r="R287" t="s">
        <v>871</v>
      </c>
      <c r="S287" t="s">
        <v>346</v>
      </c>
      <c r="T287" t="s">
        <v>224</v>
      </c>
      <c r="U287"/>
    </row>
    <row r="288" spans="1:21" x14ac:dyDescent="0.2">
      <c r="A288">
        <v>842690</v>
      </c>
      <c r="B288" t="s">
        <v>465</v>
      </c>
      <c r="C288">
        <v>12</v>
      </c>
      <c r="D288">
        <v>-1</v>
      </c>
      <c r="E288">
        <v>7</v>
      </c>
      <c r="F288">
        <v>12</v>
      </c>
      <c r="G288">
        <v>49</v>
      </c>
      <c r="H288">
        <v>68</v>
      </c>
      <c r="I288">
        <v>130</v>
      </c>
      <c r="J288">
        <v>18.2</v>
      </c>
      <c r="K288">
        <v>0.41</v>
      </c>
      <c r="L288">
        <v>1.65</v>
      </c>
      <c r="M288">
        <v>22.6</v>
      </c>
      <c r="N288">
        <v>0.9</v>
      </c>
      <c r="O288" t="s">
        <v>548</v>
      </c>
      <c r="P288" s="368">
        <v>36752</v>
      </c>
      <c r="Q288" t="s">
        <v>151</v>
      </c>
      <c r="R288" t="s">
        <v>897</v>
      </c>
      <c r="S288" t="s">
        <v>346</v>
      </c>
      <c r="T288" t="s">
        <v>153</v>
      </c>
      <c r="U288"/>
    </row>
    <row r="289" spans="1:21" x14ac:dyDescent="0.2">
      <c r="A289">
        <v>352872</v>
      </c>
      <c r="B289" t="s">
        <v>299</v>
      </c>
      <c r="C289">
        <v>20</v>
      </c>
      <c r="D289">
        <v>4</v>
      </c>
      <c r="E289">
        <v>5</v>
      </c>
      <c r="F289">
        <v>20</v>
      </c>
      <c r="G289">
        <v>27</v>
      </c>
      <c r="H289">
        <v>51</v>
      </c>
      <c r="I289">
        <v>110</v>
      </c>
      <c r="J289">
        <v>15.9</v>
      </c>
      <c r="K289">
        <v>0.41</v>
      </c>
      <c r="L289">
        <v>0.88</v>
      </c>
      <c r="M289">
        <v>17.3</v>
      </c>
      <c r="N289">
        <v>0.9</v>
      </c>
      <c r="O289" t="s">
        <v>576</v>
      </c>
      <c r="P289" s="368">
        <v>42227</v>
      </c>
      <c r="Q289" t="s">
        <v>46</v>
      </c>
      <c r="R289" t="s">
        <v>675</v>
      </c>
      <c r="S289" t="s">
        <v>199</v>
      </c>
      <c r="T289" t="s">
        <v>197</v>
      </c>
      <c r="U289"/>
    </row>
    <row r="290" spans="1:21" x14ac:dyDescent="0.2">
      <c r="A290">
        <v>806869</v>
      </c>
      <c r="B290" t="s">
        <v>453</v>
      </c>
      <c r="C290">
        <v>21</v>
      </c>
      <c r="D290">
        <v>0</v>
      </c>
      <c r="E290">
        <v>4</v>
      </c>
      <c r="F290">
        <v>21</v>
      </c>
      <c r="G290">
        <v>44</v>
      </c>
      <c r="H290">
        <v>54</v>
      </c>
      <c r="I290">
        <v>100</v>
      </c>
      <c r="J290">
        <v>14.9</v>
      </c>
      <c r="K290">
        <v>0.41</v>
      </c>
      <c r="L290">
        <v>1.66</v>
      </c>
      <c r="M290">
        <v>20.9</v>
      </c>
      <c r="N290">
        <v>0.8</v>
      </c>
      <c r="O290" t="s">
        <v>548</v>
      </c>
      <c r="P290" s="368">
        <v>36752</v>
      </c>
      <c r="Q290" t="s">
        <v>151</v>
      </c>
      <c r="R290" t="s">
        <v>881</v>
      </c>
      <c r="S290" t="s">
        <v>346</v>
      </c>
      <c r="T290" t="s">
        <v>201</v>
      </c>
      <c r="U290"/>
    </row>
    <row r="291" spans="1:21" x14ac:dyDescent="0.2">
      <c r="A291">
        <v>271478</v>
      </c>
      <c r="B291" t="s">
        <v>264</v>
      </c>
      <c r="C291">
        <v>14</v>
      </c>
      <c r="D291">
        <v>1</v>
      </c>
      <c r="E291">
        <v>3</v>
      </c>
      <c r="F291">
        <v>14</v>
      </c>
      <c r="G291">
        <v>27</v>
      </c>
      <c r="H291">
        <v>47</v>
      </c>
      <c r="I291">
        <v>97</v>
      </c>
      <c r="J291">
        <v>14.5</v>
      </c>
      <c r="K291">
        <v>0.41</v>
      </c>
      <c r="L291">
        <v>1.95</v>
      </c>
      <c r="M291">
        <v>15.1</v>
      </c>
      <c r="N291">
        <v>0.9</v>
      </c>
      <c r="O291" t="s">
        <v>548</v>
      </c>
      <c r="P291" s="368">
        <v>42559</v>
      </c>
      <c r="Q291" t="s">
        <v>151</v>
      </c>
      <c r="R291" t="s">
        <v>627</v>
      </c>
      <c r="S291" t="s">
        <v>265</v>
      </c>
      <c r="T291" t="s">
        <v>176</v>
      </c>
      <c r="U291"/>
    </row>
    <row r="292" spans="1:21" x14ac:dyDescent="0.2">
      <c r="A292">
        <v>838383</v>
      </c>
      <c r="B292" t="s">
        <v>462</v>
      </c>
      <c r="C292">
        <v>9</v>
      </c>
      <c r="D292">
        <v>3</v>
      </c>
      <c r="E292">
        <v>-1</v>
      </c>
      <c r="F292">
        <v>9</v>
      </c>
      <c r="G292">
        <v>19</v>
      </c>
      <c r="H292">
        <v>19</v>
      </c>
      <c r="I292">
        <v>56</v>
      </c>
      <c r="J292">
        <v>9.1999999999999993</v>
      </c>
      <c r="K292">
        <v>0.41</v>
      </c>
      <c r="L292">
        <v>1.93</v>
      </c>
      <c r="M292">
        <v>14.1</v>
      </c>
      <c r="N292">
        <v>0.5</v>
      </c>
      <c r="O292" t="s">
        <v>548</v>
      </c>
      <c r="P292" s="368">
        <v>38090</v>
      </c>
      <c r="Q292" t="s">
        <v>151</v>
      </c>
      <c r="R292" t="s">
        <v>893</v>
      </c>
      <c r="S292" t="s">
        <v>234</v>
      </c>
      <c r="T292" t="s">
        <v>251</v>
      </c>
      <c r="U292"/>
    </row>
    <row r="293" spans="1:21" x14ac:dyDescent="0.2">
      <c r="A293">
        <v>146928</v>
      </c>
      <c r="B293" t="s">
        <v>1073</v>
      </c>
      <c r="C293">
        <v>8</v>
      </c>
      <c r="D293">
        <v>0</v>
      </c>
      <c r="E293">
        <v>4</v>
      </c>
      <c r="F293">
        <v>8</v>
      </c>
      <c r="G293">
        <v>38</v>
      </c>
      <c r="H293"/>
      <c r="I293"/>
      <c r="J293"/>
      <c r="K293">
        <v>0.41</v>
      </c>
      <c r="L293">
        <v>1.64</v>
      </c>
      <c r="M293"/>
      <c r="N293"/>
      <c r="O293" t="s">
        <v>548</v>
      </c>
      <c r="P293" s="368">
        <v>43893</v>
      </c>
      <c r="Q293" t="s">
        <v>151</v>
      </c>
      <c r="R293" t="s">
        <v>1105</v>
      </c>
      <c r="S293" t="s">
        <v>346</v>
      </c>
      <c r="T293" t="s">
        <v>201</v>
      </c>
      <c r="U293"/>
    </row>
    <row r="294" spans="1:21" x14ac:dyDescent="0.2">
      <c r="A294">
        <v>259903</v>
      </c>
      <c r="B294" t="s">
        <v>524</v>
      </c>
      <c r="C294">
        <v>19</v>
      </c>
      <c r="D294">
        <v>3</v>
      </c>
      <c r="E294">
        <v>9</v>
      </c>
      <c r="F294">
        <v>19</v>
      </c>
      <c r="G294">
        <v>23</v>
      </c>
      <c r="H294">
        <v>47</v>
      </c>
      <c r="I294">
        <v>126</v>
      </c>
      <c r="J294">
        <v>17.7</v>
      </c>
      <c r="K294">
        <v>0.42</v>
      </c>
      <c r="L294">
        <v>2.0699999999999998</v>
      </c>
      <c r="M294">
        <v>21.1</v>
      </c>
      <c r="N294">
        <v>0.7</v>
      </c>
      <c r="O294" t="s">
        <v>556</v>
      </c>
      <c r="P294" s="368">
        <v>42965</v>
      </c>
      <c r="Q294" t="s">
        <v>46</v>
      </c>
      <c r="R294" t="s">
        <v>621</v>
      </c>
      <c r="S294" t="s">
        <v>178</v>
      </c>
      <c r="T294" t="s">
        <v>253</v>
      </c>
      <c r="U294"/>
    </row>
    <row r="295" spans="1:21" x14ac:dyDescent="0.2">
      <c r="A295">
        <v>302760</v>
      </c>
      <c r="B295" t="s">
        <v>1077</v>
      </c>
      <c r="C295">
        <v>10</v>
      </c>
      <c r="D295">
        <v>2</v>
      </c>
      <c r="E295">
        <v>2</v>
      </c>
      <c r="F295">
        <v>10</v>
      </c>
      <c r="G295">
        <v>16</v>
      </c>
      <c r="H295">
        <v>31</v>
      </c>
      <c r="I295">
        <v>60</v>
      </c>
      <c r="J295">
        <v>9.8000000000000007</v>
      </c>
      <c r="K295">
        <v>0.42</v>
      </c>
      <c r="L295">
        <v>1.77</v>
      </c>
      <c r="M295">
        <v>10.4</v>
      </c>
      <c r="N295">
        <v>0.9</v>
      </c>
      <c r="O295" t="s">
        <v>576</v>
      </c>
      <c r="P295" s="368">
        <v>37995</v>
      </c>
      <c r="Q295" t="s">
        <v>46</v>
      </c>
      <c r="R295" t="s">
        <v>647</v>
      </c>
      <c r="S295" t="s">
        <v>967</v>
      </c>
      <c r="T295" t="s">
        <v>172</v>
      </c>
      <c r="U295"/>
    </row>
    <row r="296" spans="1:21" x14ac:dyDescent="0.2">
      <c r="A296">
        <v>277491</v>
      </c>
      <c r="B296" t="s">
        <v>1076</v>
      </c>
      <c r="C296">
        <v>7</v>
      </c>
      <c r="D296">
        <v>3</v>
      </c>
      <c r="E296">
        <v>0</v>
      </c>
      <c r="F296">
        <v>7</v>
      </c>
      <c r="G296">
        <v>4</v>
      </c>
      <c r="H296">
        <v>12</v>
      </c>
      <c r="I296">
        <v>33</v>
      </c>
      <c r="J296">
        <v>5.8</v>
      </c>
      <c r="K296">
        <v>0.42</v>
      </c>
      <c r="L296">
        <v>1.44</v>
      </c>
      <c r="M296">
        <v>10.6</v>
      </c>
      <c r="N296">
        <v>0.4</v>
      </c>
      <c r="O296" t="s">
        <v>576</v>
      </c>
      <c r="P296" s="368">
        <v>43894</v>
      </c>
      <c r="Q296" t="s">
        <v>46</v>
      </c>
      <c r="R296" t="s">
        <v>1107</v>
      </c>
      <c r="S296" t="s">
        <v>195</v>
      </c>
      <c r="T296" t="s">
        <v>256</v>
      </c>
      <c r="U296"/>
    </row>
    <row r="297" spans="1:21" x14ac:dyDescent="0.2">
      <c r="A297">
        <v>935180</v>
      </c>
      <c r="B297" t="s">
        <v>1205</v>
      </c>
      <c r="C297">
        <v>2</v>
      </c>
      <c r="D297">
        <v>2</v>
      </c>
      <c r="E297">
        <v>2</v>
      </c>
      <c r="F297">
        <v>2</v>
      </c>
      <c r="G297">
        <v>8</v>
      </c>
      <c r="H297">
        <v>7</v>
      </c>
      <c r="I297">
        <v>31</v>
      </c>
      <c r="J297">
        <v>5.5</v>
      </c>
      <c r="K297">
        <v>0.42</v>
      </c>
      <c r="L297">
        <v>1.53</v>
      </c>
      <c r="M297">
        <v>8.1999999999999993</v>
      </c>
      <c r="N297">
        <v>0.3</v>
      </c>
      <c r="O297" t="s">
        <v>556</v>
      </c>
      <c r="P297" s="368">
        <v>44327</v>
      </c>
      <c r="Q297" t="s">
        <v>46</v>
      </c>
      <c r="R297" t="s">
        <v>1206</v>
      </c>
      <c r="S297" t="s">
        <v>974</v>
      </c>
      <c r="T297" t="s">
        <v>256</v>
      </c>
      <c r="U297"/>
    </row>
    <row r="298" spans="1:21" x14ac:dyDescent="0.2">
      <c r="A298">
        <v>717900</v>
      </c>
      <c r="B298" t="s">
        <v>430</v>
      </c>
      <c r="C298">
        <v>4</v>
      </c>
      <c r="D298">
        <v>0</v>
      </c>
      <c r="E298">
        <v>0</v>
      </c>
      <c r="F298">
        <v>4</v>
      </c>
      <c r="G298">
        <v>5</v>
      </c>
      <c r="H298">
        <v>8</v>
      </c>
      <c r="I298">
        <v>28</v>
      </c>
      <c r="J298">
        <v>5.0999999999999996</v>
      </c>
      <c r="K298">
        <v>0.42</v>
      </c>
      <c r="L298">
        <v>1.42</v>
      </c>
      <c r="M298">
        <v>7.8</v>
      </c>
      <c r="N298">
        <v>0.4</v>
      </c>
      <c r="O298" t="s">
        <v>556</v>
      </c>
      <c r="P298" s="368">
        <v>41390</v>
      </c>
      <c r="Q298" t="s">
        <v>46</v>
      </c>
      <c r="R298" t="s">
        <v>847</v>
      </c>
      <c r="S298" t="s">
        <v>255</v>
      </c>
      <c r="T298" t="s">
        <v>192</v>
      </c>
      <c r="U298"/>
    </row>
    <row r="299" spans="1:21" x14ac:dyDescent="0.2">
      <c r="A299">
        <v>129924</v>
      </c>
      <c r="B299" t="s">
        <v>1006</v>
      </c>
      <c r="C299">
        <v>4</v>
      </c>
      <c r="D299">
        <v>1</v>
      </c>
      <c r="E299">
        <v>2</v>
      </c>
      <c r="F299">
        <v>4</v>
      </c>
      <c r="G299">
        <v>10</v>
      </c>
      <c r="H299">
        <v>9</v>
      </c>
      <c r="I299">
        <v>24</v>
      </c>
      <c r="J299">
        <v>4.3</v>
      </c>
      <c r="K299">
        <v>0.42</v>
      </c>
      <c r="L299">
        <v>1.1100000000000001</v>
      </c>
      <c r="M299">
        <v>11</v>
      </c>
      <c r="N299">
        <v>0.3</v>
      </c>
      <c r="O299" t="s">
        <v>548</v>
      </c>
      <c r="P299" s="368">
        <v>43872</v>
      </c>
      <c r="Q299" t="s">
        <v>46</v>
      </c>
      <c r="R299" t="s">
        <v>1020</v>
      </c>
      <c r="S299" t="s">
        <v>393</v>
      </c>
      <c r="T299" t="s">
        <v>163</v>
      </c>
      <c r="U299"/>
    </row>
    <row r="300" spans="1:21" x14ac:dyDescent="0.2">
      <c r="A300">
        <v>606103</v>
      </c>
      <c r="B300" t="s">
        <v>1184</v>
      </c>
      <c r="C300">
        <v>2</v>
      </c>
      <c r="D300">
        <v>0</v>
      </c>
      <c r="E300">
        <v>1</v>
      </c>
      <c r="F300">
        <v>2</v>
      </c>
      <c r="G300">
        <v>8</v>
      </c>
      <c r="H300">
        <v>5</v>
      </c>
      <c r="I300">
        <v>9</v>
      </c>
      <c r="J300">
        <v>1.8</v>
      </c>
      <c r="K300">
        <v>0.42</v>
      </c>
      <c r="L300">
        <v>1.18</v>
      </c>
      <c r="M300">
        <v>8.3000000000000007</v>
      </c>
      <c r="N300">
        <v>0.3</v>
      </c>
      <c r="O300" t="s">
        <v>548</v>
      </c>
      <c r="P300" s="368">
        <v>42346</v>
      </c>
      <c r="Q300" t="s">
        <v>46</v>
      </c>
      <c r="R300" t="s">
        <v>799</v>
      </c>
      <c r="S300" t="s">
        <v>393</v>
      </c>
      <c r="T300" t="s">
        <v>256</v>
      </c>
      <c r="U300"/>
    </row>
    <row r="301" spans="1:21" x14ac:dyDescent="0.2">
      <c r="A301">
        <v>971010</v>
      </c>
      <c r="B301" t="s">
        <v>1134</v>
      </c>
      <c r="C301">
        <v>-3</v>
      </c>
      <c r="D301">
        <v>1</v>
      </c>
      <c r="E301">
        <v>0</v>
      </c>
      <c r="F301">
        <v>-3</v>
      </c>
      <c r="G301">
        <v>1</v>
      </c>
      <c r="H301"/>
      <c r="I301"/>
      <c r="J301"/>
      <c r="K301">
        <v>0.42</v>
      </c>
      <c r="L301">
        <v>1.62</v>
      </c>
      <c r="M301"/>
      <c r="N301"/>
      <c r="O301" t="s">
        <v>548</v>
      </c>
      <c r="P301" s="368">
        <v>43997</v>
      </c>
      <c r="Q301" t="s">
        <v>46</v>
      </c>
      <c r="R301" t="s">
        <v>1135</v>
      </c>
      <c r="S301" t="s">
        <v>974</v>
      </c>
      <c r="T301" t="s">
        <v>192</v>
      </c>
      <c r="U301"/>
    </row>
    <row r="302" spans="1:21" x14ac:dyDescent="0.2">
      <c r="A302">
        <v>163923</v>
      </c>
      <c r="B302" t="s">
        <v>1210</v>
      </c>
      <c r="C302"/>
      <c r="D302">
        <v>7</v>
      </c>
      <c r="E302"/>
      <c r="F302"/>
      <c r="G302"/>
      <c r="H302">
        <v>125</v>
      </c>
      <c r="I302">
        <v>285</v>
      </c>
      <c r="J302">
        <v>30.9</v>
      </c>
      <c r="K302">
        <v>0.43</v>
      </c>
      <c r="L302">
        <v>1.85</v>
      </c>
      <c r="M302">
        <v>18.3</v>
      </c>
      <c r="N302">
        <v>1.6</v>
      </c>
      <c r="O302" t="s">
        <v>548</v>
      </c>
      <c r="P302" s="368">
        <v>44349</v>
      </c>
      <c r="Q302" t="s">
        <v>151</v>
      </c>
      <c r="R302" t="s">
        <v>1236</v>
      </c>
      <c r="S302" t="s">
        <v>155</v>
      </c>
      <c r="T302" t="s">
        <v>159</v>
      </c>
      <c r="U302"/>
    </row>
    <row r="303" spans="1:21" x14ac:dyDescent="0.2">
      <c r="A303">
        <v>989491</v>
      </c>
      <c r="B303" t="s">
        <v>547</v>
      </c>
      <c r="C303">
        <v>17</v>
      </c>
      <c r="D303">
        <v>4</v>
      </c>
      <c r="E303">
        <v>4</v>
      </c>
      <c r="F303">
        <v>17</v>
      </c>
      <c r="G303">
        <v>28</v>
      </c>
      <c r="H303">
        <v>40</v>
      </c>
      <c r="I303">
        <v>69</v>
      </c>
      <c r="J303">
        <v>11.1</v>
      </c>
      <c r="K303">
        <v>0.43</v>
      </c>
      <c r="L303">
        <v>1.81</v>
      </c>
      <c r="M303">
        <v>15</v>
      </c>
      <c r="N303">
        <v>0.8</v>
      </c>
      <c r="O303" t="s">
        <v>556</v>
      </c>
      <c r="P303" s="368">
        <v>39594</v>
      </c>
      <c r="Q303" t="s">
        <v>46</v>
      </c>
      <c r="R303" t="s">
        <v>962</v>
      </c>
      <c r="S303" t="s">
        <v>182</v>
      </c>
      <c r="T303" t="s">
        <v>159</v>
      </c>
      <c r="U303"/>
    </row>
    <row r="304" spans="1:21" x14ac:dyDescent="0.2">
      <c r="A304">
        <v>182759</v>
      </c>
      <c r="B304" t="s">
        <v>1075</v>
      </c>
      <c r="C304">
        <v>14</v>
      </c>
      <c r="D304">
        <v>0</v>
      </c>
      <c r="E304">
        <v>3</v>
      </c>
      <c r="F304">
        <v>14</v>
      </c>
      <c r="G304">
        <v>35</v>
      </c>
      <c r="H304">
        <v>14</v>
      </c>
      <c r="I304"/>
      <c r="J304"/>
      <c r="K304">
        <v>0.43</v>
      </c>
      <c r="L304">
        <v>1.72</v>
      </c>
      <c r="M304">
        <v>21.8</v>
      </c>
      <c r="N304">
        <v>0.3</v>
      </c>
      <c r="O304" t="s">
        <v>548</v>
      </c>
      <c r="P304" s="368">
        <v>43893</v>
      </c>
      <c r="Q304" t="s">
        <v>151</v>
      </c>
      <c r="R304" t="s">
        <v>1106</v>
      </c>
      <c r="S304" t="s">
        <v>346</v>
      </c>
      <c r="T304" t="s">
        <v>170</v>
      </c>
      <c r="U304"/>
    </row>
    <row r="305" spans="1:21" x14ac:dyDescent="0.2">
      <c r="A305">
        <v>450981</v>
      </c>
      <c r="B305" t="s">
        <v>340</v>
      </c>
      <c r="C305">
        <v>26</v>
      </c>
      <c r="D305">
        <v>1</v>
      </c>
      <c r="E305">
        <v>15</v>
      </c>
      <c r="F305">
        <v>26</v>
      </c>
      <c r="G305">
        <v>66</v>
      </c>
      <c r="H305">
        <v>107</v>
      </c>
      <c r="I305">
        <v>186</v>
      </c>
      <c r="J305">
        <v>23.4</v>
      </c>
      <c r="K305">
        <v>0.44</v>
      </c>
      <c r="L305">
        <v>1.2</v>
      </c>
      <c r="M305">
        <v>22.1</v>
      </c>
      <c r="N305">
        <v>1.2</v>
      </c>
      <c r="O305" t="s">
        <v>551</v>
      </c>
      <c r="P305" s="368">
        <v>37363</v>
      </c>
      <c r="Q305" t="s">
        <v>46</v>
      </c>
      <c r="R305" t="s">
        <v>727</v>
      </c>
      <c r="S305" t="s">
        <v>297</v>
      </c>
      <c r="T305" t="s">
        <v>201</v>
      </c>
      <c r="U305"/>
    </row>
    <row r="306" spans="1:21" x14ac:dyDescent="0.2">
      <c r="A306">
        <v>272898</v>
      </c>
      <c r="B306" t="s">
        <v>266</v>
      </c>
      <c r="C306">
        <v>21</v>
      </c>
      <c r="D306">
        <v>-1</v>
      </c>
      <c r="E306">
        <v>11</v>
      </c>
      <c r="F306">
        <v>21</v>
      </c>
      <c r="G306">
        <v>63</v>
      </c>
      <c r="H306">
        <v>83</v>
      </c>
      <c r="I306">
        <v>160</v>
      </c>
      <c r="J306">
        <v>21.1</v>
      </c>
      <c r="K306">
        <v>0.45</v>
      </c>
      <c r="L306">
        <v>1.54</v>
      </c>
      <c r="M306">
        <v>23.6</v>
      </c>
      <c r="N306">
        <v>1</v>
      </c>
      <c r="O306" t="s">
        <v>548</v>
      </c>
      <c r="P306" s="368">
        <v>39629</v>
      </c>
      <c r="Q306" t="s">
        <v>151</v>
      </c>
      <c r="R306" t="s">
        <v>628</v>
      </c>
      <c r="S306" t="s">
        <v>200</v>
      </c>
      <c r="T306" t="s">
        <v>201</v>
      </c>
      <c r="U306"/>
    </row>
    <row r="307" spans="1:21" x14ac:dyDescent="0.2">
      <c r="A307">
        <v>339184</v>
      </c>
      <c r="B307" t="s">
        <v>508</v>
      </c>
      <c r="C307">
        <v>19</v>
      </c>
      <c r="D307">
        <v>2</v>
      </c>
      <c r="E307">
        <v>9</v>
      </c>
      <c r="F307">
        <v>19</v>
      </c>
      <c r="G307">
        <v>42</v>
      </c>
      <c r="H307">
        <v>82</v>
      </c>
      <c r="I307">
        <v>142</v>
      </c>
      <c r="J307">
        <v>19.399999999999999</v>
      </c>
      <c r="K307">
        <v>0.45</v>
      </c>
      <c r="L307">
        <v>1.52</v>
      </c>
      <c r="M307">
        <v>16.2</v>
      </c>
      <c r="N307">
        <v>1.3</v>
      </c>
      <c r="O307" t="s">
        <v>548</v>
      </c>
      <c r="P307" s="368">
        <v>38279</v>
      </c>
      <c r="Q307" t="s">
        <v>151</v>
      </c>
      <c r="R307" t="s">
        <v>670</v>
      </c>
      <c r="S307" t="s">
        <v>200</v>
      </c>
      <c r="T307" t="s">
        <v>201</v>
      </c>
      <c r="U307"/>
    </row>
    <row r="308" spans="1:21" x14ac:dyDescent="0.2">
      <c r="A308">
        <v>249995</v>
      </c>
      <c r="B308" t="s">
        <v>252</v>
      </c>
      <c r="C308">
        <v>21</v>
      </c>
      <c r="D308">
        <v>6</v>
      </c>
      <c r="E308">
        <v>11</v>
      </c>
      <c r="F308">
        <v>21</v>
      </c>
      <c r="G308">
        <v>26</v>
      </c>
      <c r="H308">
        <v>43</v>
      </c>
      <c r="I308">
        <v>86</v>
      </c>
      <c r="J308">
        <v>13.2</v>
      </c>
      <c r="K308">
        <v>0.45</v>
      </c>
      <c r="L308">
        <v>2.54</v>
      </c>
      <c r="M308">
        <v>20.8</v>
      </c>
      <c r="N308">
        <v>0.7</v>
      </c>
      <c r="O308" t="s">
        <v>548</v>
      </c>
      <c r="P308" s="368">
        <v>36712</v>
      </c>
      <c r="Q308" t="s">
        <v>151</v>
      </c>
      <c r="R308" t="s">
        <v>617</v>
      </c>
      <c r="S308" t="s">
        <v>234</v>
      </c>
      <c r="T308" t="s">
        <v>253</v>
      </c>
      <c r="U308"/>
    </row>
    <row r="309" spans="1:21" x14ac:dyDescent="0.2">
      <c r="A309">
        <v>505586</v>
      </c>
      <c r="B309" t="s">
        <v>360</v>
      </c>
      <c r="C309">
        <v>12</v>
      </c>
      <c r="D309">
        <v>3</v>
      </c>
      <c r="E309">
        <v>2</v>
      </c>
      <c r="F309">
        <v>12</v>
      </c>
      <c r="G309">
        <v>37</v>
      </c>
      <c r="H309">
        <v>26</v>
      </c>
      <c r="I309">
        <v>69</v>
      </c>
      <c r="J309">
        <v>11.1</v>
      </c>
      <c r="K309">
        <v>0.45</v>
      </c>
      <c r="L309">
        <v>2.23</v>
      </c>
      <c r="M309">
        <v>21.5</v>
      </c>
      <c r="N309">
        <v>0.5</v>
      </c>
      <c r="O309" t="s">
        <v>548</v>
      </c>
      <c r="P309" s="368">
        <v>38230</v>
      </c>
      <c r="Q309" t="s">
        <v>151</v>
      </c>
      <c r="R309" t="s">
        <v>755</v>
      </c>
      <c r="S309" t="s">
        <v>234</v>
      </c>
      <c r="T309" t="s">
        <v>213</v>
      </c>
      <c r="U309"/>
    </row>
    <row r="310" spans="1:21" x14ac:dyDescent="0.2">
      <c r="A310">
        <v>959502</v>
      </c>
      <c r="B310" t="s">
        <v>546</v>
      </c>
      <c r="C310">
        <v>9</v>
      </c>
      <c r="D310">
        <v>2</v>
      </c>
      <c r="E310">
        <v>3</v>
      </c>
      <c r="F310">
        <v>9</v>
      </c>
      <c r="G310">
        <v>15</v>
      </c>
      <c r="H310">
        <v>19</v>
      </c>
      <c r="I310">
        <v>35</v>
      </c>
      <c r="J310">
        <v>6.1</v>
      </c>
      <c r="K310">
        <v>0.45</v>
      </c>
      <c r="L310">
        <v>1.77</v>
      </c>
      <c r="M310">
        <v>10.199999999999999</v>
      </c>
      <c r="N310">
        <v>0.6</v>
      </c>
      <c r="O310" t="s">
        <v>548</v>
      </c>
      <c r="P310" s="368">
        <v>42936</v>
      </c>
      <c r="Q310" t="s">
        <v>151</v>
      </c>
      <c r="R310" t="s">
        <v>945</v>
      </c>
      <c r="S310" t="s">
        <v>270</v>
      </c>
      <c r="T310" t="s">
        <v>172</v>
      </c>
      <c r="U310"/>
    </row>
    <row r="311" spans="1:21" x14ac:dyDescent="0.2">
      <c r="A311">
        <v>152181</v>
      </c>
      <c r="B311" t="s">
        <v>1138</v>
      </c>
      <c r="C311">
        <v>16</v>
      </c>
      <c r="D311">
        <v>1</v>
      </c>
      <c r="E311">
        <v>13</v>
      </c>
      <c r="F311">
        <v>16</v>
      </c>
      <c r="G311">
        <v>69</v>
      </c>
      <c r="H311">
        <v>124</v>
      </c>
      <c r="I311">
        <v>203</v>
      </c>
      <c r="J311">
        <v>24.8</v>
      </c>
      <c r="K311">
        <v>0.46</v>
      </c>
      <c r="L311">
        <v>1.55</v>
      </c>
      <c r="M311">
        <v>24.4</v>
      </c>
      <c r="N311">
        <v>1.2</v>
      </c>
      <c r="O311" t="s">
        <v>548</v>
      </c>
      <c r="P311" s="368">
        <v>37637</v>
      </c>
      <c r="Q311" t="s">
        <v>151</v>
      </c>
      <c r="R311" t="s">
        <v>571</v>
      </c>
      <c r="S311" t="s">
        <v>200</v>
      </c>
      <c r="T311" t="s">
        <v>153</v>
      </c>
      <c r="U311"/>
    </row>
    <row r="312" spans="1:21" x14ac:dyDescent="0.2">
      <c r="A312">
        <v>759100</v>
      </c>
      <c r="B312" t="s">
        <v>1163</v>
      </c>
      <c r="C312">
        <v>8</v>
      </c>
      <c r="D312">
        <v>2</v>
      </c>
      <c r="E312">
        <v>2</v>
      </c>
      <c r="F312">
        <v>8</v>
      </c>
      <c r="G312">
        <v>32</v>
      </c>
      <c r="H312">
        <v>67</v>
      </c>
      <c r="I312">
        <v>122</v>
      </c>
      <c r="J312">
        <v>17.3</v>
      </c>
      <c r="K312">
        <v>0.47</v>
      </c>
      <c r="L312">
        <v>1.32</v>
      </c>
      <c r="M312">
        <v>14.6</v>
      </c>
      <c r="N312">
        <v>1.3</v>
      </c>
      <c r="O312" t="s">
        <v>551</v>
      </c>
      <c r="P312" s="368">
        <v>42888</v>
      </c>
      <c r="Q312" t="s">
        <v>46</v>
      </c>
      <c r="R312" t="s">
        <v>867</v>
      </c>
      <c r="S312" t="s">
        <v>173</v>
      </c>
      <c r="T312" t="s">
        <v>190</v>
      </c>
      <c r="U312"/>
    </row>
    <row r="313" spans="1:21" x14ac:dyDescent="0.2">
      <c r="A313">
        <v>829945</v>
      </c>
      <c r="B313" t="s">
        <v>1165</v>
      </c>
      <c r="C313">
        <v>10</v>
      </c>
      <c r="D313">
        <v>0</v>
      </c>
      <c r="E313">
        <v>4</v>
      </c>
      <c r="F313">
        <v>10</v>
      </c>
      <c r="G313">
        <v>23</v>
      </c>
      <c r="H313">
        <v>31</v>
      </c>
      <c r="I313">
        <v>49</v>
      </c>
      <c r="J313">
        <v>8.3000000000000007</v>
      </c>
      <c r="K313">
        <v>0.47</v>
      </c>
      <c r="L313">
        <v>1.27</v>
      </c>
      <c r="M313">
        <v>10.4</v>
      </c>
      <c r="N313">
        <v>0.9</v>
      </c>
      <c r="O313" t="s">
        <v>548</v>
      </c>
      <c r="P313" s="368">
        <v>36712</v>
      </c>
      <c r="Q313" t="s">
        <v>46</v>
      </c>
      <c r="R313" t="s">
        <v>889</v>
      </c>
      <c r="S313" t="s">
        <v>991</v>
      </c>
      <c r="T313" t="s">
        <v>183</v>
      </c>
      <c r="U313"/>
    </row>
    <row r="314" spans="1:21" x14ac:dyDescent="0.2">
      <c r="A314">
        <v>447086</v>
      </c>
      <c r="B314" t="s">
        <v>337</v>
      </c>
      <c r="C314">
        <v>5</v>
      </c>
      <c r="D314">
        <v>3</v>
      </c>
      <c r="E314">
        <v>4</v>
      </c>
      <c r="F314">
        <v>5</v>
      </c>
      <c r="G314">
        <v>12</v>
      </c>
      <c r="H314">
        <v>18</v>
      </c>
      <c r="I314">
        <v>33</v>
      </c>
      <c r="J314">
        <v>5.9</v>
      </c>
      <c r="K314">
        <v>0.47</v>
      </c>
      <c r="L314">
        <v>1.31</v>
      </c>
      <c r="M314">
        <v>7.7</v>
      </c>
      <c r="N314">
        <v>0.8</v>
      </c>
      <c r="O314" t="s">
        <v>548</v>
      </c>
      <c r="P314" s="368">
        <v>41011</v>
      </c>
      <c r="Q314" t="s">
        <v>151</v>
      </c>
      <c r="R314" t="s">
        <v>725</v>
      </c>
      <c r="S314" t="s">
        <v>338</v>
      </c>
      <c r="T314" t="s">
        <v>319</v>
      </c>
      <c r="U314"/>
    </row>
    <row r="315" spans="1:21" x14ac:dyDescent="0.2">
      <c r="A315">
        <v>446088</v>
      </c>
      <c r="B315" t="s">
        <v>1084</v>
      </c>
      <c r="C315">
        <v>12</v>
      </c>
      <c r="D315">
        <v>11</v>
      </c>
      <c r="E315">
        <v>11</v>
      </c>
      <c r="F315">
        <v>12</v>
      </c>
      <c r="G315">
        <v>39</v>
      </c>
      <c r="H315">
        <v>132</v>
      </c>
      <c r="I315">
        <v>382</v>
      </c>
      <c r="J315">
        <v>37</v>
      </c>
      <c r="K315">
        <v>0.49</v>
      </c>
      <c r="L315">
        <v>1.81</v>
      </c>
      <c r="M315">
        <v>22.1</v>
      </c>
      <c r="N315">
        <v>1.4</v>
      </c>
      <c r="O315" t="s">
        <v>576</v>
      </c>
      <c r="P315" s="368">
        <v>37995</v>
      </c>
      <c r="Q315" t="s">
        <v>46</v>
      </c>
      <c r="R315" t="s">
        <v>724</v>
      </c>
      <c r="S315" t="s">
        <v>967</v>
      </c>
      <c r="T315" t="s">
        <v>224</v>
      </c>
      <c r="U315"/>
    </row>
    <row r="316" spans="1:21" x14ac:dyDescent="0.2">
      <c r="A316">
        <v>410258</v>
      </c>
      <c r="B316" t="s">
        <v>1083</v>
      </c>
      <c r="C316">
        <v>19</v>
      </c>
      <c r="D316">
        <v>-1</v>
      </c>
      <c r="E316">
        <v>2</v>
      </c>
      <c r="F316">
        <v>19</v>
      </c>
      <c r="G316">
        <v>50</v>
      </c>
      <c r="H316">
        <v>34</v>
      </c>
      <c r="I316">
        <v>139</v>
      </c>
      <c r="J316">
        <v>19.100000000000001</v>
      </c>
      <c r="K316">
        <v>0.49</v>
      </c>
      <c r="L316">
        <v>1.83</v>
      </c>
      <c r="M316">
        <v>26.6</v>
      </c>
      <c r="N316">
        <v>0.5</v>
      </c>
      <c r="O316" t="s">
        <v>576</v>
      </c>
      <c r="P316" s="368">
        <v>37995</v>
      </c>
      <c r="Q316" t="s">
        <v>46</v>
      </c>
      <c r="R316" t="s">
        <v>706</v>
      </c>
      <c r="S316" t="s">
        <v>967</v>
      </c>
      <c r="T316" t="s">
        <v>243</v>
      </c>
      <c r="U316"/>
    </row>
    <row r="317" spans="1:21" x14ac:dyDescent="0.2">
      <c r="A317">
        <v>804385</v>
      </c>
      <c r="B317" t="s">
        <v>1096</v>
      </c>
      <c r="C317">
        <v>21</v>
      </c>
      <c r="D317">
        <v>3</v>
      </c>
      <c r="E317">
        <v>4</v>
      </c>
      <c r="F317">
        <v>21</v>
      </c>
      <c r="G317">
        <v>34</v>
      </c>
      <c r="H317">
        <v>48</v>
      </c>
      <c r="I317">
        <v>124</v>
      </c>
      <c r="J317">
        <v>17.5</v>
      </c>
      <c r="K317">
        <v>0.49</v>
      </c>
      <c r="L317">
        <v>1.81</v>
      </c>
      <c r="M317">
        <v>18</v>
      </c>
      <c r="N317">
        <v>0.8</v>
      </c>
      <c r="O317" t="s">
        <v>576</v>
      </c>
      <c r="P317" s="368">
        <v>37995</v>
      </c>
      <c r="Q317" t="s">
        <v>46</v>
      </c>
      <c r="R317" t="s">
        <v>880</v>
      </c>
      <c r="S317" t="s">
        <v>967</v>
      </c>
      <c r="T317" t="s">
        <v>197</v>
      </c>
      <c r="U317"/>
    </row>
    <row r="318" spans="1:21" x14ac:dyDescent="0.2">
      <c r="A318">
        <v>391896</v>
      </c>
      <c r="B318" t="s">
        <v>1082</v>
      </c>
      <c r="C318">
        <v>11</v>
      </c>
      <c r="D318">
        <v>5</v>
      </c>
      <c r="E318">
        <v>-1</v>
      </c>
      <c r="F318">
        <v>11</v>
      </c>
      <c r="G318">
        <v>29</v>
      </c>
      <c r="H318">
        <v>43</v>
      </c>
      <c r="I318">
        <v>113</v>
      </c>
      <c r="J318">
        <v>16.3</v>
      </c>
      <c r="K318">
        <v>0.49</v>
      </c>
      <c r="L318">
        <v>1.84</v>
      </c>
      <c r="M318">
        <v>18.3</v>
      </c>
      <c r="N318">
        <v>0.7</v>
      </c>
      <c r="O318" t="s">
        <v>576</v>
      </c>
      <c r="P318" s="368">
        <v>40070</v>
      </c>
      <c r="Q318" t="s">
        <v>46</v>
      </c>
      <c r="R318" t="s">
        <v>693</v>
      </c>
      <c r="S318" t="s">
        <v>967</v>
      </c>
      <c r="T318" t="s">
        <v>245</v>
      </c>
      <c r="U318"/>
    </row>
    <row r="319" spans="1:21" x14ac:dyDescent="0.2">
      <c r="A319">
        <v>973263</v>
      </c>
      <c r="B319" t="s">
        <v>1172</v>
      </c>
      <c r="C319">
        <v>20</v>
      </c>
      <c r="D319">
        <v>1</v>
      </c>
      <c r="E319">
        <v>7</v>
      </c>
      <c r="F319">
        <v>20</v>
      </c>
      <c r="G319">
        <v>44</v>
      </c>
      <c r="H319">
        <v>63</v>
      </c>
      <c r="I319">
        <v>106</v>
      </c>
      <c r="J319">
        <v>15.5</v>
      </c>
      <c r="K319">
        <v>0.49</v>
      </c>
      <c r="L319">
        <v>1.32</v>
      </c>
      <c r="M319">
        <v>18.899999999999999</v>
      </c>
      <c r="N319">
        <v>1</v>
      </c>
      <c r="O319" t="s">
        <v>548</v>
      </c>
      <c r="P319" s="368">
        <v>36712</v>
      </c>
      <c r="Q319" t="s">
        <v>46</v>
      </c>
      <c r="R319" t="s">
        <v>950</v>
      </c>
      <c r="S319" t="s">
        <v>991</v>
      </c>
      <c r="T319" t="s">
        <v>201</v>
      </c>
      <c r="U319"/>
    </row>
    <row r="320" spans="1:21" x14ac:dyDescent="0.2">
      <c r="A320">
        <v>374421</v>
      </c>
      <c r="B320" t="s">
        <v>1081</v>
      </c>
      <c r="C320">
        <v>13</v>
      </c>
      <c r="D320">
        <v>5</v>
      </c>
      <c r="E320">
        <v>6</v>
      </c>
      <c r="F320">
        <v>13</v>
      </c>
      <c r="G320">
        <v>11</v>
      </c>
      <c r="H320">
        <v>48</v>
      </c>
      <c r="I320">
        <v>90</v>
      </c>
      <c r="J320">
        <v>13.7</v>
      </c>
      <c r="K320">
        <v>0.49</v>
      </c>
      <c r="L320">
        <v>1.81</v>
      </c>
      <c r="M320">
        <v>14</v>
      </c>
      <c r="N320">
        <v>1</v>
      </c>
      <c r="O320" t="s">
        <v>576</v>
      </c>
      <c r="P320" s="368">
        <v>37995</v>
      </c>
      <c r="Q320" t="s">
        <v>46</v>
      </c>
      <c r="R320" t="s">
        <v>686</v>
      </c>
      <c r="S320" t="s">
        <v>967</v>
      </c>
      <c r="T320" t="s">
        <v>242</v>
      </c>
      <c r="U320"/>
    </row>
    <row r="321" spans="1:21" x14ac:dyDescent="0.2">
      <c r="A321">
        <v>608463</v>
      </c>
      <c r="B321" t="s">
        <v>1089</v>
      </c>
      <c r="C321">
        <v>10</v>
      </c>
      <c r="D321">
        <v>3</v>
      </c>
      <c r="E321">
        <v>-1</v>
      </c>
      <c r="F321">
        <v>10</v>
      </c>
      <c r="G321">
        <v>23</v>
      </c>
      <c r="H321">
        <v>30</v>
      </c>
      <c r="I321">
        <v>85</v>
      </c>
      <c r="J321">
        <v>13.1</v>
      </c>
      <c r="K321">
        <v>0.49</v>
      </c>
      <c r="L321">
        <v>1.83</v>
      </c>
      <c r="M321">
        <v>15.8</v>
      </c>
      <c r="N321">
        <v>0.6</v>
      </c>
      <c r="O321" t="s">
        <v>576</v>
      </c>
      <c r="P321" s="368">
        <v>43893</v>
      </c>
      <c r="Q321" t="s">
        <v>46</v>
      </c>
      <c r="R321" t="s">
        <v>1112</v>
      </c>
      <c r="S321" t="s">
        <v>967</v>
      </c>
      <c r="T321" t="s">
        <v>251</v>
      </c>
      <c r="U321"/>
    </row>
    <row r="322" spans="1:21" x14ac:dyDescent="0.2">
      <c r="A322">
        <v>625236</v>
      </c>
      <c r="B322" t="s">
        <v>1090</v>
      </c>
      <c r="C322">
        <v>25</v>
      </c>
      <c r="D322">
        <v>0</v>
      </c>
      <c r="E322">
        <v>1</v>
      </c>
      <c r="F322">
        <v>25</v>
      </c>
      <c r="G322">
        <v>41</v>
      </c>
      <c r="H322">
        <v>32</v>
      </c>
      <c r="I322">
        <v>77</v>
      </c>
      <c r="J322">
        <v>12.1</v>
      </c>
      <c r="K322">
        <v>0.49</v>
      </c>
      <c r="L322">
        <v>1.83</v>
      </c>
      <c r="M322">
        <v>21.8</v>
      </c>
      <c r="N322">
        <v>0.5</v>
      </c>
      <c r="O322" t="s">
        <v>576</v>
      </c>
      <c r="P322" s="368">
        <v>37995</v>
      </c>
      <c r="Q322" t="s">
        <v>46</v>
      </c>
      <c r="R322" t="s">
        <v>808</v>
      </c>
      <c r="S322" t="s">
        <v>967</v>
      </c>
      <c r="T322" t="s">
        <v>197</v>
      </c>
      <c r="U322"/>
    </row>
    <row r="323" spans="1:21" x14ac:dyDescent="0.2">
      <c r="A323">
        <v>916122</v>
      </c>
      <c r="B323" t="s">
        <v>1100</v>
      </c>
      <c r="C323">
        <v>16</v>
      </c>
      <c r="D323">
        <v>1</v>
      </c>
      <c r="E323">
        <v>8</v>
      </c>
      <c r="F323">
        <v>16</v>
      </c>
      <c r="G323">
        <v>30</v>
      </c>
      <c r="H323">
        <v>28</v>
      </c>
      <c r="I323">
        <v>75</v>
      </c>
      <c r="J323">
        <v>11.8</v>
      </c>
      <c r="K323">
        <v>0.49</v>
      </c>
      <c r="L323">
        <v>1.82</v>
      </c>
      <c r="M323">
        <v>17.899999999999999</v>
      </c>
      <c r="N323">
        <v>0.6</v>
      </c>
      <c r="O323" t="s">
        <v>556</v>
      </c>
      <c r="P323" s="368">
        <v>37995</v>
      </c>
      <c r="Q323" t="s">
        <v>46</v>
      </c>
      <c r="R323" t="s">
        <v>931</v>
      </c>
      <c r="S323" t="s">
        <v>967</v>
      </c>
      <c r="T323" t="s">
        <v>179</v>
      </c>
      <c r="U323"/>
    </row>
    <row r="324" spans="1:21" x14ac:dyDescent="0.2">
      <c r="A324">
        <v>159442</v>
      </c>
      <c r="B324" t="s">
        <v>1074</v>
      </c>
      <c r="C324">
        <v>8</v>
      </c>
      <c r="D324">
        <v>5</v>
      </c>
      <c r="E324">
        <v>-2</v>
      </c>
      <c r="F324">
        <v>8</v>
      </c>
      <c r="G324">
        <v>12</v>
      </c>
      <c r="H324">
        <v>5</v>
      </c>
      <c r="I324">
        <v>58</v>
      </c>
      <c r="J324">
        <v>9.6</v>
      </c>
      <c r="K324">
        <v>0.49</v>
      </c>
      <c r="L324">
        <v>1.84</v>
      </c>
      <c r="M324">
        <v>18.5</v>
      </c>
      <c r="N324">
        <v>0.2</v>
      </c>
      <c r="O324" t="s">
        <v>576</v>
      </c>
      <c r="P324" s="368">
        <v>37995</v>
      </c>
      <c r="Q324" t="s">
        <v>46</v>
      </c>
      <c r="R324" t="s">
        <v>577</v>
      </c>
      <c r="S324" t="s">
        <v>967</v>
      </c>
      <c r="T324" t="s">
        <v>206</v>
      </c>
      <c r="U324"/>
    </row>
    <row r="325" spans="1:21" x14ac:dyDescent="0.2">
      <c r="A325">
        <v>768556</v>
      </c>
      <c r="B325" t="s">
        <v>1095</v>
      </c>
      <c r="C325">
        <v>20</v>
      </c>
      <c r="D325">
        <v>0</v>
      </c>
      <c r="E325">
        <v>1</v>
      </c>
      <c r="F325">
        <v>20</v>
      </c>
      <c r="G325">
        <v>30</v>
      </c>
      <c r="H325">
        <v>23</v>
      </c>
      <c r="I325">
        <v>57</v>
      </c>
      <c r="J325">
        <v>9.5</v>
      </c>
      <c r="K325">
        <v>0.49</v>
      </c>
      <c r="L325">
        <v>1.82</v>
      </c>
      <c r="M325">
        <v>20</v>
      </c>
      <c r="N325">
        <v>0.4</v>
      </c>
      <c r="O325" t="s">
        <v>576</v>
      </c>
      <c r="P325" s="368">
        <v>37995</v>
      </c>
      <c r="Q325" t="s">
        <v>46</v>
      </c>
      <c r="R325" t="s">
        <v>870</v>
      </c>
      <c r="S325" t="s">
        <v>967</v>
      </c>
      <c r="T325" t="s">
        <v>197</v>
      </c>
      <c r="U325"/>
    </row>
    <row r="326" spans="1:21" x14ac:dyDescent="0.2">
      <c r="A326">
        <v>946285</v>
      </c>
      <c r="B326" t="s">
        <v>487</v>
      </c>
      <c r="C326">
        <v>13</v>
      </c>
      <c r="D326">
        <v>4</v>
      </c>
      <c r="E326">
        <v>6</v>
      </c>
      <c r="F326">
        <v>13</v>
      </c>
      <c r="G326">
        <v>19</v>
      </c>
      <c r="H326">
        <v>19</v>
      </c>
      <c r="I326">
        <v>54</v>
      </c>
      <c r="J326">
        <v>9.1</v>
      </c>
      <c r="K326">
        <v>0.49</v>
      </c>
      <c r="L326">
        <v>1.7</v>
      </c>
      <c r="M326">
        <v>13.2</v>
      </c>
      <c r="N326">
        <v>0.5</v>
      </c>
      <c r="O326" t="s">
        <v>548</v>
      </c>
      <c r="P326" s="368">
        <v>40924</v>
      </c>
      <c r="Q326" t="s">
        <v>46</v>
      </c>
      <c r="R326" t="s">
        <v>941</v>
      </c>
      <c r="S326" t="s">
        <v>488</v>
      </c>
      <c r="T326" t="s">
        <v>172</v>
      </c>
      <c r="U326"/>
    </row>
    <row r="327" spans="1:21" x14ac:dyDescent="0.2">
      <c r="A327">
        <v>536806</v>
      </c>
      <c r="B327" t="s">
        <v>1087</v>
      </c>
      <c r="C327">
        <v>26</v>
      </c>
      <c r="D327">
        <v>1</v>
      </c>
      <c r="E327">
        <v>5</v>
      </c>
      <c r="F327">
        <v>26</v>
      </c>
      <c r="G327">
        <v>39</v>
      </c>
      <c r="H327">
        <v>12</v>
      </c>
      <c r="I327">
        <v>52</v>
      </c>
      <c r="J327">
        <v>8.6999999999999993</v>
      </c>
      <c r="K327">
        <v>0.49</v>
      </c>
      <c r="L327">
        <v>1.82</v>
      </c>
      <c r="M327">
        <v>21.1</v>
      </c>
      <c r="N327">
        <v>0.3</v>
      </c>
      <c r="O327" t="s">
        <v>576</v>
      </c>
      <c r="P327" s="368">
        <v>43893</v>
      </c>
      <c r="Q327" t="s">
        <v>46</v>
      </c>
      <c r="R327" t="s">
        <v>1110</v>
      </c>
      <c r="S327" t="s">
        <v>967</v>
      </c>
      <c r="T327" t="s">
        <v>160</v>
      </c>
      <c r="U327"/>
    </row>
    <row r="328" spans="1:21" x14ac:dyDescent="0.2">
      <c r="A328">
        <v>696898</v>
      </c>
      <c r="B328" t="s">
        <v>1093</v>
      </c>
      <c r="C328">
        <v>12</v>
      </c>
      <c r="D328">
        <v>0</v>
      </c>
      <c r="E328">
        <v>3</v>
      </c>
      <c r="F328">
        <v>12</v>
      </c>
      <c r="G328">
        <v>27</v>
      </c>
      <c r="H328">
        <v>14</v>
      </c>
      <c r="I328">
        <v>45</v>
      </c>
      <c r="J328">
        <v>7.7</v>
      </c>
      <c r="K328">
        <v>0.49</v>
      </c>
      <c r="L328">
        <v>1.81</v>
      </c>
      <c r="M328">
        <v>18.899999999999999</v>
      </c>
      <c r="N328">
        <v>0.3</v>
      </c>
      <c r="O328" t="s">
        <v>556</v>
      </c>
      <c r="P328" s="368">
        <v>37995</v>
      </c>
      <c r="Q328" t="s">
        <v>46</v>
      </c>
      <c r="R328" t="s">
        <v>841</v>
      </c>
      <c r="S328" t="s">
        <v>967</v>
      </c>
      <c r="T328" t="s">
        <v>179</v>
      </c>
      <c r="U328"/>
    </row>
    <row r="329" spans="1:21" x14ac:dyDescent="0.2">
      <c r="A329">
        <v>982116</v>
      </c>
      <c r="B329" t="s">
        <v>497</v>
      </c>
      <c r="C329">
        <v>9</v>
      </c>
      <c r="D329">
        <v>3</v>
      </c>
      <c r="E329">
        <v>5</v>
      </c>
      <c r="F329">
        <v>9</v>
      </c>
      <c r="G329">
        <v>13</v>
      </c>
      <c r="H329">
        <v>13</v>
      </c>
      <c r="I329">
        <v>39</v>
      </c>
      <c r="J329">
        <v>6.8</v>
      </c>
      <c r="K329">
        <v>0.49</v>
      </c>
      <c r="L329">
        <v>1.67</v>
      </c>
      <c r="M329">
        <v>10.4</v>
      </c>
      <c r="N329">
        <v>0.4</v>
      </c>
      <c r="O329" t="s">
        <v>548</v>
      </c>
      <c r="P329" s="368">
        <v>40924</v>
      </c>
      <c r="Q329" t="s">
        <v>46</v>
      </c>
      <c r="R329" t="s">
        <v>957</v>
      </c>
      <c r="S329" t="s">
        <v>488</v>
      </c>
      <c r="T329" t="s">
        <v>172</v>
      </c>
      <c r="U329"/>
    </row>
    <row r="330" spans="1:21" x14ac:dyDescent="0.2">
      <c r="A330">
        <v>191676</v>
      </c>
      <c r="B330" t="s">
        <v>148</v>
      </c>
      <c r="C330">
        <v>23</v>
      </c>
      <c r="D330">
        <v>4</v>
      </c>
      <c r="E330">
        <v>5</v>
      </c>
      <c r="F330">
        <v>23</v>
      </c>
      <c r="G330">
        <v>35</v>
      </c>
      <c r="H330">
        <v>74</v>
      </c>
      <c r="I330">
        <v>202</v>
      </c>
      <c r="J330">
        <v>24.8</v>
      </c>
      <c r="K330">
        <v>0.5</v>
      </c>
      <c r="L330">
        <v>1.41</v>
      </c>
      <c r="M330">
        <v>16.5</v>
      </c>
      <c r="N330">
        <v>1.2</v>
      </c>
      <c r="O330" t="s">
        <v>551</v>
      </c>
      <c r="P330" s="368">
        <v>37274</v>
      </c>
      <c r="Q330" t="s">
        <v>46</v>
      </c>
      <c r="R330" t="s">
        <v>593</v>
      </c>
      <c r="S330" t="s">
        <v>173</v>
      </c>
      <c r="T330" t="s">
        <v>224</v>
      </c>
      <c r="U330"/>
    </row>
    <row r="331" spans="1:21" x14ac:dyDescent="0.2">
      <c r="A331">
        <v>687442</v>
      </c>
      <c r="B331" t="s">
        <v>420</v>
      </c>
      <c r="C331">
        <v>4</v>
      </c>
      <c r="D331">
        <v>1</v>
      </c>
      <c r="E331">
        <v>-4</v>
      </c>
      <c r="F331">
        <v>4</v>
      </c>
      <c r="G331">
        <v>67</v>
      </c>
      <c r="H331">
        <v>65</v>
      </c>
      <c r="I331">
        <v>161</v>
      </c>
      <c r="J331">
        <v>21.2</v>
      </c>
      <c r="K331">
        <v>0.5</v>
      </c>
      <c r="L331">
        <v>1.41</v>
      </c>
      <c r="M331">
        <v>34.1</v>
      </c>
      <c r="N331">
        <v>0.7</v>
      </c>
      <c r="O331" t="s">
        <v>551</v>
      </c>
      <c r="P331" s="368">
        <v>42888</v>
      </c>
      <c r="Q331" t="s">
        <v>46</v>
      </c>
      <c r="R331" t="s">
        <v>836</v>
      </c>
      <c r="S331" t="s">
        <v>173</v>
      </c>
      <c r="T331" t="s">
        <v>194</v>
      </c>
      <c r="U331"/>
    </row>
    <row r="332" spans="1:21" x14ac:dyDescent="0.2">
      <c r="A332">
        <v>231100</v>
      </c>
      <c r="B332" t="s">
        <v>969</v>
      </c>
      <c r="C332">
        <v>15</v>
      </c>
      <c r="D332">
        <v>4</v>
      </c>
      <c r="E332">
        <v>2</v>
      </c>
      <c r="F332">
        <v>15</v>
      </c>
      <c r="G332">
        <v>32</v>
      </c>
      <c r="H332">
        <v>50</v>
      </c>
      <c r="I332">
        <v>116</v>
      </c>
      <c r="J332">
        <v>16.600000000000001</v>
      </c>
      <c r="K332">
        <v>0.5</v>
      </c>
      <c r="L332">
        <v>1.86</v>
      </c>
      <c r="M332">
        <v>15.5</v>
      </c>
      <c r="N332">
        <v>1</v>
      </c>
      <c r="O332" t="s">
        <v>576</v>
      </c>
      <c r="P332" s="368">
        <v>37995</v>
      </c>
      <c r="Q332" t="s">
        <v>46</v>
      </c>
      <c r="R332" t="s">
        <v>607</v>
      </c>
      <c r="S332" t="s">
        <v>967</v>
      </c>
      <c r="T332" t="s">
        <v>169</v>
      </c>
      <c r="U332"/>
    </row>
    <row r="333" spans="1:21" x14ac:dyDescent="0.2">
      <c r="A333">
        <v>517508</v>
      </c>
      <c r="B333" t="s">
        <v>363</v>
      </c>
      <c r="C333">
        <v>16</v>
      </c>
      <c r="D333">
        <v>6</v>
      </c>
      <c r="E333">
        <v>7</v>
      </c>
      <c r="F333">
        <v>16</v>
      </c>
      <c r="G333">
        <v>3</v>
      </c>
      <c r="H333">
        <v>32</v>
      </c>
      <c r="I333">
        <v>60</v>
      </c>
      <c r="J333">
        <v>9.8000000000000007</v>
      </c>
      <c r="K333">
        <v>0.5</v>
      </c>
      <c r="L333">
        <v>1.43</v>
      </c>
      <c r="M333">
        <v>13.8</v>
      </c>
      <c r="N333">
        <v>0.7</v>
      </c>
      <c r="O333" t="s">
        <v>551</v>
      </c>
      <c r="P333" s="368">
        <v>41332</v>
      </c>
      <c r="Q333" t="s">
        <v>46</v>
      </c>
      <c r="R333" t="s">
        <v>760</v>
      </c>
      <c r="S333" t="s">
        <v>173</v>
      </c>
      <c r="T333" t="s">
        <v>242</v>
      </c>
      <c r="U333"/>
    </row>
    <row r="334" spans="1:21" x14ac:dyDescent="0.2">
      <c r="A334">
        <v>644294</v>
      </c>
      <c r="B334" t="s">
        <v>1091</v>
      </c>
      <c r="C334">
        <v>22</v>
      </c>
      <c r="D334">
        <v>4</v>
      </c>
      <c r="E334">
        <v>7</v>
      </c>
      <c r="F334">
        <v>22</v>
      </c>
      <c r="G334">
        <v>24</v>
      </c>
      <c r="H334">
        <v>24</v>
      </c>
      <c r="I334">
        <v>41</v>
      </c>
      <c r="J334">
        <v>7.1</v>
      </c>
      <c r="K334">
        <v>0.5</v>
      </c>
      <c r="L334">
        <v>1.87</v>
      </c>
      <c r="M334">
        <v>18.399999999999999</v>
      </c>
      <c r="N334">
        <v>0.5</v>
      </c>
      <c r="O334" t="s">
        <v>576</v>
      </c>
      <c r="P334" s="368">
        <v>43893</v>
      </c>
      <c r="Q334" t="s">
        <v>46</v>
      </c>
      <c r="R334" t="s">
        <v>1113</v>
      </c>
      <c r="S334" t="s">
        <v>967</v>
      </c>
      <c r="T334" t="s">
        <v>259</v>
      </c>
      <c r="U334"/>
    </row>
    <row r="335" spans="1:21" x14ac:dyDescent="0.2">
      <c r="A335">
        <v>242495</v>
      </c>
      <c r="B335" t="s">
        <v>248</v>
      </c>
      <c r="C335">
        <v>7</v>
      </c>
      <c r="D335">
        <v>2</v>
      </c>
      <c r="E335">
        <v>2</v>
      </c>
      <c r="F335">
        <v>7</v>
      </c>
      <c r="G335">
        <v>32</v>
      </c>
      <c r="H335">
        <v>57</v>
      </c>
      <c r="I335">
        <v>110</v>
      </c>
      <c r="J335">
        <v>16</v>
      </c>
      <c r="K335">
        <v>0.51</v>
      </c>
      <c r="L335">
        <v>1.46</v>
      </c>
      <c r="M335">
        <v>16.100000000000001</v>
      </c>
      <c r="N335">
        <v>1</v>
      </c>
      <c r="O335" t="s">
        <v>548</v>
      </c>
      <c r="P335" s="368">
        <v>40196</v>
      </c>
      <c r="Q335" t="s">
        <v>46</v>
      </c>
      <c r="R335" t="s">
        <v>613</v>
      </c>
      <c r="S335" t="s">
        <v>249</v>
      </c>
      <c r="T335" t="s">
        <v>190</v>
      </c>
      <c r="U335"/>
    </row>
    <row r="336" spans="1:21" x14ac:dyDescent="0.2">
      <c r="A336">
        <v>332156</v>
      </c>
      <c r="B336" t="s">
        <v>296</v>
      </c>
      <c r="C336">
        <v>22</v>
      </c>
      <c r="D336">
        <v>2</v>
      </c>
      <c r="E336">
        <v>22</v>
      </c>
      <c r="F336">
        <v>22</v>
      </c>
      <c r="G336">
        <v>51</v>
      </c>
      <c r="H336">
        <v>102</v>
      </c>
      <c r="I336">
        <v>155</v>
      </c>
      <c r="J336">
        <v>20.6</v>
      </c>
      <c r="K336">
        <v>0.52</v>
      </c>
      <c r="L336">
        <v>1.5</v>
      </c>
      <c r="M336">
        <v>23.9</v>
      </c>
      <c r="N336">
        <v>1.1000000000000001</v>
      </c>
      <c r="O336" t="s">
        <v>551</v>
      </c>
      <c r="P336" s="368">
        <v>43706</v>
      </c>
      <c r="Q336" t="s">
        <v>46</v>
      </c>
      <c r="R336" t="s">
        <v>666</v>
      </c>
      <c r="S336" t="s">
        <v>297</v>
      </c>
      <c r="T336" t="s">
        <v>259</v>
      </c>
      <c r="U336"/>
    </row>
    <row r="337" spans="1:21" x14ac:dyDescent="0.2">
      <c r="A337">
        <v>553578</v>
      </c>
      <c r="B337" t="s">
        <v>981</v>
      </c>
      <c r="C337">
        <v>11</v>
      </c>
      <c r="D337">
        <v>4</v>
      </c>
      <c r="E337">
        <v>3</v>
      </c>
      <c r="F337">
        <v>11</v>
      </c>
      <c r="G337">
        <v>45</v>
      </c>
      <c r="H337">
        <v>78</v>
      </c>
      <c r="I337">
        <v>132</v>
      </c>
      <c r="J337">
        <v>18.3</v>
      </c>
      <c r="K337">
        <v>0.52</v>
      </c>
      <c r="L337">
        <v>1.99</v>
      </c>
      <c r="M337">
        <v>16.399999999999999</v>
      </c>
      <c r="N337">
        <v>1.3</v>
      </c>
      <c r="O337" t="s">
        <v>576</v>
      </c>
      <c r="P337" s="368">
        <v>37995</v>
      </c>
      <c r="Q337" t="s">
        <v>46</v>
      </c>
      <c r="R337" t="s">
        <v>778</v>
      </c>
      <c r="S337" t="s">
        <v>967</v>
      </c>
      <c r="T337" t="s">
        <v>160</v>
      </c>
      <c r="U337"/>
    </row>
    <row r="338" spans="1:21" x14ac:dyDescent="0.2">
      <c r="A338">
        <v>328021</v>
      </c>
      <c r="B338" t="s">
        <v>292</v>
      </c>
      <c r="C338">
        <v>18</v>
      </c>
      <c r="D338">
        <v>0</v>
      </c>
      <c r="E338">
        <v>5</v>
      </c>
      <c r="F338">
        <v>18</v>
      </c>
      <c r="G338">
        <v>39</v>
      </c>
      <c r="H338">
        <v>54</v>
      </c>
      <c r="I338">
        <v>114</v>
      </c>
      <c r="J338">
        <v>16.5</v>
      </c>
      <c r="K338">
        <v>0.52</v>
      </c>
      <c r="L338">
        <v>1.2</v>
      </c>
      <c r="M338">
        <v>17</v>
      </c>
      <c r="N338">
        <v>0.9</v>
      </c>
      <c r="O338" t="s">
        <v>548</v>
      </c>
      <c r="P338" s="368">
        <v>41421</v>
      </c>
      <c r="Q338" t="s">
        <v>151</v>
      </c>
      <c r="R338" t="s">
        <v>663</v>
      </c>
      <c r="S338" t="s">
        <v>293</v>
      </c>
      <c r="T338" t="s">
        <v>201</v>
      </c>
      <c r="U338"/>
    </row>
    <row r="339" spans="1:21" x14ac:dyDescent="0.2">
      <c r="A339">
        <v>562421</v>
      </c>
      <c r="B339" t="s">
        <v>379</v>
      </c>
      <c r="C339">
        <v>18</v>
      </c>
      <c r="D339">
        <v>4</v>
      </c>
      <c r="E339">
        <v>7</v>
      </c>
      <c r="F339">
        <v>18</v>
      </c>
      <c r="G339">
        <v>33</v>
      </c>
      <c r="H339">
        <v>55</v>
      </c>
      <c r="I339">
        <v>98</v>
      </c>
      <c r="J339">
        <v>14.7</v>
      </c>
      <c r="K339">
        <v>0.52</v>
      </c>
      <c r="L339">
        <v>1.5</v>
      </c>
      <c r="M339">
        <v>17.399999999999999</v>
      </c>
      <c r="N339">
        <v>0.9</v>
      </c>
      <c r="O339" t="s">
        <v>551</v>
      </c>
      <c r="P339" s="368">
        <v>41604</v>
      </c>
      <c r="Q339" t="s">
        <v>46</v>
      </c>
      <c r="R339" t="s">
        <v>782</v>
      </c>
      <c r="S339" t="s">
        <v>297</v>
      </c>
      <c r="T339" t="s">
        <v>159</v>
      </c>
      <c r="U339"/>
    </row>
    <row r="340" spans="1:21" x14ac:dyDescent="0.2">
      <c r="A340">
        <v>598557</v>
      </c>
      <c r="B340" t="s">
        <v>392</v>
      </c>
      <c r="C340">
        <v>18</v>
      </c>
      <c r="D340">
        <v>1</v>
      </c>
      <c r="E340">
        <v>10</v>
      </c>
      <c r="F340">
        <v>18</v>
      </c>
      <c r="G340">
        <v>43</v>
      </c>
      <c r="H340">
        <v>62</v>
      </c>
      <c r="I340">
        <v>97</v>
      </c>
      <c r="J340">
        <v>14.5</v>
      </c>
      <c r="K340">
        <v>0.52</v>
      </c>
      <c r="L340">
        <v>1.5</v>
      </c>
      <c r="M340">
        <v>18.8</v>
      </c>
      <c r="N340">
        <v>1</v>
      </c>
      <c r="O340" t="s">
        <v>551</v>
      </c>
      <c r="P340" s="368">
        <v>37363</v>
      </c>
      <c r="Q340" t="s">
        <v>46</v>
      </c>
      <c r="R340" t="s">
        <v>797</v>
      </c>
      <c r="S340" t="s">
        <v>297</v>
      </c>
      <c r="T340" t="s">
        <v>190</v>
      </c>
      <c r="U340"/>
    </row>
    <row r="341" spans="1:21" x14ac:dyDescent="0.2">
      <c r="A341">
        <v>562728</v>
      </c>
      <c r="B341" t="s">
        <v>380</v>
      </c>
      <c r="C341">
        <v>24</v>
      </c>
      <c r="D341">
        <v>1</v>
      </c>
      <c r="E341">
        <v>4</v>
      </c>
      <c r="F341">
        <v>24</v>
      </c>
      <c r="G341">
        <v>52</v>
      </c>
      <c r="H341">
        <v>21</v>
      </c>
      <c r="I341">
        <v>91</v>
      </c>
      <c r="J341">
        <v>13.8</v>
      </c>
      <c r="K341">
        <v>0.52</v>
      </c>
      <c r="L341">
        <v>1.5</v>
      </c>
      <c r="M341">
        <v>23.2</v>
      </c>
      <c r="N341">
        <v>0.4</v>
      </c>
      <c r="O341" t="s">
        <v>551</v>
      </c>
      <c r="P341" s="368">
        <v>37363</v>
      </c>
      <c r="Q341" t="s">
        <v>46</v>
      </c>
      <c r="R341" t="s">
        <v>783</v>
      </c>
      <c r="S341" t="s">
        <v>297</v>
      </c>
      <c r="T341" t="s">
        <v>194</v>
      </c>
      <c r="U341"/>
    </row>
    <row r="342" spans="1:21" x14ac:dyDescent="0.2">
      <c r="A342">
        <v>183178</v>
      </c>
      <c r="B342" t="s">
        <v>218</v>
      </c>
      <c r="C342">
        <v>19</v>
      </c>
      <c r="D342">
        <v>0</v>
      </c>
      <c r="E342">
        <v>3</v>
      </c>
      <c r="F342">
        <v>19</v>
      </c>
      <c r="G342">
        <v>45</v>
      </c>
      <c r="H342">
        <v>18</v>
      </c>
      <c r="I342">
        <v>82</v>
      </c>
      <c r="J342">
        <v>12.7</v>
      </c>
      <c r="K342">
        <v>0.52</v>
      </c>
      <c r="L342">
        <v>1.2</v>
      </c>
      <c r="M342">
        <v>23.1</v>
      </c>
      <c r="N342">
        <v>0.4</v>
      </c>
      <c r="O342" t="s">
        <v>551</v>
      </c>
      <c r="P342" s="368">
        <v>37194</v>
      </c>
      <c r="Q342" t="s">
        <v>46</v>
      </c>
      <c r="R342" t="s">
        <v>587</v>
      </c>
      <c r="S342" t="s">
        <v>162</v>
      </c>
      <c r="T342" t="s">
        <v>194</v>
      </c>
      <c r="U342"/>
    </row>
    <row r="343" spans="1:21" x14ac:dyDescent="0.2">
      <c r="A343">
        <v>419101</v>
      </c>
      <c r="B343" t="s">
        <v>326</v>
      </c>
      <c r="C343">
        <v>10</v>
      </c>
      <c r="D343">
        <v>5</v>
      </c>
      <c r="E343">
        <v>3</v>
      </c>
      <c r="F343">
        <v>10</v>
      </c>
      <c r="G343">
        <v>30</v>
      </c>
      <c r="H343">
        <v>18</v>
      </c>
      <c r="I343">
        <v>50</v>
      </c>
      <c r="J343">
        <v>8.5</v>
      </c>
      <c r="K343">
        <v>0.52</v>
      </c>
      <c r="L343">
        <v>1.5</v>
      </c>
      <c r="M343">
        <v>13.8</v>
      </c>
      <c r="N343">
        <v>0.5</v>
      </c>
      <c r="O343" t="s">
        <v>551</v>
      </c>
      <c r="P343" s="368">
        <v>41604</v>
      </c>
      <c r="Q343" t="s">
        <v>46</v>
      </c>
      <c r="R343" t="s">
        <v>710</v>
      </c>
      <c r="S343" t="s">
        <v>297</v>
      </c>
      <c r="T343" t="s">
        <v>169</v>
      </c>
      <c r="U343"/>
    </row>
    <row r="344" spans="1:21" x14ac:dyDescent="0.2">
      <c r="A344">
        <v>280867</v>
      </c>
      <c r="B344" t="s">
        <v>267</v>
      </c>
      <c r="C344">
        <v>16</v>
      </c>
      <c r="D344">
        <v>3</v>
      </c>
      <c r="E344">
        <v>8</v>
      </c>
      <c r="F344">
        <v>16</v>
      </c>
      <c r="G344">
        <v>27</v>
      </c>
      <c r="H344">
        <v>9</v>
      </c>
      <c r="I344">
        <v>44</v>
      </c>
      <c r="J344">
        <v>7.6</v>
      </c>
      <c r="K344">
        <v>0.52</v>
      </c>
      <c r="L344">
        <v>1.5</v>
      </c>
      <c r="M344">
        <v>18.100000000000001</v>
      </c>
      <c r="N344">
        <v>0.3</v>
      </c>
      <c r="O344" t="s">
        <v>551</v>
      </c>
      <c r="P344" s="368">
        <v>38726</v>
      </c>
      <c r="Q344" t="s">
        <v>46</v>
      </c>
      <c r="R344" t="s">
        <v>630</v>
      </c>
      <c r="S344" t="s">
        <v>297</v>
      </c>
      <c r="T344" t="s">
        <v>179</v>
      </c>
      <c r="U344"/>
    </row>
    <row r="345" spans="1:21" x14ac:dyDescent="0.2">
      <c r="A345">
        <v>727057</v>
      </c>
      <c r="B345" t="s">
        <v>435</v>
      </c>
      <c r="C345">
        <v>11</v>
      </c>
      <c r="D345">
        <v>8</v>
      </c>
      <c r="E345">
        <v>11</v>
      </c>
      <c r="F345">
        <v>11</v>
      </c>
      <c r="G345">
        <v>30</v>
      </c>
      <c r="H345">
        <v>67</v>
      </c>
      <c r="I345">
        <v>114</v>
      </c>
      <c r="J345">
        <v>16.5</v>
      </c>
      <c r="K345">
        <v>0.53</v>
      </c>
      <c r="L345">
        <v>1.6</v>
      </c>
      <c r="M345">
        <v>17.399999999999999</v>
      </c>
      <c r="N345">
        <v>1.1000000000000001</v>
      </c>
      <c r="O345" t="s">
        <v>548</v>
      </c>
      <c r="P345" s="368">
        <v>40910</v>
      </c>
      <c r="Q345" t="s">
        <v>151</v>
      </c>
      <c r="R345" t="s">
        <v>854</v>
      </c>
      <c r="S345" t="s">
        <v>338</v>
      </c>
      <c r="T345" t="s">
        <v>204</v>
      </c>
      <c r="U345"/>
    </row>
    <row r="346" spans="1:21" x14ac:dyDescent="0.2">
      <c r="A346">
        <v>300996</v>
      </c>
      <c r="B346" t="s">
        <v>972</v>
      </c>
      <c r="C346">
        <v>14</v>
      </c>
      <c r="D346">
        <v>5</v>
      </c>
      <c r="E346">
        <v>5</v>
      </c>
      <c r="F346">
        <v>14</v>
      </c>
      <c r="G346">
        <v>22</v>
      </c>
      <c r="H346">
        <v>57</v>
      </c>
      <c r="I346">
        <v>113</v>
      </c>
      <c r="J346">
        <v>16.399999999999999</v>
      </c>
      <c r="K346">
        <v>0.53</v>
      </c>
      <c r="L346">
        <v>1.41</v>
      </c>
      <c r="M346">
        <v>17.3</v>
      </c>
      <c r="N346">
        <v>1</v>
      </c>
      <c r="O346" t="s">
        <v>576</v>
      </c>
      <c r="P346" s="368">
        <v>36712</v>
      </c>
      <c r="Q346" t="s">
        <v>46</v>
      </c>
      <c r="R346" t="s">
        <v>645</v>
      </c>
      <c r="S346" t="s">
        <v>966</v>
      </c>
      <c r="T346" t="s">
        <v>197</v>
      </c>
      <c r="U346"/>
    </row>
    <row r="347" spans="1:21" x14ac:dyDescent="0.2">
      <c r="A347">
        <v>303701</v>
      </c>
      <c r="B347" t="s">
        <v>279</v>
      </c>
      <c r="C347">
        <v>14</v>
      </c>
      <c r="D347">
        <v>-1</v>
      </c>
      <c r="E347">
        <v>4</v>
      </c>
      <c r="F347">
        <v>14</v>
      </c>
      <c r="G347">
        <v>30</v>
      </c>
      <c r="H347">
        <v>51</v>
      </c>
      <c r="I347">
        <v>84</v>
      </c>
      <c r="J347">
        <v>13</v>
      </c>
      <c r="K347">
        <v>0.53</v>
      </c>
      <c r="L347">
        <v>3.97</v>
      </c>
      <c r="M347">
        <v>11.5</v>
      </c>
      <c r="N347">
        <v>1.3</v>
      </c>
      <c r="O347" t="s">
        <v>548</v>
      </c>
      <c r="P347" s="368">
        <v>41960</v>
      </c>
      <c r="Q347" t="s">
        <v>151</v>
      </c>
      <c r="R347" t="s">
        <v>648</v>
      </c>
      <c r="S347" t="s">
        <v>280</v>
      </c>
      <c r="T347" t="s">
        <v>172</v>
      </c>
      <c r="U347"/>
    </row>
    <row r="348" spans="1:21" x14ac:dyDescent="0.2">
      <c r="A348">
        <v>987784</v>
      </c>
      <c r="B348" t="s">
        <v>989</v>
      </c>
      <c r="C348">
        <v>24</v>
      </c>
      <c r="D348">
        <v>5</v>
      </c>
      <c r="E348">
        <v>13</v>
      </c>
      <c r="F348">
        <v>24</v>
      </c>
      <c r="G348">
        <v>38</v>
      </c>
      <c r="H348">
        <v>29</v>
      </c>
      <c r="I348">
        <v>80</v>
      </c>
      <c r="J348">
        <v>12.5</v>
      </c>
      <c r="K348">
        <v>0.53</v>
      </c>
      <c r="L348">
        <v>2.04</v>
      </c>
      <c r="M348">
        <v>23.9</v>
      </c>
      <c r="N348">
        <v>0.5</v>
      </c>
      <c r="O348" t="s">
        <v>556</v>
      </c>
      <c r="P348" s="368">
        <v>37995</v>
      </c>
      <c r="Q348" t="s">
        <v>46</v>
      </c>
      <c r="R348" t="s">
        <v>960</v>
      </c>
      <c r="S348" t="s">
        <v>967</v>
      </c>
      <c r="T348" t="s">
        <v>306</v>
      </c>
      <c r="U348"/>
    </row>
    <row r="349" spans="1:21" x14ac:dyDescent="0.2">
      <c r="A349">
        <v>336826</v>
      </c>
      <c r="B349" t="s">
        <v>298</v>
      </c>
      <c r="C349">
        <v>9484</v>
      </c>
      <c r="D349">
        <v>4</v>
      </c>
      <c r="E349">
        <v>10</v>
      </c>
      <c r="F349">
        <v>9484</v>
      </c>
      <c r="G349">
        <v>16</v>
      </c>
      <c r="H349">
        <v>27</v>
      </c>
      <c r="I349">
        <v>75</v>
      </c>
      <c r="J349">
        <v>11.8</v>
      </c>
      <c r="K349">
        <v>0.53</v>
      </c>
      <c r="L349">
        <v>1.4</v>
      </c>
      <c r="M349">
        <v>12.7</v>
      </c>
      <c r="N349">
        <v>0.7</v>
      </c>
      <c r="O349" t="s">
        <v>556</v>
      </c>
      <c r="P349" s="368">
        <v>36712</v>
      </c>
      <c r="Q349" t="s">
        <v>46</v>
      </c>
      <c r="R349" t="s">
        <v>668</v>
      </c>
      <c r="S349" t="s">
        <v>966</v>
      </c>
      <c r="T349" t="s">
        <v>179</v>
      </c>
      <c r="U349"/>
    </row>
    <row r="350" spans="1:21" x14ac:dyDescent="0.2">
      <c r="A350">
        <v>615310</v>
      </c>
      <c r="B350" t="s">
        <v>397</v>
      </c>
      <c r="C350">
        <v>7</v>
      </c>
      <c r="D350">
        <v>5</v>
      </c>
      <c r="E350">
        <v>7</v>
      </c>
      <c r="F350">
        <v>7</v>
      </c>
      <c r="G350">
        <v>19</v>
      </c>
      <c r="H350">
        <v>36</v>
      </c>
      <c r="I350">
        <v>65</v>
      </c>
      <c r="J350">
        <v>10.5</v>
      </c>
      <c r="K350">
        <v>0.53</v>
      </c>
      <c r="L350">
        <v>1.5</v>
      </c>
      <c r="M350">
        <v>11.8</v>
      </c>
      <c r="N350">
        <v>0.9</v>
      </c>
      <c r="O350" t="s">
        <v>548</v>
      </c>
      <c r="P350" s="368">
        <v>40910</v>
      </c>
      <c r="Q350" t="s">
        <v>151</v>
      </c>
      <c r="R350" t="s">
        <v>804</v>
      </c>
      <c r="S350" t="s">
        <v>338</v>
      </c>
      <c r="T350" t="s">
        <v>172</v>
      </c>
      <c r="U350"/>
    </row>
    <row r="351" spans="1:21" x14ac:dyDescent="0.2">
      <c r="A351">
        <v>768499</v>
      </c>
      <c r="B351" t="s">
        <v>1094</v>
      </c>
      <c r="C351">
        <v>15</v>
      </c>
      <c r="D351">
        <v>3</v>
      </c>
      <c r="E351">
        <v>1</v>
      </c>
      <c r="F351">
        <v>15</v>
      </c>
      <c r="G351">
        <v>38</v>
      </c>
      <c r="H351">
        <v>22</v>
      </c>
      <c r="I351">
        <v>60</v>
      </c>
      <c r="J351">
        <v>9.9</v>
      </c>
      <c r="K351">
        <v>0.53</v>
      </c>
      <c r="L351">
        <v>2.02</v>
      </c>
      <c r="M351">
        <v>24.4</v>
      </c>
      <c r="N351">
        <v>0.4</v>
      </c>
      <c r="O351" t="s">
        <v>576</v>
      </c>
      <c r="P351" s="368">
        <v>38985</v>
      </c>
      <c r="Q351" t="s">
        <v>46</v>
      </c>
      <c r="R351" t="s">
        <v>869</v>
      </c>
      <c r="S351" t="s">
        <v>967</v>
      </c>
      <c r="T351" t="s">
        <v>213</v>
      </c>
      <c r="U351"/>
    </row>
    <row r="352" spans="1:21" x14ac:dyDescent="0.2">
      <c r="A352">
        <v>810465</v>
      </c>
      <c r="B352" t="s">
        <v>1124</v>
      </c>
      <c r="C352">
        <v>15</v>
      </c>
      <c r="D352">
        <v>2</v>
      </c>
      <c r="E352">
        <v>5</v>
      </c>
      <c r="F352">
        <v>15</v>
      </c>
      <c r="G352">
        <v>22</v>
      </c>
      <c r="H352">
        <v>28</v>
      </c>
      <c r="I352">
        <v>59</v>
      </c>
      <c r="J352">
        <v>9.6999999999999993</v>
      </c>
      <c r="K352">
        <v>0.53</v>
      </c>
      <c r="L352">
        <v>1.64</v>
      </c>
      <c r="M352">
        <v>15.6</v>
      </c>
      <c r="N352">
        <v>0.6</v>
      </c>
      <c r="O352" t="s">
        <v>556</v>
      </c>
      <c r="P352" s="368">
        <v>37950</v>
      </c>
      <c r="Q352" t="s">
        <v>46</v>
      </c>
      <c r="R352" t="s">
        <v>882</v>
      </c>
      <c r="S352" t="s">
        <v>215</v>
      </c>
      <c r="T352" t="s">
        <v>179</v>
      </c>
      <c r="U352"/>
    </row>
    <row r="353" spans="1:21" x14ac:dyDescent="0.2">
      <c r="A353">
        <v>647669</v>
      </c>
      <c r="B353" t="s">
        <v>982</v>
      </c>
      <c r="C353">
        <v>9</v>
      </c>
      <c r="D353">
        <v>2</v>
      </c>
      <c r="E353">
        <v>4</v>
      </c>
      <c r="F353">
        <v>9</v>
      </c>
      <c r="G353">
        <v>6</v>
      </c>
      <c r="H353">
        <v>25</v>
      </c>
      <c r="I353">
        <v>48</v>
      </c>
      <c r="J353">
        <v>8.1999999999999993</v>
      </c>
      <c r="K353">
        <v>0.53</v>
      </c>
      <c r="L353">
        <v>1.4</v>
      </c>
      <c r="M353">
        <v>9.3000000000000007</v>
      </c>
      <c r="N353">
        <v>0.9</v>
      </c>
      <c r="O353" t="s">
        <v>556</v>
      </c>
      <c r="P353" s="368">
        <v>38740</v>
      </c>
      <c r="Q353" t="s">
        <v>46</v>
      </c>
      <c r="R353" t="s">
        <v>816</v>
      </c>
      <c r="S353" t="s">
        <v>966</v>
      </c>
      <c r="T353" t="s">
        <v>172</v>
      </c>
      <c r="U353"/>
    </row>
    <row r="354" spans="1:21" x14ac:dyDescent="0.2">
      <c r="A354">
        <v>338590</v>
      </c>
      <c r="B354" t="s">
        <v>1079</v>
      </c>
      <c r="C354">
        <v>-6</v>
      </c>
      <c r="D354">
        <v>-11</v>
      </c>
      <c r="E354">
        <v>1</v>
      </c>
      <c r="F354">
        <v>-6</v>
      </c>
      <c r="G354">
        <v>-14</v>
      </c>
      <c r="H354">
        <v>39</v>
      </c>
      <c r="I354">
        <v>8</v>
      </c>
      <c r="J354">
        <v>1.5</v>
      </c>
      <c r="K354">
        <v>0.53</v>
      </c>
      <c r="L354">
        <v>2.0499999999999998</v>
      </c>
      <c r="M354">
        <v>32.4</v>
      </c>
      <c r="N354">
        <v>0.5</v>
      </c>
      <c r="O354" t="s">
        <v>576</v>
      </c>
      <c r="P354" s="368">
        <v>37995</v>
      </c>
      <c r="Q354" t="s">
        <v>46</v>
      </c>
      <c r="R354" t="s">
        <v>669</v>
      </c>
      <c r="S354" t="s">
        <v>967</v>
      </c>
      <c r="T354" t="s">
        <v>160</v>
      </c>
      <c r="U354"/>
    </row>
    <row r="355" spans="1:21" x14ac:dyDescent="0.2">
      <c r="A355">
        <v>422709</v>
      </c>
      <c r="B355" t="s">
        <v>329</v>
      </c>
      <c r="C355">
        <v>14</v>
      </c>
      <c r="D355">
        <v>5</v>
      </c>
      <c r="E355">
        <v>7</v>
      </c>
      <c r="F355">
        <v>14</v>
      </c>
      <c r="G355">
        <v>32</v>
      </c>
      <c r="H355">
        <v>55</v>
      </c>
      <c r="I355">
        <v>129</v>
      </c>
      <c r="J355">
        <v>18</v>
      </c>
      <c r="K355">
        <v>0.54</v>
      </c>
      <c r="L355">
        <v>1.56</v>
      </c>
      <c r="M355">
        <v>15.2</v>
      </c>
      <c r="N355">
        <v>1.1000000000000001</v>
      </c>
      <c r="O355" t="s">
        <v>548</v>
      </c>
      <c r="P355" s="368">
        <v>42331</v>
      </c>
      <c r="Q355" t="s">
        <v>46</v>
      </c>
      <c r="R355" t="s">
        <v>713</v>
      </c>
      <c r="S355" t="s">
        <v>312</v>
      </c>
      <c r="T355" t="s">
        <v>159</v>
      </c>
      <c r="U355"/>
    </row>
    <row r="356" spans="1:21" x14ac:dyDescent="0.2">
      <c r="A356">
        <v>481911</v>
      </c>
      <c r="B356" t="s">
        <v>1085</v>
      </c>
      <c r="C356">
        <v>21</v>
      </c>
      <c r="D356">
        <v>-3</v>
      </c>
      <c r="E356">
        <v>7</v>
      </c>
      <c r="F356">
        <v>21</v>
      </c>
      <c r="G356">
        <v>48</v>
      </c>
      <c r="H356">
        <v>53</v>
      </c>
      <c r="I356">
        <v>120</v>
      </c>
      <c r="J356">
        <v>17.100000000000001</v>
      </c>
      <c r="K356">
        <v>0.54</v>
      </c>
      <c r="L356">
        <v>2.06</v>
      </c>
      <c r="M356">
        <v>21.9</v>
      </c>
      <c r="N356">
        <v>0.8</v>
      </c>
      <c r="O356" t="s">
        <v>576</v>
      </c>
      <c r="P356" s="368">
        <v>37995</v>
      </c>
      <c r="Q356" t="s">
        <v>46</v>
      </c>
      <c r="R356" t="s">
        <v>742</v>
      </c>
      <c r="S356" t="s">
        <v>967</v>
      </c>
      <c r="T356" t="s">
        <v>160</v>
      </c>
      <c r="U356"/>
    </row>
    <row r="357" spans="1:21" x14ac:dyDescent="0.2">
      <c r="A357">
        <v>142679</v>
      </c>
      <c r="B357" t="s">
        <v>1136</v>
      </c>
      <c r="C357">
        <v>1</v>
      </c>
      <c r="D357">
        <v>3</v>
      </c>
      <c r="E357">
        <v>-5</v>
      </c>
      <c r="F357">
        <v>1</v>
      </c>
      <c r="G357">
        <v>7</v>
      </c>
      <c r="H357">
        <v>12</v>
      </c>
      <c r="I357">
        <v>57</v>
      </c>
      <c r="J357">
        <v>9.4</v>
      </c>
      <c r="K357">
        <v>0.54</v>
      </c>
      <c r="L357">
        <v>1.45</v>
      </c>
      <c r="M357">
        <v>14.7</v>
      </c>
      <c r="N357">
        <v>0.3</v>
      </c>
      <c r="O357" t="s">
        <v>583</v>
      </c>
      <c r="P357" s="368">
        <v>44027</v>
      </c>
      <c r="Q357" t="s">
        <v>46</v>
      </c>
      <c r="R357" t="s">
        <v>1137</v>
      </c>
      <c r="S357" t="s">
        <v>966</v>
      </c>
      <c r="T357" t="s">
        <v>206</v>
      </c>
      <c r="U357"/>
    </row>
    <row r="358" spans="1:21" x14ac:dyDescent="0.2">
      <c r="A358">
        <v>320358</v>
      </c>
      <c r="B358" t="s">
        <v>973</v>
      </c>
      <c r="C358">
        <v>11</v>
      </c>
      <c r="D358">
        <v>3</v>
      </c>
      <c r="E358">
        <v>4</v>
      </c>
      <c r="F358">
        <v>11</v>
      </c>
      <c r="G358">
        <v>12</v>
      </c>
      <c r="H358">
        <v>23</v>
      </c>
      <c r="I358">
        <v>53</v>
      </c>
      <c r="J358">
        <v>8.9</v>
      </c>
      <c r="K358">
        <v>0.54</v>
      </c>
      <c r="L358">
        <v>1.44</v>
      </c>
      <c r="M358">
        <v>11.3</v>
      </c>
      <c r="N358">
        <v>0.7</v>
      </c>
      <c r="O358" t="s">
        <v>556</v>
      </c>
      <c r="P358" s="368">
        <v>38335</v>
      </c>
      <c r="Q358" t="s">
        <v>46</v>
      </c>
      <c r="R358" t="s">
        <v>660</v>
      </c>
      <c r="S358" t="s">
        <v>966</v>
      </c>
      <c r="T358" t="s">
        <v>159</v>
      </c>
      <c r="U358"/>
    </row>
    <row r="359" spans="1:21" x14ac:dyDescent="0.2">
      <c r="A359">
        <v>408484</v>
      </c>
      <c r="B359" t="s">
        <v>322</v>
      </c>
      <c r="C359">
        <v>7</v>
      </c>
      <c r="D359">
        <v>2</v>
      </c>
      <c r="E359">
        <v>4</v>
      </c>
      <c r="F359">
        <v>7</v>
      </c>
      <c r="G359">
        <v>4</v>
      </c>
      <c r="H359">
        <v>20</v>
      </c>
      <c r="I359">
        <v>41</v>
      </c>
      <c r="J359">
        <v>7.2</v>
      </c>
      <c r="K359">
        <v>0.54</v>
      </c>
      <c r="L359">
        <v>1.43</v>
      </c>
      <c r="M359">
        <v>9</v>
      </c>
      <c r="N359">
        <v>0.7</v>
      </c>
      <c r="O359" t="s">
        <v>556</v>
      </c>
      <c r="P359" s="368">
        <v>36712</v>
      </c>
      <c r="Q359" t="s">
        <v>46</v>
      </c>
      <c r="R359" t="s">
        <v>704</v>
      </c>
      <c r="S359" t="s">
        <v>966</v>
      </c>
      <c r="T359" t="s">
        <v>183</v>
      </c>
      <c r="U359"/>
    </row>
    <row r="360" spans="1:21" x14ac:dyDescent="0.2">
      <c r="A360">
        <v>444315</v>
      </c>
      <c r="B360" t="s">
        <v>977</v>
      </c>
      <c r="C360">
        <v>5</v>
      </c>
      <c r="D360">
        <v>1</v>
      </c>
      <c r="E360">
        <v>2</v>
      </c>
      <c r="F360">
        <v>5</v>
      </c>
      <c r="G360">
        <v>1</v>
      </c>
      <c r="H360">
        <v>14</v>
      </c>
      <c r="I360">
        <v>28</v>
      </c>
      <c r="J360">
        <v>5.0999999999999996</v>
      </c>
      <c r="K360">
        <v>0.54</v>
      </c>
      <c r="L360">
        <v>1.44</v>
      </c>
      <c r="M360">
        <v>7.7</v>
      </c>
      <c r="N360">
        <v>0.6</v>
      </c>
      <c r="O360" t="s">
        <v>556</v>
      </c>
      <c r="P360" s="368">
        <v>36712</v>
      </c>
      <c r="Q360" t="s">
        <v>46</v>
      </c>
      <c r="R360" t="s">
        <v>723</v>
      </c>
      <c r="S360" t="s">
        <v>966</v>
      </c>
      <c r="T360" t="s">
        <v>183</v>
      </c>
      <c r="U360"/>
    </row>
    <row r="361" spans="1:21" x14ac:dyDescent="0.2">
      <c r="A361">
        <v>517748</v>
      </c>
      <c r="B361" t="s">
        <v>1086</v>
      </c>
      <c r="C361">
        <v>35</v>
      </c>
      <c r="D361">
        <v>6</v>
      </c>
      <c r="E361">
        <v>6</v>
      </c>
      <c r="F361">
        <v>35</v>
      </c>
      <c r="G361">
        <v>30</v>
      </c>
      <c r="H361">
        <v>-27</v>
      </c>
      <c r="I361">
        <v>-9</v>
      </c>
      <c r="J361">
        <v>-1.8</v>
      </c>
      <c r="K361">
        <v>0.54</v>
      </c>
      <c r="L361">
        <v>2.06</v>
      </c>
      <c r="M361">
        <v>32.4</v>
      </c>
      <c r="N361">
        <v>-0.2</v>
      </c>
      <c r="O361" t="s">
        <v>576</v>
      </c>
      <c r="P361" s="368">
        <v>37995</v>
      </c>
      <c r="Q361" t="s">
        <v>46</v>
      </c>
      <c r="R361" t="s">
        <v>761</v>
      </c>
      <c r="S361" t="s">
        <v>967</v>
      </c>
      <c r="T361" t="s">
        <v>160</v>
      </c>
      <c r="U361"/>
    </row>
    <row r="362" spans="1:21" x14ac:dyDescent="0.2">
      <c r="A362">
        <v>285990</v>
      </c>
      <c r="B362" t="s">
        <v>1188</v>
      </c>
      <c r="C362">
        <v>17</v>
      </c>
      <c r="D362">
        <v>6</v>
      </c>
      <c r="E362">
        <v>6</v>
      </c>
      <c r="F362">
        <v>17</v>
      </c>
      <c r="G362">
        <v>27</v>
      </c>
      <c r="H362">
        <v>64</v>
      </c>
      <c r="I362">
        <v>128</v>
      </c>
      <c r="J362">
        <v>18</v>
      </c>
      <c r="K362">
        <v>0.55000000000000004</v>
      </c>
      <c r="L362">
        <v>1.47</v>
      </c>
      <c r="M362">
        <v>16.2</v>
      </c>
      <c r="N362">
        <v>1.1000000000000001</v>
      </c>
      <c r="O362" t="s">
        <v>576</v>
      </c>
      <c r="P362" s="368">
        <v>44027</v>
      </c>
      <c r="Q362" t="s">
        <v>46</v>
      </c>
      <c r="R362" t="s">
        <v>1144</v>
      </c>
      <c r="S362" t="s">
        <v>966</v>
      </c>
      <c r="T362" t="s">
        <v>197</v>
      </c>
      <c r="U362"/>
    </row>
    <row r="363" spans="1:21" x14ac:dyDescent="0.2">
      <c r="A363">
        <v>250167</v>
      </c>
      <c r="B363" t="s">
        <v>1187</v>
      </c>
      <c r="C363">
        <v>17</v>
      </c>
      <c r="D363">
        <v>3</v>
      </c>
      <c r="E363">
        <v>12</v>
      </c>
      <c r="F363">
        <v>17</v>
      </c>
      <c r="G363">
        <v>35</v>
      </c>
      <c r="H363">
        <v>41</v>
      </c>
      <c r="I363">
        <v>95</v>
      </c>
      <c r="J363">
        <v>14.3</v>
      </c>
      <c r="K363">
        <v>0.55000000000000004</v>
      </c>
      <c r="L363">
        <v>1.48</v>
      </c>
      <c r="M363">
        <v>16.7</v>
      </c>
      <c r="N363">
        <v>0.8</v>
      </c>
      <c r="O363" t="s">
        <v>556</v>
      </c>
      <c r="P363" s="368">
        <v>44027</v>
      </c>
      <c r="Q363" t="s">
        <v>46</v>
      </c>
      <c r="R363" t="s">
        <v>1143</v>
      </c>
      <c r="S363" t="s">
        <v>966</v>
      </c>
      <c r="T363" t="s">
        <v>170</v>
      </c>
      <c r="U363"/>
    </row>
    <row r="364" spans="1:21" x14ac:dyDescent="0.2">
      <c r="A364">
        <v>118000</v>
      </c>
      <c r="B364" t="s">
        <v>174</v>
      </c>
      <c r="C364">
        <v>11</v>
      </c>
      <c r="D364">
        <v>3</v>
      </c>
      <c r="E364">
        <v>4</v>
      </c>
      <c r="F364">
        <v>11</v>
      </c>
      <c r="G364">
        <v>10</v>
      </c>
      <c r="H364">
        <v>30</v>
      </c>
      <c r="I364">
        <v>58</v>
      </c>
      <c r="J364">
        <v>9.5</v>
      </c>
      <c r="K364">
        <v>0.55000000000000004</v>
      </c>
      <c r="L364">
        <v>1.46</v>
      </c>
      <c r="M364">
        <v>11.4</v>
      </c>
      <c r="N364">
        <v>0.8</v>
      </c>
      <c r="O364" t="s">
        <v>556</v>
      </c>
      <c r="P364" s="368">
        <v>40091</v>
      </c>
      <c r="Q364" t="s">
        <v>46</v>
      </c>
      <c r="R364" t="s">
        <v>559</v>
      </c>
      <c r="S364" t="s">
        <v>966</v>
      </c>
      <c r="T364" t="s">
        <v>159</v>
      </c>
      <c r="U364"/>
    </row>
    <row r="365" spans="1:21" x14ac:dyDescent="0.2">
      <c r="A365">
        <v>321828</v>
      </c>
      <c r="B365" t="s">
        <v>1145</v>
      </c>
      <c r="C365">
        <v>8</v>
      </c>
      <c r="D365">
        <v>1</v>
      </c>
      <c r="E365">
        <v>-2</v>
      </c>
      <c r="F365">
        <v>8</v>
      </c>
      <c r="G365">
        <v>13</v>
      </c>
      <c r="H365">
        <v>15</v>
      </c>
      <c r="I365">
        <v>43</v>
      </c>
      <c r="J365">
        <v>7.4</v>
      </c>
      <c r="K365">
        <v>0.55000000000000004</v>
      </c>
      <c r="L365">
        <v>1.47</v>
      </c>
      <c r="M365">
        <v>13.3</v>
      </c>
      <c r="N365">
        <v>0.4</v>
      </c>
      <c r="O365" t="s">
        <v>576</v>
      </c>
      <c r="P365" s="368">
        <v>44027</v>
      </c>
      <c r="Q365" t="s">
        <v>46</v>
      </c>
      <c r="R365" t="s">
        <v>1146</v>
      </c>
      <c r="S365" t="s">
        <v>966</v>
      </c>
      <c r="T365" t="s">
        <v>251</v>
      </c>
      <c r="U365"/>
    </row>
    <row r="366" spans="1:21" x14ac:dyDescent="0.2">
      <c r="A366">
        <v>661066</v>
      </c>
      <c r="B366" t="s">
        <v>1092</v>
      </c>
      <c r="C366">
        <v>9</v>
      </c>
      <c r="D366">
        <v>7</v>
      </c>
      <c r="E366">
        <v>12</v>
      </c>
      <c r="F366">
        <v>9</v>
      </c>
      <c r="G366">
        <v>24</v>
      </c>
      <c r="H366">
        <v>6</v>
      </c>
      <c r="I366">
        <v>27</v>
      </c>
      <c r="J366">
        <v>5</v>
      </c>
      <c r="K366">
        <v>0.55000000000000004</v>
      </c>
      <c r="L366">
        <v>2.11</v>
      </c>
      <c r="M366">
        <v>29.5</v>
      </c>
      <c r="N366">
        <v>0.2</v>
      </c>
      <c r="O366" t="s">
        <v>576</v>
      </c>
      <c r="P366" s="368">
        <v>37995</v>
      </c>
      <c r="Q366" t="s">
        <v>46</v>
      </c>
      <c r="R366" t="s">
        <v>825</v>
      </c>
      <c r="S366" t="s">
        <v>967</v>
      </c>
      <c r="T366" t="s">
        <v>229</v>
      </c>
      <c r="U366"/>
    </row>
    <row r="367" spans="1:21" x14ac:dyDescent="0.2">
      <c r="A367">
        <v>153833</v>
      </c>
      <c r="B367" t="s">
        <v>203</v>
      </c>
      <c r="C367">
        <v>8</v>
      </c>
      <c r="D367">
        <v>2</v>
      </c>
      <c r="E367">
        <v>0</v>
      </c>
      <c r="F367">
        <v>8</v>
      </c>
      <c r="G367">
        <v>8</v>
      </c>
      <c r="H367">
        <v>8</v>
      </c>
      <c r="I367">
        <v>18</v>
      </c>
      <c r="J367">
        <v>3.4</v>
      </c>
      <c r="K367">
        <v>0.55000000000000004</v>
      </c>
      <c r="L367">
        <v>1.47</v>
      </c>
      <c r="M367">
        <v>10.7</v>
      </c>
      <c r="N367">
        <v>0.3</v>
      </c>
      <c r="O367" t="s">
        <v>556</v>
      </c>
      <c r="P367" s="368">
        <v>40091</v>
      </c>
      <c r="Q367" t="s">
        <v>46</v>
      </c>
      <c r="R367" t="s">
        <v>574</v>
      </c>
      <c r="S367" t="s">
        <v>966</v>
      </c>
      <c r="T367" t="s">
        <v>204</v>
      </c>
      <c r="U367"/>
    </row>
    <row r="368" spans="1:21" x14ac:dyDescent="0.2">
      <c r="A368">
        <v>901181</v>
      </c>
      <c r="B368" t="s">
        <v>1168</v>
      </c>
      <c r="C368">
        <v>16</v>
      </c>
      <c r="D368">
        <v>3</v>
      </c>
      <c r="E368">
        <v>7</v>
      </c>
      <c r="F368">
        <v>16</v>
      </c>
      <c r="G368">
        <v>23</v>
      </c>
      <c r="H368"/>
      <c r="I368"/>
      <c r="J368"/>
      <c r="K368">
        <v>0.55000000000000004</v>
      </c>
      <c r="L368">
        <v>1.53</v>
      </c>
      <c r="M368"/>
      <c r="N368"/>
      <c r="O368" t="s">
        <v>548</v>
      </c>
      <c r="P368" s="368">
        <v>43518</v>
      </c>
      <c r="Q368" t="s">
        <v>46</v>
      </c>
      <c r="R368" t="s">
        <v>924</v>
      </c>
      <c r="S368" t="s">
        <v>991</v>
      </c>
      <c r="T368" t="s">
        <v>179</v>
      </c>
      <c r="U368"/>
    </row>
    <row r="369" spans="1:21" x14ac:dyDescent="0.2">
      <c r="A369">
        <v>420463</v>
      </c>
      <c r="B369" t="s">
        <v>327</v>
      </c>
      <c r="C369">
        <v>16</v>
      </c>
      <c r="D369">
        <v>-1</v>
      </c>
      <c r="E369">
        <v>11</v>
      </c>
      <c r="F369">
        <v>16</v>
      </c>
      <c r="G369">
        <v>72</v>
      </c>
      <c r="H369">
        <v>129</v>
      </c>
      <c r="I369">
        <v>192</v>
      </c>
      <c r="J369">
        <v>23.9</v>
      </c>
      <c r="K369">
        <v>0.56000000000000005</v>
      </c>
      <c r="L369">
        <v>1.6</v>
      </c>
      <c r="M369">
        <v>22.6</v>
      </c>
      <c r="N369">
        <v>1.3</v>
      </c>
      <c r="O369" t="s">
        <v>548</v>
      </c>
      <c r="P369" s="368">
        <v>39699</v>
      </c>
      <c r="Q369" t="s">
        <v>46</v>
      </c>
      <c r="R369" t="s">
        <v>711</v>
      </c>
      <c r="S369" t="s">
        <v>240</v>
      </c>
      <c r="T369" t="s">
        <v>153</v>
      </c>
      <c r="U369"/>
    </row>
    <row r="370" spans="1:21" x14ac:dyDescent="0.2">
      <c r="A370">
        <v>668269</v>
      </c>
      <c r="B370" t="s">
        <v>415</v>
      </c>
      <c r="C370">
        <v>13</v>
      </c>
      <c r="D370">
        <v>-2</v>
      </c>
      <c r="E370">
        <v>3</v>
      </c>
      <c r="F370">
        <v>13</v>
      </c>
      <c r="G370">
        <v>41</v>
      </c>
      <c r="H370">
        <v>53</v>
      </c>
      <c r="I370">
        <v>112</v>
      </c>
      <c r="J370">
        <v>16.2</v>
      </c>
      <c r="K370">
        <v>0.56000000000000005</v>
      </c>
      <c r="L370">
        <v>1.6</v>
      </c>
      <c r="M370">
        <v>19.100000000000001</v>
      </c>
      <c r="N370">
        <v>0.8</v>
      </c>
      <c r="O370" t="s">
        <v>556</v>
      </c>
      <c r="P370" s="368">
        <v>39272</v>
      </c>
      <c r="Q370" t="s">
        <v>46</v>
      </c>
      <c r="R370" t="s">
        <v>829</v>
      </c>
      <c r="S370" t="s">
        <v>240</v>
      </c>
      <c r="T370" t="s">
        <v>190</v>
      </c>
      <c r="U370"/>
    </row>
    <row r="371" spans="1:21" x14ac:dyDescent="0.2">
      <c r="A371">
        <v>184416</v>
      </c>
      <c r="B371" t="s">
        <v>220</v>
      </c>
      <c r="C371">
        <v>16</v>
      </c>
      <c r="D371">
        <v>-2</v>
      </c>
      <c r="E371">
        <v>6</v>
      </c>
      <c r="F371">
        <v>16</v>
      </c>
      <c r="G371">
        <v>48</v>
      </c>
      <c r="H371">
        <v>54</v>
      </c>
      <c r="I371">
        <v>93</v>
      </c>
      <c r="J371">
        <v>14</v>
      </c>
      <c r="K371">
        <v>0.56000000000000005</v>
      </c>
      <c r="L371">
        <v>1.6</v>
      </c>
      <c r="M371">
        <v>21.4</v>
      </c>
      <c r="N371">
        <v>0.8</v>
      </c>
      <c r="O371" t="s">
        <v>548</v>
      </c>
      <c r="P371" s="368">
        <v>36712</v>
      </c>
      <c r="Q371" t="s">
        <v>151</v>
      </c>
      <c r="R371" t="s">
        <v>589</v>
      </c>
      <c r="S371" t="s">
        <v>165</v>
      </c>
      <c r="T371" t="s">
        <v>153</v>
      </c>
      <c r="U371"/>
    </row>
    <row r="372" spans="1:21" x14ac:dyDescent="0.2">
      <c r="A372">
        <v>117176</v>
      </c>
      <c r="B372" t="s">
        <v>1157</v>
      </c>
      <c r="C372">
        <v>7</v>
      </c>
      <c r="D372">
        <v>5</v>
      </c>
      <c r="E372">
        <v>3</v>
      </c>
      <c r="F372">
        <v>7</v>
      </c>
      <c r="G372">
        <v>32</v>
      </c>
      <c r="H372">
        <v>32</v>
      </c>
      <c r="I372">
        <v>88</v>
      </c>
      <c r="J372">
        <v>13.4</v>
      </c>
      <c r="K372">
        <v>0.56000000000000005</v>
      </c>
      <c r="L372">
        <v>1.64</v>
      </c>
      <c r="M372">
        <v>16.600000000000001</v>
      </c>
      <c r="N372">
        <v>0.6</v>
      </c>
      <c r="O372" t="s">
        <v>551</v>
      </c>
      <c r="P372" s="368">
        <v>43698</v>
      </c>
      <c r="Q372" t="s">
        <v>46</v>
      </c>
      <c r="R372" t="s">
        <v>558</v>
      </c>
      <c r="S372" t="s">
        <v>173</v>
      </c>
      <c r="T372" t="s">
        <v>169</v>
      </c>
      <c r="U372"/>
    </row>
    <row r="373" spans="1:21" x14ac:dyDescent="0.2">
      <c r="A373">
        <v>793109</v>
      </c>
      <c r="B373" t="s">
        <v>452</v>
      </c>
      <c r="C373">
        <v>19</v>
      </c>
      <c r="D373">
        <v>1</v>
      </c>
      <c r="E373">
        <v>1</v>
      </c>
      <c r="F373">
        <v>19</v>
      </c>
      <c r="G373">
        <v>32</v>
      </c>
      <c r="H373">
        <v>34</v>
      </c>
      <c r="I373">
        <v>84</v>
      </c>
      <c r="J373">
        <v>13</v>
      </c>
      <c r="K373">
        <v>0.56000000000000005</v>
      </c>
      <c r="L373">
        <v>1.6</v>
      </c>
      <c r="M373">
        <v>18.5</v>
      </c>
      <c r="N373">
        <v>0.6</v>
      </c>
      <c r="O373" t="s">
        <v>548</v>
      </c>
      <c r="P373" s="368">
        <v>42929</v>
      </c>
      <c r="Q373" t="s">
        <v>46</v>
      </c>
      <c r="R373" t="s">
        <v>879</v>
      </c>
      <c r="S373" t="s">
        <v>240</v>
      </c>
      <c r="T373" t="s">
        <v>159</v>
      </c>
      <c r="U373"/>
    </row>
    <row r="374" spans="1:21" x14ac:dyDescent="0.2">
      <c r="A374">
        <v>764951</v>
      </c>
      <c r="B374" t="s">
        <v>446</v>
      </c>
      <c r="C374">
        <v>22</v>
      </c>
      <c r="D374">
        <v>1</v>
      </c>
      <c r="E374">
        <v>6</v>
      </c>
      <c r="F374">
        <v>22</v>
      </c>
      <c r="G374">
        <v>42</v>
      </c>
      <c r="H374">
        <v>32</v>
      </c>
      <c r="I374">
        <v>73</v>
      </c>
      <c r="J374">
        <v>11.6</v>
      </c>
      <c r="K374">
        <v>0.56000000000000005</v>
      </c>
      <c r="L374">
        <v>1.6</v>
      </c>
      <c r="M374">
        <v>21</v>
      </c>
      <c r="N374">
        <v>0.6</v>
      </c>
      <c r="O374" t="s">
        <v>556</v>
      </c>
      <c r="P374" s="368">
        <v>37246</v>
      </c>
      <c r="Q374" t="s">
        <v>46</v>
      </c>
      <c r="R374" t="s">
        <v>868</v>
      </c>
      <c r="S374" t="s">
        <v>240</v>
      </c>
      <c r="T374" t="s">
        <v>179</v>
      </c>
      <c r="U374"/>
    </row>
    <row r="375" spans="1:21" x14ac:dyDescent="0.2">
      <c r="A375">
        <v>214338</v>
      </c>
      <c r="B375" t="s">
        <v>1141</v>
      </c>
      <c r="C375">
        <v>8</v>
      </c>
      <c r="D375">
        <v>3</v>
      </c>
      <c r="E375">
        <v>1</v>
      </c>
      <c r="F375">
        <v>8</v>
      </c>
      <c r="G375">
        <v>5</v>
      </c>
      <c r="H375">
        <v>28</v>
      </c>
      <c r="I375">
        <v>54</v>
      </c>
      <c r="J375">
        <v>9</v>
      </c>
      <c r="K375">
        <v>0.56000000000000005</v>
      </c>
      <c r="L375">
        <v>1.54</v>
      </c>
      <c r="M375">
        <v>10.4</v>
      </c>
      <c r="N375">
        <v>0.9</v>
      </c>
      <c r="O375" t="s">
        <v>576</v>
      </c>
      <c r="P375" s="368">
        <v>44027</v>
      </c>
      <c r="Q375" t="s">
        <v>46</v>
      </c>
      <c r="R375" t="s">
        <v>1142</v>
      </c>
      <c r="S375" t="s">
        <v>966</v>
      </c>
      <c r="T375" t="s">
        <v>172</v>
      </c>
      <c r="U375"/>
    </row>
    <row r="376" spans="1:21" x14ac:dyDescent="0.2">
      <c r="A376">
        <v>852079</v>
      </c>
      <c r="B376" t="s">
        <v>468</v>
      </c>
      <c r="C376">
        <v>11</v>
      </c>
      <c r="D376">
        <v>0</v>
      </c>
      <c r="E376">
        <v>6</v>
      </c>
      <c r="F376">
        <v>11</v>
      </c>
      <c r="G376">
        <v>17</v>
      </c>
      <c r="H376">
        <v>8</v>
      </c>
      <c r="I376">
        <v>37</v>
      </c>
      <c r="J376">
        <v>6.5</v>
      </c>
      <c r="K376">
        <v>0.56000000000000005</v>
      </c>
      <c r="L376">
        <v>1.3</v>
      </c>
      <c r="M376">
        <v>19.3</v>
      </c>
      <c r="N376">
        <v>0.2</v>
      </c>
      <c r="O376" t="s">
        <v>556</v>
      </c>
      <c r="P376" s="368">
        <v>42130</v>
      </c>
      <c r="Q376" t="s">
        <v>46</v>
      </c>
      <c r="R376" t="s">
        <v>903</v>
      </c>
      <c r="S376" t="s">
        <v>439</v>
      </c>
      <c r="T376" t="s">
        <v>259</v>
      </c>
      <c r="U376"/>
    </row>
    <row r="377" spans="1:21" x14ac:dyDescent="0.2">
      <c r="A377">
        <v>480145</v>
      </c>
      <c r="B377" t="s">
        <v>349</v>
      </c>
      <c r="C377">
        <v>2</v>
      </c>
      <c r="D377">
        <v>0</v>
      </c>
      <c r="E377">
        <v>1</v>
      </c>
      <c r="F377">
        <v>2</v>
      </c>
      <c r="G377">
        <v>-2</v>
      </c>
      <c r="H377">
        <v>6</v>
      </c>
      <c r="I377">
        <v>14</v>
      </c>
      <c r="J377">
        <v>2.7</v>
      </c>
      <c r="K377">
        <v>0.56000000000000005</v>
      </c>
      <c r="L377">
        <v>1.5</v>
      </c>
      <c r="M377">
        <v>7.1</v>
      </c>
      <c r="N377">
        <v>0.3</v>
      </c>
      <c r="O377" t="s">
        <v>556</v>
      </c>
      <c r="P377" s="368">
        <v>36712</v>
      </c>
      <c r="Q377" t="s">
        <v>46</v>
      </c>
      <c r="R377" t="s">
        <v>741</v>
      </c>
      <c r="S377" t="s">
        <v>966</v>
      </c>
      <c r="T377" t="s">
        <v>319</v>
      </c>
      <c r="U377"/>
    </row>
    <row r="378" spans="1:21" x14ac:dyDescent="0.2">
      <c r="A378">
        <v>500976</v>
      </c>
      <c r="B378" t="s">
        <v>1225</v>
      </c>
      <c r="C378">
        <v>14</v>
      </c>
      <c r="D378">
        <v>3</v>
      </c>
      <c r="E378">
        <v>4</v>
      </c>
      <c r="F378">
        <v>14</v>
      </c>
      <c r="G378">
        <v>29</v>
      </c>
      <c r="H378"/>
      <c r="I378"/>
      <c r="J378"/>
      <c r="K378">
        <v>0.56000000000000005</v>
      </c>
      <c r="L378">
        <v>1.3</v>
      </c>
      <c r="M378"/>
      <c r="N378"/>
      <c r="O378" t="s">
        <v>548</v>
      </c>
      <c r="P378" s="368">
        <v>43865</v>
      </c>
      <c r="Q378" t="s">
        <v>151</v>
      </c>
      <c r="R378" t="s">
        <v>1027</v>
      </c>
      <c r="S378" t="s">
        <v>459</v>
      </c>
      <c r="T378" t="s">
        <v>242</v>
      </c>
      <c r="U378"/>
    </row>
    <row r="379" spans="1:21" x14ac:dyDescent="0.2">
      <c r="A379">
        <v>220244</v>
      </c>
      <c r="B379" t="s">
        <v>237</v>
      </c>
      <c r="C379">
        <v>14</v>
      </c>
      <c r="D379">
        <v>1</v>
      </c>
      <c r="E379">
        <v>5</v>
      </c>
      <c r="F379">
        <v>14</v>
      </c>
      <c r="G379">
        <v>36</v>
      </c>
      <c r="H379">
        <v>46</v>
      </c>
      <c r="I379">
        <v>84</v>
      </c>
      <c r="J379">
        <v>13</v>
      </c>
      <c r="K379">
        <v>0.56999999999999995</v>
      </c>
      <c r="L379">
        <v>1.62</v>
      </c>
      <c r="M379">
        <v>18.600000000000001</v>
      </c>
      <c r="N379">
        <v>0.8</v>
      </c>
      <c r="O379" t="s">
        <v>548</v>
      </c>
      <c r="P379" s="368">
        <v>36712</v>
      </c>
      <c r="Q379" t="s">
        <v>151</v>
      </c>
      <c r="R379" t="s">
        <v>603</v>
      </c>
      <c r="S379" t="s">
        <v>165</v>
      </c>
      <c r="T379" t="s">
        <v>201</v>
      </c>
      <c r="U379"/>
    </row>
    <row r="380" spans="1:21" x14ac:dyDescent="0.2">
      <c r="A380">
        <v>334409</v>
      </c>
      <c r="B380" t="s">
        <v>975</v>
      </c>
      <c r="C380">
        <v>11</v>
      </c>
      <c r="D380">
        <v>7</v>
      </c>
      <c r="E380">
        <v>3</v>
      </c>
      <c r="F380">
        <v>11</v>
      </c>
      <c r="G380">
        <v>32</v>
      </c>
      <c r="H380">
        <v>62</v>
      </c>
      <c r="I380">
        <v>154</v>
      </c>
      <c r="J380">
        <v>20.5</v>
      </c>
      <c r="K380">
        <v>0.57999999999999996</v>
      </c>
      <c r="L380">
        <v>1.7</v>
      </c>
      <c r="M380">
        <v>19.600000000000001</v>
      </c>
      <c r="N380">
        <v>0.9</v>
      </c>
      <c r="O380" t="s">
        <v>576</v>
      </c>
      <c r="P380" s="368">
        <v>36712</v>
      </c>
      <c r="Q380" t="s">
        <v>46</v>
      </c>
      <c r="R380" t="s">
        <v>667</v>
      </c>
      <c r="S380" t="s">
        <v>522</v>
      </c>
      <c r="T380" t="s">
        <v>245</v>
      </c>
      <c r="U380"/>
    </row>
    <row r="381" spans="1:21" x14ac:dyDescent="0.2">
      <c r="A381">
        <v>477729</v>
      </c>
      <c r="B381" t="s">
        <v>978</v>
      </c>
      <c r="C381">
        <v>15</v>
      </c>
      <c r="D381">
        <v>6</v>
      </c>
      <c r="E381">
        <v>3</v>
      </c>
      <c r="F381">
        <v>15</v>
      </c>
      <c r="G381">
        <v>44</v>
      </c>
      <c r="H381">
        <v>62</v>
      </c>
      <c r="I381">
        <v>148</v>
      </c>
      <c r="J381">
        <v>19.899999999999999</v>
      </c>
      <c r="K381">
        <v>0.57999999999999996</v>
      </c>
      <c r="L381">
        <v>1.7</v>
      </c>
      <c r="M381">
        <v>17</v>
      </c>
      <c r="N381">
        <v>1</v>
      </c>
      <c r="O381" t="s">
        <v>576</v>
      </c>
      <c r="P381" s="368">
        <v>36712</v>
      </c>
      <c r="Q381" t="s">
        <v>46</v>
      </c>
      <c r="R381" t="s">
        <v>736</v>
      </c>
      <c r="S381" t="s">
        <v>522</v>
      </c>
      <c r="T381" t="s">
        <v>251</v>
      </c>
      <c r="U381"/>
    </row>
    <row r="382" spans="1:21" x14ac:dyDescent="0.2">
      <c r="A382">
        <v>235291</v>
      </c>
      <c r="B382" t="s">
        <v>970</v>
      </c>
      <c r="C382">
        <v>13</v>
      </c>
      <c r="D382">
        <v>9</v>
      </c>
      <c r="E382">
        <v>15</v>
      </c>
      <c r="F382">
        <v>13</v>
      </c>
      <c r="G382">
        <v>30</v>
      </c>
      <c r="H382">
        <v>16</v>
      </c>
      <c r="I382">
        <v>28</v>
      </c>
      <c r="J382">
        <v>5</v>
      </c>
      <c r="K382">
        <v>0.57999999999999996</v>
      </c>
      <c r="L382">
        <v>1.7</v>
      </c>
      <c r="M382">
        <v>27.5</v>
      </c>
      <c r="N382">
        <v>0.3</v>
      </c>
      <c r="O382" t="s">
        <v>576</v>
      </c>
      <c r="P382" s="368">
        <v>38999</v>
      </c>
      <c r="Q382" t="s">
        <v>46</v>
      </c>
      <c r="R382" t="s">
        <v>609</v>
      </c>
      <c r="S382" t="s">
        <v>522</v>
      </c>
      <c r="T382" t="s">
        <v>229</v>
      </c>
      <c r="U382"/>
    </row>
    <row r="383" spans="1:21" x14ac:dyDescent="0.2">
      <c r="A383">
        <v>305243</v>
      </c>
      <c r="B383" t="s">
        <v>538</v>
      </c>
      <c r="C383">
        <v>8</v>
      </c>
      <c r="D383">
        <v>4</v>
      </c>
      <c r="E383">
        <v>4</v>
      </c>
      <c r="F383">
        <v>8</v>
      </c>
      <c r="G383">
        <v>31</v>
      </c>
      <c r="H383">
        <v>53</v>
      </c>
      <c r="I383">
        <v>120</v>
      </c>
      <c r="J383">
        <v>17.100000000000001</v>
      </c>
      <c r="K383">
        <v>0.6</v>
      </c>
      <c r="L383">
        <v>1.73</v>
      </c>
      <c r="M383">
        <v>16</v>
      </c>
      <c r="N383">
        <v>1</v>
      </c>
      <c r="O383" t="s">
        <v>576</v>
      </c>
      <c r="P383" s="368">
        <v>36782</v>
      </c>
      <c r="Q383" t="s">
        <v>46</v>
      </c>
      <c r="R383" t="s">
        <v>650</v>
      </c>
      <c r="S383" t="s">
        <v>244</v>
      </c>
      <c r="T383" t="s">
        <v>169</v>
      </c>
      <c r="U383"/>
    </row>
    <row r="384" spans="1:21" x14ac:dyDescent="0.2">
      <c r="A384">
        <v>616797</v>
      </c>
      <c r="B384" t="s">
        <v>398</v>
      </c>
      <c r="C384">
        <v>22</v>
      </c>
      <c r="D384">
        <v>4</v>
      </c>
      <c r="E384">
        <v>4</v>
      </c>
      <c r="F384">
        <v>22</v>
      </c>
      <c r="G384">
        <v>27</v>
      </c>
      <c r="H384">
        <v>42</v>
      </c>
      <c r="I384">
        <v>94</v>
      </c>
      <c r="J384">
        <v>14.1</v>
      </c>
      <c r="K384">
        <v>0.6</v>
      </c>
      <c r="L384">
        <v>1.43</v>
      </c>
      <c r="M384">
        <v>18.8</v>
      </c>
      <c r="N384">
        <v>0.7</v>
      </c>
      <c r="O384" t="s">
        <v>576</v>
      </c>
      <c r="P384" s="368">
        <v>36712</v>
      </c>
      <c r="Q384" t="s">
        <v>46</v>
      </c>
      <c r="R384" t="s">
        <v>805</v>
      </c>
      <c r="S384" t="s">
        <v>199</v>
      </c>
      <c r="T384" t="s">
        <v>197</v>
      </c>
      <c r="U384"/>
    </row>
    <row r="385" spans="1:21" x14ac:dyDescent="0.2">
      <c r="A385">
        <v>233585</v>
      </c>
      <c r="B385" t="s">
        <v>537</v>
      </c>
      <c r="C385">
        <v>11</v>
      </c>
      <c r="D385">
        <v>6</v>
      </c>
      <c r="E385">
        <v>6</v>
      </c>
      <c r="F385">
        <v>11</v>
      </c>
      <c r="G385">
        <v>38</v>
      </c>
      <c r="H385">
        <v>86</v>
      </c>
      <c r="I385">
        <v>221</v>
      </c>
      <c r="J385">
        <v>26.3</v>
      </c>
      <c r="K385">
        <v>0.61</v>
      </c>
      <c r="L385">
        <v>1.76</v>
      </c>
      <c r="M385">
        <v>20.399999999999999</v>
      </c>
      <c r="N385">
        <v>1.1000000000000001</v>
      </c>
      <c r="O385" t="s">
        <v>576</v>
      </c>
      <c r="P385" s="368">
        <v>36782</v>
      </c>
      <c r="Q385" t="s">
        <v>46</v>
      </c>
      <c r="R385" t="s">
        <v>608</v>
      </c>
      <c r="S385" t="s">
        <v>244</v>
      </c>
      <c r="T385" t="s">
        <v>245</v>
      </c>
      <c r="U385"/>
    </row>
    <row r="386" spans="1:21" x14ac:dyDescent="0.2">
      <c r="A386">
        <v>407775</v>
      </c>
      <c r="B386" t="s">
        <v>1147</v>
      </c>
      <c r="C386">
        <v>19</v>
      </c>
      <c r="D386">
        <v>5</v>
      </c>
      <c r="E386">
        <v>6</v>
      </c>
      <c r="F386">
        <v>19</v>
      </c>
      <c r="G386">
        <v>25</v>
      </c>
      <c r="H386">
        <v>49</v>
      </c>
      <c r="I386">
        <v>105</v>
      </c>
      <c r="J386">
        <v>15.5</v>
      </c>
      <c r="K386">
        <v>0.61</v>
      </c>
      <c r="L386">
        <v>1.69</v>
      </c>
      <c r="M386">
        <v>16.8</v>
      </c>
      <c r="N386">
        <v>0.9</v>
      </c>
      <c r="O386" t="s">
        <v>576</v>
      </c>
      <c r="P386" s="368">
        <v>38901</v>
      </c>
      <c r="Q386" t="s">
        <v>46</v>
      </c>
      <c r="R386" t="s">
        <v>702</v>
      </c>
      <c r="S386" t="s">
        <v>225</v>
      </c>
      <c r="T386" t="s">
        <v>197</v>
      </c>
      <c r="U386"/>
    </row>
    <row r="387" spans="1:21" x14ac:dyDescent="0.2">
      <c r="A387">
        <v>362327</v>
      </c>
      <c r="B387" t="s">
        <v>1218</v>
      </c>
      <c r="C387">
        <v>22</v>
      </c>
      <c r="D387">
        <v>9</v>
      </c>
      <c r="E387">
        <v>10</v>
      </c>
      <c r="F387">
        <v>22</v>
      </c>
      <c r="G387">
        <v>53</v>
      </c>
      <c r="H387">
        <v>40</v>
      </c>
      <c r="I387">
        <v>102</v>
      </c>
      <c r="J387">
        <v>15</v>
      </c>
      <c r="K387">
        <v>0.61</v>
      </c>
      <c r="L387">
        <v>1.84</v>
      </c>
      <c r="M387">
        <v>21.6</v>
      </c>
      <c r="N387">
        <v>0.6</v>
      </c>
      <c r="O387" t="s">
        <v>548</v>
      </c>
      <c r="P387" s="368">
        <v>37007</v>
      </c>
      <c r="Q387" t="s">
        <v>46</v>
      </c>
      <c r="R387" t="s">
        <v>681</v>
      </c>
      <c r="S387" t="s">
        <v>249</v>
      </c>
      <c r="T387" t="s">
        <v>251</v>
      </c>
      <c r="U387"/>
    </row>
    <row r="388" spans="1:21" x14ac:dyDescent="0.2">
      <c r="A388">
        <v>865063</v>
      </c>
      <c r="B388" t="s">
        <v>1016</v>
      </c>
      <c r="C388">
        <v>11</v>
      </c>
      <c r="D388">
        <v>4</v>
      </c>
      <c r="E388">
        <v>8</v>
      </c>
      <c r="F388">
        <v>11</v>
      </c>
      <c r="G388">
        <v>17</v>
      </c>
      <c r="H388">
        <v>36</v>
      </c>
      <c r="I388">
        <v>94</v>
      </c>
      <c r="J388">
        <v>14.2</v>
      </c>
      <c r="K388">
        <v>0.61</v>
      </c>
      <c r="L388">
        <v>1.69</v>
      </c>
      <c r="M388">
        <v>14.6</v>
      </c>
      <c r="N388">
        <v>0.8</v>
      </c>
      <c r="O388" t="s">
        <v>556</v>
      </c>
      <c r="P388" s="368">
        <v>38901</v>
      </c>
      <c r="Q388" t="s">
        <v>46</v>
      </c>
      <c r="R388" t="s">
        <v>910</v>
      </c>
      <c r="S388" t="s">
        <v>225</v>
      </c>
      <c r="T388" t="s">
        <v>179</v>
      </c>
      <c r="U388"/>
    </row>
    <row r="389" spans="1:21" x14ac:dyDescent="0.2">
      <c r="A389">
        <v>367698</v>
      </c>
      <c r="B389" t="s">
        <v>1009</v>
      </c>
      <c r="C389">
        <v>9</v>
      </c>
      <c r="D389">
        <v>4</v>
      </c>
      <c r="E389">
        <v>6</v>
      </c>
      <c r="F389">
        <v>9</v>
      </c>
      <c r="G389">
        <v>16</v>
      </c>
      <c r="H389">
        <v>36</v>
      </c>
      <c r="I389">
        <v>88</v>
      </c>
      <c r="J389">
        <v>13.4</v>
      </c>
      <c r="K389">
        <v>0.61</v>
      </c>
      <c r="L389">
        <v>1.69</v>
      </c>
      <c r="M389">
        <v>14</v>
      </c>
      <c r="N389">
        <v>0.8</v>
      </c>
      <c r="O389" t="s">
        <v>556</v>
      </c>
      <c r="P389" s="368">
        <v>38901</v>
      </c>
      <c r="Q389" t="s">
        <v>46</v>
      </c>
      <c r="R389" t="s">
        <v>683</v>
      </c>
      <c r="S389" t="s">
        <v>225</v>
      </c>
      <c r="T389" t="s">
        <v>179</v>
      </c>
      <c r="U389"/>
    </row>
    <row r="390" spans="1:21" x14ac:dyDescent="0.2">
      <c r="A390">
        <v>192146</v>
      </c>
      <c r="B390" t="s">
        <v>1007</v>
      </c>
      <c r="C390">
        <v>0</v>
      </c>
      <c r="D390">
        <v>4</v>
      </c>
      <c r="E390">
        <v>-4</v>
      </c>
      <c r="F390">
        <v>0</v>
      </c>
      <c r="G390">
        <v>10</v>
      </c>
      <c r="H390">
        <v>13</v>
      </c>
      <c r="I390">
        <v>61</v>
      </c>
      <c r="J390">
        <v>10</v>
      </c>
      <c r="K390">
        <v>0.61</v>
      </c>
      <c r="L390">
        <v>1.68</v>
      </c>
      <c r="M390">
        <v>17.899999999999999</v>
      </c>
      <c r="N390">
        <v>0.3</v>
      </c>
      <c r="O390" t="s">
        <v>583</v>
      </c>
      <c r="P390" s="368">
        <v>39545</v>
      </c>
      <c r="Q390" t="s">
        <v>46</v>
      </c>
      <c r="R390" t="s">
        <v>594</v>
      </c>
      <c r="S390" t="s">
        <v>225</v>
      </c>
      <c r="T390" t="s">
        <v>206</v>
      </c>
      <c r="U390"/>
    </row>
    <row r="391" spans="1:21" x14ac:dyDescent="0.2">
      <c r="A391">
        <v>757575</v>
      </c>
      <c r="B391" t="s">
        <v>1014</v>
      </c>
      <c r="C391">
        <v>-3</v>
      </c>
      <c r="D391">
        <v>2</v>
      </c>
      <c r="E391">
        <v>-4</v>
      </c>
      <c r="F391">
        <v>-3</v>
      </c>
      <c r="G391">
        <v>6</v>
      </c>
      <c r="H391">
        <v>11</v>
      </c>
      <c r="I391">
        <v>39</v>
      </c>
      <c r="J391">
        <v>6.7</v>
      </c>
      <c r="K391">
        <v>0.61</v>
      </c>
      <c r="L391">
        <v>1.68</v>
      </c>
      <c r="M391">
        <v>15.8</v>
      </c>
      <c r="N391">
        <v>0.3</v>
      </c>
      <c r="O391" t="s">
        <v>583</v>
      </c>
      <c r="P391" s="368">
        <v>38901</v>
      </c>
      <c r="Q391" t="s">
        <v>46</v>
      </c>
      <c r="R391" t="s">
        <v>866</v>
      </c>
      <c r="S391" t="s">
        <v>225</v>
      </c>
      <c r="T391" t="s">
        <v>206</v>
      </c>
      <c r="U391"/>
    </row>
    <row r="392" spans="1:21" x14ac:dyDescent="0.2">
      <c r="A392">
        <v>863522</v>
      </c>
      <c r="B392" t="s">
        <v>1125</v>
      </c>
      <c r="C392">
        <v>-1</v>
      </c>
      <c r="D392">
        <v>2</v>
      </c>
      <c r="E392">
        <v>-6</v>
      </c>
      <c r="F392">
        <v>-1</v>
      </c>
      <c r="G392">
        <v>-16</v>
      </c>
      <c r="H392"/>
      <c r="I392"/>
      <c r="J392"/>
      <c r="K392">
        <v>0.61</v>
      </c>
      <c r="L392">
        <v>1.6</v>
      </c>
      <c r="M392"/>
      <c r="N392"/>
      <c r="O392" t="s">
        <v>576</v>
      </c>
      <c r="P392" s="368">
        <v>43971</v>
      </c>
      <c r="Q392" t="s">
        <v>46</v>
      </c>
      <c r="R392" t="s">
        <v>1133</v>
      </c>
      <c r="S392" t="s">
        <v>207</v>
      </c>
      <c r="T392" t="s">
        <v>172</v>
      </c>
      <c r="U392"/>
    </row>
    <row r="393" spans="1:21" x14ac:dyDescent="0.2">
      <c r="A393">
        <v>570044</v>
      </c>
      <c r="B393" t="s">
        <v>382</v>
      </c>
      <c r="C393">
        <v>20</v>
      </c>
      <c r="D393">
        <v>0</v>
      </c>
      <c r="E393">
        <v>7</v>
      </c>
      <c r="F393">
        <v>20</v>
      </c>
      <c r="G393">
        <v>46</v>
      </c>
      <c r="H393">
        <v>47</v>
      </c>
      <c r="I393">
        <v>119</v>
      </c>
      <c r="J393">
        <v>17</v>
      </c>
      <c r="K393">
        <v>0.62</v>
      </c>
      <c r="L393">
        <v>1.8</v>
      </c>
      <c r="M393">
        <v>17</v>
      </c>
      <c r="N393">
        <v>0.8</v>
      </c>
      <c r="O393" t="s">
        <v>556</v>
      </c>
      <c r="P393" s="368">
        <v>36712</v>
      </c>
      <c r="Q393" t="s">
        <v>46</v>
      </c>
      <c r="R393" t="s">
        <v>786</v>
      </c>
      <c r="S393" t="s">
        <v>240</v>
      </c>
      <c r="T393" t="s">
        <v>194</v>
      </c>
      <c r="U393"/>
    </row>
    <row r="394" spans="1:21" x14ac:dyDescent="0.2">
      <c r="A394">
        <v>367987</v>
      </c>
      <c r="B394" t="s">
        <v>304</v>
      </c>
      <c r="C394">
        <v>25</v>
      </c>
      <c r="D394">
        <v>2</v>
      </c>
      <c r="E394">
        <v>5</v>
      </c>
      <c r="F394">
        <v>25</v>
      </c>
      <c r="G394">
        <v>39</v>
      </c>
      <c r="H394">
        <v>27</v>
      </c>
      <c r="I394">
        <v>81</v>
      </c>
      <c r="J394">
        <v>12.6</v>
      </c>
      <c r="K394">
        <v>0.62</v>
      </c>
      <c r="L394">
        <v>1.8</v>
      </c>
      <c r="M394">
        <v>18</v>
      </c>
      <c r="N394">
        <v>0.5</v>
      </c>
      <c r="O394" t="s">
        <v>556</v>
      </c>
      <c r="P394" s="368">
        <v>43641</v>
      </c>
      <c r="Q394" t="s">
        <v>46</v>
      </c>
      <c r="R394" t="s">
        <v>684</v>
      </c>
      <c r="S394" t="s">
        <v>240</v>
      </c>
      <c r="T394" t="s">
        <v>169</v>
      </c>
      <c r="U394"/>
    </row>
    <row r="395" spans="1:21" x14ac:dyDescent="0.2">
      <c r="A395">
        <v>294322</v>
      </c>
      <c r="B395" t="s">
        <v>273</v>
      </c>
      <c r="C395">
        <v>18</v>
      </c>
      <c r="D395">
        <v>3</v>
      </c>
      <c r="E395">
        <v>4</v>
      </c>
      <c r="F395">
        <v>18</v>
      </c>
      <c r="G395">
        <v>24</v>
      </c>
      <c r="H395">
        <v>29</v>
      </c>
      <c r="I395">
        <v>76</v>
      </c>
      <c r="J395">
        <v>12</v>
      </c>
      <c r="K395">
        <v>0.62</v>
      </c>
      <c r="L395">
        <v>1.49</v>
      </c>
      <c r="M395">
        <v>17.100000000000001</v>
      </c>
      <c r="N395">
        <v>0.6</v>
      </c>
      <c r="O395" t="s">
        <v>576</v>
      </c>
      <c r="P395" s="368">
        <v>36712</v>
      </c>
      <c r="Q395" t="s">
        <v>46</v>
      </c>
      <c r="R395" t="s">
        <v>640</v>
      </c>
      <c r="S395" t="s">
        <v>199</v>
      </c>
      <c r="T395" t="s">
        <v>159</v>
      </c>
      <c r="U395"/>
    </row>
    <row r="396" spans="1:21" x14ac:dyDescent="0.2">
      <c r="A396">
        <v>151001</v>
      </c>
      <c r="B396" t="s">
        <v>198</v>
      </c>
      <c r="C396">
        <v>17</v>
      </c>
      <c r="D396">
        <v>1</v>
      </c>
      <c r="E396">
        <v>5</v>
      </c>
      <c r="F396">
        <v>17</v>
      </c>
      <c r="G396">
        <v>25</v>
      </c>
      <c r="H396">
        <v>12</v>
      </c>
      <c r="I396">
        <v>55</v>
      </c>
      <c r="J396">
        <v>9.1999999999999993</v>
      </c>
      <c r="K396">
        <v>0.62</v>
      </c>
      <c r="L396">
        <v>1.49</v>
      </c>
      <c r="M396">
        <v>18.600000000000001</v>
      </c>
      <c r="N396">
        <v>0.3</v>
      </c>
      <c r="O396" t="s">
        <v>556</v>
      </c>
      <c r="P396" s="368">
        <v>36712</v>
      </c>
      <c r="Q396" t="s">
        <v>46</v>
      </c>
      <c r="R396" t="s">
        <v>570</v>
      </c>
      <c r="S396" t="s">
        <v>199</v>
      </c>
      <c r="T396" t="s">
        <v>179</v>
      </c>
      <c r="U396"/>
    </row>
    <row r="397" spans="1:21" x14ac:dyDescent="0.2">
      <c r="A397">
        <v>780411</v>
      </c>
      <c r="B397" t="s">
        <v>448</v>
      </c>
      <c r="C397">
        <v>7</v>
      </c>
      <c r="D397">
        <v>-1</v>
      </c>
      <c r="E397">
        <v>1</v>
      </c>
      <c r="F397">
        <v>7</v>
      </c>
      <c r="G397">
        <v>10</v>
      </c>
      <c r="H397">
        <v>13</v>
      </c>
      <c r="I397">
        <v>36</v>
      </c>
      <c r="J397">
        <v>6.4</v>
      </c>
      <c r="K397">
        <v>0.62</v>
      </c>
      <c r="L397">
        <v>1.48</v>
      </c>
      <c r="M397">
        <v>13</v>
      </c>
      <c r="N397">
        <v>0.4</v>
      </c>
      <c r="O397" t="s">
        <v>556</v>
      </c>
      <c r="P397" s="368">
        <v>42130</v>
      </c>
      <c r="Q397" t="s">
        <v>46</v>
      </c>
      <c r="R397" t="s">
        <v>873</v>
      </c>
      <c r="S397" t="s">
        <v>439</v>
      </c>
      <c r="T397" t="s">
        <v>259</v>
      </c>
      <c r="U397"/>
    </row>
    <row r="398" spans="1:21" x14ac:dyDescent="0.2">
      <c r="A398">
        <v>318469</v>
      </c>
      <c r="B398" t="s">
        <v>288</v>
      </c>
      <c r="C398">
        <v>15</v>
      </c>
      <c r="D398">
        <v>-2</v>
      </c>
      <c r="E398">
        <v>2</v>
      </c>
      <c r="F398">
        <v>15</v>
      </c>
      <c r="G398">
        <v>53</v>
      </c>
      <c r="H398">
        <v>35</v>
      </c>
      <c r="I398">
        <v>130</v>
      </c>
      <c r="J398">
        <v>18.100000000000001</v>
      </c>
      <c r="K398">
        <v>0.63</v>
      </c>
      <c r="L398">
        <v>1.5</v>
      </c>
      <c r="M398">
        <v>28.3</v>
      </c>
      <c r="N398">
        <v>0.5</v>
      </c>
      <c r="O398" t="s">
        <v>551</v>
      </c>
      <c r="P398" s="368">
        <v>39335</v>
      </c>
      <c r="Q398" t="s">
        <v>46</v>
      </c>
      <c r="R398" t="s">
        <v>658</v>
      </c>
      <c r="S398" t="s">
        <v>168</v>
      </c>
      <c r="T398" t="s">
        <v>194</v>
      </c>
      <c r="U398"/>
    </row>
    <row r="399" spans="1:21" x14ac:dyDescent="0.2">
      <c r="A399">
        <v>282632</v>
      </c>
      <c r="B399" t="s">
        <v>506</v>
      </c>
      <c r="C399">
        <v>17</v>
      </c>
      <c r="D399">
        <v>5</v>
      </c>
      <c r="E399">
        <v>7</v>
      </c>
      <c r="F399">
        <v>17</v>
      </c>
      <c r="G399">
        <v>30</v>
      </c>
      <c r="H399">
        <v>58</v>
      </c>
      <c r="I399">
        <v>113</v>
      </c>
      <c r="J399">
        <v>16.399999999999999</v>
      </c>
      <c r="K399">
        <v>0.63</v>
      </c>
      <c r="L399">
        <v>1.5</v>
      </c>
      <c r="M399">
        <v>16.600000000000001</v>
      </c>
      <c r="N399">
        <v>1</v>
      </c>
      <c r="O399" t="s">
        <v>551</v>
      </c>
      <c r="P399" s="368">
        <v>39335</v>
      </c>
      <c r="Q399" t="s">
        <v>46</v>
      </c>
      <c r="R399" t="s">
        <v>633</v>
      </c>
      <c r="S399" t="s">
        <v>168</v>
      </c>
      <c r="T399" t="s">
        <v>159</v>
      </c>
      <c r="U399"/>
    </row>
    <row r="400" spans="1:21" x14ac:dyDescent="0.2">
      <c r="A400">
        <v>354290</v>
      </c>
      <c r="B400" t="s">
        <v>300</v>
      </c>
      <c r="C400">
        <v>25</v>
      </c>
      <c r="D400">
        <v>2</v>
      </c>
      <c r="E400">
        <v>8</v>
      </c>
      <c r="F400">
        <v>25</v>
      </c>
      <c r="G400">
        <v>54</v>
      </c>
      <c r="H400">
        <v>50</v>
      </c>
      <c r="I400">
        <v>104</v>
      </c>
      <c r="J400">
        <v>15.3</v>
      </c>
      <c r="K400">
        <v>0.63</v>
      </c>
      <c r="L400">
        <v>1.5</v>
      </c>
      <c r="M400">
        <v>23.2</v>
      </c>
      <c r="N400">
        <v>0.7</v>
      </c>
      <c r="O400" t="s">
        <v>551</v>
      </c>
      <c r="P400" s="368">
        <v>39335</v>
      </c>
      <c r="Q400" t="s">
        <v>46</v>
      </c>
      <c r="R400" t="s">
        <v>676</v>
      </c>
      <c r="S400" t="s">
        <v>168</v>
      </c>
      <c r="T400" t="s">
        <v>190</v>
      </c>
      <c r="U400"/>
    </row>
    <row r="401" spans="1:21" x14ac:dyDescent="0.2">
      <c r="A401">
        <v>360495</v>
      </c>
      <c r="B401" t="s">
        <v>510</v>
      </c>
      <c r="C401">
        <v>23</v>
      </c>
      <c r="D401">
        <v>5</v>
      </c>
      <c r="E401">
        <v>6</v>
      </c>
      <c r="F401">
        <v>23</v>
      </c>
      <c r="G401">
        <v>35</v>
      </c>
      <c r="H401">
        <v>60</v>
      </c>
      <c r="I401">
        <v>97</v>
      </c>
      <c r="J401">
        <v>14.5</v>
      </c>
      <c r="K401">
        <v>0.63</v>
      </c>
      <c r="L401">
        <v>1.5</v>
      </c>
      <c r="M401">
        <v>16.7</v>
      </c>
      <c r="N401">
        <v>1</v>
      </c>
      <c r="O401" t="s">
        <v>556</v>
      </c>
      <c r="P401" s="368">
        <v>37363</v>
      </c>
      <c r="Q401" t="s">
        <v>46</v>
      </c>
      <c r="R401" t="s">
        <v>680</v>
      </c>
      <c r="S401" t="s">
        <v>291</v>
      </c>
      <c r="T401" t="s">
        <v>197</v>
      </c>
      <c r="U401"/>
    </row>
    <row r="402" spans="1:21" x14ac:dyDescent="0.2">
      <c r="A402">
        <v>147348</v>
      </c>
      <c r="B402" t="s">
        <v>193</v>
      </c>
      <c r="C402">
        <v>19</v>
      </c>
      <c r="D402">
        <v>0</v>
      </c>
      <c r="E402">
        <v>3</v>
      </c>
      <c r="F402">
        <v>19</v>
      </c>
      <c r="G402">
        <v>45</v>
      </c>
      <c r="H402">
        <v>18</v>
      </c>
      <c r="I402">
        <v>86</v>
      </c>
      <c r="J402">
        <v>13.2</v>
      </c>
      <c r="K402">
        <v>0.63</v>
      </c>
      <c r="L402">
        <v>1.5</v>
      </c>
      <c r="M402">
        <v>24.4</v>
      </c>
      <c r="N402">
        <v>0.4</v>
      </c>
      <c r="O402" t="s">
        <v>551</v>
      </c>
      <c r="P402" s="368">
        <v>37194</v>
      </c>
      <c r="Q402" t="s">
        <v>46</v>
      </c>
      <c r="R402" t="s">
        <v>568</v>
      </c>
      <c r="S402" t="s">
        <v>162</v>
      </c>
      <c r="T402" t="s">
        <v>194</v>
      </c>
      <c r="U402"/>
    </row>
    <row r="403" spans="1:21" x14ac:dyDescent="0.2">
      <c r="A403">
        <v>401810</v>
      </c>
      <c r="B403" t="s">
        <v>317</v>
      </c>
      <c r="C403">
        <v>15</v>
      </c>
      <c r="D403">
        <v>0</v>
      </c>
      <c r="E403">
        <v>2</v>
      </c>
      <c r="F403">
        <v>15</v>
      </c>
      <c r="G403">
        <v>28</v>
      </c>
      <c r="H403">
        <v>15</v>
      </c>
      <c r="I403">
        <v>60</v>
      </c>
      <c r="J403">
        <v>9.9</v>
      </c>
      <c r="K403">
        <v>0.63</v>
      </c>
      <c r="L403">
        <v>1.5</v>
      </c>
      <c r="M403">
        <v>17.600000000000001</v>
      </c>
      <c r="N403">
        <v>0.4</v>
      </c>
      <c r="O403" t="s">
        <v>576</v>
      </c>
      <c r="P403" s="368">
        <v>36712</v>
      </c>
      <c r="Q403" t="s">
        <v>46</v>
      </c>
      <c r="R403" t="s">
        <v>697</v>
      </c>
      <c r="S403" t="s">
        <v>199</v>
      </c>
      <c r="T403" t="s">
        <v>251</v>
      </c>
      <c r="U403"/>
    </row>
    <row r="404" spans="1:21" x14ac:dyDescent="0.2">
      <c r="A404">
        <v>365981</v>
      </c>
      <c r="B404" t="s">
        <v>303</v>
      </c>
      <c r="C404">
        <v>6</v>
      </c>
      <c r="D404">
        <v>1</v>
      </c>
      <c r="E404">
        <v>-4</v>
      </c>
      <c r="F404">
        <v>6</v>
      </c>
      <c r="G404">
        <v>10</v>
      </c>
      <c r="H404">
        <v>2</v>
      </c>
      <c r="I404">
        <v>41</v>
      </c>
      <c r="J404">
        <v>7.1</v>
      </c>
      <c r="K404">
        <v>0.63</v>
      </c>
      <c r="L404">
        <v>1.5</v>
      </c>
      <c r="M404">
        <v>15.1</v>
      </c>
      <c r="N404">
        <v>0.1</v>
      </c>
      <c r="O404" t="s">
        <v>583</v>
      </c>
      <c r="P404" s="368">
        <v>36712</v>
      </c>
      <c r="Q404" t="s">
        <v>46</v>
      </c>
      <c r="R404" t="s">
        <v>682</v>
      </c>
      <c r="S404" t="s">
        <v>199</v>
      </c>
      <c r="T404" t="s">
        <v>206</v>
      </c>
      <c r="U404"/>
    </row>
    <row r="405" spans="1:21" x14ac:dyDescent="0.2">
      <c r="A405">
        <v>887901</v>
      </c>
      <c r="B405" t="s">
        <v>476</v>
      </c>
      <c r="C405">
        <v>17</v>
      </c>
      <c r="D405">
        <v>3</v>
      </c>
      <c r="E405">
        <v>6</v>
      </c>
      <c r="F405">
        <v>17</v>
      </c>
      <c r="G405">
        <v>23</v>
      </c>
      <c r="H405">
        <v>5</v>
      </c>
      <c r="I405">
        <v>20</v>
      </c>
      <c r="J405">
        <v>3.8</v>
      </c>
      <c r="K405">
        <v>0.63</v>
      </c>
      <c r="L405">
        <v>1.51</v>
      </c>
      <c r="M405">
        <v>20.6</v>
      </c>
      <c r="N405">
        <v>0.2</v>
      </c>
      <c r="O405" t="s">
        <v>556</v>
      </c>
      <c r="P405" s="368">
        <v>42130</v>
      </c>
      <c r="Q405" t="s">
        <v>46</v>
      </c>
      <c r="R405" t="s">
        <v>920</v>
      </c>
      <c r="S405" t="s">
        <v>439</v>
      </c>
      <c r="T405" t="s">
        <v>259</v>
      </c>
      <c r="U405"/>
    </row>
    <row r="406" spans="1:21" x14ac:dyDescent="0.2">
      <c r="A406">
        <v>857037</v>
      </c>
      <c r="B406" t="s">
        <v>985</v>
      </c>
      <c r="C406">
        <v>4</v>
      </c>
      <c r="D406">
        <v>0</v>
      </c>
      <c r="E406">
        <v>0</v>
      </c>
      <c r="F406">
        <v>4</v>
      </c>
      <c r="G406">
        <v>0</v>
      </c>
      <c r="H406">
        <v>-2</v>
      </c>
      <c r="I406">
        <v>10</v>
      </c>
      <c r="J406">
        <v>2</v>
      </c>
      <c r="K406">
        <v>0.63</v>
      </c>
      <c r="L406">
        <v>1.97</v>
      </c>
      <c r="M406">
        <v>5.7</v>
      </c>
      <c r="N406">
        <v>-0.1</v>
      </c>
      <c r="O406" t="s">
        <v>556</v>
      </c>
      <c r="P406" s="368">
        <v>40689</v>
      </c>
      <c r="Q406" t="s">
        <v>46</v>
      </c>
      <c r="R406" t="s">
        <v>906</v>
      </c>
      <c r="S406" t="s">
        <v>974</v>
      </c>
      <c r="T406" t="s">
        <v>172</v>
      </c>
      <c r="U406"/>
    </row>
    <row r="407" spans="1:21" x14ac:dyDescent="0.2">
      <c r="A407">
        <v>205832</v>
      </c>
      <c r="B407" t="s">
        <v>1008</v>
      </c>
      <c r="C407">
        <v>1</v>
      </c>
      <c r="D407">
        <v>3</v>
      </c>
      <c r="E407">
        <v>-1</v>
      </c>
      <c r="F407">
        <v>1</v>
      </c>
      <c r="G407">
        <v>-8</v>
      </c>
      <c r="H407">
        <v>4</v>
      </c>
      <c r="I407">
        <v>10</v>
      </c>
      <c r="J407">
        <v>1.9</v>
      </c>
      <c r="K407">
        <v>0.63</v>
      </c>
      <c r="L407">
        <v>1.53</v>
      </c>
      <c r="M407">
        <v>8.5</v>
      </c>
      <c r="N407">
        <v>0.2</v>
      </c>
      <c r="O407" t="s">
        <v>548</v>
      </c>
      <c r="P407" s="368">
        <v>43872</v>
      </c>
      <c r="Q407" t="s">
        <v>151</v>
      </c>
      <c r="R407" t="s">
        <v>1021</v>
      </c>
      <c r="S407" t="s">
        <v>283</v>
      </c>
      <c r="T407" t="s">
        <v>172</v>
      </c>
      <c r="U407"/>
    </row>
    <row r="408" spans="1:21" x14ac:dyDescent="0.2">
      <c r="A408">
        <v>484980</v>
      </c>
      <c r="B408" t="s">
        <v>351</v>
      </c>
      <c r="C408">
        <v>14</v>
      </c>
      <c r="D408">
        <v>0</v>
      </c>
      <c r="E408">
        <v>6</v>
      </c>
      <c r="F408">
        <v>14</v>
      </c>
      <c r="G408">
        <v>24</v>
      </c>
      <c r="H408">
        <v>29</v>
      </c>
      <c r="I408">
        <v>64</v>
      </c>
      <c r="J408">
        <v>10.3</v>
      </c>
      <c r="K408">
        <v>0.64</v>
      </c>
      <c r="L408">
        <v>1.62</v>
      </c>
      <c r="M408">
        <v>13.2</v>
      </c>
      <c r="N408">
        <v>0.7</v>
      </c>
      <c r="O408" t="s">
        <v>548</v>
      </c>
      <c r="P408" s="368">
        <v>37545</v>
      </c>
      <c r="Q408" t="s">
        <v>151</v>
      </c>
      <c r="R408" t="s">
        <v>744</v>
      </c>
      <c r="S408" t="s">
        <v>271</v>
      </c>
      <c r="T408" t="s">
        <v>190</v>
      </c>
      <c r="U408"/>
    </row>
    <row r="409" spans="1:21" x14ac:dyDescent="0.2">
      <c r="A409">
        <v>976506</v>
      </c>
      <c r="B409" t="s">
        <v>535</v>
      </c>
      <c r="C409">
        <v>17</v>
      </c>
      <c r="D409">
        <v>4</v>
      </c>
      <c r="E409">
        <v>7</v>
      </c>
      <c r="F409">
        <v>17</v>
      </c>
      <c r="G409">
        <v>32</v>
      </c>
      <c r="H409">
        <v>58</v>
      </c>
      <c r="I409">
        <v>110</v>
      </c>
      <c r="J409">
        <v>16</v>
      </c>
      <c r="K409">
        <v>0.65</v>
      </c>
      <c r="L409">
        <v>1.58</v>
      </c>
      <c r="M409">
        <v>14</v>
      </c>
      <c r="N409">
        <v>1.2</v>
      </c>
      <c r="O409" t="s">
        <v>556</v>
      </c>
      <c r="P409" s="368">
        <v>42983</v>
      </c>
      <c r="Q409" t="s">
        <v>46</v>
      </c>
      <c r="R409" t="s">
        <v>951</v>
      </c>
      <c r="S409" t="s">
        <v>393</v>
      </c>
      <c r="T409" t="s">
        <v>243</v>
      </c>
      <c r="U409"/>
    </row>
    <row r="410" spans="1:21" x14ac:dyDescent="0.2">
      <c r="A410">
        <v>191080</v>
      </c>
      <c r="B410" t="s">
        <v>968</v>
      </c>
      <c r="C410">
        <v>6</v>
      </c>
      <c r="D410">
        <v>4</v>
      </c>
      <c r="E410">
        <v>-1</v>
      </c>
      <c r="F410">
        <v>6</v>
      </c>
      <c r="G410">
        <v>19</v>
      </c>
      <c r="H410">
        <v>24</v>
      </c>
      <c r="I410">
        <v>79</v>
      </c>
      <c r="J410">
        <v>12.3</v>
      </c>
      <c r="K410">
        <v>0.65</v>
      </c>
      <c r="L410">
        <v>1.95</v>
      </c>
      <c r="M410">
        <v>17</v>
      </c>
      <c r="N410">
        <v>0.5</v>
      </c>
      <c r="O410" t="s">
        <v>576</v>
      </c>
      <c r="P410" s="368">
        <v>36712</v>
      </c>
      <c r="Q410" t="s">
        <v>46</v>
      </c>
      <c r="R410" t="s">
        <v>592</v>
      </c>
      <c r="S410" t="s">
        <v>522</v>
      </c>
      <c r="T410" t="s">
        <v>169</v>
      </c>
      <c r="U410"/>
    </row>
    <row r="411" spans="1:21" x14ac:dyDescent="0.2">
      <c r="A411">
        <v>910109</v>
      </c>
      <c r="B411" t="s">
        <v>1170</v>
      </c>
      <c r="C411">
        <v>7</v>
      </c>
      <c r="D411">
        <v>2</v>
      </c>
      <c r="E411">
        <v>-4</v>
      </c>
      <c r="F411">
        <v>7</v>
      </c>
      <c r="G411">
        <v>19</v>
      </c>
      <c r="H411">
        <v>17</v>
      </c>
      <c r="I411">
        <v>69</v>
      </c>
      <c r="J411">
        <v>11</v>
      </c>
      <c r="K411">
        <v>0.65</v>
      </c>
      <c r="L411">
        <v>2.08</v>
      </c>
      <c r="M411">
        <v>15.5</v>
      </c>
      <c r="N411">
        <v>0.4</v>
      </c>
      <c r="O411" t="s">
        <v>583</v>
      </c>
      <c r="P411" s="368">
        <v>36773</v>
      </c>
      <c r="Q411" t="s">
        <v>46</v>
      </c>
      <c r="R411" t="s">
        <v>928</v>
      </c>
      <c r="S411" t="s">
        <v>215</v>
      </c>
      <c r="T411" t="s">
        <v>206</v>
      </c>
      <c r="U411"/>
    </row>
    <row r="412" spans="1:21" x14ac:dyDescent="0.2">
      <c r="A412">
        <v>983593</v>
      </c>
      <c r="B412" t="s">
        <v>988</v>
      </c>
      <c r="C412">
        <v>15</v>
      </c>
      <c r="D412">
        <v>6</v>
      </c>
      <c r="E412">
        <v>8</v>
      </c>
      <c r="F412">
        <v>15</v>
      </c>
      <c r="G412">
        <v>19</v>
      </c>
      <c r="H412">
        <v>19</v>
      </c>
      <c r="I412">
        <v>59</v>
      </c>
      <c r="J412">
        <v>9.6999999999999993</v>
      </c>
      <c r="K412">
        <v>0.65</v>
      </c>
      <c r="L412">
        <v>1.95</v>
      </c>
      <c r="M412">
        <v>23.7</v>
      </c>
      <c r="N412">
        <v>0.4</v>
      </c>
      <c r="O412" t="s">
        <v>576</v>
      </c>
      <c r="P412" s="368">
        <v>36712</v>
      </c>
      <c r="Q412" t="s">
        <v>46</v>
      </c>
      <c r="R412" t="s">
        <v>958</v>
      </c>
      <c r="S412" t="s">
        <v>522</v>
      </c>
      <c r="T412" t="s">
        <v>306</v>
      </c>
      <c r="U412"/>
    </row>
    <row r="413" spans="1:21" x14ac:dyDescent="0.2">
      <c r="A413">
        <v>317040</v>
      </c>
      <c r="B413" t="s">
        <v>287</v>
      </c>
      <c r="C413">
        <v>23</v>
      </c>
      <c r="D413">
        <v>1</v>
      </c>
      <c r="E413">
        <v>2</v>
      </c>
      <c r="F413">
        <v>23</v>
      </c>
      <c r="G413">
        <v>39</v>
      </c>
      <c r="H413">
        <v>15</v>
      </c>
      <c r="I413">
        <v>55</v>
      </c>
      <c r="J413">
        <v>9.1</v>
      </c>
      <c r="K413">
        <v>0.65</v>
      </c>
      <c r="L413">
        <v>1.58</v>
      </c>
      <c r="M413">
        <v>22</v>
      </c>
      <c r="N413">
        <v>0.3</v>
      </c>
      <c r="O413" t="s">
        <v>576</v>
      </c>
      <c r="P413" s="368">
        <v>42220</v>
      </c>
      <c r="Q413" t="s">
        <v>46</v>
      </c>
      <c r="R413" t="s">
        <v>657</v>
      </c>
      <c r="S413" t="s">
        <v>199</v>
      </c>
      <c r="T413" t="s">
        <v>159</v>
      </c>
      <c r="U413"/>
    </row>
    <row r="414" spans="1:21" x14ac:dyDescent="0.2">
      <c r="A414">
        <v>262741</v>
      </c>
      <c r="B414" t="s">
        <v>971</v>
      </c>
      <c r="C414">
        <v>19</v>
      </c>
      <c r="D414">
        <v>1</v>
      </c>
      <c r="E414">
        <v>1</v>
      </c>
      <c r="F414">
        <v>19</v>
      </c>
      <c r="G414">
        <v>29</v>
      </c>
      <c r="H414">
        <v>-1</v>
      </c>
      <c r="I414">
        <v>30</v>
      </c>
      <c r="J414">
        <v>5.3</v>
      </c>
      <c r="K414">
        <v>0.65</v>
      </c>
      <c r="L414">
        <v>1.95</v>
      </c>
      <c r="M414">
        <v>23.4</v>
      </c>
      <c r="N414">
        <v>0.1</v>
      </c>
      <c r="O414" t="s">
        <v>576</v>
      </c>
      <c r="P414" s="368">
        <v>36712</v>
      </c>
      <c r="Q414" t="s">
        <v>46</v>
      </c>
      <c r="R414" t="s">
        <v>624</v>
      </c>
      <c r="S414" t="s">
        <v>522</v>
      </c>
      <c r="T414" t="s">
        <v>160</v>
      </c>
      <c r="U414"/>
    </row>
    <row r="415" spans="1:21" x14ac:dyDescent="0.2">
      <c r="A415">
        <v>487108</v>
      </c>
      <c r="B415" t="s">
        <v>352</v>
      </c>
      <c r="C415">
        <v>14</v>
      </c>
      <c r="D415">
        <v>1</v>
      </c>
      <c r="E415">
        <v>8</v>
      </c>
      <c r="F415">
        <v>14</v>
      </c>
      <c r="G415">
        <v>36</v>
      </c>
      <c r="H415">
        <v>75</v>
      </c>
      <c r="I415">
        <v>155</v>
      </c>
      <c r="J415">
        <v>20.6</v>
      </c>
      <c r="K415">
        <v>0.66</v>
      </c>
      <c r="L415">
        <v>1.61</v>
      </c>
      <c r="M415">
        <v>15.1</v>
      </c>
      <c r="N415">
        <v>1.3</v>
      </c>
      <c r="O415" t="s">
        <v>548</v>
      </c>
      <c r="P415" s="368">
        <v>41950</v>
      </c>
      <c r="Q415" t="s">
        <v>151</v>
      </c>
      <c r="R415" t="s">
        <v>745</v>
      </c>
      <c r="S415" t="s">
        <v>293</v>
      </c>
      <c r="T415" t="s">
        <v>243</v>
      </c>
      <c r="U415"/>
    </row>
    <row r="416" spans="1:21" x14ac:dyDescent="0.2">
      <c r="A416">
        <v>324665</v>
      </c>
      <c r="B416" t="s">
        <v>290</v>
      </c>
      <c r="C416">
        <v>24</v>
      </c>
      <c r="D416">
        <v>2</v>
      </c>
      <c r="E416">
        <v>8</v>
      </c>
      <c r="F416">
        <v>24</v>
      </c>
      <c r="G416">
        <v>53</v>
      </c>
      <c r="H416">
        <v>62</v>
      </c>
      <c r="I416">
        <v>116</v>
      </c>
      <c r="J416">
        <v>16.7</v>
      </c>
      <c r="K416">
        <v>0.66</v>
      </c>
      <c r="L416">
        <v>1.61</v>
      </c>
      <c r="M416">
        <v>18.100000000000001</v>
      </c>
      <c r="N416">
        <v>1</v>
      </c>
      <c r="O416" t="s">
        <v>556</v>
      </c>
      <c r="P416" s="368">
        <v>37363</v>
      </c>
      <c r="Q416" t="s">
        <v>46</v>
      </c>
      <c r="R416" t="s">
        <v>662</v>
      </c>
      <c r="S416" t="s">
        <v>291</v>
      </c>
      <c r="T416" t="s">
        <v>194</v>
      </c>
      <c r="U416"/>
    </row>
    <row r="417" spans="1:21" x14ac:dyDescent="0.2">
      <c r="A417">
        <v>344739</v>
      </c>
      <c r="B417" t="s">
        <v>529</v>
      </c>
      <c r="C417">
        <v>20</v>
      </c>
      <c r="D417">
        <v>1</v>
      </c>
      <c r="E417">
        <v>5</v>
      </c>
      <c r="F417">
        <v>20</v>
      </c>
      <c r="G417">
        <v>42</v>
      </c>
      <c r="H417">
        <v>52</v>
      </c>
      <c r="I417">
        <v>92</v>
      </c>
      <c r="J417">
        <v>13.9</v>
      </c>
      <c r="K417">
        <v>0.66</v>
      </c>
      <c r="L417">
        <v>1.59</v>
      </c>
      <c r="M417">
        <v>17.399999999999999</v>
      </c>
      <c r="N417">
        <v>0.9</v>
      </c>
      <c r="O417" t="s">
        <v>548</v>
      </c>
      <c r="P417" s="368">
        <v>36712</v>
      </c>
      <c r="Q417" t="s">
        <v>151</v>
      </c>
      <c r="R417" t="s">
        <v>673</v>
      </c>
      <c r="S417" t="s">
        <v>283</v>
      </c>
      <c r="T417" t="s">
        <v>201</v>
      </c>
      <c r="U417"/>
    </row>
    <row r="418" spans="1:21" x14ac:dyDescent="0.2">
      <c r="A418">
        <v>167643</v>
      </c>
      <c r="B418" t="s">
        <v>209</v>
      </c>
      <c r="C418">
        <v>24</v>
      </c>
      <c r="D418">
        <v>2</v>
      </c>
      <c r="E418">
        <v>5</v>
      </c>
      <c r="F418">
        <v>24</v>
      </c>
      <c r="G418">
        <v>34</v>
      </c>
      <c r="H418">
        <v>39</v>
      </c>
      <c r="I418">
        <v>84</v>
      </c>
      <c r="J418">
        <v>12.9</v>
      </c>
      <c r="K418">
        <v>0.66</v>
      </c>
      <c r="L418">
        <v>1.61</v>
      </c>
      <c r="M418">
        <v>19.899999999999999</v>
      </c>
      <c r="N418">
        <v>0.7</v>
      </c>
      <c r="O418" t="s">
        <v>548</v>
      </c>
      <c r="P418" s="368">
        <v>42412</v>
      </c>
      <c r="Q418" t="s">
        <v>46</v>
      </c>
      <c r="R418" t="s">
        <v>579</v>
      </c>
      <c r="S418" t="s">
        <v>210</v>
      </c>
      <c r="T418" t="s">
        <v>159</v>
      </c>
      <c r="U418"/>
    </row>
    <row r="419" spans="1:21" x14ac:dyDescent="0.2">
      <c r="A419">
        <v>899773</v>
      </c>
      <c r="B419" t="s">
        <v>986</v>
      </c>
      <c r="C419">
        <v>19</v>
      </c>
      <c r="D419">
        <v>1</v>
      </c>
      <c r="E419">
        <v>5</v>
      </c>
      <c r="F419">
        <v>19</v>
      </c>
      <c r="G419">
        <v>24</v>
      </c>
      <c r="H419">
        <v>21</v>
      </c>
      <c r="I419">
        <v>61</v>
      </c>
      <c r="J419">
        <v>10</v>
      </c>
      <c r="K419">
        <v>0.66</v>
      </c>
      <c r="L419">
        <v>1.6</v>
      </c>
      <c r="M419">
        <v>16.3</v>
      </c>
      <c r="N419">
        <v>0.5</v>
      </c>
      <c r="O419" t="s">
        <v>556</v>
      </c>
      <c r="P419" s="368">
        <v>37008</v>
      </c>
      <c r="Q419" t="s">
        <v>46</v>
      </c>
      <c r="R419" t="s">
        <v>922</v>
      </c>
      <c r="S419" t="s">
        <v>974</v>
      </c>
      <c r="T419" t="s">
        <v>179</v>
      </c>
      <c r="U419"/>
    </row>
    <row r="420" spans="1:21" x14ac:dyDescent="0.2">
      <c r="A420">
        <v>848770</v>
      </c>
      <c r="B420" t="s">
        <v>984</v>
      </c>
      <c r="C420">
        <v>18</v>
      </c>
      <c r="D420">
        <v>0</v>
      </c>
      <c r="E420">
        <v>4</v>
      </c>
      <c r="F420">
        <v>18</v>
      </c>
      <c r="G420">
        <v>25</v>
      </c>
      <c r="H420">
        <v>17</v>
      </c>
      <c r="I420">
        <v>60</v>
      </c>
      <c r="J420">
        <v>9.8000000000000007</v>
      </c>
      <c r="K420">
        <v>0.66</v>
      </c>
      <c r="L420">
        <v>1.6</v>
      </c>
      <c r="M420">
        <v>18.2</v>
      </c>
      <c r="N420">
        <v>0.4</v>
      </c>
      <c r="O420" t="s">
        <v>556</v>
      </c>
      <c r="P420" s="368">
        <v>36712</v>
      </c>
      <c r="Q420" t="s">
        <v>46</v>
      </c>
      <c r="R420" t="s">
        <v>902</v>
      </c>
      <c r="S420" t="s">
        <v>974</v>
      </c>
      <c r="T420" t="s">
        <v>179</v>
      </c>
      <c r="U420"/>
    </row>
    <row r="421" spans="1:21" x14ac:dyDescent="0.2">
      <c r="A421">
        <v>920439</v>
      </c>
      <c r="B421" t="s">
        <v>987</v>
      </c>
      <c r="C421">
        <v>12</v>
      </c>
      <c r="D421">
        <v>1</v>
      </c>
      <c r="E421">
        <v>-5</v>
      </c>
      <c r="F421">
        <v>12</v>
      </c>
      <c r="G421">
        <v>21</v>
      </c>
      <c r="H421">
        <v>8</v>
      </c>
      <c r="I421">
        <v>52</v>
      </c>
      <c r="J421">
        <v>8.6999999999999993</v>
      </c>
      <c r="K421">
        <v>0.66</v>
      </c>
      <c r="L421">
        <v>1.6</v>
      </c>
      <c r="M421">
        <v>17.899999999999999</v>
      </c>
      <c r="N421">
        <v>0.2</v>
      </c>
      <c r="O421" t="s">
        <v>583</v>
      </c>
      <c r="P421" s="368">
        <v>36712</v>
      </c>
      <c r="Q421" t="s">
        <v>46</v>
      </c>
      <c r="R421" t="s">
        <v>934</v>
      </c>
      <c r="S421" t="s">
        <v>974</v>
      </c>
      <c r="T421" t="s">
        <v>206</v>
      </c>
      <c r="U421"/>
    </row>
    <row r="422" spans="1:21" x14ac:dyDescent="0.2">
      <c r="A422">
        <v>496729</v>
      </c>
      <c r="B422" t="s">
        <v>1012</v>
      </c>
      <c r="C422">
        <v>21</v>
      </c>
      <c r="D422">
        <v>12</v>
      </c>
      <c r="E422">
        <v>14</v>
      </c>
      <c r="F422">
        <v>21</v>
      </c>
      <c r="G422">
        <v>37</v>
      </c>
      <c r="H422">
        <v>120</v>
      </c>
      <c r="I422">
        <v>301</v>
      </c>
      <c r="J422">
        <v>32</v>
      </c>
      <c r="K422">
        <v>0.67</v>
      </c>
      <c r="L422">
        <v>1.82</v>
      </c>
      <c r="M422">
        <v>20.8</v>
      </c>
      <c r="N422">
        <v>1.4</v>
      </c>
      <c r="O422" t="s">
        <v>576</v>
      </c>
      <c r="P422" s="368">
        <v>43874</v>
      </c>
      <c r="Q422" t="s">
        <v>46</v>
      </c>
      <c r="R422" t="s">
        <v>1026</v>
      </c>
      <c r="S422" t="s">
        <v>212</v>
      </c>
      <c r="T422" t="s">
        <v>224</v>
      </c>
      <c r="U422"/>
    </row>
    <row r="423" spans="1:21" x14ac:dyDescent="0.2">
      <c r="A423">
        <v>384107</v>
      </c>
      <c r="B423" t="s">
        <v>308</v>
      </c>
      <c r="C423">
        <v>17</v>
      </c>
      <c r="D423">
        <v>12</v>
      </c>
      <c r="E423">
        <v>14</v>
      </c>
      <c r="F423">
        <v>17</v>
      </c>
      <c r="G423">
        <v>26</v>
      </c>
      <c r="H423">
        <v>76</v>
      </c>
      <c r="I423">
        <v>177</v>
      </c>
      <c r="J423">
        <v>22.6</v>
      </c>
      <c r="K423">
        <v>0.67</v>
      </c>
      <c r="L423">
        <v>1.82</v>
      </c>
      <c r="M423">
        <v>19.7</v>
      </c>
      <c r="N423">
        <v>1.1000000000000001</v>
      </c>
      <c r="O423" t="s">
        <v>576</v>
      </c>
      <c r="P423" s="368">
        <v>38709</v>
      </c>
      <c r="Q423" t="s">
        <v>46</v>
      </c>
      <c r="R423" t="s">
        <v>687</v>
      </c>
      <c r="S423" t="s">
        <v>212</v>
      </c>
      <c r="T423" t="s">
        <v>197</v>
      </c>
      <c r="U423"/>
    </row>
    <row r="424" spans="1:21" x14ac:dyDescent="0.2">
      <c r="A424">
        <v>848069</v>
      </c>
      <c r="B424" t="s">
        <v>1166</v>
      </c>
      <c r="C424">
        <v>15</v>
      </c>
      <c r="D424">
        <v>8</v>
      </c>
      <c r="E424">
        <v>10</v>
      </c>
      <c r="F424">
        <v>15</v>
      </c>
      <c r="G424">
        <v>35</v>
      </c>
      <c r="H424">
        <v>98</v>
      </c>
      <c r="I424">
        <v>189</v>
      </c>
      <c r="J424">
        <v>23.7</v>
      </c>
      <c r="K424">
        <v>0.68</v>
      </c>
      <c r="L424">
        <v>1.94</v>
      </c>
      <c r="M424">
        <v>18.5</v>
      </c>
      <c r="N424">
        <v>1.3</v>
      </c>
      <c r="O424" t="s">
        <v>576</v>
      </c>
      <c r="P424" s="368">
        <v>38814</v>
      </c>
      <c r="Q424" t="s">
        <v>46</v>
      </c>
      <c r="R424" t="s">
        <v>901</v>
      </c>
      <c r="S424" t="s">
        <v>225</v>
      </c>
      <c r="T424" t="s">
        <v>224</v>
      </c>
      <c r="U424"/>
    </row>
    <row r="425" spans="1:21" x14ac:dyDescent="0.2">
      <c r="A425">
        <v>389239</v>
      </c>
      <c r="B425" t="s">
        <v>1010</v>
      </c>
      <c r="C425">
        <v>-1</v>
      </c>
      <c r="D425">
        <v>8</v>
      </c>
      <c r="E425">
        <v>1</v>
      </c>
      <c r="F425">
        <v>-1</v>
      </c>
      <c r="G425">
        <v>-1</v>
      </c>
      <c r="H425">
        <v>26</v>
      </c>
      <c r="I425">
        <v>71</v>
      </c>
      <c r="J425">
        <v>11.3</v>
      </c>
      <c r="K425">
        <v>0.68</v>
      </c>
      <c r="L425">
        <v>1.83</v>
      </c>
      <c r="M425">
        <v>23.1</v>
      </c>
      <c r="N425">
        <v>0.4</v>
      </c>
      <c r="O425" t="s">
        <v>576</v>
      </c>
      <c r="P425" s="368">
        <v>43874</v>
      </c>
      <c r="Q425" t="s">
        <v>46</v>
      </c>
      <c r="R425" t="s">
        <v>1022</v>
      </c>
      <c r="S425" t="s">
        <v>212</v>
      </c>
      <c r="T425" t="s">
        <v>242</v>
      </c>
      <c r="U425"/>
    </row>
    <row r="426" spans="1:21" x14ac:dyDescent="0.2">
      <c r="A426">
        <v>717496</v>
      </c>
      <c r="B426" t="s">
        <v>428</v>
      </c>
      <c r="C426">
        <v>20</v>
      </c>
      <c r="D426">
        <v>1</v>
      </c>
      <c r="E426">
        <v>2</v>
      </c>
      <c r="F426">
        <v>20</v>
      </c>
      <c r="G426">
        <v>28</v>
      </c>
      <c r="H426">
        <v>13</v>
      </c>
      <c r="I426">
        <v>43</v>
      </c>
      <c r="J426">
        <v>7.4</v>
      </c>
      <c r="K426">
        <v>0.68</v>
      </c>
      <c r="L426">
        <v>1.85</v>
      </c>
      <c r="M426">
        <v>18.899999999999999</v>
      </c>
      <c r="N426">
        <v>0.3</v>
      </c>
      <c r="O426" t="s">
        <v>576</v>
      </c>
      <c r="P426" s="368">
        <v>38853</v>
      </c>
      <c r="Q426" t="s">
        <v>46</v>
      </c>
      <c r="R426" t="s">
        <v>845</v>
      </c>
      <c r="S426" t="s">
        <v>212</v>
      </c>
      <c r="T426" t="s">
        <v>159</v>
      </c>
      <c r="U426"/>
    </row>
    <row r="427" spans="1:21" x14ac:dyDescent="0.2">
      <c r="A427">
        <v>666495</v>
      </c>
      <c r="B427" t="s">
        <v>1148</v>
      </c>
      <c r="C427">
        <v>10</v>
      </c>
      <c r="D427">
        <v>0</v>
      </c>
      <c r="E427">
        <v>2</v>
      </c>
      <c r="F427">
        <v>10</v>
      </c>
      <c r="G427">
        <v>16</v>
      </c>
      <c r="H427">
        <v>-14</v>
      </c>
      <c r="I427">
        <v>9</v>
      </c>
      <c r="J427">
        <v>1.7</v>
      </c>
      <c r="K427">
        <v>0.68</v>
      </c>
      <c r="L427">
        <v>1.85</v>
      </c>
      <c r="M427">
        <v>19.5</v>
      </c>
      <c r="N427">
        <v>-0.1</v>
      </c>
      <c r="O427" t="s">
        <v>556</v>
      </c>
      <c r="P427" s="368">
        <v>38709</v>
      </c>
      <c r="Q427" t="s">
        <v>46</v>
      </c>
      <c r="R427" t="s">
        <v>828</v>
      </c>
      <c r="S427" t="s">
        <v>212</v>
      </c>
      <c r="T427" t="s">
        <v>179</v>
      </c>
      <c r="U427"/>
    </row>
    <row r="428" spans="1:21" x14ac:dyDescent="0.2">
      <c r="A428">
        <v>882126</v>
      </c>
      <c r="B428" t="s">
        <v>1191</v>
      </c>
      <c r="C428">
        <v>10</v>
      </c>
      <c r="D428">
        <v>3</v>
      </c>
      <c r="E428">
        <v>-1</v>
      </c>
      <c r="F428">
        <v>10</v>
      </c>
      <c r="G428">
        <v>26</v>
      </c>
      <c r="H428">
        <v>49</v>
      </c>
      <c r="I428">
        <v>140</v>
      </c>
      <c r="J428">
        <v>19.2</v>
      </c>
      <c r="K428">
        <v>0.69</v>
      </c>
      <c r="L428">
        <v>2.36</v>
      </c>
      <c r="M428">
        <v>17.600000000000001</v>
      </c>
      <c r="N428">
        <v>0.9</v>
      </c>
      <c r="O428" t="s">
        <v>576</v>
      </c>
      <c r="P428" s="368">
        <v>37950</v>
      </c>
      <c r="Q428" t="s">
        <v>46</v>
      </c>
      <c r="R428" t="s">
        <v>917</v>
      </c>
      <c r="S428" t="s">
        <v>215</v>
      </c>
      <c r="T428" t="s">
        <v>245</v>
      </c>
      <c r="U428"/>
    </row>
    <row r="429" spans="1:21" x14ac:dyDescent="0.2">
      <c r="A429">
        <v>296749</v>
      </c>
      <c r="B429" t="s">
        <v>277</v>
      </c>
      <c r="C429">
        <v>14</v>
      </c>
      <c r="D429">
        <v>7</v>
      </c>
      <c r="E429">
        <v>4</v>
      </c>
      <c r="F429">
        <v>14</v>
      </c>
      <c r="G429">
        <v>24</v>
      </c>
      <c r="H429">
        <v>49</v>
      </c>
      <c r="I429">
        <v>136</v>
      </c>
      <c r="J429">
        <v>18.8</v>
      </c>
      <c r="K429">
        <v>0.69</v>
      </c>
      <c r="L429">
        <v>2.71</v>
      </c>
      <c r="M429">
        <v>16.3</v>
      </c>
      <c r="N429">
        <v>0.9</v>
      </c>
      <c r="O429" t="s">
        <v>576</v>
      </c>
      <c r="P429" s="368">
        <v>36773</v>
      </c>
      <c r="Q429" t="s">
        <v>46</v>
      </c>
      <c r="R429" t="s">
        <v>644</v>
      </c>
      <c r="S429" t="s">
        <v>215</v>
      </c>
      <c r="T429" t="s">
        <v>224</v>
      </c>
      <c r="U429"/>
    </row>
    <row r="430" spans="1:21" x14ac:dyDescent="0.2">
      <c r="A430">
        <v>887497</v>
      </c>
      <c r="B430" t="s">
        <v>475</v>
      </c>
      <c r="C430">
        <v>7</v>
      </c>
      <c r="D430">
        <v>5</v>
      </c>
      <c r="E430">
        <v>4</v>
      </c>
      <c r="F430">
        <v>7</v>
      </c>
      <c r="G430">
        <v>37</v>
      </c>
      <c r="H430">
        <v>65</v>
      </c>
      <c r="I430">
        <v>120</v>
      </c>
      <c r="J430">
        <v>17.100000000000001</v>
      </c>
      <c r="K430">
        <v>0.69</v>
      </c>
      <c r="L430">
        <v>2.71</v>
      </c>
      <c r="M430">
        <v>19.399999999999999</v>
      </c>
      <c r="N430">
        <v>1</v>
      </c>
      <c r="O430" t="s">
        <v>576</v>
      </c>
      <c r="P430" s="368">
        <v>39286</v>
      </c>
      <c r="Q430" t="s">
        <v>46</v>
      </c>
      <c r="R430" t="s">
        <v>919</v>
      </c>
      <c r="S430" t="s">
        <v>215</v>
      </c>
      <c r="T430" t="s">
        <v>243</v>
      </c>
      <c r="U430"/>
    </row>
    <row r="431" spans="1:21" x14ac:dyDescent="0.2">
      <c r="A431">
        <v>923383</v>
      </c>
      <c r="B431" t="s">
        <v>482</v>
      </c>
      <c r="C431">
        <v>18</v>
      </c>
      <c r="D431">
        <v>5</v>
      </c>
      <c r="E431">
        <v>10</v>
      </c>
      <c r="F431">
        <v>18</v>
      </c>
      <c r="G431">
        <v>45</v>
      </c>
      <c r="H431">
        <v>52</v>
      </c>
      <c r="I431">
        <v>118</v>
      </c>
      <c r="J431">
        <v>16.8</v>
      </c>
      <c r="K431">
        <v>0.69</v>
      </c>
      <c r="L431">
        <v>2.7</v>
      </c>
      <c r="M431">
        <v>18.2</v>
      </c>
      <c r="N431">
        <v>0.9</v>
      </c>
      <c r="O431" t="s">
        <v>556</v>
      </c>
      <c r="P431" s="368">
        <v>38504</v>
      </c>
      <c r="Q431" t="s">
        <v>46</v>
      </c>
      <c r="R431" t="s">
        <v>935</v>
      </c>
      <c r="S431" t="s">
        <v>215</v>
      </c>
      <c r="T431" t="s">
        <v>159</v>
      </c>
      <c r="U431"/>
    </row>
    <row r="432" spans="1:21" x14ac:dyDescent="0.2">
      <c r="A432">
        <v>917955</v>
      </c>
      <c r="B432" t="s">
        <v>1101</v>
      </c>
      <c r="C432">
        <v>11</v>
      </c>
      <c r="D432">
        <v>1</v>
      </c>
      <c r="E432">
        <v>-2</v>
      </c>
      <c r="F432">
        <v>11</v>
      </c>
      <c r="G432">
        <v>31</v>
      </c>
      <c r="H432">
        <v>42</v>
      </c>
      <c r="I432">
        <v>115</v>
      </c>
      <c r="J432">
        <v>16.5</v>
      </c>
      <c r="K432">
        <v>0.69</v>
      </c>
      <c r="L432">
        <v>2.36</v>
      </c>
      <c r="M432">
        <v>16.399999999999999</v>
      </c>
      <c r="N432">
        <v>0.8</v>
      </c>
      <c r="O432" t="s">
        <v>576</v>
      </c>
      <c r="P432" s="368">
        <v>37935</v>
      </c>
      <c r="Q432" t="s">
        <v>46</v>
      </c>
      <c r="R432" t="s">
        <v>933</v>
      </c>
      <c r="S432" t="s">
        <v>215</v>
      </c>
      <c r="T432" t="s">
        <v>251</v>
      </c>
      <c r="U432"/>
    </row>
    <row r="433" spans="1:21" x14ac:dyDescent="0.2">
      <c r="A433">
        <v>968891</v>
      </c>
      <c r="B433" t="s">
        <v>492</v>
      </c>
      <c r="C433">
        <v>16</v>
      </c>
      <c r="D433">
        <v>6</v>
      </c>
      <c r="E433">
        <v>8</v>
      </c>
      <c r="F433">
        <v>16</v>
      </c>
      <c r="G433">
        <v>25</v>
      </c>
      <c r="H433">
        <v>49</v>
      </c>
      <c r="I433">
        <v>97</v>
      </c>
      <c r="J433">
        <v>14.6</v>
      </c>
      <c r="K433">
        <v>0.69</v>
      </c>
      <c r="L433">
        <v>2.7</v>
      </c>
      <c r="M433">
        <v>17.3</v>
      </c>
      <c r="N433">
        <v>0.9</v>
      </c>
      <c r="O433" t="s">
        <v>576</v>
      </c>
      <c r="P433" s="368">
        <v>39027</v>
      </c>
      <c r="Q433" t="s">
        <v>46</v>
      </c>
      <c r="R433" t="s">
        <v>948</v>
      </c>
      <c r="S433" t="s">
        <v>215</v>
      </c>
      <c r="T433" t="s">
        <v>243</v>
      </c>
      <c r="U433"/>
    </row>
    <row r="434" spans="1:21" x14ac:dyDescent="0.2">
      <c r="A434">
        <v>690693</v>
      </c>
      <c r="B434" t="s">
        <v>423</v>
      </c>
      <c r="C434">
        <v>12</v>
      </c>
      <c r="D434">
        <v>4</v>
      </c>
      <c r="E434">
        <v>5</v>
      </c>
      <c r="F434">
        <v>12</v>
      </c>
      <c r="G434">
        <v>25</v>
      </c>
      <c r="H434">
        <v>41</v>
      </c>
      <c r="I434">
        <v>94</v>
      </c>
      <c r="J434">
        <v>14.2</v>
      </c>
      <c r="K434">
        <v>0.69</v>
      </c>
      <c r="L434">
        <v>2.92</v>
      </c>
      <c r="M434">
        <v>16.100000000000001</v>
      </c>
      <c r="N434">
        <v>0.8</v>
      </c>
      <c r="O434" t="s">
        <v>576</v>
      </c>
      <c r="P434" s="368">
        <v>39874</v>
      </c>
      <c r="Q434" t="s">
        <v>46</v>
      </c>
      <c r="R434" t="s">
        <v>839</v>
      </c>
      <c r="S434" t="s">
        <v>215</v>
      </c>
      <c r="T434" t="s">
        <v>159</v>
      </c>
      <c r="U434"/>
    </row>
    <row r="435" spans="1:21" x14ac:dyDescent="0.2">
      <c r="A435">
        <v>368407</v>
      </c>
      <c r="B435" t="s">
        <v>305</v>
      </c>
      <c r="C435">
        <v>27</v>
      </c>
      <c r="D435">
        <v>4</v>
      </c>
      <c r="E435">
        <v>11</v>
      </c>
      <c r="F435">
        <v>27</v>
      </c>
      <c r="G435">
        <v>31</v>
      </c>
      <c r="H435">
        <v>41</v>
      </c>
      <c r="I435">
        <v>90</v>
      </c>
      <c r="J435">
        <v>13.7</v>
      </c>
      <c r="K435">
        <v>0.69</v>
      </c>
      <c r="L435">
        <v>2.48</v>
      </c>
      <c r="M435">
        <v>24.3</v>
      </c>
      <c r="N435">
        <v>0.6</v>
      </c>
      <c r="O435" t="s">
        <v>556</v>
      </c>
      <c r="P435" s="368">
        <v>36773</v>
      </c>
      <c r="Q435" t="s">
        <v>46</v>
      </c>
      <c r="R435" t="s">
        <v>685</v>
      </c>
      <c r="S435" t="s">
        <v>215</v>
      </c>
      <c r="T435" t="s">
        <v>306</v>
      </c>
      <c r="U435"/>
    </row>
    <row r="436" spans="1:21" x14ac:dyDescent="0.2">
      <c r="A436">
        <v>404236</v>
      </c>
      <c r="B436" t="s">
        <v>320</v>
      </c>
      <c r="C436">
        <v>14</v>
      </c>
      <c r="D436">
        <v>4</v>
      </c>
      <c r="E436">
        <v>3</v>
      </c>
      <c r="F436">
        <v>14</v>
      </c>
      <c r="G436">
        <v>37</v>
      </c>
      <c r="H436">
        <v>45</v>
      </c>
      <c r="I436">
        <v>88</v>
      </c>
      <c r="J436">
        <v>13.5</v>
      </c>
      <c r="K436">
        <v>0.69</v>
      </c>
      <c r="L436">
        <v>2.38</v>
      </c>
      <c r="M436">
        <v>16.399999999999999</v>
      </c>
      <c r="N436">
        <v>0.9</v>
      </c>
      <c r="O436" t="s">
        <v>576</v>
      </c>
      <c r="P436" s="368">
        <v>36773</v>
      </c>
      <c r="Q436" t="s">
        <v>46</v>
      </c>
      <c r="R436" t="s">
        <v>699</v>
      </c>
      <c r="S436" t="s">
        <v>215</v>
      </c>
      <c r="T436" t="s">
        <v>169</v>
      </c>
      <c r="U436"/>
    </row>
    <row r="437" spans="1:21" x14ac:dyDescent="0.2">
      <c r="A437">
        <v>755033</v>
      </c>
      <c r="B437" t="s">
        <v>444</v>
      </c>
      <c r="C437">
        <v>16</v>
      </c>
      <c r="D437">
        <v>-2</v>
      </c>
      <c r="E437">
        <v>0</v>
      </c>
      <c r="F437">
        <v>16</v>
      </c>
      <c r="G437">
        <v>47</v>
      </c>
      <c r="H437">
        <v>20</v>
      </c>
      <c r="I437">
        <v>84</v>
      </c>
      <c r="J437">
        <v>13</v>
      </c>
      <c r="K437">
        <v>0.69</v>
      </c>
      <c r="L437">
        <v>2.73</v>
      </c>
      <c r="M437">
        <v>23</v>
      </c>
      <c r="N437">
        <v>0.4</v>
      </c>
      <c r="O437" t="s">
        <v>576</v>
      </c>
      <c r="P437" s="368">
        <v>40424</v>
      </c>
      <c r="Q437" t="s">
        <v>46</v>
      </c>
      <c r="R437" t="s">
        <v>863</v>
      </c>
      <c r="S437" t="s">
        <v>215</v>
      </c>
      <c r="T437" t="s">
        <v>160</v>
      </c>
      <c r="U437"/>
    </row>
    <row r="438" spans="1:21" x14ac:dyDescent="0.2">
      <c r="A438">
        <v>189258</v>
      </c>
      <c r="B438" t="s">
        <v>223</v>
      </c>
      <c r="C438">
        <v>18</v>
      </c>
      <c r="D438">
        <v>2</v>
      </c>
      <c r="E438">
        <v>7</v>
      </c>
      <c r="F438">
        <v>18</v>
      </c>
      <c r="G438">
        <v>26</v>
      </c>
      <c r="H438">
        <v>48</v>
      </c>
      <c r="I438">
        <v>78</v>
      </c>
      <c r="J438">
        <v>12.2</v>
      </c>
      <c r="K438">
        <v>0.69</v>
      </c>
      <c r="L438">
        <v>2.7</v>
      </c>
      <c r="M438">
        <v>15.4</v>
      </c>
      <c r="N438">
        <v>0.9</v>
      </c>
      <c r="O438" t="s">
        <v>556</v>
      </c>
      <c r="P438" s="368">
        <v>36773</v>
      </c>
      <c r="Q438" t="s">
        <v>46</v>
      </c>
      <c r="R438" t="s">
        <v>591</v>
      </c>
      <c r="S438" t="s">
        <v>215</v>
      </c>
      <c r="T438" t="s">
        <v>160</v>
      </c>
      <c r="U438"/>
    </row>
    <row r="439" spans="1:21" x14ac:dyDescent="0.2">
      <c r="A439">
        <v>260919</v>
      </c>
      <c r="B439" t="s">
        <v>260</v>
      </c>
      <c r="C439">
        <v>-1</v>
      </c>
      <c r="D439">
        <v>7</v>
      </c>
      <c r="E439">
        <v>2</v>
      </c>
      <c r="F439">
        <v>-1</v>
      </c>
      <c r="G439">
        <v>0</v>
      </c>
      <c r="H439">
        <v>29</v>
      </c>
      <c r="I439">
        <v>70</v>
      </c>
      <c r="J439">
        <v>11.1</v>
      </c>
      <c r="K439">
        <v>0.69</v>
      </c>
      <c r="L439">
        <v>2.7</v>
      </c>
      <c r="M439">
        <v>22.4</v>
      </c>
      <c r="N439">
        <v>0.5</v>
      </c>
      <c r="O439" t="s">
        <v>576</v>
      </c>
      <c r="P439" s="368">
        <v>36773</v>
      </c>
      <c r="Q439" t="s">
        <v>46</v>
      </c>
      <c r="R439" t="s">
        <v>623</v>
      </c>
      <c r="S439" t="s">
        <v>215</v>
      </c>
      <c r="T439" t="s">
        <v>242</v>
      </c>
      <c r="U439"/>
    </row>
    <row r="440" spans="1:21" x14ac:dyDescent="0.2">
      <c r="A440">
        <v>874271</v>
      </c>
      <c r="B440" t="s">
        <v>473</v>
      </c>
      <c r="C440">
        <v>15</v>
      </c>
      <c r="D440">
        <v>4</v>
      </c>
      <c r="E440">
        <v>3</v>
      </c>
      <c r="F440">
        <v>15</v>
      </c>
      <c r="G440">
        <v>44</v>
      </c>
      <c r="H440">
        <v>24</v>
      </c>
      <c r="I440">
        <v>68</v>
      </c>
      <c r="J440">
        <v>10.9</v>
      </c>
      <c r="K440">
        <v>0.69</v>
      </c>
      <c r="L440">
        <v>2.35</v>
      </c>
      <c r="M440">
        <v>22.9</v>
      </c>
      <c r="N440">
        <v>0.4</v>
      </c>
      <c r="O440" t="s">
        <v>576</v>
      </c>
      <c r="P440" s="368">
        <v>36773</v>
      </c>
      <c r="Q440" t="s">
        <v>46</v>
      </c>
      <c r="R440" t="s">
        <v>913</v>
      </c>
      <c r="S440" t="s">
        <v>215</v>
      </c>
      <c r="T440" t="s">
        <v>213</v>
      </c>
      <c r="U440"/>
    </row>
    <row r="441" spans="1:21" x14ac:dyDescent="0.2">
      <c r="A441">
        <v>688986</v>
      </c>
      <c r="B441" t="s">
        <v>422</v>
      </c>
      <c r="C441">
        <v>13</v>
      </c>
      <c r="D441">
        <v>4</v>
      </c>
      <c r="E441">
        <v>5</v>
      </c>
      <c r="F441">
        <v>13</v>
      </c>
      <c r="G441">
        <v>11</v>
      </c>
      <c r="H441">
        <v>32</v>
      </c>
      <c r="I441">
        <v>51</v>
      </c>
      <c r="J441">
        <v>8.6</v>
      </c>
      <c r="K441">
        <v>0.69</v>
      </c>
      <c r="L441">
        <v>2.72</v>
      </c>
      <c r="M441">
        <v>16</v>
      </c>
      <c r="N441">
        <v>0.7</v>
      </c>
      <c r="O441" t="s">
        <v>576</v>
      </c>
      <c r="P441" s="368">
        <v>38188</v>
      </c>
      <c r="Q441" t="s">
        <v>46</v>
      </c>
      <c r="R441" t="s">
        <v>838</v>
      </c>
      <c r="S441" t="s">
        <v>215</v>
      </c>
      <c r="T441" t="s">
        <v>242</v>
      </c>
      <c r="U441"/>
    </row>
    <row r="442" spans="1:21" x14ac:dyDescent="0.2">
      <c r="A442">
        <v>174490</v>
      </c>
      <c r="B442" t="s">
        <v>1158</v>
      </c>
      <c r="C442">
        <v>10</v>
      </c>
      <c r="D442">
        <v>3</v>
      </c>
      <c r="E442">
        <v>-3</v>
      </c>
      <c r="F442">
        <v>10</v>
      </c>
      <c r="G442">
        <v>15</v>
      </c>
      <c r="H442">
        <v>9</v>
      </c>
      <c r="I442">
        <v>50</v>
      </c>
      <c r="J442">
        <v>8.4</v>
      </c>
      <c r="K442">
        <v>0.69</v>
      </c>
      <c r="L442">
        <v>1.75</v>
      </c>
      <c r="M442">
        <v>16.100000000000001</v>
      </c>
      <c r="N442">
        <v>0.3</v>
      </c>
      <c r="O442" t="s">
        <v>583</v>
      </c>
      <c r="P442" s="368">
        <v>39923</v>
      </c>
      <c r="Q442" t="s">
        <v>46</v>
      </c>
      <c r="R442" t="s">
        <v>584</v>
      </c>
      <c r="S442" t="s">
        <v>207</v>
      </c>
      <c r="T442" t="s">
        <v>206</v>
      </c>
      <c r="U442"/>
    </row>
    <row r="443" spans="1:21" x14ac:dyDescent="0.2">
      <c r="A443">
        <v>652628</v>
      </c>
      <c r="B443" t="s">
        <v>408</v>
      </c>
      <c r="C443">
        <v>4</v>
      </c>
      <c r="D443">
        <v>3</v>
      </c>
      <c r="E443">
        <v>-6</v>
      </c>
      <c r="F443">
        <v>4</v>
      </c>
      <c r="G443">
        <v>4</v>
      </c>
      <c r="H443">
        <v>-12</v>
      </c>
      <c r="I443">
        <v>30</v>
      </c>
      <c r="J443">
        <v>5.4</v>
      </c>
      <c r="K443">
        <v>0.69</v>
      </c>
      <c r="L443">
        <v>1.68</v>
      </c>
      <c r="M443">
        <v>17.600000000000001</v>
      </c>
      <c r="N443">
        <v>-0.1</v>
      </c>
      <c r="O443" t="s">
        <v>583</v>
      </c>
      <c r="P443" s="368">
        <v>36712</v>
      </c>
      <c r="Q443" t="s">
        <v>46</v>
      </c>
      <c r="R443" t="s">
        <v>819</v>
      </c>
      <c r="S443" t="s">
        <v>199</v>
      </c>
      <c r="T443" t="s">
        <v>206</v>
      </c>
      <c r="U443"/>
    </row>
    <row r="444" spans="1:21" x14ac:dyDescent="0.2">
      <c r="A444">
        <v>532558</v>
      </c>
      <c r="B444" t="s">
        <v>1013</v>
      </c>
      <c r="C444">
        <v>33</v>
      </c>
      <c r="D444">
        <v>3</v>
      </c>
      <c r="E444">
        <v>7</v>
      </c>
      <c r="F444">
        <v>33</v>
      </c>
      <c r="G444">
        <v>38</v>
      </c>
      <c r="H444">
        <v>-26</v>
      </c>
      <c r="I444">
        <v>-10</v>
      </c>
      <c r="J444">
        <v>-2.2000000000000002</v>
      </c>
      <c r="K444">
        <v>0.69</v>
      </c>
      <c r="L444">
        <v>1.86</v>
      </c>
      <c r="M444">
        <v>34.4</v>
      </c>
      <c r="N444">
        <v>-0.1</v>
      </c>
      <c r="O444" t="s">
        <v>576</v>
      </c>
      <c r="P444" s="368">
        <v>43874</v>
      </c>
      <c r="Q444" t="s">
        <v>46</v>
      </c>
      <c r="R444" t="s">
        <v>1028</v>
      </c>
      <c r="S444" t="s">
        <v>212</v>
      </c>
      <c r="T444" t="s">
        <v>160</v>
      </c>
      <c r="U444"/>
    </row>
    <row r="445" spans="1:21" x14ac:dyDescent="0.2">
      <c r="A445">
        <v>170894</v>
      </c>
      <c r="B445" t="s">
        <v>520</v>
      </c>
      <c r="C445">
        <v>17</v>
      </c>
      <c r="D445">
        <v>4</v>
      </c>
      <c r="E445">
        <v>4</v>
      </c>
      <c r="F445">
        <v>17</v>
      </c>
      <c r="G445">
        <v>43</v>
      </c>
      <c r="H445">
        <v>22</v>
      </c>
      <c r="I445">
        <v>56</v>
      </c>
      <c r="J445">
        <v>9.3000000000000007</v>
      </c>
      <c r="K445">
        <v>0.7</v>
      </c>
      <c r="L445">
        <v>1.89</v>
      </c>
      <c r="M445">
        <v>23.2</v>
      </c>
      <c r="N445">
        <v>0.4</v>
      </c>
      <c r="O445" t="s">
        <v>576</v>
      </c>
      <c r="P445" s="368">
        <v>39321</v>
      </c>
      <c r="Q445" t="s">
        <v>46</v>
      </c>
      <c r="R445" t="s">
        <v>581</v>
      </c>
      <c r="S445" t="s">
        <v>212</v>
      </c>
      <c r="T445" t="s">
        <v>213</v>
      </c>
      <c r="U445"/>
    </row>
    <row r="446" spans="1:21" x14ac:dyDescent="0.2">
      <c r="A446">
        <v>643700</v>
      </c>
      <c r="B446" t="s">
        <v>404</v>
      </c>
      <c r="C446">
        <v>21</v>
      </c>
      <c r="D446">
        <v>0</v>
      </c>
      <c r="E446">
        <v>7</v>
      </c>
      <c r="F446">
        <v>21</v>
      </c>
      <c r="G446">
        <v>51</v>
      </c>
      <c r="H446">
        <v>63</v>
      </c>
      <c r="I446">
        <v>117</v>
      </c>
      <c r="J446">
        <v>16.8</v>
      </c>
      <c r="K446">
        <v>0.72</v>
      </c>
      <c r="L446">
        <v>1.76</v>
      </c>
      <c r="M446">
        <v>19.7</v>
      </c>
      <c r="N446">
        <v>0.9</v>
      </c>
      <c r="O446" t="s">
        <v>548</v>
      </c>
      <c r="P446" s="368">
        <v>43118</v>
      </c>
      <c r="Q446" t="s">
        <v>151</v>
      </c>
      <c r="R446" t="s">
        <v>813</v>
      </c>
      <c r="S446" t="s">
        <v>186</v>
      </c>
      <c r="T446" t="s">
        <v>201</v>
      </c>
      <c r="U446"/>
    </row>
    <row r="447" spans="1:21" x14ac:dyDescent="0.2">
      <c r="A447">
        <v>170423</v>
      </c>
      <c r="B447" t="s">
        <v>211</v>
      </c>
      <c r="C447">
        <v>22</v>
      </c>
      <c r="D447">
        <v>0</v>
      </c>
      <c r="E447">
        <v>8</v>
      </c>
      <c r="F447">
        <v>22</v>
      </c>
      <c r="G447">
        <v>52</v>
      </c>
      <c r="H447">
        <v>67</v>
      </c>
      <c r="I447">
        <v>116</v>
      </c>
      <c r="J447">
        <v>16.600000000000001</v>
      </c>
      <c r="K447">
        <v>0.72</v>
      </c>
      <c r="L447">
        <v>1.77</v>
      </c>
      <c r="M447">
        <v>19.899999999999999</v>
      </c>
      <c r="N447">
        <v>1</v>
      </c>
      <c r="O447" t="s">
        <v>548</v>
      </c>
      <c r="P447" s="368">
        <v>37001</v>
      </c>
      <c r="Q447" t="s">
        <v>151</v>
      </c>
      <c r="R447" t="s">
        <v>580</v>
      </c>
      <c r="S447" t="s">
        <v>186</v>
      </c>
      <c r="T447" t="s">
        <v>201</v>
      </c>
      <c r="U447"/>
    </row>
    <row r="448" spans="1:21" x14ac:dyDescent="0.2">
      <c r="A448">
        <v>401695</v>
      </c>
      <c r="B448" t="s">
        <v>976</v>
      </c>
      <c r="C448">
        <v>12</v>
      </c>
      <c r="D448">
        <v>6</v>
      </c>
      <c r="E448">
        <v>8</v>
      </c>
      <c r="F448">
        <v>12</v>
      </c>
      <c r="G448">
        <v>16</v>
      </c>
      <c r="H448">
        <v>49</v>
      </c>
      <c r="I448">
        <v>147</v>
      </c>
      <c r="J448">
        <v>19.8</v>
      </c>
      <c r="K448">
        <v>0.73</v>
      </c>
      <c r="L448">
        <v>1.8</v>
      </c>
      <c r="M448">
        <v>18.899999999999999</v>
      </c>
      <c r="N448">
        <v>0.8</v>
      </c>
      <c r="O448" t="s">
        <v>576</v>
      </c>
      <c r="P448" s="368">
        <v>38964</v>
      </c>
      <c r="Q448" t="s">
        <v>46</v>
      </c>
      <c r="R448" t="s">
        <v>696</v>
      </c>
      <c r="S448" t="s">
        <v>974</v>
      </c>
      <c r="T448" t="s">
        <v>224</v>
      </c>
      <c r="U448"/>
    </row>
    <row r="449" spans="1:21" x14ac:dyDescent="0.2">
      <c r="A449">
        <v>834788</v>
      </c>
      <c r="B449" t="s">
        <v>461</v>
      </c>
      <c r="C449">
        <v>28</v>
      </c>
      <c r="D449">
        <v>5</v>
      </c>
      <c r="E449">
        <v>11</v>
      </c>
      <c r="F449">
        <v>28</v>
      </c>
      <c r="G449">
        <v>36</v>
      </c>
      <c r="H449">
        <v>48</v>
      </c>
      <c r="I449">
        <v>120</v>
      </c>
      <c r="J449">
        <v>17.100000000000001</v>
      </c>
      <c r="K449">
        <v>0.73</v>
      </c>
      <c r="L449">
        <v>2.13</v>
      </c>
      <c r="M449">
        <v>22.8</v>
      </c>
      <c r="N449">
        <v>0.7</v>
      </c>
      <c r="O449" t="s">
        <v>548</v>
      </c>
      <c r="P449" s="368">
        <v>37508</v>
      </c>
      <c r="Q449" t="s">
        <v>151</v>
      </c>
      <c r="R449" t="s">
        <v>892</v>
      </c>
      <c r="S449" t="s">
        <v>334</v>
      </c>
      <c r="T449" t="s">
        <v>253</v>
      </c>
      <c r="U449"/>
    </row>
    <row r="450" spans="1:21" x14ac:dyDescent="0.2">
      <c r="A450">
        <v>899352</v>
      </c>
      <c r="B450" t="s">
        <v>1232</v>
      </c>
      <c r="C450">
        <v>15</v>
      </c>
      <c r="D450">
        <v>2</v>
      </c>
      <c r="E450">
        <v>7</v>
      </c>
      <c r="F450">
        <v>15</v>
      </c>
      <c r="G450">
        <v>26</v>
      </c>
      <c r="H450">
        <v>44</v>
      </c>
      <c r="I450">
        <v>92</v>
      </c>
      <c r="J450">
        <v>14</v>
      </c>
      <c r="K450">
        <v>0.73</v>
      </c>
      <c r="L450">
        <v>1.8</v>
      </c>
      <c r="M450">
        <v>14.8</v>
      </c>
      <c r="N450">
        <v>0.9</v>
      </c>
      <c r="O450" t="s">
        <v>556</v>
      </c>
      <c r="P450" s="368">
        <v>44327</v>
      </c>
      <c r="Q450" t="s">
        <v>46</v>
      </c>
      <c r="R450" t="s">
        <v>1203</v>
      </c>
      <c r="S450" t="s">
        <v>974</v>
      </c>
      <c r="T450" t="s">
        <v>179</v>
      </c>
      <c r="U450"/>
    </row>
    <row r="451" spans="1:21" x14ac:dyDescent="0.2">
      <c r="A451">
        <v>425067</v>
      </c>
      <c r="B451" t="s">
        <v>1023</v>
      </c>
      <c r="C451">
        <v>12</v>
      </c>
      <c r="D451">
        <v>3</v>
      </c>
      <c r="E451">
        <v>0</v>
      </c>
      <c r="F451">
        <v>12</v>
      </c>
      <c r="G451">
        <v>28</v>
      </c>
      <c r="H451">
        <v>35</v>
      </c>
      <c r="I451">
        <v>90</v>
      </c>
      <c r="J451">
        <v>13.7</v>
      </c>
      <c r="K451">
        <v>0.73</v>
      </c>
      <c r="L451">
        <v>2</v>
      </c>
      <c r="M451">
        <v>16.899999999999999</v>
      </c>
      <c r="N451">
        <v>0.7</v>
      </c>
      <c r="O451" t="s">
        <v>576</v>
      </c>
      <c r="P451" s="368">
        <v>43874</v>
      </c>
      <c r="Q451" t="s">
        <v>46</v>
      </c>
      <c r="R451" t="s">
        <v>1024</v>
      </c>
      <c r="S451" t="s">
        <v>212</v>
      </c>
      <c r="T451" t="s">
        <v>169</v>
      </c>
      <c r="U451"/>
    </row>
    <row r="452" spans="1:21" x14ac:dyDescent="0.2">
      <c r="A452">
        <v>523050</v>
      </c>
      <c r="B452" t="s">
        <v>980</v>
      </c>
      <c r="C452">
        <v>10</v>
      </c>
      <c r="D452">
        <v>4</v>
      </c>
      <c r="E452">
        <v>6</v>
      </c>
      <c r="F452">
        <v>10</v>
      </c>
      <c r="G452">
        <v>22</v>
      </c>
      <c r="H452">
        <v>38</v>
      </c>
      <c r="I452">
        <v>88</v>
      </c>
      <c r="J452">
        <v>13.4</v>
      </c>
      <c r="K452">
        <v>0.73</v>
      </c>
      <c r="L452">
        <v>1.8</v>
      </c>
      <c r="M452">
        <v>15.5</v>
      </c>
      <c r="N452">
        <v>0.8</v>
      </c>
      <c r="O452" t="s">
        <v>556</v>
      </c>
      <c r="P452" s="368">
        <v>40392</v>
      </c>
      <c r="Q452" t="s">
        <v>46</v>
      </c>
      <c r="R452" t="s">
        <v>765</v>
      </c>
      <c r="S452" t="s">
        <v>974</v>
      </c>
      <c r="T452" t="s">
        <v>159</v>
      </c>
      <c r="U452"/>
    </row>
    <row r="453" spans="1:21" x14ac:dyDescent="0.2">
      <c r="A453">
        <v>755090</v>
      </c>
      <c r="B453" t="s">
        <v>515</v>
      </c>
      <c r="C453">
        <v>13</v>
      </c>
      <c r="D453">
        <v>1</v>
      </c>
      <c r="E453">
        <v>3</v>
      </c>
      <c r="F453">
        <v>13</v>
      </c>
      <c r="G453">
        <v>21</v>
      </c>
      <c r="H453">
        <v>15</v>
      </c>
      <c r="I453">
        <v>45</v>
      </c>
      <c r="J453">
        <v>7.8</v>
      </c>
      <c r="K453">
        <v>0.73</v>
      </c>
      <c r="L453">
        <v>1.81</v>
      </c>
      <c r="M453">
        <v>15.7</v>
      </c>
      <c r="N453">
        <v>0.4</v>
      </c>
      <c r="O453" t="s">
        <v>556</v>
      </c>
      <c r="P453" s="368">
        <v>39468</v>
      </c>
      <c r="Q453" t="s">
        <v>46</v>
      </c>
      <c r="R453" t="s">
        <v>864</v>
      </c>
      <c r="S453" t="s">
        <v>291</v>
      </c>
      <c r="T453" t="s">
        <v>179</v>
      </c>
      <c r="U453"/>
    </row>
    <row r="454" spans="1:21" x14ac:dyDescent="0.2">
      <c r="A454">
        <v>442483</v>
      </c>
      <c r="B454" t="s">
        <v>333</v>
      </c>
      <c r="C454">
        <v>22</v>
      </c>
      <c r="D454">
        <v>4</v>
      </c>
      <c r="E454">
        <v>12</v>
      </c>
      <c r="F454">
        <v>22</v>
      </c>
      <c r="G454">
        <v>27</v>
      </c>
      <c r="H454">
        <v>14</v>
      </c>
      <c r="I454">
        <v>58</v>
      </c>
      <c r="J454">
        <v>9.6</v>
      </c>
      <c r="K454">
        <v>0.74</v>
      </c>
      <c r="L454">
        <v>2.17</v>
      </c>
      <c r="M454">
        <v>24.5</v>
      </c>
      <c r="N454">
        <v>0.3</v>
      </c>
      <c r="O454" t="s">
        <v>548</v>
      </c>
      <c r="P454" s="368">
        <v>37272</v>
      </c>
      <c r="Q454" t="s">
        <v>151</v>
      </c>
      <c r="R454" t="s">
        <v>719</v>
      </c>
      <c r="S454" t="s">
        <v>334</v>
      </c>
      <c r="T454" t="s">
        <v>306</v>
      </c>
      <c r="U454"/>
    </row>
    <row r="455" spans="1:21" x14ac:dyDescent="0.2">
      <c r="A455">
        <v>791863</v>
      </c>
      <c r="B455" t="s">
        <v>1123</v>
      </c>
      <c r="C455">
        <v>10</v>
      </c>
      <c r="D455">
        <v>3</v>
      </c>
      <c r="E455">
        <v>3</v>
      </c>
      <c r="F455">
        <v>10</v>
      </c>
      <c r="G455">
        <v>8</v>
      </c>
      <c r="H455"/>
      <c r="I455"/>
      <c r="J455"/>
      <c r="K455">
        <v>0.74</v>
      </c>
      <c r="L455">
        <v>1.9</v>
      </c>
      <c r="M455"/>
      <c r="N455"/>
      <c r="O455" t="s">
        <v>576</v>
      </c>
      <c r="P455" s="368">
        <v>43971</v>
      </c>
      <c r="Q455" t="s">
        <v>46</v>
      </c>
      <c r="R455" t="s">
        <v>1132</v>
      </c>
      <c r="S455" t="s">
        <v>207</v>
      </c>
      <c r="T455" t="s">
        <v>159</v>
      </c>
      <c r="U455"/>
    </row>
    <row r="456" spans="1:21" x14ac:dyDescent="0.2">
      <c r="A456">
        <v>502922</v>
      </c>
      <c r="B456" t="s">
        <v>358</v>
      </c>
      <c r="C456">
        <v>16</v>
      </c>
      <c r="D456">
        <v>-5</v>
      </c>
      <c r="E456">
        <v>1</v>
      </c>
      <c r="F456">
        <v>16</v>
      </c>
      <c r="G456">
        <v>35</v>
      </c>
      <c r="H456">
        <v>20</v>
      </c>
      <c r="I456">
        <v>85</v>
      </c>
      <c r="J456">
        <v>13.1</v>
      </c>
      <c r="K456">
        <v>0.75</v>
      </c>
      <c r="L456">
        <v>1.84</v>
      </c>
      <c r="M456">
        <v>23.7</v>
      </c>
      <c r="N456">
        <v>0.4</v>
      </c>
      <c r="O456" t="s">
        <v>556</v>
      </c>
      <c r="P456" s="368">
        <v>41390</v>
      </c>
      <c r="Q456" t="s">
        <v>46</v>
      </c>
      <c r="R456" t="s">
        <v>753</v>
      </c>
      <c r="S456" t="s">
        <v>255</v>
      </c>
      <c r="T456" t="s">
        <v>160</v>
      </c>
      <c r="U456"/>
    </row>
    <row r="457" spans="1:21" x14ac:dyDescent="0.2">
      <c r="A457">
        <v>245381</v>
      </c>
      <c r="B457" t="s">
        <v>250</v>
      </c>
      <c r="C457">
        <v>23</v>
      </c>
      <c r="D457">
        <v>3</v>
      </c>
      <c r="E457">
        <v>6</v>
      </c>
      <c r="F457">
        <v>23</v>
      </c>
      <c r="G457">
        <v>40</v>
      </c>
      <c r="H457">
        <v>26</v>
      </c>
      <c r="I457">
        <v>66</v>
      </c>
      <c r="J457">
        <v>10.7</v>
      </c>
      <c r="K457">
        <v>0.75</v>
      </c>
      <c r="L457">
        <v>1.85</v>
      </c>
      <c r="M457">
        <v>19.2</v>
      </c>
      <c r="N457">
        <v>0.5</v>
      </c>
      <c r="O457" t="s">
        <v>576</v>
      </c>
      <c r="P457" s="368">
        <v>42220</v>
      </c>
      <c r="Q457" t="s">
        <v>46</v>
      </c>
      <c r="R457" t="s">
        <v>615</v>
      </c>
      <c r="S457" t="s">
        <v>199</v>
      </c>
      <c r="T457" t="s">
        <v>251</v>
      </c>
      <c r="U457"/>
    </row>
    <row r="458" spans="1:21" x14ac:dyDescent="0.2">
      <c r="A458">
        <v>182584</v>
      </c>
      <c r="B458" t="s">
        <v>521</v>
      </c>
      <c r="C458">
        <v>24</v>
      </c>
      <c r="D458">
        <v>1</v>
      </c>
      <c r="E458">
        <v>10</v>
      </c>
      <c r="F458">
        <v>24</v>
      </c>
      <c r="G458">
        <v>56</v>
      </c>
      <c r="H458">
        <v>68</v>
      </c>
      <c r="I458">
        <v>131</v>
      </c>
      <c r="J458">
        <v>18.2</v>
      </c>
      <c r="K458">
        <v>0.76</v>
      </c>
      <c r="L458">
        <v>1.88</v>
      </c>
      <c r="M458">
        <v>18.399999999999999</v>
      </c>
      <c r="N458">
        <v>1</v>
      </c>
      <c r="O458" t="s">
        <v>556</v>
      </c>
      <c r="P458" s="368">
        <v>36712</v>
      </c>
      <c r="Q458" t="s">
        <v>46</v>
      </c>
      <c r="R458" t="s">
        <v>586</v>
      </c>
      <c r="S458" t="s">
        <v>217</v>
      </c>
      <c r="T458" t="s">
        <v>194</v>
      </c>
      <c r="U458"/>
    </row>
    <row r="459" spans="1:21" x14ac:dyDescent="0.2">
      <c r="A459">
        <v>870907</v>
      </c>
      <c r="B459" t="s">
        <v>472</v>
      </c>
      <c r="C459">
        <v>18</v>
      </c>
      <c r="D459">
        <v>5</v>
      </c>
      <c r="E459">
        <v>10</v>
      </c>
      <c r="F459">
        <v>18</v>
      </c>
      <c r="G459">
        <v>31</v>
      </c>
      <c r="H459">
        <v>16</v>
      </c>
      <c r="I459">
        <v>52</v>
      </c>
      <c r="J459">
        <v>8.8000000000000007</v>
      </c>
      <c r="K459">
        <v>0.76</v>
      </c>
      <c r="L459">
        <v>2.35</v>
      </c>
      <c r="M459">
        <v>18.899999999999999</v>
      </c>
      <c r="N459">
        <v>0.4</v>
      </c>
      <c r="O459" t="s">
        <v>548</v>
      </c>
      <c r="P459" s="368">
        <v>42045</v>
      </c>
      <c r="Q459" t="s">
        <v>46</v>
      </c>
      <c r="R459" t="s">
        <v>912</v>
      </c>
      <c r="S459" t="s">
        <v>334</v>
      </c>
      <c r="T459" t="s">
        <v>169</v>
      </c>
      <c r="U459"/>
    </row>
    <row r="460" spans="1:21" x14ac:dyDescent="0.2">
      <c r="A460">
        <v>850776</v>
      </c>
      <c r="B460" t="s">
        <v>1098</v>
      </c>
      <c r="C460">
        <v>22</v>
      </c>
      <c r="D460">
        <v>0</v>
      </c>
      <c r="E460">
        <v>2</v>
      </c>
      <c r="F460">
        <v>22</v>
      </c>
      <c r="G460">
        <v>28</v>
      </c>
      <c r="H460">
        <v>20</v>
      </c>
      <c r="I460">
        <v>48</v>
      </c>
      <c r="J460">
        <v>8.1</v>
      </c>
      <c r="K460">
        <v>0.76</v>
      </c>
      <c r="L460">
        <v>1.89</v>
      </c>
      <c r="M460">
        <v>16.899999999999999</v>
      </c>
      <c r="N460">
        <v>0.5</v>
      </c>
      <c r="O460" t="s">
        <v>556</v>
      </c>
      <c r="P460" s="368">
        <v>43894</v>
      </c>
      <c r="Q460" t="s">
        <v>46</v>
      </c>
      <c r="R460" t="s">
        <v>1115</v>
      </c>
      <c r="S460" t="s">
        <v>195</v>
      </c>
      <c r="T460" t="s">
        <v>197</v>
      </c>
      <c r="U460"/>
    </row>
    <row r="461" spans="1:21" x14ac:dyDescent="0.2">
      <c r="A461">
        <v>666370</v>
      </c>
      <c r="B461" t="s">
        <v>983</v>
      </c>
      <c r="C461">
        <v>18</v>
      </c>
      <c r="D461">
        <v>10</v>
      </c>
      <c r="E461">
        <v>7</v>
      </c>
      <c r="F461">
        <v>18</v>
      </c>
      <c r="G461">
        <v>29</v>
      </c>
      <c r="H461">
        <v>61</v>
      </c>
      <c r="I461">
        <v>136</v>
      </c>
      <c r="J461">
        <v>18.7</v>
      </c>
      <c r="K461">
        <v>0.77</v>
      </c>
      <c r="L461">
        <v>1.9</v>
      </c>
      <c r="M461">
        <v>17.2</v>
      </c>
      <c r="N461">
        <v>1</v>
      </c>
      <c r="O461" t="s">
        <v>576</v>
      </c>
      <c r="P461" s="368">
        <v>40392</v>
      </c>
      <c r="Q461" t="s">
        <v>46</v>
      </c>
      <c r="R461" t="s">
        <v>827</v>
      </c>
      <c r="S461" t="s">
        <v>974</v>
      </c>
      <c r="T461" t="s">
        <v>245</v>
      </c>
      <c r="U461"/>
    </row>
    <row r="462" spans="1:21" x14ac:dyDescent="0.2">
      <c r="A462">
        <v>886606</v>
      </c>
      <c r="B462" t="s">
        <v>1099</v>
      </c>
      <c r="C462">
        <v>7</v>
      </c>
      <c r="D462">
        <v>3</v>
      </c>
      <c r="E462">
        <v>-1</v>
      </c>
      <c r="F462">
        <v>7</v>
      </c>
      <c r="G462">
        <v>22</v>
      </c>
      <c r="H462">
        <v>30</v>
      </c>
      <c r="I462">
        <v>115</v>
      </c>
      <c r="J462">
        <v>16.600000000000001</v>
      </c>
      <c r="K462">
        <v>0.77</v>
      </c>
      <c r="L462">
        <v>1.91</v>
      </c>
      <c r="M462">
        <v>17.3</v>
      </c>
      <c r="N462">
        <v>0.6</v>
      </c>
      <c r="O462" t="s">
        <v>556</v>
      </c>
      <c r="P462" s="368">
        <v>43894</v>
      </c>
      <c r="Q462" t="s">
        <v>46</v>
      </c>
      <c r="R462" t="s">
        <v>1116</v>
      </c>
      <c r="S462" t="s">
        <v>195</v>
      </c>
      <c r="T462" t="s">
        <v>245</v>
      </c>
      <c r="U462"/>
    </row>
    <row r="463" spans="1:21" x14ac:dyDescent="0.2">
      <c r="A463">
        <v>814947</v>
      </c>
      <c r="B463" t="s">
        <v>1097</v>
      </c>
      <c r="C463">
        <v>10</v>
      </c>
      <c r="D463">
        <v>2</v>
      </c>
      <c r="E463">
        <v>5</v>
      </c>
      <c r="F463">
        <v>10</v>
      </c>
      <c r="G463">
        <v>11</v>
      </c>
      <c r="H463">
        <v>37</v>
      </c>
      <c r="I463">
        <v>94</v>
      </c>
      <c r="J463">
        <v>14.2</v>
      </c>
      <c r="K463">
        <v>0.77</v>
      </c>
      <c r="L463">
        <v>1.9</v>
      </c>
      <c r="M463">
        <v>14.9</v>
      </c>
      <c r="N463">
        <v>0.8</v>
      </c>
      <c r="O463" t="s">
        <v>556</v>
      </c>
      <c r="P463" s="368">
        <v>43894</v>
      </c>
      <c r="Q463" t="s">
        <v>46</v>
      </c>
      <c r="R463" t="s">
        <v>1114</v>
      </c>
      <c r="S463" t="s">
        <v>195</v>
      </c>
      <c r="T463" t="s">
        <v>179</v>
      </c>
      <c r="U463"/>
    </row>
    <row r="464" spans="1:21" x14ac:dyDescent="0.2">
      <c r="A464">
        <v>670091</v>
      </c>
      <c r="B464" t="s">
        <v>514</v>
      </c>
      <c r="C464">
        <v>11</v>
      </c>
      <c r="D464">
        <v>3</v>
      </c>
      <c r="E464">
        <v>2</v>
      </c>
      <c r="F464">
        <v>11</v>
      </c>
      <c r="G464">
        <v>23</v>
      </c>
      <c r="H464">
        <v>21</v>
      </c>
      <c r="I464">
        <v>79</v>
      </c>
      <c r="J464">
        <v>12.4</v>
      </c>
      <c r="K464">
        <v>0.77</v>
      </c>
      <c r="L464">
        <v>1.9</v>
      </c>
      <c r="M464">
        <v>14.9</v>
      </c>
      <c r="N464">
        <v>0.5</v>
      </c>
      <c r="O464" t="s">
        <v>556</v>
      </c>
      <c r="P464" s="368">
        <v>39175</v>
      </c>
      <c r="Q464" t="s">
        <v>46</v>
      </c>
      <c r="R464" t="s">
        <v>830</v>
      </c>
      <c r="S464" t="s">
        <v>291</v>
      </c>
      <c r="T464" t="s">
        <v>169</v>
      </c>
      <c r="U464"/>
    </row>
    <row r="465" spans="1:21" x14ac:dyDescent="0.2">
      <c r="A465">
        <v>313320</v>
      </c>
      <c r="B465" t="s">
        <v>1078</v>
      </c>
      <c r="C465">
        <v>7</v>
      </c>
      <c r="D465">
        <v>2</v>
      </c>
      <c r="E465">
        <v>-2</v>
      </c>
      <c r="F465">
        <v>7</v>
      </c>
      <c r="G465">
        <v>20</v>
      </c>
      <c r="H465">
        <v>24</v>
      </c>
      <c r="I465">
        <v>77</v>
      </c>
      <c r="J465">
        <v>12</v>
      </c>
      <c r="K465">
        <v>0.77</v>
      </c>
      <c r="L465">
        <v>1.91</v>
      </c>
      <c r="M465">
        <v>15.1</v>
      </c>
      <c r="N465">
        <v>0.6</v>
      </c>
      <c r="O465" t="s">
        <v>556</v>
      </c>
      <c r="P465" s="368">
        <v>43894</v>
      </c>
      <c r="Q465" t="s">
        <v>46</v>
      </c>
      <c r="R465" t="s">
        <v>1108</v>
      </c>
      <c r="S465" t="s">
        <v>195</v>
      </c>
      <c r="T465" t="s">
        <v>251</v>
      </c>
      <c r="U465"/>
    </row>
    <row r="466" spans="1:21" x14ac:dyDescent="0.2">
      <c r="A466">
        <v>992099</v>
      </c>
      <c r="B466" t="s">
        <v>990</v>
      </c>
      <c r="C466">
        <v>7</v>
      </c>
      <c r="D466">
        <v>3</v>
      </c>
      <c r="E466">
        <v>-5</v>
      </c>
      <c r="F466">
        <v>7</v>
      </c>
      <c r="G466">
        <v>20</v>
      </c>
      <c r="H466">
        <v>31</v>
      </c>
      <c r="I466">
        <v>74</v>
      </c>
      <c r="J466">
        <v>11.7</v>
      </c>
      <c r="K466">
        <v>0.77</v>
      </c>
      <c r="L466">
        <v>1.91</v>
      </c>
      <c r="M466">
        <v>15.1</v>
      </c>
      <c r="N466">
        <v>0.7</v>
      </c>
      <c r="O466" t="s">
        <v>576</v>
      </c>
      <c r="P466" s="368">
        <v>36712</v>
      </c>
      <c r="Q466" t="s">
        <v>46</v>
      </c>
      <c r="R466" t="s">
        <v>963</v>
      </c>
      <c r="S466" t="s">
        <v>974</v>
      </c>
      <c r="T466" t="s">
        <v>251</v>
      </c>
      <c r="U466"/>
    </row>
    <row r="467" spans="1:21" x14ac:dyDescent="0.2">
      <c r="A467">
        <v>958264</v>
      </c>
      <c r="B467" t="s">
        <v>1103</v>
      </c>
      <c r="C467">
        <v>10</v>
      </c>
      <c r="D467">
        <v>1</v>
      </c>
      <c r="E467">
        <v>-6</v>
      </c>
      <c r="F467">
        <v>10</v>
      </c>
      <c r="G467">
        <v>8</v>
      </c>
      <c r="H467">
        <v>0</v>
      </c>
      <c r="I467">
        <v>58</v>
      </c>
      <c r="J467">
        <v>9.6</v>
      </c>
      <c r="K467">
        <v>0.77</v>
      </c>
      <c r="L467">
        <v>1.91</v>
      </c>
      <c r="M467">
        <v>15.5</v>
      </c>
      <c r="N467">
        <v>0.1</v>
      </c>
      <c r="O467" t="s">
        <v>576</v>
      </c>
      <c r="P467" s="368">
        <v>43894</v>
      </c>
      <c r="Q467" t="s">
        <v>46</v>
      </c>
      <c r="R467" t="s">
        <v>1118</v>
      </c>
      <c r="S467" t="s">
        <v>195</v>
      </c>
      <c r="T467" t="s">
        <v>245</v>
      </c>
      <c r="U467"/>
    </row>
    <row r="468" spans="1:21" x14ac:dyDescent="0.2">
      <c r="A468">
        <v>994095</v>
      </c>
      <c r="B468" t="s">
        <v>1104</v>
      </c>
      <c r="C468">
        <v>19</v>
      </c>
      <c r="D468">
        <v>2</v>
      </c>
      <c r="E468">
        <v>2</v>
      </c>
      <c r="F468">
        <v>19</v>
      </c>
      <c r="G468">
        <v>38</v>
      </c>
      <c r="H468">
        <v>62</v>
      </c>
      <c r="I468">
        <v>128</v>
      </c>
      <c r="J468">
        <v>17.899999999999999</v>
      </c>
      <c r="K468">
        <v>0.78</v>
      </c>
      <c r="L468">
        <v>1.95</v>
      </c>
      <c r="M468">
        <v>16.7</v>
      </c>
      <c r="N468">
        <v>1.1000000000000001</v>
      </c>
      <c r="O468" t="s">
        <v>556</v>
      </c>
      <c r="P468" s="368">
        <v>43894</v>
      </c>
      <c r="Q468" t="s">
        <v>46</v>
      </c>
      <c r="R468" t="s">
        <v>1119</v>
      </c>
      <c r="S468" t="s">
        <v>195</v>
      </c>
      <c r="T468" t="s">
        <v>251</v>
      </c>
      <c r="U468"/>
    </row>
    <row r="469" spans="1:21" x14ac:dyDescent="0.2">
      <c r="A469">
        <v>349150</v>
      </c>
      <c r="B469" t="s">
        <v>1080</v>
      </c>
      <c r="C469">
        <v>12</v>
      </c>
      <c r="D469">
        <v>3</v>
      </c>
      <c r="E469">
        <v>1</v>
      </c>
      <c r="F469">
        <v>12</v>
      </c>
      <c r="G469">
        <v>39</v>
      </c>
      <c r="H469">
        <v>43</v>
      </c>
      <c r="I469">
        <v>93</v>
      </c>
      <c r="J469">
        <v>14.1</v>
      </c>
      <c r="K469">
        <v>0.78</v>
      </c>
      <c r="L469">
        <v>1.93</v>
      </c>
      <c r="M469">
        <v>16.100000000000001</v>
      </c>
      <c r="N469">
        <v>0.8</v>
      </c>
      <c r="O469" t="s">
        <v>556</v>
      </c>
      <c r="P469" s="368">
        <v>43894</v>
      </c>
      <c r="Q469" t="s">
        <v>46</v>
      </c>
      <c r="R469" t="s">
        <v>1109</v>
      </c>
      <c r="S469" t="s">
        <v>195</v>
      </c>
      <c r="T469" t="s">
        <v>169</v>
      </c>
      <c r="U469"/>
    </row>
    <row r="470" spans="1:21" x14ac:dyDescent="0.2">
      <c r="A470">
        <v>922435</v>
      </c>
      <c r="B470" t="s">
        <v>1102</v>
      </c>
      <c r="C470">
        <v>11</v>
      </c>
      <c r="D470">
        <v>2</v>
      </c>
      <c r="E470">
        <v>-1</v>
      </c>
      <c r="F470">
        <v>11</v>
      </c>
      <c r="G470">
        <v>31</v>
      </c>
      <c r="H470">
        <v>33</v>
      </c>
      <c r="I470">
        <v>91</v>
      </c>
      <c r="J470">
        <v>13.9</v>
      </c>
      <c r="K470">
        <v>0.78</v>
      </c>
      <c r="L470">
        <v>1.93</v>
      </c>
      <c r="M470">
        <v>15.3</v>
      </c>
      <c r="N470">
        <v>0.7</v>
      </c>
      <c r="O470" t="s">
        <v>556</v>
      </c>
      <c r="P470" s="368">
        <v>43894</v>
      </c>
      <c r="Q470" t="s">
        <v>46</v>
      </c>
      <c r="R470" t="s">
        <v>1117</v>
      </c>
      <c r="S470" t="s">
        <v>195</v>
      </c>
      <c r="T470" t="s">
        <v>251</v>
      </c>
      <c r="U470"/>
    </row>
    <row r="471" spans="1:21" x14ac:dyDescent="0.2">
      <c r="A471">
        <v>237834</v>
      </c>
      <c r="B471" t="s">
        <v>246</v>
      </c>
      <c r="C471">
        <v>14</v>
      </c>
      <c r="D471">
        <v>-1</v>
      </c>
      <c r="E471">
        <v>5</v>
      </c>
      <c r="F471">
        <v>14</v>
      </c>
      <c r="G471">
        <v>50</v>
      </c>
      <c r="H471">
        <v>52</v>
      </c>
      <c r="I471">
        <v>113</v>
      </c>
      <c r="J471">
        <v>16.399999999999999</v>
      </c>
      <c r="K471">
        <v>0.8</v>
      </c>
      <c r="L471">
        <v>2</v>
      </c>
      <c r="M471">
        <v>21.6</v>
      </c>
      <c r="N471">
        <v>0.8</v>
      </c>
      <c r="O471" t="s">
        <v>556</v>
      </c>
      <c r="P471" s="368">
        <v>36913</v>
      </c>
      <c r="Q471" t="s">
        <v>46</v>
      </c>
      <c r="R471" t="s">
        <v>610</v>
      </c>
      <c r="S471" t="s">
        <v>227</v>
      </c>
      <c r="T471" t="s">
        <v>190</v>
      </c>
      <c r="U471"/>
    </row>
    <row r="472" spans="1:21" x14ac:dyDescent="0.2">
      <c r="A472">
        <v>202002</v>
      </c>
      <c r="B472" t="s">
        <v>226</v>
      </c>
      <c r="C472">
        <v>15</v>
      </c>
      <c r="D472">
        <v>3</v>
      </c>
      <c r="E472">
        <v>8</v>
      </c>
      <c r="F472">
        <v>15</v>
      </c>
      <c r="G472">
        <v>39</v>
      </c>
      <c r="H472">
        <v>43</v>
      </c>
      <c r="I472">
        <v>108</v>
      </c>
      <c r="J472">
        <v>15.8</v>
      </c>
      <c r="K472">
        <v>0.8</v>
      </c>
      <c r="L472">
        <v>2</v>
      </c>
      <c r="M472">
        <v>18.899999999999999</v>
      </c>
      <c r="N472">
        <v>0.7</v>
      </c>
      <c r="O472" t="s">
        <v>556</v>
      </c>
      <c r="P472" s="368">
        <v>36913</v>
      </c>
      <c r="Q472" t="s">
        <v>46</v>
      </c>
      <c r="R472" t="s">
        <v>597</v>
      </c>
      <c r="S472" t="s">
        <v>227</v>
      </c>
      <c r="T472" t="s">
        <v>159</v>
      </c>
      <c r="U472"/>
    </row>
    <row r="473" spans="1:21" x14ac:dyDescent="0.2">
      <c r="A473">
        <v>785493</v>
      </c>
      <c r="B473" t="s">
        <v>449</v>
      </c>
      <c r="C473">
        <v>13</v>
      </c>
      <c r="D473">
        <v>-2</v>
      </c>
      <c r="E473">
        <v>6</v>
      </c>
      <c r="F473">
        <v>13</v>
      </c>
      <c r="G473">
        <v>60</v>
      </c>
      <c r="H473">
        <v>54</v>
      </c>
      <c r="I473">
        <v>105</v>
      </c>
      <c r="J473">
        <v>15.4</v>
      </c>
      <c r="K473">
        <v>0.8</v>
      </c>
      <c r="L473">
        <v>2</v>
      </c>
      <c r="M473">
        <v>23</v>
      </c>
      <c r="N473">
        <v>0.8</v>
      </c>
      <c r="O473" t="s">
        <v>556</v>
      </c>
      <c r="P473" s="368">
        <v>39013</v>
      </c>
      <c r="Q473" t="s">
        <v>46</v>
      </c>
      <c r="R473" t="s">
        <v>876</v>
      </c>
      <c r="S473" t="s">
        <v>227</v>
      </c>
      <c r="T473" t="s">
        <v>190</v>
      </c>
      <c r="U473"/>
    </row>
    <row r="474" spans="1:21" x14ac:dyDescent="0.2">
      <c r="A474">
        <v>165755</v>
      </c>
      <c r="B474" t="s">
        <v>994</v>
      </c>
      <c r="C474">
        <v>21</v>
      </c>
      <c r="D474">
        <v>-1</v>
      </c>
      <c r="E474">
        <v>0</v>
      </c>
      <c r="F474">
        <v>21</v>
      </c>
      <c r="G474">
        <v>44</v>
      </c>
      <c r="H474">
        <v>11</v>
      </c>
      <c r="I474">
        <v>88</v>
      </c>
      <c r="J474">
        <v>13.5</v>
      </c>
      <c r="K474">
        <v>0.8</v>
      </c>
      <c r="L474">
        <v>2</v>
      </c>
      <c r="M474">
        <v>26.4</v>
      </c>
      <c r="N474">
        <v>0.3</v>
      </c>
      <c r="O474" t="s">
        <v>551</v>
      </c>
      <c r="P474" s="368">
        <v>43850</v>
      </c>
      <c r="Q474" t="s">
        <v>46</v>
      </c>
      <c r="R474" t="s">
        <v>995</v>
      </c>
      <c r="S474" t="s">
        <v>210</v>
      </c>
      <c r="T474" t="s">
        <v>194</v>
      </c>
      <c r="U474"/>
    </row>
    <row r="475" spans="1:21" x14ac:dyDescent="0.2">
      <c r="A475">
        <v>356063</v>
      </c>
      <c r="B475" t="s">
        <v>301</v>
      </c>
      <c r="C475">
        <v>16</v>
      </c>
      <c r="D475">
        <v>1</v>
      </c>
      <c r="E475">
        <v>8</v>
      </c>
      <c r="F475">
        <v>16</v>
      </c>
      <c r="G475">
        <v>34</v>
      </c>
      <c r="H475">
        <v>17</v>
      </c>
      <c r="I475">
        <v>76</v>
      </c>
      <c r="J475">
        <v>12</v>
      </c>
      <c r="K475">
        <v>0.8</v>
      </c>
      <c r="L475">
        <v>2</v>
      </c>
      <c r="M475">
        <v>22.4</v>
      </c>
      <c r="N475">
        <v>0.4</v>
      </c>
      <c r="O475" t="s">
        <v>556</v>
      </c>
      <c r="P475" s="368">
        <v>40070</v>
      </c>
      <c r="Q475" t="s">
        <v>46</v>
      </c>
      <c r="R475" t="s">
        <v>677</v>
      </c>
      <c r="S475" t="s">
        <v>227</v>
      </c>
      <c r="T475" t="s">
        <v>170</v>
      </c>
      <c r="U475"/>
    </row>
    <row r="476" spans="1:21" x14ac:dyDescent="0.2">
      <c r="A476">
        <v>116111</v>
      </c>
      <c r="B476" t="s">
        <v>501</v>
      </c>
      <c r="C476">
        <v>7</v>
      </c>
      <c r="D476">
        <v>3</v>
      </c>
      <c r="E476">
        <v>-1</v>
      </c>
      <c r="F476">
        <v>7</v>
      </c>
      <c r="G476">
        <v>19</v>
      </c>
      <c r="H476">
        <v>-7</v>
      </c>
      <c r="I476">
        <v>25</v>
      </c>
      <c r="J476">
        <v>4.5</v>
      </c>
      <c r="K476">
        <v>0.8</v>
      </c>
      <c r="L476">
        <v>2</v>
      </c>
      <c r="M476">
        <v>16</v>
      </c>
      <c r="N476">
        <v>-0.1</v>
      </c>
      <c r="O476" t="s">
        <v>551</v>
      </c>
      <c r="P476" s="368">
        <v>41016</v>
      </c>
      <c r="Q476" t="s">
        <v>46</v>
      </c>
      <c r="R476" t="s">
        <v>555</v>
      </c>
      <c r="S476" t="s">
        <v>168</v>
      </c>
      <c r="T476" t="s">
        <v>169</v>
      </c>
      <c r="U476"/>
    </row>
    <row r="477" spans="1:21" x14ac:dyDescent="0.2">
      <c r="A477">
        <v>339473</v>
      </c>
      <c r="B477" t="s">
        <v>528</v>
      </c>
      <c r="C477">
        <v>17</v>
      </c>
      <c r="D477">
        <v>-2</v>
      </c>
      <c r="E477">
        <v>6</v>
      </c>
      <c r="F477">
        <v>17</v>
      </c>
      <c r="G477">
        <v>71</v>
      </c>
      <c r="H477">
        <v>106</v>
      </c>
      <c r="I477">
        <v>187</v>
      </c>
      <c r="J477">
        <v>23.5</v>
      </c>
      <c r="K477">
        <v>0.81</v>
      </c>
      <c r="L477">
        <v>2.0299999999999998</v>
      </c>
      <c r="M477">
        <v>22.9</v>
      </c>
      <c r="N477">
        <v>1.2</v>
      </c>
      <c r="O477" t="s">
        <v>556</v>
      </c>
      <c r="P477" s="368">
        <v>42787</v>
      </c>
      <c r="Q477" t="s">
        <v>46</v>
      </c>
      <c r="R477" t="s">
        <v>671</v>
      </c>
      <c r="S477" t="s">
        <v>217</v>
      </c>
      <c r="T477" t="s">
        <v>190</v>
      </c>
      <c r="U477"/>
    </row>
    <row r="478" spans="1:21" x14ac:dyDescent="0.2">
      <c r="A478">
        <v>309492</v>
      </c>
      <c r="B478" t="s">
        <v>527</v>
      </c>
      <c r="C478">
        <v>16</v>
      </c>
      <c r="D478">
        <v>4</v>
      </c>
      <c r="E478">
        <v>10</v>
      </c>
      <c r="F478">
        <v>16</v>
      </c>
      <c r="G478">
        <v>27</v>
      </c>
      <c r="H478">
        <v>51</v>
      </c>
      <c r="I478">
        <v>91</v>
      </c>
      <c r="J478">
        <v>13.8</v>
      </c>
      <c r="K478">
        <v>0.84</v>
      </c>
      <c r="L478">
        <v>2.12</v>
      </c>
      <c r="M478">
        <v>15.3</v>
      </c>
      <c r="N478">
        <v>1</v>
      </c>
      <c r="O478" t="s">
        <v>556</v>
      </c>
      <c r="P478" s="368">
        <v>36938</v>
      </c>
      <c r="Q478" t="s">
        <v>46</v>
      </c>
      <c r="R478" t="s">
        <v>653</v>
      </c>
      <c r="S478" t="s">
        <v>284</v>
      </c>
      <c r="T478" t="s">
        <v>179</v>
      </c>
      <c r="U478"/>
    </row>
    <row r="479" spans="1:21" x14ac:dyDescent="0.2">
      <c r="A479">
        <v>538751</v>
      </c>
      <c r="B479" t="s">
        <v>369</v>
      </c>
      <c r="C479">
        <v>12</v>
      </c>
      <c r="D479">
        <v>1</v>
      </c>
      <c r="E479">
        <v>3</v>
      </c>
      <c r="F479">
        <v>12</v>
      </c>
      <c r="G479">
        <v>30</v>
      </c>
      <c r="H479">
        <v>20</v>
      </c>
      <c r="I479">
        <v>75</v>
      </c>
      <c r="J479">
        <v>11.9</v>
      </c>
      <c r="K479">
        <v>0.84</v>
      </c>
      <c r="L479">
        <v>2.1</v>
      </c>
      <c r="M479">
        <v>21.7</v>
      </c>
      <c r="N479">
        <v>0.4</v>
      </c>
      <c r="O479" t="s">
        <v>556</v>
      </c>
      <c r="P479" s="368">
        <v>41390</v>
      </c>
      <c r="Q479" t="s">
        <v>46</v>
      </c>
      <c r="R479" t="s">
        <v>771</v>
      </c>
      <c r="S479" t="s">
        <v>255</v>
      </c>
      <c r="T479" t="s">
        <v>170</v>
      </c>
      <c r="U479"/>
    </row>
    <row r="480" spans="1:21" x14ac:dyDescent="0.2">
      <c r="A480">
        <v>720201</v>
      </c>
      <c r="B480" t="s">
        <v>1121</v>
      </c>
      <c r="C480">
        <v>14</v>
      </c>
      <c r="D480">
        <v>4</v>
      </c>
      <c r="E480">
        <v>1</v>
      </c>
      <c r="F480">
        <v>14</v>
      </c>
      <c r="G480">
        <v>35</v>
      </c>
      <c r="H480">
        <v>29</v>
      </c>
      <c r="I480">
        <v>72</v>
      </c>
      <c r="J480">
        <v>11.5</v>
      </c>
      <c r="K480">
        <v>0.84</v>
      </c>
      <c r="L480">
        <v>2.2000000000000002</v>
      </c>
      <c r="M480">
        <v>21.7</v>
      </c>
      <c r="N480">
        <v>0.5</v>
      </c>
      <c r="O480" t="s">
        <v>576</v>
      </c>
      <c r="P480" s="368">
        <v>43971</v>
      </c>
      <c r="Q480" t="s">
        <v>46</v>
      </c>
      <c r="R480" t="s">
        <v>1130</v>
      </c>
      <c r="S480" t="s">
        <v>207</v>
      </c>
      <c r="T480" t="s">
        <v>213</v>
      </c>
      <c r="U480"/>
    </row>
    <row r="481" spans="1:21" x14ac:dyDescent="0.2">
      <c r="A481">
        <v>756031</v>
      </c>
      <c r="B481" t="s">
        <v>1122</v>
      </c>
      <c r="C481">
        <v>15</v>
      </c>
      <c r="D481">
        <v>7</v>
      </c>
      <c r="E481">
        <v>15</v>
      </c>
      <c r="F481">
        <v>15</v>
      </c>
      <c r="G481">
        <v>32</v>
      </c>
      <c r="H481">
        <v>17</v>
      </c>
      <c r="I481">
        <v>40</v>
      </c>
      <c r="J481">
        <v>7</v>
      </c>
      <c r="K481">
        <v>0.84</v>
      </c>
      <c r="L481">
        <v>2.2000000000000002</v>
      </c>
      <c r="M481">
        <v>29.7</v>
      </c>
      <c r="N481">
        <v>0.3</v>
      </c>
      <c r="O481" t="s">
        <v>576</v>
      </c>
      <c r="P481" s="368">
        <v>43971</v>
      </c>
      <c r="Q481" t="s">
        <v>46</v>
      </c>
      <c r="R481" t="s">
        <v>1131</v>
      </c>
      <c r="S481" t="s">
        <v>207</v>
      </c>
      <c r="T481" t="s">
        <v>229</v>
      </c>
      <c r="U481"/>
    </row>
    <row r="482" spans="1:21" x14ac:dyDescent="0.2">
      <c r="A482">
        <v>330324</v>
      </c>
      <c r="B482" t="s">
        <v>1178</v>
      </c>
      <c r="C482">
        <v>-6</v>
      </c>
      <c r="D482">
        <v>-12</v>
      </c>
      <c r="E482">
        <v>3</v>
      </c>
      <c r="F482">
        <v>-6</v>
      </c>
      <c r="G482"/>
      <c r="H482"/>
      <c r="I482"/>
      <c r="J482"/>
      <c r="K482">
        <v>0.86</v>
      </c>
      <c r="L482">
        <v>2.2999999999999998</v>
      </c>
      <c r="M482"/>
      <c r="N482"/>
      <c r="O482" t="s">
        <v>576</v>
      </c>
      <c r="P482" s="368">
        <v>44125</v>
      </c>
      <c r="Q482" t="s">
        <v>46</v>
      </c>
      <c r="R482" t="s">
        <v>1181</v>
      </c>
      <c r="S482" t="s">
        <v>1179</v>
      </c>
      <c r="T482" t="s">
        <v>160</v>
      </c>
      <c r="U482"/>
    </row>
    <row r="483" spans="1:21" x14ac:dyDescent="0.2">
      <c r="A483">
        <v>366154</v>
      </c>
      <c r="B483" t="s">
        <v>1180</v>
      </c>
      <c r="C483">
        <v>11</v>
      </c>
      <c r="D483">
        <v>2</v>
      </c>
      <c r="E483">
        <v>3</v>
      </c>
      <c r="F483">
        <v>11</v>
      </c>
      <c r="G483"/>
      <c r="H483"/>
      <c r="I483"/>
      <c r="J483"/>
      <c r="K483">
        <v>0.86</v>
      </c>
      <c r="L483">
        <v>2.2999999999999998</v>
      </c>
      <c r="M483"/>
      <c r="N483"/>
      <c r="O483" t="s">
        <v>576</v>
      </c>
      <c r="P483" s="368">
        <v>44125</v>
      </c>
      <c r="Q483" t="s">
        <v>46</v>
      </c>
      <c r="R483" t="s">
        <v>1182</v>
      </c>
      <c r="S483" t="s">
        <v>1179</v>
      </c>
      <c r="T483" t="s">
        <v>243</v>
      </c>
      <c r="U483"/>
    </row>
    <row r="484" spans="1:21" x14ac:dyDescent="0.2">
      <c r="A484">
        <v>753731</v>
      </c>
      <c r="B484" t="s">
        <v>443</v>
      </c>
      <c r="C484">
        <v>9</v>
      </c>
      <c r="D484">
        <v>3</v>
      </c>
      <c r="E484">
        <v>1</v>
      </c>
      <c r="F484">
        <v>9</v>
      </c>
      <c r="G484">
        <v>21</v>
      </c>
      <c r="H484">
        <v>38</v>
      </c>
      <c r="I484">
        <v>105</v>
      </c>
      <c r="J484">
        <v>15.4</v>
      </c>
      <c r="K484">
        <v>0.89</v>
      </c>
      <c r="L484">
        <v>2.2999999999999998</v>
      </c>
      <c r="M484">
        <v>16</v>
      </c>
      <c r="N484">
        <v>0.8</v>
      </c>
      <c r="O484" t="s">
        <v>576</v>
      </c>
      <c r="P484" s="368">
        <v>41390</v>
      </c>
      <c r="Q484" t="s">
        <v>46</v>
      </c>
      <c r="R484" t="s">
        <v>862</v>
      </c>
      <c r="S484" t="s">
        <v>255</v>
      </c>
      <c r="T484" t="s">
        <v>245</v>
      </c>
      <c r="U484"/>
    </row>
    <row r="485" spans="1:21" x14ac:dyDescent="0.2">
      <c r="A485">
        <v>250878</v>
      </c>
      <c r="B485" t="s">
        <v>254</v>
      </c>
      <c r="C485">
        <v>12</v>
      </c>
      <c r="D485">
        <v>4</v>
      </c>
      <c r="E485">
        <v>1</v>
      </c>
      <c r="F485">
        <v>12</v>
      </c>
      <c r="G485">
        <v>38</v>
      </c>
      <c r="H485">
        <v>36</v>
      </c>
      <c r="I485">
        <v>85</v>
      </c>
      <c r="J485">
        <v>13.1</v>
      </c>
      <c r="K485">
        <v>0.89</v>
      </c>
      <c r="L485">
        <v>2.2999999999999998</v>
      </c>
      <c r="M485">
        <v>16.2</v>
      </c>
      <c r="N485">
        <v>0.7</v>
      </c>
      <c r="O485" t="s">
        <v>576</v>
      </c>
      <c r="P485" s="368">
        <v>41960</v>
      </c>
      <c r="Q485" t="s">
        <v>46</v>
      </c>
      <c r="R485" t="s">
        <v>618</v>
      </c>
      <c r="S485" t="s">
        <v>255</v>
      </c>
      <c r="T485" t="s">
        <v>251</v>
      </c>
      <c r="U485"/>
    </row>
    <row r="486" spans="1:21" x14ac:dyDescent="0.2">
      <c r="A486">
        <v>938845</v>
      </c>
      <c r="B486" t="s">
        <v>485</v>
      </c>
      <c r="C486">
        <v>13</v>
      </c>
      <c r="D486">
        <v>-1</v>
      </c>
      <c r="E486">
        <v>-3</v>
      </c>
      <c r="F486">
        <v>13</v>
      </c>
      <c r="G486">
        <v>19</v>
      </c>
      <c r="H486">
        <v>26</v>
      </c>
      <c r="I486">
        <v>85</v>
      </c>
      <c r="J486">
        <v>13.1</v>
      </c>
      <c r="K486">
        <v>0.89</v>
      </c>
      <c r="L486">
        <v>2.3199999999999998</v>
      </c>
      <c r="M486">
        <v>18.100000000000001</v>
      </c>
      <c r="N486">
        <v>0.5</v>
      </c>
      <c r="O486" t="s">
        <v>548</v>
      </c>
      <c r="P486" s="368">
        <v>43154</v>
      </c>
      <c r="Q486" t="s">
        <v>46</v>
      </c>
      <c r="R486" t="s">
        <v>939</v>
      </c>
      <c r="S486" t="s">
        <v>393</v>
      </c>
      <c r="T486" t="s">
        <v>251</v>
      </c>
      <c r="U486"/>
    </row>
    <row r="487" spans="1:21" x14ac:dyDescent="0.2">
      <c r="A487">
        <v>660704</v>
      </c>
      <c r="B487" t="s">
        <v>411</v>
      </c>
      <c r="C487">
        <v>21</v>
      </c>
      <c r="D487">
        <v>4</v>
      </c>
      <c r="E487">
        <v>13</v>
      </c>
      <c r="F487">
        <v>21</v>
      </c>
      <c r="G487">
        <v>29</v>
      </c>
      <c r="H487">
        <v>17</v>
      </c>
      <c r="I487">
        <v>74</v>
      </c>
      <c r="J487">
        <v>11.7</v>
      </c>
      <c r="K487">
        <v>0.89</v>
      </c>
      <c r="L487">
        <v>2.39</v>
      </c>
      <c r="M487">
        <v>24.6</v>
      </c>
      <c r="N487">
        <v>0.3</v>
      </c>
      <c r="O487" t="s">
        <v>556</v>
      </c>
      <c r="P487" s="368">
        <v>43203</v>
      </c>
      <c r="Q487" t="s">
        <v>46</v>
      </c>
      <c r="R487" t="s">
        <v>823</v>
      </c>
      <c r="S487" t="s">
        <v>412</v>
      </c>
      <c r="T487" t="s">
        <v>306</v>
      </c>
      <c r="U487"/>
    </row>
    <row r="488" spans="1:21" x14ac:dyDescent="0.2">
      <c r="A488">
        <v>861229</v>
      </c>
      <c r="B488" t="s">
        <v>471</v>
      </c>
      <c r="C488">
        <v>21</v>
      </c>
      <c r="D488">
        <v>7</v>
      </c>
      <c r="E488">
        <v>9</v>
      </c>
      <c r="F488">
        <v>21</v>
      </c>
      <c r="G488">
        <v>52</v>
      </c>
      <c r="H488">
        <v>22</v>
      </c>
      <c r="I488">
        <v>73</v>
      </c>
      <c r="J488">
        <v>11.5</v>
      </c>
      <c r="K488">
        <v>0.89</v>
      </c>
      <c r="L488">
        <v>2.57</v>
      </c>
      <c r="M488">
        <v>19.5</v>
      </c>
      <c r="N488">
        <v>0.5</v>
      </c>
      <c r="O488" t="s">
        <v>548</v>
      </c>
      <c r="P488" s="368">
        <v>41382</v>
      </c>
      <c r="Q488" t="s">
        <v>151</v>
      </c>
      <c r="R488" t="s">
        <v>908</v>
      </c>
      <c r="S488" t="s">
        <v>426</v>
      </c>
      <c r="T488" t="s">
        <v>169</v>
      </c>
      <c r="U488"/>
    </row>
    <row r="489" spans="1:21" x14ac:dyDescent="0.2">
      <c r="A489">
        <v>395434</v>
      </c>
      <c r="B489" t="s">
        <v>316</v>
      </c>
      <c r="C489">
        <v>7</v>
      </c>
      <c r="D489">
        <v>2</v>
      </c>
      <c r="E489">
        <v>-5</v>
      </c>
      <c r="F489">
        <v>7</v>
      </c>
      <c r="G489">
        <v>-1</v>
      </c>
      <c r="H489">
        <v>-5</v>
      </c>
      <c r="I489">
        <v>18</v>
      </c>
      <c r="J489">
        <v>3.4</v>
      </c>
      <c r="K489">
        <v>0.89</v>
      </c>
      <c r="L489">
        <v>2.2999999999999998</v>
      </c>
      <c r="M489">
        <v>21.7</v>
      </c>
      <c r="N489">
        <v>0</v>
      </c>
      <c r="O489" t="s">
        <v>556</v>
      </c>
      <c r="P489" s="368">
        <v>41390</v>
      </c>
      <c r="Q489" t="s">
        <v>46</v>
      </c>
      <c r="R489" t="s">
        <v>695</v>
      </c>
      <c r="S489" t="s">
        <v>255</v>
      </c>
      <c r="T489" t="s">
        <v>194</v>
      </c>
      <c r="U489"/>
    </row>
    <row r="490" spans="1:21" x14ac:dyDescent="0.2">
      <c r="A490"/>
      <c r="B490"/>
      <c r="C490"/>
      <c r="D490"/>
      <c r="E490"/>
      <c r="F490"/>
      <c r="G490"/>
      <c r="H490"/>
      <c r="I490"/>
      <c r="J490"/>
      <c r="K490"/>
      <c r="L490"/>
      <c r="M490"/>
      <c r="N490"/>
      <c r="O490"/>
      <c r="P490" s="368"/>
      <c r="Q490"/>
      <c r="R490"/>
      <c r="S490"/>
      <c r="T490"/>
      <c r="U490"/>
    </row>
    <row r="491" spans="1:21" x14ac:dyDescent="0.2">
      <c r="A491"/>
      <c r="B491"/>
      <c r="C491"/>
      <c r="D491"/>
      <c r="E491"/>
      <c r="F491"/>
      <c r="G491"/>
      <c r="H491"/>
      <c r="I491"/>
      <c r="J491"/>
      <c r="K491"/>
      <c r="L491"/>
      <c r="M491"/>
      <c r="N491"/>
      <c r="O491"/>
      <c r="P491" s="368"/>
      <c r="Q491"/>
      <c r="R491"/>
      <c r="S491"/>
      <c r="T491"/>
      <c r="U491"/>
    </row>
    <row r="492" spans="1:21" x14ac:dyDescent="0.2">
      <c r="A492"/>
      <c r="B492"/>
      <c r="C492"/>
      <c r="D492"/>
      <c r="E492"/>
      <c r="F492"/>
      <c r="G492"/>
      <c r="H492"/>
      <c r="I492"/>
      <c r="J492"/>
      <c r="K492"/>
      <c r="L492"/>
      <c r="M492"/>
      <c r="N492"/>
      <c r="O492"/>
      <c r="P492" s="368"/>
      <c r="Q492"/>
      <c r="R492"/>
      <c r="S492"/>
      <c r="T492"/>
      <c r="U492"/>
    </row>
    <row r="493" spans="1:21" x14ac:dyDescent="0.2">
      <c r="A493"/>
      <c r="B493"/>
      <c r="C493"/>
      <c r="D493"/>
      <c r="E493"/>
      <c r="F493"/>
      <c r="G493"/>
      <c r="H493"/>
      <c r="I493"/>
      <c r="J493"/>
      <c r="K493"/>
      <c r="L493"/>
      <c r="M493"/>
      <c r="N493"/>
      <c r="O493"/>
      <c r="P493" s="368"/>
      <c r="Q493"/>
      <c r="R493"/>
      <c r="S493"/>
      <c r="T493"/>
      <c r="U493"/>
    </row>
    <row r="494" spans="1:21" x14ac:dyDescent="0.2">
      <c r="A494"/>
      <c r="B494"/>
      <c r="C494"/>
      <c r="D494"/>
      <c r="E494"/>
      <c r="F494"/>
      <c r="G494"/>
      <c r="H494"/>
      <c r="I494"/>
      <c r="J494"/>
      <c r="K494"/>
      <c r="L494"/>
      <c r="M494"/>
      <c r="N494"/>
      <c r="O494"/>
      <c r="P494" s="368"/>
      <c r="Q494"/>
      <c r="R494"/>
      <c r="S494"/>
      <c r="T494"/>
      <c r="U494"/>
    </row>
    <row r="495" spans="1:21" x14ac:dyDescent="0.2">
      <c r="A495"/>
      <c r="B495"/>
      <c r="C495"/>
      <c r="D495"/>
      <c r="E495"/>
      <c r="F495"/>
      <c r="G495"/>
      <c r="H495"/>
      <c r="I495"/>
      <c r="J495"/>
      <c r="K495"/>
      <c r="L495"/>
      <c r="M495"/>
      <c r="N495"/>
      <c r="O495"/>
      <c r="P495" s="368"/>
      <c r="Q495"/>
      <c r="R495"/>
      <c r="S495"/>
      <c r="T495"/>
      <c r="U495"/>
    </row>
    <row r="496" spans="1:21" x14ac:dyDescent="0.2">
      <c r="A496"/>
      <c r="B496"/>
      <c r="C496"/>
      <c r="D496"/>
      <c r="E496"/>
      <c r="F496"/>
      <c r="G496"/>
      <c r="H496"/>
      <c r="I496"/>
      <c r="J496"/>
      <c r="K496"/>
      <c r="L496"/>
      <c r="M496"/>
      <c r="N496"/>
      <c r="O496"/>
      <c r="P496" s="368"/>
      <c r="Q496"/>
      <c r="R496"/>
      <c r="S496"/>
      <c r="T496"/>
      <c r="U496"/>
    </row>
    <row r="497" spans="1:21" x14ac:dyDescent="0.2">
      <c r="A497"/>
      <c r="B497"/>
      <c r="C497"/>
      <c r="D497"/>
      <c r="E497"/>
      <c r="F497"/>
      <c r="G497"/>
      <c r="H497"/>
      <c r="I497"/>
      <c r="J497"/>
      <c r="K497"/>
      <c r="L497"/>
      <c r="M497"/>
      <c r="N497"/>
      <c r="O497"/>
      <c r="P497" s="368"/>
      <c r="Q497"/>
      <c r="R497"/>
      <c r="S497"/>
      <c r="T497"/>
      <c r="U497"/>
    </row>
    <row r="498" spans="1:21" x14ac:dyDescent="0.2">
      <c r="A498"/>
      <c r="B498"/>
      <c r="C498"/>
      <c r="D498"/>
      <c r="E498"/>
      <c r="F498"/>
      <c r="G498"/>
      <c r="H498"/>
      <c r="I498"/>
      <c r="J498"/>
      <c r="K498"/>
      <c r="L498"/>
      <c r="M498"/>
      <c r="N498"/>
      <c r="O498"/>
      <c r="P498" s="368"/>
      <c r="Q498"/>
      <c r="R498"/>
      <c r="S498"/>
      <c r="T498"/>
      <c r="U498"/>
    </row>
    <row r="499" spans="1:21" x14ac:dyDescent="0.2">
      <c r="A499"/>
      <c r="B499"/>
      <c r="C499"/>
      <c r="D499"/>
      <c r="E499"/>
      <c r="F499"/>
      <c r="G499"/>
      <c r="H499"/>
      <c r="I499"/>
      <c r="J499"/>
      <c r="K499"/>
      <c r="L499"/>
      <c r="M499"/>
      <c r="N499"/>
      <c r="O499"/>
      <c r="P499" s="368"/>
      <c r="Q499"/>
      <c r="R499"/>
      <c r="S499"/>
      <c r="T499"/>
      <c r="U499"/>
    </row>
    <row r="500" spans="1:21" x14ac:dyDescent="0.2">
      <c r="A500"/>
      <c r="B500"/>
      <c r="C500"/>
      <c r="D500"/>
      <c r="E500"/>
      <c r="F500"/>
      <c r="G500"/>
      <c r="H500"/>
      <c r="I500"/>
      <c r="J500"/>
      <c r="K500"/>
      <c r="L500"/>
      <c r="M500"/>
      <c r="N500"/>
      <c r="O500"/>
      <c r="P500" s="368"/>
      <c r="Q500"/>
      <c r="R500"/>
      <c r="S500"/>
      <c r="T500"/>
      <c r="U500"/>
    </row>
    <row r="501" spans="1:21" x14ac:dyDescent="0.2">
      <c r="A501"/>
      <c r="B501"/>
      <c r="C501"/>
      <c r="D501"/>
      <c r="E501"/>
      <c r="F501"/>
      <c r="G501"/>
      <c r="H501"/>
      <c r="I501"/>
      <c r="J501"/>
      <c r="K501"/>
      <c r="L501"/>
      <c r="M501"/>
      <c r="N501"/>
      <c r="O501"/>
      <c r="P501" s="368"/>
      <c r="Q501"/>
      <c r="R501"/>
      <c r="S501"/>
      <c r="T501"/>
      <c r="U501"/>
    </row>
    <row r="502" spans="1:21" x14ac:dyDescent="0.2">
      <c r="A502"/>
      <c r="B502"/>
      <c r="C502"/>
      <c r="D502"/>
      <c r="E502"/>
      <c r="F502"/>
      <c r="G502"/>
      <c r="H502"/>
      <c r="I502"/>
      <c r="J502"/>
      <c r="K502"/>
      <c r="L502"/>
      <c r="M502"/>
      <c r="N502"/>
      <c r="O502"/>
      <c r="P502" s="368"/>
      <c r="Q502"/>
      <c r="R502"/>
      <c r="S502"/>
      <c r="T502"/>
      <c r="U502"/>
    </row>
    <row r="503" spans="1:21" x14ac:dyDescent="0.2">
      <c r="A503"/>
      <c r="B503"/>
      <c r="C503"/>
      <c r="D503"/>
      <c r="E503"/>
      <c r="F503"/>
      <c r="G503"/>
      <c r="H503"/>
      <c r="I503"/>
      <c r="J503"/>
      <c r="K503"/>
      <c r="L503"/>
      <c r="M503"/>
      <c r="N503"/>
      <c r="O503"/>
      <c r="P503" s="368"/>
      <c r="Q503"/>
      <c r="R503"/>
      <c r="S503"/>
      <c r="T503"/>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90">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1240</v>
      </c>
      <c r="C5" s="45"/>
      <c r="D5" s="45"/>
      <c r="E5" s="45"/>
      <c r="F5" s="45"/>
      <c r="G5" s="45"/>
      <c r="H5" s="45"/>
      <c r="I5" s="39"/>
      <c r="L5" s="40"/>
      <c r="M5" s="41"/>
      <c r="O5" s="39"/>
      <c r="Q5" s="44"/>
      <c r="R5" s="46"/>
      <c r="T5" s="318"/>
    </row>
    <row r="6" spans="1:21" ht="13.5" customHeight="1" x14ac:dyDescent="0.2">
      <c r="A6" s="301" t="str">
        <f>'Fondval &amp; marknadsvärde'!A7</f>
        <v>Nästa uppdatering: 2021-08-11</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1029</v>
      </c>
      <c r="D20" s="390" t="s">
        <v>1051</v>
      </c>
      <c r="E20" s="390" t="s">
        <v>1030</v>
      </c>
      <c r="F20" s="389" t="s">
        <v>1052</v>
      </c>
      <c r="G20" s="388" t="s">
        <v>1031</v>
      </c>
      <c r="H20" s="390" t="s">
        <v>1032</v>
      </c>
      <c r="I20" s="389" t="s">
        <v>1033</v>
      </c>
      <c r="J20" s="388" t="s">
        <v>1034</v>
      </c>
      <c r="K20" s="390" t="s">
        <v>1035</v>
      </c>
      <c r="L20" s="390" t="s">
        <v>1036</v>
      </c>
      <c r="M20" s="390" t="s">
        <v>1037</v>
      </c>
      <c r="N20" s="390" t="s">
        <v>1038</v>
      </c>
      <c r="O20" s="390" t="s">
        <v>1039</v>
      </c>
      <c r="P20" s="390" t="s">
        <v>1040</v>
      </c>
      <c r="Q20" s="390" t="s">
        <v>1041</v>
      </c>
      <c r="R20" s="390" t="s">
        <v>1042</v>
      </c>
      <c r="S20" s="390" t="s">
        <v>1043</v>
      </c>
      <c r="T20" s="390" t="s">
        <v>1044</v>
      </c>
      <c r="U20" s="389" t="s">
        <v>1045</v>
      </c>
      <c r="V20" s="392" t="s">
        <v>1046</v>
      </c>
    </row>
    <row r="21" spans="1:22" x14ac:dyDescent="0.2">
      <c r="A21">
        <v>103606</v>
      </c>
      <c r="B21" t="s">
        <v>150</v>
      </c>
      <c r="C21">
        <v>23</v>
      </c>
      <c r="D21" s="368">
        <v>44316</v>
      </c>
      <c r="E21" t="s">
        <v>1047</v>
      </c>
      <c r="F21" s="368">
        <v>43830</v>
      </c>
      <c r="G21" t="s">
        <v>1048</v>
      </c>
      <c r="H21" t="s">
        <v>1048</v>
      </c>
      <c r="I21" t="s">
        <v>1048</v>
      </c>
      <c r="J21" t="s">
        <v>1048</v>
      </c>
      <c r="K21" t="s">
        <v>1048</v>
      </c>
      <c r="L21" t="s">
        <v>1048</v>
      </c>
      <c r="M21" t="s">
        <v>1047</v>
      </c>
      <c r="N21" t="s">
        <v>1047</v>
      </c>
      <c r="O21" t="s">
        <v>1048</v>
      </c>
      <c r="P21" t="s">
        <v>1047</v>
      </c>
      <c r="Q21" t="s">
        <v>1047</v>
      </c>
      <c r="R21" t="s">
        <v>1047</v>
      </c>
      <c r="S21" t="s">
        <v>1048</v>
      </c>
      <c r="T21" t="s">
        <v>1047</v>
      </c>
      <c r="U21" t="s">
        <v>1047</v>
      </c>
      <c r="V21" t="s">
        <v>1047</v>
      </c>
    </row>
    <row r="22" spans="1:22" x14ac:dyDescent="0.2">
      <c r="A22">
        <v>104786</v>
      </c>
      <c r="B22" t="s">
        <v>154</v>
      </c>
      <c r="C22">
        <v>21</v>
      </c>
      <c r="D22" s="368">
        <v>44196</v>
      </c>
      <c r="E22" t="s">
        <v>1047</v>
      </c>
      <c r="F22" s="368">
        <v>43830</v>
      </c>
      <c r="G22" t="s">
        <v>1048</v>
      </c>
      <c r="H22" t="s">
        <v>1048</v>
      </c>
      <c r="I22" t="s">
        <v>1048</v>
      </c>
      <c r="J22" t="s">
        <v>1048</v>
      </c>
      <c r="K22" t="s">
        <v>1048</v>
      </c>
      <c r="L22" t="s">
        <v>1048</v>
      </c>
      <c r="M22" t="s">
        <v>1048</v>
      </c>
      <c r="N22" t="s">
        <v>1048</v>
      </c>
      <c r="O22" t="s">
        <v>1048</v>
      </c>
      <c r="P22" t="s">
        <v>1048</v>
      </c>
      <c r="Q22" t="s">
        <v>1048</v>
      </c>
      <c r="R22" t="s">
        <v>1048</v>
      </c>
      <c r="S22" t="s">
        <v>1048</v>
      </c>
      <c r="T22" t="s">
        <v>1047</v>
      </c>
      <c r="U22" t="s">
        <v>1047</v>
      </c>
      <c r="V22" t="s">
        <v>1048</v>
      </c>
    </row>
    <row r="23" spans="1:22" x14ac:dyDescent="0.2">
      <c r="A23">
        <v>106849</v>
      </c>
      <c r="B23" t="s">
        <v>1004</v>
      </c>
      <c r="C23">
        <v>21</v>
      </c>
      <c r="D23" s="368">
        <v>44316</v>
      </c>
      <c r="E23" t="s">
        <v>1048</v>
      </c>
      <c r="F23" s="368">
        <v>44286</v>
      </c>
      <c r="G23" t="s">
        <v>1048</v>
      </c>
      <c r="H23" t="s">
        <v>1048</v>
      </c>
      <c r="I23" t="s">
        <v>1048</v>
      </c>
      <c r="J23" t="s">
        <v>1048</v>
      </c>
      <c r="K23" t="s">
        <v>1048</v>
      </c>
      <c r="L23" t="s">
        <v>1048</v>
      </c>
      <c r="M23" t="s">
        <v>1048</v>
      </c>
      <c r="N23" t="s">
        <v>1048</v>
      </c>
      <c r="O23" t="s">
        <v>1048</v>
      </c>
      <c r="P23" t="s">
        <v>1048</v>
      </c>
      <c r="Q23" t="s">
        <v>1048</v>
      </c>
      <c r="R23" t="s">
        <v>1048</v>
      </c>
      <c r="S23" t="s">
        <v>1048</v>
      </c>
      <c r="T23" t="s">
        <v>1047</v>
      </c>
      <c r="U23" t="s">
        <v>1047</v>
      </c>
      <c r="V23" t="s">
        <v>1047</v>
      </c>
    </row>
    <row r="24" spans="1:22" x14ac:dyDescent="0.2">
      <c r="A24">
        <v>111096</v>
      </c>
      <c r="B24" t="s">
        <v>1005</v>
      </c>
      <c r="C24">
        <v>24</v>
      </c>
      <c r="D24" s="368">
        <v>44316</v>
      </c>
      <c r="E24" t="s">
        <v>1047</v>
      </c>
      <c r="F24" s="368">
        <v>43830</v>
      </c>
      <c r="G24" t="s">
        <v>1048</v>
      </c>
      <c r="H24" t="s">
        <v>1048</v>
      </c>
      <c r="I24" t="s">
        <v>1048</v>
      </c>
      <c r="J24" t="s">
        <v>1048</v>
      </c>
      <c r="K24" t="s">
        <v>1048</v>
      </c>
      <c r="L24" t="s">
        <v>1048</v>
      </c>
      <c r="M24" t="s">
        <v>1048</v>
      </c>
      <c r="N24" t="s">
        <v>1048</v>
      </c>
      <c r="O24" t="s">
        <v>1048</v>
      </c>
      <c r="P24" t="s">
        <v>1048</v>
      </c>
      <c r="Q24" t="s">
        <v>1048</v>
      </c>
      <c r="R24" t="s">
        <v>1048</v>
      </c>
      <c r="S24" t="s">
        <v>1048</v>
      </c>
      <c r="T24" t="s">
        <v>1048</v>
      </c>
      <c r="U24" t="s">
        <v>1048</v>
      </c>
      <c r="V24" t="s">
        <v>1048</v>
      </c>
    </row>
    <row r="25" spans="1:22" x14ac:dyDescent="0.2">
      <c r="A25">
        <v>111518</v>
      </c>
      <c r="B25" t="s">
        <v>161</v>
      </c>
      <c r="C25"/>
      <c r="D25"/>
      <c r="E25" t="s">
        <v>1047</v>
      </c>
      <c r="F25" s="368">
        <v>43830</v>
      </c>
      <c r="G25" t="s">
        <v>1048</v>
      </c>
      <c r="H25" t="s">
        <v>1048</v>
      </c>
      <c r="I25" t="s">
        <v>1048</v>
      </c>
      <c r="J25" t="s">
        <v>1048</v>
      </c>
      <c r="K25" t="s">
        <v>1048</v>
      </c>
      <c r="L25" t="s">
        <v>1048</v>
      </c>
      <c r="M25" t="s">
        <v>1048</v>
      </c>
      <c r="N25" t="s">
        <v>1048</v>
      </c>
      <c r="O25" t="s">
        <v>1048</v>
      </c>
      <c r="P25" t="s">
        <v>1047</v>
      </c>
      <c r="Q25" t="s">
        <v>1048</v>
      </c>
      <c r="R25" t="s">
        <v>1047</v>
      </c>
      <c r="S25" t="s">
        <v>1047</v>
      </c>
      <c r="T25" t="s">
        <v>1047</v>
      </c>
      <c r="U25" t="s">
        <v>1047</v>
      </c>
      <c r="V25" t="s">
        <v>1048</v>
      </c>
    </row>
    <row r="26" spans="1:22" x14ac:dyDescent="0.2">
      <c r="A26">
        <v>112755</v>
      </c>
      <c r="B26" t="s">
        <v>164</v>
      </c>
      <c r="C26">
        <v>16</v>
      </c>
      <c r="D26" s="368">
        <v>43861</v>
      </c>
      <c r="E26" t="s">
        <v>1047</v>
      </c>
      <c r="F26" s="368">
        <v>43830</v>
      </c>
      <c r="G26" t="s">
        <v>1048</v>
      </c>
      <c r="H26" t="s">
        <v>1048</v>
      </c>
      <c r="I26" t="s">
        <v>1048</v>
      </c>
      <c r="J26" t="s">
        <v>1048</v>
      </c>
      <c r="K26" t="s">
        <v>1048</v>
      </c>
      <c r="L26" t="s">
        <v>1048</v>
      </c>
      <c r="M26" t="s">
        <v>1048</v>
      </c>
      <c r="N26" t="s">
        <v>1048</v>
      </c>
      <c r="O26" t="s">
        <v>1048</v>
      </c>
      <c r="P26" t="s">
        <v>1048</v>
      </c>
      <c r="Q26" t="s">
        <v>1048</v>
      </c>
      <c r="R26" t="s">
        <v>1048</v>
      </c>
      <c r="S26" t="s">
        <v>1048</v>
      </c>
      <c r="T26" t="s">
        <v>1047</v>
      </c>
      <c r="U26" t="s">
        <v>1047</v>
      </c>
      <c r="V26" t="s">
        <v>1048</v>
      </c>
    </row>
    <row r="27" spans="1:22" x14ac:dyDescent="0.2">
      <c r="A27">
        <v>114819</v>
      </c>
      <c r="B27" t="s">
        <v>147</v>
      </c>
      <c r="C27">
        <v>21</v>
      </c>
      <c r="D27" s="368">
        <v>44316</v>
      </c>
      <c r="E27" t="s">
        <v>1048</v>
      </c>
      <c r="F27" s="368">
        <v>44286</v>
      </c>
      <c r="G27" t="s">
        <v>1048</v>
      </c>
      <c r="H27" t="s">
        <v>1048</v>
      </c>
      <c r="I27" t="s">
        <v>1048</v>
      </c>
      <c r="J27" t="s">
        <v>1048</v>
      </c>
      <c r="K27" t="s">
        <v>1048</v>
      </c>
      <c r="L27" t="s">
        <v>1048</v>
      </c>
      <c r="M27" t="s">
        <v>1048</v>
      </c>
      <c r="N27" t="s">
        <v>1048</v>
      </c>
      <c r="O27" t="s">
        <v>1048</v>
      </c>
      <c r="P27" t="s">
        <v>1048</v>
      </c>
      <c r="Q27" t="s">
        <v>1048</v>
      </c>
      <c r="R27" t="s">
        <v>1048</v>
      </c>
      <c r="S27" t="s">
        <v>1047</v>
      </c>
      <c r="T27" t="s">
        <v>1047</v>
      </c>
      <c r="U27" t="s">
        <v>1047</v>
      </c>
      <c r="V27" t="s">
        <v>1048</v>
      </c>
    </row>
    <row r="28" spans="1:22" x14ac:dyDescent="0.2">
      <c r="A28">
        <v>116111</v>
      </c>
      <c r="B28" t="s">
        <v>501</v>
      </c>
      <c r="C28">
        <v>26</v>
      </c>
      <c r="D28" s="368">
        <v>44316</v>
      </c>
      <c r="E28" t="s">
        <v>1047</v>
      </c>
      <c r="F28" s="368">
        <v>43830</v>
      </c>
      <c r="G28" t="s">
        <v>1048</v>
      </c>
      <c r="H28" t="s">
        <v>1048</v>
      </c>
      <c r="I28" t="s">
        <v>1048</v>
      </c>
      <c r="J28" t="s">
        <v>1048</v>
      </c>
      <c r="K28" t="s">
        <v>1048</v>
      </c>
      <c r="L28" t="s">
        <v>1048</v>
      </c>
      <c r="M28" t="s">
        <v>1047</v>
      </c>
      <c r="N28" t="s">
        <v>1047</v>
      </c>
      <c r="O28" t="s">
        <v>1048</v>
      </c>
      <c r="P28" t="s">
        <v>1047</v>
      </c>
      <c r="Q28" t="s">
        <v>1047</v>
      </c>
      <c r="R28" t="s">
        <v>1047</v>
      </c>
      <c r="S28" t="s">
        <v>1048</v>
      </c>
      <c r="T28" t="s">
        <v>1047</v>
      </c>
      <c r="U28" t="s">
        <v>1047</v>
      </c>
      <c r="V28" t="s">
        <v>1047</v>
      </c>
    </row>
    <row r="29" spans="1:22" x14ac:dyDescent="0.2">
      <c r="A29">
        <v>117002</v>
      </c>
      <c r="B29" t="s">
        <v>171</v>
      </c>
      <c r="C29">
        <v>21</v>
      </c>
      <c r="D29" s="368">
        <v>44316</v>
      </c>
      <c r="E29" t="s">
        <v>1048</v>
      </c>
      <c r="F29" s="368">
        <v>44286</v>
      </c>
      <c r="G29" t="s">
        <v>1048</v>
      </c>
      <c r="H29" t="s">
        <v>1048</v>
      </c>
      <c r="I29" t="s">
        <v>1048</v>
      </c>
      <c r="J29" t="s">
        <v>1048</v>
      </c>
      <c r="K29" t="s">
        <v>1048</v>
      </c>
      <c r="L29" t="s">
        <v>1048</v>
      </c>
      <c r="M29" t="s">
        <v>1048</v>
      </c>
      <c r="N29" t="s">
        <v>1048</v>
      </c>
      <c r="O29" t="s">
        <v>1048</v>
      </c>
      <c r="P29" t="s">
        <v>1048</v>
      </c>
      <c r="Q29" t="s">
        <v>1048</v>
      </c>
      <c r="R29" t="s">
        <v>1048</v>
      </c>
      <c r="S29" t="s">
        <v>1048</v>
      </c>
      <c r="T29" t="s">
        <v>1047</v>
      </c>
      <c r="U29" t="s">
        <v>1047</v>
      </c>
      <c r="V29" t="s">
        <v>1048</v>
      </c>
    </row>
    <row r="30" spans="1:22" x14ac:dyDescent="0.2">
      <c r="A30">
        <v>117176</v>
      </c>
      <c r="B30" t="s">
        <v>1157</v>
      </c>
      <c r="C30">
        <v>24</v>
      </c>
      <c r="D30" s="368">
        <v>44316</v>
      </c>
      <c r="E30" t="s">
        <v>1048</v>
      </c>
      <c r="F30" s="368">
        <v>44286</v>
      </c>
      <c r="G30" t="s">
        <v>1048</v>
      </c>
      <c r="H30" t="s">
        <v>1048</v>
      </c>
      <c r="I30" t="s">
        <v>1048</v>
      </c>
      <c r="J30" t="s">
        <v>1048</v>
      </c>
      <c r="K30" t="s">
        <v>1048</v>
      </c>
      <c r="L30" t="s">
        <v>1048</v>
      </c>
      <c r="M30" t="s">
        <v>1048</v>
      </c>
      <c r="N30" t="s">
        <v>1048</v>
      </c>
      <c r="O30" t="s">
        <v>1048</v>
      </c>
      <c r="P30" t="s">
        <v>1047</v>
      </c>
      <c r="Q30" t="s">
        <v>1048</v>
      </c>
      <c r="R30" t="s">
        <v>1047</v>
      </c>
      <c r="S30" t="s">
        <v>1048</v>
      </c>
      <c r="T30" t="s">
        <v>1047</v>
      </c>
      <c r="U30" t="s">
        <v>1047</v>
      </c>
      <c r="V30" t="s">
        <v>1047</v>
      </c>
    </row>
    <row r="31" spans="1:22" x14ac:dyDescent="0.2">
      <c r="A31">
        <v>118000</v>
      </c>
      <c r="B31" t="s">
        <v>174</v>
      </c>
      <c r="C31">
        <v>22</v>
      </c>
      <c r="D31" s="368">
        <v>44316</v>
      </c>
      <c r="E31" t="s">
        <v>1048</v>
      </c>
      <c r="F31" s="368">
        <v>44286</v>
      </c>
      <c r="G31" t="s">
        <v>1048</v>
      </c>
      <c r="H31" t="s">
        <v>1048</v>
      </c>
      <c r="I31" t="s">
        <v>1048</v>
      </c>
      <c r="J31" t="s">
        <v>1048</v>
      </c>
      <c r="K31" t="s">
        <v>1048</v>
      </c>
      <c r="L31" t="s">
        <v>1048</v>
      </c>
      <c r="M31" t="s">
        <v>1048</v>
      </c>
      <c r="N31" t="s">
        <v>1047</v>
      </c>
      <c r="O31" t="s">
        <v>1047</v>
      </c>
      <c r="P31" t="s">
        <v>1047</v>
      </c>
      <c r="Q31" t="s">
        <v>1047</v>
      </c>
      <c r="R31" t="s">
        <v>1047</v>
      </c>
      <c r="S31" t="s">
        <v>1047</v>
      </c>
      <c r="T31" t="s">
        <v>1048</v>
      </c>
      <c r="U31" t="s">
        <v>1047</v>
      </c>
      <c r="V31" t="s">
        <v>1048</v>
      </c>
    </row>
    <row r="32" spans="1:22" x14ac:dyDescent="0.2">
      <c r="A32">
        <v>122432</v>
      </c>
      <c r="B32" t="s">
        <v>177</v>
      </c>
      <c r="C32">
        <v>21</v>
      </c>
      <c r="D32" s="368">
        <v>44316</v>
      </c>
      <c r="E32" t="s">
        <v>1047</v>
      </c>
      <c r="F32" s="368">
        <v>44286</v>
      </c>
      <c r="G32" t="s">
        <v>1048</v>
      </c>
      <c r="H32" t="s">
        <v>1048</v>
      </c>
      <c r="I32" t="s">
        <v>1048</v>
      </c>
      <c r="J32" t="s">
        <v>1048</v>
      </c>
      <c r="K32" t="s">
        <v>1048</v>
      </c>
      <c r="L32" t="s">
        <v>1048</v>
      </c>
      <c r="M32" t="s">
        <v>1048</v>
      </c>
      <c r="N32" t="s">
        <v>1048</v>
      </c>
      <c r="O32" t="s">
        <v>1048</v>
      </c>
      <c r="P32" t="s">
        <v>1048</v>
      </c>
      <c r="Q32" t="s">
        <v>1048</v>
      </c>
      <c r="R32" t="s">
        <v>1048</v>
      </c>
      <c r="S32" t="s">
        <v>1048</v>
      </c>
      <c r="T32" t="s">
        <v>1048</v>
      </c>
      <c r="U32" t="s">
        <v>1047</v>
      </c>
      <c r="V32" t="s">
        <v>1047</v>
      </c>
    </row>
    <row r="33" spans="1:22" x14ac:dyDescent="0.2">
      <c r="A33">
        <v>123679</v>
      </c>
      <c r="B33" t="s">
        <v>180</v>
      </c>
      <c r="C33">
        <v>21</v>
      </c>
      <c r="D33" s="368">
        <v>44316</v>
      </c>
      <c r="E33" t="s">
        <v>1048</v>
      </c>
      <c r="F33" s="368">
        <v>44286</v>
      </c>
      <c r="G33" t="s">
        <v>1048</v>
      </c>
      <c r="H33" t="s">
        <v>1048</v>
      </c>
      <c r="I33" t="s">
        <v>1048</v>
      </c>
      <c r="J33" t="s">
        <v>1048</v>
      </c>
      <c r="K33" t="s">
        <v>1048</v>
      </c>
      <c r="L33" t="s">
        <v>1048</v>
      </c>
      <c r="M33" t="s">
        <v>1048</v>
      </c>
      <c r="N33" t="s">
        <v>1048</v>
      </c>
      <c r="O33" t="s">
        <v>1048</v>
      </c>
      <c r="P33" t="s">
        <v>1048</v>
      </c>
      <c r="Q33" t="s">
        <v>1048</v>
      </c>
      <c r="R33" t="s">
        <v>1048</v>
      </c>
      <c r="S33" t="s">
        <v>1047</v>
      </c>
      <c r="T33" t="s">
        <v>1047</v>
      </c>
      <c r="U33" t="s">
        <v>1047</v>
      </c>
      <c r="V33" t="s">
        <v>1048</v>
      </c>
    </row>
    <row r="34" spans="1:22" x14ac:dyDescent="0.2">
      <c r="A34">
        <v>123901</v>
      </c>
      <c r="B34" t="s">
        <v>1195</v>
      </c>
      <c r="C34">
        <v>22</v>
      </c>
      <c r="D34" s="368">
        <v>44316</v>
      </c>
      <c r="E34" t="s">
        <v>1047</v>
      </c>
      <c r="F34" s="368">
        <v>43830</v>
      </c>
      <c r="G34" t="s">
        <v>1048</v>
      </c>
      <c r="H34" t="s">
        <v>1048</v>
      </c>
      <c r="I34" t="s">
        <v>1048</v>
      </c>
      <c r="J34" t="s">
        <v>1048</v>
      </c>
      <c r="K34" t="s">
        <v>1048</v>
      </c>
      <c r="L34" t="s">
        <v>1048</v>
      </c>
      <c r="M34" t="s">
        <v>1047</v>
      </c>
      <c r="N34" t="s">
        <v>1047</v>
      </c>
      <c r="O34" t="s">
        <v>1048</v>
      </c>
      <c r="P34" t="s">
        <v>1048</v>
      </c>
      <c r="Q34" t="s">
        <v>1048</v>
      </c>
      <c r="R34" t="s">
        <v>1047</v>
      </c>
      <c r="S34" t="s">
        <v>1048</v>
      </c>
      <c r="T34" t="s">
        <v>1047</v>
      </c>
      <c r="U34" t="s">
        <v>1047</v>
      </c>
      <c r="V34" t="s">
        <v>1047</v>
      </c>
    </row>
    <row r="35" spans="1:22" x14ac:dyDescent="0.2">
      <c r="A35">
        <v>129924</v>
      </c>
      <c r="B35" t="s">
        <v>1006</v>
      </c>
      <c r="C35"/>
      <c r="D35"/>
      <c r="E35" t="s">
        <v>1047</v>
      </c>
      <c r="F35" s="368">
        <v>43830</v>
      </c>
      <c r="G35" t="s">
        <v>1047</v>
      </c>
      <c r="H35" t="s">
        <v>1048</v>
      </c>
      <c r="I35" t="s">
        <v>1048</v>
      </c>
      <c r="J35" t="s">
        <v>1048</v>
      </c>
      <c r="K35" t="s">
        <v>1048</v>
      </c>
      <c r="L35" t="s">
        <v>1048</v>
      </c>
      <c r="M35" t="s">
        <v>1048</v>
      </c>
      <c r="N35" t="s">
        <v>1048</v>
      </c>
      <c r="O35" t="s">
        <v>1048</v>
      </c>
      <c r="P35" t="s">
        <v>1048</v>
      </c>
      <c r="Q35" t="s">
        <v>1048</v>
      </c>
      <c r="R35" t="s">
        <v>1047</v>
      </c>
      <c r="S35" t="s">
        <v>1048</v>
      </c>
      <c r="T35" t="s">
        <v>1048</v>
      </c>
      <c r="U35" t="s">
        <v>1048</v>
      </c>
      <c r="V35" t="s">
        <v>1048</v>
      </c>
    </row>
    <row r="36" spans="1:22" x14ac:dyDescent="0.2">
      <c r="A36">
        <v>131409</v>
      </c>
      <c r="B36" t="s">
        <v>1208</v>
      </c>
      <c r="C36"/>
      <c r="D36"/>
      <c r="E36" t="s">
        <v>1047</v>
      </c>
      <c r="F36" s="368">
        <v>43465</v>
      </c>
      <c r="G36" t="s">
        <v>1048</v>
      </c>
      <c r="H36" t="s">
        <v>1048</v>
      </c>
      <c r="I36" t="s">
        <v>1048</v>
      </c>
      <c r="J36" t="s">
        <v>1048</v>
      </c>
      <c r="K36" t="s">
        <v>1048</v>
      </c>
      <c r="L36" t="s">
        <v>1048</v>
      </c>
      <c r="M36" t="s">
        <v>1047</v>
      </c>
      <c r="N36" t="s">
        <v>1047</v>
      </c>
      <c r="O36" t="s">
        <v>1048</v>
      </c>
      <c r="P36" t="s">
        <v>1047</v>
      </c>
      <c r="Q36" t="s">
        <v>1047</v>
      </c>
      <c r="R36" t="s">
        <v>1048</v>
      </c>
      <c r="S36" t="s">
        <v>1047</v>
      </c>
      <c r="T36" t="s">
        <v>1047</v>
      </c>
      <c r="U36" t="s">
        <v>1047</v>
      </c>
      <c r="V36" t="s">
        <v>1047</v>
      </c>
    </row>
    <row r="37" spans="1:22" x14ac:dyDescent="0.2">
      <c r="A37">
        <v>134593</v>
      </c>
      <c r="B37" t="s">
        <v>185</v>
      </c>
      <c r="C37">
        <v>21</v>
      </c>
      <c r="D37" s="368">
        <v>44316</v>
      </c>
      <c r="E37" t="s">
        <v>1047</v>
      </c>
      <c r="F37" s="368">
        <v>43830</v>
      </c>
      <c r="G37" t="s">
        <v>1048</v>
      </c>
      <c r="H37" t="s">
        <v>1048</v>
      </c>
      <c r="I37" t="s">
        <v>1048</v>
      </c>
      <c r="J37" t="s">
        <v>1048</v>
      </c>
      <c r="K37" t="s">
        <v>1048</v>
      </c>
      <c r="L37" t="s">
        <v>1048</v>
      </c>
      <c r="M37" t="s">
        <v>1048</v>
      </c>
      <c r="N37" t="s">
        <v>1048</v>
      </c>
      <c r="O37" t="s">
        <v>1048</v>
      </c>
      <c r="P37" t="s">
        <v>1048</v>
      </c>
      <c r="Q37" t="s">
        <v>1048</v>
      </c>
      <c r="R37" t="s">
        <v>1048</v>
      </c>
      <c r="S37" t="s">
        <v>1048</v>
      </c>
      <c r="T37" t="s">
        <v>1047</v>
      </c>
      <c r="U37" t="s">
        <v>1047</v>
      </c>
      <c r="V37" t="s">
        <v>1048</v>
      </c>
    </row>
    <row r="38" spans="1:22" x14ac:dyDescent="0.2">
      <c r="A38">
        <v>140491</v>
      </c>
      <c r="B38" t="s">
        <v>188</v>
      </c>
      <c r="C38">
        <v>22</v>
      </c>
      <c r="D38" s="368">
        <v>44316</v>
      </c>
      <c r="E38" t="s">
        <v>1047</v>
      </c>
      <c r="F38" s="368">
        <v>43830</v>
      </c>
      <c r="G38" t="s">
        <v>1048</v>
      </c>
      <c r="H38" t="s">
        <v>1048</v>
      </c>
      <c r="I38" t="s">
        <v>1048</v>
      </c>
      <c r="J38" t="s">
        <v>1048</v>
      </c>
      <c r="K38" t="s">
        <v>1048</v>
      </c>
      <c r="L38" t="s">
        <v>1048</v>
      </c>
      <c r="M38" t="s">
        <v>1048</v>
      </c>
      <c r="N38" t="s">
        <v>1047</v>
      </c>
      <c r="O38" t="s">
        <v>1048</v>
      </c>
      <c r="P38" t="s">
        <v>1048</v>
      </c>
      <c r="Q38" t="s">
        <v>1048</v>
      </c>
      <c r="R38" t="s">
        <v>1048</v>
      </c>
      <c r="S38" t="s">
        <v>1048</v>
      </c>
      <c r="T38" t="s">
        <v>1048</v>
      </c>
      <c r="U38" t="s">
        <v>1047</v>
      </c>
      <c r="V38" t="s">
        <v>1048</v>
      </c>
    </row>
    <row r="39" spans="1:22" x14ac:dyDescent="0.2">
      <c r="A39">
        <v>140673</v>
      </c>
      <c r="B39" t="s">
        <v>1209</v>
      </c>
      <c r="C39">
        <v>21</v>
      </c>
      <c r="D39" s="368">
        <v>44316</v>
      </c>
      <c r="E39" t="s">
        <v>1048</v>
      </c>
      <c r="F39" s="368">
        <v>44286</v>
      </c>
      <c r="G39" t="s">
        <v>1048</v>
      </c>
      <c r="H39" t="s">
        <v>1048</v>
      </c>
      <c r="I39" t="s">
        <v>1048</v>
      </c>
      <c r="J39" t="s">
        <v>1048</v>
      </c>
      <c r="K39" t="s">
        <v>1048</v>
      </c>
      <c r="L39" t="s">
        <v>1048</v>
      </c>
      <c r="M39" t="s">
        <v>1048</v>
      </c>
      <c r="N39" t="s">
        <v>1048</v>
      </c>
      <c r="O39" t="s">
        <v>1048</v>
      </c>
      <c r="P39" t="s">
        <v>1048</v>
      </c>
      <c r="Q39" t="s">
        <v>1048</v>
      </c>
      <c r="R39" t="s">
        <v>1048</v>
      </c>
      <c r="S39" t="s">
        <v>1048</v>
      </c>
      <c r="T39" t="s">
        <v>1047</v>
      </c>
      <c r="U39" t="s">
        <v>1047</v>
      </c>
      <c r="V39" t="s">
        <v>1048</v>
      </c>
    </row>
    <row r="40" spans="1:22" x14ac:dyDescent="0.2">
      <c r="A40">
        <v>142679</v>
      </c>
      <c r="B40" t="s">
        <v>1136</v>
      </c>
      <c r="C40">
        <v>24</v>
      </c>
      <c r="D40" s="368">
        <v>44316</v>
      </c>
      <c r="E40" t="s">
        <v>1048</v>
      </c>
      <c r="F40" s="368">
        <v>44286</v>
      </c>
      <c r="G40" t="s">
        <v>1048</v>
      </c>
      <c r="H40" t="s">
        <v>1048</v>
      </c>
      <c r="I40" t="s">
        <v>1048</v>
      </c>
      <c r="J40" t="s">
        <v>1048</v>
      </c>
      <c r="K40" t="s">
        <v>1048</v>
      </c>
      <c r="L40" t="s">
        <v>1048</v>
      </c>
      <c r="M40" t="s">
        <v>1048</v>
      </c>
      <c r="N40" t="s">
        <v>1047</v>
      </c>
      <c r="O40" t="s">
        <v>1047</v>
      </c>
      <c r="P40" t="s">
        <v>1047</v>
      </c>
      <c r="Q40" t="s">
        <v>1047</v>
      </c>
      <c r="R40" t="s">
        <v>1047</v>
      </c>
      <c r="S40" t="s">
        <v>1047</v>
      </c>
      <c r="T40" t="s">
        <v>1048</v>
      </c>
      <c r="U40" t="s">
        <v>1047</v>
      </c>
      <c r="V40" t="s">
        <v>1048</v>
      </c>
    </row>
    <row r="41" spans="1:22" x14ac:dyDescent="0.2">
      <c r="A41">
        <v>144501</v>
      </c>
      <c r="B41" t="s">
        <v>536</v>
      </c>
      <c r="C41">
        <v>24</v>
      </c>
      <c r="D41" s="368">
        <v>44227</v>
      </c>
      <c r="E41" t="s">
        <v>1047</v>
      </c>
      <c r="F41" s="368">
        <v>43830</v>
      </c>
      <c r="G41" t="s">
        <v>1048</v>
      </c>
      <c r="H41" t="s">
        <v>1048</v>
      </c>
      <c r="I41" t="s">
        <v>1048</v>
      </c>
      <c r="J41" t="s">
        <v>1048</v>
      </c>
      <c r="K41" t="s">
        <v>1048</v>
      </c>
      <c r="L41" t="s">
        <v>1048</v>
      </c>
      <c r="M41" t="s">
        <v>1047</v>
      </c>
      <c r="N41" t="s">
        <v>1047</v>
      </c>
      <c r="O41" t="s">
        <v>1048</v>
      </c>
      <c r="P41" t="s">
        <v>1048</v>
      </c>
      <c r="Q41" t="s">
        <v>1048</v>
      </c>
      <c r="R41" t="s">
        <v>1047</v>
      </c>
      <c r="S41" t="s">
        <v>1048</v>
      </c>
      <c r="T41" t="s">
        <v>1047</v>
      </c>
      <c r="U41" t="s">
        <v>1047</v>
      </c>
      <c r="V41" t="s">
        <v>1047</v>
      </c>
    </row>
    <row r="42" spans="1:22" x14ac:dyDescent="0.2">
      <c r="A42">
        <v>146928</v>
      </c>
      <c r="B42" t="s">
        <v>1073</v>
      </c>
      <c r="C42">
        <v>22</v>
      </c>
      <c r="D42" s="368">
        <v>44316</v>
      </c>
      <c r="E42" t="s">
        <v>1048</v>
      </c>
      <c r="F42" s="368">
        <v>44196</v>
      </c>
      <c r="G42" t="s">
        <v>1048</v>
      </c>
      <c r="H42" t="s">
        <v>1048</v>
      </c>
      <c r="I42" t="s">
        <v>1048</v>
      </c>
      <c r="J42" t="s">
        <v>1048</v>
      </c>
      <c r="K42" t="s">
        <v>1048</v>
      </c>
      <c r="L42" t="s">
        <v>1048</v>
      </c>
      <c r="M42" t="s">
        <v>1048</v>
      </c>
      <c r="N42" t="s">
        <v>1048</v>
      </c>
      <c r="O42" t="s">
        <v>1048</v>
      </c>
      <c r="P42" t="s">
        <v>1048</v>
      </c>
      <c r="Q42" t="s">
        <v>1048</v>
      </c>
      <c r="R42" t="s">
        <v>1048</v>
      </c>
      <c r="S42" t="s">
        <v>1048</v>
      </c>
      <c r="T42" t="s">
        <v>1048</v>
      </c>
      <c r="U42" t="s">
        <v>1047</v>
      </c>
      <c r="V42" t="s">
        <v>1048</v>
      </c>
    </row>
    <row r="43" spans="1:22" x14ac:dyDescent="0.2">
      <c r="A43">
        <v>147348</v>
      </c>
      <c r="B43" t="s">
        <v>193</v>
      </c>
      <c r="C43">
        <v>25</v>
      </c>
      <c r="D43" s="368">
        <v>44316</v>
      </c>
      <c r="E43" t="s">
        <v>1047</v>
      </c>
      <c r="F43" s="368">
        <v>44286</v>
      </c>
      <c r="G43" t="s">
        <v>1048</v>
      </c>
      <c r="H43" t="s">
        <v>1048</v>
      </c>
      <c r="I43" t="s">
        <v>1048</v>
      </c>
      <c r="J43" t="s">
        <v>1048</v>
      </c>
      <c r="K43" t="s">
        <v>1048</v>
      </c>
      <c r="L43" t="s">
        <v>1048</v>
      </c>
      <c r="M43" t="s">
        <v>1048</v>
      </c>
      <c r="N43" t="s">
        <v>1048</v>
      </c>
      <c r="O43" t="s">
        <v>1048</v>
      </c>
      <c r="P43" t="s">
        <v>1047</v>
      </c>
      <c r="Q43" t="s">
        <v>1048</v>
      </c>
      <c r="R43" t="s">
        <v>1047</v>
      </c>
      <c r="S43" t="s">
        <v>1047</v>
      </c>
      <c r="T43" t="s">
        <v>1047</v>
      </c>
      <c r="U43" t="s">
        <v>1047</v>
      </c>
      <c r="V43" t="s">
        <v>1048</v>
      </c>
    </row>
    <row r="44" spans="1:22" x14ac:dyDescent="0.2">
      <c r="A44">
        <v>150649</v>
      </c>
      <c r="B44" t="s">
        <v>196</v>
      </c>
      <c r="C44">
        <v>21</v>
      </c>
      <c r="D44" s="368">
        <v>44316</v>
      </c>
      <c r="E44" t="s">
        <v>1048</v>
      </c>
      <c r="F44" s="368">
        <v>44286</v>
      </c>
      <c r="G44" t="s">
        <v>1048</v>
      </c>
      <c r="H44" t="s">
        <v>1048</v>
      </c>
      <c r="I44" t="s">
        <v>1048</v>
      </c>
      <c r="J44" t="s">
        <v>1048</v>
      </c>
      <c r="K44" t="s">
        <v>1048</v>
      </c>
      <c r="L44" t="s">
        <v>1048</v>
      </c>
      <c r="M44" t="s">
        <v>1048</v>
      </c>
      <c r="N44" t="s">
        <v>1048</v>
      </c>
      <c r="O44" t="s">
        <v>1048</v>
      </c>
      <c r="P44" t="s">
        <v>1048</v>
      </c>
      <c r="Q44" t="s">
        <v>1048</v>
      </c>
      <c r="R44" t="s">
        <v>1048</v>
      </c>
      <c r="S44" t="s">
        <v>1047</v>
      </c>
      <c r="T44" t="s">
        <v>1047</v>
      </c>
      <c r="U44" t="s">
        <v>1047</v>
      </c>
      <c r="V44" t="s">
        <v>1048</v>
      </c>
    </row>
    <row r="45" spans="1:22" x14ac:dyDescent="0.2">
      <c r="A45">
        <v>151001</v>
      </c>
      <c r="B45" t="s">
        <v>198</v>
      </c>
      <c r="C45">
        <v>20</v>
      </c>
      <c r="D45" s="368">
        <v>44316</v>
      </c>
      <c r="E45" t="s">
        <v>1047</v>
      </c>
      <c r="F45" s="368">
        <v>44286</v>
      </c>
      <c r="G45" t="s">
        <v>1048</v>
      </c>
      <c r="H45" t="s">
        <v>1048</v>
      </c>
      <c r="I45" t="s">
        <v>1048</v>
      </c>
      <c r="J45" t="s">
        <v>1048</v>
      </c>
      <c r="K45" t="s">
        <v>1048</v>
      </c>
      <c r="L45" t="s">
        <v>1048</v>
      </c>
      <c r="M45" t="s">
        <v>1047</v>
      </c>
      <c r="N45" t="s">
        <v>1047</v>
      </c>
      <c r="O45" t="s">
        <v>1048</v>
      </c>
      <c r="P45" t="s">
        <v>1047</v>
      </c>
      <c r="Q45" t="s">
        <v>1047</v>
      </c>
      <c r="R45" t="s">
        <v>1047</v>
      </c>
      <c r="S45" t="s">
        <v>1048</v>
      </c>
      <c r="T45" t="s">
        <v>1048</v>
      </c>
      <c r="U45" t="s">
        <v>1047</v>
      </c>
      <c r="V45" t="s">
        <v>1048</v>
      </c>
    </row>
    <row r="46" spans="1:22" x14ac:dyDescent="0.2">
      <c r="A46">
        <v>152181</v>
      </c>
      <c r="B46" t="s">
        <v>1138</v>
      </c>
      <c r="C46">
        <v>21</v>
      </c>
      <c r="D46" s="368">
        <v>44316</v>
      </c>
      <c r="E46" t="s">
        <v>1047</v>
      </c>
      <c r="F46" s="368">
        <v>43830</v>
      </c>
      <c r="G46" t="s">
        <v>1048</v>
      </c>
      <c r="H46" t="s">
        <v>1048</v>
      </c>
      <c r="I46" t="s">
        <v>1048</v>
      </c>
      <c r="J46" t="s">
        <v>1048</v>
      </c>
      <c r="K46" t="s">
        <v>1048</v>
      </c>
      <c r="L46" t="s">
        <v>1048</v>
      </c>
      <c r="M46" t="s">
        <v>1048</v>
      </c>
      <c r="N46" t="s">
        <v>1048</v>
      </c>
      <c r="O46" t="s">
        <v>1048</v>
      </c>
      <c r="P46" t="s">
        <v>1048</v>
      </c>
      <c r="Q46" t="s">
        <v>1048</v>
      </c>
      <c r="R46" t="s">
        <v>1048</v>
      </c>
      <c r="S46" t="s">
        <v>1048</v>
      </c>
      <c r="T46" t="s">
        <v>1048</v>
      </c>
      <c r="U46" t="s">
        <v>1047</v>
      </c>
      <c r="V46" t="s">
        <v>1047</v>
      </c>
    </row>
    <row r="47" spans="1:22" x14ac:dyDescent="0.2">
      <c r="A47">
        <v>152835</v>
      </c>
      <c r="B47" t="s">
        <v>202</v>
      </c>
      <c r="C47">
        <v>21</v>
      </c>
      <c r="D47" s="368">
        <v>44316</v>
      </c>
      <c r="E47" t="s">
        <v>1048</v>
      </c>
      <c r="F47" s="368">
        <v>44286</v>
      </c>
      <c r="G47" t="s">
        <v>1048</v>
      </c>
      <c r="H47" t="s">
        <v>1048</v>
      </c>
      <c r="I47" t="s">
        <v>1048</v>
      </c>
      <c r="J47" t="s">
        <v>1048</v>
      </c>
      <c r="K47" t="s">
        <v>1048</v>
      </c>
      <c r="L47" t="s">
        <v>1048</v>
      </c>
      <c r="M47" t="s">
        <v>1048</v>
      </c>
      <c r="N47" t="s">
        <v>1048</v>
      </c>
      <c r="O47" t="s">
        <v>1048</v>
      </c>
      <c r="P47" t="s">
        <v>1048</v>
      </c>
      <c r="Q47" t="s">
        <v>1048</v>
      </c>
      <c r="R47" t="s">
        <v>1048</v>
      </c>
      <c r="S47" t="s">
        <v>1048</v>
      </c>
      <c r="T47" t="s">
        <v>1047</v>
      </c>
      <c r="U47" t="s">
        <v>1047</v>
      </c>
      <c r="V47" t="s">
        <v>1048</v>
      </c>
    </row>
    <row r="48" spans="1:22" x14ac:dyDescent="0.2">
      <c r="A48">
        <v>153007</v>
      </c>
      <c r="B48" t="s">
        <v>502</v>
      </c>
      <c r="C48">
        <v>28</v>
      </c>
      <c r="D48" s="368">
        <v>44316</v>
      </c>
      <c r="E48"/>
      <c r="F48"/>
      <c r="G48" t="s">
        <v>1048</v>
      </c>
      <c r="H48" t="s">
        <v>1048</v>
      </c>
      <c r="I48" t="s">
        <v>1048</v>
      </c>
      <c r="J48" t="s">
        <v>1048</v>
      </c>
      <c r="K48" t="s">
        <v>1048</v>
      </c>
      <c r="L48" t="s">
        <v>1048</v>
      </c>
      <c r="M48" t="s">
        <v>1047</v>
      </c>
      <c r="N48" t="s">
        <v>1047</v>
      </c>
      <c r="O48" t="s">
        <v>1048</v>
      </c>
      <c r="P48" t="s">
        <v>1048</v>
      </c>
      <c r="Q48" t="s">
        <v>1048</v>
      </c>
      <c r="R48" t="s">
        <v>1047</v>
      </c>
      <c r="S48" t="s">
        <v>1048</v>
      </c>
      <c r="T48" t="s">
        <v>1047</v>
      </c>
      <c r="U48" t="s">
        <v>1047</v>
      </c>
      <c r="V48" t="s">
        <v>1047</v>
      </c>
    </row>
    <row r="49" spans="1:22" x14ac:dyDescent="0.2">
      <c r="A49">
        <v>153833</v>
      </c>
      <c r="B49" t="s">
        <v>203</v>
      </c>
      <c r="C49">
        <v>27</v>
      </c>
      <c r="D49" s="368">
        <v>44316</v>
      </c>
      <c r="E49" t="s">
        <v>1047</v>
      </c>
      <c r="F49" s="368">
        <v>43830</v>
      </c>
      <c r="G49" t="s">
        <v>1048</v>
      </c>
      <c r="H49" t="s">
        <v>1048</v>
      </c>
      <c r="I49" t="s">
        <v>1048</v>
      </c>
      <c r="J49" t="s">
        <v>1048</v>
      </c>
      <c r="K49" t="s">
        <v>1048</v>
      </c>
      <c r="L49" t="s">
        <v>1048</v>
      </c>
      <c r="M49" t="s">
        <v>1048</v>
      </c>
      <c r="N49" t="s">
        <v>1047</v>
      </c>
      <c r="O49" t="s">
        <v>1047</v>
      </c>
      <c r="P49" t="s">
        <v>1047</v>
      </c>
      <c r="Q49" t="s">
        <v>1047</v>
      </c>
      <c r="R49" t="s">
        <v>1047</v>
      </c>
      <c r="S49" t="s">
        <v>1047</v>
      </c>
      <c r="T49" t="s">
        <v>1048</v>
      </c>
      <c r="U49" t="s">
        <v>1047</v>
      </c>
      <c r="V49" t="s">
        <v>1048</v>
      </c>
    </row>
    <row r="50" spans="1:22" x14ac:dyDescent="0.2">
      <c r="A50">
        <v>158261</v>
      </c>
      <c r="B50" t="s">
        <v>205</v>
      </c>
      <c r="C50">
        <v>21</v>
      </c>
      <c r="D50" s="368">
        <v>44316</v>
      </c>
      <c r="E50" t="s">
        <v>1048</v>
      </c>
      <c r="F50" s="368">
        <v>44286</v>
      </c>
      <c r="G50" t="s">
        <v>1048</v>
      </c>
      <c r="H50" t="s">
        <v>1048</v>
      </c>
      <c r="I50" t="s">
        <v>1048</v>
      </c>
      <c r="J50" t="s">
        <v>1048</v>
      </c>
      <c r="K50" t="s">
        <v>1048</v>
      </c>
      <c r="L50" t="s">
        <v>1048</v>
      </c>
      <c r="M50" t="s">
        <v>1048</v>
      </c>
      <c r="N50" t="s">
        <v>1048</v>
      </c>
      <c r="O50" t="s">
        <v>1048</v>
      </c>
      <c r="P50" t="s">
        <v>1048</v>
      </c>
      <c r="Q50" t="s">
        <v>1048</v>
      </c>
      <c r="R50" t="s">
        <v>1048</v>
      </c>
      <c r="S50" t="s">
        <v>1048</v>
      </c>
      <c r="T50" t="s">
        <v>1048</v>
      </c>
      <c r="U50" t="s">
        <v>1047</v>
      </c>
      <c r="V50" t="s">
        <v>1047</v>
      </c>
    </row>
    <row r="51" spans="1:22" x14ac:dyDescent="0.2">
      <c r="A51">
        <v>159442</v>
      </c>
      <c r="B51" t="s">
        <v>1074</v>
      </c>
      <c r="C51">
        <v>29</v>
      </c>
      <c r="D51" s="368">
        <v>44316</v>
      </c>
      <c r="E51" t="s">
        <v>1047</v>
      </c>
      <c r="F51" s="368">
        <v>43830</v>
      </c>
      <c r="G51" t="s">
        <v>1048</v>
      </c>
      <c r="H51" t="s">
        <v>1048</v>
      </c>
      <c r="I51" t="s">
        <v>1048</v>
      </c>
      <c r="J51" t="s">
        <v>1048</v>
      </c>
      <c r="K51" t="s">
        <v>1048</v>
      </c>
      <c r="L51" t="s">
        <v>1048</v>
      </c>
      <c r="M51" t="s">
        <v>1048</v>
      </c>
      <c r="N51" t="s">
        <v>1047</v>
      </c>
      <c r="O51" t="s">
        <v>1047</v>
      </c>
      <c r="P51" t="s">
        <v>1047</v>
      </c>
      <c r="Q51" t="s">
        <v>1047</v>
      </c>
      <c r="R51" t="s">
        <v>1047</v>
      </c>
      <c r="S51" t="s">
        <v>1047</v>
      </c>
      <c r="T51" t="s">
        <v>1048</v>
      </c>
      <c r="U51" t="s">
        <v>1047</v>
      </c>
      <c r="V51" t="s">
        <v>1048</v>
      </c>
    </row>
    <row r="52" spans="1:22" x14ac:dyDescent="0.2">
      <c r="A52">
        <v>163923</v>
      </c>
      <c r="B52" t="s">
        <v>1210</v>
      </c>
      <c r="C52">
        <v>22</v>
      </c>
      <c r="D52" s="368">
        <v>44316</v>
      </c>
      <c r="E52" t="s">
        <v>1048</v>
      </c>
      <c r="F52" s="368">
        <v>44286</v>
      </c>
      <c r="G52" t="s">
        <v>1048</v>
      </c>
      <c r="H52" t="s">
        <v>1048</v>
      </c>
      <c r="I52" t="s">
        <v>1048</v>
      </c>
      <c r="J52" t="s">
        <v>1048</v>
      </c>
      <c r="K52" t="s">
        <v>1048</v>
      </c>
      <c r="L52" t="s">
        <v>1048</v>
      </c>
      <c r="M52" t="s">
        <v>1048</v>
      </c>
      <c r="N52" t="s">
        <v>1048</v>
      </c>
      <c r="O52" t="s">
        <v>1048</v>
      </c>
      <c r="P52" t="s">
        <v>1048</v>
      </c>
      <c r="Q52" t="s">
        <v>1048</v>
      </c>
      <c r="R52" t="s">
        <v>1048</v>
      </c>
      <c r="S52" t="s">
        <v>1048</v>
      </c>
      <c r="T52" t="s">
        <v>1047</v>
      </c>
      <c r="U52" t="s">
        <v>1047</v>
      </c>
      <c r="V52" t="s">
        <v>1048</v>
      </c>
    </row>
    <row r="53" spans="1:22" x14ac:dyDescent="0.2">
      <c r="A53">
        <v>165755</v>
      </c>
      <c r="B53" t="s">
        <v>994</v>
      </c>
      <c r="C53">
        <v>25</v>
      </c>
      <c r="D53" s="368">
        <v>44316</v>
      </c>
      <c r="E53" t="s">
        <v>1047</v>
      </c>
      <c r="F53" s="368">
        <v>44286</v>
      </c>
      <c r="G53" t="s">
        <v>1048</v>
      </c>
      <c r="H53" t="s">
        <v>1048</v>
      </c>
      <c r="I53" t="s">
        <v>1048</v>
      </c>
      <c r="J53" t="s">
        <v>1048</v>
      </c>
      <c r="K53" t="s">
        <v>1048</v>
      </c>
      <c r="L53" t="s">
        <v>1048</v>
      </c>
      <c r="M53" t="s">
        <v>1048</v>
      </c>
      <c r="N53" t="s">
        <v>1048</v>
      </c>
      <c r="O53" t="s">
        <v>1048</v>
      </c>
      <c r="P53" t="s">
        <v>1048</v>
      </c>
      <c r="Q53" t="s">
        <v>1048</v>
      </c>
      <c r="R53" t="s">
        <v>1047</v>
      </c>
      <c r="S53" t="s">
        <v>1048</v>
      </c>
      <c r="T53" t="s">
        <v>1048</v>
      </c>
      <c r="U53" t="s">
        <v>1048</v>
      </c>
      <c r="V53" t="s">
        <v>1048</v>
      </c>
    </row>
    <row r="54" spans="1:22" x14ac:dyDescent="0.2">
      <c r="A54">
        <v>167114</v>
      </c>
      <c r="B54" t="s">
        <v>503</v>
      </c>
      <c r="C54">
        <v>20</v>
      </c>
      <c r="D54" s="368">
        <v>44227</v>
      </c>
      <c r="E54" t="s">
        <v>1047</v>
      </c>
      <c r="F54" s="368">
        <v>43830</v>
      </c>
      <c r="G54" t="s">
        <v>1048</v>
      </c>
      <c r="H54" t="s">
        <v>1048</v>
      </c>
      <c r="I54" t="s">
        <v>1048</v>
      </c>
      <c r="J54" t="s">
        <v>1048</v>
      </c>
      <c r="K54" t="s">
        <v>1048</v>
      </c>
      <c r="L54" t="s">
        <v>1048</v>
      </c>
      <c r="M54" t="s">
        <v>1048</v>
      </c>
      <c r="N54" t="s">
        <v>1048</v>
      </c>
      <c r="O54" t="s">
        <v>1048</v>
      </c>
      <c r="P54" t="s">
        <v>1048</v>
      </c>
      <c r="Q54" t="s">
        <v>1048</v>
      </c>
      <c r="R54" t="s">
        <v>1048</v>
      </c>
      <c r="S54" t="s">
        <v>1048</v>
      </c>
      <c r="T54" t="s">
        <v>1047</v>
      </c>
      <c r="U54" t="s">
        <v>1047</v>
      </c>
      <c r="V54" t="s">
        <v>1048</v>
      </c>
    </row>
    <row r="55" spans="1:22" x14ac:dyDescent="0.2">
      <c r="A55">
        <v>167643</v>
      </c>
      <c r="B55" t="s">
        <v>209</v>
      </c>
      <c r="C55">
        <v>20</v>
      </c>
      <c r="D55" s="368">
        <v>44316</v>
      </c>
      <c r="E55" t="s">
        <v>1048</v>
      </c>
      <c r="F55" s="368">
        <v>44286</v>
      </c>
      <c r="G55" t="s">
        <v>1048</v>
      </c>
      <c r="H55" t="s">
        <v>1048</v>
      </c>
      <c r="I55" t="s">
        <v>1048</v>
      </c>
      <c r="J55" t="s">
        <v>1048</v>
      </c>
      <c r="K55" t="s">
        <v>1048</v>
      </c>
      <c r="L55" t="s">
        <v>1048</v>
      </c>
      <c r="M55" t="s">
        <v>1048</v>
      </c>
      <c r="N55" t="s">
        <v>1048</v>
      </c>
      <c r="O55" t="s">
        <v>1048</v>
      </c>
      <c r="P55" t="s">
        <v>1048</v>
      </c>
      <c r="Q55" t="s">
        <v>1048</v>
      </c>
      <c r="R55" t="s">
        <v>1048</v>
      </c>
      <c r="S55" t="s">
        <v>1048</v>
      </c>
      <c r="T55" t="s">
        <v>1048</v>
      </c>
      <c r="U55" t="s">
        <v>1048</v>
      </c>
      <c r="V55" t="s">
        <v>1048</v>
      </c>
    </row>
    <row r="56" spans="1:22" x14ac:dyDescent="0.2">
      <c r="A56">
        <v>170423</v>
      </c>
      <c r="B56" t="s">
        <v>211</v>
      </c>
      <c r="C56">
        <v>22</v>
      </c>
      <c r="D56" s="368">
        <v>44316</v>
      </c>
      <c r="E56" t="s">
        <v>1048</v>
      </c>
      <c r="F56" s="368">
        <v>44286</v>
      </c>
      <c r="G56" t="s">
        <v>1048</v>
      </c>
      <c r="H56" t="s">
        <v>1048</v>
      </c>
      <c r="I56" t="s">
        <v>1048</v>
      </c>
      <c r="J56" t="s">
        <v>1048</v>
      </c>
      <c r="K56" t="s">
        <v>1048</v>
      </c>
      <c r="L56" t="s">
        <v>1048</v>
      </c>
      <c r="M56" t="s">
        <v>1048</v>
      </c>
      <c r="N56" t="s">
        <v>1048</v>
      </c>
      <c r="O56" t="s">
        <v>1048</v>
      </c>
      <c r="P56" t="s">
        <v>1048</v>
      </c>
      <c r="Q56" t="s">
        <v>1048</v>
      </c>
      <c r="R56" t="s">
        <v>1048</v>
      </c>
      <c r="S56" t="s">
        <v>1048</v>
      </c>
      <c r="T56" t="s">
        <v>1047</v>
      </c>
      <c r="U56" t="s">
        <v>1047</v>
      </c>
      <c r="V56" t="s">
        <v>1048</v>
      </c>
    </row>
    <row r="57" spans="1:22" x14ac:dyDescent="0.2">
      <c r="A57">
        <v>170894</v>
      </c>
      <c r="B57" t="s">
        <v>520</v>
      </c>
      <c r="C57">
        <v>28</v>
      </c>
      <c r="D57" s="368">
        <v>44316</v>
      </c>
      <c r="E57" t="s">
        <v>1047</v>
      </c>
      <c r="F57" s="368">
        <v>44286</v>
      </c>
      <c r="G57" t="s">
        <v>1047</v>
      </c>
      <c r="H57" t="s">
        <v>1047</v>
      </c>
      <c r="I57" t="s">
        <v>1047</v>
      </c>
      <c r="J57" t="s">
        <v>1048</v>
      </c>
      <c r="K57" t="s">
        <v>1048</v>
      </c>
      <c r="L57" t="s">
        <v>1047</v>
      </c>
      <c r="M57" t="s">
        <v>1047</v>
      </c>
      <c r="N57" t="s">
        <v>1047</v>
      </c>
      <c r="O57" t="s">
        <v>1047</v>
      </c>
      <c r="P57" t="s">
        <v>1047</v>
      </c>
      <c r="Q57" t="s">
        <v>1047</v>
      </c>
      <c r="R57" t="s">
        <v>1047</v>
      </c>
      <c r="S57" t="s">
        <v>1047</v>
      </c>
      <c r="T57" t="s">
        <v>1047</v>
      </c>
      <c r="U57" t="s">
        <v>1047</v>
      </c>
      <c r="V57" t="s">
        <v>1047</v>
      </c>
    </row>
    <row r="58" spans="1:22" x14ac:dyDescent="0.2">
      <c r="A58">
        <v>173435</v>
      </c>
      <c r="B58" t="s">
        <v>214</v>
      </c>
      <c r="C58"/>
      <c r="D58"/>
      <c r="E58" t="s">
        <v>1047</v>
      </c>
      <c r="F58" s="368">
        <v>43830</v>
      </c>
      <c r="G58" t="s">
        <v>1048</v>
      </c>
      <c r="H58" t="s">
        <v>1048</v>
      </c>
      <c r="I58" t="s">
        <v>1048</v>
      </c>
      <c r="J58" t="s">
        <v>1048</v>
      </c>
      <c r="K58" t="s">
        <v>1048</v>
      </c>
      <c r="L58" t="s">
        <v>1048</v>
      </c>
      <c r="M58" t="s">
        <v>1048</v>
      </c>
      <c r="N58" t="s">
        <v>1047</v>
      </c>
      <c r="O58" t="s">
        <v>1047</v>
      </c>
      <c r="P58" t="s">
        <v>1047</v>
      </c>
      <c r="Q58" t="s">
        <v>1047</v>
      </c>
      <c r="R58" t="s">
        <v>1047</v>
      </c>
      <c r="S58" t="s">
        <v>1047</v>
      </c>
      <c r="T58" t="s">
        <v>1047</v>
      </c>
      <c r="U58" t="s">
        <v>1047</v>
      </c>
      <c r="V58" t="s">
        <v>1048</v>
      </c>
    </row>
    <row r="59" spans="1:22" x14ac:dyDescent="0.2">
      <c r="A59">
        <v>174490</v>
      </c>
      <c r="B59" t="s">
        <v>1158</v>
      </c>
      <c r="C59">
        <v>25</v>
      </c>
      <c r="D59" s="368">
        <v>44316</v>
      </c>
      <c r="E59" t="s">
        <v>1048</v>
      </c>
      <c r="F59" s="368">
        <v>44286</v>
      </c>
      <c r="G59" t="s">
        <v>1048</v>
      </c>
      <c r="H59" t="s">
        <v>1048</v>
      </c>
      <c r="I59" t="s">
        <v>1048</v>
      </c>
      <c r="J59" t="s">
        <v>1048</v>
      </c>
      <c r="K59" t="s">
        <v>1048</v>
      </c>
      <c r="L59" t="s">
        <v>1047</v>
      </c>
      <c r="M59" t="s">
        <v>1047</v>
      </c>
      <c r="N59" t="s">
        <v>1047</v>
      </c>
      <c r="O59" t="s">
        <v>1047</v>
      </c>
      <c r="P59" t="s">
        <v>1048</v>
      </c>
      <c r="Q59" t="s">
        <v>1048</v>
      </c>
      <c r="R59" t="s">
        <v>1047</v>
      </c>
      <c r="S59" t="s">
        <v>1047</v>
      </c>
      <c r="T59" t="s">
        <v>1047</v>
      </c>
      <c r="U59" t="s">
        <v>1047</v>
      </c>
      <c r="V59" t="s">
        <v>1048</v>
      </c>
    </row>
    <row r="60" spans="1:22" x14ac:dyDescent="0.2">
      <c r="A60">
        <v>176503</v>
      </c>
      <c r="B60" t="s">
        <v>1211</v>
      </c>
      <c r="C60">
        <v>24</v>
      </c>
      <c r="D60" s="368">
        <v>44316</v>
      </c>
      <c r="E60" t="s">
        <v>1048</v>
      </c>
      <c r="F60" s="368">
        <v>44286</v>
      </c>
      <c r="G60" t="s">
        <v>1048</v>
      </c>
      <c r="H60" t="s">
        <v>1048</v>
      </c>
      <c r="I60" t="s">
        <v>1048</v>
      </c>
      <c r="J60" t="s">
        <v>1048</v>
      </c>
      <c r="K60" t="s">
        <v>1048</v>
      </c>
      <c r="L60" t="s">
        <v>1048</v>
      </c>
      <c r="M60" t="s">
        <v>1048</v>
      </c>
      <c r="N60" t="s">
        <v>1048</v>
      </c>
      <c r="O60" t="s">
        <v>1048</v>
      </c>
      <c r="P60" t="s">
        <v>1048</v>
      </c>
      <c r="Q60" t="s">
        <v>1048</v>
      </c>
      <c r="R60" t="s">
        <v>1048</v>
      </c>
      <c r="S60" t="s">
        <v>1048</v>
      </c>
      <c r="T60" t="s">
        <v>1047</v>
      </c>
      <c r="U60" t="s">
        <v>1047</v>
      </c>
      <c r="V60" t="s">
        <v>1048</v>
      </c>
    </row>
    <row r="61" spans="1:22" x14ac:dyDescent="0.2">
      <c r="A61">
        <v>178509</v>
      </c>
      <c r="B61" t="s">
        <v>1139</v>
      </c>
      <c r="C61"/>
      <c r="D61"/>
      <c r="E61" t="s">
        <v>1047</v>
      </c>
      <c r="F61" s="368">
        <v>43830</v>
      </c>
      <c r="G61" t="s">
        <v>1049</v>
      </c>
      <c r="H61" t="s">
        <v>1049</v>
      </c>
      <c r="I61" t="s">
        <v>1049</v>
      </c>
      <c r="J61" t="s">
        <v>1049</v>
      </c>
      <c r="K61" t="s">
        <v>1049</v>
      </c>
      <c r="L61" t="s">
        <v>1049</v>
      </c>
      <c r="M61" t="s">
        <v>1049</v>
      </c>
      <c r="N61" t="s">
        <v>1049</v>
      </c>
      <c r="O61" t="s">
        <v>1049</v>
      </c>
      <c r="P61" t="s">
        <v>1049</v>
      </c>
      <c r="Q61" t="s">
        <v>1049</v>
      </c>
      <c r="R61" t="s">
        <v>1049</v>
      </c>
      <c r="S61" t="s">
        <v>1049</v>
      </c>
      <c r="T61" t="s">
        <v>1049</v>
      </c>
      <c r="U61" t="s">
        <v>1049</v>
      </c>
      <c r="V61" t="s">
        <v>1049</v>
      </c>
    </row>
    <row r="62" spans="1:22" x14ac:dyDescent="0.2">
      <c r="A62">
        <v>182584</v>
      </c>
      <c r="B62" t="s">
        <v>521</v>
      </c>
      <c r="C62">
        <v>21</v>
      </c>
      <c r="D62" s="368">
        <v>44316</v>
      </c>
      <c r="E62" t="s">
        <v>1047</v>
      </c>
      <c r="F62" s="368">
        <v>43830</v>
      </c>
      <c r="G62" t="s">
        <v>1048</v>
      </c>
      <c r="H62" t="s">
        <v>1048</v>
      </c>
      <c r="I62" t="s">
        <v>1048</v>
      </c>
      <c r="J62" t="s">
        <v>1048</v>
      </c>
      <c r="K62" t="s">
        <v>1048</v>
      </c>
      <c r="L62" t="s">
        <v>1048</v>
      </c>
      <c r="M62" t="s">
        <v>1048</v>
      </c>
      <c r="N62" t="s">
        <v>1047</v>
      </c>
      <c r="O62" t="s">
        <v>1048</v>
      </c>
      <c r="P62" t="s">
        <v>1048</v>
      </c>
      <c r="Q62" t="s">
        <v>1047</v>
      </c>
      <c r="R62" t="s">
        <v>1047</v>
      </c>
      <c r="S62" t="s">
        <v>1047</v>
      </c>
      <c r="T62" t="s">
        <v>1047</v>
      </c>
      <c r="U62" t="s">
        <v>1047</v>
      </c>
      <c r="V62" t="s">
        <v>1047</v>
      </c>
    </row>
    <row r="63" spans="1:22" x14ac:dyDescent="0.2">
      <c r="A63">
        <v>182759</v>
      </c>
      <c r="B63" t="s">
        <v>1075</v>
      </c>
      <c r="C63">
        <v>26</v>
      </c>
      <c r="D63" s="368">
        <v>44316</v>
      </c>
      <c r="E63" t="s">
        <v>1047</v>
      </c>
      <c r="F63" s="368">
        <v>43830</v>
      </c>
      <c r="G63" t="s">
        <v>1048</v>
      </c>
      <c r="H63" t="s">
        <v>1048</v>
      </c>
      <c r="I63" t="s">
        <v>1048</v>
      </c>
      <c r="J63" t="s">
        <v>1048</v>
      </c>
      <c r="K63" t="s">
        <v>1048</v>
      </c>
      <c r="L63" t="s">
        <v>1048</v>
      </c>
      <c r="M63" t="s">
        <v>1048</v>
      </c>
      <c r="N63" t="s">
        <v>1048</v>
      </c>
      <c r="O63" t="s">
        <v>1048</v>
      </c>
      <c r="P63" t="s">
        <v>1048</v>
      </c>
      <c r="Q63" t="s">
        <v>1048</v>
      </c>
      <c r="R63" t="s">
        <v>1048</v>
      </c>
      <c r="S63" t="s">
        <v>1048</v>
      </c>
      <c r="T63" t="s">
        <v>1048</v>
      </c>
      <c r="U63" t="s">
        <v>1047</v>
      </c>
      <c r="V63" t="s">
        <v>1048</v>
      </c>
    </row>
    <row r="64" spans="1:22" x14ac:dyDescent="0.2">
      <c r="A64">
        <v>183178</v>
      </c>
      <c r="B64" t="s">
        <v>218</v>
      </c>
      <c r="C64">
        <v>24</v>
      </c>
      <c r="D64" s="368">
        <v>44316</v>
      </c>
      <c r="E64" t="s">
        <v>1047</v>
      </c>
      <c r="F64" s="368">
        <v>44286</v>
      </c>
      <c r="G64" t="s">
        <v>1048</v>
      </c>
      <c r="H64" t="s">
        <v>1048</v>
      </c>
      <c r="I64" t="s">
        <v>1048</v>
      </c>
      <c r="J64" t="s">
        <v>1048</v>
      </c>
      <c r="K64" t="s">
        <v>1048</v>
      </c>
      <c r="L64" t="s">
        <v>1048</v>
      </c>
      <c r="M64" t="s">
        <v>1048</v>
      </c>
      <c r="N64" t="s">
        <v>1048</v>
      </c>
      <c r="O64" t="s">
        <v>1048</v>
      </c>
      <c r="P64" t="s">
        <v>1047</v>
      </c>
      <c r="Q64" t="s">
        <v>1048</v>
      </c>
      <c r="R64" t="s">
        <v>1047</v>
      </c>
      <c r="S64" t="s">
        <v>1047</v>
      </c>
      <c r="T64" t="s">
        <v>1047</v>
      </c>
      <c r="U64" t="s">
        <v>1047</v>
      </c>
      <c r="V64" t="s">
        <v>1048</v>
      </c>
    </row>
    <row r="65" spans="1:22" x14ac:dyDescent="0.2">
      <c r="A65">
        <v>184119</v>
      </c>
      <c r="B65" t="s">
        <v>219</v>
      </c>
      <c r="C65">
        <v>22</v>
      </c>
      <c r="D65" s="368">
        <v>44316</v>
      </c>
      <c r="E65" t="s">
        <v>1048</v>
      </c>
      <c r="F65" s="368">
        <v>44286</v>
      </c>
      <c r="G65" t="s">
        <v>1048</v>
      </c>
      <c r="H65" t="s">
        <v>1048</v>
      </c>
      <c r="I65" t="s">
        <v>1048</v>
      </c>
      <c r="J65" t="s">
        <v>1048</v>
      </c>
      <c r="K65" t="s">
        <v>1048</v>
      </c>
      <c r="L65" t="s">
        <v>1048</v>
      </c>
      <c r="M65" t="s">
        <v>1048</v>
      </c>
      <c r="N65" t="s">
        <v>1048</v>
      </c>
      <c r="O65" t="s">
        <v>1048</v>
      </c>
      <c r="P65" t="s">
        <v>1048</v>
      </c>
      <c r="Q65" t="s">
        <v>1048</v>
      </c>
      <c r="R65" t="s">
        <v>1048</v>
      </c>
      <c r="S65" t="s">
        <v>1048</v>
      </c>
      <c r="T65" t="s">
        <v>1047</v>
      </c>
      <c r="U65" t="s">
        <v>1047</v>
      </c>
      <c r="V65" t="s">
        <v>1048</v>
      </c>
    </row>
    <row r="66" spans="1:22" x14ac:dyDescent="0.2">
      <c r="A66">
        <v>184416</v>
      </c>
      <c r="B66" t="s">
        <v>220</v>
      </c>
      <c r="C66">
        <v>24</v>
      </c>
      <c r="D66" s="368">
        <v>44316</v>
      </c>
      <c r="E66" t="s">
        <v>1047</v>
      </c>
      <c r="F66" s="368">
        <v>43830</v>
      </c>
      <c r="G66" t="s">
        <v>1048</v>
      </c>
      <c r="H66" t="s">
        <v>1048</v>
      </c>
      <c r="I66" t="s">
        <v>1048</v>
      </c>
      <c r="J66" t="s">
        <v>1048</v>
      </c>
      <c r="K66" t="s">
        <v>1048</v>
      </c>
      <c r="L66" t="s">
        <v>1048</v>
      </c>
      <c r="M66" t="s">
        <v>1048</v>
      </c>
      <c r="N66" t="s">
        <v>1048</v>
      </c>
      <c r="O66" t="s">
        <v>1048</v>
      </c>
      <c r="P66" t="s">
        <v>1048</v>
      </c>
      <c r="Q66" t="s">
        <v>1048</v>
      </c>
      <c r="R66" t="s">
        <v>1048</v>
      </c>
      <c r="S66" t="s">
        <v>1048</v>
      </c>
      <c r="T66" t="s">
        <v>1047</v>
      </c>
      <c r="U66" t="s">
        <v>1047</v>
      </c>
      <c r="V66" t="s">
        <v>1048</v>
      </c>
    </row>
    <row r="67" spans="1:22" x14ac:dyDescent="0.2">
      <c r="A67">
        <v>184580</v>
      </c>
      <c r="B67" t="s">
        <v>221</v>
      </c>
      <c r="C67">
        <v>24</v>
      </c>
      <c r="D67" s="368">
        <v>44316</v>
      </c>
      <c r="E67" t="s">
        <v>1048</v>
      </c>
      <c r="F67" s="368">
        <v>44286</v>
      </c>
      <c r="G67" t="s">
        <v>1048</v>
      </c>
      <c r="H67" t="s">
        <v>1048</v>
      </c>
      <c r="I67" t="s">
        <v>1048</v>
      </c>
      <c r="J67" t="s">
        <v>1048</v>
      </c>
      <c r="K67" t="s">
        <v>1048</v>
      </c>
      <c r="L67" t="s">
        <v>1048</v>
      </c>
      <c r="M67" t="s">
        <v>1047</v>
      </c>
      <c r="N67" t="s">
        <v>1047</v>
      </c>
      <c r="O67" t="s">
        <v>1048</v>
      </c>
      <c r="P67" t="s">
        <v>1047</v>
      </c>
      <c r="Q67" t="s">
        <v>1047</v>
      </c>
      <c r="R67" t="s">
        <v>1047</v>
      </c>
      <c r="S67" t="s">
        <v>1047</v>
      </c>
      <c r="T67" t="s">
        <v>1047</v>
      </c>
      <c r="U67" t="s">
        <v>1047</v>
      </c>
      <c r="V67" t="s">
        <v>1048</v>
      </c>
    </row>
    <row r="68" spans="1:22" x14ac:dyDescent="0.2">
      <c r="A68">
        <v>189258</v>
      </c>
      <c r="B68" t="s">
        <v>223</v>
      </c>
      <c r="C68">
        <v>23</v>
      </c>
      <c r="D68" s="368">
        <v>44316</v>
      </c>
      <c r="E68" t="s">
        <v>1048</v>
      </c>
      <c r="F68" s="368">
        <v>44286</v>
      </c>
      <c r="G68" t="s">
        <v>1048</v>
      </c>
      <c r="H68" t="s">
        <v>1048</v>
      </c>
      <c r="I68" t="s">
        <v>1048</v>
      </c>
      <c r="J68" t="s">
        <v>1048</v>
      </c>
      <c r="K68" t="s">
        <v>1048</v>
      </c>
      <c r="L68" t="s">
        <v>1048</v>
      </c>
      <c r="M68" t="s">
        <v>1048</v>
      </c>
      <c r="N68" t="s">
        <v>1048</v>
      </c>
      <c r="O68" t="s">
        <v>1048</v>
      </c>
      <c r="P68" t="s">
        <v>1048</v>
      </c>
      <c r="Q68" t="s">
        <v>1048</v>
      </c>
      <c r="R68" t="s">
        <v>1047</v>
      </c>
      <c r="S68" t="s">
        <v>1047</v>
      </c>
      <c r="T68" t="s">
        <v>1047</v>
      </c>
      <c r="U68" t="s">
        <v>1048</v>
      </c>
      <c r="V68" t="s">
        <v>1048</v>
      </c>
    </row>
    <row r="69" spans="1:22" x14ac:dyDescent="0.2">
      <c r="A69">
        <v>191080</v>
      </c>
      <c r="B69" t="s">
        <v>968</v>
      </c>
      <c r="C69">
        <v>24</v>
      </c>
      <c r="D69" s="368">
        <v>44316</v>
      </c>
      <c r="E69" t="s">
        <v>1047</v>
      </c>
      <c r="F69" s="368">
        <v>44286</v>
      </c>
      <c r="G69" t="s">
        <v>1048</v>
      </c>
      <c r="H69" t="s">
        <v>1048</v>
      </c>
      <c r="I69" t="s">
        <v>1048</v>
      </c>
      <c r="J69" t="s">
        <v>1048</v>
      </c>
      <c r="K69" t="s">
        <v>1048</v>
      </c>
      <c r="L69" t="s">
        <v>1047</v>
      </c>
      <c r="M69" t="s">
        <v>1048</v>
      </c>
      <c r="N69" t="s">
        <v>1047</v>
      </c>
      <c r="O69" t="s">
        <v>1047</v>
      </c>
      <c r="P69" t="s">
        <v>1047</v>
      </c>
      <c r="Q69" t="s">
        <v>1047</v>
      </c>
      <c r="R69" t="s">
        <v>1047</v>
      </c>
      <c r="S69" t="s">
        <v>1047</v>
      </c>
      <c r="T69" t="s">
        <v>1047</v>
      </c>
      <c r="U69" t="s">
        <v>1047</v>
      </c>
      <c r="V69" t="s">
        <v>1048</v>
      </c>
    </row>
    <row r="70" spans="1:22" x14ac:dyDescent="0.2">
      <c r="A70">
        <v>191676</v>
      </c>
      <c r="B70" t="s">
        <v>148</v>
      </c>
      <c r="C70">
        <v>19</v>
      </c>
      <c r="D70" s="368">
        <v>44316</v>
      </c>
      <c r="E70" t="s">
        <v>1048</v>
      </c>
      <c r="F70" s="368">
        <v>44286</v>
      </c>
      <c r="G70" t="s">
        <v>1048</v>
      </c>
      <c r="H70" t="s">
        <v>1048</v>
      </c>
      <c r="I70" t="s">
        <v>1048</v>
      </c>
      <c r="J70" t="s">
        <v>1048</v>
      </c>
      <c r="K70" t="s">
        <v>1048</v>
      </c>
      <c r="L70" t="s">
        <v>1048</v>
      </c>
      <c r="M70" t="s">
        <v>1047</v>
      </c>
      <c r="N70" t="s">
        <v>1047</v>
      </c>
      <c r="O70" t="s">
        <v>1048</v>
      </c>
      <c r="P70" t="s">
        <v>1047</v>
      </c>
      <c r="Q70" t="s">
        <v>1048</v>
      </c>
      <c r="R70" t="s">
        <v>1047</v>
      </c>
      <c r="S70" t="s">
        <v>1048</v>
      </c>
      <c r="T70" t="s">
        <v>1047</v>
      </c>
      <c r="U70" t="s">
        <v>1047</v>
      </c>
      <c r="V70" t="s">
        <v>1047</v>
      </c>
    </row>
    <row r="71" spans="1:22" x14ac:dyDescent="0.2">
      <c r="A71">
        <v>192146</v>
      </c>
      <c r="B71" t="s">
        <v>1007</v>
      </c>
      <c r="C71">
        <v>27</v>
      </c>
      <c r="D71" s="368">
        <v>44316</v>
      </c>
      <c r="E71" t="s">
        <v>1047</v>
      </c>
      <c r="F71" s="368">
        <v>43830</v>
      </c>
      <c r="G71" t="s">
        <v>1048</v>
      </c>
      <c r="H71" t="s">
        <v>1048</v>
      </c>
      <c r="I71" t="s">
        <v>1048</v>
      </c>
      <c r="J71" t="s">
        <v>1048</v>
      </c>
      <c r="K71" t="s">
        <v>1048</v>
      </c>
      <c r="L71" t="s">
        <v>1047</v>
      </c>
      <c r="M71" t="s">
        <v>1047</v>
      </c>
      <c r="N71" t="s">
        <v>1047</v>
      </c>
      <c r="O71" t="s">
        <v>1047</v>
      </c>
      <c r="P71" t="s">
        <v>1047</v>
      </c>
      <c r="Q71" t="s">
        <v>1047</v>
      </c>
      <c r="R71" t="s">
        <v>1047</v>
      </c>
      <c r="S71" t="s">
        <v>1047</v>
      </c>
      <c r="T71" t="s">
        <v>1047</v>
      </c>
      <c r="U71" t="s">
        <v>1047</v>
      </c>
      <c r="V71" t="s">
        <v>1048</v>
      </c>
    </row>
    <row r="72" spans="1:22" x14ac:dyDescent="0.2">
      <c r="A72">
        <v>194092</v>
      </c>
      <c r="B72" t="s">
        <v>523</v>
      </c>
      <c r="C72">
        <v>20</v>
      </c>
      <c r="D72" s="368">
        <v>44316</v>
      </c>
      <c r="E72" t="s">
        <v>1048</v>
      </c>
      <c r="F72" s="368">
        <v>44286</v>
      </c>
      <c r="G72" t="s">
        <v>1048</v>
      </c>
      <c r="H72" t="s">
        <v>1048</v>
      </c>
      <c r="I72" t="s">
        <v>1048</v>
      </c>
      <c r="J72" t="s">
        <v>1048</v>
      </c>
      <c r="K72" t="s">
        <v>1048</v>
      </c>
      <c r="L72" t="s">
        <v>1048</v>
      </c>
      <c r="M72" t="s">
        <v>1048</v>
      </c>
      <c r="N72" t="s">
        <v>1048</v>
      </c>
      <c r="O72" t="s">
        <v>1048</v>
      </c>
      <c r="P72" t="s">
        <v>1048</v>
      </c>
      <c r="Q72" t="s">
        <v>1048</v>
      </c>
      <c r="R72" t="s">
        <v>1048</v>
      </c>
      <c r="S72" t="s">
        <v>1048</v>
      </c>
      <c r="T72" t="s">
        <v>1048</v>
      </c>
      <c r="U72" t="s">
        <v>1047</v>
      </c>
      <c r="V72" t="s">
        <v>1047</v>
      </c>
    </row>
    <row r="73" spans="1:22" x14ac:dyDescent="0.2">
      <c r="A73">
        <v>199753</v>
      </c>
      <c r="B73" t="s">
        <v>1212</v>
      </c>
      <c r="C73">
        <v>18</v>
      </c>
      <c r="D73" s="368">
        <v>44316</v>
      </c>
      <c r="E73" t="s">
        <v>1048</v>
      </c>
      <c r="F73" s="368">
        <v>44286</v>
      </c>
      <c r="G73" t="s">
        <v>1048</v>
      </c>
      <c r="H73" t="s">
        <v>1048</v>
      </c>
      <c r="I73" t="s">
        <v>1048</v>
      </c>
      <c r="J73" t="s">
        <v>1048</v>
      </c>
      <c r="K73" t="s">
        <v>1048</v>
      </c>
      <c r="L73" t="s">
        <v>1048</v>
      </c>
      <c r="M73" t="s">
        <v>1048</v>
      </c>
      <c r="N73" t="s">
        <v>1048</v>
      </c>
      <c r="O73" t="s">
        <v>1048</v>
      </c>
      <c r="P73" t="s">
        <v>1048</v>
      </c>
      <c r="Q73" t="s">
        <v>1048</v>
      </c>
      <c r="R73" t="s">
        <v>1048</v>
      </c>
      <c r="S73" t="s">
        <v>1048</v>
      </c>
      <c r="T73" t="s">
        <v>1047</v>
      </c>
      <c r="U73" t="s">
        <v>1047</v>
      </c>
      <c r="V73" t="s">
        <v>1048</v>
      </c>
    </row>
    <row r="74" spans="1:22" x14ac:dyDescent="0.2">
      <c r="A74">
        <v>201111</v>
      </c>
      <c r="B74" t="s">
        <v>1213</v>
      </c>
      <c r="C74">
        <v>20</v>
      </c>
      <c r="D74" s="368">
        <v>44316</v>
      </c>
      <c r="E74" t="s">
        <v>1048</v>
      </c>
      <c r="F74" s="368">
        <v>44286</v>
      </c>
      <c r="G74" t="s">
        <v>1048</v>
      </c>
      <c r="H74" t="s">
        <v>1048</v>
      </c>
      <c r="I74" t="s">
        <v>1048</v>
      </c>
      <c r="J74" t="s">
        <v>1048</v>
      </c>
      <c r="K74" t="s">
        <v>1048</v>
      </c>
      <c r="L74" t="s">
        <v>1048</v>
      </c>
      <c r="M74" t="s">
        <v>1048</v>
      </c>
      <c r="N74" t="s">
        <v>1048</v>
      </c>
      <c r="O74" t="s">
        <v>1048</v>
      </c>
      <c r="P74" t="s">
        <v>1048</v>
      </c>
      <c r="Q74" t="s">
        <v>1048</v>
      </c>
      <c r="R74" t="s">
        <v>1048</v>
      </c>
      <c r="S74" t="s">
        <v>1048</v>
      </c>
      <c r="T74" t="s">
        <v>1047</v>
      </c>
      <c r="U74" t="s">
        <v>1047</v>
      </c>
      <c r="V74" t="s">
        <v>1048</v>
      </c>
    </row>
    <row r="75" spans="1:22" x14ac:dyDescent="0.2">
      <c r="A75">
        <v>202002</v>
      </c>
      <c r="B75" t="s">
        <v>226</v>
      </c>
      <c r="C75">
        <v>25</v>
      </c>
      <c r="D75" s="368">
        <v>44316</v>
      </c>
      <c r="E75" t="s">
        <v>1048</v>
      </c>
      <c r="F75" s="368">
        <v>44196</v>
      </c>
      <c r="G75" t="s">
        <v>1048</v>
      </c>
      <c r="H75" t="s">
        <v>1048</v>
      </c>
      <c r="I75" t="s">
        <v>1048</v>
      </c>
      <c r="J75" t="s">
        <v>1048</v>
      </c>
      <c r="K75" t="s">
        <v>1048</v>
      </c>
      <c r="L75" t="s">
        <v>1048</v>
      </c>
      <c r="M75" t="s">
        <v>1048</v>
      </c>
      <c r="N75" t="s">
        <v>1047</v>
      </c>
      <c r="O75" t="s">
        <v>1048</v>
      </c>
      <c r="P75" t="s">
        <v>1047</v>
      </c>
      <c r="Q75" t="s">
        <v>1048</v>
      </c>
      <c r="R75" t="s">
        <v>1048</v>
      </c>
      <c r="S75" t="s">
        <v>1047</v>
      </c>
      <c r="T75" t="s">
        <v>1048</v>
      </c>
      <c r="U75" t="s">
        <v>1048</v>
      </c>
      <c r="V75" t="s">
        <v>1047</v>
      </c>
    </row>
    <row r="76" spans="1:22" x14ac:dyDescent="0.2">
      <c r="A76">
        <v>203067</v>
      </c>
      <c r="B76" t="s">
        <v>228</v>
      </c>
      <c r="C76">
        <v>20</v>
      </c>
      <c r="D76" s="368">
        <v>44316</v>
      </c>
      <c r="E76" t="s">
        <v>1048</v>
      </c>
      <c r="F76" s="368">
        <v>44286</v>
      </c>
      <c r="G76" t="s">
        <v>1048</v>
      </c>
      <c r="H76" t="s">
        <v>1048</v>
      </c>
      <c r="I76" t="s">
        <v>1048</v>
      </c>
      <c r="J76" t="s">
        <v>1048</v>
      </c>
      <c r="K76" t="s">
        <v>1048</v>
      </c>
      <c r="L76" t="s">
        <v>1048</v>
      </c>
      <c r="M76" t="s">
        <v>1048</v>
      </c>
      <c r="N76" t="s">
        <v>1048</v>
      </c>
      <c r="O76" t="s">
        <v>1048</v>
      </c>
      <c r="P76" t="s">
        <v>1048</v>
      </c>
      <c r="Q76" t="s">
        <v>1048</v>
      </c>
      <c r="R76" t="s">
        <v>1048</v>
      </c>
      <c r="S76" t="s">
        <v>1047</v>
      </c>
      <c r="T76" t="s">
        <v>1047</v>
      </c>
      <c r="U76" t="s">
        <v>1047</v>
      </c>
      <c r="V76" t="s">
        <v>1048</v>
      </c>
    </row>
    <row r="77" spans="1:22" x14ac:dyDescent="0.2">
      <c r="A77">
        <v>205832</v>
      </c>
      <c r="B77" t="s">
        <v>1008</v>
      </c>
      <c r="C77"/>
      <c r="D77"/>
      <c r="E77" t="s">
        <v>1047</v>
      </c>
      <c r="F77" s="368">
        <v>43830</v>
      </c>
      <c r="G77" t="s">
        <v>1047</v>
      </c>
      <c r="H77" t="s">
        <v>1047</v>
      </c>
      <c r="I77" t="s">
        <v>1047</v>
      </c>
      <c r="J77" t="s">
        <v>1047</v>
      </c>
      <c r="K77" t="s">
        <v>1047</v>
      </c>
      <c r="L77" t="s">
        <v>1047</v>
      </c>
      <c r="M77" t="s">
        <v>1047</v>
      </c>
      <c r="N77" t="s">
        <v>1047</v>
      </c>
      <c r="O77" t="s">
        <v>1047</v>
      </c>
      <c r="P77" t="s">
        <v>1047</v>
      </c>
      <c r="Q77" t="s">
        <v>1047</v>
      </c>
      <c r="R77" t="s">
        <v>1047</v>
      </c>
      <c r="S77" t="s">
        <v>1047</v>
      </c>
      <c r="T77" t="s">
        <v>1047</v>
      </c>
      <c r="U77" t="s">
        <v>1047</v>
      </c>
      <c r="V77" t="s">
        <v>1047</v>
      </c>
    </row>
    <row r="78" spans="1:22" x14ac:dyDescent="0.2">
      <c r="A78">
        <v>206250</v>
      </c>
      <c r="B78" t="s">
        <v>230</v>
      </c>
      <c r="C78">
        <v>26</v>
      </c>
      <c r="D78" s="368">
        <v>44316</v>
      </c>
      <c r="E78" t="s">
        <v>1047</v>
      </c>
      <c r="F78" s="368">
        <v>44286</v>
      </c>
      <c r="G78" t="s">
        <v>1048</v>
      </c>
      <c r="H78" t="s">
        <v>1048</v>
      </c>
      <c r="I78" t="s">
        <v>1048</v>
      </c>
      <c r="J78" t="s">
        <v>1048</v>
      </c>
      <c r="K78" t="s">
        <v>1048</v>
      </c>
      <c r="L78" t="s">
        <v>1048</v>
      </c>
      <c r="M78" t="s">
        <v>1047</v>
      </c>
      <c r="N78" t="s">
        <v>1047</v>
      </c>
      <c r="O78" t="s">
        <v>1048</v>
      </c>
      <c r="P78" t="s">
        <v>1047</v>
      </c>
      <c r="Q78" t="s">
        <v>1047</v>
      </c>
      <c r="R78" t="s">
        <v>1047</v>
      </c>
      <c r="S78" t="s">
        <v>1047</v>
      </c>
      <c r="T78" t="s">
        <v>1047</v>
      </c>
      <c r="U78" t="s">
        <v>1047</v>
      </c>
      <c r="V78" t="s">
        <v>1047</v>
      </c>
    </row>
    <row r="79" spans="1:22" x14ac:dyDescent="0.2">
      <c r="A79">
        <v>212332</v>
      </c>
      <c r="B79" t="s">
        <v>232</v>
      </c>
      <c r="C79">
        <v>21</v>
      </c>
      <c r="D79" s="368">
        <v>44316</v>
      </c>
      <c r="E79" t="s">
        <v>1048</v>
      </c>
      <c r="F79" s="368">
        <v>44286</v>
      </c>
      <c r="G79" t="s">
        <v>1048</v>
      </c>
      <c r="H79" t="s">
        <v>1048</v>
      </c>
      <c r="I79" t="s">
        <v>1048</v>
      </c>
      <c r="J79" t="s">
        <v>1048</v>
      </c>
      <c r="K79" t="s">
        <v>1048</v>
      </c>
      <c r="L79" t="s">
        <v>1048</v>
      </c>
      <c r="M79" t="s">
        <v>1048</v>
      </c>
      <c r="N79" t="s">
        <v>1048</v>
      </c>
      <c r="O79" t="s">
        <v>1048</v>
      </c>
      <c r="P79" t="s">
        <v>1048</v>
      </c>
      <c r="Q79" t="s">
        <v>1048</v>
      </c>
      <c r="R79" t="s">
        <v>1048</v>
      </c>
      <c r="S79" t="s">
        <v>1048</v>
      </c>
      <c r="T79" t="s">
        <v>1047</v>
      </c>
      <c r="U79" t="s">
        <v>1047</v>
      </c>
      <c r="V79" t="s">
        <v>1048</v>
      </c>
    </row>
    <row r="80" spans="1:22" x14ac:dyDescent="0.2">
      <c r="A80">
        <v>214163</v>
      </c>
      <c r="B80" t="s">
        <v>233</v>
      </c>
      <c r="C80"/>
      <c r="D80"/>
      <c r="E80" t="s">
        <v>1047</v>
      </c>
      <c r="F80" s="368">
        <v>43830</v>
      </c>
      <c r="G80" t="s">
        <v>1048</v>
      </c>
      <c r="H80" t="s">
        <v>1048</v>
      </c>
      <c r="I80" t="s">
        <v>1048</v>
      </c>
      <c r="J80" t="s">
        <v>1048</v>
      </c>
      <c r="K80" t="s">
        <v>1048</v>
      </c>
      <c r="L80" t="s">
        <v>1048</v>
      </c>
      <c r="M80" t="s">
        <v>1048</v>
      </c>
      <c r="N80" t="s">
        <v>1048</v>
      </c>
      <c r="O80" t="s">
        <v>1048</v>
      </c>
      <c r="P80" t="s">
        <v>1048</v>
      </c>
      <c r="Q80" t="s">
        <v>1048</v>
      </c>
      <c r="R80" t="s">
        <v>1048</v>
      </c>
      <c r="S80" t="s">
        <v>1048</v>
      </c>
      <c r="T80" t="s">
        <v>1047</v>
      </c>
      <c r="U80" t="s">
        <v>1047</v>
      </c>
      <c r="V80" t="s">
        <v>1047</v>
      </c>
    </row>
    <row r="81" spans="1:22" x14ac:dyDescent="0.2">
      <c r="A81">
        <v>214338</v>
      </c>
      <c r="B81" t="s">
        <v>1141</v>
      </c>
      <c r="C81">
        <v>20</v>
      </c>
      <c r="D81" s="368">
        <v>44316</v>
      </c>
      <c r="E81" t="s">
        <v>1048</v>
      </c>
      <c r="F81" s="368">
        <v>44286</v>
      </c>
      <c r="G81" t="s">
        <v>1048</v>
      </c>
      <c r="H81" t="s">
        <v>1048</v>
      </c>
      <c r="I81" t="s">
        <v>1048</v>
      </c>
      <c r="J81" t="s">
        <v>1048</v>
      </c>
      <c r="K81" t="s">
        <v>1048</v>
      </c>
      <c r="L81" t="s">
        <v>1048</v>
      </c>
      <c r="M81" t="s">
        <v>1048</v>
      </c>
      <c r="N81" t="s">
        <v>1047</v>
      </c>
      <c r="O81" t="s">
        <v>1047</v>
      </c>
      <c r="P81" t="s">
        <v>1047</v>
      </c>
      <c r="Q81" t="s">
        <v>1047</v>
      </c>
      <c r="R81" t="s">
        <v>1047</v>
      </c>
      <c r="S81" t="s">
        <v>1047</v>
      </c>
      <c r="T81" t="s">
        <v>1048</v>
      </c>
      <c r="U81" t="s">
        <v>1047</v>
      </c>
      <c r="V81" t="s">
        <v>1048</v>
      </c>
    </row>
    <row r="82" spans="1:22" x14ac:dyDescent="0.2">
      <c r="A82">
        <v>215996</v>
      </c>
      <c r="B82" t="s">
        <v>235</v>
      </c>
      <c r="C82">
        <v>21</v>
      </c>
      <c r="D82" s="368">
        <v>44316</v>
      </c>
      <c r="E82" t="s">
        <v>1048</v>
      </c>
      <c r="F82" s="368">
        <v>44286</v>
      </c>
      <c r="G82" t="s">
        <v>1048</v>
      </c>
      <c r="H82" t="s">
        <v>1048</v>
      </c>
      <c r="I82" t="s">
        <v>1048</v>
      </c>
      <c r="J82" t="s">
        <v>1048</v>
      </c>
      <c r="K82" t="s">
        <v>1048</v>
      </c>
      <c r="L82" t="s">
        <v>1048</v>
      </c>
      <c r="M82" t="s">
        <v>1048</v>
      </c>
      <c r="N82" t="s">
        <v>1048</v>
      </c>
      <c r="O82" t="s">
        <v>1048</v>
      </c>
      <c r="P82" t="s">
        <v>1048</v>
      </c>
      <c r="Q82" t="s">
        <v>1048</v>
      </c>
      <c r="R82" t="s">
        <v>1048</v>
      </c>
      <c r="S82" t="s">
        <v>1047</v>
      </c>
      <c r="T82" t="s">
        <v>1047</v>
      </c>
      <c r="U82" t="s">
        <v>1047</v>
      </c>
      <c r="V82" t="s">
        <v>1048</v>
      </c>
    </row>
    <row r="83" spans="1:22" x14ac:dyDescent="0.2">
      <c r="A83">
        <v>220244</v>
      </c>
      <c r="B83" t="s">
        <v>237</v>
      </c>
      <c r="C83">
        <v>20</v>
      </c>
      <c r="D83" s="368">
        <v>44316</v>
      </c>
      <c r="E83" t="s">
        <v>1048</v>
      </c>
      <c r="F83" s="368">
        <v>44286</v>
      </c>
      <c r="G83" t="s">
        <v>1048</v>
      </c>
      <c r="H83" t="s">
        <v>1048</v>
      </c>
      <c r="I83" t="s">
        <v>1048</v>
      </c>
      <c r="J83" t="s">
        <v>1048</v>
      </c>
      <c r="K83" t="s">
        <v>1048</v>
      </c>
      <c r="L83" t="s">
        <v>1048</v>
      </c>
      <c r="M83" t="s">
        <v>1048</v>
      </c>
      <c r="N83" t="s">
        <v>1048</v>
      </c>
      <c r="O83" t="s">
        <v>1048</v>
      </c>
      <c r="P83" t="s">
        <v>1048</v>
      </c>
      <c r="Q83" t="s">
        <v>1048</v>
      </c>
      <c r="R83" t="s">
        <v>1048</v>
      </c>
      <c r="S83" t="s">
        <v>1048</v>
      </c>
      <c r="T83" t="s">
        <v>1047</v>
      </c>
      <c r="U83" t="s">
        <v>1047</v>
      </c>
      <c r="V83" t="s">
        <v>1048</v>
      </c>
    </row>
    <row r="84" spans="1:22" x14ac:dyDescent="0.2">
      <c r="A84">
        <v>224493</v>
      </c>
      <c r="B84" t="s">
        <v>238</v>
      </c>
      <c r="C84">
        <v>21</v>
      </c>
      <c r="D84" s="368">
        <v>44316</v>
      </c>
      <c r="E84" t="s">
        <v>1048</v>
      </c>
      <c r="F84" s="368">
        <v>44286</v>
      </c>
      <c r="G84" t="s">
        <v>1048</v>
      </c>
      <c r="H84" t="s">
        <v>1048</v>
      </c>
      <c r="I84" t="s">
        <v>1048</v>
      </c>
      <c r="J84" t="s">
        <v>1048</v>
      </c>
      <c r="K84" t="s">
        <v>1048</v>
      </c>
      <c r="L84" t="s">
        <v>1048</v>
      </c>
      <c r="M84" t="s">
        <v>1048</v>
      </c>
      <c r="N84" t="s">
        <v>1048</v>
      </c>
      <c r="O84" t="s">
        <v>1048</v>
      </c>
      <c r="P84" t="s">
        <v>1048</v>
      </c>
      <c r="Q84" t="s">
        <v>1048</v>
      </c>
      <c r="R84" t="s">
        <v>1048</v>
      </c>
      <c r="S84" t="s">
        <v>1047</v>
      </c>
      <c r="T84" t="s">
        <v>1047</v>
      </c>
      <c r="U84" t="s">
        <v>1047</v>
      </c>
      <c r="V84" t="s">
        <v>1047</v>
      </c>
    </row>
    <row r="85" spans="1:22" x14ac:dyDescent="0.2">
      <c r="A85">
        <v>229625</v>
      </c>
      <c r="B85" t="s">
        <v>239</v>
      </c>
      <c r="C85">
        <v>31</v>
      </c>
      <c r="D85" s="368">
        <v>44316</v>
      </c>
      <c r="E85" t="s">
        <v>1047</v>
      </c>
      <c r="F85" s="368">
        <v>43830</v>
      </c>
      <c r="G85" t="s">
        <v>1048</v>
      </c>
      <c r="H85" t="s">
        <v>1048</v>
      </c>
      <c r="I85" t="s">
        <v>1048</v>
      </c>
      <c r="J85" t="s">
        <v>1048</v>
      </c>
      <c r="K85" t="s">
        <v>1048</v>
      </c>
      <c r="L85" t="s">
        <v>1048</v>
      </c>
      <c r="M85" t="s">
        <v>1047</v>
      </c>
      <c r="N85" t="s">
        <v>1047</v>
      </c>
      <c r="O85" t="s">
        <v>1048</v>
      </c>
      <c r="P85" t="s">
        <v>1047</v>
      </c>
      <c r="Q85" t="s">
        <v>1048</v>
      </c>
      <c r="R85" t="s">
        <v>1048</v>
      </c>
      <c r="S85" t="s">
        <v>1047</v>
      </c>
      <c r="T85" t="s">
        <v>1048</v>
      </c>
      <c r="U85" t="s">
        <v>1047</v>
      </c>
      <c r="V85" t="s">
        <v>1047</v>
      </c>
    </row>
    <row r="86" spans="1:22" x14ac:dyDescent="0.2">
      <c r="A86">
        <v>229922</v>
      </c>
      <c r="B86" t="s">
        <v>241</v>
      </c>
      <c r="C86">
        <v>25</v>
      </c>
      <c r="D86" s="368">
        <v>44316</v>
      </c>
      <c r="E86" t="s">
        <v>1048</v>
      </c>
      <c r="F86" s="368">
        <v>44286</v>
      </c>
      <c r="G86" t="s">
        <v>1048</v>
      </c>
      <c r="H86" t="s">
        <v>1048</v>
      </c>
      <c r="I86" t="s">
        <v>1048</v>
      </c>
      <c r="J86" t="s">
        <v>1048</v>
      </c>
      <c r="K86" t="s">
        <v>1048</v>
      </c>
      <c r="L86" t="s">
        <v>1048</v>
      </c>
      <c r="M86" t="s">
        <v>1048</v>
      </c>
      <c r="N86" t="s">
        <v>1048</v>
      </c>
      <c r="O86" t="s">
        <v>1048</v>
      </c>
      <c r="P86" t="s">
        <v>1048</v>
      </c>
      <c r="Q86" t="s">
        <v>1048</v>
      </c>
      <c r="R86" t="s">
        <v>1048</v>
      </c>
      <c r="S86" t="s">
        <v>1048</v>
      </c>
      <c r="T86" t="s">
        <v>1048</v>
      </c>
      <c r="U86" t="s">
        <v>1048</v>
      </c>
      <c r="V86" t="s">
        <v>1047</v>
      </c>
    </row>
    <row r="87" spans="1:22" x14ac:dyDescent="0.2">
      <c r="A87">
        <v>231100</v>
      </c>
      <c r="B87" t="s">
        <v>969</v>
      </c>
      <c r="C87">
        <v>27</v>
      </c>
      <c r="D87" s="368">
        <v>44316</v>
      </c>
      <c r="E87" t="s">
        <v>1047</v>
      </c>
      <c r="F87" s="368">
        <v>44286</v>
      </c>
      <c r="G87" t="s">
        <v>1048</v>
      </c>
      <c r="H87" t="s">
        <v>1048</v>
      </c>
      <c r="I87" t="s">
        <v>1048</v>
      </c>
      <c r="J87" t="s">
        <v>1048</v>
      </c>
      <c r="K87" t="s">
        <v>1048</v>
      </c>
      <c r="L87" t="s">
        <v>1048</v>
      </c>
      <c r="M87" t="s">
        <v>1048</v>
      </c>
      <c r="N87" t="s">
        <v>1047</v>
      </c>
      <c r="O87" t="s">
        <v>1047</v>
      </c>
      <c r="P87" t="s">
        <v>1047</v>
      </c>
      <c r="Q87" t="s">
        <v>1047</v>
      </c>
      <c r="R87" t="s">
        <v>1047</v>
      </c>
      <c r="S87" t="s">
        <v>1047</v>
      </c>
      <c r="T87" t="s">
        <v>1048</v>
      </c>
      <c r="U87" t="s">
        <v>1047</v>
      </c>
      <c r="V87" t="s">
        <v>1048</v>
      </c>
    </row>
    <row r="88" spans="1:22" x14ac:dyDescent="0.2">
      <c r="A88">
        <v>233585</v>
      </c>
      <c r="B88" t="s">
        <v>537</v>
      </c>
      <c r="C88">
        <v>26</v>
      </c>
      <c r="D88" s="368">
        <v>44316</v>
      </c>
      <c r="E88" t="s">
        <v>1048</v>
      </c>
      <c r="F88" s="368">
        <v>44286</v>
      </c>
      <c r="G88" t="s">
        <v>1048</v>
      </c>
      <c r="H88" t="s">
        <v>1048</v>
      </c>
      <c r="I88" t="s">
        <v>1048</v>
      </c>
      <c r="J88" t="s">
        <v>1048</v>
      </c>
      <c r="K88" t="s">
        <v>1047</v>
      </c>
      <c r="L88" t="s">
        <v>1047</v>
      </c>
      <c r="M88" t="s">
        <v>1048</v>
      </c>
      <c r="N88" t="s">
        <v>1047</v>
      </c>
      <c r="O88" t="s">
        <v>1047</v>
      </c>
      <c r="P88" t="s">
        <v>1047</v>
      </c>
      <c r="Q88" t="s">
        <v>1047</v>
      </c>
      <c r="R88" t="s">
        <v>1047</v>
      </c>
      <c r="S88" t="s">
        <v>1047</v>
      </c>
      <c r="T88" t="s">
        <v>1048</v>
      </c>
      <c r="U88" t="s">
        <v>1047</v>
      </c>
      <c r="V88" t="s">
        <v>1047</v>
      </c>
    </row>
    <row r="89" spans="1:22" x14ac:dyDescent="0.2">
      <c r="A89">
        <v>235291</v>
      </c>
      <c r="B89" t="s">
        <v>970</v>
      </c>
      <c r="C89">
        <v>29</v>
      </c>
      <c r="D89" s="368">
        <v>44316</v>
      </c>
      <c r="E89" t="s">
        <v>1047</v>
      </c>
      <c r="F89" s="368">
        <v>44286</v>
      </c>
      <c r="G89" t="s">
        <v>1048</v>
      </c>
      <c r="H89" t="s">
        <v>1048</v>
      </c>
      <c r="I89" t="s">
        <v>1048</v>
      </c>
      <c r="J89" t="s">
        <v>1048</v>
      </c>
      <c r="K89" t="s">
        <v>1048</v>
      </c>
      <c r="L89" t="s">
        <v>1047</v>
      </c>
      <c r="M89" t="s">
        <v>1048</v>
      </c>
      <c r="N89" t="s">
        <v>1047</v>
      </c>
      <c r="O89" t="s">
        <v>1047</v>
      </c>
      <c r="P89" t="s">
        <v>1047</v>
      </c>
      <c r="Q89" t="s">
        <v>1047</v>
      </c>
      <c r="R89" t="s">
        <v>1047</v>
      </c>
      <c r="S89" t="s">
        <v>1047</v>
      </c>
      <c r="T89" t="s">
        <v>1047</v>
      </c>
      <c r="U89" t="s">
        <v>1047</v>
      </c>
      <c r="V89" t="s">
        <v>1048</v>
      </c>
    </row>
    <row r="90" spans="1:22" x14ac:dyDescent="0.2">
      <c r="A90">
        <v>237834</v>
      </c>
      <c r="B90" t="s">
        <v>246</v>
      </c>
      <c r="C90">
        <v>21</v>
      </c>
      <c r="D90" s="368">
        <v>44316</v>
      </c>
      <c r="E90" t="s">
        <v>1047</v>
      </c>
      <c r="F90" s="368">
        <v>43830</v>
      </c>
      <c r="G90" t="s">
        <v>1048</v>
      </c>
      <c r="H90" t="s">
        <v>1048</v>
      </c>
      <c r="I90" t="s">
        <v>1048</v>
      </c>
      <c r="J90" t="s">
        <v>1048</v>
      </c>
      <c r="K90" t="s">
        <v>1048</v>
      </c>
      <c r="L90" t="s">
        <v>1048</v>
      </c>
      <c r="M90" t="s">
        <v>1048</v>
      </c>
      <c r="N90" t="s">
        <v>1047</v>
      </c>
      <c r="O90" t="s">
        <v>1048</v>
      </c>
      <c r="P90" t="s">
        <v>1047</v>
      </c>
      <c r="Q90" t="s">
        <v>1048</v>
      </c>
      <c r="R90" t="s">
        <v>1048</v>
      </c>
      <c r="S90" t="s">
        <v>1047</v>
      </c>
      <c r="T90" t="s">
        <v>1047</v>
      </c>
      <c r="U90" t="s">
        <v>1048</v>
      </c>
      <c r="V90" t="s">
        <v>1047</v>
      </c>
    </row>
    <row r="91" spans="1:22" x14ac:dyDescent="0.2">
      <c r="A91">
        <v>238832</v>
      </c>
      <c r="B91" t="s">
        <v>1159</v>
      </c>
      <c r="C91">
        <v>21</v>
      </c>
      <c r="D91" s="368">
        <v>44316</v>
      </c>
      <c r="E91" t="s">
        <v>1047</v>
      </c>
      <c r="F91" s="368">
        <v>44286</v>
      </c>
      <c r="G91" t="s">
        <v>1048</v>
      </c>
      <c r="H91" t="s">
        <v>1048</v>
      </c>
      <c r="I91" t="s">
        <v>1048</v>
      </c>
      <c r="J91" t="s">
        <v>1048</v>
      </c>
      <c r="K91" t="s">
        <v>1048</v>
      </c>
      <c r="L91" t="s">
        <v>1048</v>
      </c>
      <c r="M91" t="s">
        <v>1047</v>
      </c>
      <c r="N91" t="s">
        <v>1047</v>
      </c>
      <c r="O91" t="s">
        <v>1048</v>
      </c>
      <c r="P91" t="s">
        <v>1048</v>
      </c>
      <c r="Q91" t="s">
        <v>1048</v>
      </c>
      <c r="R91" t="s">
        <v>1047</v>
      </c>
      <c r="S91" t="s">
        <v>1048</v>
      </c>
      <c r="T91" t="s">
        <v>1047</v>
      </c>
      <c r="U91" t="s">
        <v>1047</v>
      </c>
      <c r="V91" t="s">
        <v>1047</v>
      </c>
    </row>
    <row r="92" spans="1:22" x14ac:dyDescent="0.2">
      <c r="A92">
        <v>241661</v>
      </c>
      <c r="B92" t="s">
        <v>1126</v>
      </c>
      <c r="C92">
        <v>32</v>
      </c>
      <c r="D92" s="368">
        <v>44316</v>
      </c>
      <c r="E92" t="s">
        <v>1047</v>
      </c>
      <c r="F92" s="368">
        <v>43830</v>
      </c>
      <c r="G92" t="s">
        <v>1048</v>
      </c>
      <c r="H92" t="s">
        <v>1048</v>
      </c>
      <c r="I92" t="s">
        <v>1048</v>
      </c>
      <c r="J92" t="s">
        <v>1048</v>
      </c>
      <c r="K92" t="s">
        <v>1048</v>
      </c>
      <c r="L92" t="s">
        <v>1048</v>
      </c>
      <c r="M92" t="s">
        <v>1048</v>
      </c>
      <c r="N92" t="s">
        <v>1047</v>
      </c>
      <c r="O92" t="s">
        <v>1047</v>
      </c>
      <c r="P92" t="s">
        <v>1047</v>
      </c>
      <c r="Q92" t="s">
        <v>1047</v>
      </c>
      <c r="R92" t="s">
        <v>1047</v>
      </c>
      <c r="S92" t="s">
        <v>1047</v>
      </c>
      <c r="T92" t="s">
        <v>1047</v>
      </c>
      <c r="U92" t="s">
        <v>1047</v>
      </c>
      <c r="V92" t="s">
        <v>1048</v>
      </c>
    </row>
    <row r="93" spans="1:22" x14ac:dyDescent="0.2">
      <c r="A93">
        <v>242081</v>
      </c>
      <c r="B93" t="s">
        <v>247</v>
      </c>
      <c r="C93"/>
      <c r="D93"/>
      <c r="E93" t="s">
        <v>1047</v>
      </c>
      <c r="F93" s="368">
        <v>43830</v>
      </c>
      <c r="G93" t="s">
        <v>1049</v>
      </c>
      <c r="H93" t="s">
        <v>1049</v>
      </c>
      <c r="I93" t="s">
        <v>1049</v>
      </c>
      <c r="J93" t="s">
        <v>1049</v>
      </c>
      <c r="K93" t="s">
        <v>1049</v>
      </c>
      <c r="L93" t="s">
        <v>1049</v>
      </c>
      <c r="M93" t="s">
        <v>1049</v>
      </c>
      <c r="N93" t="s">
        <v>1049</v>
      </c>
      <c r="O93" t="s">
        <v>1049</v>
      </c>
      <c r="P93" t="s">
        <v>1049</v>
      </c>
      <c r="Q93" t="s">
        <v>1049</v>
      </c>
      <c r="R93" t="s">
        <v>1049</v>
      </c>
      <c r="S93" t="s">
        <v>1049</v>
      </c>
      <c r="T93" t="s">
        <v>1049</v>
      </c>
      <c r="U93" t="s">
        <v>1049</v>
      </c>
      <c r="V93" t="s">
        <v>1049</v>
      </c>
    </row>
    <row r="94" spans="1:22" x14ac:dyDescent="0.2">
      <c r="A94">
        <v>242495</v>
      </c>
      <c r="B94" t="s">
        <v>248</v>
      </c>
      <c r="C94">
        <v>22</v>
      </c>
      <c r="D94" s="368">
        <v>44316</v>
      </c>
      <c r="E94" t="s">
        <v>1048</v>
      </c>
      <c r="F94" s="368">
        <v>44286</v>
      </c>
      <c r="G94" t="s">
        <v>1048</v>
      </c>
      <c r="H94" t="s">
        <v>1048</v>
      </c>
      <c r="I94" t="s">
        <v>1048</v>
      </c>
      <c r="J94" t="s">
        <v>1048</v>
      </c>
      <c r="K94" t="s">
        <v>1048</v>
      </c>
      <c r="L94" t="s">
        <v>1048</v>
      </c>
      <c r="M94" t="s">
        <v>1047</v>
      </c>
      <c r="N94" t="s">
        <v>1047</v>
      </c>
      <c r="O94" t="s">
        <v>1048</v>
      </c>
      <c r="P94" t="s">
        <v>1047</v>
      </c>
      <c r="Q94" t="s">
        <v>1048</v>
      </c>
      <c r="R94" t="s">
        <v>1047</v>
      </c>
      <c r="S94" t="s">
        <v>1048</v>
      </c>
      <c r="T94" t="s">
        <v>1047</v>
      </c>
      <c r="U94" t="s">
        <v>1047</v>
      </c>
      <c r="V94" t="s">
        <v>1047</v>
      </c>
    </row>
    <row r="95" spans="1:22" x14ac:dyDescent="0.2">
      <c r="A95">
        <v>243022</v>
      </c>
      <c r="B95" t="s">
        <v>504</v>
      </c>
      <c r="C95">
        <v>21</v>
      </c>
      <c r="D95" s="368">
        <v>44316</v>
      </c>
      <c r="E95" t="s">
        <v>1048</v>
      </c>
      <c r="F95" s="368">
        <v>44286</v>
      </c>
      <c r="G95" t="s">
        <v>1048</v>
      </c>
      <c r="H95" t="s">
        <v>1048</v>
      </c>
      <c r="I95" t="s">
        <v>1048</v>
      </c>
      <c r="J95" t="s">
        <v>1048</v>
      </c>
      <c r="K95" t="s">
        <v>1048</v>
      </c>
      <c r="L95" t="s">
        <v>1048</v>
      </c>
      <c r="M95" t="s">
        <v>1048</v>
      </c>
      <c r="N95" t="s">
        <v>1048</v>
      </c>
      <c r="O95" t="s">
        <v>1048</v>
      </c>
      <c r="P95" t="s">
        <v>1048</v>
      </c>
      <c r="Q95" t="s">
        <v>1048</v>
      </c>
      <c r="R95" t="s">
        <v>1048</v>
      </c>
      <c r="S95" t="s">
        <v>1048</v>
      </c>
      <c r="T95" t="s">
        <v>1047</v>
      </c>
      <c r="U95" t="s">
        <v>1047</v>
      </c>
      <c r="V95" t="s">
        <v>1048</v>
      </c>
    </row>
    <row r="96" spans="1:22" x14ac:dyDescent="0.2">
      <c r="A96">
        <v>245381</v>
      </c>
      <c r="B96" t="s">
        <v>250</v>
      </c>
      <c r="C96">
        <v>29</v>
      </c>
      <c r="D96" s="368">
        <v>44316</v>
      </c>
      <c r="E96" t="s">
        <v>1047</v>
      </c>
      <c r="F96" s="368">
        <v>43830</v>
      </c>
      <c r="G96" t="s">
        <v>1048</v>
      </c>
      <c r="H96" t="s">
        <v>1048</v>
      </c>
      <c r="I96" t="s">
        <v>1048</v>
      </c>
      <c r="J96" t="s">
        <v>1048</v>
      </c>
      <c r="K96" t="s">
        <v>1048</v>
      </c>
      <c r="L96" t="s">
        <v>1048</v>
      </c>
      <c r="M96" t="s">
        <v>1047</v>
      </c>
      <c r="N96" t="s">
        <v>1047</v>
      </c>
      <c r="O96" t="s">
        <v>1048</v>
      </c>
      <c r="P96" t="s">
        <v>1047</v>
      </c>
      <c r="Q96" t="s">
        <v>1047</v>
      </c>
      <c r="R96" t="s">
        <v>1047</v>
      </c>
      <c r="S96" t="s">
        <v>1048</v>
      </c>
      <c r="T96" t="s">
        <v>1048</v>
      </c>
      <c r="U96" t="s">
        <v>1047</v>
      </c>
      <c r="V96" t="s">
        <v>1048</v>
      </c>
    </row>
    <row r="97" spans="1:22" x14ac:dyDescent="0.2">
      <c r="A97">
        <v>248161</v>
      </c>
      <c r="B97" t="s">
        <v>1214</v>
      </c>
      <c r="C97">
        <v>21</v>
      </c>
      <c r="D97" s="368">
        <v>44316</v>
      </c>
      <c r="E97" t="s">
        <v>1048</v>
      </c>
      <c r="F97" s="368">
        <v>44286</v>
      </c>
      <c r="G97" t="s">
        <v>1048</v>
      </c>
      <c r="H97" t="s">
        <v>1048</v>
      </c>
      <c r="I97" t="s">
        <v>1048</v>
      </c>
      <c r="J97" t="s">
        <v>1048</v>
      </c>
      <c r="K97" t="s">
        <v>1048</v>
      </c>
      <c r="L97" t="s">
        <v>1048</v>
      </c>
      <c r="M97" t="s">
        <v>1048</v>
      </c>
      <c r="N97" t="s">
        <v>1048</v>
      </c>
      <c r="O97" t="s">
        <v>1048</v>
      </c>
      <c r="P97" t="s">
        <v>1048</v>
      </c>
      <c r="Q97" t="s">
        <v>1048</v>
      </c>
      <c r="R97" t="s">
        <v>1048</v>
      </c>
      <c r="S97" t="s">
        <v>1048</v>
      </c>
      <c r="T97" t="s">
        <v>1047</v>
      </c>
      <c r="U97" t="s">
        <v>1047</v>
      </c>
      <c r="V97" t="s">
        <v>1048</v>
      </c>
    </row>
    <row r="98" spans="1:22" x14ac:dyDescent="0.2">
      <c r="A98">
        <v>249995</v>
      </c>
      <c r="B98" t="s">
        <v>252</v>
      </c>
      <c r="C98">
        <v>31</v>
      </c>
      <c r="D98" s="368">
        <v>44316</v>
      </c>
      <c r="E98" t="s">
        <v>1047</v>
      </c>
      <c r="F98" s="368">
        <v>44286</v>
      </c>
      <c r="G98" t="s">
        <v>1048</v>
      </c>
      <c r="H98" t="s">
        <v>1048</v>
      </c>
      <c r="I98" t="s">
        <v>1048</v>
      </c>
      <c r="J98" t="s">
        <v>1048</v>
      </c>
      <c r="K98" t="s">
        <v>1048</v>
      </c>
      <c r="L98" t="s">
        <v>1048</v>
      </c>
      <c r="M98" t="s">
        <v>1048</v>
      </c>
      <c r="N98" t="s">
        <v>1048</v>
      </c>
      <c r="O98" t="s">
        <v>1048</v>
      </c>
      <c r="P98" t="s">
        <v>1048</v>
      </c>
      <c r="Q98" t="s">
        <v>1048</v>
      </c>
      <c r="R98" t="s">
        <v>1047</v>
      </c>
      <c r="S98" t="s">
        <v>1048</v>
      </c>
      <c r="T98" t="s">
        <v>1047</v>
      </c>
      <c r="U98" t="s">
        <v>1047</v>
      </c>
      <c r="V98" t="s">
        <v>1047</v>
      </c>
    </row>
    <row r="99" spans="1:22" x14ac:dyDescent="0.2">
      <c r="A99">
        <v>250167</v>
      </c>
      <c r="B99" t="s">
        <v>1187</v>
      </c>
      <c r="C99">
        <v>23</v>
      </c>
      <c r="D99" s="368">
        <v>44316</v>
      </c>
      <c r="E99" t="s">
        <v>1047</v>
      </c>
      <c r="F99" s="368">
        <v>44286</v>
      </c>
      <c r="G99" t="s">
        <v>1048</v>
      </c>
      <c r="H99" t="s">
        <v>1048</v>
      </c>
      <c r="I99" t="s">
        <v>1048</v>
      </c>
      <c r="J99" t="s">
        <v>1048</v>
      </c>
      <c r="K99" t="s">
        <v>1048</v>
      </c>
      <c r="L99" t="s">
        <v>1048</v>
      </c>
      <c r="M99" t="s">
        <v>1048</v>
      </c>
      <c r="N99" t="s">
        <v>1047</v>
      </c>
      <c r="O99" t="s">
        <v>1047</v>
      </c>
      <c r="P99" t="s">
        <v>1047</v>
      </c>
      <c r="Q99" t="s">
        <v>1047</v>
      </c>
      <c r="R99" t="s">
        <v>1047</v>
      </c>
      <c r="S99" t="s">
        <v>1047</v>
      </c>
      <c r="T99" t="s">
        <v>1048</v>
      </c>
      <c r="U99" t="s">
        <v>1047</v>
      </c>
      <c r="V99" t="s">
        <v>1048</v>
      </c>
    </row>
    <row r="100" spans="1:22" x14ac:dyDescent="0.2">
      <c r="A100">
        <v>250878</v>
      </c>
      <c r="B100" t="s">
        <v>254</v>
      </c>
      <c r="C100">
        <v>26</v>
      </c>
      <c r="D100" s="368">
        <v>44316</v>
      </c>
      <c r="E100" t="s">
        <v>1048</v>
      </c>
      <c r="F100" s="368">
        <v>44286</v>
      </c>
      <c r="G100" t="s">
        <v>1048</v>
      </c>
      <c r="H100" t="s">
        <v>1048</v>
      </c>
      <c r="I100" t="s">
        <v>1048</v>
      </c>
      <c r="J100" t="s">
        <v>1048</v>
      </c>
      <c r="K100" t="s">
        <v>1047</v>
      </c>
      <c r="L100" t="s">
        <v>1047</v>
      </c>
      <c r="M100" t="s">
        <v>1047</v>
      </c>
      <c r="N100" t="s">
        <v>1047</v>
      </c>
      <c r="O100" t="s">
        <v>1047</v>
      </c>
      <c r="P100" t="s">
        <v>1047</v>
      </c>
      <c r="Q100" t="s">
        <v>1047</v>
      </c>
      <c r="R100" t="s">
        <v>1047</v>
      </c>
      <c r="S100" t="s">
        <v>1047</v>
      </c>
      <c r="T100" t="s">
        <v>1047</v>
      </c>
      <c r="U100" t="s">
        <v>1047</v>
      </c>
      <c r="V100" t="s">
        <v>1047</v>
      </c>
    </row>
    <row r="101" spans="1:22" x14ac:dyDescent="0.2">
      <c r="A101">
        <v>252411</v>
      </c>
      <c r="B101" t="s">
        <v>1160</v>
      </c>
      <c r="C101">
        <v>22</v>
      </c>
      <c r="D101" s="368">
        <v>44316</v>
      </c>
      <c r="E101" t="s">
        <v>1047</v>
      </c>
      <c r="F101" s="368">
        <v>44286</v>
      </c>
      <c r="G101" t="s">
        <v>1048</v>
      </c>
      <c r="H101" t="s">
        <v>1048</v>
      </c>
      <c r="I101" t="s">
        <v>1048</v>
      </c>
      <c r="J101" t="s">
        <v>1048</v>
      </c>
      <c r="K101" t="s">
        <v>1048</v>
      </c>
      <c r="L101" t="s">
        <v>1048</v>
      </c>
      <c r="M101" t="s">
        <v>1047</v>
      </c>
      <c r="N101" t="s">
        <v>1047</v>
      </c>
      <c r="O101" t="s">
        <v>1047</v>
      </c>
      <c r="P101" t="s">
        <v>1047</v>
      </c>
      <c r="Q101" t="s">
        <v>1047</v>
      </c>
      <c r="R101" t="s">
        <v>1047</v>
      </c>
      <c r="S101" t="s">
        <v>1047</v>
      </c>
      <c r="T101" t="s">
        <v>1047</v>
      </c>
      <c r="U101" t="s">
        <v>1047</v>
      </c>
      <c r="V101" t="s">
        <v>1048</v>
      </c>
    </row>
    <row r="102" spans="1:22" x14ac:dyDescent="0.2">
      <c r="A102">
        <v>256362</v>
      </c>
      <c r="B102" t="s">
        <v>257</v>
      </c>
      <c r="C102">
        <v>21</v>
      </c>
      <c r="D102" s="368">
        <v>44316</v>
      </c>
      <c r="E102" t="s">
        <v>1048</v>
      </c>
      <c r="F102" s="368">
        <v>44286</v>
      </c>
      <c r="G102" t="s">
        <v>1048</v>
      </c>
      <c r="H102" t="s">
        <v>1048</v>
      </c>
      <c r="I102" t="s">
        <v>1048</v>
      </c>
      <c r="J102" t="s">
        <v>1048</v>
      </c>
      <c r="K102" t="s">
        <v>1048</v>
      </c>
      <c r="L102" t="s">
        <v>1048</v>
      </c>
      <c r="M102" t="s">
        <v>1047</v>
      </c>
      <c r="N102" t="s">
        <v>1047</v>
      </c>
      <c r="O102" t="s">
        <v>1048</v>
      </c>
      <c r="P102" t="s">
        <v>1047</v>
      </c>
      <c r="Q102" t="s">
        <v>1047</v>
      </c>
      <c r="R102" t="s">
        <v>1047</v>
      </c>
      <c r="S102" t="s">
        <v>1048</v>
      </c>
      <c r="T102" t="s">
        <v>1047</v>
      </c>
      <c r="U102" t="s">
        <v>1047</v>
      </c>
      <c r="V102" t="s">
        <v>1047</v>
      </c>
    </row>
    <row r="103" spans="1:22" x14ac:dyDescent="0.2">
      <c r="A103">
        <v>259903</v>
      </c>
      <c r="B103" t="s">
        <v>524</v>
      </c>
      <c r="C103">
        <v>30</v>
      </c>
      <c r="D103" s="368">
        <v>44316</v>
      </c>
      <c r="E103" t="s">
        <v>1047</v>
      </c>
      <c r="F103" s="368">
        <v>44196</v>
      </c>
      <c r="G103" t="s">
        <v>1048</v>
      </c>
      <c r="H103" t="s">
        <v>1048</v>
      </c>
      <c r="I103" t="s">
        <v>1048</v>
      </c>
      <c r="J103" t="s">
        <v>1048</v>
      </c>
      <c r="K103" t="s">
        <v>1048</v>
      </c>
      <c r="L103" t="s">
        <v>1048</v>
      </c>
      <c r="M103" t="s">
        <v>1048</v>
      </c>
      <c r="N103" t="s">
        <v>1048</v>
      </c>
      <c r="O103" t="s">
        <v>1048</v>
      </c>
      <c r="P103" t="s">
        <v>1048</v>
      </c>
      <c r="Q103" t="s">
        <v>1048</v>
      </c>
      <c r="R103" t="s">
        <v>1048</v>
      </c>
      <c r="S103" t="s">
        <v>1048</v>
      </c>
      <c r="T103" t="s">
        <v>1048</v>
      </c>
      <c r="U103" t="s">
        <v>1047</v>
      </c>
      <c r="V103" t="s">
        <v>1047</v>
      </c>
    </row>
    <row r="104" spans="1:22" x14ac:dyDescent="0.2">
      <c r="A104">
        <v>260497</v>
      </c>
      <c r="B104" t="s">
        <v>258</v>
      </c>
      <c r="C104">
        <v>19</v>
      </c>
      <c r="D104" s="368">
        <v>44316</v>
      </c>
      <c r="E104" t="s">
        <v>1047</v>
      </c>
      <c r="F104" s="368">
        <v>43830</v>
      </c>
      <c r="G104" t="s">
        <v>1048</v>
      </c>
      <c r="H104" t="s">
        <v>1048</v>
      </c>
      <c r="I104" t="s">
        <v>1048</v>
      </c>
      <c r="J104" t="s">
        <v>1048</v>
      </c>
      <c r="K104" t="s">
        <v>1048</v>
      </c>
      <c r="L104" t="s">
        <v>1048</v>
      </c>
      <c r="M104" t="s">
        <v>1047</v>
      </c>
      <c r="N104" t="s">
        <v>1047</v>
      </c>
      <c r="O104" t="s">
        <v>1048</v>
      </c>
      <c r="P104" t="s">
        <v>1048</v>
      </c>
      <c r="Q104" t="s">
        <v>1048</v>
      </c>
      <c r="R104" t="s">
        <v>1047</v>
      </c>
      <c r="S104" t="s">
        <v>1048</v>
      </c>
      <c r="T104" t="s">
        <v>1047</v>
      </c>
      <c r="U104" t="s">
        <v>1047</v>
      </c>
      <c r="V104" t="s">
        <v>1047</v>
      </c>
    </row>
    <row r="105" spans="1:22" x14ac:dyDescent="0.2">
      <c r="A105">
        <v>260919</v>
      </c>
      <c r="B105" t="s">
        <v>260</v>
      </c>
      <c r="C105">
        <v>29</v>
      </c>
      <c r="D105" s="368">
        <v>44316</v>
      </c>
      <c r="E105" t="s">
        <v>1047</v>
      </c>
      <c r="F105" s="368">
        <v>43830</v>
      </c>
      <c r="G105" t="s">
        <v>1048</v>
      </c>
      <c r="H105" t="s">
        <v>1048</v>
      </c>
      <c r="I105" t="s">
        <v>1048</v>
      </c>
      <c r="J105" t="s">
        <v>1048</v>
      </c>
      <c r="K105" t="s">
        <v>1048</v>
      </c>
      <c r="L105" t="s">
        <v>1048</v>
      </c>
      <c r="M105" t="s">
        <v>1048</v>
      </c>
      <c r="N105" t="s">
        <v>1048</v>
      </c>
      <c r="O105" t="s">
        <v>1048</v>
      </c>
      <c r="P105" t="s">
        <v>1048</v>
      </c>
      <c r="Q105" t="s">
        <v>1048</v>
      </c>
      <c r="R105" t="s">
        <v>1048</v>
      </c>
      <c r="S105" t="s">
        <v>1048</v>
      </c>
      <c r="T105" t="s">
        <v>1047</v>
      </c>
      <c r="U105" t="s">
        <v>1048</v>
      </c>
      <c r="V105" t="s">
        <v>1048</v>
      </c>
    </row>
    <row r="106" spans="1:22" x14ac:dyDescent="0.2">
      <c r="A106">
        <v>262741</v>
      </c>
      <c r="B106" t="s">
        <v>971</v>
      </c>
      <c r="C106">
        <v>30</v>
      </c>
      <c r="D106" s="368">
        <v>44316</v>
      </c>
      <c r="E106" t="s">
        <v>1047</v>
      </c>
      <c r="F106" s="368">
        <v>44286</v>
      </c>
      <c r="G106" t="s">
        <v>1048</v>
      </c>
      <c r="H106" t="s">
        <v>1048</v>
      </c>
      <c r="I106" t="s">
        <v>1048</v>
      </c>
      <c r="J106" t="s">
        <v>1048</v>
      </c>
      <c r="K106" t="s">
        <v>1048</v>
      </c>
      <c r="L106" t="s">
        <v>1047</v>
      </c>
      <c r="M106" t="s">
        <v>1048</v>
      </c>
      <c r="N106" t="s">
        <v>1047</v>
      </c>
      <c r="O106" t="s">
        <v>1047</v>
      </c>
      <c r="P106" t="s">
        <v>1047</v>
      </c>
      <c r="Q106" t="s">
        <v>1047</v>
      </c>
      <c r="R106" t="s">
        <v>1047</v>
      </c>
      <c r="S106" t="s">
        <v>1047</v>
      </c>
      <c r="T106" t="s">
        <v>1047</v>
      </c>
      <c r="U106" t="s">
        <v>1047</v>
      </c>
      <c r="V106" t="s">
        <v>1048</v>
      </c>
    </row>
    <row r="107" spans="1:22" x14ac:dyDescent="0.2">
      <c r="A107">
        <v>265512</v>
      </c>
      <c r="B107" t="s">
        <v>261</v>
      </c>
      <c r="C107"/>
      <c r="D107"/>
      <c r="E107" t="s">
        <v>1047</v>
      </c>
      <c r="F107" s="368">
        <v>43830</v>
      </c>
      <c r="G107" t="s">
        <v>1048</v>
      </c>
      <c r="H107" t="s">
        <v>1048</v>
      </c>
      <c r="I107" t="s">
        <v>1048</v>
      </c>
      <c r="J107" t="s">
        <v>1048</v>
      </c>
      <c r="K107" t="s">
        <v>1048</v>
      </c>
      <c r="L107" t="s">
        <v>1048</v>
      </c>
      <c r="M107" t="s">
        <v>1047</v>
      </c>
      <c r="N107" t="s">
        <v>1047</v>
      </c>
      <c r="O107" t="s">
        <v>1048</v>
      </c>
      <c r="P107" t="s">
        <v>1048</v>
      </c>
      <c r="Q107" t="s">
        <v>1048</v>
      </c>
      <c r="R107" t="s">
        <v>1047</v>
      </c>
      <c r="S107" t="s">
        <v>1048</v>
      </c>
      <c r="T107" t="s">
        <v>1047</v>
      </c>
      <c r="U107" t="s">
        <v>1047</v>
      </c>
      <c r="V107" t="s">
        <v>1047</v>
      </c>
    </row>
    <row r="108" spans="1:22" x14ac:dyDescent="0.2">
      <c r="A108">
        <v>269357</v>
      </c>
      <c r="B108" t="s">
        <v>263</v>
      </c>
      <c r="C108">
        <v>22</v>
      </c>
      <c r="D108" s="368">
        <v>44316</v>
      </c>
      <c r="E108" t="s">
        <v>1047</v>
      </c>
      <c r="F108" s="368">
        <v>43830</v>
      </c>
      <c r="G108" t="s">
        <v>1048</v>
      </c>
      <c r="H108" t="s">
        <v>1048</v>
      </c>
      <c r="I108" t="s">
        <v>1048</v>
      </c>
      <c r="J108" t="s">
        <v>1048</v>
      </c>
      <c r="K108" t="s">
        <v>1048</v>
      </c>
      <c r="L108" t="s">
        <v>1048</v>
      </c>
      <c r="M108" t="s">
        <v>1047</v>
      </c>
      <c r="N108" t="s">
        <v>1047</v>
      </c>
      <c r="O108" t="s">
        <v>1048</v>
      </c>
      <c r="P108" t="s">
        <v>1048</v>
      </c>
      <c r="Q108" t="s">
        <v>1048</v>
      </c>
      <c r="R108" t="s">
        <v>1047</v>
      </c>
      <c r="S108" t="s">
        <v>1048</v>
      </c>
      <c r="T108" t="s">
        <v>1047</v>
      </c>
      <c r="U108" t="s">
        <v>1047</v>
      </c>
      <c r="V108" t="s">
        <v>1047</v>
      </c>
    </row>
    <row r="109" spans="1:22" x14ac:dyDescent="0.2">
      <c r="A109">
        <v>271478</v>
      </c>
      <c r="B109" t="s">
        <v>264</v>
      </c>
      <c r="C109">
        <v>21</v>
      </c>
      <c r="D109" s="368">
        <v>44316</v>
      </c>
      <c r="E109" t="s">
        <v>1048</v>
      </c>
      <c r="F109" s="368">
        <v>44286</v>
      </c>
      <c r="G109" t="s">
        <v>1048</v>
      </c>
      <c r="H109" t="s">
        <v>1048</v>
      </c>
      <c r="I109" t="s">
        <v>1048</v>
      </c>
      <c r="J109" t="s">
        <v>1048</v>
      </c>
      <c r="K109" t="s">
        <v>1048</v>
      </c>
      <c r="L109" t="s">
        <v>1048</v>
      </c>
      <c r="M109" t="s">
        <v>1048</v>
      </c>
      <c r="N109" t="s">
        <v>1048</v>
      </c>
      <c r="O109" t="s">
        <v>1048</v>
      </c>
      <c r="P109" t="s">
        <v>1048</v>
      </c>
      <c r="Q109" t="s">
        <v>1048</v>
      </c>
      <c r="R109" t="s">
        <v>1048</v>
      </c>
      <c r="S109" t="s">
        <v>1048</v>
      </c>
      <c r="T109" t="s">
        <v>1047</v>
      </c>
      <c r="U109" t="s">
        <v>1047</v>
      </c>
      <c r="V109" t="s">
        <v>1047</v>
      </c>
    </row>
    <row r="110" spans="1:22" x14ac:dyDescent="0.2">
      <c r="A110">
        <v>272898</v>
      </c>
      <c r="B110" t="s">
        <v>266</v>
      </c>
      <c r="C110">
        <v>21</v>
      </c>
      <c r="D110" s="368">
        <v>44316</v>
      </c>
      <c r="E110" t="s">
        <v>1047</v>
      </c>
      <c r="F110" s="368">
        <v>43830</v>
      </c>
      <c r="G110" t="s">
        <v>1048</v>
      </c>
      <c r="H110" t="s">
        <v>1048</v>
      </c>
      <c r="I110" t="s">
        <v>1048</v>
      </c>
      <c r="J110" t="s">
        <v>1048</v>
      </c>
      <c r="K110" t="s">
        <v>1048</v>
      </c>
      <c r="L110" t="s">
        <v>1048</v>
      </c>
      <c r="M110" t="s">
        <v>1048</v>
      </c>
      <c r="N110" t="s">
        <v>1048</v>
      </c>
      <c r="O110" t="s">
        <v>1048</v>
      </c>
      <c r="P110" t="s">
        <v>1048</v>
      </c>
      <c r="Q110" t="s">
        <v>1048</v>
      </c>
      <c r="R110" t="s">
        <v>1048</v>
      </c>
      <c r="S110" t="s">
        <v>1048</v>
      </c>
      <c r="T110" t="s">
        <v>1048</v>
      </c>
      <c r="U110" t="s">
        <v>1047</v>
      </c>
      <c r="V110" t="s">
        <v>1047</v>
      </c>
    </row>
    <row r="111" spans="1:22" x14ac:dyDescent="0.2">
      <c r="A111">
        <v>277491</v>
      </c>
      <c r="B111" t="s">
        <v>1076</v>
      </c>
      <c r="C111"/>
      <c r="D111"/>
      <c r="E111" t="s">
        <v>1047</v>
      </c>
      <c r="F111" s="368">
        <v>43830</v>
      </c>
      <c r="G111" t="s">
        <v>1048</v>
      </c>
      <c r="H111" t="s">
        <v>1048</v>
      </c>
      <c r="I111" t="s">
        <v>1048</v>
      </c>
      <c r="J111" t="s">
        <v>1048</v>
      </c>
      <c r="K111" t="s">
        <v>1048</v>
      </c>
      <c r="L111" t="s">
        <v>1048</v>
      </c>
      <c r="M111" t="s">
        <v>1047</v>
      </c>
      <c r="N111" t="s">
        <v>1047</v>
      </c>
      <c r="O111" t="s">
        <v>1047</v>
      </c>
      <c r="P111" t="s">
        <v>1047</v>
      </c>
      <c r="Q111" t="s">
        <v>1047</v>
      </c>
      <c r="R111" t="s">
        <v>1047</v>
      </c>
      <c r="S111" t="s">
        <v>1047</v>
      </c>
      <c r="T111" t="s">
        <v>1047</v>
      </c>
      <c r="U111" t="s">
        <v>1047</v>
      </c>
      <c r="V111" t="s">
        <v>1048</v>
      </c>
    </row>
    <row r="112" spans="1:22" x14ac:dyDescent="0.2">
      <c r="A112">
        <v>278853</v>
      </c>
      <c r="B112" t="s">
        <v>505</v>
      </c>
      <c r="C112">
        <v>21</v>
      </c>
      <c r="D112" s="368">
        <v>44316</v>
      </c>
      <c r="E112" t="s">
        <v>1048</v>
      </c>
      <c r="F112" s="368">
        <v>44286</v>
      </c>
      <c r="G112" t="s">
        <v>1048</v>
      </c>
      <c r="H112" t="s">
        <v>1048</v>
      </c>
      <c r="I112" t="s">
        <v>1048</v>
      </c>
      <c r="J112" t="s">
        <v>1048</v>
      </c>
      <c r="K112" t="s">
        <v>1048</v>
      </c>
      <c r="L112" t="s">
        <v>1048</v>
      </c>
      <c r="M112" t="s">
        <v>1048</v>
      </c>
      <c r="N112" t="s">
        <v>1048</v>
      </c>
      <c r="O112" t="s">
        <v>1048</v>
      </c>
      <c r="P112" t="s">
        <v>1048</v>
      </c>
      <c r="Q112" t="s">
        <v>1048</v>
      </c>
      <c r="R112" t="s">
        <v>1048</v>
      </c>
      <c r="S112" t="s">
        <v>1048</v>
      </c>
      <c r="T112" t="s">
        <v>1047</v>
      </c>
      <c r="U112" t="s">
        <v>1047</v>
      </c>
      <c r="V112" t="s">
        <v>1048</v>
      </c>
    </row>
    <row r="113" spans="1:22" x14ac:dyDescent="0.2">
      <c r="A113">
        <v>280867</v>
      </c>
      <c r="B113" t="s">
        <v>267</v>
      </c>
      <c r="C113">
        <v>20</v>
      </c>
      <c r="D113" s="368">
        <v>44316</v>
      </c>
      <c r="E113" t="s">
        <v>1048</v>
      </c>
      <c r="F113" s="368">
        <v>44286</v>
      </c>
      <c r="G113" t="s">
        <v>1048</v>
      </c>
      <c r="H113" t="s">
        <v>1048</v>
      </c>
      <c r="I113" t="s">
        <v>1048</v>
      </c>
      <c r="J113" t="s">
        <v>1048</v>
      </c>
      <c r="K113" t="s">
        <v>1048</v>
      </c>
      <c r="L113" t="s">
        <v>1048</v>
      </c>
      <c r="M113" t="s">
        <v>1047</v>
      </c>
      <c r="N113" t="s">
        <v>1047</v>
      </c>
      <c r="O113" t="s">
        <v>1048</v>
      </c>
      <c r="P113" t="s">
        <v>1048</v>
      </c>
      <c r="Q113" t="s">
        <v>1048</v>
      </c>
      <c r="R113" t="s">
        <v>1048</v>
      </c>
      <c r="S113" t="s">
        <v>1048</v>
      </c>
      <c r="T113" t="s">
        <v>1048</v>
      </c>
      <c r="U113" t="s">
        <v>1047</v>
      </c>
      <c r="V113" t="s">
        <v>1047</v>
      </c>
    </row>
    <row r="114" spans="1:22" x14ac:dyDescent="0.2">
      <c r="A114">
        <v>280925</v>
      </c>
      <c r="B114" t="s">
        <v>268</v>
      </c>
      <c r="C114"/>
      <c r="D114"/>
      <c r="E114" t="s">
        <v>1047</v>
      </c>
      <c r="F114" s="368">
        <v>43830</v>
      </c>
      <c r="G114" t="s">
        <v>1048</v>
      </c>
      <c r="H114" t="s">
        <v>1048</v>
      </c>
      <c r="I114" t="s">
        <v>1048</v>
      </c>
      <c r="J114" t="s">
        <v>1048</v>
      </c>
      <c r="K114" t="s">
        <v>1048</v>
      </c>
      <c r="L114" t="s">
        <v>1048</v>
      </c>
      <c r="M114" t="s">
        <v>1048</v>
      </c>
      <c r="N114" t="s">
        <v>1047</v>
      </c>
      <c r="O114" t="s">
        <v>1047</v>
      </c>
      <c r="P114" t="s">
        <v>1047</v>
      </c>
      <c r="Q114" t="s">
        <v>1047</v>
      </c>
      <c r="R114" t="s">
        <v>1047</v>
      </c>
      <c r="S114" t="s">
        <v>1047</v>
      </c>
      <c r="T114" t="s">
        <v>1047</v>
      </c>
      <c r="U114" t="s">
        <v>1047</v>
      </c>
      <c r="V114" t="s">
        <v>1048</v>
      </c>
    </row>
    <row r="115" spans="1:22" x14ac:dyDescent="0.2">
      <c r="A115">
        <v>282517</v>
      </c>
      <c r="B115" t="s">
        <v>1215</v>
      </c>
      <c r="C115">
        <v>20</v>
      </c>
      <c r="D115" s="368">
        <v>44316</v>
      </c>
      <c r="E115" t="s">
        <v>1048</v>
      </c>
      <c r="F115" s="368">
        <v>44286</v>
      </c>
      <c r="G115" t="s">
        <v>1048</v>
      </c>
      <c r="H115" t="s">
        <v>1048</v>
      </c>
      <c r="I115" t="s">
        <v>1048</v>
      </c>
      <c r="J115" t="s">
        <v>1048</v>
      </c>
      <c r="K115" t="s">
        <v>1048</v>
      </c>
      <c r="L115" t="s">
        <v>1048</v>
      </c>
      <c r="M115" t="s">
        <v>1047</v>
      </c>
      <c r="N115" t="s">
        <v>1047</v>
      </c>
      <c r="O115" t="s">
        <v>1047</v>
      </c>
      <c r="P115" t="s">
        <v>1047</v>
      </c>
      <c r="Q115" t="s">
        <v>1047</v>
      </c>
      <c r="R115" t="s">
        <v>1047</v>
      </c>
      <c r="S115" t="s">
        <v>1047</v>
      </c>
      <c r="T115" t="s">
        <v>1047</v>
      </c>
      <c r="U115" t="s">
        <v>1047</v>
      </c>
      <c r="V115" t="s">
        <v>1047</v>
      </c>
    </row>
    <row r="116" spans="1:22" x14ac:dyDescent="0.2">
      <c r="A116">
        <v>282632</v>
      </c>
      <c r="B116" t="s">
        <v>506</v>
      </c>
      <c r="C116">
        <v>23</v>
      </c>
      <c r="D116" s="368">
        <v>44316</v>
      </c>
      <c r="E116" t="s">
        <v>1048</v>
      </c>
      <c r="F116" s="368">
        <v>44286</v>
      </c>
      <c r="G116" t="s">
        <v>1048</v>
      </c>
      <c r="H116" t="s">
        <v>1048</v>
      </c>
      <c r="I116" t="s">
        <v>1048</v>
      </c>
      <c r="J116" t="s">
        <v>1048</v>
      </c>
      <c r="K116" t="s">
        <v>1048</v>
      </c>
      <c r="L116" t="s">
        <v>1048</v>
      </c>
      <c r="M116" t="s">
        <v>1047</v>
      </c>
      <c r="N116" t="s">
        <v>1047</v>
      </c>
      <c r="O116" t="s">
        <v>1048</v>
      </c>
      <c r="P116" t="s">
        <v>1047</v>
      </c>
      <c r="Q116" t="s">
        <v>1047</v>
      </c>
      <c r="R116" t="s">
        <v>1047</v>
      </c>
      <c r="S116" t="s">
        <v>1048</v>
      </c>
      <c r="T116" t="s">
        <v>1047</v>
      </c>
      <c r="U116" t="s">
        <v>1047</v>
      </c>
      <c r="V116" t="s">
        <v>1047</v>
      </c>
    </row>
    <row r="117" spans="1:22" x14ac:dyDescent="0.2">
      <c r="A117">
        <v>283408</v>
      </c>
      <c r="B117" t="s">
        <v>525</v>
      </c>
      <c r="C117">
        <v>18</v>
      </c>
      <c r="D117" s="368">
        <v>44316</v>
      </c>
      <c r="E117" t="s">
        <v>1048</v>
      </c>
      <c r="F117" s="368">
        <v>44286</v>
      </c>
      <c r="G117" t="s">
        <v>1048</v>
      </c>
      <c r="H117" t="s">
        <v>1048</v>
      </c>
      <c r="I117" t="s">
        <v>1048</v>
      </c>
      <c r="J117" t="s">
        <v>1048</v>
      </c>
      <c r="K117" t="s">
        <v>1048</v>
      </c>
      <c r="L117" t="s">
        <v>1048</v>
      </c>
      <c r="M117" t="s">
        <v>1047</v>
      </c>
      <c r="N117" t="s">
        <v>1047</v>
      </c>
      <c r="O117" t="s">
        <v>1048</v>
      </c>
      <c r="P117" t="s">
        <v>1047</v>
      </c>
      <c r="Q117" t="s">
        <v>1048</v>
      </c>
      <c r="R117" t="s">
        <v>1048</v>
      </c>
      <c r="S117" t="s">
        <v>1047</v>
      </c>
      <c r="T117" t="s">
        <v>1047</v>
      </c>
      <c r="U117" t="s">
        <v>1047</v>
      </c>
      <c r="V117" t="s">
        <v>1047</v>
      </c>
    </row>
    <row r="118" spans="1:22" x14ac:dyDescent="0.2">
      <c r="A118">
        <v>285990</v>
      </c>
      <c r="B118" t="s">
        <v>1188</v>
      </c>
      <c r="C118">
        <v>23</v>
      </c>
      <c r="D118" s="368">
        <v>44316</v>
      </c>
      <c r="E118" t="s">
        <v>1048</v>
      </c>
      <c r="F118" s="368">
        <v>44286</v>
      </c>
      <c r="G118" t="s">
        <v>1048</v>
      </c>
      <c r="H118" t="s">
        <v>1048</v>
      </c>
      <c r="I118" t="s">
        <v>1048</v>
      </c>
      <c r="J118" t="s">
        <v>1048</v>
      </c>
      <c r="K118" t="s">
        <v>1048</v>
      </c>
      <c r="L118" t="s">
        <v>1048</v>
      </c>
      <c r="M118" t="s">
        <v>1048</v>
      </c>
      <c r="N118" t="s">
        <v>1047</v>
      </c>
      <c r="O118" t="s">
        <v>1047</v>
      </c>
      <c r="P118" t="s">
        <v>1047</v>
      </c>
      <c r="Q118" t="s">
        <v>1047</v>
      </c>
      <c r="R118" t="s">
        <v>1047</v>
      </c>
      <c r="S118" t="s">
        <v>1047</v>
      </c>
      <c r="T118" t="s">
        <v>1048</v>
      </c>
      <c r="U118" t="s">
        <v>1047</v>
      </c>
      <c r="V118" t="s">
        <v>1048</v>
      </c>
    </row>
    <row r="119" spans="1:22" x14ac:dyDescent="0.2">
      <c r="A119">
        <v>286294</v>
      </c>
      <c r="B119" t="s">
        <v>1216</v>
      </c>
      <c r="C119">
        <v>21</v>
      </c>
      <c r="D119" s="368">
        <v>44316</v>
      </c>
      <c r="E119" t="s">
        <v>1047</v>
      </c>
      <c r="F119" s="368">
        <v>43830</v>
      </c>
      <c r="G119" t="s">
        <v>1048</v>
      </c>
      <c r="H119" t="s">
        <v>1048</v>
      </c>
      <c r="I119" t="s">
        <v>1048</v>
      </c>
      <c r="J119" t="s">
        <v>1048</v>
      </c>
      <c r="K119" t="s">
        <v>1048</v>
      </c>
      <c r="L119" t="s">
        <v>1048</v>
      </c>
      <c r="M119" t="s">
        <v>1047</v>
      </c>
      <c r="N119" t="s">
        <v>1047</v>
      </c>
      <c r="O119" t="s">
        <v>1048</v>
      </c>
      <c r="P119" t="s">
        <v>1047</v>
      </c>
      <c r="Q119" t="s">
        <v>1047</v>
      </c>
      <c r="R119" t="s">
        <v>1048</v>
      </c>
      <c r="S119" t="s">
        <v>1047</v>
      </c>
      <c r="T119" t="s">
        <v>1047</v>
      </c>
      <c r="U119" t="s">
        <v>1047</v>
      </c>
      <c r="V119" t="s">
        <v>1047</v>
      </c>
    </row>
    <row r="120" spans="1:22" x14ac:dyDescent="0.2">
      <c r="A120">
        <v>287656</v>
      </c>
      <c r="B120" t="s">
        <v>269</v>
      </c>
      <c r="C120">
        <v>21</v>
      </c>
      <c r="D120" s="368">
        <v>44316</v>
      </c>
      <c r="E120" t="s">
        <v>1048</v>
      </c>
      <c r="F120" s="368">
        <v>44286</v>
      </c>
      <c r="G120" t="s">
        <v>1048</v>
      </c>
      <c r="H120" t="s">
        <v>1048</v>
      </c>
      <c r="I120" t="s">
        <v>1048</v>
      </c>
      <c r="J120" t="s">
        <v>1048</v>
      </c>
      <c r="K120" t="s">
        <v>1048</v>
      </c>
      <c r="L120" t="s">
        <v>1048</v>
      </c>
      <c r="M120" t="s">
        <v>1048</v>
      </c>
      <c r="N120" t="s">
        <v>1048</v>
      </c>
      <c r="O120" t="s">
        <v>1048</v>
      </c>
      <c r="P120" t="s">
        <v>1048</v>
      </c>
      <c r="Q120" t="s">
        <v>1048</v>
      </c>
      <c r="R120" t="s">
        <v>1048</v>
      </c>
      <c r="S120" t="s">
        <v>1047</v>
      </c>
      <c r="T120" t="s">
        <v>1047</v>
      </c>
      <c r="U120" t="s">
        <v>1047</v>
      </c>
      <c r="V120" t="s">
        <v>1048</v>
      </c>
    </row>
    <row r="121" spans="1:22" x14ac:dyDescent="0.2">
      <c r="A121">
        <v>290072</v>
      </c>
      <c r="B121" t="s">
        <v>1217</v>
      </c>
      <c r="C121">
        <v>21</v>
      </c>
      <c r="D121" s="368">
        <v>44316</v>
      </c>
      <c r="E121" t="s">
        <v>1048</v>
      </c>
      <c r="F121" s="368">
        <v>44286</v>
      </c>
      <c r="G121" t="s">
        <v>1047</v>
      </c>
      <c r="H121" t="s">
        <v>1047</v>
      </c>
      <c r="I121" t="s">
        <v>1048</v>
      </c>
      <c r="J121" t="s">
        <v>1047</v>
      </c>
      <c r="K121" t="s">
        <v>1047</v>
      </c>
      <c r="L121" t="s">
        <v>1047</v>
      </c>
      <c r="M121" t="s">
        <v>1047</v>
      </c>
      <c r="N121" t="s">
        <v>1047</v>
      </c>
      <c r="O121" t="s">
        <v>1047</v>
      </c>
      <c r="P121" t="s">
        <v>1047</v>
      </c>
      <c r="Q121" t="s">
        <v>1047</v>
      </c>
      <c r="R121" t="s">
        <v>1047</v>
      </c>
      <c r="S121" t="s">
        <v>1047</v>
      </c>
      <c r="T121" t="s">
        <v>1047</v>
      </c>
      <c r="U121" t="s">
        <v>1047</v>
      </c>
      <c r="V121" t="s">
        <v>1047</v>
      </c>
    </row>
    <row r="122" spans="1:22" x14ac:dyDescent="0.2">
      <c r="A122">
        <v>291906</v>
      </c>
      <c r="B122" t="s">
        <v>74</v>
      </c>
      <c r="C122">
        <v>22</v>
      </c>
      <c r="D122" s="368">
        <v>44316</v>
      </c>
      <c r="E122" t="s">
        <v>1048</v>
      </c>
      <c r="F122" s="368">
        <v>44286</v>
      </c>
      <c r="G122" t="s">
        <v>1048</v>
      </c>
      <c r="H122" t="s">
        <v>1048</v>
      </c>
      <c r="I122" t="s">
        <v>1048</v>
      </c>
      <c r="J122" t="s">
        <v>1048</v>
      </c>
      <c r="K122" t="s">
        <v>1048</v>
      </c>
      <c r="L122" t="s">
        <v>1048</v>
      </c>
      <c r="M122" t="s">
        <v>1048</v>
      </c>
      <c r="N122" t="s">
        <v>1048</v>
      </c>
      <c r="O122" t="s">
        <v>1048</v>
      </c>
      <c r="P122" t="s">
        <v>1048</v>
      </c>
      <c r="Q122" t="s">
        <v>1048</v>
      </c>
      <c r="R122" t="s">
        <v>1048</v>
      </c>
      <c r="S122" t="s">
        <v>1048</v>
      </c>
      <c r="T122" t="s">
        <v>1048</v>
      </c>
      <c r="U122" t="s">
        <v>1047</v>
      </c>
      <c r="V122" t="s">
        <v>1048</v>
      </c>
    </row>
    <row r="123" spans="1:22" x14ac:dyDescent="0.2">
      <c r="A123">
        <v>292193</v>
      </c>
      <c r="B123" t="s">
        <v>272</v>
      </c>
      <c r="C123">
        <v>21</v>
      </c>
      <c r="D123" s="368">
        <v>44316</v>
      </c>
      <c r="E123" t="s">
        <v>1048</v>
      </c>
      <c r="F123" s="368">
        <v>44286</v>
      </c>
      <c r="G123" t="s">
        <v>1048</v>
      </c>
      <c r="H123" t="s">
        <v>1048</v>
      </c>
      <c r="I123" t="s">
        <v>1048</v>
      </c>
      <c r="J123" t="s">
        <v>1048</v>
      </c>
      <c r="K123" t="s">
        <v>1048</v>
      </c>
      <c r="L123" t="s">
        <v>1048</v>
      </c>
      <c r="M123" t="s">
        <v>1047</v>
      </c>
      <c r="N123" t="s">
        <v>1047</v>
      </c>
      <c r="O123" t="s">
        <v>1048</v>
      </c>
      <c r="P123" t="s">
        <v>1047</v>
      </c>
      <c r="Q123" t="s">
        <v>1047</v>
      </c>
      <c r="R123" t="s">
        <v>1047</v>
      </c>
      <c r="S123" t="s">
        <v>1048</v>
      </c>
      <c r="T123" t="s">
        <v>1047</v>
      </c>
      <c r="U123" t="s">
        <v>1047</v>
      </c>
      <c r="V123" t="s">
        <v>1047</v>
      </c>
    </row>
    <row r="124" spans="1:22" x14ac:dyDescent="0.2">
      <c r="A124">
        <v>294322</v>
      </c>
      <c r="B124" t="s">
        <v>273</v>
      </c>
      <c r="C124">
        <v>22</v>
      </c>
      <c r="D124" s="368">
        <v>44316</v>
      </c>
      <c r="E124" t="s">
        <v>1048</v>
      </c>
      <c r="F124" s="368">
        <v>44286</v>
      </c>
      <c r="G124" t="s">
        <v>1048</v>
      </c>
      <c r="H124" t="s">
        <v>1048</v>
      </c>
      <c r="I124" t="s">
        <v>1048</v>
      </c>
      <c r="J124" t="s">
        <v>1048</v>
      </c>
      <c r="K124" t="s">
        <v>1048</v>
      </c>
      <c r="L124" t="s">
        <v>1048</v>
      </c>
      <c r="M124" t="s">
        <v>1047</v>
      </c>
      <c r="N124" t="s">
        <v>1047</v>
      </c>
      <c r="O124" t="s">
        <v>1048</v>
      </c>
      <c r="P124" t="s">
        <v>1047</v>
      </c>
      <c r="Q124" t="s">
        <v>1047</v>
      </c>
      <c r="R124" t="s">
        <v>1047</v>
      </c>
      <c r="S124" t="s">
        <v>1048</v>
      </c>
      <c r="T124" t="s">
        <v>1048</v>
      </c>
      <c r="U124" t="s">
        <v>1047</v>
      </c>
      <c r="V124" t="s">
        <v>1048</v>
      </c>
    </row>
    <row r="125" spans="1:22" x14ac:dyDescent="0.2">
      <c r="A125">
        <v>294918</v>
      </c>
      <c r="B125" t="s">
        <v>274</v>
      </c>
      <c r="C125">
        <v>18</v>
      </c>
      <c r="D125" s="368">
        <v>44316</v>
      </c>
      <c r="E125"/>
      <c r="F125"/>
      <c r="G125" t="s">
        <v>1048</v>
      </c>
      <c r="H125" t="s">
        <v>1048</v>
      </c>
      <c r="I125" t="s">
        <v>1048</v>
      </c>
      <c r="J125" t="s">
        <v>1048</v>
      </c>
      <c r="K125" t="s">
        <v>1048</v>
      </c>
      <c r="L125" t="s">
        <v>1048</v>
      </c>
      <c r="M125" t="s">
        <v>1048</v>
      </c>
      <c r="N125" t="s">
        <v>1048</v>
      </c>
      <c r="O125" t="s">
        <v>1048</v>
      </c>
      <c r="P125" t="s">
        <v>1048</v>
      </c>
      <c r="Q125" t="s">
        <v>1048</v>
      </c>
      <c r="R125" t="s">
        <v>1048</v>
      </c>
      <c r="S125" t="s">
        <v>1048</v>
      </c>
      <c r="T125" t="s">
        <v>1047</v>
      </c>
      <c r="U125" t="s">
        <v>1047</v>
      </c>
      <c r="V125" t="s">
        <v>1048</v>
      </c>
    </row>
    <row r="126" spans="1:22" x14ac:dyDescent="0.2">
      <c r="A126">
        <v>295857</v>
      </c>
      <c r="B126" t="s">
        <v>275</v>
      </c>
      <c r="C126">
        <v>24</v>
      </c>
      <c r="D126" s="368">
        <v>44316</v>
      </c>
      <c r="E126" t="s">
        <v>1048</v>
      </c>
      <c r="F126" s="368">
        <v>44286</v>
      </c>
      <c r="G126" t="s">
        <v>1048</v>
      </c>
      <c r="H126" t="s">
        <v>1048</v>
      </c>
      <c r="I126" t="s">
        <v>1048</v>
      </c>
      <c r="J126" t="s">
        <v>1048</v>
      </c>
      <c r="K126" t="s">
        <v>1048</v>
      </c>
      <c r="L126" t="s">
        <v>1048</v>
      </c>
      <c r="M126" t="s">
        <v>1048</v>
      </c>
      <c r="N126" t="s">
        <v>1048</v>
      </c>
      <c r="O126" t="s">
        <v>1048</v>
      </c>
      <c r="P126" t="s">
        <v>1048</v>
      </c>
      <c r="Q126" t="s">
        <v>1048</v>
      </c>
      <c r="R126" t="s">
        <v>1048</v>
      </c>
      <c r="S126" t="s">
        <v>1048</v>
      </c>
      <c r="T126" t="s">
        <v>1047</v>
      </c>
      <c r="U126" t="s">
        <v>1047</v>
      </c>
      <c r="V126" t="s">
        <v>1048</v>
      </c>
    </row>
    <row r="127" spans="1:22" x14ac:dyDescent="0.2">
      <c r="A127">
        <v>296327</v>
      </c>
      <c r="B127" t="s">
        <v>276</v>
      </c>
      <c r="C127">
        <v>25</v>
      </c>
      <c r="D127" s="368">
        <v>44316</v>
      </c>
      <c r="E127" t="s">
        <v>1047</v>
      </c>
      <c r="F127" s="368">
        <v>44286</v>
      </c>
      <c r="G127" t="s">
        <v>1048</v>
      </c>
      <c r="H127" t="s">
        <v>1048</v>
      </c>
      <c r="I127" t="s">
        <v>1048</v>
      </c>
      <c r="J127" t="s">
        <v>1048</v>
      </c>
      <c r="K127" t="s">
        <v>1048</v>
      </c>
      <c r="L127" t="s">
        <v>1048</v>
      </c>
      <c r="M127" t="s">
        <v>1047</v>
      </c>
      <c r="N127" t="s">
        <v>1047</v>
      </c>
      <c r="O127" t="s">
        <v>1048</v>
      </c>
      <c r="P127" t="s">
        <v>1048</v>
      </c>
      <c r="Q127" t="s">
        <v>1048</v>
      </c>
      <c r="R127" t="s">
        <v>1047</v>
      </c>
      <c r="S127" t="s">
        <v>1048</v>
      </c>
      <c r="T127" t="s">
        <v>1047</v>
      </c>
      <c r="U127" t="s">
        <v>1047</v>
      </c>
      <c r="V127" t="s">
        <v>1047</v>
      </c>
    </row>
    <row r="128" spans="1:22" x14ac:dyDescent="0.2">
      <c r="A128">
        <v>296749</v>
      </c>
      <c r="B128" t="s">
        <v>277</v>
      </c>
      <c r="C128">
        <v>21</v>
      </c>
      <c r="D128" s="368">
        <v>44316</v>
      </c>
      <c r="E128" t="s">
        <v>1048</v>
      </c>
      <c r="F128" s="368">
        <v>44286</v>
      </c>
      <c r="G128" t="s">
        <v>1048</v>
      </c>
      <c r="H128" t="s">
        <v>1048</v>
      </c>
      <c r="I128" t="s">
        <v>1048</v>
      </c>
      <c r="J128" t="s">
        <v>1048</v>
      </c>
      <c r="K128" t="s">
        <v>1048</v>
      </c>
      <c r="L128" t="s">
        <v>1048</v>
      </c>
      <c r="M128" t="s">
        <v>1048</v>
      </c>
      <c r="N128" t="s">
        <v>1048</v>
      </c>
      <c r="O128" t="s">
        <v>1048</v>
      </c>
      <c r="P128" t="s">
        <v>1048</v>
      </c>
      <c r="Q128" t="s">
        <v>1048</v>
      </c>
      <c r="R128" t="s">
        <v>1048</v>
      </c>
      <c r="S128" t="s">
        <v>1048</v>
      </c>
      <c r="T128" t="s">
        <v>1047</v>
      </c>
      <c r="U128" t="s">
        <v>1048</v>
      </c>
      <c r="V128" t="s">
        <v>1048</v>
      </c>
    </row>
    <row r="129" spans="1:22" x14ac:dyDescent="0.2">
      <c r="A129">
        <v>300996</v>
      </c>
      <c r="B129" t="s">
        <v>972</v>
      </c>
      <c r="C129">
        <v>20</v>
      </c>
      <c r="D129" s="368">
        <v>44316</v>
      </c>
      <c r="E129" t="s">
        <v>1048</v>
      </c>
      <c r="F129" s="368">
        <v>44286</v>
      </c>
      <c r="G129" t="s">
        <v>1048</v>
      </c>
      <c r="H129" t="s">
        <v>1048</v>
      </c>
      <c r="I129" t="s">
        <v>1048</v>
      </c>
      <c r="J129" t="s">
        <v>1048</v>
      </c>
      <c r="K129" t="s">
        <v>1048</v>
      </c>
      <c r="L129" t="s">
        <v>1048</v>
      </c>
      <c r="M129" t="s">
        <v>1048</v>
      </c>
      <c r="N129" t="s">
        <v>1047</v>
      </c>
      <c r="O129" t="s">
        <v>1047</v>
      </c>
      <c r="P129" t="s">
        <v>1047</v>
      </c>
      <c r="Q129" t="s">
        <v>1047</v>
      </c>
      <c r="R129" t="s">
        <v>1047</v>
      </c>
      <c r="S129" t="s">
        <v>1047</v>
      </c>
      <c r="T129" t="s">
        <v>1048</v>
      </c>
      <c r="U129" t="s">
        <v>1047</v>
      </c>
      <c r="V129" t="s">
        <v>1048</v>
      </c>
    </row>
    <row r="130" spans="1:22" x14ac:dyDescent="0.2">
      <c r="A130">
        <v>301580</v>
      </c>
      <c r="B130" t="s">
        <v>278</v>
      </c>
      <c r="C130">
        <v>22</v>
      </c>
      <c r="D130" s="368">
        <v>44316</v>
      </c>
      <c r="E130" t="s">
        <v>1048</v>
      </c>
      <c r="F130" s="368">
        <v>44286</v>
      </c>
      <c r="G130" t="s">
        <v>1048</v>
      </c>
      <c r="H130" t="s">
        <v>1048</v>
      </c>
      <c r="I130" t="s">
        <v>1048</v>
      </c>
      <c r="J130" t="s">
        <v>1048</v>
      </c>
      <c r="K130" t="s">
        <v>1048</v>
      </c>
      <c r="L130" t="s">
        <v>1048</v>
      </c>
      <c r="M130" t="s">
        <v>1048</v>
      </c>
      <c r="N130" t="s">
        <v>1048</v>
      </c>
      <c r="O130" t="s">
        <v>1048</v>
      </c>
      <c r="P130" t="s">
        <v>1048</v>
      </c>
      <c r="Q130" t="s">
        <v>1048</v>
      </c>
      <c r="R130" t="s">
        <v>1048</v>
      </c>
      <c r="S130" t="s">
        <v>1048</v>
      </c>
      <c r="T130" t="s">
        <v>1048</v>
      </c>
      <c r="U130" t="s">
        <v>1047</v>
      </c>
      <c r="V130" t="s">
        <v>1047</v>
      </c>
    </row>
    <row r="131" spans="1:22" x14ac:dyDescent="0.2">
      <c r="A131">
        <v>302760</v>
      </c>
      <c r="B131" t="s">
        <v>1077</v>
      </c>
      <c r="C131">
        <v>23</v>
      </c>
      <c r="D131" s="368">
        <v>44316</v>
      </c>
      <c r="E131" t="s">
        <v>1048</v>
      </c>
      <c r="F131" s="368">
        <v>44286</v>
      </c>
      <c r="G131" t="s">
        <v>1048</v>
      </c>
      <c r="H131" t="s">
        <v>1048</v>
      </c>
      <c r="I131" t="s">
        <v>1048</v>
      </c>
      <c r="J131" t="s">
        <v>1048</v>
      </c>
      <c r="K131" t="s">
        <v>1048</v>
      </c>
      <c r="L131" t="s">
        <v>1048</v>
      </c>
      <c r="M131" t="s">
        <v>1048</v>
      </c>
      <c r="N131" t="s">
        <v>1047</v>
      </c>
      <c r="O131" t="s">
        <v>1047</v>
      </c>
      <c r="P131" t="s">
        <v>1047</v>
      </c>
      <c r="Q131" t="s">
        <v>1047</v>
      </c>
      <c r="R131" t="s">
        <v>1047</v>
      </c>
      <c r="S131" t="s">
        <v>1047</v>
      </c>
      <c r="T131" t="s">
        <v>1048</v>
      </c>
      <c r="U131" t="s">
        <v>1047</v>
      </c>
      <c r="V131" t="s">
        <v>1048</v>
      </c>
    </row>
    <row r="132" spans="1:22" x14ac:dyDescent="0.2">
      <c r="A132">
        <v>303701</v>
      </c>
      <c r="B132" t="s">
        <v>279</v>
      </c>
      <c r="C132">
        <v>21</v>
      </c>
      <c r="D132" s="368">
        <v>44316</v>
      </c>
      <c r="E132" t="s">
        <v>1047</v>
      </c>
      <c r="F132" s="368">
        <v>43830</v>
      </c>
      <c r="G132" t="s">
        <v>1048</v>
      </c>
      <c r="H132" t="s">
        <v>1048</v>
      </c>
      <c r="I132" t="s">
        <v>1048</v>
      </c>
      <c r="J132" t="s">
        <v>1048</v>
      </c>
      <c r="K132" t="s">
        <v>1048</v>
      </c>
      <c r="L132" t="s">
        <v>1048</v>
      </c>
      <c r="M132" t="s">
        <v>1048</v>
      </c>
      <c r="N132" t="s">
        <v>1048</v>
      </c>
      <c r="O132" t="s">
        <v>1047</v>
      </c>
      <c r="P132" t="s">
        <v>1047</v>
      </c>
      <c r="Q132" t="s">
        <v>1048</v>
      </c>
      <c r="R132" t="s">
        <v>1048</v>
      </c>
      <c r="S132" t="s">
        <v>1048</v>
      </c>
      <c r="T132" t="s">
        <v>1048</v>
      </c>
      <c r="U132" t="s">
        <v>1047</v>
      </c>
      <c r="V132" t="s">
        <v>1048</v>
      </c>
    </row>
    <row r="133" spans="1:22" x14ac:dyDescent="0.2">
      <c r="A133">
        <v>305185</v>
      </c>
      <c r="B133" t="s">
        <v>281</v>
      </c>
      <c r="C133">
        <v>19</v>
      </c>
      <c r="D133" s="368">
        <v>44227</v>
      </c>
      <c r="E133"/>
      <c r="F133"/>
      <c r="G133" t="s">
        <v>1048</v>
      </c>
      <c r="H133" t="s">
        <v>1048</v>
      </c>
      <c r="I133" t="s">
        <v>1048</v>
      </c>
      <c r="J133" t="s">
        <v>1048</v>
      </c>
      <c r="K133" t="s">
        <v>1048</v>
      </c>
      <c r="L133" t="s">
        <v>1048</v>
      </c>
      <c r="M133" t="s">
        <v>1047</v>
      </c>
      <c r="N133" t="s">
        <v>1047</v>
      </c>
      <c r="O133" t="s">
        <v>1048</v>
      </c>
      <c r="P133" t="s">
        <v>1048</v>
      </c>
      <c r="Q133" t="s">
        <v>1048</v>
      </c>
      <c r="R133" t="s">
        <v>1047</v>
      </c>
      <c r="S133" t="s">
        <v>1048</v>
      </c>
      <c r="T133" t="s">
        <v>1047</v>
      </c>
      <c r="U133" t="s">
        <v>1047</v>
      </c>
      <c r="V133" t="s">
        <v>1047</v>
      </c>
    </row>
    <row r="134" spans="1:22" x14ac:dyDescent="0.2">
      <c r="A134">
        <v>305243</v>
      </c>
      <c r="B134" t="s">
        <v>538</v>
      </c>
      <c r="C134">
        <v>23</v>
      </c>
      <c r="D134" s="368">
        <v>44316</v>
      </c>
      <c r="E134" t="s">
        <v>1048</v>
      </c>
      <c r="F134" s="368">
        <v>44286</v>
      </c>
      <c r="G134" t="s">
        <v>1048</v>
      </c>
      <c r="H134" t="s">
        <v>1048</v>
      </c>
      <c r="I134" t="s">
        <v>1048</v>
      </c>
      <c r="J134" t="s">
        <v>1048</v>
      </c>
      <c r="K134" t="s">
        <v>1047</v>
      </c>
      <c r="L134" t="s">
        <v>1047</v>
      </c>
      <c r="M134" t="s">
        <v>1048</v>
      </c>
      <c r="N134" t="s">
        <v>1047</v>
      </c>
      <c r="O134" t="s">
        <v>1047</v>
      </c>
      <c r="P134" t="s">
        <v>1047</v>
      </c>
      <c r="Q134" t="s">
        <v>1047</v>
      </c>
      <c r="R134" t="s">
        <v>1047</v>
      </c>
      <c r="S134" t="s">
        <v>1047</v>
      </c>
      <c r="T134" t="s">
        <v>1048</v>
      </c>
      <c r="U134" t="s">
        <v>1047</v>
      </c>
      <c r="V134" t="s">
        <v>1047</v>
      </c>
    </row>
    <row r="135" spans="1:22" x14ac:dyDescent="0.2">
      <c r="A135">
        <v>307306</v>
      </c>
      <c r="B135" t="s">
        <v>282</v>
      </c>
      <c r="C135">
        <v>20</v>
      </c>
      <c r="D135" s="368">
        <v>44227</v>
      </c>
      <c r="E135" t="s">
        <v>1047</v>
      </c>
      <c r="F135" s="368">
        <v>43830</v>
      </c>
      <c r="G135" t="s">
        <v>1048</v>
      </c>
      <c r="H135" t="s">
        <v>1048</v>
      </c>
      <c r="I135" t="s">
        <v>1048</v>
      </c>
      <c r="J135" t="s">
        <v>1048</v>
      </c>
      <c r="K135" t="s">
        <v>1048</v>
      </c>
      <c r="L135" t="s">
        <v>1048</v>
      </c>
      <c r="M135" t="s">
        <v>1048</v>
      </c>
      <c r="N135" t="s">
        <v>1048</v>
      </c>
      <c r="O135" t="s">
        <v>1048</v>
      </c>
      <c r="P135" t="s">
        <v>1048</v>
      </c>
      <c r="Q135" t="s">
        <v>1048</v>
      </c>
      <c r="R135" t="s">
        <v>1048</v>
      </c>
      <c r="S135" t="s">
        <v>1048</v>
      </c>
      <c r="T135" t="s">
        <v>1047</v>
      </c>
      <c r="U135" t="s">
        <v>1047</v>
      </c>
      <c r="V135" t="s">
        <v>1048</v>
      </c>
    </row>
    <row r="136" spans="1:22" x14ac:dyDescent="0.2">
      <c r="A136">
        <v>308908</v>
      </c>
      <c r="B136" t="s">
        <v>526</v>
      </c>
      <c r="C136">
        <v>20</v>
      </c>
      <c r="D136" s="368">
        <v>44316</v>
      </c>
      <c r="E136" t="s">
        <v>1047</v>
      </c>
      <c r="F136" s="368">
        <v>43830</v>
      </c>
      <c r="G136" t="s">
        <v>1048</v>
      </c>
      <c r="H136" t="s">
        <v>1048</v>
      </c>
      <c r="I136" t="s">
        <v>1048</v>
      </c>
      <c r="J136" t="s">
        <v>1048</v>
      </c>
      <c r="K136" t="s">
        <v>1048</v>
      </c>
      <c r="L136" t="s">
        <v>1048</v>
      </c>
      <c r="M136" t="s">
        <v>1048</v>
      </c>
      <c r="N136" t="s">
        <v>1048</v>
      </c>
      <c r="O136" t="s">
        <v>1048</v>
      </c>
      <c r="P136" t="s">
        <v>1048</v>
      </c>
      <c r="Q136" t="s">
        <v>1048</v>
      </c>
      <c r="R136" t="s">
        <v>1047</v>
      </c>
      <c r="S136" t="s">
        <v>1047</v>
      </c>
      <c r="T136" t="s">
        <v>1047</v>
      </c>
      <c r="U136" t="s">
        <v>1047</v>
      </c>
      <c r="V136" t="s">
        <v>1047</v>
      </c>
    </row>
    <row r="137" spans="1:22" x14ac:dyDescent="0.2">
      <c r="A137">
        <v>309492</v>
      </c>
      <c r="B137" t="s">
        <v>527</v>
      </c>
      <c r="C137">
        <v>19</v>
      </c>
      <c r="D137" s="368">
        <v>44316</v>
      </c>
      <c r="E137" t="s">
        <v>1048</v>
      </c>
      <c r="F137" s="368">
        <v>44286</v>
      </c>
      <c r="G137" t="s">
        <v>1048</v>
      </c>
      <c r="H137" t="s">
        <v>1048</v>
      </c>
      <c r="I137" t="s">
        <v>1048</v>
      </c>
      <c r="J137" t="s">
        <v>1048</v>
      </c>
      <c r="K137" t="s">
        <v>1048</v>
      </c>
      <c r="L137" t="s">
        <v>1048</v>
      </c>
      <c r="M137" t="s">
        <v>1048</v>
      </c>
      <c r="N137" t="s">
        <v>1048</v>
      </c>
      <c r="O137" t="s">
        <v>1048</v>
      </c>
      <c r="P137" t="s">
        <v>1048</v>
      </c>
      <c r="Q137" t="s">
        <v>1048</v>
      </c>
      <c r="R137" t="s">
        <v>1048</v>
      </c>
      <c r="S137" t="s">
        <v>1048</v>
      </c>
      <c r="T137" t="s">
        <v>1048</v>
      </c>
      <c r="U137" t="s">
        <v>1048</v>
      </c>
      <c r="V137" t="s">
        <v>1048</v>
      </c>
    </row>
    <row r="138" spans="1:22" x14ac:dyDescent="0.2">
      <c r="A138">
        <v>313320</v>
      </c>
      <c r="B138" t="s">
        <v>1078</v>
      </c>
      <c r="C138">
        <v>25</v>
      </c>
      <c r="D138" s="368">
        <v>44316</v>
      </c>
      <c r="E138" t="s">
        <v>1047</v>
      </c>
      <c r="F138" s="368">
        <v>44286</v>
      </c>
      <c r="G138" t="s">
        <v>1048</v>
      </c>
      <c r="H138" t="s">
        <v>1048</v>
      </c>
      <c r="I138" t="s">
        <v>1048</v>
      </c>
      <c r="J138" t="s">
        <v>1048</v>
      </c>
      <c r="K138" t="s">
        <v>1048</v>
      </c>
      <c r="L138" t="s">
        <v>1048</v>
      </c>
      <c r="M138" t="s">
        <v>1047</v>
      </c>
      <c r="N138" t="s">
        <v>1047</v>
      </c>
      <c r="O138" t="s">
        <v>1047</v>
      </c>
      <c r="P138" t="s">
        <v>1047</v>
      </c>
      <c r="Q138" t="s">
        <v>1047</v>
      </c>
      <c r="R138" t="s">
        <v>1047</v>
      </c>
      <c r="S138" t="s">
        <v>1047</v>
      </c>
      <c r="T138" t="s">
        <v>1047</v>
      </c>
      <c r="U138" t="s">
        <v>1047</v>
      </c>
      <c r="V138" t="s">
        <v>1047</v>
      </c>
    </row>
    <row r="139" spans="1:22" x14ac:dyDescent="0.2">
      <c r="A139">
        <v>313742</v>
      </c>
      <c r="B139" t="s">
        <v>285</v>
      </c>
      <c r="C139">
        <v>20</v>
      </c>
      <c r="D139" s="368">
        <v>44316</v>
      </c>
      <c r="E139" t="s">
        <v>1047</v>
      </c>
      <c r="F139" s="368">
        <v>43830</v>
      </c>
      <c r="G139" t="s">
        <v>1048</v>
      </c>
      <c r="H139" t="s">
        <v>1048</v>
      </c>
      <c r="I139" t="s">
        <v>1048</v>
      </c>
      <c r="J139" t="s">
        <v>1048</v>
      </c>
      <c r="K139" t="s">
        <v>1048</v>
      </c>
      <c r="L139" t="s">
        <v>1048</v>
      </c>
      <c r="M139" t="s">
        <v>1048</v>
      </c>
      <c r="N139" t="s">
        <v>1048</v>
      </c>
      <c r="O139" t="s">
        <v>1048</v>
      </c>
      <c r="P139" t="s">
        <v>1048</v>
      </c>
      <c r="Q139" t="s">
        <v>1048</v>
      </c>
      <c r="R139" t="s">
        <v>1048</v>
      </c>
      <c r="S139" t="s">
        <v>1048</v>
      </c>
      <c r="T139" t="s">
        <v>1048</v>
      </c>
      <c r="U139" t="s">
        <v>1048</v>
      </c>
      <c r="V139" t="s">
        <v>1047</v>
      </c>
    </row>
    <row r="140" spans="1:22" x14ac:dyDescent="0.2">
      <c r="A140">
        <v>314682</v>
      </c>
      <c r="B140" t="s">
        <v>507</v>
      </c>
      <c r="C140">
        <v>20</v>
      </c>
      <c r="D140" s="368">
        <v>44316</v>
      </c>
      <c r="E140" t="s">
        <v>1047</v>
      </c>
      <c r="F140" s="368">
        <v>43830</v>
      </c>
      <c r="G140" t="s">
        <v>1048</v>
      </c>
      <c r="H140" t="s">
        <v>1048</v>
      </c>
      <c r="I140" t="s">
        <v>1048</v>
      </c>
      <c r="J140" t="s">
        <v>1048</v>
      </c>
      <c r="K140" t="s">
        <v>1048</v>
      </c>
      <c r="L140" t="s">
        <v>1048</v>
      </c>
      <c r="M140" t="s">
        <v>1048</v>
      </c>
      <c r="N140" t="s">
        <v>1048</v>
      </c>
      <c r="O140" t="s">
        <v>1048</v>
      </c>
      <c r="P140" t="s">
        <v>1048</v>
      </c>
      <c r="Q140" t="s">
        <v>1048</v>
      </c>
      <c r="R140" t="s">
        <v>1048</v>
      </c>
      <c r="S140" t="s">
        <v>1048</v>
      </c>
      <c r="T140" t="s">
        <v>1047</v>
      </c>
      <c r="U140" t="s">
        <v>1047</v>
      </c>
      <c r="V140" t="s">
        <v>1048</v>
      </c>
    </row>
    <row r="141" spans="1:22" x14ac:dyDescent="0.2">
      <c r="A141">
        <v>316752</v>
      </c>
      <c r="B141" t="s">
        <v>286</v>
      </c>
      <c r="C141"/>
      <c r="D141"/>
      <c r="E141" t="s">
        <v>1047</v>
      </c>
      <c r="F141" s="368">
        <v>43830</v>
      </c>
      <c r="G141" t="s">
        <v>1048</v>
      </c>
      <c r="H141" t="s">
        <v>1048</v>
      </c>
      <c r="I141" t="s">
        <v>1048</v>
      </c>
      <c r="J141" t="s">
        <v>1048</v>
      </c>
      <c r="K141" t="s">
        <v>1048</v>
      </c>
      <c r="L141" t="s">
        <v>1048</v>
      </c>
      <c r="M141" t="s">
        <v>1048</v>
      </c>
      <c r="N141" t="s">
        <v>1047</v>
      </c>
      <c r="O141" t="s">
        <v>1047</v>
      </c>
      <c r="P141" t="s">
        <v>1047</v>
      </c>
      <c r="Q141" t="s">
        <v>1047</v>
      </c>
      <c r="R141" t="s">
        <v>1047</v>
      </c>
      <c r="S141" t="s">
        <v>1047</v>
      </c>
      <c r="T141" t="s">
        <v>1047</v>
      </c>
      <c r="U141" t="s">
        <v>1047</v>
      </c>
      <c r="V141" t="s">
        <v>1048</v>
      </c>
    </row>
    <row r="142" spans="1:22" x14ac:dyDescent="0.2">
      <c r="A142">
        <v>317040</v>
      </c>
      <c r="B142" t="s">
        <v>287</v>
      </c>
      <c r="C142">
        <v>25</v>
      </c>
      <c r="D142" s="368">
        <v>44316</v>
      </c>
      <c r="E142" t="s">
        <v>1047</v>
      </c>
      <c r="F142" s="368">
        <v>43830</v>
      </c>
      <c r="G142" t="s">
        <v>1048</v>
      </c>
      <c r="H142" t="s">
        <v>1048</v>
      </c>
      <c r="I142" t="s">
        <v>1048</v>
      </c>
      <c r="J142" t="s">
        <v>1048</v>
      </c>
      <c r="K142" t="s">
        <v>1048</v>
      </c>
      <c r="L142" t="s">
        <v>1048</v>
      </c>
      <c r="M142" t="s">
        <v>1047</v>
      </c>
      <c r="N142" t="s">
        <v>1047</v>
      </c>
      <c r="O142" t="s">
        <v>1048</v>
      </c>
      <c r="P142" t="s">
        <v>1047</v>
      </c>
      <c r="Q142" t="s">
        <v>1047</v>
      </c>
      <c r="R142" t="s">
        <v>1047</v>
      </c>
      <c r="S142" t="s">
        <v>1048</v>
      </c>
      <c r="T142" t="s">
        <v>1048</v>
      </c>
      <c r="U142" t="s">
        <v>1047</v>
      </c>
      <c r="V142" t="s">
        <v>1048</v>
      </c>
    </row>
    <row r="143" spans="1:22" x14ac:dyDescent="0.2">
      <c r="A143">
        <v>318469</v>
      </c>
      <c r="B143" t="s">
        <v>288</v>
      </c>
      <c r="C143">
        <v>24</v>
      </c>
      <c r="D143" s="368">
        <v>44316</v>
      </c>
      <c r="E143" t="s">
        <v>1047</v>
      </c>
      <c r="F143" s="368">
        <v>44286</v>
      </c>
      <c r="G143" t="s">
        <v>1048</v>
      </c>
      <c r="H143" t="s">
        <v>1048</v>
      </c>
      <c r="I143" t="s">
        <v>1048</v>
      </c>
      <c r="J143" t="s">
        <v>1048</v>
      </c>
      <c r="K143" t="s">
        <v>1048</v>
      </c>
      <c r="L143" t="s">
        <v>1048</v>
      </c>
      <c r="M143" t="s">
        <v>1047</v>
      </c>
      <c r="N143" t="s">
        <v>1047</v>
      </c>
      <c r="O143" t="s">
        <v>1048</v>
      </c>
      <c r="P143" t="s">
        <v>1047</v>
      </c>
      <c r="Q143" t="s">
        <v>1047</v>
      </c>
      <c r="R143" t="s">
        <v>1047</v>
      </c>
      <c r="S143" t="s">
        <v>1048</v>
      </c>
      <c r="T143" t="s">
        <v>1047</v>
      </c>
      <c r="U143" t="s">
        <v>1047</v>
      </c>
      <c r="V143" t="s">
        <v>1047</v>
      </c>
    </row>
    <row r="144" spans="1:22" x14ac:dyDescent="0.2">
      <c r="A144">
        <v>320176</v>
      </c>
      <c r="B144" t="s">
        <v>539</v>
      </c>
      <c r="C144">
        <v>18</v>
      </c>
      <c r="D144" s="368">
        <v>44316</v>
      </c>
      <c r="E144" t="s">
        <v>1047</v>
      </c>
      <c r="F144" s="368">
        <v>43830</v>
      </c>
      <c r="G144" t="s">
        <v>1048</v>
      </c>
      <c r="H144" t="s">
        <v>1048</v>
      </c>
      <c r="I144" t="s">
        <v>1048</v>
      </c>
      <c r="J144" t="s">
        <v>1048</v>
      </c>
      <c r="K144" t="s">
        <v>1048</v>
      </c>
      <c r="L144" t="s">
        <v>1048</v>
      </c>
      <c r="M144" t="s">
        <v>1048</v>
      </c>
      <c r="N144" t="s">
        <v>1048</v>
      </c>
      <c r="O144" t="s">
        <v>1048</v>
      </c>
      <c r="P144" t="s">
        <v>1048</v>
      </c>
      <c r="Q144" t="s">
        <v>1048</v>
      </c>
      <c r="R144" t="s">
        <v>1048</v>
      </c>
      <c r="S144" t="s">
        <v>1048</v>
      </c>
      <c r="T144" t="s">
        <v>1047</v>
      </c>
      <c r="U144" t="s">
        <v>1047</v>
      </c>
      <c r="V144" t="s">
        <v>1047</v>
      </c>
    </row>
    <row r="145" spans="1:22" x14ac:dyDescent="0.2">
      <c r="A145">
        <v>320358</v>
      </c>
      <c r="B145" t="s">
        <v>973</v>
      </c>
      <c r="C145">
        <v>20</v>
      </c>
      <c r="D145" s="368">
        <v>44316</v>
      </c>
      <c r="E145" t="s">
        <v>1048</v>
      </c>
      <c r="F145" s="368">
        <v>44286</v>
      </c>
      <c r="G145" t="s">
        <v>1048</v>
      </c>
      <c r="H145" t="s">
        <v>1048</v>
      </c>
      <c r="I145" t="s">
        <v>1048</v>
      </c>
      <c r="J145" t="s">
        <v>1048</v>
      </c>
      <c r="K145" t="s">
        <v>1048</v>
      </c>
      <c r="L145" t="s">
        <v>1048</v>
      </c>
      <c r="M145" t="s">
        <v>1048</v>
      </c>
      <c r="N145" t="s">
        <v>1047</v>
      </c>
      <c r="O145" t="s">
        <v>1047</v>
      </c>
      <c r="P145" t="s">
        <v>1047</v>
      </c>
      <c r="Q145" t="s">
        <v>1047</v>
      </c>
      <c r="R145" t="s">
        <v>1047</v>
      </c>
      <c r="S145" t="s">
        <v>1047</v>
      </c>
      <c r="T145" t="s">
        <v>1048</v>
      </c>
      <c r="U145" t="s">
        <v>1047</v>
      </c>
      <c r="V145" t="s">
        <v>1048</v>
      </c>
    </row>
    <row r="146" spans="1:22" x14ac:dyDescent="0.2">
      <c r="A146">
        <v>320762</v>
      </c>
      <c r="B146" t="s">
        <v>289</v>
      </c>
      <c r="C146">
        <v>20</v>
      </c>
      <c r="D146" s="368">
        <v>44316</v>
      </c>
      <c r="E146" t="s">
        <v>1048</v>
      </c>
      <c r="F146" s="368">
        <v>44286</v>
      </c>
      <c r="G146" t="s">
        <v>1048</v>
      </c>
      <c r="H146" t="s">
        <v>1048</v>
      </c>
      <c r="I146" t="s">
        <v>1048</v>
      </c>
      <c r="J146" t="s">
        <v>1048</v>
      </c>
      <c r="K146" t="s">
        <v>1048</v>
      </c>
      <c r="L146" t="s">
        <v>1048</v>
      </c>
      <c r="M146" t="s">
        <v>1048</v>
      </c>
      <c r="N146" t="s">
        <v>1048</v>
      </c>
      <c r="O146" t="s">
        <v>1048</v>
      </c>
      <c r="P146" t="s">
        <v>1048</v>
      </c>
      <c r="Q146" t="s">
        <v>1048</v>
      </c>
      <c r="R146" t="s">
        <v>1048</v>
      </c>
      <c r="S146" t="s">
        <v>1047</v>
      </c>
      <c r="T146" t="s">
        <v>1047</v>
      </c>
      <c r="U146" t="s">
        <v>1047</v>
      </c>
      <c r="V146" t="s">
        <v>1048</v>
      </c>
    </row>
    <row r="147" spans="1:22" x14ac:dyDescent="0.2">
      <c r="A147">
        <v>321828</v>
      </c>
      <c r="B147" t="s">
        <v>1145</v>
      </c>
      <c r="C147">
        <v>27</v>
      </c>
      <c r="D147" s="368">
        <v>44316</v>
      </c>
      <c r="E147" t="s">
        <v>1048</v>
      </c>
      <c r="F147" s="368">
        <v>44286</v>
      </c>
      <c r="G147" t="s">
        <v>1048</v>
      </c>
      <c r="H147" t="s">
        <v>1048</v>
      </c>
      <c r="I147" t="s">
        <v>1048</v>
      </c>
      <c r="J147" t="s">
        <v>1048</v>
      </c>
      <c r="K147" t="s">
        <v>1048</v>
      </c>
      <c r="L147" t="s">
        <v>1048</v>
      </c>
      <c r="M147" t="s">
        <v>1048</v>
      </c>
      <c r="N147" t="s">
        <v>1047</v>
      </c>
      <c r="O147" t="s">
        <v>1047</v>
      </c>
      <c r="P147" t="s">
        <v>1047</v>
      </c>
      <c r="Q147" t="s">
        <v>1047</v>
      </c>
      <c r="R147" t="s">
        <v>1047</v>
      </c>
      <c r="S147" t="s">
        <v>1047</v>
      </c>
      <c r="T147" t="s">
        <v>1048</v>
      </c>
      <c r="U147" t="s">
        <v>1047</v>
      </c>
      <c r="V147" t="s">
        <v>1048</v>
      </c>
    </row>
    <row r="148" spans="1:22" x14ac:dyDescent="0.2">
      <c r="A148">
        <v>324665</v>
      </c>
      <c r="B148" t="s">
        <v>290</v>
      </c>
      <c r="C148">
        <v>20</v>
      </c>
      <c r="D148" s="368">
        <v>44316</v>
      </c>
      <c r="E148" t="s">
        <v>1047</v>
      </c>
      <c r="F148" s="368">
        <v>44012</v>
      </c>
      <c r="G148" t="s">
        <v>1048</v>
      </c>
      <c r="H148" t="s">
        <v>1048</v>
      </c>
      <c r="I148" t="s">
        <v>1048</v>
      </c>
      <c r="J148" t="s">
        <v>1048</v>
      </c>
      <c r="K148" t="s">
        <v>1048</v>
      </c>
      <c r="L148" t="s">
        <v>1048</v>
      </c>
      <c r="M148" t="s">
        <v>1047</v>
      </c>
      <c r="N148" t="s">
        <v>1047</v>
      </c>
      <c r="O148" t="s">
        <v>1048</v>
      </c>
      <c r="P148" t="s">
        <v>1047</v>
      </c>
      <c r="Q148" t="s">
        <v>1047</v>
      </c>
      <c r="R148" t="s">
        <v>1047</v>
      </c>
      <c r="S148" t="s">
        <v>1047</v>
      </c>
      <c r="T148" t="s">
        <v>1047</v>
      </c>
      <c r="U148" t="s">
        <v>1047</v>
      </c>
      <c r="V148" t="s">
        <v>1047</v>
      </c>
    </row>
    <row r="149" spans="1:22" x14ac:dyDescent="0.2">
      <c r="A149">
        <v>328021</v>
      </c>
      <c r="B149" t="s">
        <v>292</v>
      </c>
      <c r="C149">
        <v>23</v>
      </c>
      <c r="D149" s="368">
        <v>44316</v>
      </c>
      <c r="E149" t="s">
        <v>1048</v>
      </c>
      <c r="F149" s="368">
        <v>44286</v>
      </c>
      <c r="G149" t="s">
        <v>1048</v>
      </c>
      <c r="H149" t="s">
        <v>1048</v>
      </c>
      <c r="I149" t="s">
        <v>1048</v>
      </c>
      <c r="J149" t="s">
        <v>1048</v>
      </c>
      <c r="K149" t="s">
        <v>1048</v>
      </c>
      <c r="L149" t="s">
        <v>1048</v>
      </c>
      <c r="M149" t="s">
        <v>1047</v>
      </c>
      <c r="N149" t="s">
        <v>1048</v>
      </c>
      <c r="O149" t="s">
        <v>1048</v>
      </c>
      <c r="P149" t="s">
        <v>1048</v>
      </c>
      <c r="Q149" t="s">
        <v>1048</v>
      </c>
      <c r="R149" t="s">
        <v>1047</v>
      </c>
      <c r="S149" t="s">
        <v>1047</v>
      </c>
      <c r="T149" t="s">
        <v>1047</v>
      </c>
      <c r="U149" t="s">
        <v>1047</v>
      </c>
      <c r="V149" t="s">
        <v>1048</v>
      </c>
    </row>
    <row r="150" spans="1:22" x14ac:dyDescent="0.2">
      <c r="A150">
        <v>330324</v>
      </c>
      <c r="B150" t="s">
        <v>1178</v>
      </c>
      <c r="C150">
        <v>32</v>
      </c>
      <c r="D150" s="368">
        <v>44316</v>
      </c>
      <c r="E150"/>
      <c r="F150"/>
      <c r="G150" t="s">
        <v>1047</v>
      </c>
      <c r="H150" t="s">
        <v>1047</v>
      </c>
      <c r="I150" t="s">
        <v>1047</v>
      </c>
      <c r="J150" t="s">
        <v>1048</v>
      </c>
      <c r="K150" t="s">
        <v>1048</v>
      </c>
      <c r="L150" t="s">
        <v>1048</v>
      </c>
      <c r="M150" t="s">
        <v>1048</v>
      </c>
      <c r="N150" t="s">
        <v>1048</v>
      </c>
      <c r="O150" t="s">
        <v>1048</v>
      </c>
      <c r="P150" t="s">
        <v>1048</v>
      </c>
      <c r="Q150" t="s">
        <v>1048</v>
      </c>
      <c r="R150" t="s">
        <v>1047</v>
      </c>
      <c r="S150" t="s">
        <v>1048</v>
      </c>
      <c r="T150" t="s">
        <v>1048</v>
      </c>
      <c r="U150" t="s">
        <v>1048</v>
      </c>
      <c r="V150" t="s">
        <v>1048</v>
      </c>
    </row>
    <row r="151" spans="1:22" x14ac:dyDescent="0.2">
      <c r="A151">
        <v>331686</v>
      </c>
      <c r="B151" t="s">
        <v>294</v>
      </c>
      <c r="C151">
        <v>20</v>
      </c>
      <c r="D151" s="368">
        <v>44196</v>
      </c>
      <c r="E151" t="s">
        <v>1047</v>
      </c>
      <c r="F151" s="368">
        <v>43830</v>
      </c>
      <c r="G151" t="s">
        <v>1048</v>
      </c>
      <c r="H151" t="s">
        <v>1048</v>
      </c>
      <c r="I151" t="s">
        <v>1048</v>
      </c>
      <c r="J151" t="s">
        <v>1048</v>
      </c>
      <c r="K151" t="s">
        <v>1048</v>
      </c>
      <c r="L151" t="s">
        <v>1048</v>
      </c>
      <c r="M151" t="s">
        <v>1048</v>
      </c>
      <c r="N151" t="s">
        <v>1048</v>
      </c>
      <c r="O151" t="s">
        <v>1048</v>
      </c>
      <c r="P151" t="s">
        <v>1048</v>
      </c>
      <c r="Q151" t="s">
        <v>1048</v>
      </c>
      <c r="R151" t="s">
        <v>1048</v>
      </c>
      <c r="S151" t="s">
        <v>1048</v>
      </c>
      <c r="T151" t="s">
        <v>1047</v>
      </c>
      <c r="U151" t="s">
        <v>1047</v>
      </c>
      <c r="V151" t="s">
        <v>1048</v>
      </c>
    </row>
    <row r="152" spans="1:22" x14ac:dyDescent="0.2">
      <c r="A152">
        <v>331983</v>
      </c>
      <c r="B152" t="s">
        <v>295</v>
      </c>
      <c r="C152">
        <v>22</v>
      </c>
      <c r="D152" s="368">
        <v>44286</v>
      </c>
      <c r="E152" t="s">
        <v>1047</v>
      </c>
      <c r="F152" s="368">
        <v>43830</v>
      </c>
      <c r="G152" t="s">
        <v>1048</v>
      </c>
      <c r="H152" t="s">
        <v>1048</v>
      </c>
      <c r="I152" t="s">
        <v>1048</v>
      </c>
      <c r="J152" t="s">
        <v>1048</v>
      </c>
      <c r="K152" t="s">
        <v>1048</v>
      </c>
      <c r="L152" t="s">
        <v>1048</v>
      </c>
      <c r="M152" t="s">
        <v>1047</v>
      </c>
      <c r="N152" t="s">
        <v>1047</v>
      </c>
      <c r="O152" t="s">
        <v>1048</v>
      </c>
      <c r="P152" t="s">
        <v>1047</v>
      </c>
      <c r="Q152" t="s">
        <v>1047</v>
      </c>
      <c r="R152" t="s">
        <v>1047</v>
      </c>
      <c r="S152" t="s">
        <v>1048</v>
      </c>
      <c r="T152" t="s">
        <v>1047</v>
      </c>
      <c r="U152" t="s">
        <v>1047</v>
      </c>
      <c r="V152" t="s">
        <v>1047</v>
      </c>
    </row>
    <row r="153" spans="1:22" x14ac:dyDescent="0.2">
      <c r="A153">
        <v>332156</v>
      </c>
      <c r="B153" t="s">
        <v>296</v>
      </c>
      <c r="C153">
        <v>19</v>
      </c>
      <c r="D153" s="368">
        <v>44316</v>
      </c>
      <c r="E153" t="s">
        <v>1047</v>
      </c>
      <c r="F153" s="368">
        <v>43830</v>
      </c>
      <c r="G153" t="s">
        <v>1048</v>
      </c>
      <c r="H153" t="s">
        <v>1048</v>
      </c>
      <c r="I153" t="s">
        <v>1048</v>
      </c>
      <c r="J153" t="s">
        <v>1048</v>
      </c>
      <c r="K153" t="s">
        <v>1048</v>
      </c>
      <c r="L153" t="s">
        <v>1048</v>
      </c>
      <c r="M153" t="s">
        <v>1048</v>
      </c>
      <c r="N153" t="s">
        <v>1048</v>
      </c>
      <c r="O153" t="s">
        <v>1048</v>
      </c>
      <c r="P153" t="s">
        <v>1048</v>
      </c>
      <c r="Q153" t="s">
        <v>1048</v>
      </c>
      <c r="R153" t="s">
        <v>1048</v>
      </c>
      <c r="S153" t="s">
        <v>1048</v>
      </c>
      <c r="T153" t="s">
        <v>1048</v>
      </c>
      <c r="U153" t="s">
        <v>1047</v>
      </c>
      <c r="V153" t="s">
        <v>1047</v>
      </c>
    </row>
    <row r="154" spans="1:22" x14ac:dyDescent="0.2">
      <c r="A154">
        <v>334409</v>
      </c>
      <c r="B154" t="s">
        <v>975</v>
      </c>
      <c r="C154">
        <v>26</v>
      </c>
      <c r="D154" s="368">
        <v>44316</v>
      </c>
      <c r="E154" t="s">
        <v>1048</v>
      </c>
      <c r="F154" s="368">
        <v>44286</v>
      </c>
      <c r="G154" t="s">
        <v>1048</v>
      </c>
      <c r="H154" t="s">
        <v>1048</v>
      </c>
      <c r="I154" t="s">
        <v>1048</v>
      </c>
      <c r="J154" t="s">
        <v>1048</v>
      </c>
      <c r="K154" t="s">
        <v>1048</v>
      </c>
      <c r="L154" t="s">
        <v>1047</v>
      </c>
      <c r="M154" t="s">
        <v>1048</v>
      </c>
      <c r="N154" t="s">
        <v>1047</v>
      </c>
      <c r="O154" t="s">
        <v>1047</v>
      </c>
      <c r="P154" t="s">
        <v>1047</v>
      </c>
      <c r="Q154" t="s">
        <v>1047</v>
      </c>
      <c r="R154" t="s">
        <v>1047</v>
      </c>
      <c r="S154" t="s">
        <v>1047</v>
      </c>
      <c r="T154" t="s">
        <v>1047</v>
      </c>
      <c r="U154" t="s">
        <v>1047</v>
      </c>
      <c r="V154" t="s">
        <v>1048</v>
      </c>
    </row>
    <row r="155" spans="1:22" x14ac:dyDescent="0.2">
      <c r="A155">
        <v>336826</v>
      </c>
      <c r="B155" t="s">
        <v>298</v>
      </c>
      <c r="C155">
        <v>19</v>
      </c>
      <c r="D155" s="368">
        <v>44316</v>
      </c>
      <c r="E155" t="s">
        <v>1048</v>
      </c>
      <c r="F155" s="368">
        <v>44286</v>
      </c>
      <c r="G155" t="s">
        <v>1048</v>
      </c>
      <c r="H155" t="s">
        <v>1048</v>
      </c>
      <c r="I155" t="s">
        <v>1048</v>
      </c>
      <c r="J155" t="s">
        <v>1048</v>
      </c>
      <c r="K155" t="s">
        <v>1048</v>
      </c>
      <c r="L155" t="s">
        <v>1048</v>
      </c>
      <c r="M155" t="s">
        <v>1048</v>
      </c>
      <c r="N155" t="s">
        <v>1047</v>
      </c>
      <c r="O155" t="s">
        <v>1047</v>
      </c>
      <c r="P155" t="s">
        <v>1047</v>
      </c>
      <c r="Q155" t="s">
        <v>1047</v>
      </c>
      <c r="R155" t="s">
        <v>1047</v>
      </c>
      <c r="S155" t="s">
        <v>1047</v>
      </c>
      <c r="T155" t="s">
        <v>1048</v>
      </c>
      <c r="U155" t="s">
        <v>1047</v>
      </c>
      <c r="V155" t="s">
        <v>1048</v>
      </c>
    </row>
    <row r="156" spans="1:22" x14ac:dyDescent="0.2">
      <c r="A156">
        <v>338590</v>
      </c>
      <c r="B156" t="s">
        <v>1079</v>
      </c>
      <c r="C156">
        <v>33</v>
      </c>
      <c r="D156" s="368">
        <v>44316</v>
      </c>
      <c r="E156" t="s">
        <v>1047</v>
      </c>
      <c r="F156" s="368">
        <v>44286</v>
      </c>
      <c r="G156" t="s">
        <v>1048</v>
      </c>
      <c r="H156" t="s">
        <v>1048</v>
      </c>
      <c r="I156" t="s">
        <v>1048</v>
      </c>
      <c r="J156" t="s">
        <v>1048</v>
      </c>
      <c r="K156" t="s">
        <v>1048</v>
      </c>
      <c r="L156" t="s">
        <v>1048</v>
      </c>
      <c r="M156" t="s">
        <v>1048</v>
      </c>
      <c r="N156" t="s">
        <v>1047</v>
      </c>
      <c r="O156" t="s">
        <v>1047</v>
      </c>
      <c r="P156" t="s">
        <v>1047</v>
      </c>
      <c r="Q156" t="s">
        <v>1047</v>
      </c>
      <c r="R156" t="s">
        <v>1047</v>
      </c>
      <c r="S156" t="s">
        <v>1047</v>
      </c>
      <c r="T156" t="s">
        <v>1048</v>
      </c>
      <c r="U156" t="s">
        <v>1047</v>
      </c>
      <c r="V156" t="s">
        <v>1048</v>
      </c>
    </row>
    <row r="157" spans="1:22" x14ac:dyDescent="0.2">
      <c r="A157">
        <v>339184</v>
      </c>
      <c r="B157" t="s">
        <v>508</v>
      </c>
      <c r="C157">
        <v>19</v>
      </c>
      <c r="D157" s="368">
        <v>44316</v>
      </c>
      <c r="E157" t="s">
        <v>1047</v>
      </c>
      <c r="F157" s="368">
        <v>43830</v>
      </c>
      <c r="G157" t="s">
        <v>1048</v>
      </c>
      <c r="H157" t="s">
        <v>1048</v>
      </c>
      <c r="I157" t="s">
        <v>1048</v>
      </c>
      <c r="J157" t="s">
        <v>1048</v>
      </c>
      <c r="K157" t="s">
        <v>1048</v>
      </c>
      <c r="L157" t="s">
        <v>1048</v>
      </c>
      <c r="M157" t="s">
        <v>1048</v>
      </c>
      <c r="N157" t="s">
        <v>1048</v>
      </c>
      <c r="O157" t="s">
        <v>1048</v>
      </c>
      <c r="P157" t="s">
        <v>1048</v>
      </c>
      <c r="Q157" t="s">
        <v>1048</v>
      </c>
      <c r="R157" t="s">
        <v>1048</v>
      </c>
      <c r="S157" t="s">
        <v>1048</v>
      </c>
      <c r="T157" t="s">
        <v>1048</v>
      </c>
      <c r="U157" t="s">
        <v>1047</v>
      </c>
      <c r="V157" t="s">
        <v>1048</v>
      </c>
    </row>
    <row r="158" spans="1:22" x14ac:dyDescent="0.2">
      <c r="A158">
        <v>339473</v>
      </c>
      <c r="B158" t="s">
        <v>528</v>
      </c>
      <c r="C158">
        <v>23</v>
      </c>
      <c r="D158" s="368">
        <v>44316</v>
      </c>
      <c r="E158" t="s">
        <v>1047</v>
      </c>
      <c r="F158" s="368">
        <v>43830</v>
      </c>
      <c r="G158" t="s">
        <v>1048</v>
      </c>
      <c r="H158" t="s">
        <v>1048</v>
      </c>
      <c r="I158" t="s">
        <v>1048</v>
      </c>
      <c r="J158" t="s">
        <v>1048</v>
      </c>
      <c r="K158" t="s">
        <v>1048</v>
      </c>
      <c r="L158" t="s">
        <v>1048</v>
      </c>
      <c r="M158" t="s">
        <v>1048</v>
      </c>
      <c r="N158" t="s">
        <v>1047</v>
      </c>
      <c r="O158" t="s">
        <v>1048</v>
      </c>
      <c r="P158" t="s">
        <v>1048</v>
      </c>
      <c r="Q158" t="s">
        <v>1047</v>
      </c>
      <c r="R158" t="s">
        <v>1047</v>
      </c>
      <c r="S158" t="s">
        <v>1047</v>
      </c>
      <c r="T158" t="s">
        <v>1047</v>
      </c>
      <c r="U158" t="s">
        <v>1047</v>
      </c>
      <c r="V158" t="s">
        <v>1047</v>
      </c>
    </row>
    <row r="159" spans="1:22" x14ac:dyDescent="0.2">
      <c r="A159">
        <v>341362</v>
      </c>
      <c r="B159" t="s">
        <v>1189</v>
      </c>
      <c r="C159">
        <v>26</v>
      </c>
      <c r="D159" s="368">
        <v>44316</v>
      </c>
      <c r="E159" t="s">
        <v>1047</v>
      </c>
      <c r="F159" s="368">
        <v>43830</v>
      </c>
      <c r="G159" t="s">
        <v>1048</v>
      </c>
      <c r="H159" t="s">
        <v>1048</v>
      </c>
      <c r="I159" t="s">
        <v>1048</v>
      </c>
      <c r="J159" t="s">
        <v>1048</v>
      </c>
      <c r="K159" t="s">
        <v>1048</v>
      </c>
      <c r="L159" t="s">
        <v>1048</v>
      </c>
      <c r="M159" t="s">
        <v>1047</v>
      </c>
      <c r="N159" t="s">
        <v>1047</v>
      </c>
      <c r="O159" t="s">
        <v>1047</v>
      </c>
      <c r="P159" t="s">
        <v>1047</v>
      </c>
      <c r="Q159" t="s">
        <v>1047</v>
      </c>
      <c r="R159" t="s">
        <v>1047</v>
      </c>
      <c r="S159" t="s">
        <v>1047</v>
      </c>
      <c r="T159" t="s">
        <v>1047</v>
      </c>
      <c r="U159" t="s">
        <v>1047</v>
      </c>
      <c r="V159" t="s">
        <v>1048</v>
      </c>
    </row>
    <row r="160" spans="1:22" x14ac:dyDescent="0.2">
      <c r="A160">
        <v>344739</v>
      </c>
      <c r="B160" t="s">
        <v>529</v>
      </c>
      <c r="C160">
        <v>21</v>
      </c>
      <c r="D160" s="368">
        <v>44316</v>
      </c>
      <c r="E160" t="s">
        <v>1048</v>
      </c>
      <c r="F160" s="368">
        <v>44286</v>
      </c>
      <c r="G160" t="s">
        <v>1047</v>
      </c>
      <c r="H160" t="s">
        <v>1048</v>
      </c>
      <c r="I160" t="s">
        <v>1048</v>
      </c>
      <c r="J160" t="s">
        <v>1048</v>
      </c>
      <c r="K160" t="s">
        <v>1048</v>
      </c>
      <c r="L160" t="s">
        <v>1048</v>
      </c>
      <c r="M160" t="s">
        <v>1048</v>
      </c>
      <c r="N160" t="s">
        <v>1048</v>
      </c>
      <c r="O160" t="s">
        <v>1048</v>
      </c>
      <c r="P160" t="s">
        <v>1048</v>
      </c>
      <c r="Q160" t="s">
        <v>1048</v>
      </c>
      <c r="R160" t="s">
        <v>1048</v>
      </c>
      <c r="S160" t="s">
        <v>1048</v>
      </c>
      <c r="T160" t="s">
        <v>1047</v>
      </c>
      <c r="U160" t="s">
        <v>1047</v>
      </c>
      <c r="V160" t="s">
        <v>1047</v>
      </c>
    </row>
    <row r="161" spans="1:22" x14ac:dyDescent="0.2">
      <c r="A161">
        <v>349150</v>
      </c>
      <c r="B161" t="s">
        <v>1080</v>
      </c>
      <c r="C161">
        <v>25</v>
      </c>
      <c r="D161" s="368">
        <v>44316</v>
      </c>
      <c r="E161" t="s">
        <v>1048</v>
      </c>
      <c r="F161" s="368">
        <v>44286</v>
      </c>
      <c r="G161" t="s">
        <v>1048</v>
      </c>
      <c r="H161" t="s">
        <v>1048</v>
      </c>
      <c r="I161" t="s">
        <v>1048</v>
      </c>
      <c r="J161" t="s">
        <v>1048</v>
      </c>
      <c r="K161" t="s">
        <v>1048</v>
      </c>
      <c r="L161" t="s">
        <v>1048</v>
      </c>
      <c r="M161" t="s">
        <v>1047</v>
      </c>
      <c r="N161" t="s">
        <v>1047</v>
      </c>
      <c r="O161" t="s">
        <v>1047</v>
      </c>
      <c r="P161" t="s">
        <v>1047</v>
      </c>
      <c r="Q161" t="s">
        <v>1047</v>
      </c>
      <c r="R161" t="s">
        <v>1047</v>
      </c>
      <c r="S161" t="s">
        <v>1047</v>
      </c>
      <c r="T161" t="s">
        <v>1047</v>
      </c>
      <c r="U161" t="s">
        <v>1047</v>
      </c>
      <c r="V161" t="s">
        <v>1048</v>
      </c>
    </row>
    <row r="162" spans="1:22" x14ac:dyDescent="0.2">
      <c r="A162">
        <v>350512</v>
      </c>
      <c r="B162" t="s">
        <v>509</v>
      </c>
      <c r="C162">
        <v>21</v>
      </c>
      <c r="D162" s="368">
        <v>44316</v>
      </c>
      <c r="E162" t="s">
        <v>1048</v>
      </c>
      <c r="F162" s="368">
        <v>44286</v>
      </c>
      <c r="G162" t="s">
        <v>1048</v>
      </c>
      <c r="H162" t="s">
        <v>1048</v>
      </c>
      <c r="I162" t="s">
        <v>1048</v>
      </c>
      <c r="J162" t="s">
        <v>1048</v>
      </c>
      <c r="K162" t="s">
        <v>1048</v>
      </c>
      <c r="L162" t="s">
        <v>1048</v>
      </c>
      <c r="M162" t="s">
        <v>1048</v>
      </c>
      <c r="N162" t="s">
        <v>1048</v>
      </c>
      <c r="O162" t="s">
        <v>1048</v>
      </c>
      <c r="P162" t="s">
        <v>1048</v>
      </c>
      <c r="Q162" t="s">
        <v>1048</v>
      </c>
      <c r="R162" t="s">
        <v>1048</v>
      </c>
      <c r="S162" t="s">
        <v>1048</v>
      </c>
      <c r="T162" t="s">
        <v>1047</v>
      </c>
      <c r="U162" t="s">
        <v>1047</v>
      </c>
      <c r="V162" t="s">
        <v>1048</v>
      </c>
    </row>
    <row r="163" spans="1:22" x14ac:dyDescent="0.2">
      <c r="A163">
        <v>352872</v>
      </c>
      <c r="B163" t="s">
        <v>299</v>
      </c>
      <c r="C163">
        <v>22</v>
      </c>
      <c r="D163" s="368">
        <v>44316</v>
      </c>
      <c r="E163" t="s">
        <v>1048</v>
      </c>
      <c r="F163" s="368">
        <v>44286</v>
      </c>
      <c r="G163" t="s">
        <v>1048</v>
      </c>
      <c r="H163" t="s">
        <v>1048</v>
      </c>
      <c r="I163" t="s">
        <v>1048</v>
      </c>
      <c r="J163" t="s">
        <v>1048</v>
      </c>
      <c r="K163" t="s">
        <v>1048</v>
      </c>
      <c r="L163" t="s">
        <v>1048</v>
      </c>
      <c r="M163" t="s">
        <v>1047</v>
      </c>
      <c r="N163" t="s">
        <v>1047</v>
      </c>
      <c r="O163" t="s">
        <v>1048</v>
      </c>
      <c r="P163" t="s">
        <v>1047</v>
      </c>
      <c r="Q163" t="s">
        <v>1047</v>
      </c>
      <c r="R163" t="s">
        <v>1047</v>
      </c>
      <c r="S163" t="s">
        <v>1048</v>
      </c>
      <c r="T163" t="s">
        <v>1048</v>
      </c>
      <c r="U163" t="s">
        <v>1047</v>
      </c>
      <c r="V163" t="s">
        <v>1048</v>
      </c>
    </row>
    <row r="164" spans="1:22" x14ac:dyDescent="0.2">
      <c r="A164">
        <v>354290</v>
      </c>
      <c r="B164" t="s">
        <v>300</v>
      </c>
      <c r="C164">
        <v>23</v>
      </c>
      <c r="D164" s="368">
        <v>44316</v>
      </c>
      <c r="E164" t="s">
        <v>1047</v>
      </c>
      <c r="F164" s="368">
        <v>44286</v>
      </c>
      <c r="G164" t="s">
        <v>1048</v>
      </c>
      <c r="H164" t="s">
        <v>1048</v>
      </c>
      <c r="I164" t="s">
        <v>1048</v>
      </c>
      <c r="J164" t="s">
        <v>1048</v>
      </c>
      <c r="K164" t="s">
        <v>1048</v>
      </c>
      <c r="L164" t="s">
        <v>1048</v>
      </c>
      <c r="M164" t="s">
        <v>1047</v>
      </c>
      <c r="N164" t="s">
        <v>1047</v>
      </c>
      <c r="O164" t="s">
        <v>1048</v>
      </c>
      <c r="P164" t="s">
        <v>1047</v>
      </c>
      <c r="Q164" t="s">
        <v>1047</v>
      </c>
      <c r="R164" t="s">
        <v>1047</v>
      </c>
      <c r="S164" t="s">
        <v>1048</v>
      </c>
      <c r="T164" t="s">
        <v>1047</v>
      </c>
      <c r="U164" t="s">
        <v>1047</v>
      </c>
      <c r="V164" t="s">
        <v>1047</v>
      </c>
    </row>
    <row r="165" spans="1:22" x14ac:dyDescent="0.2">
      <c r="A165">
        <v>356063</v>
      </c>
      <c r="B165" t="s">
        <v>301</v>
      </c>
      <c r="C165">
        <v>25</v>
      </c>
      <c r="D165" s="368">
        <v>44316</v>
      </c>
      <c r="E165" t="s">
        <v>1047</v>
      </c>
      <c r="F165" s="368">
        <v>43830</v>
      </c>
      <c r="G165" t="s">
        <v>1048</v>
      </c>
      <c r="H165" t="s">
        <v>1048</v>
      </c>
      <c r="I165" t="s">
        <v>1048</v>
      </c>
      <c r="J165" t="s">
        <v>1048</v>
      </c>
      <c r="K165" t="s">
        <v>1048</v>
      </c>
      <c r="L165" t="s">
        <v>1048</v>
      </c>
      <c r="M165" t="s">
        <v>1048</v>
      </c>
      <c r="N165" t="s">
        <v>1047</v>
      </c>
      <c r="O165" t="s">
        <v>1048</v>
      </c>
      <c r="P165" t="s">
        <v>1047</v>
      </c>
      <c r="Q165" t="s">
        <v>1048</v>
      </c>
      <c r="R165" t="s">
        <v>1048</v>
      </c>
      <c r="S165" t="s">
        <v>1047</v>
      </c>
      <c r="T165" t="s">
        <v>1048</v>
      </c>
      <c r="U165" t="s">
        <v>1048</v>
      </c>
      <c r="V165" t="s">
        <v>1047</v>
      </c>
    </row>
    <row r="166" spans="1:22" x14ac:dyDescent="0.2">
      <c r="A166">
        <v>357483</v>
      </c>
      <c r="B166" t="s">
        <v>302</v>
      </c>
      <c r="C166">
        <v>19</v>
      </c>
      <c r="D166" s="368">
        <v>44316</v>
      </c>
      <c r="E166" t="s">
        <v>1047</v>
      </c>
      <c r="F166" s="368">
        <v>43830</v>
      </c>
      <c r="G166" t="s">
        <v>1048</v>
      </c>
      <c r="H166" t="s">
        <v>1048</v>
      </c>
      <c r="I166" t="s">
        <v>1048</v>
      </c>
      <c r="J166" t="s">
        <v>1048</v>
      </c>
      <c r="K166" t="s">
        <v>1048</v>
      </c>
      <c r="L166" t="s">
        <v>1048</v>
      </c>
      <c r="M166" t="s">
        <v>1048</v>
      </c>
      <c r="N166" t="s">
        <v>1048</v>
      </c>
      <c r="O166" t="s">
        <v>1048</v>
      </c>
      <c r="P166" t="s">
        <v>1048</v>
      </c>
      <c r="Q166" t="s">
        <v>1048</v>
      </c>
      <c r="R166" t="s">
        <v>1047</v>
      </c>
      <c r="S166" t="s">
        <v>1048</v>
      </c>
      <c r="T166" t="s">
        <v>1047</v>
      </c>
      <c r="U166" t="s">
        <v>1047</v>
      </c>
      <c r="V166" t="s">
        <v>1047</v>
      </c>
    </row>
    <row r="167" spans="1:22" x14ac:dyDescent="0.2">
      <c r="A167">
        <v>357658</v>
      </c>
      <c r="B167" t="s">
        <v>996</v>
      </c>
      <c r="C167">
        <v>21</v>
      </c>
      <c r="D167" s="368">
        <v>44316</v>
      </c>
      <c r="E167" t="s">
        <v>1048</v>
      </c>
      <c r="F167" s="368">
        <v>44286</v>
      </c>
      <c r="G167" t="s">
        <v>1048</v>
      </c>
      <c r="H167" t="s">
        <v>1048</v>
      </c>
      <c r="I167" t="s">
        <v>1048</v>
      </c>
      <c r="J167" t="s">
        <v>1048</v>
      </c>
      <c r="K167" t="s">
        <v>1048</v>
      </c>
      <c r="L167" t="s">
        <v>1048</v>
      </c>
      <c r="M167" t="s">
        <v>1048</v>
      </c>
      <c r="N167" t="s">
        <v>1048</v>
      </c>
      <c r="O167" t="s">
        <v>1048</v>
      </c>
      <c r="P167" t="s">
        <v>1048</v>
      </c>
      <c r="Q167" t="s">
        <v>1048</v>
      </c>
      <c r="R167" t="s">
        <v>1048</v>
      </c>
      <c r="S167" t="s">
        <v>1048</v>
      </c>
      <c r="T167" t="s">
        <v>1047</v>
      </c>
      <c r="U167" t="s">
        <v>1047</v>
      </c>
      <c r="V167" t="s">
        <v>1048</v>
      </c>
    </row>
    <row r="168" spans="1:22" x14ac:dyDescent="0.2">
      <c r="A168">
        <v>359315</v>
      </c>
      <c r="B168" t="s">
        <v>102</v>
      </c>
      <c r="C168">
        <v>21</v>
      </c>
      <c r="D168" s="368">
        <v>44316</v>
      </c>
      <c r="E168" t="s">
        <v>1048</v>
      </c>
      <c r="F168" s="368">
        <v>44286</v>
      </c>
      <c r="G168" t="s">
        <v>1048</v>
      </c>
      <c r="H168" t="s">
        <v>1048</v>
      </c>
      <c r="I168" t="s">
        <v>1048</v>
      </c>
      <c r="J168" t="s">
        <v>1048</v>
      </c>
      <c r="K168" t="s">
        <v>1048</v>
      </c>
      <c r="L168" t="s">
        <v>1048</v>
      </c>
      <c r="M168" t="s">
        <v>1048</v>
      </c>
      <c r="N168" t="s">
        <v>1048</v>
      </c>
      <c r="O168" t="s">
        <v>1048</v>
      </c>
      <c r="P168" t="s">
        <v>1048</v>
      </c>
      <c r="Q168" t="s">
        <v>1048</v>
      </c>
      <c r="R168" t="s">
        <v>1048</v>
      </c>
      <c r="S168" t="s">
        <v>1047</v>
      </c>
      <c r="T168" t="s">
        <v>1047</v>
      </c>
      <c r="U168" t="s">
        <v>1047</v>
      </c>
      <c r="V168" t="s">
        <v>1048</v>
      </c>
    </row>
    <row r="169" spans="1:22" x14ac:dyDescent="0.2">
      <c r="A169">
        <v>360495</v>
      </c>
      <c r="B169" t="s">
        <v>510</v>
      </c>
      <c r="C169">
        <v>24</v>
      </c>
      <c r="D169" s="368">
        <v>44316</v>
      </c>
      <c r="E169" t="s">
        <v>1048</v>
      </c>
      <c r="F169" s="368">
        <v>44286</v>
      </c>
      <c r="G169" t="s">
        <v>1048</v>
      </c>
      <c r="H169" t="s">
        <v>1048</v>
      </c>
      <c r="I169" t="s">
        <v>1048</v>
      </c>
      <c r="J169" t="s">
        <v>1048</v>
      </c>
      <c r="K169" t="s">
        <v>1048</v>
      </c>
      <c r="L169" t="s">
        <v>1048</v>
      </c>
      <c r="M169" t="s">
        <v>1047</v>
      </c>
      <c r="N169" t="s">
        <v>1047</v>
      </c>
      <c r="O169" t="s">
        <v>1048</v>
      </c>
      <c r="P169" t="s">
        <v>1047</v>
      </c>
      <c r="Q169" t="s">
        <v>1047</v>
      </c>
      <c r="R169" t="s">
        <v>1047</v>
      </c>
      <c r="S169" t="s">
        <v>1047</v>
      </c>
      <c r="T169" t="s">
        <v>1047</v>
      </c>
      <c r="U169" t="s">
        <v>1047</v>
      </c>
      <c r="V169" t="s">
        <v>1047</v>
      </c>
    </row>
    <row r="170" spans="1:22" x14ac:dyDescent="0.2">
      <c r="A170">
        <v>362327</v>
      </c>
      <c r="B170" t="s">
        <v>1218</v>
      </c>
      <c r="C170">
        <v>25</v>
      </c>
      <c r="D170" s="368">
        <v>44316</v>
      </c>
      <c r="E170" t="s">
        <v>1047</v>
      </c>
      <c r="F170" s="368">
        <v>43830</v>
      </c>
      <c r="G170" t="s">
        <v>1048</v>
      </c>
      <c r="H170" t="s">
        <v>1048</v>
      </c>
      <c r="I170" t="s">
        <v>1048</v>
      </c>
      <c r="J170" t="s">
        <v>1048</v>
      </c>
      <c r="K170" t="s">
        <v>1048</v>
      </c>
      <c r="L170" t="s">
        <v>1048</v>
      </c>
      <c r="M170" t="s">
        <v>1047</v>
      </c>
      <c r="N170" t="s">
        <v>1047</v>
      </c>
      <c r="O170" t="s">
        <v>1048</v>
      </c>
      <c r="P170" t="s">
        <v>1047</v>
      </c>
      <c r="Q170" t="s">
        <v>1048</v>
      </c>
      <c r="R170" t="s">
        <v>1047</v>
      </c>
      <c r="S170" t="s">
        <v>1048</v>
      </c>
      <c r="T170" t="s">
        <v>1047</v>
      </c>
      <c r="U170" t="s">
        <v>1047</v>
      </c>
      <c r="V170" t="s">
        <v>1047</v>
      </c>
    </row>
    <row r="171" spans="1:22" x14ac:dyDescent="0.2">
      <c r="A171">
        <v>365981</v>
      </c>
      <c r="B171" t="s">
        <v>303</v>
      </c>
      <c r="C171">
        <v>24</v>
      </c>
      <c r="D171" s="368">
        <v>44316</v>
      </c>
      <c r="E171" t="s">
        <v>1048</v>
      </c>
      <c r="F171" s="368">
        <v>44286</v>
      </c>
      <c r="G171" t="s">
        <v>1048</v>
      </c>
      <c r="H171" t="s">
        <v>1048</v>
      </c>
      <c r="I171" t="s">
        <v>1048</v>
      </c>
      <c r="J171" t="s">
        <v>1048</v>
      </c>
      <c r="K171" t="s">
        <v>1048</v>
      </c>
      <c r="L171" t="s">
        <v>1048</v>
      </c>
      <c r="M171" t="s">
        <v>1047</v>
      </c>
      <c r="N171" t="s">
        <v>1047</v>
      </c>
      <c r="O171" t="s">
        <v>1048</v>
      </c>
      <c r="P171" t="s">
        <v>1047</v>
      </c>
      <c r="Q171" t="s">
        <v>1047</v>
      </c>
      <c r="R171" t="s">
        <v>1047</v>
      </c>
      <c r="S171" t="s">
        <v>1048</v>
      </c>
      <c r="T171" t="s">
        <v>1048</v>
      </c>
      <c r="U171" t="s">
        <v>1047</v>
      </c>
      <c r="V171" t="s">
        <v>1048</v>
      </c>
    </row>
    <row r="172" spans="1:22" x14ac:dyDescent="0.2">
      <c r="A172">
        <v>366154</v>
      </c>
      <c r="B172" t="s">
        <v>1180</v>
      </c>
      <c r="C172">
        <v>20</v>
      </c>
      <c r="D172" s="368">
        <v>44316</v>
      </c>
      <c r="E172"/>
      <c r="F172"/>
      <c r="G172" t="s">
        <v>1047</v>
      </c>
      <c r="H172" t="s">
        <v>1047</v>
      </c>
      <c r="I172" t="s">
        <v>1047</v>
      </c>
      <c r="J172" t="s">
        <v>1048</v>
      </c>
      <c r="K172" t="s">
        <v>1048</v>
      </c>
      <c r="L172" t="s">
        <v>1048</v>
      </c>
      <c r="M172" t="s">
        <v>1048</v>
      </c>
      <c r="N172" t="s">
        <v>1047</v>
      </c>
      <c r="O172" t="s">
        <v>1048</v>
      </c>
      <c r="P172" t="s">
        <v>1048</v>
      </c>
      <c r="Q172" t="s">
        <v>1048</v>
      </c>
      <c r="R172" t="s">
        <v>1048</v>
      </c>
      <c r="S172" t="s">
        <v>1048</v>
      </c>
      <c r="T172" t="s">
        <v>1048</v>
      </c>
      <c r="U172" t="s">
        <v>1048</v>
      </c>
      <c r="V172" t="s">
        <v>1048</v>
      </c>
    </row>
    <row r="173" spans="1:22" x14ac:dyDescent="0.2">
      <c r="A173">
        <v>367698</v>
      </c>
      <c r="B173" t="s">
        <v>1009</v>
      </c>
      <c r="C173">
        <v>19</v>
      </c>
      <c r="D173" s="368">
        <v>44316</v>
      </c>
      <c r="E173" t="s">
        <v>1048</v>
      </c>
      <c r="F173" s="368">
        <v>44286</v>
      </c>
      <c r="G173" t="s">
        <v>1048</v>
      </c>
      <c r="H173" t="s">
        <v>1048</v>
      </c>
      <c r="I173" t="s">
        <v>1048</v>
      </c>
      <c r="J173" t="s">
        <v>1048</v>
      </c>
      <c r="K173" t="s">
        <v>1048</v>
      </c>
      <c r="L173" t="s">
        <v>1047</v>
      </c>
      <c r="M173" t="s">
        <v>1047</v>
      </c>
      <c r="N173" t="s">
        <v>1047</v>
      </c>
      <c r="O173" t="s">
        <v>1047</v>
      </c>
      <c r="P173" t="s">
        <v>1047</v>
      </c>
      <c r="Q173" t="s">
        <v>1047</v>
      </c>
      <c r="R173" t="s">
        <v>1047</v>
      </c>
      <c r="S173" t="s">
        <v>1047</v>
      </c>
      <c r="T173" t="s">
        <v>1047</v>
      </c>
      <c r="U173" t="s">
        <v>1047</v>
      </c>
      <c r="V173" t="s">
        <v>1048</v>
      </c>
    </row>
    <row r="174" spans="1:22" x14ac:dyDescent="0.2">
      <c r="A174">
        <v>367987</v>
      </c>
      <c r="B174" t="s">
        <v>304</v>
      </c>
      <c r="C174">
        <v>29</v>
      </c>
      <c r="D174" s="368">
        <v>44316</v>
      </c>
      <c r="E174" t="s">
        <v>1047</v>
      </c>
      <c r="F174" s="368">
        <v>43830</v>
      </c>
      <c r="G174" t="s">
        <v>1048</v>
      </c>
      <c r="H174" t="s">
        <v>1048</v>
      </c>
      <c r="I174" t="s">
        <v>1048</v>
      </c>
      <c r="J174" t="s">
        <v>1048</v>
      </c>
      <c r="K174" t="s">
        <v>1048</v>
      </c>
      <c r="L174" t="s">
        <v>1048</v>
      </c>
      <c r="M174" t="s">
        <v>1047</v>
      </c>
      <c r="N174" t="s">
        <v>1047</v>
      </c>
      <c r="O174" t="s">
        <v>1048</v>
      </c>
      <c r="P174" t="s">
        <v>1047</v>
      </c>
      <c r="Q174" t="s">
        <v>1048</v>
      </c>
      <c r="R174" t="s">
        <v>1048</v>
      </c>
      <c r="S174" t="s">
        <v>1047</v>
      </c>
      <c r="T174" t="s">
        <v>1048</v>
      </c>
      <c r="U174" t="s">
        <v>1047</v>
      </c>
      <c r="V174" t="s">
        <v>1047</v>
      </c>
    </row>
    <row r="175" spans="1:22" x14ac:dyDescent="0.2">
      <c r="A175">
        <v>368407</v>
      </c>
      <c r="B175" t="s">
        <v>305</v>
      </c>
      <c r="C175">
        <v>31</v>
      </c>
      <c r="D175" s="368">
        <v>44316</v>
      </c>
      <c r="E175" t="s">
        <v>1047</v>
      </c>
      <c r="F175" s="368">
        <v>43830</v>
      </c>
      <c r="G175" t="s">
        <v>1048</v>
      </c>
      <c r="H175" t="s">
        <v>1048</v>
      </c>
      <c r="I175" t="s">
        <v>1048</v>
      </c>
      <c r="J175" t="s">
        <v>1048</v>
      </c>
      <c r="K175" t="s">
        <v>1048</v>
      </c>
      <c r="L175" t="s">
        <v>1048</v>
      </c>
      <c r="M175" t="s">
        <v>1048</v>
      </c>
      <c r="N175" t="s">
        <v>1047</v>
      </c>
      <c r="O175" t="s">
        <v>1047</v>
      </c>
      <c r="P175" t="s">
        <v>1047</v>
      </c>
      <c r="Q175" t="s">
        <v>1047</v>
      </c>
      <c r="R175" t="s">
        <v>1047</v>
      </c>
      <c r="S175" t="s">
        <v>1047</v>
      </c>
      <c r="T175" t="s">
        <v>1047</v>
      </c>
      <c r="U175" t="s">
        <v>1047</v>
      </c>
      <c r="V175" t="s">
        <v>1048</v>
      </c>
    </row>
    <row r="176" spans="1:22" x14ac:dyDescent="0.2">
      <c r="A176">
        <v>374421</v>
      </c>
      <c r="B176" t="s">
        <v>1081</v>
      </c>
      <c r="C176">
        <v>26</v>
      </c>
      <c r="D176" s="368">
        <v>44316</v>
      </c>
      <c r="E176" t="s">
        <v>1048</v>
      </c>
      <c r="F176" s="368">
        <v>44286</v>
      </c>
      <c r="G176" t="s">
        <v>1048</v>
      </c>
      <c r="H176" t="s">
        <v>1048</v>
      </c>
      <c r="I176" t="s">
        <v>1048</v>
      </c>
      <c r="J176" t="s">
        <v>1048</v>
      </c>
      <c r="K176" t="s">
        <v>1048</v>
      </c>
      <c r="L176" t="s">
        <v>1048</v>
      </c>
      <c r="M176" t="s">
        <v>1048</v>
      </c>
      <c r="N176" t="s">
        <v>1047</v>
      </c>
      <c r="O176" t="s">
        <v>1047</v>
      </c>
      <c r="P176" t="s">
        <v>1047</v>
      </c>
      <c r="Q176" t="s">
        <v>1047</v>
      </c>
      <c r="R176" t="s">
        <v>1047</v>
      </c>
      <c r="S176" t="s">
        <v>1047</v>
      </c>
      <c r="T176" t="s">
        <v>1048</v>
      </c>
      <c r="U176" t="s">
        <v>1047</v>
      </c>
      <c r="V176" t="s">
        <v>1048</v>
      </c>
    </row>
    <row r="177" spans="1:22" x14ac:dyDescent="0.2">
      <c r="A177">
        <v>383159</v>
      </c>
      <c r="B177" t="s">
        <v>1219</v>
      </c>
      <c r="C177">
        <v>29</v>
      </c>
      <c r="D177" s="368">
        <v>44316</v>
      </c>
      <c r="E177"/>
      <c r="F177"/>
      <c r="G177" t="s">
        <v>1048</v>
      </c>
      <c r="H177" t="s">
        <v>1048</v>
      </c>
      <c r="I177" t="s">
        <v>1048</v>
      </c>
      <c r="J177" t="s">
        <v>1048</v>
      </c>
      <c r="K177" t="s">
        <v>1048</v>
      </c>
      <c r="L177" t="s">
        <v>1048</v>
      </c>
      <c r="M177" t="s">
        <v>1048</v>
      </c>
      <c r="N177" t="s">
        <v>1048</v>
      </c>
      <c r="O177" t="s">
        <v>1048</v>
      </c>
      <c r="P177" t="s">
        <v>1048</v>
      </c>
      <c r="Q177" t="s">
        <v>1048</v>
      </c>
      <c r="R177" t="s">
        <v>1048</v>
      </c>
      <c r="S177" t="s">
        <v>1048</v>
      </c>
      <c r="T177" t="s">
        <v>1048</v>
      </c>
      <c r="U177" t="s">
        <v>1047</v>
      </c>
      <c r="V177" t="s">
        <v>1047</v>
      </c>
    </row>
    <row r="178" spans="1:22" x14ac:dyDescent="0.2">
      <c r="A178">
        <v>384107</v>
      </c>
      <c r="B178" t="s">
        <v>308</v>
      </c>
      <c r="C178">
        <v>22</v>
      </c>
      <c r="D178" s="368">
        <v>44316</v>
      </c>
      <c r="E178" t="s">
        <v>1048</v>
      </c>
      <c r="F178" s="368">
        <v>44286</v>
      </c>
      <c r="G178" t="s">
        <v>1047</v>
      </c>
      <c r="H178" t="s">
        <v>1047</v>
      </c>
      <c r="I178" t="s">
        <v>1047</v>
      </c>
      <c r="J178" t="s">
        <v>1048</v>
      </c>
      <c r="K178" t="s">
        <v>1048</v>
      </c>
      <c r="L178" t="s">
        <v>1047</v>
      </c>
      <c r="M178" t="s">
        <v>1047</v>
      </c>
      <c r="N178" t="s">
        <v>1047</v>
      </c>
      <c r="O178" t="s">
        <v>1047</v>
      </c>
      <c r="P178" t="s">
        <v>1047</v>
      </c>
      <c r="Q178" t="s">
        <v>1047</v>
      </c>
      <c r="R178" t="s">
        <v>1047</v>
      </c>
      <c r="S178" t="s">
        <v>1047</v>
      </c>
      <c r="T178" t="s">
        <v>1047</v>
      </c>
      <c r="U178" t="s">
        <v>1047</v>
      </c>
      <c r="V178" t="s">
        <v>1047</v>
      </c>
    </row>
    <row r="179" spans="1:22" x14ac:dyDescent="0.2">
      <c r="A179">
        <v>384750</v>
      </c>
      <c r="B179" t="s">
        <v>530</v>
      </c>
      <c r="C179">
        <v>21</v>
      </c>
      <c r="D179" s="368">
        <v>44165</v>
      </c>
      <c r="E179" t="s">
        <v>1047</v>
      </c>
      <c r="F179" s="368">
        <v>43830</v>
      </c>
      <c r="G179" t="s">
        <v>1048</v>
      </c>
      <c r="H179" t="s">
        <v>1048</v>
      </c>
      <c r="I179" t="s">
        <v>1048</v>
      </c>
      <c r="J179" t="s">
        <v>1048</v>
      </c>
      <c r="K179" t="s">
        <v>1048</v>
      </c>
      <c r="L179" t="s">
        <v>1048</v>
      </c>
      <c r="M179" t="s">
        <v>1048</v>
      </c>
      <c r="N179" t="s">
        <v>1048</v>
      </c>
      <c r="O179" t="s">
        <v>1048</v>
      </c>
      <c r="P179" t="s">
        <v>1048</v>
      </c>
      <c r="Q179" t="s">
        <v>1048</v>
      </c>
      <c r="R179" t="s">
        <v>1048</v>
      </c>
      <c r="S179" t="s">
        <v>1047</v>
      </c>
      <c r="T179" t="s">
        <v>1047</v>
      </c>
      <c r="U179" t="s">
        <v>1047</v>
      </c>
      <c r="V179" t="s">
        <v>1048</v>
      </c>
    </row>
    <row r="180" spans="1:22" x14ac:dyDescent="0.2">
      <c r="A180">
        <v>385401</v>
      </c>
      <c r="B180" t="s">
        <v>310</v>
      </c>
      <c r="C180">
        <v>25</v>
      </c>
      <c r="D180" s="368">
        <v>44316</v>
      </c>
      <c r="E180" t="s">
        <v>1047</v>
      </c>
      <c r="F180" s="368">
        <v>44286</v>
      </c>
      <c r="G180" t="s">
        <v>1048</v>
      </c>
      <c r="H180" t="s">
        <v>1048</v>
      </c>
      <c r="I180" t="s">
        <v>1048</v>
      </c>
      <c r="J180" t="s">
        <v>1048</v>
      </c>
      <c r="K180" t="s">
        <v>1048</v>
      </c>
      <c r="L180" t="s">
        <v>1048</v>
      </c>
      <c r="M180" t="s">
        <v>1047</v>
      </c>
      <c r="N180" t="s">
        <v>1047</v>
      </c>
      <c r="O180" t="s">
        <v>1048</v>
      </c>
      <c r="P180" t="s">
        <v>1047</v>
      </c>
      <c r="Q180" t="s">
        <v>1047</v>
      </c>
      <c r="R180" t="s">
        <v>1047</v>
      </c>
      <c r="S180" t="s">
        <v>1047</v>
      </c>
      <c r="T180" t="s">
        <v>1047</v>
      </c>
      <c r="U180" t="s">
        <v>1047</v>
      </c>
      <c r="V180" t="s">
        <v>1047</v>
      </c>
    </row>
    <row r="181" spans="1:22" x14ac:dyDescent="0.2">
      <c r="A181">
        <v>386870</v>
      </c>
      <c r="B181" t="s">
        <v>311</v>
      </c>
      <c r="C181">
        <v>25</v>
      </c>
      <c r="D181" s="368">
        <v>44043</v>
      </c>
      <c r="E181" t="s">
        <v>1047</v>
      </c>
      <c r="F181" s="368">
        <v>43830</v>
      </c>
      <c r="G181" t="s">
        <v>1048</v>
      </c>
      <c r="H181" t="s">
        <v>1048</v>
      </c>
      <c r="I181" t="s">
        <v>1048</v>
      </c>
      <c r="J181" t="s">
        <v>1048</v>
      </c>
      <c r="K181" t="s">
        <v>1048</v>
      </c>
      <c r="L181" t="s">
        <v>1048</v>
      </c>
      <c r="M181" t="s">
        <v>1048</v>
      </c>
      <c r="N181" t="s">
        <v>1048</v>
      </c>
      <c r="O181" t="s">
        <v>1048</v>
      </c>
      <c r="P181" t="s">
        <v>1048</v>
      </c>
      <c r="Q181" t="s">
        <v>1048</v>
      </c>
      <c r="R181" t="s">
        <v>1048</v>
      </c>
      <c r="S181" t="s">
        <v>1048</v>
      </c>
      <c r="T181" t="s">
        <v>1048</v>
      </c>
      <c r="U181" t="s">
        <v>1048</v>
      </c>
      <c r="V181" t="s">
        <v>1048</v>
      </c>
    </row>
    <row r="182" spans="1:22" x14ac:dyDescent="0.2">
      <c r="A182">
        <v>388298</v>
      </c>
      <c r="B182" t="s">
        <v>313</v>
      </c>
      <c r="C182">
        <v>23</v>
      </c>
      <c r="D182" s="368">
        <v>44316</v>
      </c>
      <c r="E182" t="s">
        <v>1047</v>
      </c>
      <c r="F182" s="368">
        <v>44104</v>
      </c>
      <c r="G182" t="s">
        <v>1048</v>
      </c>
      <c r="H182" t="s">
        <v>1048</v>
      </c>
      <c r="I182" t="s">
        <v>1048</v>
      </c>
      <c r="J182" t="s">
        <v>1048</v>
      </c>
      <c r="K182" t="s">
        <v>1048</v>
      </c>
      <c r="L182" t="s">
        <v>1048</v>
      </c>
      <c r="M182" t="s">
        <v>1047</v>
      </c>
      <c r="N182" t="s">
        <v>1047</v>
      </c>
      <c r="O182" t="s">
        <v>1048</v>
      </c>
      <c r="P182" t="s">
        <v>1047</v>
      </c>
      <c r="Q182" t="s">
        <v>1047</v>
      </c>
      <c r="R182" t="s">
        <v>1047</v>
      </c>
      <c r="S182" t="s">
        <v>1047</v>
      </c>
      <c r="T182" t="s">
        <v>1047</v>
      </c>
      <c r="U182" t="s">
        <v>1047</v>
      </c>
      <c r="V182" t="s">
        <v>1048</v>
      </c>
    </row>
    <row r="183" spans="1:22" x14ac:dyDescent="0.2">
      <c r="A183">
        <v>389239</v>
      </c>
      <c r="B183" t="s">
        <v>1010</v>
      </c>
      <c r="C183">
        <v>30</v>
      </c>
      <c r="D183" s="368">
        <v>44316</v>
      </c>
      <c r="E183" t="s">
        <v>1047</v>
      </c>
      <c r="F183" s="368">
        <v>43830</v>
      </c>
      <c r="G183" t="s">
        <v>1047</v>
      </c>
      <c r="H183" t="s">
        <v>1047</v>
      </c>
      <c r="I183" t="s">
        <v>1047</v>
      </c>
      <c r="J183" t="s">
        <v>1048</v>
      </c>
      <c r="K183" t="s">
        <v>1048</v>
      </c>
      <c r="L183" t="s">
        <v>1047</v>
      </c>
      <c r="M183" t="s">
        <v>1047</v>
      </c>
      <c r="N183" t="s">
        <v>1047</v>
      </c>
      <c r="O183" t="s">
        <v>1047</v>
      </c>
      <c r="P183" t="s">
        <v>1047</v>
      </c>
      <c r="Q183" t="s">
        <v>1047</v>
      </c>
      <c r="R183" t="s">
        <v>1047</v>
      </c>
      <c r="S183" t="s">
        <v>1047</v>
      </c>
      <c r="T183" t="s">
        <v>1047</v>
      </c>
      <c r="U183" t="s">
        <v>1047</v>
      </c>
      <c r="V183" t="s">
        <v>1047</v>
      </c>
    </row>
    <row r="184" spans="1:22" x14ac:dyDescent="0.2">
      <c r="A184">
        <v>391482</v>
      </c>
      <c r="B184" t="s">
        <v>314</v>
      </c>
      <c r="C184">
        <v>19</v>
      </c>
      <c r="D184" s="368">
        <v>44227</v>
      </c>
      <c r="E184" t="s">
        <v>1047</v>
      </c>
      <c r="F184" s="368">
        <v>43830</v>
      </c>
      <c r="G184" t="s">
        <v>1048</v>
      </c>
      <c r="H184" t="s">
        <v>1048</v>
      </c>
      <c r="I184" t="s">
        <v>1048</v>
      </c>
      <c r="J184" t="s">
        <v>1048</v>
      </c>
      <c r="K184" t="s">
        <v>1048</v>
      </c>
      <c r="L184" t="s">
        <v>1048</v>
      </c>
      <c r="M184" t="s">
        <v>1048</v>
      </c>
      <c r="N184" t="s">
        <v>1048</v>
      </c>
      <c r="O184" t="s">
        <v>1048</v>
      </c>
      <c r="P184" t="s">
        <v>1048</v>
      </c>
      <c r="Q184" t="s">
        <v>1048</v>
      </c>
      <c r="R184" t="s">
        <v>1048</v>
      </c>
      <c r="S184" t="s">
        <v>1048</v>
      </c>
      <c r="T184" t="s">
        <v>1047</v>
      </c>
      <c r="U184" t="s">
        <v>1047</v>
      </c>
      <c r="V184" t="s">
        <v>1048</v>
      </c>
    </row>
    <row r="185" spans="1:22" x14ac:dyDescent="0.2">
      <c r="A185">
        <v>391896</v>
      </c>
      <c r="B185" t="s">
        <v>1082</v>
      </c>
      <c r="C185">
        <v>28</v>
      </c>
      <c r="D185" s="368">
        <v>44316</v>
      </c>
      <c r="E185" t="s">
        <v>1047</v>
      </c>
      <c r="F185" s="368">
        <v>44286</v>
      </c>
      <c r="G185" t="s">
        <v>1048</v>
      </c>
      <c r="H185" t="s">
        <v>1048</v>
      </c>
      <c r="I185" t="s">
        <v>1048</v>
      </c>
      <c r="J185" t="s">
        <v>1048</v>
      </c>
      <c r="K185" t="s">
        <v>1048</v>
      </c>
      <c r="L185" t="s">
        <v>1048</v>
      </c>
      <c r="M185" t="s">
        <v>1048</v>
      </c>
      <c r="N185" t="s">
        <v>1047</v>
      </c>
      <c r="O185" t="s">
        <v>1047</v>
      </c>
      <c r="P185" t="s">
        <v>1047</v>
      </c>
      <c r="Q185" t="s">
        <v>1047</v>
      </c>
      <c r="R185" t="s">
        <v>1047</v>
      </c>
      <c r="S185" t="s">
        <v>1047</v>
      </c>
      <c r="T185" t="s">
        <v>1048</v>
      </c>
      <c r="U185" t="s">
        <v>1047</v>
      </c>
      <c r="V185" t="s">
        <v>1048</v>
      </c>
    </row>
    <row r="186" spans="1:22" x14ac:dyDescent="0.2">
      <c r="A186">
        <v>393314</v>
      </c>
      <c r="B186" t="s">
        <v>315</v>
      </c>
      <c r="C186">
        <v>20</v>
      </c>
      <c r="D186" s="368">
        <v>44316</v>
      </c>
      <c r="E186" t="s">
        <v>1048</v>
      </c>
      <c r="F186" s="368">
        <v>44286</v>
      </c>
      <c r="G186" t="s">
        <v>1048</v>
      </c>
      <c r="H186" t="s">
        <v>1048</v>
      </c>
      <c r="I186" t="s">
        <v>1048</v>
      </c>
      <c r="J186" t="s">
        <v>1048</v>
      </c>
      <c r="K186" t="s">
        <v>1048</v>
      </c>
      <c r="L186" t="s">
        <v>1048</v>
      </c>
      <c r="M186" t="s">
        <v>1048</v>
      </c>
      <c r="N186" t="s">
        <v>1048</v>
      </c>
      <c r="O186" t="s">
        <v>1048</v>
      </c>
      <c r="P186" t="s">
        <v>1048</v>
      </c>
      <c r="Q186" t="s">
        <v>1048</v>
      </c>
      <c r="R186" t="s">
        <v>1048</v>
      </c>
      <c r="S186" t="s">
        <v>1048</v>
      </c>
      <c r="T186" t="s">
        <v>1047</v>
      </c>
      <c r="U186" t="s">
        <v>1047</v>
      </c>
      <c r="V186" t="s">
        <v>1047</v>
      </c>
    </row>
    <row r="187" spans="1:22" x14ac:dyDescent="0.2">
      <c r="A187">
        <v>393488</v>
      </c>
      <c r="B187" t="s">
        <v>998</v>
      </c>
      <c r="C187">
        <v>20</v>
      </c>
      <c r="D187" s="368">
        <v>44316</v>
      </c>
      <c r="E187" t="s">
        <v>1048</v>
      </c>
      <c r="F187" s="368">
        <v>44286</v>
      </c>
      <c r="G187" t="s">
        <v>1048</v>
      </c>
      <c r="H187" t="s">
        <v>1048</v>
      </c>
      <c r="I187" t="s">
        <v>1048</v>
      </c>
      <c r="J187" t="s">
        <v>1048</v>
      </c>
      <c r="K187" t="s">
        <v>1048</v>
      </c>
      <c r="L187" t="s">
        <v>1048</v>
      </c>
      <c r="M187" t="s">
        <v>1048</v>
      </c>
      <c r="N187" t="s">
        <v>1048</v>
      </c>
      <c r="O187" t="s">
        <v>1048</v>
      </c>
      <c r="P187" t="s">
        <v>1048</v>
      </c>
      <c r="Q187" t="s">
        <v>1048</v>
      </c>
      <c r="R187" t="s">
        <v>1048</v>
      </c>
      <c r="S187" t="s">
        <v>1048</v>
      </c>
      <c r="T187" t="s">
        <v>1047</v>
      </c>
      <c r="U187" t="s">
        <v>1047</v>
      </c>
      <c r="V187" t="s">
        <v>1048</v>
      </c>
    </row>
    <row r="188" spans="1:22" x14ac:dyDescent="0.2">
      <c r="A188">
        <v>395434</v>
      </c>
      <c r="B188" t="s">
        <v>316</v>
      </c>
      <c r="C188">
        <v>26</v>
      </c>
      <c r="D188" s="368">
        <v>44316</v>
      </c>
      <c r="E188" t="s">
        <v>1047</v>
      </c>
      <c r="F188" s="368">
        <v>43830</v>
      </c>
      <c r="G188" t="s">
        <v>1048</v>
      </c>
      <c r="H188" t="s">
        <v>1048</v>
      </c>
      <c r="I188" t="s">
        <v>1048</v>
      </c>
      <c r="J188" t="s">
        <v>1048</v>
      </c>
      <c r="K188" t="s">
        <v>1047</v>
      </c>
      <c r="L188" t="s">
        <v>1047</v>
      </c>
      <c r="M188" t="s">
        <v>1047</v>
      </c>
      <c r="N188" t="s">
        <v>1047</v>
      </c>
      <c r="O188" t="s">
        <v>1047</v>
      </c>
      <c r="P188" t="s">
        <v>1047</v>
      </c>
      <c r="Q188" t="s">
        <v>1047</v>
      </c>
      <c r="R188" t="s">
        <v>1047</v>
      </c>
      <c r="S188" t="s">
        <v>1047</v>
      </c>
      <c r="T188" t="s">
        <v>1047</v>
      </c>
      <c r="U188" t="s">
        <v>1047</v>
      </c>
      <c r="V188" t="s">
        <v>1047</v>
      </c>
    </row>
    <row r="189" spans="1:22" x14ac:dyDescent="0.2">
      <c r="A189">
        <v>401695</v>
      </c>
      <c r="B189" t="s">
        <v>976</v>
      </c>
      <c r="C189">
        <v>18</v>
      </c>
      <c r="D189" s="368">
        <v>44316</v>
      </c>
      <c r="E189" t="s">
        <v>1048</v>
      </c>
      <c r="F189" s="368">
        <v>44286</v>
      </c>
      <c r="G189" t="s">
        <v>1048</v>
      </c>
      <c r="H189" t="s">
        <v>1048</v>
      </c>
      <c r="I189" t="s">
        <v>1048</v>
      </c>
      <c r="J189" t="s">
        <v>1048</v>
      </c>
      <c r="K189" t="s">
        <v>1048</v>
      </c>
      <c r="L189" t="s">
        <v>1048</v>
      </c>
      <c r="M189" t="s">
        <v>1048</v>
      </c>
      <c r="N189" t="s">
        <v>1047</v>
      </c>
      <c r="O189" t="s">
        <v>1048</v>
      </c>
      <c r="P189" t="s">
        <v>1048</v>
      </c>
      <c r="Q189" t="s">
        <v>1048</v>
      </c>
      <c r="R189" t="s">
        <v>1047</v>
      </c>
      <c r="S189" t="s">
        <v>1048</v>
      </c>
      <c r="T189" t="s">
        <v>1047</v>
      </c>
      <c r="U189" t="s">
        <v>1047</v>
      </c>
      <c r="V189" t="s">
        <v>1047</v>
      </c>
    </row>
    <row r="190" spans="1:22" x14ac:dyDescent="0.2">
      <c r="A190">
        <v>401810</v>
      </c>
      <c r="B190" t="s">
        <v>317</v>
      </c>
      <c r="C190">
        <v>23</v>
      </c>
      <c r="D190" s="368">
        <v>44316</v>
      </c>
      <c r="E190" t="s">
        <v>1047</v>
      </c>
      <c r="F190" s="368">
        <v>44286</v>
      </c>
      <c r="G190" t="s">
        <v>1048</v>
      </c>
      <c r="H190" t="s">
        <v>1048</v>
      </c>
      <c r="I190" t="s">
        <v>1048</v>
      </c>
      <c r="J190" t="s">
        <v>1048</v>
      </c>
      <c r="K190" t="s">
        <v>1048</v>
      </c>
      <c r="L190" t="s">
        <v>1048</v>
      </c>
      <c r="M190" t="s">
        <v>1047</v>
      </c>
      <c r="N190" t="s">
        <v>1047</v>
      </c>
      <c r="O190" t="s">
        <v>1048</v>
      </c>
      <c r="P190" t="s">
        <v>1047</v>
      </c>
      <c r="Q190" t="s">
        <v>1047</v>
      </c>
      <c r="R190" t="s">
        <v>1047</v>
      </c>
      <c r="S190" t="s">
        <v>1048</v>
      </c>
      <c r="T190" t="s">
        <v>1048</v>
      </c>
      <c r="U190" t="s">
        <v>1047</v>
      </c>
      <c r="V190" t="s">
        <v>1048</v>
      </c>
    </row>
    <row r="191" spans="1:22" x14ac:dyDescent="0.2">
      <c r="A191">
        <v>403642</v>
      </c>
      <c r="B191" t="s">
        <v>318</v>
      </c>
      <c r="C191">
        <v>19</v>
      </c>
      <c r="D191" s="368">
        <v>44316</v>
      </c>
      <c r="E191" t="s">
        <v>1047</v>
      </c>
      <c r="F191" s="368">
        <v>43830</v>
      </c>
      <c r="G191" t="s">
        <v>1048</v>
      </c>
      <c r="H191" t="s">
        <v>1048</v>
      </c>
      <c r="I191" t="s">
        <v>1048</v>
      </c>
      <c r="J191" t="s">
        <v>1048</v>
      </c>
      <c r="K191" t="s">
        <v>1048</v>
      </c>
      <c r="L191" t="s">
        <v>1048</v>
      </c>
      <c r="M191" t="s">
        <v>1047</v>
      </c>
      <c r="N191" t="s">
        <v>1047</v>
      </c>
      <c r="O191" t="s">
        <v>1048</v>
      </c>
      <c r="P191" t="s">
        <v>1047</v>
      </c>
      <c r="Q191" t="s">
        <v>1047</v>
      </c>
      <c r="R191" t="s">
        <v>1047</v>
      </c>
      <c r="S191" t="s">
        <v>1048</v>
      </c>
      <c r="T191" t="s">
        <v>1047</v>
      </c>
      <c r="U191" t="s">
        <v>1047</v>
      </c>
      <c r="V191" t="s">
        <v>1047</v>
      </c>
    </row>
    <row r="192" spans="1:22" x14ac:dyDescent="0.2">
      <c r="A192">
        <v>404236</v>
      </c>
      <c r="B192" t="s">
        <v>320</v>
      </c>
      <c r="C192">
        <v>24</v>
      </c>
      <c r="D192" s="368">
        <v>44316</v>
      </c>
      <c r="E192" t="s">
        <v>1048</v>
      </c>
      <c r="F192" s="368">
        <v>44286</v>
      </c>
      <c r="G192" t="s">
        <v>1048</v>
      </c>
      <c r="H192" t="s">
        <v>1048</v>
      </c>
      <c r="I192" t="s">
        <v>1048</v>
      </c>
      <c r="J192" t="s">
        <v>1048</v>
      </c>
      <c r="K192" t="s">
        <v>1048</v>
      </c>
      <c r="L192" t="s">
        <v>1048</v>
      </c>
      <c r="M192" t="s">
        <v>1048</v>
      </c>
      <c r="N192" t="s">
        <v>1047</v>
      </c>
      <c r="O192" t="s">
        <v>1047</v>
      </c>
      <c r="P192" t="s">
        <v>1047</v>
      </c>
      <c r="Q192" t="s">
        <v>1047</v>
      </c>
      <c r="R192" t="s">
        <v>1047</v>
      </c>
      <c r="S192" t="s">
        <v>1047</v>
      </c>
      <c r="T192" t="s">
        <v>1047</v>
      </c>
      <c r="U192" t="s">
        <v>1047</v>
      </c>
      <c r="V192" t="s">
        <v>1048</v>
      </c>
    </row>
    <row r="193" spans="1:22" x14ac:dyDescent="0.2">
      <c r="A193">
        <v>405704</v>
      </c>
      <c r="B193" t="s">
        <v>321</v>
      </c>
      <c r="C193">
        <v>14</v>
      </c>
      <c r="D193" s="368">
        <v>44316</v>
      </c>
      <c r="E193" t="s">
        <v>1047</v>
      </c>
      <c r="F193" s="368">
        <v>43830</v>
      </c>
      <c r="G193" t="s">
        <v>1048</v>
      </c>
      <c r="H193" t="s">
        <v>1048</v>
      </c>
      <c r="I193" t="s">
        <v>1048</v>
      </c>
      <c r="J193" t="s">
        <v>1048</v>
      </c>
      <c r="K193" t="s">
        <v>1048</v>
      </c>
      <c r="L193" t="s">
        <v>1048</v>
      </c>
      <c r="M193" t="s">
        <v>1048</v>
      </c>
      <c r="N193" t="s">
        <v>1048</v>
      </c>
      <c r="O193" t="s">
        <v>1048</v>
      </c>
      <c r="P193" t="s">
        <v>1048</v>
      </c>
      <c r="Q193" t="s">
        <v>1048</v>
      </c>
      <c r="R193" t="s">
        <v>1048</v>
      </c>
      <c r="S193" t="s">
        <v>1048</v>
      </c>
      <c r="T193" t="s">
        <v>1048</v>
      </c>
      <c r="U193" t="s">
        <v>1047</v>
      </c>
      <c r="V193" t="s">
        <v>1047</v>
      </c>
    </row>
    <row r="194" spans="1:22" x14ac:dyDescent="0.2">
      <c r="A194">
        <v>407064</v>
      </c>
      <c r="B194" t="s">
        <v>1220</v>
      </c>
      <c r="C194">
        <v>22</v>
      </c>
      <c r="D194" s="368">
        <v>44316</v>
      </c>
      <c r="E194" t="s">
        <v>1048</v>
      </c>
      <c r="F194" s="368">
        <v>44286</v>
      </c>
      <c r="G194" t="s">
        <v>1048</v>
      </c>
      <c r="H194" t="s">
        <v>1048</v>
      </c>
      <c r="I194" t="s">
        <v>1048</v>
      </c>
      <c r="J194" t="s">
        <v>1048</v>
      </c>
      <c r="K194" t="s">
        <v>1048</v>
      </c>
      <c r="L194" t="s">
        <v>1048</v>
      </c>
      <c r="M194" t="s">
        <v>1048</v>
      </c>
      <c r="N194" t="s">
        <v>1048</v>
      </c>
      <c r="O194" t="s">
        <v>1048</v>
      </c>
      <c r="P194" t="s">
        <v>1048</v>
      </c>
      <c r="Q194" t="s">
        <v>1048</v>
      </c>
      <c r="R194" t="s">
        <v>1048</v>
      </c>
      <c r="S194" t="s">
        <v>1048</v>
      </c>
      <c r="T194" t="s">
        <v>1047</v>
      </c>
      <c r="U194" t="s">
        <v>1047</v>
      </c>
      <c r="V194" t="s">
        <v>1048</v>
      </c>
    </row>
    <row r="195" spans="1:22" x14ac:dyDescent="0.2">
      <c r="A195">
        <v>407775</v>
      </c>
      <c r="B195" t="s">
        <v>1147</v>
      </c>
      <c r="C195">
        <v>21</v>
      </c>
      <c r="D195" s="368">
        <v>44316</v>
      </c>
      <c r="E195" t="s">
        <v>1048</v>
      </c>
      <c r="F195" s="368">
        <v>44286</v>
      </c>
      <c r="G195" t="s">
        <v>1048</v>
      </c>
      <c r="H195" t="s">
        <v>1048</v>
      </c>
      <c r="I195" t="s">
        <v>1048</v>
      </c>
      <c r="J195" t="s">
        <v>1048</v>
      </c>
      <c r="K195" t="s">
        <v>1048</v>
      </c>
      <c r="L195" t="s">
        <v>1047</v>
      </c>
      <c r="M195" t="s">
        <v>1047</v>
      </c>
      <c r="N195" t="s">
        <v>1047</v>
      </c>
      <c r="O195" t="s">
        <v>1047</v>
      </c>
      <c r="P195" t="s">
        <v>1047</v>
      </c>
      <c r="Q195" t="s">
        <v>1047</v>
      </c>
      <c r="R195" t="s">
        <v>1047</v>
      </c>
      <c r="S195" t="s">
        <v>1047</v>
      </c>
      <c r="T195" t="s">
        <v>1047</v>
      </c>
      <c r="U195" t="s">
        <v>1047</v>
      </c>
      <c r="V195" t="s">
        <v>1048</v>
      </c>
    </row>
    <row r="196" spans="1:22" x14ac:dyDescent="0.2">
      <c r="A196">
        <v>408062</v>
      </c>
      <c r="B196" t="s">
        <v>307</v>
      </c>
      <c r="C196">
        <v>24</v>
      </c>
      <c r="D196" s="368">
        <v>44316</v>
      </c>
      <c r="E196" t="s">
        <v>1048</v>
      </c>
      <c r="F196" s="368">
        <v>44286</v>
      </c>
      <c r="G196" t="s">
        <v>1048</v>
      </c>
      <c r="H196" t="s">
        <v>1048</v>
      </c>
      <c r="I196" t="s">
        <v>1048</v>
      </c>
      <c r="J196" t="s">
        <v>1048</v>
      </c>
      <c r="K196" t="s">
        <v>1048</v>
      </c>
      <c r="L196" t="s">
        <v>1048</v>
      </c>
      <c r="M196" t="s">
        <v>1048</v>
      </c>
      <c r="N196" t="s">
        <v>1048</v>
      </c>
      <c r="O196" t="s">
        <v>1048</v>
      </c>
      <c r="P196" t="s">
        <v>1047</v>
      </c>
      <c r="Q196" t="s">
        <v>1047</v>
      </c>
      <c r="R196" t="s">
        <v>1047</v>
      </c>
      <c r="S196" t="s">
        <v>1047</v>
      </c>
      <c r="T196" t="s">
        <v>1047</v>
      </c>
      <c r="U196" t="s">
        <v>1047</v>
      </c>
      <c r="V196" t="s">
        <v>1047</v>
      </c>
    </row>
    <row r="197" spans="1:22" x14ac:dyDescent="0.2">
      <c r="A197">
        <v>408484</v>
      </c>
      <c r="B197" t="s">
        <v>322</v>
      </c>
      <c r="C197">
        <v>20</v>
      </c>
      <c r="D197" s="368">
        <v>44316</v>
      </c>
      <c r="E197" t="s">
        <v>1048</v>
      </c>
      <c r="F197" s="368">
        <v>44286</v>
      </c>
      <c r="G197" t="s">
        <v>1048</v>
      </c>
      <c r="H197" t="s">
        <v>1048</v>
      </c>
      <c r="I197" t="s">
        <v>1048</v>
      </c>
      <c r="J197" t="s">
        <v>1048</v>
      </c>
      <c r="K197" t="s">
        <v>1048</v>
      </c>
      <c r="L197" t="s">
        <v>1048</v>
      </c>
      <c r="M197" t="s">
        <v>1048</v>
      </c>
      <c r="N197" t="s">
        <v>1047</v>
      </c>
      <c r="O197" t="s">
        <v>1047</v>
      </c>
      <c r="P197" t="s">
        <v>1047</v>
      </c>
      <c r="Q197" t="s">
        <v>1047</v>
      </c>
      <c r="R197" t="s">
        <v>1047</v>
      </c>
      <c r="S197" t="s">
        <v>1047</v>
      </c>
      <c r="T197" t="s">
        <v>1048</v>
      </c>
      <c r="U197" t="s">
        <v>1047</v>
      </c>
      <c r="V197" t="s">
        <v>1048</v>
      </c>
    </row>
    <row r="198" spans="1:22" x14ac:dyDescent="0.2">
      <c r="A198">
        <v>408898</v>
      </c>
      <c r="B198" t="s">
        <v>1161</v>
      </c>
      <c r="C198">
        <v>23</v>
      </c>
      <c r="D198" s="368">
        <v>44316</v>
      </c>
      <c r="E198" t="s">
        <v>1047</v>
      </c>
      <c r="F198" s="368">
        <v>44286</v>
      </c>
      <c r="G198" t="s">
        <v>1048</v>
      </c>
      <c r="H198" t="s">
        <v>1048</v>
      </c>
      <c r="I198" t="s">
        <v>1048</v>
      </c>
      <c r="J198" t="s">
        <v>1048</v>
      </c>
      <c r="K198" t="s">
        <v>1048</v>
      </c>
      <c r="L198" t="s">
        <v>1048</v>
      </c>
      <c r="M198" t="s">
        <v>1047</v>
      </c>
      <c r="N198" t="s">
        <v>1047</v>
      </c>
      <c r="O198" t="s">
        <v>1047</v>
      </c>
      <c r="P198" t="s">
        <v>1047</v>
      </c>
      <c r="Q198" t="s">
        <v>1047</v>
      </c>
      <c r="R198" t="s">
        <v>1047</v>
      </c>
      <c r="S198" t="s">
        <v>1047</v>
      </c>
      <c r="T198" t="s">
        <v>1047</v>
      </c>
      <c r="U198" t="s">
        <v>1047</v>
      </c>
      <c r="V198" t="s">
        <v>1048</v>
      </c>
    </row>
    <row r="199" spans="1:22" x14ac:dyDescent="0.2">
      <c r="A199">
        <v>410258</v>
      </c>
      <c r="B199" t="s">
        <v>1083</v>
      </c>
      <c r="C199">
        <v>24</v>
      </c>
      <c r="D199" s="368">
        <v>44316</v>
      </c>
      <c r="E199" t="s">
        <v>1048</v>
      </c>
      <c r="F199" s="368">
        <v>44286</v>
      </c>
      <c r="G199" t="s">
        <v>1048</v>
      </c>
      <c r="H199" t="s">
        <v>1048</v>
      </c>
      <c r="I199" t="s">
        <v>1048</v>
      </c>
      <c r="J199" t="s">
        <v>1048</v>
      </c>
      <c r="K199" t="s">
        <v>1048</v>
      </c>
      <c r="L199" t="s">
        <v>1048</v>
      </c>
      <c r="M199" t="s">
        <v>1048</v>
      </c>
      <c r="N199" t="s">
        <v>1047</v>
      </c>
      <c r="O199" t="s">
        <v>1047</v>
      </c>
      <c r="P199" t="s">
        <v>1047</v>
      </c>
      <c r="Q199" t="s">
        <v>1047</v>
      </c>
      <c r="R199" t="s">
        <v>1047</v>
      </c>
      <c r="S199" t="s">
        <v>1047</v>
      </c>
      <c r="T199" t="s">
        <v>1047</v>
      </c>
      <c r="U199" t="s">
        <v>1047</v>
      </c>
      <c r="V199" t="s">
        <v>1048</v>
      </c>
    </row>
    <row r="200" spans="1:22" x14ac:dyDescent="0.2">
      <c r="A200">
        <v>416867</v>
      </c>
      <c r="B200" t="s">
        <v>323</v>
      </c>
      <c r="C200">
        <v>23</v>
      </c>
      <c r="D200" s="368">
        <v>44316</v>
      </c>
      <c r="E200" t="s">
        <v>1047</v>
      </c>
      <c r="F200" s="368">
        <v>43830</v>
      </c>
      <c r="G200" t="s">
        <v>1048</v>
      </c>
      <c r="H200" t="s">
        <v>1048</v>
      </c>
      <c r="I200" t="s">
        <v>1048</v>
      </c>
      <c r="J200" t="s">
        <v>1048</v>
      </c>
      <c r="K200" t="s">
        <v>1048</v>
      </c>
      <c r="L200" t="s">
        <v>1048</v>
      </c>
      <c r="M200" t="s">
        <v>1048</v>
      </c>
      <c r="N200" t="s">
        <v>1048</v>
      </c>
      <c r="O200" t="s">
        <v>1048</v>
      </c>
      <c r="P200" t="s">
        <v>1048</v>
      </c>
      <c r="Q200" t="s">
        <v>1048</v>
      </c>
      <c r="R200" t="s">
        <v>1048</v>
      </c>
      <c r="S200" t="s">
        <v>1048</v>
      </c>
      <c r="T200" t="s">
        <v>1047</v>
      </c>
      <c r="U200" t="s">
        <v>1047</v>
      </c>
      <c r="V200" t="s">
        <v>1048</v>
      </c>
    </row>
    <row r="201" spans="1:22" x14ac:dyDescent="0.2">
      <c r="A201">
        <v>416982</v>
      </c>
      <c r="B201" t="s">
        <v>324</v>
      </c>
      <c r="C201">
        <v>26</v>
      </c>
      <c r="D201" s="368">
        <v>44316</v>
      </c>
      <c r="E201" t="s">
        <v>1048</v>
      </c>
      <c r="F201" s="368">
        <v>44286</v>
      </c>
      <c r="G201" t="s">
        <v>1047</v>
      </c>
      <c r="H201" t="s">
        <v>1047</v>
      </c>
      <c r="I201" t="s">
        <v>1048</v>
      </c>
      <c r="J201" t="s">
        <v>1048</v>
      </c>
      <c r="K201" t="s">
        <v>1048</v>
      </c>
      <c r="L201" t="s">
        <v>1048</v>
      </c>
      <c r="M201" t="s">
        <v>1048</v>
      </c>
      <c r="N201" t="s">
        <v>1048</v>
      </c>
      <c r="O201" t="s">
        <v>1048</v>
      </c>
      <c r="P201" t="s">
        <v>1048</v>
      </c>
      <c r="Q201" t="s">
        <v>1048</v>
      </c>
      <c r="R201" t="s">
        <v>1048</v>
      </c>
      <c r="S201" t="s">
        <v>1048</v>
      </c>
      <c r="T201" t="s">
        <v>1048</v>
      </c>
      <c r="U201" t="s">
        <v>1048</v>
      </c>
      <c r="V201" t="s">
        <v>1047</v>
      </c>
    </row>
    <row r="202" spans="1:22" x14ac:dyDescent="0.2">
      <c r="A202">
        <v>418699</v>
      </c>
      <c r="B202" t="s">
        <v>511</v>
      </c>
      <c r="C202">
        <v>20</v>
      </c>
      <c r="D202" s="368">
        <v>44227</v>
      </c>
      <c r="E202" t="s">
        <v>1047</v>
      </c>
      <c r="F202" s="368">
        <v>43830</v>
      </c>
      <c r="G202" t="s">
        <v>1048</v>
      </c>
      <c r="H202" t="s">
        <v>1048</v>
      </c>
      <c r="I202" t="s">
        <v>1048</v>
      </c>
      <c r="J202" t="s">
        <v>1048</v>
      </c>
      <c r="K202" t="s">
        <v>1048</v>
      </c>
      <c r="L202" t="s">
        <v>1048</v>
      </c>
      <c r="M202" t="s">
        <v>1048</v>
      </c>
      <c r="N202" t="s">
        <v>1048</v>
      </c>
      <c r="O202" t="s">
        <v>1048</v>
      </c>
      <c r="P202" t="s">
        <v>1048</v>
      </c>
      <c r="Q202" t="s">
        <v>1048</v>
      </c>
      <c r="R202" t="s">
        <v>1048</v>
      </c>
      <c r="S202" t="s">
        <v>1048</v>
      </c>
      <c r="T202" t="s">
        <v>1047</v>
      </c>
      <c r="U202" t="s">
        <v>1047</v>
      </c>
      <c r="V202" t="s">
        <v>1047</v>
      </c>
    </row>
    <row r="203" spans="1:22" x14ac:dyDescent="0.2">
      <c r="A203">
        <v>419101</v>
      </c>
      <c r="B203" t="s">
        <v>326</v>
      </c>
      <c r="C203">
        <v>25</v>
      </c>
      <c r="D203" s="368">
        <v>44316</v>
      </c>
      <c r="E203" t="s">
        <v>1047</v>
      </c>
      <c r="F203" s="368">
        <v>43830</v>
      </c>
      <c r="G203" t="s">
        <v>1048</v>
      </c>
      <c r="H203" t="s">
        <v>1048</v>
      </c>
      <c r="I203" t="s">
        <v>1048</v>
      </c>
      <c r="J203" t="s">
        <v>1048</v>
      </c>
      <c r="K203" t="s">
        <v>1048</v>
      </c>
      <c r="L203" t="s">
        <v>1048</v>
      </c>
      <c r="M203" t="s">
        <v>1047</v>
      </c>
      <c r="N203" t="s">
        <v>1048</v>
      </c>
      <c r="O203" t="s">
        <v>1048</v>
      </c>
      <c r="P203" t="s">
        <v>1048</v>
      </c>
      <c r="Q203" t="s">
        <v>1048</v>
      </c>
      <c r="R203" t="s">
        <v>1048</v>
      </c>
      <c r="S203" t="s">
        <v>1048</v>
      </c>
      <c r="T203" t="s">
        <v>1048</v>
      </c>
      <c r="U203" t="s">
        <v>1047</v>
      </c>
      <c r="V203" t="s">
        <v>1047</v>
      </c>
    </row>
    <row r="204" spans="1:22" x14ac:dyDescent="0.2">
      <c r="A204">
        <v>420463</v>
      </c>
      <c r="B204" t="s">
        <v>327</v>
      </c>
      <c r="C204">
        <v>20</v>
      </c>
      <c r="D204" s="368">
        <v>44316</v>
      </c>
      <c r="E204" t="s">
        <v>1047</v>
      </c>
      <c r="F204" s="368">
        <v>43830</v>
      </c>
      <c r="G204" t="s">
        <v>1048</v>
      </c>
      <c r="H204" t="s">
        <v>1048</v>
      </c>
      <c r="I204" t="s">
        <v>1048</v>
      </c>
      <c r="J204" t="s">
        <v>1048</v>
      </c>
      <c r="K204" t="s">
        <v>1048</v>
      </c>
      <c r="L204" t="s">
        <v>1048</v>
      </c>
      <c r="M204" t="s">
        <v>1048</v>
      </c>
      <c r="N204" t="s">
        <v>1048</v>
      </c>
      <c r="O204" t="s">
        <v>1048</v>
      </c>
      <c r="P204" t="s">
        <v>1048</v>
      </c>
      <c r="Q204" t="s">
        <v>1048</v>
      </c>
      <c r="R204" t="s">
        <v>1048</v>
      </c>
      <c r="S204" t="s">
        <v>1047</v>
      </c>
      <c r="T204" t="s">
        <v>1048</v>
      </c>
      <c r="U204" t="s">
        <v>1047</v>
      </c>
      <c r="V204" t="s">
        <v>1047</v>
      </c>
    </row>
    <row r="205" spans="1:22" x14ac:dyDescent="0.2">
      <c r="A205">
        <v>420646</v>
      </c>
      <c r="B205" t="s">
        <v>328</v>
      </c>
      <c r="C205">
        <v>22</v>
      </c>
      <c r="D205" s="368">
        <v>44227</v>
      </c>
      <c r="E205"/>
      <c r="F205"/>
      <c r="G205" t="s">
        <v>1048</v>
      </c>
      <c r="H205" t="s">
        <v>1048</v>
      </c>
      <c r="I205" t="s">
        <v>1048</v>
      </c>
      <c r="J205" t="s">
        <v>1048</v>
      </c>
      <c r="K205" t="s">
        <v>1048</v>
      </c>
      <c r="L205" t="s">
        <v>1048</v>
      </c>
      <c r="M205" t="s">
        <v>1048</v>
      </c>
      <c r="N205" t="s">
        <v>1047</v>
      </c>
      <c r="O205" t="s">
        <v>1048</v>
      </c>
      <c r="P205" t="s">
        <v>1047</v>
      </c>
      <c r="Q205" t="s">
        <v>1047</v>
      </c>
      <c r="R205" t="s">
        <v>1048</v>
      </c>
      <c r="S205" t="s">
        <v>1047</v>
      </c>
      <c r="T205" t="s">
        <v>1047</v>
      </c>
      <c r="U205" t="s">
        <v>1047</v>
      </c>
      <c r="V205" t="s">
        <v>1047</v>
      </c>
    </row>
    <row r="206" spans="1:22" x14ac:dyDescent="0.2">
      <c r="A206">
        <v>422709</v>
      </c>
      <c r="B206" t="s">
        <v>329</v>
      </c>
      <c r="C206">
        <v>20</v>
      </c>
      <c r="D206" s="368">
        <v>44316</v>
      </c>
      <c r="E206" t="s">
        <v>1048</v>
      </c>
      <c r="F206" s="368">
        <v>44286</v>
      </c>
      <c r="G206" t="s">
        <v>1048</v>
      </c>
      <c r="H206" t="s">
        <v>1048</v>
      </c>
      <c r="I206" t="s">
        <v>1048</v>
      </c>
      <c r="J206" t="s">
        <v>1048</v>
      </c>
      <c r="K206" t="s">
        <v>1048</v>
      </c>
      <c r="L206" t="s">
        <v>1048</v>
      </c>
      <c r="M206" t="s">
        <v>1048</v>
      </c>
      <c r="N206" t="s">
        <v>1048</v>
      </c>
      <c r="O206" t="s">
        <v>1048</v>
      </c>
      <c r="P206" t="s">
        <v>1048</v>
      </c>
      <c r="Q206" t="s">
        <v>1048</v>
      </c>
      <c r="R206" t="s">
        <v>1048</v>
      </c>
      <c r="S206" t="s">
        <v>1048</v>
      </c>
      <c r="T206" t="s">
        <v>1048</v>
      </c>
      <c r="U206" t="s">
        <v>1048</v>
      </c>
      <c r="V206" t="s">
        <v>1048</v>
      </c>
    </row>
    <row r="207" spans="1:22" x14ac:dyDescent="0.2">
      <c r="A207">
        <v>425067</v>
      </c>
      <c r="B207" t="s">
        <v>1023</v>
      </c>
      <c r="C207">
        <v>26</v>
      </c>
      <c r="D207" s="368">
        <v>44316</v>
      </c>
      <c r="E207" t="s">
        <v>1048</v>
      </c>
      <c r="F207" s="368">
        <v>44286</v>
      </c>
      <c r="G207" t="s">
        <v>1047</v>
      </c>
      <c r="H207" t="s">
        <v>1047</v>
      </c>
      <c r="I207" t="s">
        <v>1047</v>
      </c>
      <c r="J207" t="s">
        <v>1048</v>
      </c>
      <c r="K207" t="s">
        <v>1048</v>
      </c>
      <c r="L207" t="s">
        <v>1047</v>
      </c>
      <c r="M207" t="s">
        <v>1047</v>
      </c>
      <c r="N207" t="s">
        <v>1047</v>
      </c>
      <c r="O207" t="s">
        <v>1047</v>
      </c>
      <c r="P207" t="s">
        <v>1047</v>
      </c>
      <c r="Q207" t="s">
        <v>1047</v>
      </c>
      <c r="R207" t="s">
        <v>1047</v>
      </c>
      <c r="S207" t="s">
        <v>1047</v>
      </c>
      <c r="T207" t="s">
        <v>1047</v>
      </c>
      <c r="U207" t="s">
        <v>1047</v>
      </c>
      <c r="V207" t="s">
        <v>1047</v>
      </c>
    </row>
    <row r="208" spans="1:22" x14ac:dyDescent="0.2">
      <c r="A208">
        <v>427310</v>
      </c>
      <c r="B208" t="s">
        <v>330</v>
      </c>
      <c r="C208">
        <v>19</v>
      </c>
      <c r="D208" s="368">
        <v>44316</v>
      </c>
      <c r="E208" t="s">
        <v>1047</v>
      </c>
      <c r="F208" s="368">
        <v>43830</v>
      </c>
      <c r="G208" t="s">
        <v>1048</v>
      </c>
      <c r="H208" t="s">
        <v>1048</v>
      </c>
      <c r="I208" t="s">
        <v>1048</v>
      </c>
      <c r="J208" t="s">
        <v>1048</v>
      </c>
      <c r="K208" t="s">
        <v>1048</v>
      </c>
      <c r="L208" t="s">
        <v>1048</v>
      </c>
      <c r="M208" t="s">
        <v>1048</v>
      </c>
      <c r="N208" t="s">
        <v>1048</v>
      </c>
      <c r="O208" t="s">
        <v>1048</v>
      </c>
      <c r="P208" t="s">
        <v>1048</v>
      </c>
      <c r="Q208" t="s">
        <v>1048</v>
      </c>
      <c r="R208" t="s">
        <v>1048</v>
      </c>
      <c r="S208" t="s">
        <v>1048</v>
      </c>
      <c r="T208" t="s">
        <v>1047</v>
      </c>
      <c r="U208" t="s">
        <v>1047</v>
      </c>
      <c r="V208" t="s">
        <v>1048</v>
      </c>
    </row>
    <row r="209" spans="1:22" x14ac:dyDescent="0.2">
      <c r="A209">
        <v>429316</v>
      </c>
      <c r="B209" t="s">
        <v>1000</v>
      </c>
      <c r="C209">
        <v>24</v>
      </c>
      <c r="D209" s="368">
        <v>44316</v>
      </c>
      <c r="E209" t="s">
        <v>1048</v>
      </c>
      <c r="F209" s="368">
        <v>44286</v>
      </c>
      <c r="G209" t="s">
        <v>1048</v>
      </c>
      <c r="H209" t="s">
        <v>1048</v>
      </c>
      <c r="I209" t="s">
        <v>1048</v>
      </c>
      <c r="J209" t="s">
        <v>1048</v>
      </c>
      <c r="K209" t="s">
        <v>1048</v>
      </c>
      <c r="L209" t="s">
        <v>1048</v>
      </c>
      <c r="M209" t="s">
        <v>1048</v>
      </c>
      <c r="N209" t="s">
        <v>1048</v>
      </c>
      <c r="O209" t="s">
        <v>1048</v>
      </c>
      <c r="P209" t="s">
        <v>1048</v>
      </c>
      <c r="Q209" t="s">
        <v>1048</v>
      </c>
      <c r="R209" t="s">
        <v>1048</v>
      </c>
      <c r="S209" t="s">
        <v>1048</v>
      </c>
      <c r="T209" t="s">
        <v>1047</v>
      </c>
      <c r="U209" t="s">
        <v>1047</v>
      </c>
      <c r="V209" t="s">
        <v>1048</v>
      </c>
    </row>
    <row r="210" spans="1:22" x14ac:dyDescent="0.2">
      <c r="A210">
        <v>430975</v>
      </c>
      <c r="B210" t="s">
        <v>331</v>
      </c>
      <c r="C210">
        <v>19</v>
      </c>
      <c r="D210" s="368">
        <v>44316</v>
      </c>
      <c r="E210" t="s">
        <v>1047</v>
      </c>
      <c r="F210" s="368">
        <v>43830</v>
      </c>
      <c r="G210" t="s">
        <v>1048</v>
      </c>
      <c r="H210" t="s">
        <v>1048</v>
      </c>
      <c r="I210" t="s">
        <v>1048</v>
      </c>
      <c r="J210" t="s">
        <v>1048</v>
      </c>
      <c r="K210" t="s">
        <v>1048</v>
      </c>
      <c r="L210" t="s">
        <v>1048</v>
      </c>
      <c r="M210" t="s">
        <v>1048</v>
      </c>
      <c r="N210" t="s">
        <v>1048</v>
      </c>
      <c r="O210" t="s">
        <v>1048</v>
      </c>
      <c r="P210" t="s">
        <v>1048</v>
      </c>
      <c r="Q210" t="s">
        <v>1048</v>
      </c>
      <c r="R210" t="s">
        <v>1048</v>
      </c>
      <c r="S210" t="s">
        <v>1047</v>
      </c>
      <c r="T210" t="s">
        <v>1047</v>
      </c>
      <c r="U210" t="s">
        <v>1047</v>
      </c>
      <c r="V210" t="s">
        <v>1048</v>
      </c>
    </row>
    <row r="211" spans="1:22" x14ac:dyDescent="0.2">
      <c r="A211">
        <v>433862</v>
      </c>
      <c r="B211" t="s">
        <v>1221</v>
      </c>
      <c r="C211">
        <v>32</v>
      </c>
      <c r="D211" s="368">
        <v>44316</v>
      </c>
      <c r="E211" t="s">
        <v>1047</v>
      </c>
      <c r="F211" s="368">
        <v>44286</v>
      </c>
      <c r="G211" t="s">
        <v>1048</v>
      </c>
      <c r="H211" t="s">
        <v>1048</v>
      </c>
      <c r="I211" t="s">
        <v>1048</v>
      </c>
      <c r="J211" t="s">
        <v>1048</v>
      </c>
      <c r="K211" t="s">
        <v>1048</v>
      </c>
      <c r="L211" t="s">
        <v>1048</v>
      </c>
      <c r="M211" t="s">
        <v>1047</v>
      </c>
      <c r="N211" t="s">
        <v>1047</v>
      </c>
      <c r="O211" t="s">
        <v>1047</v>
      </c>
      <c r="P211" t="s">
        <v>1047</v>
      </c>
      <c r="Q211" t="s">
        <v>1047</v>
      </c>
      <c r="R211" t="s">
        <v>1047</v>
      </c>
      <c r="S211" t="s">
        <v>1047</v>
      </c>
      <c r="T211" t="s">
        <v>1047</v>
      </c>
      <c r="U211" t="s">
        <v>1047</v>
      </c>
      <c r="V211" t="s">
        <v>1047</v>
      </c>
    </row>
    <row r="212" spans="1:22" x14ac:dyDescent="0.2">
      <c r="A212">
        <v>434274</v>
      </c>
      <c r="B212" t="s">
        <v>332</v>
      </c>
      <c r="C212">
        <v>26</v>
      </c>
      <c r="D212" s="368">
        <v>44316</v>
      </c>
      <c r="E212" t="s">
        <v>1047</v>
      </c>
      <c r="F212" s="368">
        <v>44286</v>
      </c>
      <c r="G212" t="s">
        <v>1048</v>
      </c>
      <c r="H212" t="s">
        <v>1048</v>
      </c>
      <c r="I212" t="s">
        <v>1048</v>
      </c>
      <c r="J212" t="s">
        <v>1048</v>
      </c>
      <c r="K212" t="s">
        <v>1048</v>
      </c>
      <c r="L212" t="s">
        <v>1048</v>
      </c>
      <c r="M212" t="s">
        <v>1047</v>
      </c>
      <c r="N212" t="s">
        <v>1047</v>
      </c>
      <c r="O212" t="s">
        <v>1048</v>
      </c>
      <c r="P212" t="s">
        <v>1047</v>
      </c>
      <c r="Q212" t="s">
        <v>1047</v>
      </c>
      <c r="R212" t="s">
        <v>1047</v>
      </c>
      <c r="S212" t="s">
        <v>1047</v>
      </c>
      <c r="T212" t="s">
        <v>1047</v>
      </c>
      <c r="U212" t="s">
        <v>1047</v>
      </c>
      <c r="V212" t="s">
        <v>1047</v>
      </c>
    </row>
    <row r="213" spans="1:22" x14ac:dyDescent="0.2">
      <c r="A213">
        <v>439471</v>
      </c>
      <c r="B213" t="s">
        <v>119</v>
      </c>
      <c r="C213">
        <v>19</v>
      </c>
      <c r="D213" s="368">
        <v>44316</v>
      </c>
      <c r="E213" t="s">
        <v>1048</v>
      </c>
      <c r="F213" s="368">
        <v>44286</v>
      </c>
      <c r="G213" t="s">
        <v>1048</v>
      </c>
      <c r="H213" t="s">
        <v>1048</v>
      </c>
      <c r="I213" t="s">
        <v>1048</v>
      </c>
      <c r="J213" t="s">
        <v>1048</v>
      </c>
      <c r="K213" t="s">
        <v>1048</v>
      </c>
      <c r="L213" t="s">
        <v>1048</v>
      </c>
      <c r="M213" t="s">
        <v>1047</v>
      </c>
      <c r="N213" t="s">
        <v>1047</v>
      </c>
      <c r="O213" t="s">
        <v>1048</v>
      </c>
      <c r="P213" t="s">
        <v>1047</v>
      </c>
      <c r="Q213" t="s">
        <v>1047</v>
      </c>
      <c r="R213" t="s">
        <v>1047</v>
      </c>
      <c r="S213" t="s">
        <v>1048</v>
      </c>
      <c r="T213" t="s">
        <v>1047</v>
      </c>
      <c r="U213" t="s">
        <v>1047</v>
      </c>
      <c r="V213" t="s">
        <v>1047</v>
      </c>
    </row>
    <row r="214" spans="1:22" x14ac:dyDescent="0.2">
      <c r="A214">
        <v>442483</v>
      </c>
      <c r="B214" t="s">
        <v>333</v>
      </c>
      <c r="C214">
        <v>29</v>
      </c>
      <c r="D214" s="368">
        <v>44316</v>
      </c>
      <c r="E214" t="s">
        <v>1047</v>
      </c>
      <c r="F214" s="368">
        <v>44104</v>
      </c>
      <c r="G214" t="s">
        <v>1048</v>
      </c>
      <c r="H214" t="s">
        <v>1048</v>
      </c>
      <c r="I214" t="s">
        <v>1048</v>
      </c>
      <c r="J214" t="s">
        <v>1048</v>
      </c>
      <c r="K214" t="s">
        <v>1048</v>
      </c>
      <c r="L214" t="s">
        <v>1048</v>
      </c>
      <c r="M214" t="s">
        <v>1048</v>
      </c>
      <c r="N214" t="s">
        <v>1048</v>
      </c>
      <c r="O214" t="s">
        <v>1048</v>
      </c>
      <c r="P214" t="s">
        <v>1047</v>
      </c>
      <c r="Q214" t="s">
        <v>1048</v>
      </c>
      <c r="R214" t="s">
        <v>1047</v>
      </c>
      <c r="S214" t="s">
        <v>1047</v>
      </c>
      <c r="T214" t="s">
        <v>1047</v>
      </c>
      <c r="U214" t="s">
        <v>1047</v>
      </c>
      <c r="V214" t="s">
        <v>1047</v>
      </c>
    </row>
    <row r="215" spans="1:22" x14ac:dyDescent="0.2">
      <c r="A215">
        <v>442897</v>
      </c>
      <c r="B215" t="s">
        <v>335</v>
      </c>
      <c r="C215">
        <v>21</v>
      </c>
      <c r="D215" s="368">
        <v>44227</v>
      </c>
      <c r="E215"/>
      <c r="F215"/>
      <c r="G215" t="s">
        <v>1048</v>
      </c>
      <c r="H215" t="s">
        <v>1048</v>
      </c>
      <c r="I215" t="s">
        <v>1048</v>
      </c>
      <c r="J215" t="s">
        <v>1048</v>
      </c>
      <c r="K215" t="s">
        <v>1048</v>
      </c>
      <c r="L215" t="s">
        <v>1048</v>
      </c>
      <c r="M215" t="s">
        <v>1048</v>
      </c>
      <c r="N215" t="s">
        <v>1048</v>
      </c>
      <c r="O215" t="s">
        <v>1048</v>
      </c>
      <c r="P215" t="s">
        <v>1048</v>
      </c>
      <c r="Q215" t="s">
        <v>1048</v>
      </c>
      <c r="R215" t="s">
        <v>1048</v>
      </c>
      <c r="S215" t="s">
        <v>1048</v>
      </c>
      <c r="T215" t="s">
        <v>1047</v>
      </c>
      <c r="U215" t="s">
        <v>1047</v>
      </c>
      <c r="V215" t="s">
        <v>1048</v>
      </c>
    </row>
    <row r="216" spans="1:22" x14ac:dyDescent="0.2">
      <c r="A216">
        <v>443721</v>
      </c>
      <c r="B216" t="s">
        <v>336</v>
      </c>
      <c r="C216"/>
      <c r="D216"/>
      <c r="E216" t="s">
        <v>1047</v>
      </c>
      <c r="F216" s="368">
        <v>43465</v>
      </c>
      <c r="G216" t="s">
        <v>1047</v>
      </c>
      <c r="H216" t="s">
        <v>1047</v>
      </c>
      <c r="I216" t="s">
        <v>1047</v>
      </c>
      <c r="J216" t="s">
        <v>1048</v>
      </c>
      <c r="K216" t="s">
        <v>1048</v>
      </c>
      <c r="L216" t="s">
        <v>1048</v>
      </c>
      <c r="M216" t="s">
        <v>1048</v>
      </c>
      <c r="N216" t="s">
        <v>1048</v>
      </c>
      <c r="O216" t="s">
        <v>1048</v>
      </c>
      <c r="P216" t="s">
        <v>1048</v>
      </c>
      <c r="Q216" t="s">
        <v>1048</v>
      </c>
      <c r="R216" t="s">
        <v>1048</v>
      </c>
      <c r="S216" t="s">
        <v>1048</v>
      </c>
      <c r="T216" t="s">
        <v>1048</v>
      </c>
      <c r="U216" t="s">
        <v>1048</v>
      </c>
      <c r="V216" t="s">
        <v>1048</v>
      </c>
    </row>
    <row r="217" spans="1:22" x14ac:dyDescent="0.2">
      <c r="A217">
        <v>443895</v>
      </c>
      <c r="B217" t="s">
        <v>512</v>
      </c>
      <c r="C217">
        <v>28</v>
      </c>
      <c r="D217" s="368">
        <v>44316</v>
      </c>
      <c r="E217" t="s">
        <v>1047</v>
      </c>
      <c r="F217" s="368">
        <v>43830</v>
      </c>
      <c r="G217" t="s">
        <v>1048</v>
      </c>
      <c r="H217" t="s">
        <v>1048</v>
      </c>
      <c r="I217" t="s">
        <v>1048</v>
      </c>
      <c r="J217" t="s">
        <v>1048</v>
      </c>
      <c r="K217" t="s">
        <v>1048</v>
      </c>
      <c r="L217" t="s">
        <v>1048</v>
      </c>
      <c r="M217" t="s">
        <v>1048</v>
      </c>
      <c r="N217" t="s">
        <v>1048</v>
      </c>
      <c r="O217" t="s">
        <v>1048</v>
      </c>
      <c r="P217" t="s">
        <v>1048</v>
      </c>
      <c r="Q217" t="s">
        <v>1048</v>
      </c>
      <c r="R217" t="s">
        <v>1048</v>
      </c>
      <c r="S217" t="s">
        <v>1048</v>
      </c>
      <c r="T217" t="s">
        <v>1047</v>
      </c>
      <c r="U217" t="s">
        <v>1047</v>
      </c>
      <c r="V217" t="s">
        <v>1047</v>
      </c>
    </row>
    <row r="218" spans="1:22" x14ac:dyDescent="0.2">
      <c r="A218">
        <v>444315</v>
      </c>
      <c r="B218" t="s">
        <v>977</v>
      </c>
      <c r="C218"/>
      <c r="D218"/>
      <c r="E218" t="s">
        <v>1047</v>
      </c>
      <c r="F218" s="368">
        <v>43830</v>
      </c>
      <c r="G218" t="s">
        <v>1048</v>
      </c>
      <c r="H218" t="s">
        <v>1048</v>
      </c>
      <c r="I218" t="s">
        <v>1048</v>
      </c>
      <c r="J218" t="s">
        <v>1048</v>
      </c>
      <c r="K218" t="s">
        <v>1048</v>
      </c>
      <c r="L218" t="s">
        <v>1048</v>
      </c>
      <c r="M218" t="s">
        <v>1048</v>
      </c>
      <c r="N218" t="s">
        <v>1047</v>
      </c>
      <c r="O218" t="s">
        <v>1047</v>
      </c>
      <c r="P218" t="s">
        <v>1047</v>
      </c>
      <c r="Q218" t="s">
        <v>1047</v>
      </c>
      <c r="R218" t="s">
        <v>1047</v>
      </c>
      <c r="S218" t="s">
        <v>1047</v>
      </c>
      <c r="T218" t="s">
        <v>1048</v>
      </c>
      <c r="U218" t="s">
        <v>1047</v>
      </c>
      <c r="V218" t="s">
        <v>1048</v>
      </c>
    </row>
    <row r="219" spans="1:22" x14ac:dyDescent="0.2">
      <c r="A219">
        <v>446088</v>
      </c>
      <c r="B219" t="s">
        <v>1084</v>
      </c>
      <c r="C219">
        <v>22</v>
      </c>
      <c r="D219" s="368">
        <v>44316</v>
      </c>
      <c r="E219" t="s">
        <v>1048</v>
      </c>
      <c r="F219" s="368">
        <v>44286</v>
      </c>
      <c r="G219" t="s">
        <v>1048</v>
      </c>
      <c r="H219" t="s">
        <v>1048</v>
      </c>
      <c r="I219" t="s">
        <v>1048</v>
      </c>
      <c r="J219" t="s">
        <v>1048</v>
      </c>
      <c r="K219" t="s">
        <v>1048</v>
      </c>
      <c r="L219" t="s">
        <v>1048</v>
      </c>
      <c r="M219" t="s">
        <v>1048</v>
      </c>
      <c r="N219" t="s">
        <v>1047</v>
      </c>
      <c r="O219" t="s">
        <v>1047</v>
      </c>
      <c r="P219" t="s">
        <v>1047</v>
      </c>
      <c r="Q219" t="s">
        <v>1047</v>
      </c>
      <c r="R219" t="s">
        <v>1047</v>
      </c>
      <c r="S219" t="s">
        <v>1047</v>
      </c>
      <c r="T219" t="s">
        <v>1048</v>
      </c>
      <c r="U219" t="s">
        <v>1047</v>
      </c>
      <c r="V219" t="s">
        <v>1048</v>
      </c>
    </row>
    <row r="220" spans="1:22" x14ac:dyDescent="0.2">
      <c r="A220">
        <v>447086</v>
      </c>
      <c r="B220" t="s">
        <v>337</v>
      </c>
      <c r="C220">
        <v>21</v>
      </c>
      <c r="D220" s="368">
        <v>44104</v>
      </c>
      <c r="E220" t="s">
        <v>1047</v>
      </c>
      <c r="F220" s="368">
        <v>43830</v>
      </c>
      <c r="G220" t="s">
        <v>1048</v>
      </c>
      <c r="H220" t="s">
        <v>1048</v>
      </c>
      <c r="I220" t="s">
        <v>1048</v>
      </c>
      <c r="J220" t="s">
        <v>1048</v>
      </c>
      <c r="K220" t="s">
        <v>1048</v>
      </c>
      <c r="L220" t="s">
        <v>1048</v>
      </c>
      <c r="M220" t="s">
        <v>1047</v>
      </c>
      <c r="N220" t="s">
        <v>1047</v>
      </c>
      <c r="O220" t="s">
        <v>1048</v>
      </c>
      <c r="P220" t="s">
        <v>1048</v>
      </c>
      <c r="Q220" t="s">
        <v>1048</v>
      </c>
      <c r="R220" t="s">
        <v>1048</v>
      </c>
      <c r="S220" t="s">
        <v>1047</v>
      </c>
      <c r="T220" t="s">
        <v>1047</v>
      </c>
      <c r="U220" t="s">
        <v>1047</v>
      </c>
      <c r="V220" t="s">
        <v>1048</v>
      </c>
    </row>
    <row r="221" spans="1:22" x14ac:dyDescent="0.2">
      <c r="A221">
        <v>449090</v>
      </c>
      <c r="B221" t="s">
        <v>339</v>
      </c>
      <c r="C221">
        <v>30</v>
      </c>
      <c r="D221" s="368">
        <v>44316</v>
      </c>
      <c r="E221" t="s">
        <v>1047</v>
      </c>
      <c r="F221" s="368">
        <v>44196</v>
      </c>
      <c r="G221" t="s">
        <v>1048</v>
      </c>
      <c r="H221" t="s">
        <v>1048</v>
      </c>
      <c r="I221" t="s">
        <v>1048</v>
      </c>
      <c r="J221" t="s">
        <v>1048</v>
      </c>
      <c r="K221" t="s">
        <v>1048</v>
      </c>
      <c r="L221" t="s">
        <v>1048</v>
      </c>
      <c r="M221" t="s">
        <v>1048</v>
      </c>
      <c r="N221" t="s">
        <v>1048</v>
      </c>
      <c r="O221" t="s">
        <v>1048</v>
      </c>
      <c r="P221" t="s">
        <v>1048</v>
      </c>
      <c r="Q221" t="s">
        <v>1048</v>
      </c>
      <c r="R221" t="s">
        <v>1048</v>
      </c>
      <c r="S221" t="s">
        <v>1048</v>
      </c>
      <c r="T221" t="s">
        <v>1048</v>
      </c>
      <c r="U221" t="s">
        <v>1047</v>
      </c>
      <c r="V221" t="s">
        <v>1047</v>
      </c>
    </row>
    <row r="222" spans="1:22" x14ac:dyDescent="0.2">
      <c r="A222">
        <v>450981</v>
      </c>
      <c r="B222" t="s">
        <v>340</v>
      </c>
      <c r="C222">
        <v>20</v>
      </c>
      <c r="D222" s="368">
        <v>44316</v>
      </c>
      <c r="E222" t="s">
        <v>1047</v>
      </c>
      <c r="F222" s="368">
        <v>43830</v>
      </c>
      <c r="G222" t="s">
        <v>1048</v>
      </c>
      <c r="H222" t="s">
        <v>1048</v>
      </c>
      <c r="I222" t="s">
        <v>1048</v>
      </c>
      <c r="J222" t="s">
        <v>1048</v>
      </c>
      <c r="K222" t="s">
        <v>1048</v>
      </c>
      <c r="L222" t="s">
        <v>1048</v>
      </c>
      <c r="M222" t="s">
        <v>1048</v>
      </c>
      <c r="N222" t="s">
        <v>1048</v>
      </c>
      <c r="O222" t="s">
        <v>1048</v>
      </c>
      <c r="P222" t="s">
        <v>1048</v>
      </c>
      <c r="Q222" t="s">
        <v>1048</v>
      </c>
      <c r="R222" t="s">
        <v>1048</v>
      </c>
      <c r="S222" t="s">
        <v>1048</v>
      </c>
      <c r="T222" t="s">
        <v>1048</v>
      </c>
      <c r="U222" t="s">
        <v>1047</v>
      </c>
      <c r="V222" t="s">
        <v>1047</v>
      </c>
    </row>
    <row r="223" spans="1:22" x14ac:dyDescent="0.2">
      <c r="A223">
        <v>456475</v>
      </c>
      <c r="B223" t="s">
        <v>341</v>
      </c>
      <c r="C223">
        <v>20</v>
      </c>
      <c r="D223" s="368">
        <v>44316</v>
      </c>
      <c r="E223" t="s">
        <v>1048</v>
      </c>
      <c r="F223" s="368">
        <v>44286</v>
      </c>
      <c r="G223" t="s">
        <v>1048</v>
      </c>
      <c r="H223" t="s">
        <v>1048</v>
      </c>
      <c r="I223" t="s">
        <v>1048</v>
      </c>
      <c r="J223" t="s">
        <v>1048</v>
      </c>
      <c r="K223" t="s">
        <v>1048</v>
      </c>
      <c r="L223" t="s">
        <v>1048</v>
      </c>
      <c r="M223" t="s">
        <v>1047</v>
      </c>
      <c r="N223" t="s">
        <v>1047</v>
      </c>
      <c r="O223" t="s">
        <v>1048</v>
      </c>
      <c r="P223" t="s">
        <v>1047</v>
      </c>
      <c r="Q223" t="s">
        <v>1047</v>
      </c>
      <c r="R223" t="s">
        <v>1047</v>
      </c>
      <c r="S223" t="s">
        <v>1047</v>
      </c>
      <c r="T223" t="s">
        <v>1047</v>
      </c>
      <c r="U223" t="s">
        <v>1047</v>
      </c>
      <c r="V223" t="s">
        <v>1047</v>
      </c>
    </row>
    <row r="224" spans="1:22" x14ac:dyDescent="0.2">
      <c r="A224">
        <v>459891</v>
      </c>
      <c r="B224" t="s">
        <v>1222</v>
      </c>
      <c r="C224">
        <v>25</v>
      </c>
      <c r="D224" s="368">
        <v>44316</v>
      </c>
      <c r="E224" t="s">
        <v>1047</v>
      </c>
      <c r="F224" s="368">
        <v>44286</v>
      </c>
      <c r="G224" t="s">
        <v>1048</v>
      </c>
      <c r="H224" t="s">
        <v>1048</v>
      </c>
      <c r="I224" t="s">
        <v>1048</v>
      </c>
      <c r="J224" t="s">
        <v>1048</v>
      </c>
      <c r="K224" t="s">
        <v>1048</v>
      </c>
      <c r="L224" t="s">
        <v>1048</v>
      </c>
      <c r="M224" t="s">
        <v>1048</v>
      </c>
      <c r="N224" t="s">
        <v>1048</v>
      </c>
      <c r="O224" t="s">
        <v>1048</v>
      </c>
      <c r="P224" t="s">
        <v>1048</v>
      </c>
      <c r="Q224" t="s">
        <v>1048</v>
      </c>
      <c r="R224" t="s">
        <v>1048</v>
      </c>
      <c r="S224" t="s">
        <v>1048</v>
      </c>
      <c r="T224" t="s">
        <v>1047</v>
      </c>
      <c r="U224" t="s">
        <v>1047</v>
      </c>
      <c r="V224" t="s">
        <v>1048</v>
      </c>
    </row>
    <row r="225" spans="1:22" x14ac:dyDescent="0.2">
      <c r="A225">
        <v>460899</v>
      </c>
      <c r="B225" t="s">
        <v>1128</v>
      </c>
      <c r="C225"/>
      <c r="D225"/>
      <c r="E225"/>
      <c r="F225"/>
      <c r="G225" t="s">
        <v>1047</v>
      </c>
      <c r="H225" t="s">
        <v>1047</v>
      </c>
      <c r="I225" t="s">
        <v>1047</v>
      </c>
      <c r="J225" t="s">
        <v>1048</v>
      </c>
      <c r="K225" t="s">
        <v>1048</v>
      </c>
      <c r="L225" t="s">
        <v>1047</v>
      </c>
      <c r="M225" t="s">
        <v>1047</v>
      </c>
      <c r="N225" t="s">
        <v>1047</v>
      </c>
      <c r="O225" t="s">
        <v>1047</v>
      </c>
      <c r="P225" t="s">
        <v>1047</v>
      </c>
      <c r="Q225" t="s">
        <v>1047</v>
      </c>
      <c r="R225" t="s">
        <v>1047</v>
      </c>
      <c r="S225" t="s">
        <v>1047</v>
      </c>
      <c r="T225" t="s">
        <v>1047</v>
      </c>
      <c r="U225" t="s">
        <v>1047</v>
      </c>
      <c r="V225" t="s">
        <v>1047</v>
      </c>
    </row>
    <row r="226" spans="1:22" x14ac:dyDescent="0.2">
      <c r="A226">
        <v>463141</v>
      </c>
      <c r="B226" t="s">
        <v>342</v>
      </c>
      <c r="C226">
        <v>21</v>
      </c>
      <c r="D226" s="368">
        <v>44316</v>
      </c>
      <c r="E226" t="s">
        <v>1048</v>
      </c>
      <c r="F226" s="368">
        <v>44286</v>
      </c>
      <c r="G226" t="s">
        <v>1048</v>
      </c>
      <c r="H226" t="s">
        <v>1048</v>
      </c>
      <c r="I226" t="s">
        <v>1048</v>
      </c>
      <c r="J226" t="s">
        <v>1048</v>
      </c>
      <c r="K226" t="s">
        <v>1048</v>
      </c>
      <c r="L226" t="s">
        <v>1048</v>
      </c>
      <c r="M226" t="s">
        <v>1048</v>
      </c>
      <c r="N226" t="s">
        <v>1048</v>
      </c>
      <c r="O226" t="s">
        <v>1048</v>
      </c>
      <c r="P226" t="s">
        <v>1048</v>
      </c>
      <c r="Q226" t="s">
        <v>1048</v>
      </c>
      <c r="R226" t="s">
        <v>1048</v>
      </c>
      <c r="S226" t="s">
        <v>1048</v>
      </c>
      <c r="T226" t="s">
        <v>1047</v>
      </c>
      <c r="U226" t="s">
        <v>1047</v>
      </c>
      <c r="V226" t="s">
        <v>1048</v>
      </c>
    </row>
    <row r="227" spans="1:22" x14ac:dyDescent="0.2">
      <c r="A227">
        <v>465147</v>
      </c>
      <c r="B227" t="s">
        <v>1011</v>
      </c>
      <c r="C227">
        <v>23</v>
      </c>
      <c r="D227" s="368">
        <v>44316</v>
      </c>
      <c r="E227" t="s">
        <v>1047</v>
      </c>
      <c r="F227" s="368">
        <v>44286</v>
      </c>
      <c r="G227" t="s">
        <v>1048</v>
      </c>
      <c r="H227" t="s">
        <v>1048</v>
      </c>
      <c r="I227" t="s">
        <v>1048</v>
      </c>
      <c r="J227" t="s">
        <v>1048</v>
      </c>
      <c r="K227" t="s">
        <v>1048</v>
      </c>
      <c r="L227" t="s">
        <v>1048</v>
      </c>
      <c r="M227" t="s">
        <v>1047</v>
      </c>
      <c r="N227" t="s">
        <v>1047</v>
      </c>
      <c r="O227" t="s">
        <v>1047</v>
      </c>
      <c r="P227" t="s">
        <v>1047</v>
      </c>
      <c r="Q227" t="s">
        <v>1047</v>
      </c>
      <c r="R227" t="s">
        <v>1047</v>
      </c>
      <c r="S227" t="s">
        <v>1047</v>
      </c>
      <c r="T227" t="s">
        <v>1047</v>
      </c>
      <c r="U227" t="s">
        <v>1047</v>
      </c>
      <c r="V227" t="s">
        <v>1047</v>
      </c>
    </row>
    <row r="228" spans="1:22" x14ac:dyDescent="0.2">
      <c r="A228">
        <v>465914</v>
      </c>
      <c r="B228" t="s">
        <v>531</v>
      </c>
      <c r="C228">
        <v>20</v>
      </c>
      <c r="D228" s="368">
        <v>44316</v>
      </c>
      <c r="E228" t="s">
        <v>1048</v>
      </c>
      <c r="F228" s="368">
        <v>44286</v>
      </c>
      <c r="G228" t="s">
        <v>1048</v>
      </c>
      <c r="H228" t="s">
        <v>1048</v>
      </c>
      <c r="I228" t="s">
        <v>1048</v>
      </c>
      <c r="J228" t="s">
        <v>1048</v>
      </c>
      <c r="K228" t="s">
        <v>1048</v>
      </c>
      <c r="L228" t="s">
        <v>1048</v>
      </c>
      <c r="M228" t="s">
        <v>1048</v>
      </c>
      <c r="N228" t="s">
        <v>1048</v>
      </c>
      <c r="O228" t="s">
        <v>1048</v>
      </c>
      <c r="P228" t="s">
        <v>1048</v>
      </c>
      <c r="Q228" t="s">
        <v>1048</v>
      </c>
      <c r="R228" t="s">
        <v>1048</v>
      </c>
      <c r="S228" t="s">
        <v>1047</v>
      </c>
      <c r="T228" t="s">
        <v>1047</v>
      </c>
      <c r="U228" t="s">
        <v>1047</v>
      </c>
      <c r="V228" t="s">
        <v>1048</v>
      </c>
    </row>
    <row r="229" spans="1:22" x14ac:dyDescent="0.2">
      <c r="A229">
        <v>469692</v>
      </c>
      <c r="B229" t="s">
        <v>1223</v>
      </c>
      <c r="C229">
        <v>31</v>
      </c>
      <c r="D229" s="368">
        <v>44316</v>
      </c>
      <c r="E229" t="s">
        <v>1047</v>
      </c>
      <c r="F229" s="368">
        <v>44286</v>
      </c>
      <c r="G229" t="s">
        <v>1048</v>
      </c>
      <c r="H229" t="s">
        <v>1048</v>
      </c>
      <c r="I229" t="s">
        <v>1048</v>
      </c>
      <c r="J229" t="s">
        <v>1048</v>
      </c>
      <c r="K229" t="s">
        <v>1048</v>
      </c>
      <c r="L229" t="s">
        <v>1048</v>
      </c>
      <c r="M229" t="s">
        <v>1047</v>
      </c>
      <c r="N229" t="s">
        <v>1047</v>
      </c>
      <c r="O229" t="s">
        <v>1047</v>
      </c>
      <c r="P229" t="s">
        <v>1047</v>
      </c>
      <c r="Q229" t="s">
        <v>1047</v>
      </c>
      <c r="R229" t="s">
        <v>1047</v>
      </c>
      <c r="S229" t="s">
        <v>1047</v>
      </c>
      <c r="T229" t="s">
        <v>1047</v>
      </c>
      <c r="U229" t="s">
        <v>1047</v>
      </c>
      <c r="V229" t="s">
        <v>1047</v>
      </c>
    </row>
    <row r="230" spans="1:22" x14ac:dyDescent="0.2">
      <c r="A230">
        <v>469817</v>
      </c>
      <c r="B230" t="s">
        <v>343</v>
      </c>
      <c r="C230"/>
      <c r="D230"/>
      <c r="E230" t="s">
        <v>1047</v>
      </c>
      <c r="F230" s="368">
        <v>43738</v>
      </c>
      <c r="G230" t="s">
        <v>1048</v>
      </c>
      <c r="H230" t="s">
        <v>1048</v>
      </c>
      <c r="I230" t="s">
        <v>1048</v>
      </c>
      <c r="J230" t="s">
        <v>1048</v>
      </c>
      <c r="K230" t="s">
        <v>1048</v>
      </c>
      <c r="L230" t="s">
        <v>1048</v>
      </c>
      <c r="M230" t="s">
        <v>1047</v>
      </c>
      <c r="N230" t="s">
        <v>1047</v>
      </c>
      <c r="O230" t="s">
        <v>1048</v>
      </c>
      <c r="P230" t="s">
        <v>1047</v>
      </c>
      <c r="Q230" t="s">
        <v>1047</v>
      </c>
      <c r="R230" t="s">
        <v>1047</v>
      </c>
      <c r="S230" t="s">
        <v>1048</v>
      </c>
      <c r="T230" t="s">
        <v>1047</v>
      </c>
      <c r="U230" t="s">
        <v>1047</v>
      </c>
      <c r="V230" t="s">
        <v>1047</v>
      </c>
    </row>
    <row r="231" spans="1:22" x14ac:dyDescent="0.2">
      <c r="A231">
        <v>470104</v>
      </c>
      <c r="B231" t="s">
        <v>344</v>
      </c>
      <c r="C231">
        <v>24</v>
      </c>
      <c r="D231" s="368">
        <v>44316</v>
      </c>
      <c r="E231" t="s">
        <v>1048</v>
      </c>
      <c r="F231" s="368">
        <v>44286</v>
      </c>
      <c r="G231" t="s">
        <v>1048</v>
      </c>
      <c r="H231" t="s">
        <v>1048</v>
      </c>
      <c r="I231" t="s">
        <v>1047</v>
      </c>
      <c r="J231" t="s">
        <v>1048</v>
      </c>
      <c r="K231" t="s">
        <v>1048</v>
      </c>
      <c r="L231" t="s">
        <v>1048</v>
      </c>
      <c r="M231" t="s">
        <v>1047</v>
      </c>
      <c r="N231" t="s">
        <v>1047</v>
      </c>
      <c r="O231" t="s">
        <v>1048</v>
      </c>
      <c r="P231" t="s">
        <v>1047</v>
      </c>
      <c r="Q231" t="s">
        <v>1047</v>
      </c>
      <c r="R231" t="s">
        <v>1047</v>
      </c>
      <c r="S231" t="s">
        <v>1047</v>
      </c>
      <c r="T231" t="s">
        <v>1047</v>
      </c>
      <c r="U231" t="s">
        <v>1047</v>
      </c>
      <c r="V231" t="s">
        <v>1047</v>
      </c>
    </row>
    <row r="232" spans="1:22" x14ac:dyDescent="0.2">
      <c r="A232">
        <v>475301</v>
      </c>
      <c r="B232" t="s">
        <v>345</v>
      </c>
      <c r="C232">
        <v>19</v>
      </c>
      <c r="D232" s="368">
        <v>44316</v>
      </c>
      <c r="E232" t="s">
        <v>1048</v>
      </c>
      <c r="F232" s="368">
        <v>44286</v>
      </c>
      <c r="G232" t="s">
        <v>1048</v>
      </c>
      <c r="H232" t="s">
        <v>1048</v>
      </c>
      <c r="I232" t="s">
        <v>1048</v>
      </c>
      <c r="J232" t="s">
        <v>1048</v>
      </c>
      <c r="K232" t="s">
        <v>1048</v>
      </c>
      <c r="L232" t="s">
        <v>1048</v>
      </c>
      <c r="M232" t="s">
        <v>1047</v>
      </c>
      <c r="N232" t="s">
        <v>1047</v>
      </c>
      <c r="O232" t="s">
        <v>1048</v>
      </c>
      <c r="P232" t="s">
        <v>1047</v>
      </c>
      <c r="Q232" t="s">
        <v>1047</v>
      </c>
      <c r="R232" t="s">
        <v>1047</v>
      </c>
      <c r="S232" t="s">
        <v>1048</v>
      </c>
      <c r="T232" t="s">
        <v>1047</v>
      </c>
      <c r="U232" t="s">
        <v>1047</v>
      </c>
      <c r="V232" t="s">
        <v>1047</v>
      </c>
    </row>
    <row r="233" spans="1:22" x14ac:dyDescent="0.2">
      <c r="A233">
        <v>477729</v>
      </c>
      <c r="B233" t="s">
        <v>978</v>
      </c>
      <c r="C233">
        <v>24</v>
      </c>
      <c r="D233" s="368">
        <v>44316</v>
      </c>
      <c r="E233" t="s">
        <v>1048</v>
      </c>
      <c r="F233" s="368">
        <v>44286</v>
      </c>
      <c r="G233" t="s">
        <v>1048</v>
      </c>
      <c r="H233" t="s">
        <v>1048</v>
      </c>
      <c r="I233" t="s">
        <v>1048</v>
      </c>
      <c r="J233" t="s">
        <v>1048</v>
      </c>
      <c r="K233" t="s">
        <v>1048</v>
      </c>
      <c r="L233" t="s">
        <v>1047</v>
      </c>
      <c r="M233" t="s">
        <v>1048</v>
      </c>
      <c r="N233" t="s">
        <v>1047</v>
      </c>
      <c r="O233" t="s">
        <v>1047</v>
      </c>
      <c r="P233" t="s">
        <v>1047</v>
      </c>
      <c r="Q233" t="s">
        <v>1047</v>
      </c>
      <c r="R233" t="s">
        <v>1047</v>
      </c>
      <c r="S233" t="s">
        <v>1047</v>
      </c>
      <c r="T233" t="s">
        <v>1047</v>
      </c>
      <c r="U233" t="s">
        <v>1047</v>
      </c>
      <c r="V233" t="s">
        <v>1048</v>
      </c>
    </row>
    <row r="234" spans="1:22" x14ac:dyDescent="0.2">
      <c r="A234">
        <v>478313</v>
      </c>
      <c r="B234" t="s">
        <v>1183</v>
      </c>
      <c r="C234">
        <v>18</v>
      </c>
      <c r="D234" s="368">
        <v>44316</v>
      </c>
      <c r="E234" t="s">
        <v>1047</v>
      </c>
      <c r="F234" s="368">
        <v>43830</v>
      </c>
      <c r="G234" t="s">
        <v>1048</v>
      </c>
      <c r="H234" t="s">
        <v>1048</v>
      </c>
      <c r="I234" t="s">
        <v>1048</v>
      </c>
      <c r="J234" t="s">
        <v>1048</v>
      </c>
      <c r="K234" t="s">
        <v>1048</v>
      </c>
      <c r="L234" t="s">
        <v>1048</v>
      </c>
      <c r="M234" t="s">
        <v>1048</v>
      </c>
      <c r="N234" t="s">
        <v>1048</v>
      </c>
      <c r="O234" t="s">
        <v>1048</v>
      </c>
      <c r="P234" t="s">
        <v>1048</v>
      </c>
      <c r="Q234" t="s">
        <v>1048</v>
      </c>
      <c r="R234" t="s">
        <v>1048</v>
      </c>
      <c r="S234" t="s">
        <v>1048</v>
      </c>
      <c r="T234" t="s">
        <v>1048</v>
      </c>
      <c r="U234" t="s">
        <v>1047</v>
      </c>
      <c r="V234" t="s">
        <v>1048</v>
      </c>
    </row>
    <row r="235" spans="1:22" x14ac:dyDescent="0.2">
      <c r="A235">
        <v>479550</v>
      </c>
      <c r="B235" t="s">
        <v>347</v>
      </c>
      <c r="C235">
        <v>21</v>
      </c>
      <c r="D235" s="368">
        <v>44316</v>
      </c>
      <c r="E235" t="s">
        <v>1048</v>
      </c>
      <c r="F235" s="368">
        <v>44286</v>
      </c>
      <c r="G235" t="s">
        <v>1047</v>
      </c>
      <c r="H235" t="s">
        <v>1047</v>
      </c>
      <c r="I235" t="s">
        <v>1048</v>
      </c>
      <c r="J235" t="s">
        <v>1048</v>
      </c>
      <c r="K235" t="s">
        <v>1048</v>
      </c>
      <c r="L235" t="s">
        <v>1048</v>
      </c>
      <c r="M235" t="s">
        <v>1048</v>
      </c>
      <c r="N235" t="s">
        <v>1048</v>
      </c>
      <c r="O235" t="s">
        <v>1048</v>
      </c>
      <c r="P235" t="s">
        <v>1047</v>
      </c>
      <c r="Q235" t="s">
        <v>1048</v>
      </c>
      <c r="R235" t="s">
        <v>1047</v>
      </c>
      <c r="S235" t="s">
        <v>1047</v>
      </c>
      <c r="T235" t="s">
        <v>1047</v>
      </c>
      <c r="U235" t="s">
        <v>1047</v>
      </c>
      <c r="V235" t="s">
        <v>1047</v>
      </c>
    </row>
    <row r="236" spans="1:22" x14ac:dyDescent="0.2">
      <c r="A236">
        <v>479725</v>
      </c>
      <c r="B236" t="s">
        <v>157</v>
      </c>
      <c r="C236">
        <v>20</v>
      </c>
      <c r="D236" s="368">
        <v>44316</v>
      </c>
      <c r="E236" t="s">
        <v>1048</v>
      </c>
      <c r="F236" s="368">
        <v>44286</v>
      </c>
      <c r="G236" t="s">
        <v>1048</v>
      </c>
      <c r="H236" t="s">
        <v>1048</v>
      </c>
      <c r="I236" t="s">
        <v>1048</v>
      </c>
      <c r="J236" t="s">
        <v>1048</v>
      </c>
      <c r="K236" t="s">
        <v>1048</v>
      </c>
      <c r="L236" t="s">
        <v>1048</v>
      </c>
      <c r="M236" t="s">
        <v>1048</v>
      </c>
      <c r="N236" t="s">
        <v>1048</v>
      </c>
      <c r="O236" t="s">
        <v>1048</v>
      </c>
      <c r="P236" t="s">
        <v>1048</v>
      </c>
      <c r="Q236" t="s">
        <v>1048</v>
      </c>
      <c r="R236" t="s">
        <v>1048</v>
      </c>
      <c r="S236" t="s">
        <v>1048</v>
      </c>
      <c r="T236" t="s">
        <v>1047</v>
      </c>
      <c r="U236" t="s">
        <v>1047</v>
      </c>
      <c r="V236" t="s">
        <v>1047</v>
      </c>
    </row>
    <row r="237" spans="1:22" x14ac:dyDescent="0.2">
      <c r="A237">
        <v>479840</v>
      </c>
      <c r="B237" t="s">
        <v>348</v>
      </c>
      <c r="C237">
        <v>21</v>
      </c>
      <c r="D237" s="368">
        <v>44316</v>
      </c>
      <c r="E237" t="s">
        <v>1047</v>
      </c>
      <c r="F237" s="368">
        <v>44286</v>
      </c>
      <c r="G237" t="s">
        <v>1048</v>
      </c>
      <c r="H237" t="s">
        <v>1048</v>
      </c>
      <c r="I237" t="s">
        <v>1048</v>
      </c>
      <c r="J237" t="s">
        <v>1048</v>
      </c>
      <c r="K237" t="s">
        <v>1048</v>
      </c>
      <c r="L237" t="s">
        <v>1048</v>
      </c>
      <c r="M237" t="s">
        <v>1047</v>
      </c>
      <c r="N237" t="s">
        <v>1047</v>
      </c>
      <c r="O237" t="s">
        <v>1048</v>
      </c>
      <c r="P237" t="s">
        <v>1047</v>
      </c>
      <c r="Q237" t="s">
        <v>1047</v>
      </c>
      <c r="R237" t="s">
        <v>1047</v>
      </c>
      <c r="S237" t="s">
        <v>1047</v>
      </c>
      <c r="T237" t="s">
        <v>1047</v>
      </c>
      <c r="U237" t="s">
        <v>1047</v>
      </c>
      <c r="V237" t="s">
        <v>1047</v>
      </c>
    </row>
    <row r="238" spans="1:22" x14ac:dyDescent="0.2">
      <c r="A238">
        <v>480145</v>
      </c>
      <c r="B238" t="s">
        <v>349</v>
      </c>
      <c r="C238"/>
      <c r="D238"/>
      <c r="E238" t="s">
        <v>1047</v>
      </c>
      <c r="F238" s="368">
        <v>43830</v>
      </c>
      <c r="G238" t="s">
        <v>1048</v>
      </c>
      <c r="H238" t="s">
        <v>1048</v>
      </c>
      <c r="I238" t="s">
        <v>1048</v>
      </c>
      <c r="J238" t="s">
        <v>1048</v>
      </c>
      <c r="K238" t="s">
        <v>1048</v>
      </c>
      <c r="L238" t="s">
        <v>1048</v>
      </c>
      <c r="M238" t="s">
        <v>1048</v>
      </c>
      <c r="N238" t="s">
        <v>1047</v>
      </c>
      <c r="O238" t="s">
        <v>1047</v>
      </c>
      <c r="P238" t="s">
        <v>1047</v>
      </c>
      <c r="Q238" t="s">
        <v>1047</v>
      </c>
      <c r="R238" t="s">
        <v>1047</v>
      </c>
      <c r="S238" t="s">
        <v>1047</v>
      </c>
      <c r="T238" t="s">
        <v>1048</v>
      </c>
      <c r="U238" t="s">
        <v>1047</v>
      </c>
      <c r="V238" t="s">
        <v>1048</v>
      </c>
    </row>
    <row r="239" spans="1:22" x14ac:dyDescent="0.2">
      <c r="A239">
        <v>481911</v>
      </c>
      <c r="B239" t="s">
        <v>1085</v>
      </c>
      <c r="C239">
        <v>33</v>
      </c>
      <c r="D239" s="368">
        <v>44316</v>
      </c>
      <c r="E239" t="s">
        <v>1047</v>
      </c>
      <c r="F239" s="368">
        <v>44286</v>
      </c>
      <c r="G239" t="s">
        <v>1048</v>
      </c>
      <c r="H239" t="s">
        <v>1048</v>
      </c>
      <c r="I239" t="s">
        <v>1048</v>
      </c>
      <c r="J239" t="s">
        <v>1048</v>
      </c>
      <c r="K239" t="s">
        <v>1048</v>
      </c>
      <c r="L239" t="s">
        <v>1048</v>
      </c>
      <c r="M239" t="s">
        <v>1048</v>
      </c>
      <c r="N239" t="s">
        <v>1047</v>
      </c>
      <c r="O239" t="s">
        <v>1047</v>
      </c>
      <c r="P239" t="s">
        <v>1047</v>
      </c>
      <c r="Q239" t="s">
        <v>1047</v>
      </c>
      <c r="R239" t="s">
        <v>1047</v>
      </c>
      <c r="S239" t="s">
        <v>1047</v>
      </c>
      <c r="T239" t="s">
        <v>1048</v>
      </c>
      <c r="U239" t="s">
        <v>1047</v>
      </c>
      <c r="V239" t="s">
        <v>1048</v>
      </c>
    </row>
    <row r="240" spans="1:22" x14ac:dyDescent="0.2">
      <c r="A240">
        <v>484923</v>
      </c>
      <c r="B240" t="s">
        <v>350</v>
      </c>
      <c r="C240">
        <v>22</v>
      </c>
      <c r="D240" s="368">
        <v>44316</v>
      </c>
      <c r="E240" t="s">
        <v>1048</v>
      </c>
      <c r="F240" s="368">
        <v>44286</v>
      </c>
      <c r="G240" t="s">
        <v>1048</v>
      </c>
      <c r="H240" t="s">
        <v>1048</v>
      </c>
      <c r="I240" t="s">
        <v>1048</v>
      </c>
      <c r="J240" t="s">
        <v>1048</v>
      </c>
      <c r="K240" t="s">
        <v>1048</v>
      </c>
      <c r="L240" t="s">
        <v>1048</v>
      </c>
      <c r="M240" t="s">
        <v>1048</v>
      </c>
      <c r="N240" t="s">
        <v>1048</v>
      </c>
      <c r="O240" t="s">
        <v>1048</v>
      </c>
      <c r="P240" t="s">
        <v>1048</v>
      </c>
      <c r="Q240" t="s">
        <v>1048</v>
      </c>
      <c r="R240" t="s">
        <v>1048</v>
      </c>
      <c r="S240" t="s">
        <v>1048</v>
      </c>
      <c r="T240" t="s">
        <v>1048</v>
      </c>
      <c r="U240" t="s">
        <v>1047</v>
      </c>
      <c r="V240" t="s">
        <v>1047</v>
      </c>
    </row>
    <row r="241" spans="1:22" x14ac:dyDescent="0.2">
      <c r="A241">
        <v>484980</v>
      </c>
      <c r="B241" t="s">
        <v>351</v>
      </c>
      <c r="C241">
        <v>21</v>
      </c>
      <c r="D241" s="368">
        <v>44316</v>
      </c>
      <c r="E241" t="s">
        <v>1048</v>
      </c>
      <c r="F241" s="368">
        <v>44286</v>
      </c>
      <c r="G241" t="s">
        <v>1048</v>
      </c>
      <c r="H241" t="s">
        <v>1048</v>
      </c>
      <c r="I241" t="s">
        <v>1048</v>
      </c>
      <c r="J241" t="s">
        <v>1048</v>
      </c>
      <c r="K241" t="s">
        <v>1048</v>
      </c>
      <c r="L241" t="s">
        <v>1048</v>
      </c>
      <c r="M241" t="s">
        <v>1048</v>
      </c>
      <c r="N241" t="s">
        <v>1048</v>
      </c>
      <c r="O241" t="s">
        <v>1048</v>
      </c>
      <c r="P241" t="s">
        <v>1048</v>
      </c>
      <c r="Q241" t="s">
        <v>1048</v>
      </c>
      <c r="R241" t="s">
        <v>1048</v>
      </c>
      <c r="S241" t="s">
        <v>1048</v>
      </c>
      <c r="T241" t="s">
        <v>1047</v>
      </c>
      <c r="U241" t="s">
        <v>1047</v>
      </c>
      <c r="V241" t="s">
        <v>1047</v>
      </c>
    </row>
    <row r="242" spans="1:22" x14ac:dyDescent="0.2">
      <c r="A242">
        <v>487108</v>
      </c>
      <c r="B242" t="s">
        <v>352</v>
      </c>
      <c r="C242">
        <v>20</v>
      </c>
      <c r="D242" s="368">
        <v>44316</v>
      </c>
      <c r="E242" t="s">
        <v>1047</v>
      </c>
      <c r="F242" s="368">
        <v>43830</v>
      </c>
      <c r="G242" t="s">
        <v>1048</v>
      </c>
      <c r="H242" t="s">
        <v>1048</v>
      </c>
      <c r="I242" t="s">
        <v>1048</v>
      </c>
      <c r="J242" t="s">
        <v>1048</v>
      </c>
      <c r="K242" t="s">
        <v>1048</v>
      </c>
      <c r="L242" t="s">
        <v>1048</v>
      </c>
      <c r="M242" t="s">
        <v>1047</v>
      </c>
      <c r="N242" t="s">
        <v>1048</v>
      </c>
      <c r="O242" t="s">
        <v>1048</v>
      </c>
      <c r="P242" t="s">
        <v>1048</v>
      </c>
      <c r="Q242" t="s">
        <v>1048</v>
      </c>
      <c r="R242" t="s">
        <v>1047</v>
      </c>
      <c r="S242" t="s">
        <v>1047</v>
      </c>
      <c r="T242" t="s">
        <v>1047</v>
      </c>
      <c r="U242" t="s">
        <v>1047</v>
      </c>
      <c r="V242" t="s">
        <v>1048</v>
      </c>
    </row>
    <row r="243" spans="1:22" x14ac:dyDescent="0.2">
      <c r="A243">
        <v>490292</v>
      </c>
      <c r="B243" t="s">
        <v>353</v>
      </c>
      <c r="C243">
        <v>22</v>
      </c>
      <c r="D243" s="368">
        <v>44316</v>
      </c>
      <c r="E243" t="s">
        <v>1048</v>
      </c>
      <c r="F243" s="368">
        <v>44286</v>
      </c>
      <c r="G243" t="s">
        <v>1048</v>
      </c>
      <c r="H243" t="s">
        <v>1048</v>
      </c>
      <c r="I243" t="s">
        <v>1048</v>
      </c>
      <c r="J243" t="s">
        <v>1048</v>
      </c>
      <c r="K243" t="s">
        <v>1048</v>
      </c>
      <c r="L243" t="s">
        <v>1048</v>
      </c>
      <c r="M243" t="s">
        <v>1048</v>
      </c>
      <c r="N243" t="s">
        <v>1048</v>
      </c>
      <c r="O243" t="s">
        <v>1048</v>
      </c>
      <c r="P243" t="s">
        <v>1048</v>
      </c>
      <c r="Q243" t="s">
        <v>1048</v>
      </c>
      <c r="R243" t="s">
        <v>1048</v>
      </c>
      <c r="S243" t="s">
        <v>1048</v>
      </c>
      <c r="T243" t="s">
        <v>1048</v>
      </c>
      <c r="U243" t="s">
        <v>1047</v>
      </c>
      <c r="V243" t="s">
        <v>1048</v>
      </c>
    </row>
    <row r="244" spans="1:22" x14ac:dyDescent="0.2">
      <c r="A244">
        <v>492306</v>
      </c>
      <c r="B244" t="s">
        <v>354</v>
      </c>
      <c r="C244">
        <v>21</v>
      </c>
      <c r="D244" s="368">
        <v>44316</v>
      </c>
      <c r="E244" t="s">
        <v>1047</v>
      </c>
      <c r="F244" s="368">
        <v>44286</v>
      </c>
      <c r="G244" t="s">
        <v>1048</v>
      </c>
      <c r="H244" t="s">
        <v>1048</v>
      </c>
      <c r="I244" t="s">
        <v>1048</v>
      </c>
      <c r="J244" t="s">
        <v>1048</v>
      </c>
      <c r="K244" t="s">
        <v>1048</v>
      </c>
      <c r="L244" t="s">
        <v>1048</v>
      </c>
      <c r="M244" t="s">
        <v>1047</v>
      </c>
      <c r="N244" t="s">
        <v>1047</v>
      </c>
      <c r="O244" t="s">
        <v>1048</v>
      </c>
      <c r="P244" t="s">
        <v>1047</v>
      </c>
      <c r="Q244" t="s">
        <v>1047</v>
      </c>
      <c r="R244" t="s">
        <v>1047</v>
      </c>
      <c r="S244" t="s">
        <v>1047</v>
      </c>
      <c r="T244" t="s">
        <v>1047</v>
      </c>
      <c r="U244" t="s">
        <v>1047</v>
      </c>
      <c r="V244" t="s">
        <v>1047</v>
      </c>
    </row>
    <row r="245" spans="1:22" x14ac:dyDescent="0.2">
      <c r="A245">
        <v>494427</v>
      </c>
      <c r="B245" t="s">
        <v>1224</v>
      </c>
      <c r="C245">
        <v>24</v>
      </c>
      <c r="D245" s="368">
        <v>44316</v>
      </c>
      <c r="E245" t="s">
        <v>1048</v>
      </c>
      <c r="F245" s="368">
        <v>44286</v>
      </c>
      <c r="G245" t="s">
        <v>1048</v>
      </c>
      <c r="H245" t="s">
        <v>1048</v>
      </c>
      <c r="I245" t="s">
        <v>1048</v>
      </c>
      <c r="J245" t="s">
        <v>1048</v>
      </c>
      <c r="K245" t="s">
        <v>1048</v>
      </c>
      <c r="L245" t="s">
        <v>1048</v>
      </c>
      <c r="M245" t="s">
        <v>1047</v>
      </c>
      <c r="N245" t="s">
        <v>1047</v>
      </c>
      <c r="O245" t="s">
        <v>1048</v>
      </c>
      <c r="P245" t="s">
        <v>1047</v>
      </c>
      <c r="Q245" t="s">
        <v>1047</v>
      </c>
      <c r="R245" t="s">
        <v>1048</v>
      </c>
      <c r="S245" t="s">
        <v>1047</v>
      </c>
      <c r="T245" t="s">
        <v>1047</v>
      </c>
      <c r="U245" t="s">
        <v>1047</v>
      </c>
      <c r="V245" t="s">
        <v>1047</v>
      </c>
    </row>
    <row r="246" spans="1:22" x14ac:dyDescent="0.2">
      <c r="A246">
        <v>496497</v>
      </c>
      <c r="B246" t="s">
        <v>532</v>
      </c>
      <c r="C246"/>
      <c r="D246"/>
      <c r="E246" t="s">
        <v>1047</v>
      </c>
      <c r="F246" s="368">
        <v>43465</v>
      </c>
      <c r="G246" t="s">
        <v>1047</v>
      </c>
      <c r="H246" t="s">
        <v>1047</v>
      </c>
      <c r="I246" t="s">
        <v>1047</v>
      </c>
      <c r="J246" t="s">
        <v>1048</v>
      </c>
      <c r="K246" t="s">
        <v>1048</v>
      </c>
      <c r="L246" t="s">
        <v>1048</v>
      </c>
      <c r="M246" t="s">
        <v>1048</v>
      </c>
      <c r="N246" t="s">
        <v>1048</v>
      </c>
      <c r="O246" t="s">
        <v>1048</v>
      </c>
      <c r="P246" t="s">
        <v>1048</v>
      </c>
      <c r="Q246" t="s">
        <v>1048</v>
      </c>
      <c r="R246" t="s">
        <v>1048</v>
      </c>
      <c r="S246" t="s">
        <v>1048</v>
      </c>
      <c r="T246" t="s">
        <v>1048</v>
      </c>
      <c r="U246" t="s">
        <v>1047</v>
      </c>
      <c r="V246" t="s">
        <v>1047</v>
      </c>
    </row>
    <row r="247" spans="1:22" x14ac:dyDescent="0.2">
      <c r="A247">
        <v>496729</v>
      </c>
      <c r="B247" t="s">
        <v>1012</v>
      </c>
      <c r="C247">
        <v>20</v>
      </c>
      <c r="D247" s="368">
        <v>44316</v>
      </c>
      <c r="E247" t="s">
        <v>1048</v>
      </c>
      <c r="F247" s="368">
        <v>44286</v>
      </c>
      <c r="G247" t="s">
        <v>1047</v>
      </c>
      <c r="H247" t="s">
        <v>1047</v>
      </c>
      <c r="I247" t="s">
        <v>1047</v>
      </c>
      <c r="J247" t="s">
        <v>1048</v>
      </c>
      <c r="K247" t="s">
        <v>1048</v>
      </c>
      <c r="L247" t="s">
        <v>1047</v>
      </c>
      <c r="M247" t="s">
        <v>1047</v>
      </c>
      <c r="N247" t="s">
        <v>1047</v>
      </c>
      <c r="O247" t="s">
        <v>1047</v>
      </c>
      <c r="P247" t="s">
        <v>1047</v>
      </c>
      <c r="Q247" t="s">
        <v>1047</v>
      </c>
      <c r="R247" t="s">
        <v>1047</v>
      </c>
      <c r="S247" t="s">
        <v>1047</v>
      </c>
      <c r="T247" t="s">
        <v>1047</v>
      </c>
      <c r="U247" t="s">
        <v>1047</v>
      </c>
      <c r="V247" t="s">
        <v>1047</v>
      </c>
    </row>
    <row r="248" spans="1:22" x14ac:dyDescent="0.2">
      <c r="A248">
        <v>498972</v>
      </c>
      <c r="B248" t="s">
        <v>355</v>
      </c>
      <c r="C248">
        <v>21</v>
      </c>
      <c r="D248" s="368">
        <v>44316</v>
      </c>
      <c r="E248" t="s">
        <v>1048</v>
      </c>
      <c r="F248" s="368">
        <v>44286</v>
      </c>
      <c r="G248" t="s">
        <v>1048</v>
      </c>
      <c r="H248" t="s">
        <v>1048</v>
      </c>
      <c r="I248" t="s">
        <v>1048</v>
      </c>
      <c r="J248" t="s">
        <v>1048</v>
      </c>
      <c r="K248" t="s">
        <v>1048</v>
      </c>
      <c r="L248" t="s">
        <v>1048</v>
      </c>
      <c r="M248" t="s">
        <v>1048</v>
      </c>
      <c r="N248" t="s">
        <v>1048</v>
      </c>
      <c r="O248" t="s">
        <v>1048</v>
      </c>
      <c r="P248" t="s">
        <v>1048</v>
      </c>
      <c r="Q248" t="s">
        <v>1048</v>
      </c>
      <c r="R248" t="s">
        <v>1048</v>
      </c>
      <c r="S248" t="s">
        <v>1048</v>
      </c>
      <c r="T248" t="s">
        <v>1047</v>
      </c>
      <c r="U248" t="s">
        <v>1047</v>
      </c>
      <c r="V248" t="s">
        <v>1048</v>
      </c>
    </row>
    <row r="249" spans="1:22" x14ac:dyDescent="0.2">
      <c r="A249">
        <v>500976</v>
      </c>
      <c r="B249" t="s">
        <v>1225</v>
      </c>
      <c r="C249">
        <v>28</v>
      </c>
      <c r="D249" s="368">
        <v>43830</v>
      </c>
      <c r="E249" t="s">
        <v>1047</v>
      </c>
      <c r="F249" s="368">
        <v>43738</v>
      </c>
      <c r="G249" t="s">
        <v>1048</v>
      </c>
      <c r="H249" t="s">
        <v>1048</v>
      </c>
      <c r="I249" t="s">
        <v>1048</v>
      </c>
      <c r="J249" t="s">
        <v>1048</v>
      </c>
      <c r="K249" t="s">
        <v>1048</v>
      </c>
      <c r="L249" t="s">
        <v>1048</v>
      </c>
      <c r="M249" t="s">
        <v>1048</v>
      </c>
      <c r="N249" t="s">
        <v>1048</v>
      </c>
      <c r="O249" t="s">
        <v>1048</v>
      </c>
      <c r="P249" t="s">
        <v>1048</v>
      </c>
      <c r="Q249" t="s">
        <v>1048</v>
      </c>
      <c r="R249" t="s">
        <v>1048</v>
      </c>
      <c r="S249" t="s">
        <v>1048</v>
      </c>
      <c r="T249" t="s">
        <v>1048</v>
      </c>
      <c r="U249" t="s">
        <v>1047</v>
      </c>
      <c r="V249" t="s">
        <v>1048</v>
      </c>
    </row>
    <row r="250" spans="1:22" x14ac:dyDescent="0.2">
      <c r="A250">
        <v>501981</v>
      </c>
      <c r="B250" t="s">
        <v>356</v>
      </c>
      <c r="C250">
        <v>28</v>
      </c>
      <c r="D250" s="368">
        <v>44316</v>
      </c>
      <c r="E250" t="s">
        <v>1047</v>
      </c>
      <c r="F250" s="368">
        <v>44286</v>
      </c>
      <c r="G250" t="s">
        <v>1048</v>
      </c>
      <c r="H250" t="s">
        <v>1048</v>
      </c>
      <c r="I250" t="s">
        <v>1048</v>
      </c>
      <c r="J250" t="s">
        <v>1048</v>
      </c>
      <c r="K250" t="s">
        <v>1048</v>
      </c>
      <c r="L250" t="s">
        <v>1048</v>
      </c>
      <c r="M250" t="s">
        <v>1047</v>
      </c>
      <c r="N250" t="s">
        <v>1047</v>
      </c>
      <c r="O250" t="s">
        <v>1048</v>
      </c>
      <c r="P250" t="s">
        <v>1048</v>
      </c>
      <c r="Q250" t="s">
        <v>1048</v>
      </c>
      <c r="R250" t="s">
        <v>1047</v>
      </c>
      <c r="S250" t="s">
        <v>1048</v>
      </c>
      <c r="T250" t="s">
        <v>1047</v>
      </c>
      <c r="U250" t="s">
        <v>1047</v>
      </c>
      <c r="V250" t="s">
        <v>1047</v>
      </c>
    </row>
    <row r="251" spans="1:22" x14ac:dyDescent="0.2">
      <c r="A251">
        <v>502633</v>
      </c>
      <c r="B251" t="s">
        <v>357</v>
      </c>
      <c r="C251">
        <v>17</v>
      </c>
      <c r="D251" s="368">
        <v>44316</v>
      </c>
      <c r="E251" t="s">
        <v>1047</v>
      </c>
      <c r="F251" s="368">
        <v>43830</v>
      </c>
      <c r="G251" t="s">
        <v>1048</v>
      </c>
      <c r="H251" t="s">
        <v>1048</v>
      </c>
      <c r="I251" t="s">
        <v>1048</v>
      </c>
      <c r="J251" t="s">
        <v>1048</v>
      </c>
      <c r="K251" t="s">
        <v>1048</v>
      </c>
      <c r="L251" t="s">
        <v>1048</v>
      </c>
      <c r="M251" t="s">
        <v>1048</v>
      </c>
      <c r="N251" t="s">
        <v>1048</v>
      </c>
      <c r="O251" t="s">
        <v>1048</v>
      </c>
      <c r="P251" t="s">
        <v>1048</v>
      </c>
      <c r="Q251" t="s">
        <v>1048</v>
      </c>
      <c r="R251" t="s">
        <v>1048</v>
      </c>
      <c r="S251" t="s">
        <v>1047</v>
      </c>
      <c r="T251" t="s">
        <v>1047</v>
      </c>
      <c r="U251" t="s">
        <v>1047</v>
      </c>
      <c r="V251" t="s">
        <v>1048</v>
      </c>
    </row>
    <row r="252" spans="1:22" x14ac:dyDescent="0.2">
      <c r="A252">
        <v>502922</v>
      </c>
      <c r="B252" t="s">
        <v>358</v>
      </c>
      <c r="C252">
        <v>30</v>
      </c>
      <c r="D252" s="368">
        <v>44316</v>
      </c>
      <c r="E252" t="s">
        <v>1047</v>
      </c>
      <c r="F252" s="368">
        <v>44286</v>
      </c>
      <c r="G252" t="s">
        <v>1048</v>
      </c>
      <c r="H252" t="s">
        <v>1048</v>
      </c>
      <c r="I252" t="s">
        <v>1048</v>
      </c>
      <c r="J252" t="s">
        <v>1048</v>
      </c>
      <c r="K252" t="s">
        <v>1048</v>
      </c>
      <c r="L252" t="s">
        <v>1048</v>
      </c>
      <c r="M252" t="s">
        <v>1048</v>
      </c>
      <c r="N252" t="s">
        <v>1048</v>
      </c>
      <c r="O252" t="s">
        <v>1048</v>
      </c>
      <c r="P252" t="s">
        <v>1048</v>
      </c>
      <c r="Q252" t="s">
        <v>1048</v>
      </c>
      <c r="R252" t="s">
        <v>1047</v>
      </c>
      <c r="S252" t="s">
        <v>1047</v>
      </c>
      <c r="T252" t="s">
        <v>1047</v>
      </c>
      <c r="U252" t="s">
        <v>1047</v>
      </c>
      <c r="V252" t="s">
        <v>1047</v>
      </c>
    </row>
    <row r="253" spans="1:22" x14ac:dyDescent="0.2">
      <c r="A253">
        <v>504100</v>
      </c>
      <c r="B253" t="s">
        <v>359</v>
      </c>
      <c r="C253">
        <v>22</v>
      </c>
      <c r="D253" s="368">
        <v>44316</v>
      </c>
      <c r="E253" t="s">
        <v>1048</v>
      </c>
      <c r="F253" s="368">
        <v>44286</v>
      </c>
      <c r="G253" t="s">
        <v>1048</v>
      </c>
      <c r="H253" t="s">
        <v>1048</v>
      </c>
      <c r="I253" t="s">
        <v>1048</v>
      </c>
      <c r="J253" t="s">
        <v>1048</v>
      </c>
      <c r="K253" t="s">
        <v>1048</v>
      </c>
      <c r="L253" t="s">
        <v>1048</v>
      </c>
      <c r="M253" t="s">
        <v>1048</v>
      </c>
      <c r="N253" t="s">
        <v>1048</v>
      </c>
      <c r="O253" t="s">
        <v>1048</v>
      </c>
      <c r="P253" t="s">
        <v>1048</v>
      </c>
      <c r="Q253" t="s">
        <v>1048</v>
      </c>
      <c r="R253" t="s">
        <v>1048</v>
      </c>
      <c r="S253" t="s">
        <v>1047</v>
      </c>
      <c r="T253" t="s">
        <v>1047</v>
      </c>
      <c r="U253" t="s">
        <v>1047</v>
      </c>
      <c r="V253" t="s">
        <v>1048</v>
      </c>
    </row>
    <row r="254" spans="1:22" x14ac:dyDescent="0.2">
      <c r="A254">
        <v>505586</v>
      </c>
      <c r="B254" t="s">
        <v>360</v>
      </c>
      <c r="C254">
        <v>27</v>
      </c>
      <c r="D254" s="368">
        <v>44316</v>
      </c>
      <c r="E254" t="s">
        <v>1047</v>
      </c>
      <c r="F254" s="368">
        <v>44286</v>
      </c>
      <c r="G254" t="s">
        <v>1048</v>
      </c>
      <c r="H254" t="s">
        <v>1048</v>
      </c>
      <c r="I254" t="s">
        <v>1048</v>
      </c>
      <c r="J254" t="s">
        <v>1048</v>
      </c>
      <c r="K254" t="s">
        <v>1048</v>
      </c>
      <c r="L254" t="s">
        <v>1048</v>
      </c>
      <c r="M254" t="s">
        <v>1048</v>
      </c>
      <c r="N254" t="s">
        <v>1048</v>
      </c>
      <c r="O254" t="s">
        <v>1048</v>
      </c>
      <c r="P254" t="s">
        <v>1048</v>
      </c>
      <c r="Q254" t="s">
        <v>1048</v>
      </c>
      <c r="R254" t="s">
        <v>1047</v>
      </c>
      <c r="S254" t="s">
        <v>1047</v>
      </c>
      <c r="T254" t="s">
        <v>1047</v>
      </c>
      <c r="U254" t="s">
        <v>1047</v>
      </c>
      <c r="V254" t="s">
        <v>1047</v>
      </c>
    </row>
    <row r="255" spans="1:22" x14ac:dyDescent="0.2">
      <c r="A255">
        <v>511139</v>
      </c>
      <c r="B255" t="s">
        <v>361</v>
      </c>
      <c r="C255">
        <v>19</v>
      </c>
      <c r="D255" s="368">
        <v>44316</v>
      </c>
      <c r="E255" t="s">
        <v>1048</v>
      </c>
      <c r="F255" s="368">
        <v>44286</v>
      </c>
      <c r="G255" t="s">
        <v>1048</v>
      </c>
      <c r="H255" t="s">
        <v>1048</v>
      </c>
      <c r="I255" t="s">
        <v>1048</v>
      </c>
      <c r="J255" t="s">
        <v>1048</v>
      </c>
      <c r="K255" t="s">
        <v>1048</v>
      </c>
      <c r="L255" t="s">
        <v>1048</v>
      </c>
      <c r="M255" t="s">
        <v>1048</v>
      </c>
      <c r="N255" t="s">
        <v>1047</v>
      </c>
      <c r="O255" t="s">
        <v>1048</v>
      </c>
      <c r="P255" t="s">
        <v>1047</v>
      </c>
      <c r="Q255" t="s">
        <v>1047</v>
      </c>
      <c r="R255" t="s">
        <v>1048</v>
      </c>
      <c r="S255" t="s">
        <v>1047</v>
      </c>
      <c r="T255" t="s">
        <v>1047</v>
      </c>
      <c r="U255" t="s">
        <v>1047</v>
      </c>
      <c r="V255" t="s">
        <v>1048</v>
      </c>
    </row>
    <row r="256" spans="1:22" x14ac:dyDescent="0.2">
      <c r="A256">
        <v>513722</v>
      </c>
      <c r="B256" t="s">
        <v>1192</v>
      </c>
      <c r="C256">
        <v>17</v>
      </c>
      <c r="D256" s="368">
        <v>44316</v>
      </c>
      <c r="E256"/>
      <c r="F256"/>
      <c r="G256" t="s">
        <v>1048</v>
      </c>
      <c r="H256" t="s">
        <v>1048</v>
      </c>
      <c r="I256" t="s">
        <v>1048</v>
      </c>
      <c r="J256" t="s">
        <v>1048</v>
      </c>
      <c r="K256" t="s">
        <v>1048</v>
      </c>
      <c r="L256" t="s">
        <v>1048</v>
      </c>
      <c r="M256" t="s">
        <v>1048</v>
      </c>
      <c r="N256" t="s">
        <v>1048</v>
      </c>
      <c r="O256" t="s">
        <v>1048</v>
      </c>
      <c r="P256" t="s">
        <v>1048</v>
      </c>
      <c r="Q256" t="s">
        <v>1048</v>
      </c>
      <c r="R256" t="s">
        <v>1048</v>
      </c>
      <c r="S256" t="s">
        <v>1048</v>
      </c>
      <c r="T256" t="s">
        <v>1047</v>
      </c>
      <c r="U256" t="s">
        <v>1047</v>
      </c>
      <c r="V256" t="s">
        <v>1048</v>
      </c>
    </row>
    <row r="257" spans="1:22" x14ac:dyDescent="0.2">
      <c r="A257">
        <v>515554</v>
      </c>
      <c r="B257" t="s">
        <v>309</v>
      </c>
      <c r="C257">
        <v>20</v>
      </c>
      <c r="D257" s="368">
        <v>44316</v>
      </c>
      <c r="E257" t="s">
        <v>1048</v>
      </c>
      <c r="F257" s="368">
        <v>44286</v>
      </c>
      <c r="G257" t="s">
        <v>1048</v>
      </c>
      <c r="H257" t="s">
        <v>1048</v>
      </c>
      <c r="I257" t="s">
        <v>1048</v>
      </c>
      <c r="J257" t="s">
        <v>1047</v>
      </c>
      <c r="K257" t="s">
        <v>1047</v>
      </c>
      <c r="L257" t="s">
        <v>1047</v>
      </c>
      <c r="M257" t="s">
        <v>1047</v>
      </c>
      <c r="N257" t="s">
        <v>1047</v>
      </c>
      <c r="O257" t="s">
        <v>1047</v>
      </c>
      <c r="P257" t="s">
        <v>1047</v>
      </c>
      <c r="Q257" t="s">
        <v>1047</v>
      </c>
      <c r="R257" t="s">
        <v>1047</v>
      </c>
      <c r="S257" t="s">
        <v>1047</v>
      </c>
      <c r="T257" t="s">
        <v>1047</v>
      </c>
      <c r="U257" t="s">
        <v>1047</v>
      </c>
      <c r="V257" t="s">
        <v>1047</v>
      </c>
    </row>
    <row r="258" spans="1:22" x14ac:dyDescent="0.2">
      <c r="A258">
        <v>515676</v>
      </c>
      <c r="B258" t="s">
        <v>362</v>
      </c>
      <c r="C258">
        <v>22</v>
      </c>
      <c r="D258" s="368">
        <v>44316</v>
      </c>
      <c r="E258" t="s">
        <v>1047</v>
      </c>
      <c r="F258" s="368">
        <v>43830</v>
      </c>
      <c r="G258" t="s">
        <v>1048</v>
      </c>
      <c r="H258" t="s">
        <v>1048</v>
      </c>
      <c r="I258" t="s">
        <v>1048</v>
      </c>
      <c r="J258" t="s">
        <v>1048</v>
      </c>
      <c r="K258" t="s">
        <v>1048</v>
      </c>
      <c r="L258" t="s">
        <v>1048</v>
      </c>
      <c r="M258" t="s">
        <v>1048</v>
      </c>
      <c r="N258" t="s">
        <v>1047</v>
      </c>
      <c r="O258" t="s">
        <v>1048</v>
      </c>
      <c r="P258" t="s">
        <v>1047</v>
      </c>
      <c r="Q258" t="s">
        <v>1047</v>
      </c>
      <c r="R258" t="s">
        <v>1048</v>
      </c>
      <c r="S258" t="s">
        <v>1047</v>
      </c>
      <c r="T258" t="s">
        <v>1047</v>
      </c>
      <c r="U258" t="s">
        <v>1047</v>
      </c>
      <c r="V258" t="s">
        <v>1047</v>
      </c>
    </row>
    <row r="259" spans="1:22" x14ac:dyDescent="0.2">
      <c r="A259">
        <v>515973</v>
      </c>
      <c r="B259" t="s">
        <v>979</v>
      </c>
      <c r="C259">
        <v>23</v>
      </c>
      <c r="D259" s="368">
        <v>44255</v>
      </c>
      <c r="E259" t="s">
        <v>1047</v>
      </c>
      <c r="F259" s="368">
        <v>43830</v>
      </c>
      <c r="G259" t="s">
        <v>1048</v>
      </c>
      <c r="H259" t="s">
        <v>1048</v>
      </c>
      <c r="I259" t="s">
        <v>1048</v>
      </c>
      <c r="J259" t="s">
        <v>1048</v>
      </c>
      <c r="K259" t="s">
        <v>1048</v>
      </c>
      <c r="L259" t="s">
        <v>1048</v>
      </c>
      <c r="M259" t="s">
        <v>1048</v>
      </c>
      <c r="N259" t="s">
        <v>1047</v>
      </c>
      <c r="O259" t="s">
        <v>1047</v>
      </c>
      <c r="P259" t="s">
        <v>1047</v>
      </c>
      <c r="Q259" t="s">
        <v>1047</v>
      </c>
      <c r="R259" t="s">
        <v>1047</v>
      </c>
      <c r="S259" t="s">
        <v>1047</v>
      </c>
      <c r="T259" t="s">
        <v>1048</v>
      </c>
      <c r="U259" t="s">
        <v>1047</v>
      </c>
      <c r="V259" t="s">
        <v>1048</v>
      </c>
    </row>
    <row r="260" spans="1:22" x14ac:dyDescent="0.2">
      <c r="A260">
        <v>517508</v>
      </c>
      <c r="B260" t="s">
        <v>363</v>
      </c>
      <c r="C260">
        <v>25</v>
      </c>
      <c r="D260" s="368">
        <v>44316</v>
      </c>
      <c r="E260" t="s">
        <v>1048</v>
      </c>
      <c r="F260" s="368">
        <v>44286</v>
      </c>
      <c r="G260" t="s">
        <v>1048</v>
      </c>
      <c r="H260" t="s">
        <v>1048</v>
      </c>
      <c r="I260" t="s">
        <v>1048</v>
      </c>
      <c r="J260" t="s">
        <v>1048</v>
      </c>
      <c r="K260" t="s">
        <v>1048</v>
      </c>
      <c r="L260" t="s">
        <v>1048</v>
      </c>
      <c r="M260" t="s">
        <v>1047</v>
      </c>
      <c r="N260" t="s">
        <v>1047</v>
      </c>
      <c r="O260" t="s">
        <v>1048</v>
      </c>
      <c r="P260" t="s">
        <v>1047</v>
      </c>
      <c r="Q260" t="s">
        <v>1048</v>
      </c>
      <c r="R260" t="s">
        <v>1047</v>
      </c>
      <c r="S260" t="s">
        <v>1048</v>
      </c>
      <c r="T260" t="s">
        <v>1047</v>
      </c>
      <c r="U260" t="s">
        <v>1047</v>
      </c>
      <c r="V260" t="s">
        <v>1047</v>
      </c>
    </row>
    <row r="261" spans="1:22" x14ac:dyDescent="0.2">
      <c r="A261">
        <v>517748</v>
      </c>
      <c r="B261" t="s">
        <v>1086</v>
      </c>
      <c r="C261">
        <v>33</v>
      </c>
      <c r="D261" s="368">
        <v>44316</v>
      </c>
      <c r="E261" t="s">
        <v>1047</v>
      </c>
      <c r="F261" s="368">
        <v>44286</v>
      </c>
      <c r="G261" t="s">
        <v>1048</v>
      </c>
      <c r="H261" t="s">
        <v>1048</v>
      </c>
      <c r="I261" t="s">
        <v>1048</v>
      </c>
      <c r="J261" t="s">
        <v>1048</v>
      </c>
      <c r="K261" t="s">
        <v>1048</v>
      </c>
      <c r="L261" t="s">
        <v>1048</v>
      </c>
      <c r="M261" t="s">
        <v>1048</v>
      </c>
      <c r="N261" t="s">
        <v>1047</v>
      </c>
      <c r="O261" t="s">
        <v>1047</v>
      </c>
      <c r="P261" t="s">
        <v>1047</v>
      </c>
      <c r="Q261" t="s">
        <v>1047</v>
      </c>
      <c r="R261" t="s">
        <v>1047</v>
      </c>
      <c r="S261" t="s">
        <v>1047</v>
      </c>
      <c r="T261" t="s">
        <v>1047</v>
      </c>
      <c r="U261" t="s">
        <v>1047</v>
      </c>
      <c r="V261" t="s">
        <v>1048</v>
      </c>
    </row>
    <row r="262" spans="1:22" x14ac:dyDescent="0.2">
      <c r="A262">
        <v>520692</v>
      </c>
      <c r="B262" t="s">
        <v>364</v>
      </c>
      <c r="C262">
        <v>20</v>
      </c>
      <c r="D262" s="368">
        <v>44316</v>
      </c>
      <c r="E262" t="s">
        <v>1048</v>
      </c>
      <c r="F262" s="368">
        <v>44286</v>
      </c>
      <c r="G262" t="s">
        <v>1048</v>
      </c>
      <c r="H262" t="s">
        <v>1048</v>
      </c>
      <c r="I262" t="s">
        <v>1048</v>
      </c>
      <c r="J262" t="s">
        <v>1048</v>
      </c>
      <c r="K262" t="s">
        <v>1048</v>
      </c>
      <c r="L262" t="s">
        <v>1048</v>
      </c>
      <c r="M262" t="s">
        <v>1047</v>
      </c>
      <c r="N262" t="s">
        <v>1047</v>
      </c>
      <c r="O262" t="s">
        <v>1048</v>
      </c>
      <c r="P262" t="s">
        <v>1048</v>
      </c>
      <c r="Q262" t="s">
        <v>1048</v>
      </c>
      <c r="R262" t="s">
        <v>1047</v>
      </c>
      <c r="S262" t="s">
        <v>1048</v>
      </c>
      <c r="T262" t="s">
        <v>1047</v>
      </c>
      <c r="U262" t="s">
        <v>1047</v>
      </c>
      <c r="V262" t="s">
        <v>1047</v>
      </c>
    </row>
    <row r="263" spans="1:22" x14ac:dyDescent="0.2">
      <c r="A263">
        <v>520759</v>
      </c>
      <c r="B263" t="s">
        <v>365</v>
      </c>
      <c r="C263">
        <v>21</v>
      </c>
      <c r="D263" s="368">
        <v>44316</v>
      </c>
      <c r="E263" t="s">
        <v>1048</v>
      </c>
      <c r="F263" s="368">
        <v>44286</v>
      </c>
      <c r="G263" t="s">
        <v>1048</v>
      </c>
      <c r="H263" t="s">
        <v>1048</v>
      </c>
      <c r="I263" t="s">
        <v>1048</v>
      </c>
      <c r="J263" t="s">
        <v>1048</v>
      </c>
      <c r="K263" t="s">
        <v>1048</v>
      </c>
      <c r="L263" t="s">
        <v>1048</v>
      </c>
      <c r="M263" t="s">
        <v>1048</v>
      </c>
      <c r="N263" t="s">
        <v>1048</v>
      </c>
      <c r="O263" t="s">
        <v>1048</v>
      </c>
      <c r="P263" t="s">
        <v>1048</v>
      </c>
      <c r="Q263" t="s">
        <v>1048</v>
      </c>
      <c r="R263" t="s">
        <v>1048</v>
      </c>
      <c r="S263" t="s">
        <v>1048</v>
      </c>
      <c r="T263" t="s">
        <v>1048</v>
      </c>
      <c r="U263" t="s">
        <v>1047</v>
      </c>
      <c r="V263" t="s">
        <v>1047</v>
      </c>
    </row>
    <row r="264" spans="1:22" x14ac:dyDescent="0.2">
      <c r="A264">
        <v>521104</v>
      </c>
      <c r="B264" t="s">
        <v>540</v>
      </c>
      <c r="C264">
        <v>20</v>
      </c>
      <c r="D264" s="368">
        <v>44316</v>
      </c>
      <c r="E264" t="s">
        <v>1048</v>
      </c>
      <c r="F264" s="368">
        <v>44286</v>
      </c>
      <c r="G264" t="s">
        <v>1048</v>
      </c>
      <c r="H264" t="s">
        <v>1048</v>
      </c>
      <c r="I264" t="s">
        <v>1048</v>
      </c>
      <c r="J264" t="s">
        <v>1048</v>
      </c>
      <c r="K264" t="s">
        <v>1048</v>
      </c>
      <c r="L264" t="s">
        <v>1048</v>
      </c>
      <c r="M264" t="s">
        <v>1047</v>
      </c>
      <c r="N264" t="s">
        <v>1047</v>
      </c>
      <c r="O264" t="s">
        <v>1048</v>
      </c>
      <c r="P264" t="s">
        <v>1048</v>
      </c>
      <c r="Q264" t="s">
        <v>1048</v>
      </c>
      <c r="R264" t="s">
        <v>1047</v>
      </c>
      <c r="S264" t="s">
        <v>1048</v>
      </c>
      <c r="T264" t="s">
        <v>1047</v>
      </c>
      <c r="U264" t="s">
        <v>1047</v>
      </c>
      <c r="V264" t="s">
        <v>1047</v>
      </c>
    </row>
    <row r="265" spans="1:22" x14ac:dyDescent="0.2">
      <c r="A265">
        <v>523050</v>
      </c>
      <c r="B265" t="s">
        <v>980</v>
      </c>
      <c r="C265">
        <v>21</v>
      </c>
      <c r="D265" s="368">
        <v>44316</v>
      </c>
      <c r="E265" t="s">
        <v>1048</v>
      </c>
      <c r="F265" s="368">
        <v>44286</v>
      </c>
      <c r="G265" t="s">
        <v>1048</v>
      </c>
      <c r="H265" t="s">
        <v>1048</v>
      </c>
      <c r="I265" t="s">
        <v>1048</v>
      </c>
      <c r="J265" t="s">
        <v>1048</v>
      </c>
      <c r="K265" t="s">
        <v>1048</v>
      </c>
      <c r="L265" t="s">
        <v>1048</v>
      </c>
      <c r="M265" t="s">
        <v>1048</v>
      </c>
      <c r="N265" t="s">
        <v>1047</v>
      </c>
      <c r="O265" t="s">
        <v>1048</v>
      </c>
      <c r="P265" t="s">
        <v>1048</v>
      </c>
      <c r="Q265" t="s">
        <v>1048</v>
      </c>
      <c r="R265" t="s">
        <v>1048</v>
      </c>
      <c r="S265" t="s">
        <v>1048</v>
      </c>
      <c r="T265" t="s">
        <v>1047</v>
      </c>
      <c r="U265" t="s">
        <v>1047</v>
      </c>
      <c r="V265" t="s">
        <v>1047</v>
      </c>
    </row>
    <row r="266" spans="1:22" x14ac:dyDescent="0.2">
      <c r="A266">
        <v>524702</v>
      </c>
      <c r="B266" t="s">
        <v>366</v>
      </c>
      <c r="C266"/>
      <c r="D266"/>
      <c r="E266" t="s">
        <v>1047</v>
      </c>
      <c r="F266" s="368">
        <v>43830</v>
      </c>
      <c r="G266" t="s">
        <v>1048</v>
      </c>
      <c r="H266" t="s">
        <v>1048</v>
      </c>
      <c r="I266" t="s">
        <v>1048</v>
      </c>
      <c r="J266" t="s">
        <v>1048</v>
      </c>
      <c r="K266" t="s">
        <v>1048</v>
      </c>
      <c r="L266" t="s">
        <v>1048</v>
      </c>
      <c r="M266" t="s">
        <v>1048</v>
      </c>
      <c r="N266" t="s">
        <v>1048</v>
      </c>
      <c r="O266" t="s">
        <v>1048</v>
      </c>
      <c r="P266" t="s">
        <v>1048</v>
      </c>
      <c r="Q266" t="s">
        <v>1048</v>
      </c>
      <c r="R266" t="s">
        <v>1048</v>
      </c>
      <c r="S266" t="s">
        <v>1047</v>
      </c>
      <c r="T266" t="s">
        <v>1047</v>
      </c>
      <c r="U266" t="s">
        <v>1047</v>
      </c>
      <c r="V266" t="s">
        <v>1048</v>
      </c>
    </row>
    <row r="267" spans="1:22" x14ac:dyDescent="0.2">
      <c r="A267">
        <v>528133</v>
      </c>
      <c r="B267" t="s">
        <v>367</v>
      </c>
      <c r="C267">
        <v>20</v>
      </c>
      <c r="D267" s="368">
        <v>44316</v>
      </c>
      <c r="E267" t="s">
        <v>1048</v>
      </c>
      <c r="F267" s="368">
        <v>44286</v>
      </c>
      <c r="G267" t="s">
        <v>1048</v>
      </c>
      <c r="H267" t="s">
        <v>1048</v>
      </c>
      <c r="I267" t="s">
        <v>1048</v>
      </c>
      <c r="J267" t="s">
        <v>1048</v>
      </c>
      <c r="K267" t="s">
        <v>1048</v>
      </c>
      <c r="L267" t="s">
        <v>1048</v>
      </c>
      <c r="M267" t="s">
        <v>1048</v>
      </c>
      <c r="N267" t="s">
        <v>1047</v>
      </c>
      <c r="O267" t="s">
        <v>1048</v>
      </c>
      <c r="P267" t="s">
        <v>1047</v>
      </c>
      <c r="Q267" t="s">
        <v>1047</v>
      </c>
      <c r="R267" t="s">
        <v>1048</v>
      </c>
      <c r="S267" t="s">
        <v>1048</v>
      </c>
      <c r="T267" t="s">
        <v>1047</v>
      </c>
      <c r="U267" t="s">
        <v>1047</v>
      </c>
      <c r="V267" t="s">
        <v>1048</v>
      </c>
    </row>
    <row r="268" spans="1:22" x14ac:dyDescent="0.2">
      <c r="A268">
        <v>532558</v>
      </c>
      <c r="B268" t="s">
        <v>1013</v>
      </c>
      <c r="C268">
        <v>33</v>
      </c>
      <c r="D268" s="368">
        <v>44316</v>
      </c>
      <c r="E268" t="s">
        <v>1047</v>
      </c>
      <c r="F268" s="368">
        <v>44286</v>
      </c>
      <c r="G268" t="s">
        <v>1047</v>
      </c>
      <c r="H268" t="s">
        <v>1047</v>
      </c>
      <c r="I268" t="s">
        <v>1047</v>
      </c>
      <c r="J268" t="s">
        <v>1048</v>
      </c>
      <c r="K268" t="s">
        <v>1048</v>
      </c>
      <c r="L268" t="s">
        <v>1047</v>
      </c>
      <c r="M268" t="s">
        <v>1047</v>
      </c>
      <c r="N268" t="s">
        <v>1047</v>
      </c>
      <c r="O268" t="s">
        <v>1047</v>
      </c>
      <c r="P268" t="s">
        <v>1047</v>
      </c>
      <c r="Q268" t="s">
        <v>1047</v>
      </c>
      <c r="R268" t="s">
        <v>1047</v>
      </c>
      <c r="S268" t="s">
        <v>1047</v>
      </c>
      <c r="T268" t="s">
        <v>1047</v>
      </c>
      <c r="U268" t="s">
        <v>1047</v>
      </c>
      <c r="V268" t="s">
        <v>1047</v>
      </c>
    </row>
    <row r="269" spans="1:22" x14ac:dyDescent="0.2">
      <c r="A269">
        <v>534800</v>
      </c>
      <c r="B269" t="s">
        <v>1226</v>
      </c>
      <c r="C269"/>
      <c r="D269"/>
      <c r="E269" t="s">
        <v>1047</v>
      </c>
      <c r="F269" s="368">
        <v>43830</v>
      </c>
      <c r="G269" t="s">
        <v>1048</v>
      </c>
      <c r="H269" t="s">
        <v>1048</v>
      </c>
      <c r="I269" t="s">
        <v>1048</v>
      </c>
      <c r="J269" t="s">
        <v>1048</v>
      </c>
      <c r="K269" t="s">
        <v>1048</v>
      </c>
      <c r="L269" t="s">
        <v>1048</v>
      </c>
      <c r="M269" t="s">
        <v>1048</v>
      </c>
      <c r="N269" t="s">
        <v>1048</v>
      </c>
      <c r="O269" t="s">
        <v>1048</v>
      </c>
      <c r="P269" t="s">
        <v>1048</v>
      </c>
      <c r="Q269" t="s">
        <v>1048</v>
      </c>
      <c r="R269" t="s">
        <v>1048</v>
      </c>
      <c r="S269" t="s">
        <v>1048</v>
      </c>
      <c r="T269" t="s">
        <v>1047</v>
      </c>
      <c r="U269" t="s">
        <v>1047</v>
      </c>
      <c r="V269" t="s">
        <v>1048</v>
      </c>
    </row>
    <row r="270" spans="1:22" x14ac:dyDescent="0.2">
      <c r="A270">
        <v>536806</v>
      </c>
      <c r="B270" t="s">
        <v>1087</v>
      </c>
      <c r="C270">
        <v>32</v>
      </c>
      <c r="D270" s="368">
        <v>44316</v>
      </c>
      <c r="E270" t="s">
        <v>1047</v>
      </c>
      <c r="F270" s="368">
        <v>44286</v>
      </c>
      <c r="G270" t="s">
        <v>1049</v>
      </c>
      <c r="H270" t="s">
        <v>1049</v>
      </c>
      <c r="I270" t="s">
        <v>1049</v>
      </c>
      <c r="J270" t="s">
        <v>1049</v>
      </c>
      <c r="K270" t="s">
        <v>1049</v>
      </c>
      <c r="L270" t="s">
        <v>1049</v>
      </c>
      <c r="M270" t="s">
        <v>1049</v>
      </c>
      <c r="N270" t="s">
        <v>1049</v>
      </c>
      <c r="O270" t="s">
        <v>1049</v>
      </c>
      <c r="P270" t="s">
        <v>1049</v>
      </c>
      <c r="Q270" t="s">
        <v>1049</v>
      </c>
      <c r="R270" t="s">
        <v>1049</v>
      </c>
      <c r="S270" t="s">
        <v>1049</v>
      </c>
      <c r="T270" t="s">
        <v>1049</v>
      </c>
      <c r="U270" t="s">
        <v>1049</v>
      </c>
      <c r="V270" t="s">
        <v>1049</v>
      </c>
    </row>
    <row r="271" spans="1:22" x14ac:dyDescent="0.2">
      <c r="A271">
        <v>537639</v>
      </c>
      <c r="B271" t="s">
        <v>541</v>
      </c>
      <c r="C271"/>
      <c r="D271"/>
      <c r="E271" t="s">
        <v>1047</v>
      </c>
      <c r="F271" s="368">
        <v>43830</v>
      </c>
      <c r="G271" t="s">
        <v>1048</v>
      </c>
      <c r="H271" t="s">
        <v>1048</v>
      </c>
      <c r="I271" t="s">
        <v>1048</v>
      </c>
      <c r="J271" t="s">
        <v>1048</v>
      </c>
      <c r="K271" t="s">
        <v>1048</v>
      </c>
      <c r="L271" t="s">
        <v>1048</v>
      </c>
      <c r="M271" t="s">
        <v>1048</v>
      </c>
      <c r="N271" t="s">
        <v>1048</v>
      </c>
      <c r="O271" t="s">
        <v>1048</v>
      </c>
      <c r="P271" t="s">
        <v>1047</v>
      </c>
      <c r="Q271" t="s">
        <v>1048</v>
      </c>
      <c r="R271" t="s">
        <v>1047</v>
      </c>
      <c r="S271" t="s">
        <v>1047</v>
      </c>
      <c r="T271" t="s">
        <v>1048</v>
      </c>
      <c r="U271" t="s">
        <v>1047</v>
      </c>
      <c r="V271" t="s">
        <v>1047</v>
      </c>
    </row>
    <row r="272" spans="1:22" x14ac:dyDescent="0.2">
      <c r="A272">
        <v>538462</v>
      </c>
      <c r="B272" t="s">
        <v>368</v>
      </c>
      <c r="C272">
        <v>20</v>
      </c>
      <c r="D272" s="368">
        <v>44316</v>
      </c>
      <c r="E272" t="s">
        <v>1047</v>
      </c>
      <c r="F272" s="368">
        <v>44286</v>
      </c>
      <c r="G272" t="s">
        <v>1048</v>
      </c>
      <c r="H272" t="s">
        <v>1048</v>
      </c>
      <c r="I272" t="s">
        <v>1048</v>
      </c>
      <c r="J272" t="s">
        <v>1048</v>
      </c>
      <c r="K272" t="s">
        <v>1048</v>
      </c>
      <c r="L272" t="s">
        <v>1048</v>
      </c>
      <c r="M272" t="s">
        <v>1047</v>
      </c>
      <c r="N272" t="s">
        <v>1047</v>
      </c>
      <c r="O272" t="s">
        <v>1048</v>
      </c>
      <c r="P272" t="s">
        <v>1048</v>
      </c>
      <c r="Q272" t="s">
        <v>1048</v>
      </c>
      <c r="R272" t="s">
        <v>1047</v>
      </c>
      <c r="S272" t="s">
        <v>1048</v>
      </c>
      <c r="T272" t="s">
        <v>1047</v>
      </c>
      <c r="U272" t="s">
        <v>1047</v>
      </c>
      <c r="V272" t="s">
        <v>1047</v>
      </c>
    </row>
    <row r="273" spans="1:22" x14ac:dyDescent="0.2">
      <c r="A273">
        <v>538751</v>
      </c>
      <c r="B273" t="s">
        <v>369</v>
      </c>
      <c r="C273">
        <v>23</v>
      </c>
      <c r="D273" s="368">
        <v>44316</v>
      </c>
      <c r="E273" t="s">
        <v>1048</v>
      </c>
      <c r="F273" s="368">
        <v>44286</v>
      </c>
      <c r="G273" t="s">
        <v>1048</v>
      </c>
      <c r="H273" t="s">
        <v>1048</v>
      </c>
      <c r="I273" t="s">
        <v>1048</v>
      </c>
      <c r="J273" t="s">
        <v>1048</v>
      </c>
      <c r="K273" t="s">
        <v>1047</v>
      </c>
      <c r="L273" t="s">
        <v>1047</v>
      </c>
      <c r="M273" t="s">
        <v>1047</v>
      </c>
      <c r="N273" t="s">
        <v>1047</v>
      </c>
      <c r="O273" t="s">
        <v>1047</v>
      </c>
      <c r="P273" t="s">
        <v>1047</v>
      </c>
      <c r="Q273" t="s">
        <v>1047</v>
      </c>
      <c r="R273" t="s">
        <v>1047</v>
      </c>
      <c r="S273" t="s">
        <v>1047</v>
      </c>
      <c r="T273" t="s">
        <v>1047</v>
      </c>
      <c r="U273" t="s">
        <v>1047</v>
      </c>
      <c r="V273" t="s">
        <v>1047</v>
      </c>
    </row>
    <row r="274" spans="1:22" x14ac:dyDescent="0.2">
      <c r="A274">
        <v>541235</v>
      </c>
      <c r="B274" t="s">
        <v>370</v>
      </c>
      <c r="C274">
        <v>21</v>
      </c>
      <c r="D274" s="368">
        <v>44316</v>
      </c>
      <c r="E274" t="s">
        <v>1048</v>
      </c>
      <c r="F274" s="368">
        <v>44286</v>
      </c>
      <c r="G274" t="s">
        <v>1048</v>
      </c>
      <c r="H274" t="s">
        <v>1048</v>
      </c>
      <c r="I274" t="s">
        <v>1048</v>
      </c>
      <c r="J274" t="s">
        <v>1048</v>
      </c>
      <c r="K274" t="s">
        <v>1048</v>
      </c>
      <c r="L274" t="s">
        <v>1048</v>
      </c>
      <c r="M274" t="s">
        <v>1048</v>
      </c>
      <c r="N274" t="s">
        <v>1048</v>
      </c>
      <c r="O274" t="s">
        <v>1048</v>
      </c>
      <c r="P274" t="s">
        <v>1048</v>
      </c>
      <c r="Q274" t="s">
        <v>1048</v>
      </c>
      <c r="R274" t="s">
        <v>1048</v>
      </c>
      <c r="S274" t="s">
        <v>1048</v>
      </c>
      <c r="T274" t="s">
        <v>1048</v>
      </c>
      <c r="U274" t="s">
        <v>1048</v>
      </c>
      <c r="V274" t="s">
        <v>1048</v>
      </c>
    </row>
    <row r="275" spans="1:22" x14ac:dyDescent="0.2">
      <c r="A275">
        <v>545426</v>
      </c>
      <c r="B275" t="s">
        <v>371</v>
      </c>
      <c r="C275">
        <v>22</v>
      </c>
      <c r="D275" s="368">
        <v>44316</v>
      </c>
      <c r="E275" t="s">
        <v>1048</v>
      </c>
      <c r="F275" s="368">
        <v>44286</v>
      </c>
      <c r="G275" t="s">
        <v>1048</v>
      </c>
      <c r="H275" t="s">
        <v>1048</v>
      </c>
      <c r="I275" t="s">
        <v>1048</v>
      </c>
      <c r="J275" t="s">
        <v>1048</v>
      </c>
      <c r="K275" t="s">
        <v>1048</v>
      </c>
      <c r="L275" t="s">
        <v>1048</v>
      </c>
      <c r="M275" t="s">
        <v>1047</v>
      </c>
      <c r="N275" t="s">
        <v>1047</v>
      </c>
      <c r="O275" t="s">
        <v>1048</v>
      </c>
      <c r="P275" t="s">
        <v>1047</v>
      </c>
      <c r="Q275" t="s">
        <v>1047</v>
      </c>
      <c r="R275" t="s">
        <v>1047</v>
      </c>
      <c r="S275" t="s">
        <v>1048</v>
      </c>
      <c r="T275" t="s">
        <v>1047</v>
      </c>
      <c r="U275" t="s">
        <v>1047</v>
      </c>
      <c r="V275" t="s">
        <v>1047</v>
      </c>
    </row>
    <row r="276" spans="1:22" x14ac:dyDescent="0.2">
      <c r="A276">
        <v>545541</v>
      </c>
      <c r="B276" t="s">
        <v>372</v>
      </c>
      <c r="C276"/>
      <c r="D276"/>
      <c r="E276" t="s">
        <v>1047</v>
      </c>
      <c r="F276" s="368">
        <v>43008</v>
      </c>
      <c r="G276" t="s">
        <v>1048</v>
      </c>
      <c r="H276" t="s">
        <v>1047</v>
      </c>
      <c r="I276" t="s">
        <v>1047</v>
      </c>
      <c r="J276" t="s">
        <v>1048</v>
      </c>
      <c r="K276" t="s">
        <v>1048</v>
      </c>
      <c r="L276" t="s">
        <v>1048</v>
      </c>
      <c r="M276" t="s">
        <v>1047</v>
      </c>
      <c r="N276" t="s">
        <v>1047</v>
      </c>
      <c r="O276" t="s">
        <v>1047</v>
      </c>
      <c r="P276" t="s">
        <v>1047</v>
      </c>
      <c r="Q276" t="s">
        <v>1047</v>
      </c>
      <c r="R276" t="s">
        <v>1047</v>
      </c>
      <c r="S276" t="s">
        <v>1047</v>
      </c>
      <c r="T276" t="s">
        <v>1047</v>
      </c>
      <c r="U276" t="s">
        <v>1047</v>
      </c>
      <c r="V276" t="s">
        <v>1048</v>
      </c>
    </row>
    <row r="277" spans="1:22" x14ac:dyDescent="0.2">
      <c r="A277">
        <v>546960</v>
      </c>
      <c r="B277" t="s">
        <v>374</v>
      </c>
      <c r="C277">
        <v>20</v>
      </c>
      <c r="D277" s="368">
        <v>44316</v>
      </c>
      <c r="E277" t="s">
        <v>1047</v>
      </c>
      <c r="F277" s="368">
        <v>43830</v>
      </c>
      <c r="G277" t="s">
        <v>1048</v>
      </c>
      <c r="H277" t="s">
        <v>1048</v>
      </c>
      <c r="I277" t="s">
        <v>1048</v>
      </c>
      <c r="J277" t="s">
        <v>1048</v>
      </c>
      <c r="K277" t="s">
        <v>1048</v>
      </c>
      <c r="L277" t="s">
        <v>1048</v>
      </c>
      <c r="M277" t="s">
        <v>1047</v>
      </c>
      <c r="N277" t="s">
        <v>1047</v>
      </c>
      <c r="O277" t="s">
        <v>1048</v>
      </c>
      <c r="P277" t="s">
        <v>1047</v>
      </c>
      <c r="Q277" t="s">
        <v>1047</v>
      </c>
      <c r="R277" t="s">
        <v>1047</v>
      </c>
      <c r="S277" t="s">
        <v>1048</v>
      </c>
      <c r="T277" t="s">
        <v>1047</v>
      </c>
      <c r="U277" t="s">
        <v>1047</v>
      </c>
      <c r="V277" t="s">
        <v>1047</v>
      </c>
    </row>
    <row r="278" spans="1:22" x14ac:dyDescent="0.2">
      <c r="A278">
        <v>549552</v>
      </c>
      <c r="B278" t="s">
        <v>1196</v>
      </c>
      <c r="C278">
        <v>25</v>
      </c>
      <c r="D278" s="368">
        <v>44316</v>
      </c>
      <c r="E278"/>
      <c r="F278"/>
      <c r="G278" t="s">
        <v>1048</v>
      </c>
      <c r="H278" t="s">
        <v>1048</v>
      </c>
      <c r="I278" t="s">
        <v>1048</v>
      </c>
      <c r="J278" t="s">
        <v>1048</v>
      </c>
      <c r="K278" t="s">
        <v>1048</v>
      </c>
      <c r="L278" t="s">
        <v>1048</v>
      </c>
      <c r="M278" t="s">
        <v>1048</v>
      </c>
      <c r="N278" t="s">
        <v>1048</v>
      </c>
      <c r="O278" t="s">
        <v>1048</v>
      </c>
      <c r="P278" t="s">
        <v>1048</v>
      </c>
      <c r="Q278" t="s">
        <v>1048</v>
      </c>
      <c r="R278" t="s">
        <v>1048</v>
      </c>
      <c r="S278" t="s">
        <v>1047</v>
      </c>
      <c r="T278" t="s">
        <v>1047</v>
      </c>
      <c r="U278" t="s">
        <v>1047</v>
      </c>
      <c r="V278" t="s">
        <v>1048</v>
      </c>
    </row>
    <row r="279" spans="1:22" x14ac:dyDescent="0.2">
      <c r="A279">
        <v>551507</v>
      </c>
      <c r="B279" t="s">
        <v>375</v>
      </c>
      <c r="C279">
        <v>22</v>
      </c>
      <c r="D279" s="368">
        <v>44316</v>
      </c>
      <c r="E279" t="s">
        <v>1048</v>
      </c>
      <c r="F279" s="368">
        <v>44286</v>
      </c>
      <c r="G279" t="s">
        <v>1048</v>
      </c>
      <c r="H279" t="s">
        <v>1048</v>
      </c>
      <c r="I279" t="s">
        <v>1047</v>
      </c>
      <c r="J279" t="s">
        <v>1048</v>
      </c>
      <c r="K279" t="s">
        <v>1048</v>
      </c>
      <c r="L279" t="s">
        <v>1048</v>
      </c>
      <c r="M279" t="s">
        <v>1047</v>
      </c>
      <c r="N279" t="s">
        <v>1047</v>
      </c>
      <c r="O279" t="s">
        <v>1048</v>
      </c>
      <c r="P279" t="s">
        <v>1047</v>
      </c>
      <c r="Q279" t="s">
        <v>1047</v>
      </c>
      <c r="R279" t="s">
        <v>1047</v>
      </c>
      <c r="S279" t="s">
        <v>1047</v>
      </c>
      <c r="T279" t="s">
        <v>1047</v>
      </c>
      <c r="U279" t="s">
        <v>1047</v>
      </c>
      <c r="V279" t="s">
        <v>1047</v>
      </c>
    </row>
    <row r="280" spans="1:22" x14ac:dyDescent="0.2">
      <c r="A280">
        <v>551804</v>
      </c>
      <c r="B280" t="s">
        <v>376</v>
      </c>
      <c r="C280"/>
      <c r="D280"/>
      <c r="E280" t="s">
        <v>1047</v>
      </c>
      <c r="F280" s="368">
        <v>43465</v>
      </c>
      <c r="G280" t="s">
        <v>1049</v>
      </c>
      <c r="H280" t="s">
        <v>1049</v>
      </c>
      <c r="I280" t="s">
        <v>1049</v>
      </c>
      <c r="J280" t="s">
        <v>1049</v>
      </c>
      <c r="K280" t="s">
        <v>1049</v>
      </c>
      <c r="L280" t="s">
        <v>1049</v>
      </c>
      <c r="M280" t="s">
        <v>1049</v>
      </c>
      <c r="N280" t="s">
        <v>1049</v>
      </c>
      <c r="O280" t="s">
        <v>1049</v>
      </c>
      <c r="P280" t="s">
        <v>1049</v>
      </c>
      <c r="Q280" t="s">
        <v>1049</v>
      </c>
      <c r="R280" t="s">
        <v>1049</v>
      </c>
      <c r="S280" t="s">
        <v>1049</v>
      </c>
      <c r="T280" t="s">
        <v>1049</v>
      </c>
      <c r="U280" t="s">
        <v>1049</v>
      </c>
      <c r="V280" t="s">
        <v>1049</v>
      </c>
    </row>
    <row r="281" spans="1:22" x14ac:dyDescent="0.2">
      <c r="A281">
        <v>553578</v>
      </c>
      <c r="B281" t="s">
        <v>981</v>
      </c>
      <c r="C281">
        <v>22</v>
      </c>
      <c r="D281" s="368">
        <v>44316</v>
      </c>
      <c r="E281" t="s">
        <v>1047</v>
      </c>
      <c r="F281" s="368">
        <v>44286</v>
      </c>
      <c r="G281" t="s">
        <v>1048</v>
      </c>
      <c r="H281" t="s">
        <v>1048</v>
      </c>
      <c r="I281" t="s">
        <v>1048</v>
      </c>
      <c r="J281" t="s">
        <v>1048</v>
      </c>
      <c r="K281" t="s">
        <v>1048</v>
      </c>
      <c r="L281" t="s">
        <v>1048</v>
      </c>
      <c r="M281" t="s">
        <v>1048</v>
      </c>
      <c r="N281" t="s">
        <v>1047</v>
      </c>
      <c r="O281" t="s">
        <v>1047</v>
      </c>
      <c r="P281" t="s">
        <v>1047</v>
      </c>
      <c r="Q281" t="s">
        <v>1047</v>
      </c>
      <c r="R281" t="s">
        <v>1047</v>
      </c>
      <c r="S281" t="s">
        <v>1047</v>
      </c>
      <c r="T281" t="s">
        <v>1048</v>
      </c>
      <c r="U281" t="s">
        <v>1047</v>
      </c>
      <c r="V281" t="s">
        <v>1048</v>
      </c>
    </row>
    <row r="282" spans="1:22" x14ac:dyDescent="0.2">
      <c r="A282">
        <v>554691</v>
      </c>
      <c r="B282" t="s">
        <v>542</v>
      </c>
      <c r="C282"/>
      <c r="D282"/>
      <c r="E282" t="s">
        <v>1047</v>
      </c>
      <c r="F282" s="368">
        <v>43830</v>
      </c>
      <c r="G282" t="s">
        <v>1048</v>
      </c>
      <c r="H282" t="s">
        <v>1048</v>
      </c>
      <c r="I282" t="s">
        <v>1048</v>
      </c>
      <c r="J282" t="s">
        <v>1048</v>
      </c>
      <c r="K282" t="s">
        <v>1048</v>
      </c>
      <c r="L282" t="s">
        <v>1048</v>
      </c>
      <c r="M282" t="s">
        <v>1048</v>
      </c>
      <c r="N282" t="s">
        <v>1048</v>
      </c>
      <c r="O282" t="s">
        <v>1048</v>
      </c>
      <c r="P282" t="s">
        <v>1048</v>
      </c>
      <c r="Q282" t="s">
        <v>1048</v>
      </c>
      <c r="R282" t="s">
        <v>1048</v>
      </c>
      <c r="S282" t="s">
        <v>1048</v>
      </c>
      <c r="T282" t="s">
        <v>1047</v>
      </c>
      <c r="U282" t="s">
        <v>1047</v>
      </c>
      <c r="V282" t="s">
        <v>1047</v>
      </c>
    </row>
    <row r="283" spans="1:22" x14ac:dyDescent="0.2">
      <c r="A283">
        <v>556589</v>
      </c>
      <c r="B283" t="s">
        <v>377</v>
      </c>
      <c r="C283">
        <v>25</v>
      </c>
      <c r="D283" s="368">
        <v>44316</v>
      </c>
      <c r="E283" t="s">
        <v>1047</v>
      </c>
      <c r="F283" s="368">
        <v>43830</v>
      </c>
      <c r="G283" t="s">
        <v>1048</v>
      </c>
      <c r="H283" t="s">
        <v>1048</v>
      </c>
      <c r="I283" t="s">
        <v>1048</v>
      </c>
      <c r="J283" t="s">
        <v>1048</v>
      </c>
      <c r="K283" t="s">
        <v>1048</v>
      </c>
      <c r="L283" t="s">
        <v>1048</v>
      </c>
      <c r="M283" t="s">
        <v>1048</v>
      </c>
      <c r="N283" t="s">
        <v>1048</v>
      </c>
      <c r="O283" t="s">
        <v>1048</v>
      </c>
      <c r="P283" t="s">
        <v>1048</v>
      </c>
      <c r="Q283" t="s">
        <v>1048</v>
      </c>
      <c r="R283" t="s">
        <v>1048</v>
      </c>
      <c r="S283" t="s">
        <v>1048</v>
      </c>
      <c r="T283" t="s">
        <v>1048</v>
      </c>
      <c r="U283" t="s">
        <v>1047</v>
      </c>
      <c r="V283" t="s">
        <v>1047</v>
      </c>
    </row>
    <row r="284" spans="1:22" x14ac:dyDescent="0.2">
      <c r="A284">
        <v>560599</v>
      </c>
      <c r="B284" t="s">
        <v>378</v>
      </c>
      <c r="C284"/>
      <c r="D284"/>
      <c r="E284" t="s">
        <v>1047</v>
      </c>
      <c r="F284" s="368">
        <v>43830</v>
      </c>
      <c r="G284" t="s">
        <v>1048</v>
      </c>
      <c r="H284" t="s">
        <v>1048</v>
      </c>
      <c r="I284" t="s">
        <v>1048</v>
      </c>
      <c r="J284" t="s">
        <v>1048</v>
      </c>
      <c r="K284" t="s">
        <v>1048</v>
      </c>
      <c r="L284" t="s">
        <v>1048</v>
      </c>
      <c r="M284" t="s">
        <v>1047</v>
      </c>
      <c r="N284" t="s">
        <v>1047</v>
      </c>
      <c r="O284" t="s">
        <v>1047</v>
      </c>
      <c r="P284" t="s">
        <v>1047</v>
      </c>
      <c r="Q284" t="s">
        <v>1047</v>
      </c>
      <c r="R284" t="s">
        <v>1047</v>
      </c>
      <c r="S284" t="s">
        <v>1047</v>
      </c>
      <c r="T284" t="s">
        <v>1047</v>
      </c>
      <c r="U284" t="s">
        <v>1047</v>
      </c>
      <c r="V284" t="s">
        <v>1047</v>
      </c>
    </row>
    <row r="285" spans="1:22" x14ac:dyDescent="0.2">
      <c r="A285">
        <v>562421</v>
      </c>
      <c r="B285" t="s">
        <v>379</v>
      </c>
      <c r="C285">
        <v>21</v>
      </c>
      <c r="D285" s="368">
        <v>44316</v>
      </c>
      <c r="E285" t="s">
        <v>1048</v>
      </c>
      <c r="F285" s="368">
        <v>44286</v>
      </c>
      <c r="G285" t="s">
        <v>1048</v>
      </c>
      <c r="H285" t="s">
        <v>1048</v>
      </c>
      <c r="I285" t="s">
        <v>1048</v>
      </c>
      <c r="J285" t="s">
        <v>1048</v>
      </c>
      <c r="K285" t="s">
        <v>1048</v>
      </c>
      <c r="L285" t="s">
        <v>1048</v>
      </c>
      <c r="M285" t="s">
        <v>1048</v>
      </c>
      <c r="N285" t="s">
        <v>1048</v>
      </c>
      <c r="O285" t="s">
        <v>1048</v>
      </c>
      <c r="P285" t="s">
        <v>1048</v>
      </c>
      <c r="Q285" t="s">
        <v>1048</v>
      </c>
      <c r="R285" t="s">
        <v>1048</v>
      </c>
      <c r="S285" t="s">
        <v>1048</v>
      </c>
      <c r="T285" t="s">
        <v>1048</v>
      </c>
      <c r="U285" t="s">
        <v>1047</v>
      </c>
      <c r="V285" t="s">
        <v>1047</v>
      </c>
    </row>
    <row r="286" spans="1:22" x14ac:dyDescent="0.2">
      <c r="A286">
        <v>562728</v>
      </c>
      <c r="B286" t="s">
        <v>380</v>
      </c>
      <c r="C286">
        <v>24</v>
      </c>
      <c r="D286" s="368">
        <v>44316</v>
      </c>
      <c r="E286" t="s">
        <v>1047</v>
      </c>
      <c r="F286" s="368">
        <v>44286</v>
      </c>
      <c r="G286" t="s">
        <v>1048</v>
      </c>
      <c r="H286" t="s">
        <v>1048</v>
      </c>
      <c r="I286" t="s">
        <v>1048</v>
      </c>
      <c r="J286" t="s">
        <v>1048</v>
      </c>
      <c r="K286" t="s">
        <v>1048</v>
      </c>
      <c r="L286" t="s">
        <v>1048</v>
      </c>
      <c r="M286" t="s">
        <v>1047</v>
      </c>
      <c r="N286" t="s">
        <v>1048</v>
      </c>
      <c r="O286" t="s">
        <v>1048</v>
      </c>
      <c r="P286" t="s">
        <v>1048</v>
      </c>
      <c r="Q286" t="s">
        <v>1048</v>
      </c>
      <c r="R286" t="s">
        <v>1047</v>
      </c>
      <c r="S286" t="s">
        <v>1048</v>
      </c>
      <c r="T286" t="s">
        <v>1048</v>
      </c>
      <c r="U286" t="s">
        <v>1047</v>
      </c>
      <c r="V286" t="s">
        <v>1047</v>
      </c>
    </row>
    <row r="287" spans="1:22" x14ac:dyDescent="0.2">
      <c r="A287">
        <v>563965</v>
      </c>
      <c r="B287" t="s">
        <v>381</v>
      </c>
      <c r="C287">
        <v>20</v>
      </c>
      <c r="D287" s="368">
        <v>44316</v>
      </c>
      <c r="E287" t="s">
        <v>1048</v>
      </c>
      <c r="F287" s="368">
        <v>44286</v>
      </c>
      <c r="G287" t="s">
        <v>1048</v>
      </c>
      <c r="H287" t="s">
        <v>1048</v>
      </c>
      <c r="I287" t="s">
        <v>1048</v>
      </c>
      <c r="J287" t="s">
        <v>1048</v>
      </c>
      <c r="K287" t="s">
        <v>1048</v>
      </c>
      <c r="L287" t="s">
        <v>1048</v>
      </c>
      <c r="M287" t="s">
        <v>1048</v>
      </c>
      <c r="N287" t="s">
        <v>1047</v>
      </c>
      <c r="O287" t="s">
        <v>1048</v>
      </c>
      <c r="P287" t="s">
        <v>1047</v>
      </c>
      <c r="Q287" t="s">
        <v>1047</v>
      </c>
      <c r="R287" t="s">
        <v>1047</v>
      </c>
      <c r="S287" t="s">
        <v>1047</v>
      </c>
      <c r="T287" t="s">
        <v>1047</v>
      </c>
      <c r="U287" t="s">
        <v>1047</v>
      </c>
      <c r="V287" t="s">
        <v>1047</v>
      </c>
    </row>
    <row r="288" spans="1:22" x14ac:dyDescent="0.2">
      <c r="A288">
        <v>564849</v>
      </c>
      <c r="B288" t="s">
        <v>1227</v>
      </c>
      <c r="C288">
        <v>20</v>
      </c>
      <c r="D288" s="368">
        <v>44316</v>
      </c>
      <c r="E288" t="s">
        <v>1048</v>
      </c>
      <c r="F288" s="368">
        <v>44286</v>
      </c>
      <c r="G288" t="s">
        <v>1048</v>
      </c>
      <c r="H288" t="s">
        <v>1048</v>
      </c>
      <c r="I288" t="s">
        <v>1048</v>
      </c>
      <c r="J288" t="s">
        <v>1048</v>
      </c>
      <c r="K288" t="s">
        <v>1048</v>
      </c>
      <c r="L288" t="s">
        <v>1048</v>
      </c>
      <c r="M288" t="s">
        <v>1047</v>
      </c>
      <c r="N288" t="s">
        <v>1047</v>
      </c>
      <c r="O288" t="s">
        <v>1048</v>
      </c>
      <c r="P288" t="s">
        <v>1047</v>
      </c>
      <c r="Q288" t="s">
        <v>1047</v>
      </c>
      <c r="R288" t="s">
        <v>1048</v>
      </c>
      <c r="S288" t="s">
        <v>1047</v>
      </c>
      <c r="T288" t="s">
        <v>1047</v>
      </c>
      <c r="U288" t="s">
        <v>1047</v>
      </c>
      <c r="V288" t="s">
        <v>1047</v>
      </c>
    </row>
    <row r="289" spans="1:22" x14ac:dyDescent="0.2">
      <c r="A289">
        <v>570044</v>
      </c>
      <c r="B289" t="s">
        <v>382</v>
      </c>
      <c r="C289">
        <v>20</v>
      </c>
      <c r="D289" s="368">
        <v>44316</v>
      </c>
      <c r="E289" t="s">
        <v>1047</v>
      </c>
      <c r="F289" s="368">
        <v>44012</v>
      </c>
      <c r="G289" t="s">
        <v>1048</v>
      </c>
      <c r="H289" t="s">
        <v>1048</v>
      </c>
      <c r="I289" t="s">
        <v>1048</v>
      </c>
      <c r="J289" t="s">
        <v>1048</v>
      </c>
      <c r="K289" t="s">
        <v>1048</v>
      </c>
      <c r="L289" t="s">
        <v>1048</v>
      </c>
      <c r="M289" t="s">
        <v>1047</v>
      </c>
      <c r="N289" t="s">
        <v>1047</v>
      </c>
      <c r="O289" t="s">
        <v>1048</v>
      </c>
      <c r="P289" t="s">
        <v>1047</v>
      </c>
      <c r="Q289" t="s">
        <v>1048</v>
      </c>
      <c r="R289" t="s">
        <v>1048</v>
      </c>
      <c r="S289" t="s">
        <v>1047</v>
      </c>
      <c r="T289" t="s">
        <v>1048</v>
      </c>
      <c r="U289" t="s">
        <v>1047</v>
      </c>
      <c r="V289" t="s">
        <v>1047</v>
      </c>
    </row>
    <row r="290" spans="1:22" x14ac:dyDescent="0.2">
      <c r="A290">
        <v>570630</v>
      </c>
      <c r="B290" t="s">
        <v>383</v>
      </c>
      <c r="C290">
        <v>19</v>
      </c>
      <c r="D290" s="368">
        <v>44316</v>
      </c>
      <c r="E290" t="s">
        <v>1048</v>
      </c>
      <c r="F290" s="368">
        <v>44286</v>
      </c>
      <c r="G290" t="s">
        <v>1048</v>
      </c>
      <c r="H290" t="s">
        <v>1048</v>
      </c>
      <c r="I290" t="s">
        <v>1048</v>
      </c>
      <c r="J290" t="s">
        <v>1048</v>
      </c>
      <c r="K290" t="s">
        <v>1048</v>
      </c>
      <c r="L290" t="s">
        <v>1048</v>
      </c>
      <c r="M290" t="s">
        <v>1048</v>
      </c>
      <c r="N290" t="s">
        <v>1048</v>
      </c>
      <c r="O290" t="s">
        <v>1048</v>
      </c>
      <c r="P290" t="s">
        <v>1048</v>
      </c>
      <c r="Q290" t="s">
        <v>1048</v>
      </c>
      <c r="R290" t="s">
        <v>1048</v>
      </c>
      <c r="S290" t="s">
        <v>1048</v>
      </c>
      <c r="T290" t="s">
        <v>1047</v>
      </c>
      <c r="U290" t="s">
        <v>1047</v>
      </c>
      <c r="V290" t="s">
        <v>1047</v>
      </c>
    </row>
    <row r="291" spans="1:22" x14ac:dyDescent="0.2">
      <c r="A291">
        <v>571695</v>
      </c>
      <c r="B291" t="s">
        <v>384</v>
      </c>
      <c r="C291">
        <v>23</v>
      </c>
      <c r="D291" s="368">
        <v>44316</v>
      </c>
      <c r="E291" t="s">
        <v>1048</v>
      </c>
      <c r="F291" s="368">
        <v>44286</v>
      </c>
      <c r="G291" t="s">
        <v>1048</v>
      </c>
      <c r="H291" t="s">
        <v>1048</v>
      </c>
      <c r="I291" t="s">
        <v>1048</v>
      </c>
      <c r="J291" t="s">
        <v>1048</v>
      </c>
      <c r="K291" t="s">
        <v>1048</v>
      </c>
      <c r="L291" t="s">
        <v>1048</v>
      </c>
      <c r="M291" t="s">
        <v>1047</v>
      </c>
      <c r="N291" t="s">
        <v>1047</v>
      </c>
      <c r="O291" t="s">
        <v>1048</v>
      </c>
      <c r="P291" t="s">
        <v>1047</v>
      </c>
      <c r="Q291" t="s">
        <v>1047</v>
      </c>
      <c r="R291" t="s">
        <v>1047</v>
      </c>
      <c r="S291" t="s">
        <v>1047</v>
      </c>
      <c r="T291" t="s">
        <v>1047</v>
      </c>
      <c r="U291" t="s">
        <v>1047</v>
      </c>
      <c r="V291" t="s">
        <v>1048</v>
      </c>
    </row>
    <row r="292" spans="1:22" x14ac:dyDescent="0.2">
      <c r="A292">
        <v>572637</v>
      </c>
      <c r="B292" t="s">
        <v>1088</v>
      </c>
      <c r="C292"/>
      <c r="D292"/>
      <c r="E292" t="s">
        <v>1047</v>
      </c>
      <c r="F292" s="368">
        <v>43830</v>
      </c>
      <c r="G292" t="s">
        <v>1049</v>
      </c>
      <c r="H292" t="s">
        <v>1049</v>
      </c>
      <c r="I292" t="s">
        <v>1049</v>
      </c>
      <c r="J292" t="s">
        <v>1049</v>
      </c>
      <c r="K292" t="s">
        <v>1049</v>
      </c>
      <c r="L292" t="s">
        <v>1049</v>
      </c>
      <c r="M292" t="s">
        <v>1049</v>
      </c>
      <c r="N292" t="s">
        <v>1049</v>
      </c>
      <c r="O292" t="s">
        <v>1049</v>
      </c>
      <c r="P292" t="s">
        <v>1049</v>
      </c>
      <c r="Q292" t="s">
        <v>1049</v>
      </c>
      <c r="R292" t="s">
        <v>1049</v>
      </c>
      <c r="S292" t="s">
        <v>1049</v>
      </c>
      <c r="T292" t="s">
        <v>1049</v>
      </c>
      <c r="U292" t="s">
        <v>1049</v>
      </c>
      <c r="V292" t="s">
        <v>1049</v>
      </c>
    </row>
    <row r="293" spans="1:22" x14ac:dyDescent="0.2">
      <c r="A293">
        <v>574293</v>
      </c>
      <c r="B293" t="s">
        <v>385</v>
      </c>
      <c r="C293">
        <v>22</v>
      </c>
      <c r="D293" s="368">
        <v>44227</v>
      </c>
      <c r="E293" t="s">
        <v>1047</v>
      </c>
      <c r="F293" s="368">
        <v>43830</v>
      </c>
      <c r="G293" t="s">
        <v>1048</v>
      </c>
      <c r="H293" t="s">
        <v>1048</v>
      </c>
      <c r="I293" t="s">
        <v>1048</v>
      </c>
      <c r="J293" t="s">
        <v>1048</v>
      </c>
      <c r="K293" t="s">
        <v>1048</v>
      </c>
      <c r="L293" t="s">
        <v>1048</v>
      </c>
      <c r="M293" t="s">
        <v>1047</v>
      </c>
      <c r="N293" t="s">
        <v>1047</v>
      </c>
      <c r="O293" t="s">
        <v>1048</v>
      </c>
      <c r="P293" t="s">
        <v>1048</v>
      </c>
      <c r="Q293" t="s">
        <v>1048</v>
      </c>
      <c r="R293" t="s">
        <v>1047</v>
      </c>
      <c r="S293" t="s">
        <v>1048</v>
      </c>
      <c r="T293" t="s">
        <v>1047</v>
      </c>
      <c r="U293" t="s">
        <v>1047</v>
      </c>
      <c r="V293" t="s">
        <v>1047</v>
      </c>
    </row>
    <row r="294" spans="1:22" x14ac:dyDescent="0.2">
      <c r="A294">
        <v>574582</v>
      </c>
      <c r="B294" t="s">
        <v>386</v>
      </c>
      <c r="C294">
        <v>25</v>
      </c>
      <c r="D294" s="368">
        <v>44196</v>
      </c>
      <c r="E294" t="s">
        <v>1047</v>
      </c>
      <c r="F294" s="368">
        <v>43830</v>
      </c>
      <c r="G294" t="s">
        <v>1048</v>
      </c>
      <c r="H294" t="s">
        <v>1048</v>
      </c>
      <c r="I294" t="s">
        <v>1048</v>
      </c>
      <c r="J294" t="s">
        <v>1048</v>
      </c>
      <c r="K294" t="s">
        <v>1048</v>
      </c>
      <c r="L294" t="s">
        <v>1048</v>
      </c>
      <c r="M294" t="s">
        <v>1047</v>
      </c>
      <c r="N294" t="s">
        <v>1047</v>
      </c>
      <c r="O294" t="s">
        <v>1048</v>
      </c>
      <c r="P294" t="s">
        <v>1047</v>
      </c>
      <c r="Q294" t="s">
        <v>1048</v>
      </c>
      <c r="R294" t="s">
        <v>1048</v>
      </c>
      <c r="S294" t="s">
        <v>1047</v>
      </c>
      <c r="T294" t="s">
        <v>1048</v>
      </c>
      <c r="U294" t="s">
        <v>1047</v>
      </c>
      <c r="V294" t="s">
        <v>1047</v>
      </c>
    </row>
    <row r="295" spans="1:22" x14ac:dyDescent="0.2">
      <c r="A295">
        <v>577833</v>
      </c>
      <c r="B295" t="s">
        <v>387</v>
      </c>
      <c r="C295">
        <v>20</v>
      </c>
      <c r="D295" s="368">
        <v>44316</v>
      </c>
      <c r="E295" t="s">
        <v>1048</v>
      </c>
      <c r="F295" s="368">
        <v>44286</v>
      </c>
      <c r="G295" t="s">
        <v>1048</v>
      </c>
      <c r="H295" t="s">
        <v>1048</v>
      </c>
      <c r="I295" t="s">
        <v>1048</v>
      </c>
      <c r="J295" t="s">
        <v>1048</v>
      </c>
      <c r="K295" t="s">
        <v>1048</v>
      </c>
      <c r="L295" t="s">
        <v>1048</v>
      </c>
      <c r="M295" t="s">
        <v>1048</v>
      </c>
      <c r="N295" t="s">
        <v>1048</v>
      </c>
      <c r="O295" t="s">
        <v>1048</v>
      </c>
      <c r="P295" t="s">
        <v>1048</v>
      </c>
      <c r="Q295" t="s">
        <v>1048</v>
      </c>
      <c r="R295" t="s">
        <v>1048</v>
      </c>
      <c r="S295" t="s">
        <v>1048</v>
      </c>
      <c r="T295" t="s">
        <v>1047</v>
      </c>
      <c r="U295" t="s">
        <v>1047</v>
      </c>
      <c r="V295" t="s">
        <v>1048</v>
      </c>
    </row>
    <row r="296" spans="1:22" x14ac:dyDescent="0.2">
      <c r="A296">
        <v>581371</v>
      </c>
      <c r="B296" t="s">
        <v>118</v>
      </c>
      <c r="C296"/>
      <c r="D296"/>
      <c r="E296" t="s">
        <v>1047</v>
      </c>
      <c r="F296" s="368">
        <v>43008</v>
      </c>
      <c r="G296" t="s">
        <v>1048</v>
      </c>
      <c r="H296" t="s">
        <v>1048</v>
      </c>
      <c r="I296" t="s">
        <v>1048</v>
      </c>
      <c r="J296" t="s">
        <v>1048</v>
      </c>
      <c r="K296" t="s">
        <v>1048</v>
      </c>
      <c r="L296" t="s">
        <v>1048</v>
      </c>
      <c r="M296" t="s">
        <v>1047</v>
      </c>
      <c r="N296" t="s">
        <v>1047</v>
      </c>
      <c r="O296" t="s">
        <v>1047</v>
      </c>
      <c r="P296" t="s">
        <v>1047</v>
      </c>
      <c r="Q296" t="s">
        <v>1047</v>
      </c>
      <c r="R296" t="s">
        <v>1047</v>
      </c>
      <c r="S296" t="s">
        <v>1047</v>
      </c>
      <c r="T296" t="s">
        <v>1047</v>
      </c>
      <c r="U296" t="s">
        <v>1047</v>
      </c>
      <c r="V296" t="s">
        <v>1048</v>
      </c>
    </row>
    <row r="297" spans="1:22" x14ac:dyDescent="0.2">
      <c r="A297">
        <v>582791</v>
      </c>
      <c r="B297" t="s">
        <v>388</v>
      </c>
      <c r="C297">
        <v>23</v>
      </c>
      <c r="D297" s="368">
        <v>44316</v>
      </c>
      <c r="E297" t="s">
        <v>1048</v>
      </c>
      <c r="F297" s="368">
        <v>44286</v>
      </c>
      <c r="G297" t="s">
        <v>1048</v>
      </c>
      <c r="H297" t="s">
        <v>1048</v>
      </c>
      <c r="I297" t="s">
        <v>1048</v>
      </c>
      <c r="J297" t="s">
        <v>1048</v>
      </c>
      <c r="K297" t="s">
        <v>1048</v>
      </c>
      <c r="L297" t="s">
        <v>1048</v>
      </c>
      <c r="M297" t="s">
        <v>1047</v>
      </c>
      <c r="N297" t="s">
        <v>1047</v>
      </c>
      <c r="O297" t="s">
        <v>1048</v>
      </c>
      <c r="P297" t="s">
        <v>1047</v>
      </c>
      <c r="Q297" t="s">
        <v>1047</v>
      </c>
      <c r="R297" t="s">
        <v>1047</v>
      </c>
      <c r="S297" t="s">
        <v>1048</v>
      </c>
      <c r="T297" t="s">
        <v>1047</v>
      </c>
      <c r="U297" t="s">
        <v>1047</v>
      </c>
      <c r="V297" t="s">
        <v>1047</v>
      </c>
    </row>
    <row r="298" spans="1:22" x14ac:dyDescent="0.2">
      <c r="A298">
        <v>584912</v>
      </c>
      <c r="B298" t="s">
        <v>389</v>
      </c>
      <c r="C298">
        <v>22</v>
      </c>
      <c r="D298" s="368">
        <v>44316</v>
      </c>
      <c r="E298" t="s">
        <v>1047</v>
      </c>
      <c r="F298" s="368">
        <v>43830</v>
      </c>
      <c r="G298" t="s">
        <v>1048</v>
      </c>
      <c r="H298" t="s">
        <v>1048</v>
      </c>
      <c r="I298" t="s">
        <v>1048</v>
      </c>
      <c r="J298" t="s">
        <v>1048</v>
      </c>
      <c r="K298" t="s">
        <v>1048</v>
      </c>
      <c r="L298" t="s">
        <v>1048</v>
      </c>
      <c r="M298" t="s">
        <v>1048</v>
      </c>
      <c r="N298" t="s">
        <v>1048</v>
      </c>
      <c r="O298" t="s">
        <v>1048</v>
      </c>
      <c r="P298" t="s">
        <v>1048</v>
      </c>
      <c r="Q298" t="s">
        <v>1048</v>
      </c>
      <c r="R298" t="s">
        <v>1048</v>
      </c>
      <c r="S298" t="s">
        <v>1048</v>
      </c>
      <c r="T298" t="s">
        <v>1047</v>
      </c>
      <c r="U298" t="s">
        <v>1047</v>
      </c>
      <c r="V298" t="s">
        <v>1047</v>
      </c>
    </row>
    <row r="299" spans="1:22" x14ac:dyDescent="0.2">
      <c r="A299">
        <v>587337</v>
      </c>
      <c r="B299" t="s">
        <v>390</v>
      </c>
      <c r="C299">
        <v>21</v>
      </c>
      <c r="D299" s="368">
        <v>44316</v>
      </c>
      <c r="E299" t="s">
        <v>1048</v>
      </c>
      <c r="F299" s="368">
        <v>44286</v>
      </c>
      <c r="G299" t="s">
        <v>1048</v>
      </c>
      <c r="H299" t="s">
        <v>1048</v>
      </c>
      <c r="I299" t="s">
        <v>1048</v>
      </c>
      <c r="J299" t="s">
        <v>1048</v>
      </c>
      <c r="K299" t="s">
        <v>1048</v>
      </c>
      <c r="L299" t="s">
        <v>1048</v>
      </c>
      <c r="M299" t="s">
        <v>1047</v>
      </c>
      <c r="N299" t="s">
        <v>1047</v>
      </c>
      <c r="O299" t="s">
        <v>1048</v>
      </c>
      <c r="P299" t="s">
        <v>1047</v>
      </c>
      <c r="Q299" t="s">
        <v>1047</v>
      </c>
      <c r="R299" t="s">
        <v>1047</v>
      </c>
      <c r="S299" t="s">
        <v>1047</v>
      </c>
      <c r="T299" t="s">
        <v>1047</v>
      </c>
      <c r="U299" t="s">
        <v>1047</v>
      </c>
      <c r="V299" t="s">
        <v>1047</v>
      </c>
    </row>
    <row r="300" spans="1:22" x14ac:dyDescent="0.2">
      <c r="A300">
        <v>596429</v>
      </c>
      <c r="B300" t="s">
        <v>391</v>
      </c>
      <c r="C300">
        <v>21</v>
      </c>
      <c r="D300" s="368">
        <v>44316</v>
      </c>
      <c r="E300" t="s">
        <v>1048</v>
      </c>
      <c r="F300" s="368">
        <v>44286</v>
      </c>
      <c r="G300" t="s">
        <v>1048</v>
      </c>
      <c r="H300" t="s">
        <v>1048</v>
      </c>
      <c r="I300" t="s">
        <v>1048</v>
      </c>
      <c r="J300" t="s">
        <v>1048</v>
      </c>
      <c r="K300" t="s">
        <v>1048</v>
      </c>
      <c r="L300" t="s">
        <v>1048</v>
      </c>
      <c r="M300" t="s">
        <v>1048</v>
      </c>
      <c r="N300" t="s">
        <v>1048</v>
      </c>
      <c r="O300" t="s">
        <v>1048</v>
      </c>
      <c r="P300" t="s">
        <v>1048</v>
      </c>
      <c r="Q300" t="s">
        <v>1048</v>
      </c>
      <c r="R300" t="s">
        <v>1048</v>
      </c>
      <c r="S300" t="s">
        <v>1047</v>
      </c>
      <c r="T300" t="s">
        <v>1047</v>
      </c>
      <c r="U300" t="s">
        <v>1047</v>
      </c>
      <c r="V300" t="s">
        <v>1048</v>
      </c>
    </row>
    <row r="301" spans="1:22" x14ac:dyDescent="0.2">
      <c r="A301">
        <v>598557</v>
      </c>
      <c r="B301" t="s">
        <v>392</v>
      </c>
      <c r="C301">
        <v>22</v>
      </c>
      <c r="D301" s="368">
        <v>44316</v>
      </c>
      <c r="E301" t="s">
        <v>1047</v>
      </c>
      <c r="F301" s="368">
        <v>43830</v>
      </c>
      <c r="G301" t="s">
        <v>1048</v>
      </c>
      <c r="H301" t="s">
        <v>1048</v>
      </c>
      <c r="I301" t="s">
        <v>1048</v>
      </c>
      <c r="J301" t="s">
        <v>1048</v>
      </c>
      <c r="K301" t="s">
        <v>1048</v>
      </c>
      <c r="L301" t="s">
        <v>1048</v>
      </c>
      <c r="M301" t="s">
        <v>1047</v>
      </c>
      <c r="N301" t="s">
        <v>1047</v>
      </c>
      <c r="O301" t="s">
        <v>1048</v>
      </c>
      <c r="P301" t="s">
        <v>1048</v>
      </c>
      <c r="Q301" t="s">
        <v>1048</v>
      </c>
      <c r="R301" t="s">
        <v>1047</v>
      </c>
      <c r="S301" t="s">
        <v>1048</v>
      </c>
      <c r="T301" t="s">
        <v>1048</v>
      </c>
      <c r="U301" t="s">
        <v>1047</v>
      </c>
      <c r="V301" t="s">
        <v>1047</v>
      </c>
    </row>
    <row r="302" spans="1:22" x14ac:dyDescent="0.2">
      <c r="A302">
        <v>599795</v>
      </c>
      <c r="B302" t="s">
        <v>513</v>
      </c>
      <c r="C302">
        <v>21</v>
      </c>
      <c r="D302" s="368">
        <v>44316</v>
      </c>
      <c r="E302" t="s">
        <v>1047</v>
      </c>
      <c r="F302" s="368">
        <v>43830</v>
      </c>
      <c r="G302" t="s">
        <v>1048</v>
      </c>
      <c r="H302" t="s">
        <v>1048</v>
      </c>
      <c r="I302" t="s">
        <v>1048</v>
      </c>
      <c r="J302" t="s">
        <v>1047</v>
      </c>
      <c r="K302" t="s">
        <v>1047</v>
      </c>
      <c r="L302" t="s">
        <v>1047</v>
      </c>
      <c r="M302" t="s">
        <v>1047</v>
      </c>
      <c r="N302" t="s">
        <v>1047</v>
      </c>
      <c r="O302" t="s">
        <v>1047</v>
      </c>
      <c r="P302" t="s">
        <v>1047</v>
      </c>
      <c r="Q302" t="s">
        <v>1047</v>
      </c>
      <c r="R302" t="s">
        <v>1047</v>
      </c>
      <c r="S302" t="s">
        <v>1047</v>
      </c>
      <c r="T302" t="s">
        <v>1047</v>
      </c>
      <c r="U302" t="s">
        <v>1047</v>
      </c>
      <c r="V302" t="s">
        <v>1047</v>
      </c>
    </row>
    <row r="303" spans="1:22" x14ac:dyDescent="0.2">
      <c r="A303">
        <v>606103</v>
      </c>
      <c r="B303" t="s">
        <v>1184</v>
      </c>
      <c r="C303"/>
      <c r="D303"/>
      <c r="E303" t="s">
        <v>1047</v>
      </c>
      <c r="F303" s="368">
        <v>43830</v>
      </c>
      <c r="G303" t="s">
        <v>1048</v>
      </c>
      <c r="H303" t="s">
        <v>1048</v>
      </c>
      <c r="I303" t="s">
        <v>1048</v>
      </c>
      <c r="J303" t="s">
        <v>1048</v>
      </c>
      <c r="K303" t="s">
        <v>1048</v>
      </c>
      <c r="L303" t="s">
        <v>1048</v>
      </c>
      <c r="M303" t="s">
        <v>1048</v>
      </c>
      <c r="N303" t="s">
        <v>1048</v>
      </c>
      <c r="O303" t="s">
        <v>1048</v>
      </c>
      <c r="P303" t="s">
        <v>1048</v>
      </c>
      <c r="Q303" t="s">
        <v>1048</v>
      </c>
      <c r="R303" t="s">
        <v>1048</v>
      </c>
      <c r="S303" t="s">
        <v>1048</v>
      </c>
      <c r="T303" t="s">
        <v>1048</v>
      </c>
      <c r="U303" t="s">
        <v>1048</v>
      </c>
      <c r="V303" t="s">
        <v>1048</v>
      </c>
    </row>
    <row r="304" spans="1:22" x14ac:dyDescent="0.2">
      <c r="A304">
        <v>608463</v>
      </c>
      <c r="B304" t="s">
        <v>1089</v>
      </c>
      <c r="C304">
        <v>25</v>
      </c>
      <c r="D304" s="368">
        <v>43951</v>
      </c>
      <c r="E304" t="s">
        <v>1047</v>
      </c>
      <c r="F304" s="368">
        <v>43921</v>
      </c>
      <c r="G304" t="s">
        <v>1049</v>
      </c>
      <c r="H304" t="s">
        <v>1049</v>
      </c>
      <c r="I304" t="s">
        <v>1049</v>
      </c>
      <c r="J304" t="s">
        <v>1049</v>
      </c>
      <c r="K304" t="s">
        <v>1049</v>
      </c>
      <c r="L304" t="s">
        <v>1049</v>
      </c>
      <c r="M304" t="s">
        <v>1049</v>
      </c>
      <c r="N304" t="s">
        <v>1049</v>
      </c>
      <c r="O304" t="s">
        <v>1049</v>
      </c>
      <c r="P304" t="s">
        <v>1049</v>
      </c>
      <c r="Q304" t="s">
        <v>1049</v>
      </c>
      <c r="R304" t="s">
        <v>1049</v>
      </c>
      <c r="S304" t="s">
        <v>1049</v>
      </c>
      <c r="T304" t="s">
        <v>1049</v>
      </c>
      <c r="U304" t="s">
        <v>1049</v>
      </c>
      <c r="V304" t="s">
        <v>1049</v>
      </c>
    </row>
    <row r="305" spans="1:22" x14ac:dyDescent="0.2">
      <c r="A305">
        <v>610121</v>
      </c>
      <c r="B305" t="s">
        <v>394</v>
      </c>
      <c r="C305">
        <v>20</v>
      </c>
      <c r="D305" s="368">
        <v>44316</v>
      </c>
      <c r="E305" t="s">
        <v>1048</v>
      </c>
      <c r="F305" s="368">
        <v>44286</v>
      </c>
      <c r="G305" t="s">
        <v>1048</v>
      </c>
      <c r="H305" t="s">
        <v>1048</v>
      </c>
      <c r="I305" t="s">
        <v>1048</v>
      </c>
      <c r="J305" t="s">
        <v>1048</v>
      </c>
      <c r="K305" t="s">
        <v>1048</v>
      </c>
      <c r="L305" t="s">
        <v>1048</v>
      </c>
      <c r="M305" t="s">
        <v>1047</v>
      </c>
      <c r="N305" t="s">
        <v>1047</v>
      </c>
      <c r="O305" t="s">
        <v>1048</v>
      </c>
      <c r="P305" t="s">
        <v>1048</v>
      </c>
      <c r="Q305" t="s">
        <v>1048</v>
      </c>
      <c r="R305" t="s">
        <v>1047</v>
      </c>
      <c r="S305" t="s">
        <v>1048</v>
      </c>
      <c r="T305" t="s">
        <v>1047</v>
      </c>
      <c r="U305" t="s">
        <v>1047</v>
      </c>
      <c r="V305" t="s">
        <v>1047</v>
      </c>
    </row>
    <row r="306" spans="1:22" x14ac:dyDescent="0.2">
      <c r="A306">
        <v>610410</v>
      </c>
      <c r="B306" t="s">
        <v>395</v>
      </c>
      <c r="C306">
        <v>21</v>
      </c>
      <c r="D306" s="368">
        <v>44316</v>
      </c>
      <c r="E306" t="s">
        <v>1048</v>
      </c>
      <c r="F306" s="368">
        <v>44286</v>
      </c>
      <c r="G306" t="s">
        <v>1047</v>
      </c>
      <c r="H306" t="s">
        <v>1047</v>
      </c>
      <c r="I306" t="s">
        <v>1047</v>
      </c>
      <c r="J306" t="s">
        <v>1048</v>
      </c>
      <c r="K306" t="s">
        <v>1048</v>
      </c>
      <c r="L306" t="s">
        <v>1048</v>
      </c>
      <c r="M306" t="s">
        <v>1047</v>
      </c>
      <c r="N306" t="s">
        <v>1047</v>
      </c>
      <c r="O306" t="s">
        <v>1047</v>
      </c>
      <c r="P306" t="s">
        <v>1047</v>
      </c>
      <c r="Q306" t="s">
        <v>1048</v>
      </c>
      <c r="R306" t="s">
        <v>1048</v>
      </c>
      <c r="S306" t="s">
        <v>1047</v>
      </c>
      <c r="T306" t="s">
        <v>1048</v>
      </c>
      <c r="U306" t="s">
        <v>1047</v>
      </c>
      <c r="V306" t="s">
        <v>1047</v>
      </c>
    </row>
    <row r="307" spans="1:22" x14ac:dyDescent="0.2">
      <c r="A307">
        <v>613133</v>
      </c>
      <c r="B307" t="s">
        <v>396</v>
      </c>
      <c r="C307">
        <v>20</v>
      </c>
      <c r="D307" s="368">
        <v>44316</v>
      </c>
      <c r="E307" t="s">
        <v>1047</v>
      </c>
      <c r="F307" s="368">
        <v>43830</v>
      </c>
      <c r="G307" t="s">
        <v>1048</v>
      </c>
      <c r="H307" t="s">
        <v>1048</v>
      </c>
      <c r="I307" t="s">
        <v>1048</v>
      </c>
      <c r="J307" t="s">
        <v>1048</v>
      </c>
      <c r="K307" t="s">
        <v>1048</v>
      </c>
      <c r="L307" t="s">
        <v>1048</v>
      </c>
      <c r="M307" t="s">
        <v>1048</v>
      </c>
      <c r="N307" t="s">
        <v>1048</v>
      </c>
      <c r="O307" t="s">
        <v>1048</v>
      </c>
      <c r="P307" t="s">
        <v>1048</v>
      </c>
      <c r="Q307" t="s">
        <v>1048</v>
      </c>
      <c r="R307" t="s">
        <v>1048</v>
      </c>
      <c r="S307" t="s">
        <v>1047</v>
      </c>
      <c r="T307" t="s">
        <v>1047</v>
      </c>
      <c r="U307" t="s">
        <v>1047</v>
      </c>
      <c r="V307" t="s">
        <v>1048</v>
      </c>
    </row>
    <row r="308" spans="1:22" x14ac:dyDescent="0.2">
      <c r="A308">
        <v>613729</v>
      </c>
      <c r="B308" t="s">
        <v>1190</v>
      </c>
      <c r="C308">
        <v>22</v>
      </c>
      <c r="D308" s="368">
        <v>44316</v>
      </c>
      <c r="E308" t="s">
        <v>1048</v>
      </c>
      <c r="F308" s="368">
        <v>44286</v>
      </c>
      <c r="G308" t="s">
        <v>1048</v>
      </c>
      <c r="H308" t="s">
        <v>1048</v>
      </c>
      <c r="I308" t="s">
        <v>1048</v>
      </c>
      <c r="J308" t="s">
        <v>1048</v>
      </c>
      <c r="K308" t="s">
        <v>1048</v>
      </c>
      <c r="L308" t="s">
        <v>1048</v>
      </c>
      <c r="M308" t="s">
        <v>1048</v>
      </c>
      <c r="N308" t="s">
        <v>1048</v>
      </c>
      <c r="O308" t="s">
        <v>1048</v>
      </c>
      <c r="P308" t="s">
        <v>1048</v>
      </c>
      <c r="Q308" t="s">
        <v>1048</v>
      </c>
      <c r="R308" t="s">
        <v>1048</v>
      </c>
      <c r="S308" t="s">
        <v>1048</v>
      </c>
      <c r="T308" t="s">
        <v>1047</v>
      </c>
      <c r="U308" t="s">
        <v>1047</v>
      </c>
      <c r="V308" t="s">
        <v>1048</v>
      </c>
    </row>
    <row r="309" spans="1:22" x14ac:dyDescent="0.2">
      <c r="A309">
        <v>615310</v>
      </c>
      <c r="B309" t="s">
        <v>397</v>
      </c>
      <c r="C309">
        <v>21</v>
      </c>
      <c r="D309" s="368">
        <v>44316</v>
      </c>
      <c r="E309" t="s">
        <v>1047</v>
      </c>
      <c r="F309" s="368">
        <v>43830</v>
      </c>
      <c r="G309" t="s">
        <v>1048</v>
      </c>
      <c r="H309" t="s">
        <v>1048</v>
      </c>
      <c r="I309" t="s">
        <v>1048</v>
      </c>
      <c r="J309" t="s">
        <v>1048</v>
      </c>
      <c r="K309" t="s">
        <v>1048</v>
      </c>
      <c r="L309" t="s">
        <v>1048</v>
      </c>
      <c r="M309" t="s">
        <v>1047</v>
      </c>
      <c r="N309" t="s">
        <v>1047</v>
      </c>
      <c r="O309" t="s">
        <v>1048</v>
      </c>
      <c r="P309" t="s">
        <v>1048</v>
      </c>
      <c r="Q309" t="s">
        <v>1048</v>
      </c>
      <c r="R309" t="s">
        <v>1048</v>
      </c>
      <c r="S309" t="s">
        <v>1047</v>
      </c>
      <c r="T309" t="s">
        <v>1047</v>
      </c>
      <c r="U309" t="s">
        <v>1047</v>
      </c>
      <c r="V309" t="s">
        <v>1048</v>
      </c>
    </row>
    <row r="310" spans="1:22" x14ac:dyDescent="0.2">
      <c r="A310">
        <v>616797</v>
      </c>
      <c r="B310" t="s">
        <v>398</v>
      </c>
      <c r="C310">
        <v>22</v>
      </c>
      <c r="D310" s="368">
        <v>44316</v>
      </c>
      <c r="E310" t="s">
        <v>1048</v>
      </c>
      <c r="F310" s="368">
        <v>44286</v>
      </c>
      <c r="G310" t="s">
        <v>1048</v>
      </c>
      <c r="H310" t="s">
        <v>1048</v>
      </c>
      <c r="I310" t="s">
        <v>1048</v>
      </c>
      <c r="J310" t="s">
        <v>1048</v>
      </c>
      <c r="K310" t="s">
        <v>1048</v>
      </c>
      <c r="L310" t="s">
        <v>1048</v>
      </c>
      <c r="M310" t="s">
        <v>1047</v>
      </c>
      <c r="N310" t="s">
        <v>1047</v>
      </c>
      <c r="O310" t="s">
        <v>1048</v>
      </c>
      <c r="P310" t="s">
        <v>1047</v>
      </c>
      <c r="Q310" t="s">
        <v>1047</v>
      </c>
      <c r="R310" t="s">
        <v>1047</v>
      </c>
      <c r="S310" t="s">
        <v>1048</v>
      </c>
      <c r="T310" t="s">
        <v>1048</v>
      </c>
      <c r="U310" t="s">
        <v>1047</v>
      </c>
      <c r="V310" t="s">
        <v>1048</v>
      </c>
    </row>
    <row r="311" spans="1:22" x14ac:dyDescent="0.2">
      <c r="A311">
        <v>617670</v>
      </c>
      <c r="B311" t="s">
        <v>399</v>
      </c>
      <c r="C311">
        <v>23</v>
      </c>
      <c r="D311" s="368">
        <v>44316</v>
      </c>
      <c r="E311" t="s">
        <v>1048</v>
      </c>
      <c r="F311" s="368">
        <v>44286</v>
      </c>
      <c r="G311" t="s">
        <v>1048</v>
      </c>
      <c r="H311" t="s">
        <v>1048</v>
      </c>
      <c r="I311" t="s">
        <v>1048</v>
      </c>
      <c r="J311" t="s">
        <v>1048</v>
      </c>
      <c r="K311" t="s">
        <v>1048</v>
      </c>
      <c r="L311" t="s">
        <v>1048</v>
      </c>
      <c r="M311" t="s">
        <v>1048</v>
      </c>
      <c r="N311" t="s">
        <v>1048</v>
      </c>
      <c r="O311" t="s">
        <v>1048</v>
      </c>
      <c r="P311" t="s">
        <v>1048</v>
      </c>
      <c r="Q311" t="s">
        <v>1048</v>
      </c>
      <c r="R311" t="s">
        <v>1048</v>
      </c>
      <c r="S311" t="s">
        <v>1047</v>
      </c>
      <c r="T311" t="s">
        <v>1047</v>
      </c>
      <c r="U311" t="s">
        <v>1047</v>
      </c>
      <c r="V311" t="s">
        <v>1048</v>
      </c>
    </row>
    <row r="312" spans="1:22" x14ac:dyDescent="0.2">
      <c r="A312">
        <v>621631</v>
      </c>
      <c r="B312" t="s">
        <v>400</v>
      </c>
      <c r="C312">
        <v>23</v>
      </c>
      <c r="D312" s="368">
        <v>44316</v>
      </c>
      <c r="E312" t="s">
        <v>1047</v>
      </c>
      <c r="F312" s="368">
        <v>43830</v>
      </c>
      <c r="G312" t="s">
        <v>1048</v>
      </c>
      <c r="H312" t="s">
        <v>1048</v>
      </c>
      <c r="I312" t="s">
        <v>1048</v>
      </c>
      <c r="J312" t="s">
        <v>1048</v>
      </c>
      <c r="K312" t="s">
        <v>1048</v>
      </c>
      <c r="L312" t="s">
        <v>1048</v>
      </c>
      <c r="M312" t="s">
        <v>1047</v>
      </c>
      <c r="N312" t="s">
        <v>1047</v>
      </c>
      <c r="O312" t="s">
        <v>1048</v>
      </c>
      <c r="P312" t="s">
        <v>1047</v>
      </c>
      <c r="Q312" t="s">
        <v>1048</v>
      </c>
      <c r="R312" t="s">
        <v>1048</v>
      </c>
      <c r="S312" t="s">
        <v>1047</v>
      </c>
      <c r="T312" t="s">
        <v>1048</v>
      </c>
      <c r="U312" t="s">
        <v>1047</v>
      </c>
      <c r="V312" t="s">
        <v>1047</v>
      </c>
    </row>
    <row r="313" spans="1:22" x14ac:dyDescent="0.2">
      <c r="A313">
        <v>625236</v>
      </c>
      <c r="B313" t="s">
        <v>1090</v>
      </c>
      <c r="C313">
        <v>24</v>
      </c>
      <c r="D313" s="368">
        <v>44316</v>
      </c>
      <c r="E313" t="s">
        <v>1047</v>
      </c>
      <c r="F313" s="368">
        <v>44286</v>
      </c>
      <c r="G313" t="s">
        <v>1048</v>
      </c>
      <c r="H313" t="s">
        <v>1048</v>
      </c>
      <c r="I313" t="s">
        <v>1048</v>
      </c>
      <c r="J313" t="s">
        <v>1048</v>
      </c>
      <c r="K313" t="s">
        <v>1048</v>
      </c>
      <c r="L313" t="s">
        <v>1048</v>
      </c>
      <c r="M313" t="s">
        <v>1048</v>
      </c>
      <c r="N313" t="s">
        <v>1047</v>
      </c>
      <c r="O313" t="s">
        <v>1047</v>
      </c>
      <c r="P313" t="s">
        <v>1047</v>
      </c>
      <c r="Q313" t="s">
        <v>1047</v>
      </c>
      <c r="R313" t="s">
        <v>1047</v>
      </c>
      <c r="S313" t="s">
        <v>1047</v>
      </c>
      <c r="T313" t="s">
        <v>1047</v>
      </c>
      <c r="U313" t="s">
        <v>1047</v>
      </c>
      <c r="V313" t="s">
        <v>1048</v>
      </c>
    </row>
    <row r="314" spans="1:22" x14ac:dyDescent="0.2">
      <c r="A314">
        <v>629543</v>
      </c>
      <c r="B314" t="s">
        <v>401</v>
      </c>
      <c r="C314">
        <v>21</v>
      </c>
      <c r="D314" s="368">
        <v>44316</v>
      </c>
      <c r="E314" t="s">
        <v>1048</v>
      </c>
      <c r="F314" s="368">
        <v>44286</v>
      </c>
      <c r="G314" t="s">
        <v>1048</v>
      </c>
      <c r="H314" t="s">
        <v>1048</v>
      </c>
      <c r="I314" t="s">
        <v>1048</v>
      </c>
      <c r="J314" t="s">
        <v>1048</v>
      </c>
      <c r="K314" t="s">
        <v>1048</v>
      </c>
      <c r="L314" t="s">
        <v>1048</v>
      </c>
      <c r="M314" t="s">
        <v>1048</v>
      </c>
      <c r="N314" t="s">
        <v>1048</v>
      </c>
      <c r="O314" t="s">
        <v>1048</v>
      </c>
      <c r="P314" t="s">
        <v>1048</v>
      </c>
      <c r="Q314" t="s">
        <v>1048</v>
      </c>
      <c r="R314" t="s">
        <v>1048</v>
      </c>
      <c r="S314" t="s">
        <v>1047</v>
      </c>
      <c r="T314" t="s">
        <v>1047</v>
      </c>
      <c r="U314" t="s">
        <v>1047</v>
      </c>
      <c r="V314" t="s">
        <v>1048</v>
      </c>
    </row>
    <row r="315" spans="1:22" x14ac:dyDescent="0.2">
      <c r="A315">
        <v>635623</v>
      </c>
      <c r="B315" t="s">
        <v>402</v>
      </c>
      <c r="C315">
        <v>21</v>
      </c>
      <c r="D315" s="368">
        <v>44316</v>
      </c>
      <c r="E315" t="s">
        <v>1048</v>
      </c>
      <c r="F315" s="368">
        <v>44286</v>
      </c>
      <c r="G315" t="s">
        <v>1048</v>
      </c>
      <c r="H315" t="s">
        <v>1048</v>
      </c>
      <c r="I315" t="s">
        <v>1048</v>
      </c>
      <c r="J315" t="s">
        <v>1047</v>
      </c>
      <c r="K315" t="s">
        <v>1047</v>
      </c>
      <c r="L315" t="s">
        <v>1047</v>
      </c>
      <c r="M315" t="s">
        <v>1047</v>
      </c>
      <c r="N315" t="s">
        <v>1047</v>
      </c>
      <c r="O315" t="s">
        <v>1047</v>
      </c>
      <c r="P315" t="s">
        <v>1047</v>
      </c>
      <c r="Q315" t="s">
        <v>1047</v>
      </c>
      <c r="R315" t="s">
        <v>1047</v>
      </c>
      <c r="S315" t="s">
        <v>1047</v>
      </c>
      <c r="T315" t="s">
        <v>1047</v>
      </c>
      <c r="U315" t="s">
        <v>1047</v>
      </c>
      <c r="V315" t="s">
        <v>1047</v>
      </c>
    </row>
    <row r="316" spans="1:22" x14ac:dyDescent="0.2">
      <c r="A316">
        <v>639633</v>
      </c>
      <c r="B316" t="s">
        <v>533</v>
      </c>
      <c r="C316"/>
      <c r="D316"/>
      <c r="E316" t="s">
        <v>1047</v>
      </c>
      <c r="F316" s="368">
        <v>43830</v>
      </c>
      <c r="G316" t="s">
        <v>1048</v>
      </c>
      <c r="H316" t="s">
        <v>1048</v>
      </c>
      <c r="I316" t="s">
        <v>1048</v>
      </c>
      <c r="J316" t="s">
        <v>1048</v>
      </c>
      <c r="K316" t="s">
        <v>1048</v>
      </c>
      <c r="L316" t="s">
        <v>1048</v>
      </c>
      <c r="M316" t="s">
        <v>1048</v>
      </c>
      <c r="N316" t="s">
        <v>1048</v>
      </c>
      <c r="O316" t="s">
        <v>1048</v>
      </c>
      <c r="P316" t="s">
        <v>1048</v>
      </c>
      <c r="Q316" t="s">
        <v>1048</v>
      </c>
      <c r="R316" t="s">
        <v>1048</v>
      </c>
      <c r="S316" t="s">
        <v>1048</v>
      </c>
      <c r="T316" t="s">
        <v>1048</v>
      </c>
      <c r="U316" t="s">
        <v>1047</v>
      </c>
      <c r="V316" t="s">
        <v>1047</v>
      </c>
    </row>
    <row r="317" spans="1:22" x14ac:dyDescent="0.2">
      <c r="A317">
        <v>642298</v>
      </c>
      <c r="B317" t="s">
        <v>403</v>
      </c>
      <c r="C317">
        <v>20</v>
      </c>
      <c r="D317" s="368">
        <v>44316</v>
      </c>
      <c r="E317" t="s">
        <v>1048</v>
      </c>
      <c r="F317" s="368">
        <v>44286</v>
      </c>
      <c r="G317" t="s">
        <v>1048</v>
      </c>
      <c r="H317" t="s">
        <v>1048</v>
      </c>
      <c r="I317" t="s">
        <v>1048</v>
      </c>
      <c r="J317" t="s">
        <v>1048</v>
      </c>
      <c r="K317" t="s">
        <v>1048</v>
      </c>
      <c r="L317" t="s">
        <v>1048</v>
      </c>
      <c r="M317" t="s">
        <v>1048</v>
      </c>
      <c r="N317" t="s">
        <v>1048</v>
      </c>
      <c r="O317" t="s">
        <v>1048</v>
      </c>
      <c r="P317" t="s">
        <v>1048</v>
      </c>
      <c r="Q317" t="s">
        <v>1048</v>
      </c>
      <c r="R317" t="s">
        <v>1048</v>
      </c>
      <c r="S317" t="s">
        <v>1048</v>
      </c>
      <c r="T317" t="s">
        <v>1047</v>
      </c>
      <c r="U317" t="s">
        <v>1047</v>
      </c>
      <c r="V317" t="s">
        <v>1048</v>
      </c>
    </row>
    <row r="318" spans="1:22" x14ac:dyDescent="0.2">
      <c r="A318">
        <v>643700</v>
      </c>
      <c r="B318" t="s">
        <v>404</v>
      </c>
      <c r="C318">
        <v>21</v>
      </c>
      <c r="D318" s="368">
        <v>44316</v>
      </c>
      <c r="E318" t="s">
        <v>1048</v>
      </c>
      <c r="F318" s="368">
        <v>44286</v>
      </c>
      <c r="G318" t="s">
        <v>1048</v>
      </c>
      <c r="H318" t="s">
        <v>1048</v>
      </c>
      <c r="I318" t="s">
        <v>1048</v>
      </c>
      <c r="J318" t="s">
        <v>1048</v>
      </c>
      <c r="K318" t="s">
        <v>1048</v>
      </c>
      <c r="L318" t="s">
        <v>1048</v>
      </c>
      <c r="M318" t="s">
        <v>1048</v>
      </c>
      <c r="N318" t="s">
        <v>1048</v>
      </c>
      <c r="O318" t="s">
        <v>1048</v>
      </c>
      <c r="P318" t="s">
        <v>1048</v>
      </c>
      <c r="Q318" t="s">
        <v>1048</v>
      </c>
      <c r="R318" t="s">
        <v>1048</v>
      </c>
      <c r="S318" t="s">
        <v>1048</v>
      </c>
      <c r="T318" t="s">
        <v>1047</v>
      </c>
      <c r="U318" t="s">
        <v>1047</v>
      </c>
      <c r="V318" t="s">
        <v>1048</v>
      </c>
    </row>
    <row r="319" spans="1:22" x14ac:dyDescent="0.2">
      <c r="A319">
        <v>644005</v>
      </c>
      <c r="B319" t="s">
        <v>405</v>
      </c>
      <c r="C319">
        <v>27</v>
      </c>
      <c r="D319" s="368">
        <v>44316</v>
      </c>
      <c r="E319" t="s">
        <v>1048</v>
      </c>
      <c r="F319" s="368">
        <v>44286</v>
      </c>
      <c r="G319" t="s">
        <v>1048</v>
      </c>
      <c r="H319" t="s">
        <v>1048</v>
      </c>
      <c r="I319" t="s">
        <v>1048</v>
      </c>
      <c r="J319" t="s">
        <v>1048</v>
      </c>
      <c r="K319" t="s">
        <v>1048</v>
      </c>
      <c r="L319" t="s">
        <v>1048</v>
      </c>
      <c r="M319" t="s">
        <v>1048</v>
      </c>
      <c r="N319" t="s">
        <v>1048</v>
      </c>
      <c r="O319" t="s">
        <v>1048</v>
      </c>
      <c r="P319" t="s">
        <v>1048</v>
      </c>
      <c r="Q319" t="s">
        <v>1048</v>
      </c>
      <c r="R319" t="s">
        <v>1048</v>
      </c>
      <c r="S319" t="s">
        <v>1047</v>
      </c>
      <c r="T319" t="s">
        <v>1047</v>
      </c>
      <c r="U319" t="s">
        <v>1047</v>
      </c>
      <c r="V319" t="s">
        <v>1048</v>
      </c>
    </row>
    <row r="320" spans="1:22" x14ac:dyDescent="0.2">
      <c r="A320">
        <v>644294</v>
      </c>
      <c r="B320" t="s">
        <v>1091</v>
      </c>
      <c r="C320">
        <v>16</v>
      </c>
      <c r="D320" s="368">
        <v>44316</v>
      </c>
      <c r="E320" t="s">
        <v>1047</v>
      </c>
      <c r="F320" s="368">
        <v>44286</v>
      </c>
      <c r="G320" t="s">
        <v>1049</v>
      </c>
      <c r="H320" t="s">
        <v>1049</v>
      </c>
      <c r="I320" t="s">
        <v>1049</v>
      </c>
      <c r="J320" t="s">
        <v>1049</v>
      </c>
      <c r="K320" t="s">
        <v>1049</v>
      </c>
      <c r="L320" t="s">
        <v>1049</v>
      </c>
      <c r="M320" t="s">
        <v>1049</v>
      </c>
      <c r="N320" t="s">
        <v>1049</v>
      </c>
      <c r="O320" t="s">
        <v>1049</v>
      </c>
      <c r="P320" t="s">
        <v>1049</v>
      </c>
      <c r="Q320" t="s">
        <v>1049</v>
      </c>
      <c r="R320" t="s">
        <v>1049</v>
      </c>
      <c r="S320" t="s">
        <v>1049</v>
      </c>
      <c r="T320" t="s">
        <v>1049</v>
      </c>
      <c r="U320" t="s">
        <v>1049</v>
      </c>
      <c r="V320" t="s">
        <v>1049</v>
      </c>
    </row>
    <row r="321" spans="1:22" x14ac:dyDescent="0.2">
      <c r="A321">
        <v>645952</v>
      </c>
      <c r="B321" t="s">
        <v>82</v>
      </c>
      <c r="C321">
        <v>20</v>
      </c>
      <c r="D321" s="368">
        <v>44316</v>
      </c>
      <c r="E321" t="s">
        <v>1048</v>
      </c>
      <c r="F321" s="368">
        <v>44286</v>
      </c>
      <c r="G321" t="s">
        <v>1048</v>
      </c>
      <c r="H321" t="s">
        <v>1048</v>
      </c>
      <c r="I321" t="s">
        <v>1048</v>
      </c>
      <c r="J321" t="s">
        <v>1048</v>
      </c>
      <c r="K321" t="s">
        <v>1048</v>
      </c>
      <c r="L321" t="s">
        <v>1048</v>
      </c>
      <c r="M321" t="s">
        <v>1047</v>
      </c>
      <c r="N321" t="s">
        <v>1047</v>
      </c>
      <c r="O321" t="s">
        <v>1048</v>
      </c>
      <c r="P321" t="s">
        <v>1048</v>
      </c>
      <c r="Q321" t="s">
        <v>1048</v>
      </c>
      <c r="R321" t="s">
        <v>1047</v>
      </c>
      <c r="S321" t="s">
        <v>1048</v>
      </c>
      <c r="T321" t="s">
        <v>1047</v>
      </c>
      <c r="U321" t="s">
        <v>1047</v>
      </c>
      <c r="V321" t="s">
        <v>1047</v>
      </c>
    </row>
    <row r="322" spans="1:22" x14ac:dyDescent="0.2">
      <c r="A322">
        <v>647669</v>
      </c>
      <c r="B322" t="s">
        <v>982</v>
      </c>
      <c r="C322">
        <v>22</v>
      </c>
      <c r="D322" s="368">
        <v>44316</v>
      </c>
      <c r="E322" t="s">
        <v>1048</v>
      </c>
      <c r="F322" s="368">
        <v>44286</v>
      </c>
      <c r="G322" t="s">
        <v>1048</v>
      </c>
      <c r="H322" t="s">
        <v>1048</v>
      </c>
      <c r="I322" t="s">
        <v>1048</v>
      </c>
      <c r="J322" t="s">
        <v>1048</v>
      </c>
      <c r="K322" t="s">
        <v>1048</v>
      </c>
      <c r="L322" t="s">
        <v>1048</v>
      </c>
      <c r="M322" t="s">
        <v>1048</v>
      </c>
      <c r="N322" t="s">
        <v>1047</v>
      </c>
      <c r="O322" t="s">
        <v>1047</v>
      </c>
      <c r="P322" t="s">
        <v>1047</v>
      </c>
      <c r="Q322" t="s">
        <v>1047</v>
      </c>
      <c r="R322" t="s">
        <v>1047</v>
      </c>
      <c r="S322" t="s">
        <v>1047</v>
      </c>
      <c r="T322" t="s">
        <v>1048</v>
      </c>
      <c r="U322" t="s">
        <v>1047</v>
      </c>
      <c r="V322" t="s">
        <v>1048</v>
      </c>
    </row>
    <row r="323" spans="1:22" x14ac:dyDescent="0.2">
      <c r="A323">
        <v>648964</v>
      </c>
      <c r="B323" t="s">
        <v>406</v>
      </c>
      <c r="C323"/>
      <c r="D323"/>
      <c r="E323" t="s">
        <v>1047</v>
      </c>
      <c r="F323" s="368">
        <v>43830</v>
      </c>
      <c r="G323" t="s">
        <v>1048</v>
      </c>
      <c r="H323" t="s">
        <v>1048</v>
      </c>
      <c r="I323" t="s">
        <v>1048</v>
      </c>
      <c r="J323" t="s">
        <v>1048</v>
      </c>
      <c r="K323" t="s">
        <v>1048</v>
      </c>
      <c r="L323" t="s">
        <v>1048</v>
      </c>
      <c r="M323" t="s">
        <v>1047</v>
      </c>
      <c r="N323" t="s">
        <v>1047</v>
      </c>
      <c r="O323" t="s">
        <v>1048</v>
      </c>
      <c r="P323" t="s">
        <v>1047</v>
      </c>
      <c r="Q323" t="s">
        <v>1047</v>
      </c>
      <c r="R323" t="s">
        <v>1048</v>
      </c>
      <c r="S323" t="s">
        <v>1047</v>
      </c>
      <c r="T323" t="s">
        <v>1047</v>
      </c>
      <c r="U323" t="s">
        <v>1047</v>
      </c>
      <c r="V323" t="s">
        <v>1047</v>
      </c>
    </row>
    <row r="324" spans="1:22" x14ac:dyDescent="0.2">
      <c r="A324">
        <v>651679</v>
      </c>
      <c r="B324" t="s">
        <v>407</v>
      </c>
      <c r="C324">
        <v>18</v>
      </c>
      <c r="D324" s="368">
        <v>44316</v>
      </c>
      <c r="E324" t="s">
        <v>1047</v>
      </c>
      <c r="F324" s="368">
        <v>43830</v>
      </c>
      <c r="G324" t="s">
        <v>1048</v>
      </c>
      <c r="H324" t="s">
        <v>1048</v>
      </c>
      <c r="I324" t="s">
        <v>1048</v>
      </c>
      <c r="J324" t="s">
        <v>1048</v>
      </c>
      <c r="K324" t="s">
        <v>1048</v>
      </c>
      <c r="L324" t="s">
        <v>1048</v>
      </c>
      <c r="M324" t="s">
        <v>1048</v>
      </c>
      <c r="N324" t="s">
        <v>1048</v>
      </c>
      <c r="O324" t="s">
        <v>1048</v>
      </c>
      <c r="P324" t="s">
        <v>1048</v>
      </c>
      <c r="Q324" t="s">
        <v>1048</v>
      </c>
      <c r="R324" t="s">
        <v>1048</v>
      </c>
      <c r="S324" t="s">
        <v>1048</v>
      </c>
      <c r="T324" t="s">
        <v>1048</v>
      </c>
      <c r="U324" t="s">
        <v>1047</v>
      </c>
      <c r="V324" t="s">
        <v>1047</v>
      </c>
    </row>
    <row r="325" spans="1:22" x14ac:dyDescent="0.2">
      <c r="A325">
        <v>652628</v>
      </c>
      <c r="B325" t="s">
        <v>408</v>
      </c>
      <c r="C325">
        <v>27</v>
      </c>
      <c r="D325" s="368">
        <v>44316</v>
      </c>
      <c r="E325" t="s">
        <v>1047</v>
      </c>
      <c r="F325" s="368">
        <v>43830</v>
      </c>
      <c r="G325" t="s">
        <v>1048</v>
      </c>
      <c r="H325" t="s">
        <v>1048</v>
      </c>
      <c r="I325" t="s">
        <v>1048</v>
      </c>
      <c r="J325" t="s">
        <v>1048</v>
      </c>
      <c r="K325" t="s">
        <v>1048</v>
      </c>
      <c r="L325" t="s">
        <v>1048</v>
      </c>
      <c r="M325" t="s">
        <v>1047</v>
      </c>
      <c r="N325" t="s">
        <v>1047</v>
      </c>
      <c r="O325" t="s">
        <v>1048</v>
      </c>
      <c r="P325" t="s">
        <v>1047</v>
      </c>
      <c r="Q325" t="s">
        <v>1047</v>
      </c>
      <c r="R325" t="s">
        <v>1047</v>
      </c>
      <c r="S325" t="s">
        <v>1048</v>
      </c>
      <c r="T325" t="s">
        <v>1048</v>
      </c>
      <c r="U325" t="s">
        <v>1047</v>
      </c>
      <c r="V325" t="s">
        <v>1048</v>
      </c>
    </row>
    <row r="326" spans="1:22" x14ac:dyDescent="0.2">
      <c r="A326">
        <v>653097</v>
      </c>
      <c r="B326" t="s">
        <v>1228</v>
      </c>
      <c r="C326">
        <v>28</v>
      </c>
      <c r="D326" s="368">
        <v>44316</v>
      </c>
      <c r="E326" t="s">
        <v>1048</v>
      </c>
      <c r="F326" s="368">
        <v>44286</v>
      </c>
      <c r="G326" t="s">
        <v>1048</v>
      </c>
      <c r="H326" t="s">
        <v>1048</v>
      </c>
      <c r="I326" t="s">
        <v>1048</v>
      </c>
      <c r="J326" t="s">
        <v>1048</v>
      </c>
      <c r="K326" t="s">
        <v>1048</v>
      </c>
      <c r="L326" t="s">
        <v>1048</v>
      </c>
      <c r="M326" t="s">
        <v>1047</v>
      </c>
      <c r="N326" t="s">
        <v>1047</v>
      </c>
      <c r="O326" t="s">
        <v>1048</v>
      </c>
      <c r="P326" t="s">
        <v>1047</v>
      </c>
      <c r="Q326" t="s">
        <v>1047</v>
      </c>
      <c r="R326" t="s">
        <v>1048</v>
      </c>
      <c r="S326" t="s">
        <v>1047</v>
      </c>
      <c r="T326" t="s">
        <v>1047</v>
      </c>
      <c r="U326" t="s">
        <v>1047</v>
      </c>
      <c r="V326" t="s">
        <v>1047</v>
      </c>
    </row>
    <row r="327" spans="1:22" x14ac:dyDescent="0.2">
      <c r="A327">
        <v>654459</v>
      </c>
      <c r="B327" t="s">
        <v>409</v>
      </c>
      <c r="C327">
        <v>20</v>
      </c>
      <c r="D327" s="368">
        <v>44316</v>
      </c>
      <c r="E327" t="s">
        <v>1048</v>
      </c>
      <c r="F327" s="368">
        <v>44286</v>
      </c>
      <c r="G327" t="s">
        <v>1048</v>
      </c>
      <c r="H327" t="s">
        <v>1048</v>
      </c>
      <c r="I327" t="s">
        <v>1048</v>
      </c>
      <c r="J327" t="s">
        <v>1048</v>
      </c>
      <c r="K327" t="s">
        <v>1048</v>
      </c>
      <c r="L327" t="s">
        <v>1048</v>
      </c>
      <c r="M327" t="s">
        <v>1047</v>
      </c>
      <c r="N327" t="s">
        <v>1047</v>
      </c>
      <c r="O327" t="s">
        <v>1048</v>
      </c>
      <c r="P327" t="s">
        <v>1047</v>
      </c>
      <c r="Q327" t="s">
        <v>1047</v>
      </c>
      <c r="R327" t="s">
        <v>1047</v>
      </c>
      <c r="S327" t="s">
        <v>1048</v>
      </c>
      <c r="T327" t="s">
        <v>1047</v>
      </c>
      <c r="U327" t="s">
        <v>1047</v>
      </c>
      <c r="V327" t="s">
        <v>1047</v>
      </c>
    </row>
    <row r="328" spans="1:22" x14ac:dyDescent="0.2">
      <c r="A328">
        <v>658997</v>
      </c>
      <c r="B328" t="s">
        <v>410</v>
      </c>
      <c r="C328">
        <v>22</v>
      </c>
      <c r="D328" s="368">
        <v>44316</v>
      </c>
      <c r="E328" t="s">
        <v>1048</v>
      </c>
      <c r="F328" s="368">
        <v>44286</v>
      </c>
      <c r="G328" t="s">
        <v>1048</v>
      </c>
      <c r="H328" t="s">
        <v>1048</v>
      </c>
      <c r="I328" t="s">
        <v>1048</v>
      </c>
      <c r="J328" t="s">
        <v>1048</v>
      </c>
      <c r="K328" t="s">
        <v>1048</v>
      </c>
      <c r="L328" t="s">
        <v>1048</v>
      </c>
      <c r="M328" t="s">
        <v>1047</v>
      </c>
      <c r="N328" t="s">
        <v>1047</v>
      </c>
      <c r="O328" t="s">
        <v>1048</v>
      </c>
      <c r="P328" t="s">
        <v>1047</v>
      </c>
      <c r="Q328" t="s">
        <v>1047</v>
      </c>
      <c r="R328" t="s">
        <v>1047</v>
      </c>
      <c r="S328" t="s">
        <v>1047</v>
      </c>
      <c r="T328" t="s">
        <v>1047</v>
      </c>
      <c r="U328" t="s">
        <v>1047</v>
      </c>
      <c r="V328" t="s">
        <v>1047</v>
      </c>
    </row>
    <row r="329" spans="1:22" x14ac:dyDescent="0.2">
      <c r="A329">
        <v>660704</v>
      </c>
      <c r="B329" t="s">
        <v>411</v>
      </c>
      <c r="C329">
        <v>27</v>
      </c>
      <c r="D329" s="368">
        <v>44316</v>
      </c>
      <c r="E329" t="s">
        <v>1047</v>
      </c>
      <c r="F329" s="368">
        <v>43830</v>
      </c>
      <c r="G329" t="s">
        <v>1048</v>
      </c>
      <c r="H329" t="s">
        <v>1048</v>
      </c>
      <c r="I329" t="s">
        <v>1048</v>
      </c>
      <c r="J329" t="s">
        <v>1048</v>
      </c>
      <c r="K329" t="s">
        <v>1048</v>
      </c>
      <c r="L329" t="s">
        <v>1048</v>
      </c>
      <c r="M329" t="s">
        <v>1048</v>
      </c>
      <c r="N329" t="s">
        <v>1047</v>
      </c>
      <c r="O329" t="s">
        <v>1048</v>
      </c>
      <c r="P329" t="s">
        <v>1047</v>
      </c>
      <c r="Q329" t="s">
        <v>1048</v>
      </c>
      <c r="R329" t="s">
        <v>1047</v>
      </c>
      <c r="S329" t="s">
        <v>1047</v>
      </c>
      <c r="T329" t="s">
        <v>1048</v>
      </c>
      <c r="U329" t="s">
        <v>1048</v>
      </c>
      <c r="V329" t="s">
        <v>1048</v>
      </c>
    </row>
    <row r="330" spans="1:22" x14ac:dyDescent="0.2">
      <c r="A330">
        <v>660829</v>
      </c>
      <c r="B330" t="s">
        <v>413</v>
      </c>
      <c r="C330">
        <v>21</v>
      </c>
      <c r="D330" s="368">
        <v>44316</v>
      </c>
      <c r="E330" t="s">
        <v>1047</v>
      </c>
      <c r="F330" s="368">
        <v>43830</v>
      </c>
      <c r="G330" t="s">
        <v>1048</v>
      </c>
      <c r="H330" t="s">
        <v>1048</v>
      </c>
      <c r="I330" t="s">
        <v>1048</v>
      </c>
      <c r="J330" t="s">
        <v>1048</v>
      </c>
      <c r="K330" t="s">
        <v>1048</v>
      </c>
      <c r="L330" t="s">
        <v>1048</v>
      </c>
      <c r="M330" t="s">
        <v>1048</v>
      </c>
      <c r="N330" t="s">
        <v>1048</v>
      </c>
      <c r="O330" t="s">
        <v>1048</v>
      </c>
      <c r="P330" t="s">
        <v>1048</v>
      </c>
      <c r="Q330" t="s">
        <v>1048</v>
      </c>
      <c r="R330" t="s">
        <v>1048</v>
      </c>
      <c r="S330" t="s">
        <v>1048</v>
      </c>
      <c r="T330" t="s">
        <v>1047</v>
      </c>
      <c r="U330" t="s">
        <v>1047</v>
      </c>
      <c r="V330" t="s">
        <v>1048</v>
      </c>
    </row>
    <row r="331" spans="1:22" x14ac:dyDescent="0.2">
      <c r="A331">
        <v>661066</v>
      </c>
      <c r="B331" t="s">
        <v>1092</v>
      </c>
      <c r="C331">
        <v>28</v>
      </c>
      <c r="D331" s="368">
        <v>44316</v>
      </c>
      <c r="E331" t="s">
        <v>1047</v>
      </c>
      <c r="F331" s="368">
        <v>44286</v>
      </c>
      <c r="G331" t="s">
        <v>1048</v>
      </c>
      <c r="H331" t="s">
        <v>1048</v>
      </c>
      <c r="I331" t="s">
        <v>1048</v>
      </c>
      <c r="J331" t="s">
        <v>1048</v>
      </c>
      <c r="K331" t="s">
        <v>1047</v>
      </c>
      <c r="L331" t="s">
        <v>1048</v>
      </c>
      <c r="M331" t="s">
        <v>1048</v>
      </c>
      <c r="N331" t="s">
        <v>1047</v>
      </c>
      <c r="O331" t="s">
        <v>1047</v>
      </c>
      <c r="P331" t="s">
        <v>1047</v>
      </c>
      <c r="Q331" t="s">
        <v>1047</v>
      </c>
      <c r="R331" t="s">
        <v>1047</v>
      </c>
      <c r="S331" t="s">
        <v>1047</v>
      </c>
      <c r="T331" t="s">
        <v>1048</v>
      </c>
      <c r="U331" t="s">
        <v>1047</v>
      </c>
      <c r="V331" t="s">
        <v>1048</v>
      </c>
    </row>
    <row r="332" spans="1:22" x14ac:dyDescent="0.2">
      <c r="A332">
        <v>664482</v>
      </c>
      <c r="B332" t="s">
        <v>414</v>
      </c>
      <c r="C332">
        <v>21</v>
      </c>
      <c r="D332" s="368">
        <v>44316</v>
      </c>
      <c r="E332" t="s">
        <v>1047</v>
      </c>
      <c r="F332" s="368">
        <v>43830</v>
      </c>
      <c r="G332" t="s">
        <v>1048</v>
      </c>
      <c r="H332" t="s">
        <v>1048</v>
      </c>
      <c r="I332" t="s">
        <v>1048</v>
      </c>
      <c r="J332" t="s">
        <v>1048</v>
      </c>
      <c r="K332" t="s">
        <v>1048</v>
      </c>
      <c r="L332" t="s">
        <v>1048</v>
      </c>
      <c r="M332" t="s">
        <v>1048</v>
      </c>
      <c r="N332" t="s">
        <v>1048</v>
      </c>
      <c r="O332" t="s">
        <v>1048</v>
      </c>
      <c r="P332" t="s">
        <v>1048</v>
      </c>
      <c r="Q332" t="s">
        <v>1048</v>
      </c>
      <c r="R332" t="s">
        <v>1048</v>
      </c>
      <c r="S332" t="s">
        <v>1047</v>
      </c>
      <c r="T332" t="s">
        <v>1048</v>
      </c>
      <c r="U332" t="s">
        <v>1047</v>
      </c>
      <c r="V332" t="s">
        <v>1047</v>
      </c>
    </row>
    <row r="333" spans="1:22" x14ac:dyDescent="0.2">
      <c r="A333">
        <v>666370</v>
      </c>
      <c r="B333" t="s">
        <v>983</v>
      </c>
      <c r="C333">
        <v>25</v>
      </c>
      <c r="D333" s="368">
        <v>44316</v>
      </c>
      <c r="E333" t="s">
        <v>1047</v>
      </c>
      <c r="F333" s="368">
        <v>44286</v>
      </c>
      <c r="G333" t="s">
        <v>1047</v>
      </c>
      <c r="H333" t="s">
        <v>1047</v>
      </c>
      <c r="I333" t="s">
        <v>1047</v>
      </c>
      <c r="J333" t="s">
        <v>1047</v>
      </c>
      <c r="K333" t="s">
        <v>1047</v>
      </c>
      <c r="L333" t="s">
        <v>1047</v>
      </c>
      <c r="M333" t="s">
        <v>1047</v>
      </c>
      <c r="N333" t="s">
        <v>1047</v>
      </c>
      <c r="O333" t="s">
        <v>1047</v>
      </c>
      <c r="P333" t="s">
        <v>1047</v>
      </c>
      <c r="Q333" t="s">
        <v>1047</v>
      </c>
      <c r="R333" t="s">
        <v>1047</v>
      </c>
      <c r="S333" t="s">
        <v>1047</v>
      </c>
      <c r="T333" t="s">
        <v>1047</v>
      </c>
      <c r="U333" t="s">
        <v>1047</v>
      </c>
      <c r="V333" t="s">
        <v>1047</v>
      </c>
    </row>
    <row r="334" spans="1:22" x14ac:dyDescent="0.2">
      <c r="A334">
        <v>666495</v>
      </c>
      <c r="B334" t="s">
        <v>1148</v>
      </c>
      <c r="C334">
        <v>20</v>
      </c>
      <c r="D334" s="368">
        <v>44316</v>
      </c>
      <c r="E334" t="s">
        <v>1047</v>
      </c>
      <c r="F334" s="368">
        <v>44286</v>
      </c>
      <c r="G334" t="s">
        <v>1047</v>
      </c>
      <c r="H334" t="s">
        <v>1047</v>
      </c>
      <c r="I334" t="s">
        <v>1047</v>
      </c>
      <c r="J334" t="s">
        <v>1048</v>
      </c>
      <c r="K334" t="s">
        <v>1048</v>
      </c>
      <c r="L334" t="s">
        <v>1047</v>
      </c>
      <c r="M334" t="s">
        <v>1047</v>
      </c>
      <c r="N334" t="s">
        <v>1047</v>
      </c>
      <c r="O334" t="s">
        <v>1047</v>
      </c>
      <c r="P334" t="s">
        <v>1047</v>
      </c>
      <c r="Q334" t="s">
        <v>1047</v>
      </c>
      <c r="R334" t="s">
        <v>1047</v>
      </c>
      <c r="S334" t="s">
        <v>1047</v>
      </c>
      <c r="T334" t="s">
        <v>1047</v>
      </c>
      <c r="U334" t="s">
        <v>1047</v>
      </c>
      <c r="V334" t="s">
        <v>1047</v>
      </c>
    </row>
    <row r="335" spans="1:22" x14ac:dyDescent="0.2">
      <c r="A335">
        <v>668269</v>
      </c>
      <c r="B335" t="s">
        <v>415</v>
      </c>
      <c r="C335">
        <v>22</v>
      </c>
      <c r="D335" s="368">
        <v>44316</v>
      </c>
      <c r="E335" t="s">
        <v>1048</v>
      </c>
      <c r="F335" s="368">
        <v>44286</v>
      </c>
      <c r="G335" t="s">
        <v>1048</v>
      </c>
      <c r="H335" t="s">
        <v>1048</v>
      </c>
      <c r="I335" t="s">
        <v>1048</v>
      </c>
      <c r="J335" t="s">
        <v>1048</v>
      </c>
      <c r="K335" t="s">
        <v>1048</v>
      </c>
      <c r="L335" t="s">
        <v>1048</v>
      </c>
      <c r="M335" t="s">
        <v>1047</v>
      </c>
      <c r="N335" t="s">
        <v>1047</v>
      </c>
      <c r="O335" t="s">
        <v>1048</v>
      </c>
      <c r="P335" t="s">
        <v>1047</v>
      </c>
      <c r="Q335" t="s">
        <v>1048</v>
      </c>
      <c r="R335" t="s">
        <v>1048</v>
      </c>
      <c r="S335" t="s">
        <v>1047</v>
      </c>
      <c r="T335" t="s">
        <v>1048</v>
      </c>
      <c r="U335" t="s">
        <v>1047</v>
      </c>
      <c r="V335" t="s">
        <v>1047</v>
      </c>
    </row>
    <row r="336" spans="1:22" x14ac:dyDescent="0.2">
      <c r="A336">
        <v>670091</v>
      </c>
      <c r="B336" t="s">
        <v>514</v>
      </c>
      <c r="C336">
        <v>25</v>
      </c>
      <c r="D336" s="368">
        <v>44316</v>
      </c>
      <c r="E336" t="s">
        <v>1047</v>
      </c>
      <c r="F336" s="368">
        <v>44286</v>
      </c>
      <c r="G336" t="s">
        <v>1048</v>
      </c>
      <c r="H336" t="s">
        <v>1048</v>
      </c>
      <c r="I336" t="s">
        <v>1048</v>
      </c>
      <c r="J336" t="s">
        <v>1048</v>
      </c>
      <c r="K336" t="s">
        <v>1048</v>
      </c>
      <c r="L336" t="s">
        <v>1048</v>
      </c>
      <c r="M336" t="s">
        <v>1047</v>
      </c>
      <c r="N336" t="s">
        <v>1047</v>
      </c>
      <c r="O336" t="s">
        <v>1048</v>
      </c>
      <c r="P336" t="s">
        <v>1047</v>
      </c>
      <c r="Q336" t="s">
        <v>1047</v>
      </c>
      <c r="R336" t="s">
        <v>1047</v>
      </c>
      <c r="S336" t="s">
        <v>1047</v>
      </c>
      <c r="T336" t="s">
        <v>1047</v>
      </c>
      <c r="U336" t="s">
        <v>1047</v>
      </c>
      <c r="V336" t="s">
        <v>1047</v>
      </c>
    </row>
    <row r="337" spans="1:22" x14ac:dyDescent="0.2">
      <c r="A337">
        <v>671453</v>
      </c>
      <c r="B337" t="s">
        <v>416</v>
      </c>
      <c r="C337">
        <v>22</v>
      </c>
      <c r="D337" s="368">
        <v>44316</v>
      </c>
      <c r="E337" t="s">
        <v>1048</v>
      </c>
      <c r="F337" s="368">
        <v>44286</v>
      </c>
      <c r="G337" t="s">
        <v>1048</v>
      </c>
      <c r="H337" t="s">
        <v>1048</v>
      </c>
      <c r="I337" t="s">
        <v>1048</v>
      </c>
      <c r="J337" t="s">
        <v>1047</v>
      </c>
      <c r="K337" t="s">
        <v>1047</v>
      </c>
      <c r="L337" t="s">
        <v>1047</v>
      </c>
      <c r="M337" t="s">
        <v>1047</v>
      </c>
      <c r="N337" t="s">
        <v>1047</v>
      </c>
      <c r="O337" t="s">
        <v>1047</v>
      </c>
      <c r="P337" t="s">
        <v>1047</v>
      </c>
      <c r="Q337" t="s">
        <v>1047</v>
      </c>
      <c r="R337" t="s">
        <v>1047</v>
      </c>
      <c r="S337" t="s">
        <v>1047</v>
      </c>
      <c r="T337" t="s">
        <v>1047</v>
      </c>
      <c r="U337" t="s">
        <v>1047</v>
      </c>
      <c r="V337" t="s">
        <v>1047</v>
      </c>
    </row>
    <row r="338" spans="1:22" x14ac:dyDescent="0.2">
      <c r="A338">
        <v>677534</v>
      </c>
      <c r="B338" t="s">
        <v>417</v>
      </c>
      <c r="C338"/>
      <c r="D338"/>
      <c r="E338" t="s">
        <v>1047</v>
      </c>
      <c r="F338" s="368">
        <v>43830</v>
      </c>
      <c r="G338" t="s">
        <v>1048</v>
      </c>
      <c r="H338" t="s">
        <v>1048</v>
      </c>
      <c r="I338" t="s">
        <v>1048</v>
      </c>
      <c r="J338" t="s">
        <v>1048</v>
      </c>
      <c r="K338" t="s">
        <v>1048</v>
      </c>
      <c r="L338" t="s">
        <v>1048</v>
      </c>
      <c r="M338" t="s">
        <v>1048</v>
      </c>
      <c r="N338" t="s">
        <v>1048</v>
      </c>
      <c r="O338" t="s">
        <v>1048</v>
      </c>
      <c r="P338" t="s">
        <v>1048</v>
      </c>
      <c r="Q338" t="s">
        <v>1048</v>
      </c>
      <c r="R338" t="s">
        <v>1048</v>
      </c>
      <c r="S338" t="s">
        <v>1047</v>
      </c>
      <c r="T338" t="s">
        <v>1047</v>
      </c>
      <c r="U338" t="s">
        <v>1047</v>
      </c>
      <c r="V338" t="s">
        <v>1048</v>
      </c>
    </row>
    <row r="339" spans="1:22" x14ac:dyDescent="0.2">
      <c r="A339">
        <v>678128</v>
      </c>
      <c r="B339" t="s">
        <v>418</v>
      </c>
      <c r="C339">
        <v>19</v>
      </c>
      <c r="D339" s="368">
        <v>44316</v>
      </c>
      <c r="E339" t="s">
        <v>1048</v>
      </c>
      <c r="F339" s="368">
        <v>44286</v>
      </c>
      <c r="G339" t="s">
        <v>1048</v>
      </c>
      <c r="H339" t="s">
        <v>1048</v>
      </c>
      <c r="I339" t="s">
        <v>1048</v>
      </c>
      <c r="J339" t="s">
        <v>1048</v>
      </c>
      <c r="K339" t="s">
        <v>1048</v>
      </c>
      <c r="L339" t="s">
        <v>1048</v>
      </c>
      <c r="M339" t="s">
        <v>1048</v>
      </c>
      <c r="N339" t="s">
        <v>1048</v>
      </c>
      <c r="O339" t="s">
        <v>1048</v>
      </c>
      <c r="P339" t="s">
        <v>1048</v>
      </c>
      <c r="Q339" t="s">
        <v>1048</v>
      </c>
      <c r="R339" t="s">
        <v>1048</v>
      </c>
      <c r="S339" t="s">
        <v>1048</v>
      </c>
      <c r="T339" t="s">
        <v>1047</v>
      </c>
      <c r="U339" t="s">
        <v>1047</v>
      </c>
      <c r="V339" t="s">
        <v>1048</v>
      </c>
    </row>
    <row r="340" spans="1:22" x14ac:dyDescent="0.2">
      <c r="A340">
        <v>679837</v>
      </c>
      <c r="B340" t="s">
        <v>419</v>
      </c>
      <c r="C340">
        <v>22</v>
      </c>
      <c r="D340" s="368">
        <v>44316</v>
      </c>
      <c r="E340" t="s">
        <v>1047</v>
      </c>
      <c r="F340" s="368">
        <v>43830</v>
      </c>
      <c r="G340" t="s">
        <v>1048</v>
      </c>
      <c r="H340" t="s">
        <v>1048</v>
      </c>
      <c r="I340" t="s">
        <v>1048</v>
      </c>
      <c r="J340" t="s">
        <v>1048</v>
      </c>
      <c r="K340" t="s">
        <v>1048</v>
      </c>
      <c r="L340" t="s">
        <v>1048</v>
      </c>
      <c r="M340" t="s">
        <v>1048</v>
      </c>
      <c r="N340" t="s">
        <v>1048</v>
      </c>
      <c r="O340" t="s">
        <v>1048</v>
      </c>
      <c r="P340" t="s">
        <v>1048</v>
      </c>
      <c r="Q340" t="s">
        <v>1048</v>
      </c>
      <c r="R340" t="s">
        <v>1048</v>
      </c>
      <c r="S340" t="s">
        <v>1047</v>
      </c>
      <c r="T340" t="s">
        <v>1047</v>
      </c>
      <c r="U340" t="s">
        <v>1047</v>
      </c>
      <c r="V340" t="s">
        <v>1048</v>
      </c>
    </row>
    <row r="341" spans="1:22" x14ac:dyDescent="0.2">
      <c r="A341">
        <v>680124</v>
      </c>
      <c r="B341" t="s">
        <v>992</v>
      </c>
      <c r="C341">
        <v>22</v>
      </c>
      <c r="D341" s="368">
        <v>44316</v>
      </c>
      <c r="E341" t="s">
        <v>1047</v>
      </c>
      <c r="F341" s="368">
        <v>44286</v>
      </c>
      <c r="G341" t="s">
        <v>1048</v>
      </c>
      <c r="H341" t="s">
        <v>1048</v>
      </c>
      <c r="I341" t="s">
        <v>1048</v>
      </c>
      <c r="J341" t="s">
        <v>1048</v>
      </c>
      <c r="K341" t="s">
        <v>1048</v>
      </c>
      <c r="L341" t="s">
        <v>1047</v>
      </c>
      <c r="M341" t="s">
        <v>1047</v>
      </c>
      <c r="N341" t="s">
        <v>1047</v>
      </c>
      <c r="O341" t="s">
        <v>1047</v>
      </c>
      <c r="P341" t="s">
        <v>1047</v>
      </c>
      <c r="Q341" t="s">
        <v>1047</v>
      </c>
      <c r="R341" t="s">
        <v>1047</v>
      </c>
      <c r="S341" t="s">
        <v>1047</v>
      </c>
      <c r="T341" t="s">
        <v>1047</v>
      </c>
      <c r="U341" t="s">
        <v>1047</v>
      </c>
      <c r="V341" t="s">
        <v>1047</v>
      </c>
    </row>
    <row r="342" spans="1:22" x14ac:dyDescent="0.2">
      <c r="A342">
        <v>681783</v>
      </c>
      <c r="B342" t="s">
        <v>83</v>
      </c>
      <c r="C342">
        <v>20</v>
      </c>
      <c r="D342" s="368">
        <v>44316</v>
      </c>
      <c r="E342" t="s">
        <v>1048</v>
      </c>
      <c r="F342" s="368">
        <v>44286</v>
      </c>
      <c r="G342" t="s">
        <v>1048</v>
      </c>
      <c r="H342" t="s">
        <v>1048</v>
      </c>
      <c r="I342" t="s">
        <v>1048</v>
      </c>
      <c r="J342" t="s">
        <v>1048</v>
      </c>
      <c r="K342" t="s">
        <v>1048</v>
      </c>
      <c r="L342" t="s">
        <v>1048</v>
      </c>
      <c r="M342" t="s">
        <v>1047</v>
      </c>
      <c r="N342" t="s">
        <v>1047</v>
      </c>
      <c r="O342" t="s">
        <v>1048</v>
      </c>
      <c r="P342" t="s">
        <v>1048</v>
      </c>
      <c r="Q342" t="s">
        <v>1048</v>
      </c>
      <c r="R342" t="s">
        <v>1047</v>
      </c>
      <c r="S342" t="s">
        <v>1048</v>
      </c>
      <c r="T342" t="s">
        <v>1047</v>
      </c>
      <c r="U342" t="s">
        <v>1047</v>
      </c>
      <c r="V342" t="s">
        <v>1047</v>
      </c>
    </row>
    <row r="343" spans="1:22" x14ac:dyDescent="0.2">
      <c r="A343">
        <v>687442</v>
      </c>
      <c r="B343" t="s">
        <v>420</v>
      </c>
      <c r="C343"/>
      <c r="D343"/>
      <c r="E343" t="s">
        <v>1047</v>
      </c>
      <c r="F343" s="368">
        <v>43830</v>
      </c>
      <c r="G343" t="s">
        <v>1048</v>
      </c>
      <c r="H343" t="s">
        <v>1048</v>
      </c>
      <c r="I343" t="s">
        <v>1048</v>
      </c>
      <c r="J343" t="s">
        <v>1048</v>
      </c>
      <c r="K343" t="s">
        <v>1048</v>
      </c>
      <c r="L343" t="s">
        <v>1048</v>
      </c>
      <c r="M343" t="s">
        <v>1047</v>
      </c>
      <c r="N343" t="s">
        <v>1047</v>
      </c>
      <c r="O343" t="s">
        <v>1048</v>
      </c>
      <c r="P343" t="s">
        <v>1047</v>
      </c>
      <c r="Q343" t="s">
        <v>1048</v>
      </c>
      <c r="R343" t="s">
        <v>1047</v>
      </c>
      <c r="S343" t="s">
        <v>1048</v>
      </c>
      <c r="T343" t="s">
        <v>1047</v>
      </c>
      <c r="U343" t="s">
        <v>1047</v>
      </c>
      <c r="V343" t="s">
        <v>1047</v>
      </c>
    </row>
    <row r="344" spans="1:22" x14ac:dyDescent="0.2">
      <c r="A344">
        <v>687509</v>
      </c>
      <c r="B344" t="s">
        <v>421</v>
      </c>
      <c r="C344">
        <v>26</v>
      </c>
      <c r="D344" s="368">
        <v>44316</v>
      </c>
      <c r="E344" t="s">
        <v>1047</v>
      </c>
      <c r="F344" s="368">
        <v>43830</v>
      </c>
      <c r="G344" t="s">
        <v>1048</v>
      </c>
      <c r="H344" t="s">
        <v>1048</v>
      </c>
      <c r="I344" t="s">
        <v>1048</v>
      </c>
      <c r="J344" t="s">
        <v>1048</v>
      </c>
      <c r="K344" t="s">
        <v>1048</v>
      </c>
      <c r="L344" t="s">
        <v>1048</v>
      </c>
      <c r="M344" t="s">
        <v>1048</v>
      </c>
      <c r="N344" t="s">
        <v>1048</v>
      </c>
      <c r="O344" t="s">
        <v>1048</v>
      </c>
      <c r="P344" t="s">
        <v>1048</v>
      </c>
      <c r="Q344" t="s">
        <v>1048</v>
      </c>
      <c r="R344" t="s">
        <v>1048</v>
      </c>
      <c r="S344" t="s">
        <v>1047</v>
      </c>
      <c r="T344" t="s">
        <v>1048</v>
      </c>
      <c r="U344" t="s">
        <v>1047</v>
      </c>
      <c r="V344" t="s">
        <v>1048</v>
      </c>
    </row>
    <row r="345" spans="1:22" x14ac:dyDescent="0.2">
      <c r="A345">
        <v>688986</v>
      </c>
      <c r="B345" t="s">
        <v>422</v>
      </c>
      <c r="C345">
        <v>24</v>
      </c>
      <c r="D345" s="368">
        <v>44316</v>
      </c>
      <c r="E345" t="s">
        <v>1048</v>
      </c>
      <c r="F345" s="368">
        <v>44286</v>
      </c>
      <c r="G345" t="s">
        <v>1048</v>
      </c>
      <c r="H345" t="s">
        <v>1048</v>
      </c>
      <c r="I345" t="s">
        <v>1048</v>
      </c>
      <c r="J345" t="s">
        <v>1048</v>
      </c>
      <c r="K345" t="s">
        <v>1048</v>
      </c>
      <c r="L345" t="s">
        <v>1048</v>
      </c>
      <c r="M345" t="s">
        <v>1048</v>
      </c>
      <c r="N345" t="s">
        <v>1048</v>
      </c>
      <c r="O345" t="s">
        <v>1048</v>
      </c>
      <c r="P345" t="s">
        <v>1048</v>
      </c>
      <c r="Q345" t="s">
        <v>1048</v>
      </c>
      <c r="R345" t="s">
        <v>1048</v>
      </c>
      <c r="S345" t="s">
        <v>1048</v>
      </c>
      <c r="T345" t="s">
        <v>1047</v>
      </c>
      <c r="U345" t="s">
        <v>1048</v>
      </c>
      <c r="V345" t="s">
        <v>1048</v>
      </c>
    </row>
    <row r="346" spans="1:22" x14ac:dyDescent="0.2">
      <c r="A346">
        <v>690693</v>
      </c>
      <c r="B346" t="s">
        <v>423</v>
      </c>
      <c r="C346">
        <v>22</v>
      </c>
      <c r="D346" s="368">
        <v>44316</v>
      </c>
      <c r="E346" t="s">
        <v>1048</v>
      </c>
      <c r="F346" s="368">
        <v>44286</v>
      </c>
      <c r="G346" t="s">
        <v>1048</v>
      </c>
      <c r="H346" t="s">
        <v>1048</v>
      </c>
      <c r="I346" t="s">
        <v>1048</v>
      </c>
      <c r="J346" t="s">
        <v>1048</v>
      </c>
      <c r="K346" t="s">
        <v>1048</v>
      </c>
      <c r="L346" t="s">
        <v>1048</v>
      </c>
      <c r="M346" t="s">
        <v>1048</v>
      </c>
      <c r="N346" t="s">
        <v>1047</v>
      </c>
      <c r="O346" t="s">
        <v>1048</v>
      </c>
      <c r="P346" t="s">
        <v>1047</v>
      </c>
      <c r="Q346" t="s">
        <v>1048</v>
      </c>
      <c r="R346" t="s">
        <v>1047</v>
      </c>
      <c r="S346" t="s">
        <v>1047</v>
      </c>
      <c r="T346" t="s">
        <v>1047</v>
      </c>
      <c r="U346" t="s">
        <v>1048</v>
      </c>
      <c r="V346" t="s">
        <v>1048</v>
      </c>
    </row>
    <row r="347" spans="1:22" x14ac:dyDescent="0.2">
      <c r="A347">
        <v>694539</v>
      </c>
      <c r="B347" t="s">
        <v>424</v>
      </c>
      <c r="C347">
        <v>23</v>
      </c>
      <c r="D347" s="368">
        <v>44316</v>
      </c>
      <c r="E347" t="s">
        <v>1047</v>
      </c>
      <c r="F347" s="368">
        <v>43830</v>
      </c>
      <c r="G347" t="s">
        <v>1048</v>
      </c>
      <c r="H347" t="s">
        <v>1048</v>
      </c>
      <c r="I347" t="s">
        <v>1048</v>
      </c>
      <c r="J347" t="s">
        <v>1048</v>
      </c>
      <c r="K347" t="s">
        <v>1048</v>
      </c>
      <c r="L347" t="s">
        <v>1048</v>
      </c>
      <c r="M347" t="s">
        <v>1048</v>
      </c>
      <c r="N347" t="s">
        <v>1048</v>
      </c>
      <c r="O347" t="s">
        <v>1048</v>
      </c>
      <c r="P347" t="s">
        <v>1048</v>
      </c>
      <c r="Q347" t="s">
        <v>1048</v>
      </c>
      <c r="R347" t="s">
        <v>1048</v>
      </c>
      <c r="S347" t="s">
        <v>1048</v>
      </c>
      <c r="T347" t="s">
        <v>1047</v>
      </c>
      <c r="U347" t="s">
        <v>1047</v>
      </c>
      <c r="V347" t="s">
        <v>1048</v>
      </c>
    </row>
    <row r="348" spans="1:22" x14ac:dyDescent="0.2">
      <c r="A348">
        <v>696898</v>
      </c>
      <c r="B348" t="s">
        <v>1093</v>
      </c>
      <c r="C348">
        <v>22</v>
      </c>
      <c r="D348" s="368">
        <v>44316</v>
      </c>
      <c r="E348" t="s">
        <v>1047</v>
      </c>
      <c r="F348" s="368">
        <v>44286</v>
      </c>
      <c r="G348" t="s">
        <v>1048</v>
      </c>
      <c r="H348" t="s">
        <v>1048</v>
      </c>
      <c r="I348" t="s">
        <v>1048</v>
      </c>
      <c r="J348" t="s">
        <v>1048</v>
      </c>
      <c r="K348" t="s">
        <v>1047</v>
      </c>
      <c r="L348" t="s">
        <v>1048</v>
      </c>
      <c r="M348" t="s">
        <v>1048</v>
      </c>
      <c r="N348" t="s">
        <v>1047</v>
      </c>
      <c r="O348" t="s">
        <v>1047</v>
      </c>
      <c r="P348" t="s">
        <v>1047</v>
      </c>
      <c r="Q348" t="s">
        <v>1047</v>
      </c>
      <c r="R348" t="s">
        <v>1047</v>
      </c>
      <c r="S348" t="s">
        <v>1047</v>
      </c>
      <c r="T348" t="s">
        <v>1048</v>
      </c>
      <c r="U348" t="s">
        <v>1047</v>
      </c>
      <c r="V348" t="s">
        <v>1048</v>
      </c>
    </row>
    <row r="349" spans="1:22" x14ac:dyDescent="0.2">
      <c r="A349">
        <v>698952</v>
      </c>
      <c r="B349" t="s">
        <v>1197</v>
      </c>
      <c r="C349">
        <v>20</v>
      </c>
      <c r="D349" s="368">
        <v>44316</v>
      </c>
      <c r="E349" t="s">
        <v>1048</v>
      </c>
      <c r="F349" s="368">
        <v>44286</v>
      </c>
      <c r="G349" t="s">
        <v>1048</v>
      </c>
      <c r="H349" t="s">
        <v>1048</v>
      </c>
      <c r="I349" t="s">
        <v>1048</v>
      </c>
      <c r="J349" t="s">
        <v>1048</v>
      </c>
      <c r="K349" t="s">
        <v>1048</v>
      </c>
      <c r="L349" t="s">
        <v>1048</v>
      </c>
      <c r="M349" t="s">
        <v>1048</v>
      </c>
      <c r="N349" t="s">
        <v>1048</v>
      </c>
      <c r="O349" t="s">
        <v>1048</v>
      </c>
      <c r="P349" t="s">
        <v>1048</v>
      </c>
      <c r="Q349" t="s">
        <v>1048</v>
      </c>
      <c r="R349" t="s">
        <v>1048</v>
      </c>
      <c r="S349" t="s">
        <v>1048</v>
      </c>
      <c r="T349" t="s">
        <v>1048</v>
      </c>
      <c r="U349" t="s">
        <v>1047</v>
      </c>
      <c r="V349" t="s">
        <v>1048</v>
      </c>
    </row>
    <row r="350" spans="1:22" x14ac:dyDescent="0.2">
      <c r="A350">
        <v>700310</v>
      </c>
      <c r="B350" t="s">
        <v>425</v>
      </c>
      <c r="C350"/>
      <c r="D350"/>
      <c r="E350" t="s">
        <v>1047</v>
      </c>
      <c r="F350" s="368">
        <v>43830</v>
      </c>
      <c r="G350" t="s">
        <v>1048</v>
      </c>
      <c r="H350" t="s">
        <v>1048</v>
      </c>
      <c r="I350" t="s">
        <v>1048</v>
      </c>
      <c r="J350" t="s">
        <v>1048</v>
      </c>
      <c r="K350" t="s">
        <v>1048</v>
      </c>
      <c r="L350" t="s">
        <v>1048</v>
      </c>
      <c r="M350" t="s">
        <v>1047</v>
      </c>
      <c r="N350" t="s">
        <v>1047</v>
      </c>
      <c r="O350" t="s">
        <v>1048</v>
      </c>
      <c r="P350" t="s">
        <v>1047</v>
      </c>
      <c r="Q350" t="s">
        <v>1048</v>
      </c>
      <c r="R350" t="s">
        <v>1048</v>
      </c>
      <c r="S350" t="s">
        <v>1047</v>
      </c>
      <c r="T350" t="s">
        <v>1048</v>
      </c>
      <c r="U350" t="s">
        <v>1047</v>
      </c>
      <c r="V350" t="s">
        <v>1047</v>
      </c>
    </row>
    <row r="351" spans="1:22" x14ac:dyDescent="0.2">
      <c r="A351">
        <v>707281</v>
      </c>
      <c r="B351" t="s">
        <v>427</v>
      </c>
      <c r="C351">
        <v>22</v>
      </c>
      <c r="D351" s="368">
        <v>44316</v>
      </c>
      <c r="E351" t="s">
        <v>1048</v>
      </c>
      <c r="F351" s="368">
        <v>44286</v>
      </c>
      <c r="G351" t="s">
        <v>1048</v>
      </c>
      <c r="H351" t="s">
        <v>1048</v>
      </c>
      <c r="I351" t="s">
        <v>1048</v>
      </c>
      <c r="J351" t="s">
        <v>1047</v>
      </c>
      <c r="K351" t="s">
        <v>1047</v>
      </c>
      <c r="L351" t="s">
        <v>1047</v>
      </c>
      <c r="M351" t="s">
        <v>1047</v>
      </c>
      <c r="N351" t="s">
        <v>1047</v>
      </c>
      <c r="O351" t="s">
        <v>1047</v>
      </c>
      <c r="P351" t="s">
        <v>1047</v>
      </c>
      <c r="Q351" t="s">
        <v>1047</v>
      </c>
      <c r="R351" t="s">
        <v>1047</v>
      </c>
      <c r="S351" t="s">
        <v>1047</v>
      </c>
      <c r="T351" t="s">
        <v>1047</v>
      </c>
      <c r="U351" t="s">
        <v>1047</v>
      </c>
      <c r="V351" t="s">
        <v>1047</v>
      </c>
    </row>
    <row r="352" spans="1:22" x14ac:dyDescent="0.2">
      <c r="A352">
        <v>715955</v>
      </c>
      <c r="B352" t="s">
        <v>993</v>
      </c>
      <c r="C352">
        <v>27</v>
      </c>
      <c r="D352" s="368">
        <v>44316</v>
      </c>
      <c r="E352" t="s">
        <v>1047</v>
      </c>
      <c r="F352" s="368">
        <v>44286</v>
      </c>
      <c r="G352" t="s">
        <v>1047</v>
      </c>
      <c r="H352" t="s">
        <v>1047</v>
      </c>
      <c r="I352" t="s">
        <v>1048</v>
      </c>
      <c r="J352" t="s">
        <v>1048</v>
      </c>
      <c r="K352" t="s">
        <v>1048</v>
      </c>
      <c r="L352" t="s">
        <v>1047</v>
      </c>
      <c r="M352" t="s">
        <v>1047</v>
      </c>
      <c r="N352" t="s">
        <v>1047</v>
      </c>
      <c r="O352" t="s">
        <v>1047</v>
      </c>
      <c r="P352" t="s">
        <v>1047</v>
      </c>
      <c r="Q352" t="s">
        <v>1047</v>
      </c>
      <c r="R352" t="s">
        <v>1047</v>
      </c>
      <c r="S352" t="s">
        <v>1047</v>
      </c>
      <c r="T352" t="s">
        <v>1047</v>
      </c>
      <c r="U352" t="s">
        <v>1047</v>
      </c>
      <c r="V352" t="s">
        <v>1047</v>
      </c>
    </row>
    <row r="353" spans="1:22" x14ac:dyDescent="0.2">
      <c r="A353">
        <v>717496</v>
      </c>
      <c r="B353" t="s">
        <v>428</v>
      </c>
      <c r="C353">
        <v>24</v>
      </c>
      <c r="D353" s="368">
        <v>44316</v>
      </c>
      <c r="E353" t="s">
        <v>1047</v>
      </c>
      <c r="F353" s="368">
        <v>44286</v>
      </c>
      <c r="G353" t="s">
        <v>1047</v>
      </c>
      <c r="H353" t="s">
        <v>1047</v>
      </c>
      <c r="I353" t="s">
        <v>1047</v>
      </c>
      <c r="J353" t="s">
        <v>1048</v>
      </c>
      <c r="K353" t="s">
        <v>1048</v>
      </c>
      <c r="L353" t="s">
        <v>1047</v>
      </c>
      <c r="M353" t="s">
        <v>1047</v>
      </c>
      <c r="N353" t="s">
        <v>1047</v>
      </c>
      <c r="O353" t="s">
        <v>1047</v>
      </c>
      <c r="P353" t="s">
        <v>1047</v>
      </c>
      <c r="Q353" t="s">
        <v>1047</v>
      </c>
      <c r="R353" t="s">
        <v>1047</v>
      </c>
      <c r="S353" t="s">
        <v>1047</v>
      </c>
      <c r="T353" t="s">
        <v>1047</v>
      </c>
      <c r="U353" t="s">
        <v>1047</v>
      </c>
      <c r="V353" t="s">
        <v>1047</v>
      </c>
    </row>
    <row r="354" spans="1:22" x14ac:dyDescent="0.2">
      <c r="A354">
        <v>717611</v>
      </c>
      <c r="B354" t="s">
        <v>429</v>
      </c>
      <c r="C354">
        <v>20</v>
      </c>
      <c r="D354" s="368">
        <v>44227</v>
      </c>
      <c r="E354"/>
      <c r="F354"/>
      <c r="G354" t="s">
        <v>1048</v>
      </c>
      <c r="H354" t="s">
        <v>1048</v>
      </c>
      <c r="I354" t="s">
        <v>1048</v>
      </c>
      <c r="J354" t="s">
        <v>1048</v>
      </c>
      <c r="K354" t="s">
        <v>1048</v>
      </c>
      <c r="L354" t="s">
        <v>1048</v>
      </c>
      <c r="M354" t="s">
        <v>1048</v>
      </c>
      <c r="N354" t="s">
        <v>1048</v>
      </c>
      <c r="O354" t="s">
        <v>1048</v>
      </c>
      <c r="P354" t="s">
        <v>1048</v>
      </c>
      <c r="Q354" t="s">
        <v>1048</v>
      </c>
      <c r="R354" t="s">
        <v>1048</v>
      </c>
      <c r="S354" t="s">
        <v>1047</v>
      </c>
      <c r="T354" t="s">
        <v>1047</v>
      </c>
      <c r="U354" t="s">
        <v>1047</v>
      </c>
      <c r="V354" t="s">
        <v>1048</v>
      </c>
    </row>
    <row r="355" spans="1:22" x14ac:dyDescent="0.2">
      <c r="A355">
        <v>717900</v>
      </c>
      <c r="B355" t="s">
        <v>430</v>
      </c>
      <c r="C355"/>
      <c r="D355"/>
      <c r="E355" t="s">
        <v>1047</v>
      </c>
      <c r="F355" s="368">
        <v>43830</v>
      </c>
      <c r="G355" t="s">
        <v>1047</v>
      </c>
      <c r="H355" t="s">
        <v>1047</v>
      </c>
      <c r="I355" t="s">
        <v>1048</v>
      </c>
      <c r="J355" t="s">
        <v>1048</v>
      </c>
      <c r="K355" t="s">
        <v>1047</v>
      </c>
      <c r="L355" t="s">
        <v>1047</v>
      </c>
      <c r="M355" t="s">
        <v>1047</v>
      </c>
      <c r="N355" t="s">
        <v>1047</v>
      </c>
      <c r="O355" t="s">
        <v>1047</v>
      </c>
      <c r="P355" t="s">
        <v>1047</v>
      </c>
      <c r="Q355" t="s">
        <v>1047</v>
      </c>
      <c r="R355" t="s">
        <v>1047</v>
      </c>
      <c r="S355" t="s">
        <v>1047</v>
      </c>
      <c r="T355" t="s">
        <v>1047</v>
      </c>
      <c r="U355" t="s">
        <v>1047</v>
      </c>
      <c r="V355" t="s">
        <v>1047</v>
      </c>
    </row>
    <row r="356" spans="1:22" x14ac:dyDescent="0.2">
      <c r="A356">
        <v>718205</v>
      </c>
      <c r="B356" t="s">
        <v>431</v>
      </c>
      <c r="C356">
        <v>20</v>
      </c>
      <c r="D356" s="368">
        <v>43799</v>
      </c>
      <c r="E356" t="s">
        <v>1047</v>
      </c>
      <c r="F356" s="368">
        <v>43830</v>
      </c>
      <c r="G356" t="s">
        <v>1048</v>
      </c>
      <c r="H356" t="s">
        <v>1048</v>
      </c>
      <c r="I356" t="s">
        <v>1048</v>
      </c>
      <c r="J356" t="s">
        <v>1048</v>
      </c>
      <c r="K356" t="s">
        <v>1048</v>
      </c>
      <c r="L356" t="s">
        <v>1048</v>
      </c>
      <c r="M356" t="s">
        <v>1048</v>
      </c>
      <c r="N356" t="s">
        <v>1048</v>
      </c>
      <c r="O356" t="s">
        <v>1048</v>
      </c>
      <c r="P356" t="s">
        <v>1048</v>
      </c>
      <c r="Q356" t="s">
        <v>1048</v>
      </c>
      <c r="R356" t="s">
        <v>1048</v>
      </c>
      <c r="S356" t="s">
        <v>1047</v>
      </c>
      <c r="T356" t="s">
        <v>1047</v>
      </c>
      <c r="U356" t="s">
        <v>1047</v>
      </c>
      <c r="V356" t="s">
        <v>1048</v>
      </c>
    </row>
    <row r="357" spans="1:22" x14ac:dyDescent="0.2">
      <c r="A357">
        <v>719674</v>
      </c>
      <c r="B357" t="s">
        <v>149</v>
      </c>
      <c r="C357">
        <v>20</v>
      </c>
      <c r="D357" s="368">
        <v>44316</v>
      </c>
      <c r="E357" t="s">
        <v>1048</v>
      </c>
      <c r="F357" s="368">
        <v>44286</v>
      </c>
      <c r="G357" t="s">
        <v>1048</v>
      </c>
      <c r="H357" t="s">
        <v>1048</v>
      </c>
      <c r="I357" t="s">
        <v>1048</v>
      </c>
      <c r="J357" t="s">
        <v>1048</v>
      </c>
      <c r="K357" t="s">
        <v>1048</v>
      </c>
      <c r="L357" t="s">
        <v>1048</v>
      </c>
      <c r="M357" t="s">
        <v>1048</v>
      </c>
      <c r="N357" t="s">
        <v>1048</v>
      </c>
      <c r="O357" t="s">
        <v>1048</v>
      </c>
      <c r="P357" t="s">
        <v>1048</v>
      </c>
      <c r="Q357" t="s">
        <v>1048</v>
      </c>
      <c r="R357" t="s">
        <v>1048</v>
      </c>
      <c r="S357" t="s">
        <v>1047</v>
      </c>
      <c r="T357" t="s">
        <v>1047</v>
      </c>
      <c r="U357" t="s">
        <v>1047</v>
      </c>
      <c r="V357" t="s">
        <v>1048</v>
      </c>
    </row>
    <row r="358" spans="1:22" x14ac:dyDescent="0.2">
      <c r="A358">
        <v>720201</v>
      </c>
      <c r="B358" t="s">
        <v>1121</v>
      </c>
      <c r="C358">
        <v>26</v>
      </c>
      <c r="D358" s="368">
        <v>44316</v>
      </c>
      <c r="E358" t="s">
        <v>1047</v>
      </c>
      <c r="F358" s="368">
        <v>44286</v>
      </c>
      <c r="G358" t="s">
        <v>1048</v>
      </c>
      <c r="H358" t="s">
        <v>1048</v>
      </c>
      <c r="I358" t="s">
        <v>1048</v>
      </c>
      <c r="J358" t="s">
        <v>1048</v>
      </c>
      <c r="K358" t="s">
        <v>1048</v>
      </c>
      <c r="L358" t="s">
        <v>1047</v>
      </c>
      <c r="M358" t="s">
        <v>1047</v>
      </c>
      <c r="N358" t="s">
        <v>1047</v>
      </c>
      <c r="O358" t="s">
        <v>1047</v>
      </c>
      <c r="P358" t="s">
        <v>1048</v>
      </c>
      <c r="Q358" t="s">
        <v>1048</v>
      </c>
      <c r="R358" t="s">
        <v>1047</v>
      </c>
      <c r="S358" t="s">
        <v>1047</v>
      </c>
      <c r="T358" t="s">
        <v>1048</v>
      </c>
      <c r="U358" t="s">
        <v>1048</v>
      </c>
      <c r="V358" t="s">
        <v>1048</v>
      </c>
    </row>
    <row r="359" spans="1:22" x14ac:dyDescent="0.2">
      <c r="A359">
        <v>721035</v>
      </c>
      <c r="B359" t="s">
        <v>432</v>
      </c>
      <c r="C359">
        <v>20</v>
      </c>
      <c r="D359" s="368">
        <v>44316</v>
      </c>
      <c r="E359" t="s">
        <v>1047</v>
      </c>
      <c r="F359" s="368">
        <v>43830</v>
      </c>
      <c r="G359" t="s">
        <v>1048</v>
      </c>
      <c r="H359" t="s">
        <v>1048</v>
      </c>
      <c r="I359" t="s">
        <v>1048</v>
      </c>
      <c r="J359" t="s">
        <v>1048</v>
      </c>
      <c r="K359" t="s">
        <v>1048</v>
      </c>
      <c r="L359" t="s">
        <v>1048</v>
      </c>
      <c r="M359" t="s">
        <v>1048</v>
      </c>
      <c r="N359" t="s">
        <v>1048</v>
      </c>
      <c r="O359" t="s">
        <v>1048</v>
      </c>
      <c r="P359" t="s">
        <v>1048</v>
      </c>
      <c r="Q359" t="s">
        <v>1048</v>
      </c>
      <c r="R359" t="s">
        <v>1048</v>
      </c>
      <c r="S359" t="s">
        <v>1048</v>
      </c>
      <c r="T359" t="s">
        <v>1047</v>
      </c>
      <c r="U359" t="s">
        <v>1047</v>
      </c>
      <c r="V359" t="s">
        <v>1047</v>
      </c>
    </row>
    <row r="360" spans="1:22" x14ac:dyDescent="0.2">
      <c r="A360">
        <v>721506</v>
      </c>
      <c r="B360" t="s">
        <v>433</v>
      </c>
      <c r="C360">
        <v>16</v>
      </c>
      <c r="D360" s="368">
        <v>44227</v>
      </c>
      <c r="E360" t="s">
        <v>1047</v>
      </c>
      <c r="F360" s="368">
        <v>43830</v>
      </c>
      <c r="G360" t="s">
        <v>1048</v>
      </c>
      <c r="H360" t="s">
        <v>1048</v>
      </c>
      <c r="I360" t="s">
        <v>1048</v>
      </c>
      <c r="J360" t="s">
        <v>1048</v>
      </c>
      <c r="K360" t="s">
        <v>1048</v>
      </c>
      <c r="L360" t="s">
        <v>1048</v>
      </c>
      <c r="M360" t="s">
        <v>1048</v>
      </c>
      <c r="N360" t="s">
        <v>1048</v>
      </c>
      <c r="O360" t="s">
        <v>1048</v>
      </c>
      <c r="P360" t="s">
        <v>1048</v>
      </c>
      <c r="Q360" t="s">
        <v>1048</v>
      </c>
      <c r="R360" t="s">
        <v>1048</v>
      </c>
      <c r="S360" t="s">
        <v>1048</v>
      </c>
      <c r="T360" t="s">
        <v>1047</v>
      </c>
      <c r="U360" t="s">
        <v>1047</v>
      </c>
      <c r="V360" t="s">
        <v>1048</v>
      </c>
    </row>
    <row r="361" spans="1:22" x14ac:dyDescent="0.2">
      <c r="A361">
        <v>723270</v>
      </c>
      <c r="B361" t="s">
        <v>1162</v>
      </c>
      <c r="C361">
        <v>22</v>
      </c>
      <c r="D361" s="368">
        <v>44316</v>
      </c>
      <c r="E361" t="s">
        <v>1047</v>
      </c>
      <c r="F361" s="368">
        <v>44286</v>
      </c>
      <c r="G361" t="s">
        <v>1048</v>
      </c>
      <c r="H361" t="s">
        <v>1048</v>
      </c>
      <c r="I361" t="s">
        <v>1048</v>
      </c>
      <c r="J361" t="s">
        <v>1048</v>
      </c>
      <c r="K361" t="s">
        <v>1048</v>
      </c>
      <c r="L361" t="s">
        <v>1048</v>
      </c>
      <c r="M361" t="s">
        <v>1047</v>
      </c>
      <c r="N361" t="s">
        <v>1047</v>
      </c>
      <c r="O361" t="s">
        <v>1048</v>
      </c>
      <c r="P361" t="s">
        <v>1047</v>
      </c>
      <c r="Q361" t="s">
        <v>1048</v>
      </c>
      <c r="R361" t="s">
        <v>1047</v>
      </c>
      <c r="S361" t="s">
        <v>1048</v>
      </c>
      <c r="T361" t="s">
        <v>1047</v>
      </c>
      <c r="U361" t="s">
        <v>1047</v>
      </c>
      <c r="V361" t="s">
        <v>1047</v>
      </c>
    </row>
    <row r="362" spans="1:22" x14ac:dyDescent="0.2">
      <c r="A362">
        <v>726117</v>
      </c>
      <c r="B362" t="s">
        <v>434</v>
      </c>
      <c r="C362">
        <v>19</v>
      </c>
      <c r="D362" s="368">
        <v>44227</v>
      </c>
      <c r="E362" t="s">
        <v>1047</v>
      </c>
      <c r="F362" s="368">
        <v>43830</v>
      </c>
      <c r="G362" t="s">
        <v>1048</v>
      </c>
      <c r="H362" t="s">
        <v>1048</v>
      </c>
      <c r="I362" t="s">
        <v>1048</v>
      </c>
      <c r="J362" t="s">
        <v>1048</v>
      </c>
      <c r="K362" t="s">
        <v>1048</v>
      </c>
      <c r="L362" t="s">
        <v>1048</v>
      </c>
      <c r="M362" t="s">
        <v>1047</v>
      </c>
      <c r="N362" t="s">
        <v>1047</v>
      </c>
      <c r="O362" t="s">
        <v>1048</v>
      </c>
      <c r="P362" t="s">
        <v>1047</v>
      </c>
      <c r="Q362" t="s">
        <v>1047</v>
      </c>
      <c r="R362" t="s">
        <v>1047</v>
      </c>
      <c r="S362" t="s">
        <v>1048</v>
      </c>
      <c r="T362" t="s">
        <v>1047</v>
      </c>
      <c r="U362" t="s">
        <v>1047</v>
      </c>
      <c r="V362" t="s">
        <v>1047</v>
      </c>
    </row>
    <row r="363" spans="1:22" x14ac:dyDescent="0.2">
      <c r="A363">
        <v>727057</v>
      </c>
      <c r="B363" t="s">
        <v>435</v>
      </c>
      <c r="C363">
        <v>21</v>
      </c>
      <c r="D363" s="368">
        <v>44316</v>
      </c>
      <c r="E363" t="s">
        <v>1048</v>
      </c>
      <c r="F363" s="368">
        <v>44286</v>
      </c>
      <c r="G363" t="s">
        <v>1048</v>
      </c>
      <c r="H363" t="s">
        <v>1048</v>
      </c>
      <c r="I363" t="s">
        <v>1048</v>
      </c>
      <c r="J363" t="s">
        <v>1048</v>
      </c>
      <c r="K363" t="s">
        <v>1048</v>
      </c>
      <c r="L363" t="s">
        <v>1048</v>
      </c>
      <c r="M363" t="s">
        <v>1047</v>
      </c>
      <c r="N363" t="s">
        <v>1047</v>
      </c>
      <c r="O363" t="s">
        <v>1048</v>
      </c>
      <c r="P363" t="s">
        <v>1048</v>
      </c>
      <c r="Q363" t="s">
        <v>1048</v>
      </c>
      <c r="R363" t="s">
        <v>1048</v>
      </c>
      <c r="S363" t="s">
        <v>1047</v>
      </c>
      <c r="T363" t="s">
        <v>1047</v>
      </c>
      <c r="U363" t="s">
        <v>1047</v>
      </c>
      <c r="V363" t="s">
        <v>1048</v>
      </c>
    </row>
    <row r="364" spans="1:22" x14ac:dyDescent="0.2">
      <c r="A364">
        <v>732959</v>
      </c>
      <c r="B364" t="s">
        <v>1198</v>
      </c>
      <c r="C364">
        <v>21</v>
      </c>
      <c r="D364" s="368">
        <v>44316</v>
      </c>
      <c r="E364"/>
      <c r="F364"/>
      <c r="G364" t="s">
        <v>1048</v>
      </c>
      <c r="H364" t="s">
        <v>1048</v>
      </c>
      <c r="I364" t="s">
        <v>1048</v>
      </c>
      <c r="J364" t="s">
        <v>1048</v>
      </c>
      <c r="K364" t="s">
        <v>1048</v>
      </c>
      <c r="L364" t="s">
        <v>1048</v>
      </c>
      <c r="M364" t="s">
        <v>1048</v>
      </c>
      <c r="N364" t="s">
        <v>1047</v>
      </c>
      <c r="O364" t="s">
        <v>1048</v>
      </c>
      <c r="P364" t="s">
        <v>1047</v>
      </c>
      <c r="Q364" t="s">
        <v>1047</v>
      </c>
      <c r="R364" t="s">
        <v>1048</v>
      </c>
      <c r="S364" t="s">
        <v>1047</v>
      </c>
      <c r="T364" t="s">
        <v>1048</v>
      </c>
      <c r="U364" t="s">
        <v>1048</v>
      </c>
      <c r="V364" t="s">
        <v>1048</v>
      </c>
    </row>
    <row r="365" spans="1:22" x14ac:dyDescent="0.2">
      <c r="A365">
        <v>734491</v>
      </c>
      <c r="B365" t="s">
        <v>436</v>
      </c>
      <c r="C365">
        <v>21</v>
      </c>
      <c r="D365" s="368">
        <v>44316</v>
      </c>
      <c r="E365" t="s">
        <v>1048</v>
      </c>
      <c r="F365" s="368">
        <v>44286</v>
      </c>
      <c r="G365" t="s">
        <v>1047</v>
      </c>
      <c r="H365" t="s">
        <v>1047</v>
      </c>
      <c r="I365" t="s">
        <v>1048</v>
      </c>
      <c r="J365" t="s">
        <v>1048</v>
      </c>
      <c r="K365" t="s">
        <v>1048</v>
      </c>
      <c r="L365" t="s">
        <v>1048</v>
      </c>
      <c r="M365" t="s">
        <v>1047</v>
      </c>
      <c r="N365" t="s">
        <v>1047</v>
      </c>
      <c r="O365" t="s">
        <v>1047</v>
      </c>
      <c r="P365" t="s">
        <v>1047</v>
      </c>
      <c r="Q365" t="s">
        <v>1047</v>
      </c>
      <c r="R365" t="s">
        <v>1047</v>
      </c>
      <c r="S365" t="s">
        <v>1047</v>
      </c>
      <c r="T365" t="s">
        <v>1047</v>
      </c>
      <c r="U365" t="s">
        <v>1047</v>
      </c>
      <c r="V365" t="s">
        <v>1047</v>
      </c>
    </row>
    <row r="366" spans="1:22" x14ac:dyDescent="0.2">
      <c r="A366">
        <v>743112</v>
      </c>
      <c r="B366" t="s">
        <v>438</v>
      </c>
      <c r="C366">
        <v>22</v>
      </c>
      <c r="D366" s="368">
        <v>44316</v>
      </c>
      <c r="E366" t="s">
        <v>1048</v>
      </c>
      <c r="F366" s="368">
        <v>44286</v>
      </c>
      <c r="G366" t="s">
        <v>1048</v>
      </c>
      <c r="H366" t="s">
        <v>1048</v>
      </c>
      <c r="I366" t="s">
        <v>1048</v>
      </c>
      <c r="J366" t="s">
        <v>1047</v>
      </c>
      <c r="K366" t="s">
        <v>1047</v>
      </c>
      <c r="L366" t="s">
        <v>1047</v>
      </c>
      <c r="M366" t="s">
        <v>1047</v>
      </c>
      <c r="N366" t="s">
        <v>1047</v>
      </c>
      <c r="O366" t="s">
        <v>1047</v>
      </c>
      <c r="P366" t="s">
        <v>1047</v>
      </c>
      <c r="Q366" t="s">
        <v>1047</v>
      </c>
      <c r="R366" t="s">
        <v>1047</v>
      </c>
      <c r="S366" t="s">
        <v>1047</v>
      </c>
      <c r="T366" t="s">
        <v>1047</v>
      </c>
      <c r="U366" t="s">
        <v>1047</v>
      </c>
      <c r="V366" t="s">
        <v>1047</v>
      </c>
    </row>
    <row r="367" spans="1:22" x14ac:dyDescent="0.2">
      <c r="A367">
        <v>747899</v>
      </c>
      <c r="B367" t="s">
        <v>37</v>
      </c>
      <c r="C367">
        <v>20</v>
      </c>
      <c r="D367" s="368">
        <v>44316</v>
      </c>
      <c r="E367" t="s">
        <v>1048</v>
      </c>
      <c r="F367" s="368">
        <v>44286</v>
      </c>
      <c r="G367" t="s">
        <v>1048</v>
      </c>
      <c r="H367" t="s">
        <v>1048</v>
      </c>
      <c r="I367" t="s">
        <v>1048</v>
      </c>
      <c r="J367" t="s">
        <v>1048</v>
      </c>
      <c r="K367" t="s">
        <v>1048</v>
      </c>
      <c r="L367" t="s">
        <v>1048</v>
      </c>
      <c r="M367" t="s">
        <v>1048</v>
      </c>
      <c r="N367" t="s">
        <v>1048</v>
      </c>
      <c r="O367" t="s">
        <v>1048</v>
      </c>
      <c r="P367" t="s">
        <v>1048</v>
      </c>
      <c r="Q367" t="s">
        <v>1048</v>
      </c>
      <c r="R367" t="s">
        <v>1048</v>
      </c>
      <c r="S367" t="s">
        <v>1047</v>
      </c>
      <c r="T367" t="s">
        <v>1047</v>
      </c>
      <c r="U367" t="s">
        <v>1047</v>
      </c>
      <c r="V367" t="s">
        <v>1048</v>
      </c>
    </row>
    <row r="368" spans="1:22" x14ac:dyDescent="0.2">
      <c r="A368">
        <v>749192</v>
      </c>
      <c r="B368" t="s">
        <v>440</v>
      </c>
      <c r="C368">
        <v>20</v>
      </c>
      <c r="D368" s="368">
        <v>44316</v>
      </c>
      <c r="E368" t="s">
        <v>1047</v>
      </c>
      <c r="F368" s="368">
        <v>43830</v>
      </c>
      <c r="G368" t="s">
        <v>1048</v>
      </c>
      <c r="H368" t="s">
        <v>1048</v>
      </c>
      <c r="I368" t="s">
        <v>1048</v>
      </c>
      <c r="J368" t="s">
        <v>1048</v>
      </c>
      <c r="K368" t="s">
        <v>1048</v>
      </c>
      <c r="L368" t="s">
        <v>1048</v>
      </c>
      <c r="M368" t="s">
        <v>1048</v>
      </c>
      <c r="N368" t="s">
        <v>1048</v>
      </c>
      <c r="O368" t="s">
        <v>1048</v>
      </c>
      <c r="P368" t="s">
        <v>1048</v>
      </c>
      <c r="Q368" t="s">
        <v>1048</v>
      </c>
      <c r="R368" t="s">
        <v>1048</v>
      </c>
      <c r="S368" t="s">
        <v>1047</v>
      </c>
      <c r="T368" t="s">
        <v>1047</v>
      </c>
      <c r="U368" t="s">
        <v>1047</v>
      </c>
      <c r="V368" t="s">
        <v>1048</v>
      </c>
    </row>
    <row r="369" spans="1:22" x14ac:dyDescent="0.2">
      <c r="A369">
        <v>750075</v>
      </c>
      <c r="B369" t="s">
        <v>441</v>
      </c>
      <c r="C369">
        <v>25</v>
      </c>
      <c r="D369" s="368">
        <v>44316</v>
      </c>
      <c r="E369" t="s">
        <v>1048</v>
      </c>
      <c r="F369" s="368">
        <v>44286</v>
      </c>
      <c r="G369" t="s">
        <v>1048</v>
      </c>
      <c r="H369" t="s">
        <v>1048</v>
      </c>
      <c r="I369" t="s">
        <v>1048</v>
      </c>
      <c r="J369" t="s">
        <v>1048</v>
      </c>
      <c r="K369" t="s">
        <v>1048</v>
      </c>
      <c r="L369" t="s">
        <v>1048</v>
      </c>
      <c r="M369" t="s">
        <v>1048</v>
      </c>
      <c r="N369" t="s">
        <v>1048</v>
      </c>
      <c r="O369" t="s">
        <v>1048</v>
      </c>
      <c r="P369" t="s">
        <v>1048</v>
      </c>
      <c r="Q369" t="s">
        <v>1048</v>
      </c>
      <c r="R369" t="s">
        <v>1048</v>
      </c>
      <c r="S369" t="s">
        <v>1048</v>
      </c>
      <c r="T369" t="s">
        <v>1047</v>
      </c>
      <c r="U369" t="s">
        <v>1047</v>
      </c>
      <c r="V369" t="s">
        <v>1048</v>
      </c>
    </row>
    <row r="370" spans="1:22" x14ac:dyDescent="0.2">
      <c r="A370">
        <v>751495</v>
      </c>
      <c r="B370" t="s">
        <v>442</v>
      </c>
      <c r="C370">
        <v>24</v>
      </c>
      <c r="D370" s="368">
        <v>44316</v>
      </c>
      <c r="E370" t="s">
        <v>1047</v>
      </c>
      <c r="F370" s="368">
        <v>43830</v>
      </c>
      <c r="G370" t="s">
        <v>1048</v>
      </c>
      <c r="H370" t="s">
        <v>1048</v>
      </c>
      <c r="I370" t="s">
        <v>1048</v>
      </c>
      <c r="J370" t="s">
        <v>1048</v>
      </c>
      <c r="K370" t="s">
        <v>1048</v>
      </c>
      <c r="L370" t="s">
        <v>1048</v>
      </c>
      <c r="M370" t="s">
        <v>1048</v>
      </c>
      <c r="N370" t="s">
        <v>1048</v>
      </c>
      <c r="O370" t="s">
        <v>1048</v>
      </c>
      <c r="P370" t="s">
        <v>1048</v>
      </c>
      <c r="Q370" t="s">
        <v>1048</v>
      </c>
      <c r="R370" t="s">
        <v>1048</v>
      </c>
      <c r="S370" t="s">
        <v>1047</v>
      </c>
      <c r="T370" t="s">
        <v>1047</v>
      </c>
      <c r="U370" t="s">
        <v>1047</v>
      </c>
      <c r="V370" t="s">
        <v>1048</v>
      </c>
    </row>
    <row r="371" spans="1:22" x14ac:dyDescent="0.2">
      <c r="A371">
        <v>752204</v>
      </c>
      <c r="B371" t="s">
        <v>534</v>
      </c>
      <c r="C371">
        <v>29</v>
      </c>
      <c r="D371" s="368">
        <v>44316</v>
      </c>
      <c r="E371" t="s">
        <v>1047</v>
      </c>
      <c r="F371" s="368">
        <v>44104</v>
      </c>
      <c r="G371" t="s">
        <v>1048</v>
      </c>
      <c r="H371" t="s">
        <v>1048</v>
      </c>
      <c r="I371" t="s">
        <v>1048</v>
      </c>
      <c r="J371" t="s">
        <v>1048</v>
      </c>
      <c r="K371" t="s">
        <v>1048</v>
      </c>
      <c r="L371" t="s">
        <v>1048</v>
      </c>
      <c r="M371" t="s">
        <v>1047</v>
      </c>
      <c r="N371" t="s">
        <v>1047</v>
      </c>
      <c r="O371" t="s">
        <v>1048</v>
      </c>
      <c r="P371" t="s">
        <v>1047</v>
      </c>
      <c r="Q371" t="s">
        <v>1048</v>
      </c>
      <c r="R371" t="s">
        <v>1048</v>
      </c>
      <c r="S371" t="s">
        <v>1047</v>
      </c>
      <c r="T371" t="s">
        <v>1047</v>
      </c>
      <c r="U371" t="s">
        <v>1047</v>
      </c>
      <c r="V371" t="s">
        <v>1047</v>
      </c>
    </row>
    <row r="372" spans="1:22" x14ac:dyDescent="0.2">
      <c r="A372">
        <v>753731</v>
      </c>
      <c r="B372" t="s">
        <v>443</v>
      </c>
      <c r="C372">
        <v>27</v>
      </c>
      <c r="D372" s="368">
        <v>44316</v>
      </c>
      <c r="E372" t="s">
        <v>1047</v>
      </c>
      <c r="F372" s="368">
        <v>44286</v>
      </c>
      <c r="G372" t="s">
        <v>1048</v>
      </c>
      <c r="H372" t="s">
        <v>1048</v>
      </c>
      <c r="I372" t="s">
        <v>1048</v>
      </c>
      <c r="J372" t="s">
        <v>1048</v>
      </c>
      <c r="K372" t="s">
        <v>1047</v>
      </c>
      <c r="L372" t="s">
        <v>1047</v>
      </c>
      <c r="M372" t="s">
        <v>1047</v>
      </c>
      <c r="N372" t="s">
        <v>1047</v>
      </c>
      <c r="O372" t="s">
        <v>1047</v>
      </c>
      <c r="P372" t="s">
        <v>1047</v>
      </c>
      <c r="Q372" t="s">
        <v>1047</v>
      </c>
      <c r="R372" t="s">
        <v>1047</v>
      </c>
      <c r="S372" t="s">
        <v>1047</v>
      </c>
      <c r="T372" t="s">
        <v>1047</v>
      </c>
      <c r="U372" t="s">
        <v>1047</v>
      </c>
      <c r="V372" t="s">
        <v>1047</v>
      </c>
    </row>
    <row r="373" spans="1:22" x14ac:dyDescent="0.2">
      <c r="A373">
        <v>755033</v>
      </c>
      <c r="B373" t="s">
        <v>444</v>
      </c>
      <c r="C373">
        <v>21</v>
      </c>
      <c r="D373" s="368">
        <v>44316</v>
      </c>
      <c r="E373" t="s">
        <v>1047</v>
      </c>
      <c r="F373" s="368">
        <v>44286</v>
      </c>
      <c r="G373" t="s">
        <v>1048</v>
      </c>
      <c r="H373" t="s">
        <v>1048</v>
      </c>
      <c r="I373" t="s">
        <v>1048</v>
      </c>
      <c r="J373" t="s">
        <v>1048</v>
      </c>
      <c r="K373" t="s">
        <v>1048</v>
      </c>
      <c r="L373" t="s">
        <v>1048</v>
      </c>
      <c r="M373" t="s">
        <v>1048</v>
      </c>
      <c r="N373" t="s">
        <v>1048</v>
      </c>
      <c r="O373" t="s">
        <v>1048</v>
      </c>
      <c r="P373" t="s">
        <v>1048</v>
      </c>
      <c r="Q373" t="s">
        <v>1048</v>
      </c>
      <c r="R373" t="s">
        <v>1047</v>
      </c>
      <c r="S373" t="s">
        <v>1047</v>
      </c>
      <c r="T373" t="s">
        <v>1047</v>
      </c>
      <c r="U373" t="s">
        <v>1048</v>
      </c>
      <c r="V373" t="s">
        <v>1048</v>
      </c>
    </row>
    <row r="374" spans="1:22" x14ac:dyDescent="0.2">
      <c r="A374">
        <v>755090</v>
      </c>
      <c r="B374" t="s">
        <v>515</v>
      </c>
      <c r="C374">
        <v>21</v>
      </c>
      <c r="D374" s="368">
        <v>44316</v>
      </c>
      <c r="E374" t="s">
        <v>1047</v>
      </c>
      <c r="F374" s="368">
        <v>44286</v>
      </c>
      <c r="G374" t="s">
        <v>1048</v>
      </c>
      <c r="H374" t="s">
        <v>1048</v>
      </c>
      <c r="I374" t="s">
        <v>1048</v>
      </c>
      <c r="J374" t="s">
        <v>1048</v>
      </c>
      <c r="K374" t="s">
        <v>1048</v>
      </c>
      <c r="L374" t="s">
        <v>1048</v>
      </c>
      <c r="M374" t="s">
        <v>1047</v>
      </c>
      <c r="N374" t="s">
        <v>1047</v>
      </c>
      <c r="O374" t="s">
        <v>1048</v>
      </c>
      <c r="P374" t="s">
        <v>1047</v>
      </c>
      <c r="Q374" t="s">
        <v>1047</v>
      </c>
      <c r="R374" t="s">
        <v>1047</v>
      </c>
      <c r="S374" t="s">
        <v>1047</v>
      </c>
      <c r="T374" t="s">
        <v>1047</v>
      </c>
      <c r="U374" t="s">
        <v>1047</v>
      </c>
      <c r="V374" t="s">
        <v>1047</v>
      </c>
    </row>
    <row r="375" spans="1:22" x14ac:dyDescent="0.2">
      <c r="A375">
        <v>755504</v>
      </c>
      <c r="B375" t="s">
        <v>445</v>
      </c>
      <c r="C375">
        <v>20</v>
      </c>
      <c r="D375" s="368">
        <v>44316</v>
      </c>
      <c r="E375" t="s">
        <v>1048</v>
      </c>
      <c r="F375" s="368">
        <v>44286</v>
      </c>
      <c r="G375" t="s">
        <v>1048</v>
      </c>
      <c r="H375" t="s">
        <v>1048</v>
      </c>
      <c r="I375" t="s">
        <v>1048</v>
      </c>
      <c r="J375" t="s">
        <v>1048</v>
      </c>
      <c r="K375" t="s">
        <v>1048</v>
      </c>
      <c r="L375" t="s">
        <v>1048</v>
      </c>
      <c r="M375" t="s">
        <v>1048</v>
      </c>
      <c r="N375" t="s">
        <v>1048</v>
      </c>
      <c r="O375" t="s">
        <v>1048</v>
      </c>
      <c r="P375" t="s">
        <v>1048</v>
      </c>
      <c r="Q375" t="s">
        <v>1048</v>
      </c>
      <c r="R375" t="s">
        <v>1048</v>
      </c>
      <c r="S375" t="s">
        <v>1047</v>
      </c>
      <c r="T375" t="s">
        <v>1047</v>
      </c>
      <c r="U375" t="s">
        <v>1047</v>
      </c>
      <c r="V375" t="s">
        <v>1048</v>
      </c>
    </row>
    <row r="376" spans="1:22" x14ac:dyDescent="0.2">
      <c r="A376">
        <v>756031</v>
      </c>
      <c r="B376" t="s">
        <v>1122</v>
      </c>
      <c r="C376">
        <v>32</v>
      </c>
      <c r="D376" s="368">
        <v>44316</v>
      </c>
      <c r="E376" t="s">
        <v>1047</v>
      </c>
      <c r="F376" s="368">
        <v>44286</v>
      </c>
      <c r="G376" t="s">
        <v>1048</v>
      </c>
      <c r="H376" t="s">
        <v>1048</v>
      </c>
      <c r="I376" t="s">
        <v>1048</v>
      </c>
      <c r="J376" t="s">
        <v>1048</v>
      </c>
      <c r="K376" t="s">
        <v>1048</v>
      </c>
      <c r="L376" t="s">
        <v>1047</v>
      </c>
      <c r="M376" t="s">
        <v>1047</v>
      </c>
      <c r="N376" t="s">
        <v>1047</v>
      </c>
      <c r="O376" t="s">
        <v>1047</v>
      </c>
      <c r="P376" t="s">
        <v>1048</v>
      </c>
      <c r="Q376" t="s">
        <v>1048</v>
      </c>
      <c r="R376" t="s">
        <v>1047</v>
      </c>
      <c r="S376" t="s">
        <v>1047</v>
      </c>
      <c r="T376" t="s">
        <v>1048</v>
      </c>
      <c r="U376" t="s">
        <v>1047</v>
      </c>
      <c r="V376" t="s">
        <v>1048</v>
      </c>
    </row>
    <row r="377" spans="1:22" x14ac:dyDescent="0.2">
      <c r="A377">
        <v>757575</v>
      </c>
      <c r="B377" t="s">
        <v>1014</v>
      </c>
      <c r="C377">
        <v>23</v>
      </c>
      <c r="D377" s="368">
        <v>44316</v>
      </c>
      <c r="E377" t="s">
        <v>1048</v>
      </c>
      <c r="F377" s="368">
        <v>44286</v>
      </c>
      <c r="G377" t="s">
        <v>1048</v>
      </c>
      <c r="H377" t="s">
        <v>1048</v>
      </c>
      <c r="I377" t="s">
        <v>1048</v>
      </c>
      <c r="J377" t="s">
        <v>1048</v>
      </c>
      <c r="K377" t="s">
        <v>1048</v>
      </c>
      <c r="L377" t="s">
        <v>1047</v>
      </c>
      <c r="M377" t="s">
        <v>1047</v>
      </c>
      <c r="N377" t="s">
        <v>1047</v>
      </c>
      <c r="O377" t="s">
        <v>1047</v>
      </c>
      <c r="P377" t="s">
        <v>1047</v>
      </c>
      <c r="Q377" t="s">
        <v>1047</v>
      </c>
      <c r="R377" t="s">
        <v>1047</v>
      </c>
      <c r="S377" t="s">
        <v>1047</v>
      </c>
      <c r="T377" t="s">
        <v>1047</v>
      </c>
      <c r="U377" t="s">
        <v>1047</v>
      </c>
      <c r="V377" t="s">
        <v>1048</v>
      </c>
    </row>
    <row r="378" spans="1:22" x14ac:dyDescent="0.2">
      <c r="A378">
        <v>759100</v>
      </c>
      <c r="B378" t="s">
        <v>1163</v>
      </c>
      <c r="C378">
        <v>22</v>
      </c>
      <c r="D378" s="368">
        <v>44316</v>
      </c>
      <c r="E378" t="s">
        <v>1048</v>
      </c>
      <c r="F378" s="368">
        <v>44286</v>
      </c>
      <c r="G378" t="s">
        <v>1048</v>
      </c>
      <c r="H378" t="s">
        <v>1048</v>
      </c>
      <c r="I378" t="s">
        <v>1048</v>
      </c>
      <c r="J378" t="s">
        <v>1048</v>
      </c>
      <c r="K378" t="s">
        <v>1048</v>
      </c>
      <c r="L378" t="s">
        <v>1048</v>
      </c>
      <c r="M378" t="s">
        <v>1048</v>
      </c>
      <c r="N378" t="s">
        <v>1048</v>
      </c>
      <c r="O378" t="s">
        <v>1048</v>
      </c>
      <c r="P378" t="s">
        <v>1048</v>
      </c>
      <c r="Q378" t="s">
        <v>1048</v>
      </c>
      <c r="R378" t="s">
        <v>1048</v>
      </c>
      <c r="S378" t="s">
        <v>1048</v>
      </c>
      <c r="T378" t="s">
        <v>1047</v>
      </c>
      <c r="U378" t="s">
        <v>1047</v>
      </c>
      <c r="V378" t="s">
        <v>1047</v>
      </c>
    </row>
    <row r="379" spans="1:22" x14ac:dyDescent="0.2">
      <c r="A379">
        <v>764951</v>
      </c>
      <c r="B379" t="s">
        <v>446</v>
      </c>
      <c r="C379">
        <v>20</v>
      </c>
      <c r="D379" s="368">
        <v>44316</v>
      </c>
      <c r="E379" t="s">
        <v>1048</v>
      </c>
      <c r="F379" s="368">
        <v>44286</v>
      </c>
      <c r="G379" t="s">
        <v>1048</v>
      </c>
      <c r="H379" t="s">
        <v>1048</v>
      </c>
      <c r="I379" t="s">
        <v>1048</v>
      </c>
      <c r="J379" t="s">
        <v>1048</v>
      </c>
      <c r="K379" t="s">
        <v>1048</v>
      </c>
      <c r="L379" t="s">
        <v>1048</v>
      </c>
      <c r="M379" t="s">
        <v>1047</v>
      </c>
      <c r="N379" t="s">
        <v>1047</v>
      </c>
      <c r="O379" t="s">
        <v>1048</v>
      </c>
      <c r="P379" t="s">
        <v>1047</v>
      </c>
      <c r="Q379" t="s">
        <v>1048</v>
      </c>
      <c r="R379" t="s">
        <v>1048</v>
      </c>
      <c r="S379" t="s">
        <v>1047</v>
      </c>
      <c r="T379" t="s">
        <v>1048</v>
      </c>
      <c r="U379" t="s">
        <v>1047</v>
      </c>
      <c r="V379" t="s">
        <v>1047</v>
      </c>
    </row>
    <row r="380" spans="1:22" x14ac:dyDescent="0.2">
      <c r="A380">
        <v>768499</v>
      </c>
      <c r="B380" t="s">
        <v>1094</v>
      </c>
      <c r="C380">
        <v>29</v>
      </c>
      <c r="D380" s="368">
        <v>43890</v>
      </c>
      <c r="E380" t="s">
        <v>1047</v>
      </c>
      <c r="F380" s="368">
        <v>43465</v>
      </c>
      <c r="G380" t="s">
        <v>1048</v>
      </c>
      <c r="H380" t="s">
        <v>1048</v>
      </c>
      <c r="I380" t="s">
        <v>1048</v>
      </c>
      <c r="J380" t="s">
        <v>1048</v>
      </c>
      <c r="K380" t="s">
        <v>1048</v>
      </c>
      <c r="L380" t="s">
        <v>1048</v>
      </c>
      <c r="M380" t="s">
        <v>1048</v>
      </c>
      <c r="N380" t="s">
        <v>1047</v>
      </c>
      <c r="O380" t="s">
        <v>1047</v>
      </c>
      <c r="P380" t="s">
        <v>1047</v>
      </c>
      <c r="Q380" t="s">
        <v>1047</v>
      </c>
      <c r="R380" t="s">
        <v>1047</v>
      </c>
      <c r="S380" t="s">
        <v>1047</v>
      </c>
      <c r="T380" t="s">
        <v>1048</v>
      </c>
      <c r="U380" t="s">
        <v>1047</v>
      </c>
      <c r="V380" t="s">
        <v>1048</v>
      </c>
    </row>
    <row r="381" spans="1:22" x14ac:dyDescent="0.2">
      <c r="A381">
        <v>768556</v>
      </c>
      <c r="B381" t="s">
        <v>1095</v>
      </c>
      <c r="C381">
        <v>25</v>
      </c>
      <c r="D381" s="368">
        <v>44316</v>
      </c>
      <c r="E381" t="s">
        <v>1047</v>
      </c>
      <c r="F381" s="368">
        <v>44286</v>
      </c>
      <c r="G381" t="s">
        <v>1048</v>
      </c>
      <c r="H381" t="s">
        <v>1048</v>
      </c>
      <c r="I381" t="s">
        <v>1048</v>
      </c>
      <c r="J381" t="s">
        <v>1048</v>
      </c>
      <c r="K381" t="s">
        <v>1048</v>
      </c>
      <c r="L381" t="s">
        <v>1048</v>
      </c>
      <c r="M381" t="s">
        <v>1048</v>
      </c>
      <c r="N381" t="s">
        <v>1047</v>
      </c>
      <c r="O381" t="s">
        <v>1047</v>
      </c>
      <c r="P381" t="s">
        <v>1047</v>
      </c>
      <c r="Q381" t="s">
        <v>1047</v>
      </c>
      <c r="R381" t="s">
        <v>1047</v>
      </c>
      <c r="S381" t="s">
        <v>1047</v>
      </c>
      <c r="T381" t="s">
        <v>1047</v>
      </c>
      <c r="U381" t="s">
        <v>1047</v>
      </c>
      <c r="V381" t="s">
        <v>1048</v>
      </c>
    </row>
    <row r="382" spans="1:22" x14ac:dyDescent="0.2">
      <c r="A382">
        <v>771030</v>
      </c>
      <c r="B382" t="s">
        <v>543</v>
      </c>
      <c r="C382">
        <v>19</v>
      </c>
      <c r="D382" s="368">
        <v>44316</v>
      </c>
      <c r="E382" t="s">
        <v>1048</v>
      </c>
      <c r="F382" s="368">
        <v>44286</v>
      </c>
      <c r="G382" t="s">
        <v>1048</v>
      </c>
      <c r="H382" t="s">
        <v>1048</v>
      </c>
      <c r="I382" t="s">
        <v>1048</v>
      </c>
      <c r="J382" t="s">
        <v>1048</v>
      </c>
      <c r="K382" t="s">
        <v>1048</v>
      </c>
      <c r="L382" t="s">
        <v>1048</v>
      </c>
      <c r="M382" t="s">
        <v>1048</v>
      </c>
      <c r="N382" t="s">
        <v>1048</v>
      </c>
      <c r="O382" t="s">
        <v>1048</v>
      </c>
      <c r="P382" t="s">
        <v>1048</v>
      </c>
      <c r="Q382" t="s">
        <v>1048</v>
      </c>
      <c r="R382" t="s">
        <v>1048</v>
      </c>
      <c r="S382" t="s">
        <v>1048</v>
      </c>
      <c r="T382" t="s">
        <v>1048</v>
      </c>
      <c r="U382" t="s">
        <v>1047</v>
      </c>
      <c r="V382" t="s">
        <v>1048</v>
      </c>
    </row>
    <row r="383" spans="1:22" x14ac:dyDescent="0.2">
      <c r="A383">
        <v>778944</v>
      </c>
      <c r="B383" t="s">
        <v>447</v>
      </c>
      <c r="C383">
        <v>23</v>
      </c>
      <c r="D383" s="368">
        <v>44316</v>
      </c>
      <c r="E383" t="s">
        <v>1047</v>
      </c>
      <c r="F383" s="368">
        <v>43830</v>
      </c>
      <c r="G383" t="s">
        <v>1048</v>
      </c>
      <c r="H383" t="s">
        <v>1048</v>
      </c>
      <c r="I383" t="s">
        <v>1048</v>
      </c>
      <c r="J383" t="s">
        <v>1047</v>
      </c>
      <c r="K383" t="s">
        <v>1047</v>
      </c>
      <c r="L383" t="s">
        <v>1047</v>
      </c>
      <c r="M383" t="s">
        <v>1047</v>
      </c>
      <c r="N383" t="s">
        <v>1047</v>
      </c>
      <c r="O383" t="s">
        <v>1047</v>
      </c>
      <c r="P383" t="s">
        <v>1047</v>
      </c>
      <c r="Q383" t="s">
        <v>1047</v>
      </c>
      <c r="R383" t="s">
        <v>1047</v>
      </c>
      <c r="S383" t="s">
        <v>1047</v>
      </c>
      <c r="T383" t="s">
        <v>1047</v>
      </c>
      <c r="U383" t="s">
        <v>1047</v>
      </c>
      <c r="V383" t="s">
        <v>1047</v>
      </c>
    </row>
    <row r="384" spans="1:22" x14ac:dyDescent="0.2">
      <c r="A384">
        <v>780411</v>
      </c>
      <c r="B384" t="s">
        <v>448</v>
      </c>
      <c r="C384">
        <v>25</v>
      </c>
      <c r="D384" s="368">
        <v>44316</v>
      </c>
      <c r="E384" t="s">
        <v>1047</v>
      </c>
      <c r="F384" s="368">
        <v>44286</v>
      </c>
      <c r="G384" t="s">
        <v>1048</v>
      </c>
      <c r="H384" t="s">
        <v>1048</v>
      </c>
      <c r="I384" t="s">
        <v>1048</v>
      </c>
      <c r="J384" t="s">
        <v>1048</v>
      </c>
      <c r="K384" t="s">
        <v>1048</v>
      </c>
      <c r="L384" t="s">
        <v>1048</v>
      </c>
      <c r="M384" t="s">
        <v>1048</v>
      </c>
      <c r="N384" t="s">
        <v>1048</v>
      </c>
      <c r="O384" t="s">
        <v>1048</v>
      </c>
      <c r="P384" t="s">
        <v>1048</v>
      </c>
      <c r="Q384" t="s">
        <v>1048</v>
      </c>
      <c r="R384" t="s">
        <v>1048</v>
      </c>
      <c r="S384" t="s">
        <v>1048</v>
      </c>
      <c r="T384" t="s">
        <v>1048</v>
      </c>
      <c r="U384" t="s">
        <v>1048</v>
      </c>
      <c r="V384" t="s">
        <v>1048</v>
      </c>
    </row>
    <row r="385" spans="1:22" x14ac:dyDescent="0.2">
      <c r="A385">
        <v>783720</v>
      </c>
      <c r="B385" t="s">
        <v>38</v>
      </c>
      <c r="C385">
        <v>20</v>
      </c>
      <c r="D385" s="368">
        <v>44316</v>
      </c>
      <c r="E385" t="s">
        <v>1048</v>
      </c>
      <c r="F385" s="368">
        <v>44286</v>
      </c>
      <c r="G385" t="s">
        <v>1048</v>
      </c>
      <c r="H385" t="s">
        <v>1048</v>
      </c>
      <c r="I385" t="s">
        <v>1048</v>
      </c>
      <c r="J385" t="s">
        <v>1048</v>
      </c>
      <c r="K385" t="s">
        <v>1048</v>
      </c>
      <c r="L385" t="s">
        <v>1048</v>
      </c>
      <c r="M385" t="s">
        <v>1048</v>
      </c>
      <c r="N385" t="s">
        <v>1048</v>
      </c>
      <c r="O385" t="s">
        <v>1048</v>
      </c>
      <c r="P385" t="s">
        <v>1048</v>
      </c>
      <c r="Q385" t="s">
        <v>1048</v>
      </c>
      <c r="R385" t="s">
        <v>1048</v>
      </c>
      <c r="S385" t="s">
        <v>1047</v>
      </c>
      <c r="T385" t="s">
        <v>1047</v>
      </c>
      <c r="U385" t="s">
        <v>1047</v>
      </c>
      <c r="V385" t="s">
        <v>1048</v>
      </c>
    </row>
    <row r="386" spans="1:22" x14ac:dyDescent="0.2">
      <c r="A386">
        <v>785022</v>
      </c>
      <c r="B386" t="s">
        <v>39</v>
      </c>
      <c r="C386">
        <v>20</v>
      </c>
      <c r="D386" s="368">
        <v>44316</v>
      </c>
      <c r="E386" t="s">
        <v>1048</v>
      </c>
      <c r="F386" s="368">
        <v>44286</v>
      </c>
      <c r="G386" t="s">
        <v>1048</v>
      </c>
      <c r="H386" t="s">
        <v>1048</v>
      </c>
      <c r="I386" t="s">
        <v>1048</v>
      </c>
      <c r="J386" t="s">
        <v>1048</v>
      </c>
      <c r="K386" t="s">
        <v>1048</v>
      </c>
      <c r="L386" t="s">
        <v>1048</v>
      </c>
      <c r="M386" t="s">
        <v>1048</v>
      </c>
      <c r="N386" t="s">
        <v>1048</v>
      </c>
      <c r="O386" t="s">
        <v>1048</v>
      </c>
      <c r="P386" t="s">
        <v>1048</v>
      </c>
      <c r="Q386" t="s">
        <v>1048</v>
      </c>
      <c r="R386" t="s">
        <v>1048</v>
      </c>
      <c r="S386" t="s">
        <v>1047</v>
      </c>
      <c r="T386" t="s">
        <v>1047</v>
      </c>
      <c r="U386" t="s">
        <v>1047</v>
      </c>
      <c r="V386" t="s">
        <v>1048</v>
      </c>
    </row>
    <row r="387" spans="1:22" x14ac:dyDescent="0.2">
      <c r="A387">
        <v>785493</v>
      </c>
      <c r="B387" t="s">
        <v>449</v>
      </c>
      <c r="C387">
        <v>25</v>
      </c>
      <c r="D387" s="368">
        <v>44227</v>
      </c>
      <c r="E387" t="s">
        <v>1047</v>
      </c>
      <c r="F387" s="368">
        <v>43830</v>
      </c>
      <c r="G387" t="s">
        <v>1048</v>
      </c>
      <c r="H387" t="s">
        <v>1048</v>
      </c>
      <c r="I387" t="s">
        <v>1048</v>
      </c>
      <c r="J387" t="s">
        <v>1048</v>
      </c>
      <c r="K387" t="s">
        <v>1048</v>
      </c>
      <c r="L387" t="s">
        <v>1048</v>
      </c>
      <c r="M387" t="s">
        <v>1048</v>
      </c>
      <c r="N387" t="s">
        <v>1047</v>
      </c>
      <c r="O387" t="s">
        <v>1048</v>
      </c>
      <c r="P387" t="s">
        <v>1047</v>
      </c>
      <c r="Q387" t="s">
        <v>1048</v>
      </c>
      <c r="R387" t="s">
        <v>1048</v>
      </c>
      <c r="S387" t="s">
        <v>1047</v>
      </c>
      <c r="T387" t="s">
        <v>1048</v>
      </c>
      <c r="U387" t="s">
        <v>1048</v>
      </c>
      <c r="V387" t="s">
        <v>1047</v>
      </c>
    </row>
    <row r="388" spans="1:22" x14ac:dyDescent="0.2">
      <c r="A388">
        <v>785907</v>
      </c>
      <c r="B388" t="s">
        <v>450</v>
      </c>
      <c r="C388">
        <v>22</v>
      </c>
      <c r="D388" s="368">
        <v>44316</v>
      </c>
      <c r="E388" t="s">
        <v>1048</v>
      </c>
      <c r="F388" s="368">
        <v>44286</v>
      </c>
      <c r="G388" t="s">
        <v>1048</v>
      </c>
      <c r="H388" t="s">
        <v>1048</v>
      </c>
      <c r="I388" t="s">
        <v>1048</v>
      </c>
      <c r="J388" t="s">
        <v>1048</v>
      </c>
      <c r="K388" t="s">
        <v>1048</v>
      </c>
      <c r="L388" t="s">
        <v>1048</v>
      </c>
      <c r="M388" t="s">
        <v>1048</v>
      </c>
      <c r="N388" t="s">
        <v>1048</v>
      </c>
      <c r="O388" t="s">
        <v>1048</v>
      </c>
      <c r="P388" t="s">
        <v>1048</v>
      </c>
      <c r="Q388" t="s">
        <v>1048</v>
      </c>
      <c r="R388" t="s">
        <v>1048</v>
      </c>
      <c r="S388" t="s">
        <v>1047</v>
      </c>
      <c r="T388" t="s">
        <v>1047</v>
      </c>
      <c r="U388" t="s">
        <v>1047</v>
      </c>
      <c r="V388" t="s">
        <v>1048</v>
      </c>
    </row>
    <row r="389" spans="1:22" x14ac:dyDescent="0.2">
      <c r="A389">
        <v>791863</v>
      </c>
      <c r="B389" t="s">
        <v>1123</v>
      </c>
      <c r="C389">
        <v>21</v>
      </c>
      <c r="D389" s="368">
        <v>44316</v>
      </c>
      <c r="E389" t="s">
        <v>1048</v>
      </c>
      <c r="F389" s="368">
        <v>44286</v>
      </c>
      <c r="G389" t="s">
        <v>1048</v>
      </c>
      <c r="H389" t="s">
        <v>1048</v>
      </c>
      <c r="I389" t="s">
        <v>1048</v>
      </c>
      <c r="J389" t="s">
        <v>1048</v>
      </c>
      <c r="K389" t="s">
        <v>1048</v>
      </c>
      <c r="L389" t="s">
        <v>1047</v>
      </c>
      <c r="M389" t="s">
        <v>1047</v>
      </c>
      <c r="N389" t="s">
        <v>1047</v>
      </c>
      <c r="O389" t="s">
        <v>1047</v>
      </c>
      <c r="P389" t="s">
        <v>1048</v>
      </c>
      <c r="Q389" t="s">
        <v>1048</v>
      </c>
      <c r="R389" t="s">
        <v>1047</v>
      </c>
      <c r="S389" t="s">
        <v>1047</v>
      </c>
      <c r="T389" t="s">
        <v>1047</v>
      </c>
      <c r="U389" t="s">
        <v>1047</v>
      </c>
      <c r="V389" t="s">
        <v>1048</v>
      </c>
    </row>
    <row r="390" spans="1:22" x14ac:dyDescent="0.2">
      <c r="A390">
        <v>792697</v>
      </c>
      <c r="B390" t="s">
        <v>451</v>
      </c>
      <c r="C390">
        <v>21</v>
      </c>
      <c r="D390" s="368">
        <v>44316</v>
      </c>
      <c r="E390" t="s">
        <v>1048</v>
      </c>
      <c r="F390" s="368">
        <v>44286</v>
      </c>
      <c r="G390" t="s">
        <v>1048</v>
      </c>
      <c r="H390" t="s">
        <v>1048</v>
      </c>
      <c r="I390" t="s">
        <v>1048</v>
      </c>
      <c r="J390" t="s">
        <v>1048</v>
      </c>
      <c r="K390" t="s">
        <v>1048</v>
      </c>
      <c r="L390" t="s">
        <v>1048</v>
      </c>
      <c r="M390" t="s">
        <v>1048</v>
      </c>
      <c r="N390" t="s">
        <v>1048</v>
      </c>
      <c r="O390" t="s">
        <v>1048</v>
      </c>
      <c r="P390" t="s">
        <v>1048</v>
      </c>
      <c r="Q390" t="s">
        <v>1048</v>
      </c>
      <c r="R390" t="s">
        <v>1048</v>
      </c>
      <c r="S390" t="s">
        <v>1048</v>
      </c>
      <c r="T390" t="s">
        <v>1047</v>
      </c>
      <c r="U390" t="s">
        <v>1047</v>
      </c>
      <c r="V390" t="s">
        <v>1047</v>
      </c>
    </row>
    <row r="391" spans="1:22" x14ac:dyDescent="0.2">
      <c r="A391">
        <v>793109</v>
      </c>
      <c r="B391" t="s">
        <v>452</v>
      </c>
      <c r="C391">
        <v>22</v>
      </c>
      <c r="D391" s="368">
        <v>44316</v>
      </c>
      <c r="E391" t="s">
        <v>1048</v>
      </c>
      <c r="F391" s="368">
        <v>44196</v>
      </c>
      <c r="G391" t="s">
        <v>1048</v>
      </c>
      <c r="H391" t="s">
        <v>1048</v>
      </c>
      <c r="I391" t="s">
        <v>1048</v>
      </c>
      <c r="J391" t="s">
        <v>1048</v>
      </c>
      <c r="K391" t="s">
        <v>1048</v>
      </c>
      <c r="L391" t="s">
        <v>1048</v>
      </c>
      <c r="M391" t="s">
        <v>1047</v>
      </c>
      <c r="N391" t="s">
        <v>1047</v>
      </c>
      <c r="O391" t="s">
        <v>1048</v>
      </c>
      <c r="P391" t="s">
        <v>1047</v>
      </c>
      <c r="Q391" t="s">
        <v>1048</v>
      </c>
      <c r="R391" t="s">
        <v>1048</v>
      </c>
      <c r="S391" t="s">
        <v>1047</v>
      </c>
      <c r="T391" t="s">
        <v>1048</v>
      </c>
      <c r="U391" t="s">
        <v>1047</v>
      </c>
      <c r="V391" t="s">
        <v>1047</v>
      </c>
    </row>
    <row r="392" spans="1:22" x14ac:dyDescent="0.2">
      <c r="A392">
        <v>804385</v>
      </c>
      <c r="B392" t="s">
        <v>1096</v>
      </c>
      <c r="C392">
        <v>22</v>
      </c>
      <c r="D392" s="368">
        <v>44316</v>
      </c>
      <c r="E392" t="s">
        <v>1047</v>
      </c>
      <c r="F392" s="368">
        <v>44286</v>
      </c>
      <c r="G392" t="s">
        <v>1048</v>
      </c>
      <c r="H392" t="s">
        <v>1048</v>
      </c>
      <c r="I392" t="s">
        <v>1048</v>
      </c>
      <c r="J392" t="s">
        <v>1048</v>
      </c>
      <c r="K392" t="s">
        <v>1048</v>
      </c>
      <c r="L392" t="s">
        <v>1048</v>
      </c>
      <c r="M392" t="s">
        <v>1048</v>
      </c>
      <c r="N392" t="s">
        <v>1047</v>
      </c>
      <c r="O392" t="s">
        <v>1047</v>
      </c>
      <c r="P392" t="s">
        <v>1047</v>
      </c>
      <c r="Q392" t="s">
        <v>1047</v>
      </c>
      <c r="R392" t="s">
        <v>1047</v>
      </c>
      <c r="S392" t="s">
        <v>1047</v>
      </c>
      <c r="T392" t="s">
        <v>1047</v>
      </c>
      <c r="U392" t="s">
        <v>1047</v>
      </c>
      <c r="V392" t="s">
        <v>1048</v>
      </c>
    </row>
    <row r="393" spans="1:22" x14ac:dyDescent="0.2">
      <c r="A393">
        <v>806869</v>
      </c>
      <c r="B393" t="s">
        <v>453</v>
      </c>
      <c r="C393">
        <v>22</v>
      </c>
      <c r="D393" s="368">
        <v>44316</v>
      </c>
      <c r="E393" t="s">
        <v>1048</v>
      </c>
      <c r="F393" s="368">
        <v>44286</v>
      </c>
      <c r="G393" t="s">
        <v>1048</v>
      </c>
      <c r="H393" t="s">
        <v>1048</v>
      </c>
      <c r="I393" t="s">
        <v>1048</v>
      </c>
      <c r="J393" t="s">
        <v>1048</v>
      </c>
      <c r="K393" t="s">
        <v>1048</v>
      </c>
      <c r="L393" t="s">
        <v>1048</v>
      </c>
      <c r="M393" t="s">
        <v>1048</v>
      </c>
      <c r="N393" t="s">
        <v>1048</v>
      </c>
      <c r="O393" t="s">
        <v>1048</v>
      </c>
      <c r="P393" t="s">
        <v>1048</v>
      </c>
      <c r="Q393" t="s">
        <v>1048</v>
      </c>
      <c r="R393" t="s">
        <v>1048</v>
      </c>
      <c r="S393" t="s">
        <v>1048</v>
      </c>
      <c r="T393" t="s">
        <v>1048</v>
      </c>
      <c r="U393" t="s">
        <v>1047</v>
      </c>
      <c r="V393" t="s">
        <v>1048</v>
      </c>
    </row>
    <row r="394" spans="1:22" x14ac:dyDescent="0.2">
      <c r="A394">
        <v>810465</v>
      </c>
      <c r="B394" t="s">
        <v>1124</v>
      </c>
      <c r="C394">
        <v>19</v>
      </c>
      <c r="D394" s="368">
        <v>44316</v>
      </c>
      <c r="E394" t="s">
        <v>1048</v>
      </c>
      <c r="F394" s="368">
        <v>44286</v>
      </c>
      <c r="G394" t="s">
        <v>1048</v>
      </c>
      <c r="H394" t="s">
        <v>1048</v>
      </c>
      <c r="I394" t="s">
        <v>1048</v>
      </c>
      <c r="J394" t="s">
        <v>1048</v>
      </c>
      <c r="K394" t="s">
        <v>1048</v>
      </c>
      <c r="L394" t="s">
        <v>1048</v>
      </c>
      <c r="M394" t="s">
        <v>1048</v>
      </c>
      <c r="N394" t="s">
        <v>1047</v>
      </c>
      <c r="O394" t="s">
        <v>1048</v>
      </c>
      <c r="P394" t="s">
        <v>1048</v>
      </c>
      <c r="Q394" t="s">
        <v>1048</v>
      </c>
      <c r="R394" t="s">
        <v>1047</v>
      </c>
      <c r="S394" t="s">
        <v>1047</v>
      </c>
      <c r="T394" t="s">
        <v>1047</v>
      </c>
      <c r="U394" t="s">
        <v>1048</v>
      </c>
      <c r="V394" t="s">
        <v>1048</v>
      </c>
    </row>
    <row r="395" spans="1:22" x14ac:dyDescent="0.2">
      <c r="A395">
        <v>811117</v>
      </c>
      <c r="B395" t="s">
        <v>1164</v>
      </c>
      <c r="C395">
        <v>21</v>
      </c>
      <c r="D395" s="368">
        <v>44316</v>
      </c>
      <c r="E395" t="s">
        <v>1048</v>
      </c>
      <c r="F395" s="368">
        <v>44286</v>
      </c>
      <c r="G395" t="s">
        <v>1048</v>
      </c>
      <c r="H395" t="s">
        <v>1048</v>
      </c>
      <c r="I395" t="s">
        <v>1048</v>
      </c>
      <c r="J395" t="s">
        <v>1048</v>
      </c>
      <c r="K395" t="s">
        <v>1048</v>
      </c>
      <c r="L395" t="s">
        <v>1048</v>
      </c>
      <c r="M395" t="s">
        <v>1048</v>
      </c>
      <c r="N395" t="s">
        <v>1048</v>
      </c>
      <c r="O395" t="s">
        <v>1048</v>
      </c>
      <c r="P395" t="s">
        <v>1048</v>
      </c>
      <c r="Q395" t="s">
        <v>1048</v>
      </c>
      <c r="R395" t="s">
        <v>1048</v>
      </c>
      <c r="S395" t="s">
        <v>1047</v>
      </c>
      <c r="T395" t="s">
        <v>1047</v>
      </c>
      <c r="U395" t="s">
        <v>1047</v>
      </c>
      <c r="V395" t="s">
        <v>1048</v>
      </c>
    </row>
    <row r="396" spans="1:22" x14ac:dyDescent="0.2">
      <c r="A396">
        <v>814772</v>
      </c>
      <c r="B396" t="s">
        <v>454</v>
      </c>
      <c r="C396">
        <v>23</v>
      </c>
      <c r="D396" s="368">
        <v>44316</v>
      </c>
      <c r="E396" t="s">
        <v>1047</v>
      </c>
      <c r="F396" s="368">
        <v>43830</v>
      </c>
      <c r="G396" t="s">
        <v>1048</v>
      </c>
      <c r="H396" t="s">
        <v>1048</v>
      </c>
      <c r="I396" t="s">
        <v>1048</v>
      </c>
      <c r="J396" t="s">
        <v>1047</v>
      </c>
      <c r="K396" t="s">
        <v>1047</v>
      </c>
      <c r="L396" t="s">
        <v>1047</v>
      </c>
      <c r="M396" t="s">
        <v>1047</v>
      </c>
      <c r="N396" t="s">
        <v>1047</v>
      </c>
      <c r="O396" t="s">
        <v>1047</v>
      </c>
      <c r="P396" t="s">
        <v>1047</v>
      </c>
      <c r="Q396" t="s">
        <v>1047</v>
      </c>
      <c r="R396" t="s">
        <v>1047</v>
      </c>
      <c r="S396" t="s">
        <v>1047</v>
      </c>
      <c r="T396" t="s">
        <v>1047</v>
      </c>
      <c r="U396" t="s">
        <v>1047</v>
      </c>
      <c r="V396" t="s">
        <v>1047</v>
      </c>
    </row>
    <row r="397" spans="1:22" x14ac:dyDescent="0.2">
      <c r="A397">
        <v>814947</v>
      </c>
      <c r="B397" t="s">
        <v>1097</v>
      </c>
      <c r="C397">
        <v>19</v>
      </c>
      <c r="D397" s="368">
        <v>44316</v>
      </c>
      <c r="E397" t="s">
        <v>1048</v>
      </c>
      <c r="F397" s="368">
        <v>44286</v>
      </c>
      <c r="G397" t="s">
        <v>1048</v>
      </c>
      <c r="H397" t="s">
        <v>1048</v>
      </c>
      <c r="I397" t="s">
        <v>1048</v>
      </c>
      <c r="J397" t="s">
        <v>1048</v>
      </c>
      <c r="K397" t="s">
        <v>1048</v>
      </c>
      <c r="L397" t="s">
        <v>1048</v>
      </c>
      <c r="M397" t="s">
        <v>1047</v>
      </c>
      <c r="N397" t="s">
        <v>1047</v>
      </c>
      <c r="O397" t="s">
        <v>1047</v>
      </c>
      <c r="P397" t="s">
        <v>1047</v>
      </c>
      <c r="Q397" t="s">
        <v>1047</v>
      </c>
      <c r="R397" t="s">
        <v>1047</v>
      </c>
      <c r="S397" t="s">
        <v>1047</v>
      </c>
      <c r="T397" t="s">
        <v>1047</v>
      </c>
      <c r="U397" t="s">
        <v>1047</v>
      </c>
      <c r="V397" t="s">
        <v>1048</v>
      </c>
    </row>
    <row r="398" spans="1:22" x14ac:dyDescent="0.2">
      <c r="A398">
        <v>819557</v>
      </c>
      <c r="B398" t="s">
        <v>455</v>
      </c>
      <c r="C398">
        <v>20</v>
      </c>
      <c r="D398" s="368">
        <v>44316</v>
      </c>
      <c r="E398" t="s">
        <v>1048</v>
      </c>
      <c r="F398" s="368">
        <v>44286</v>
      </c>
      <c r="G398" t="s">
        <v>1048</v>
      </c>
      <c r="H398" t="s">
        <v>1048</v>
      </c>
      <c r="I398" t="s">
        <v>1048</v>
      </c>
      <c r="J398" t="s">
        <v>1048</v>
      </c>
      <c r="K398" t="s">
        <v>1048</v>
      </c>
      <c r="L398" t="s">
        <v>1048</v>
      </c>
      <c r="M398" t="s">
        <v>1048</v>
      </c>
      <c r="N398" t="s">
        <v>1048</v>
      </c>
      <c r="O398" t="s">
        <v>1048</v>
      </c>
      <c r="P398" t="s">
        <v>1048</v>
      </c>
      <c r="Q398" t="s">
        <v>1048</v>
      </c>
      <c r="R398" t="s">
        <v>1048</v>
      </c>
      <c r="S398" t="s">
        <v>1047</v>
      </c>
      <c r="T398" t="s">
        <v>1047</v>
      </c>
      <c r="U398" t="s">
        <v>1047</v>
      </c>
      <c r="V398" t="s">
        <v>1048</v>
      </c>
    </row>
    <row r="399" spans="1:22" x14ac:dyDescent="0.2">
      <c r="A399">
        <v>820852</v>
      </c>
      <c r="B399" t="s">
        <v>456</v>
      </c>
      <c r="C399">
        <v>20</v>
      </c>
      <c r="D399" s="368">
        <v>44316</v>
      </c>
      <c r="E399" t="s">
        <v>1048</v>
      </c>
      <c r="F399" s="368">
        <v>44286</v>
      </c>
      <c r="G399" t="s">
        <v>1048</v>
      </c>
      <c r="H399" t="s">
        <v>1048</v>
      </c>
      <c r="I399" t="s">
        <v>1048</v>
      </c>
      <c r="J399" t="s">
        <v>1048</v>
      </c>
      <c r="K399" t="s">
        <v>1048</v>
      </c>
      <c r="L399" t="s">
        <v>1048</v>
      </c>
      <c r="M399" t="s">
        <v>1047</v>
      </c>
      <c r="N399" t="s">
        <v>1047</v>
      </c>
      <c r="O399" t="s">
        <v>1048</v>
      </c>
      <c r="P399" t="s">
        <v>1047</v>
      </c>
      <c r="Q399" t="s">
        <v>1048</v>
      </c>
      <c r="R399" t="s">
        <v>1048</v>
      </c>
      <c r="S399" t="s">
        <v>1047</v>
      </c>
      <c r="T399" t="s">
        <v>1047</v>
      </c>
      <c r="U399" t="s">
        <v>1047</v>
      </c>
      <c r="V399" t="s">
        <v>1047</v>
      </c>
    </row>
    <row r="400" spans="1:22" x14ac:dyDescent="0.2">
      <c r="A400">
        <v>823096</v>
      </c>
      <c r="B400" t="s">
        <v>457</v>
      </c>
      <c r="C400">
        <v>22</v>
      </c>
      <c r="D400" s="368">
        <v>44316</v>
      </c>
      <c r="E400" t="s">
        <v>1048</v>
      </c>
      <c r="F400" s="368">
        <v>44286</v>
      </c>
      <c r="G400" t="s">
        <v>1048</v>
      </c>
      <c r="H400" t="s">
        <v>1048</v>
      </c>
      <c r="I400" t="s">
        <v>1048</v>
      </c>
      <c r="J400" t="s">
        <v>1048</v>
      </c>
      <c r="K400" t="s">
        <v>1048</v>
      </c>
      <c r="L400" t="s">
        <v>1048</v>
      </c>
      <c r="M400" t="s">
        <v>1047</v>
      </c>
      <c r="N400" t="s">
        <v>1047</v>
      </c>
      <c r="O400" t="s">
        <v>1048</v>
      </c>
      <c r="P400" t="s">
        <v>1048</v>
      </c>
      <c r="Q400" t="s">
        <v>1048</v>
      </c>
      <c r="R400" t="s">
        <v>1047</v>
      </c>
      <c r="S400" t="s">
        <v>1048</v>
      </c>
      <c r="T400" t="s">
        <v>1047</v>
      </c>
      <c r="U400" t="s">
        <v>1047</v>
      </c>
      <c r="V400" t="s">
        <v>1047</v>
      </c>
    </row>
    <row r="401" spans="1:22" x14ac:dyDescent="0.2">
      <c r="A401">
        <v>825109</v>
      </c>
      <c r="B401" t="s">
        <v>458</v>
      </c>
      <c r="C401">
        <v>27</v>
      </c>
      <c r="D401" s="368">
        <v>44316</v>
      </c>
      <c r="E401" t="s">
        <v>1047</v>
      </c>
      <c r="F401" s="368">
        <v>44104</v>
      </c>
      <c r="G401" t="s">
        <v>1048</v>
      </c>
      <c r="H401" t="s">
        <v>1048</v>
      </c>
      <c r="I401" t="s">
        <v>1048</v>
      </c>
      <c r="J401" t="s">
        <v>1048</v>
      </c>
      <c r="K401" t="s">
        <v>1048</v>
      </c>
      <c r="L401" t="s">
        <v>1048</v>
      </c>
      <c r="M401" t="s">
        <v>1047</v>
      </c>
      <c r="N401" t="s">
        <v>1047</v>
      </c>
      <c r="O401" t="s">
        <v>1048</v>
      </c>
      <c r="P401" t="s">
        <v>1047</v>
      </c>
      <c r="Q401" t="s">
        <v>1048</v>
      </c>
      <c r="R401" t="s">
        <v>1048</v>
      </c>
      <c r="S401" t="s">
        <v>1047</v>
      </c>
      <c r="T401" t="s">
        <v>1047</v>
      </c>
      <c r="U401" t="s">
        <v>1047</v>
      </c>
      <c r="V401" t="s">
        <v>1047</v>
      </c>
    </row>
    <row r="402" spans="1:22" x14ac:dyDescent="0.2">
      <c r="A402">
        <v>829945</v>
      </c>
      <c r="B402" t="s">
        <v>1165</v>
      </c>
      <c r="C402">
        <v>21</v>
      </c>
      <c r="D402" s="368">
        <v>44316</v>
      </c>
      <c r="E402" t="s">
        <v>1047</v>
      </c>
      <c r="F402" s="368">
        <v>43830</v>
      </c>
      <c r="G402" t="s">
        <v>1048</v>
      </c>
      <c r="H402" t="s">
        <v>1048</v>
      </c>
      <c r="I402" t="s">
        <v>1048</v>
      </c>
      <c r="J402" t="s">
        <v>1048</v>
      </c>
      <c r="K402" t="s">
        <v>1048</v>
      </c>
      <c r="L402" t="s">
        <v>1048</v>
      </c>
      <c r="M402" t="s">
        <v>1047</v>
      </c>
      <c r="N402" t="s">
        <v>1047</v>
      </c>
      <c r="O402" t="s">
        <v>1047</v>
      </c>
      <c r="P402" t="s">
        <v>1047</v>
      </c>
      <c r="Q402" t="s">
        <v>1047</v>
      </c>
      <c r="R402" t="s">
        <v>1047</v>
      </c>
      <c r="S402" t="s">
        <v>1047</v>
      </c>
      <c r="T402" t="s">
        <v>1047</v>
      </c>
      <c r="U402" t="s">
        <v>1047</v>
      </c>
      <c r="V402" t="s">
        <v>1048</v>
      </c>
    </row>
    <row r="403" spans="1:22" x14ac:dyDescent="0.2">
      <c r="A403">
        <v>832360</v>
      </c>
      <c r="B403" t="s">
        <v>460</v>
      </c>
      <c r="C403">
        <v>21</v>
      </c>
      <c r="D403" s="368">
        <v>44316</v>
      </c>
      <c r="E403" t="s">
        <v>1048</v>
      </c>
      <c r="F403" s="368">
        <v>44286</v>
      </c>
      <c r="G403" t="s">
        <v>1048</v>
      </c>
      <c r="H403" t="s">
        <v>1048</v>
      </c>
      <c r="I403" t="s">
        <v>1048</v>
      </c>
      <c r="J403" t="s">
        <v>1047</v>
      </c>
      <c r="K403" t="s">
        <v>1047</v>
      </c>
      <c r="L403" t="s">
        <v>1047</v>
      </c>
      <c r="M403" t="s">
        <v>1047</v>
      </c>
      <c r="N403" t="s">
        <v>1047</v>
      </c>
      <c r="O403" t="s">
        <v>1047</v>
      </c>
      <c r="P403" t="s">
        <v>1047</v>
      </c>
      <c r="Q403" t="s">
        <v>1047</v>
      </c>
      <c r="R403" t="s">
        <v>1047</v>
      </c>
      <c r="S403" t="s">
        <v>1047</v>
      </c>
      <c r="T403" t="s">
        <v>1047</v>
      </c>
      <c r="U403" t="s">
        <v>1047</v>
      </c>
      <c r="V403" t="s">
        <v>1047</v>
      </c>
    </row>
    <row r="404" spans="1:22" x14ac:dyDescent="0.2">
      <c r="A404">
        <v>832717</v>
      </c>
      <c r="B404" t="s">
        <v>516</v>
      </c>
      <c r="C404"/>
      <c r="D404"/>
      <c r="E404" t="s">
        <v>1047</v>
      </c>
      <c r="F404" s="368">
        <v>43830</v>
      </c>
      <c r="G404" t="s">
        <v>1048</v>
      </c>
      <c r="H404" t="s">
        <v>1048</v>
      </c>
      <c r="I404" t="s">
        <v>1048</v>
      </c>
      <c r="J404" t="s">
        <v>1048</v>
      </c>
      <c r="K404" t="s">
        <v>1048</v>
      </c>
      <c r="L404" t="s">
        <v>1048</v>
      </c>
      <c r="M404" t="s">
        <v>1048</v>
      </c>
      <c r="N404" t="s">
        <v>1048</v>
      </c>
      <c r="O404" t="s">
        <v>1048</v>
      </c>
      <c r="P404" t="s">
        <v>1048</v>
      </c>
      <c r="Q404" t="s">
        <v>1048</v>
      </c>
      <c r="R404" t="s">
        <v>1048</v>
      </c>
      <c r="S404" t="s">
        <v>1048</v>
      </c>
      <c r="T404" t="s">
        <v>1047</v>
      </c>
      <c r="U404" t="s">
        <v>1047</v>
      </c>
      <c r="V404" t="s">
        <v>1047</v>
      </c>
    </row>
    <row r="405" spans="1:22" x14ac:dyDescent="0.2">
      <c r="A405">
        <v>834788</v>
      </c>
      <c r="B405" t="s">
        <v>461</v>
      </c>
      <c r="C405">
        <v>31</v>
      </c>
      <c r="D405" s="368">
        <v>44316</v>
      </c>
      <c r="E405" t="s">
        <v>1047</v>
      </c>
      <c r="F405" s="368">
        <v>44104</v>
      </c>
      <c r="G405" t="s">
        <v>1048</v>
      </c>
      <c r="H405" t="s">
        <v>1048</v>
      </c>
      <c r="I405" t="s">
        <v>1048</v>
      </c>
      <c r="J405" t="s">
        <v>1048</v>
      </c>
      <c r="K405" t="s">
        <v>1048</v>
      </c>
      <c r="L405" t="s">
        <v>1048</v>
      </c>
      <c r="M405" t="s">
        <v>1048</v>
      </c>
      <c r="N405" t="s">
        <v>1048</v>
      </c>
      <c r="O405" t="s">
        <v>1048</v>
      </c>
      <c r="P405" t="s">
        <v>1047</v>
      </c>
      <c r="Q405" t="s">
        <v>1048</v>
      </c>
      <c r="R405" t="s">
        <v>1047</v>
      </c>
      <c r="S405" t="s">
        <v>1047</v>
      </c>
      <c r="T405" t="s">
        <v>1047</v>
      </c>
      <c r="U405" t="s">
        <v>1047</v>
      </c>
      <c r="V405" t="s">
        <v>1047</v>
      </c>
    </row>
    <row r="406" spans="1:22" x14ac:dyDescent="0.2">
      <c r="A406">
        <v>838383</v>
      </c>
      <c r="B406" t="s">
        <v>462</v>
      </c>
      <c r="C406">
        <v>25</v>
      </c>
      <c r="D406" s="368">
        <v>44316</v>
      </c>
      <c r="E406" t="s">
        <v>1048</v>
      </c>
      <c r="F406" s="368">
        <v>44286</v>
      </c>
      <c r="G406" t="s">
        <v>1048</v>
      </c>
      <c r="H406" t="s">
        <v>1048</v>
      </c>
      <c r="I406" t="s">
        <v>1048</v>
      </c>
      <c r="J406" t="s">
        <v>1048</v>
      </c>
      <c r="K406" t="s">
        <v>1048</v>
      </c>
      <c r="L406" t="s">
        <v>1048</v>
      </c>
      <c r="M406" t="s">
        <v>1048</v>
      </c>
      <c r="N406" t="s">
        <v>1048</v>
      </c>
      <c r="O406" t="s">
        <v>1048</v>
      </c>
      <c r="P406" t="s">
        <v>1048</v>
      </c>
      <c r="Q406" t="s">
        <v>1048</v>
      </c>
      <c r="R406" t="s">
        <v>1047</v>
      </c>
      <c r="S406" t="s">
        <v>1047</v>
      </c>
      <c r="T406" t="s">
        <v>1047</v>
      </c>
      <c r="U406" t="s">
        <v>1047</v>
      </c>
      <c r="V406" t="s">
        <v>1047</v>
      </c>
    </row>
    <row r="407" spans="1:22" x14ac:dyDescent="0.2">
      <c r="A407">
        <v>838441</v>
      </c>
      <c r="B407" t="s">
        <v>463</v>
      </c>
      <c r="C407">
        <v>21</v>
      </c>
      <c r="D407" s="368">
        <v>44316</v>
      </c>
      <c r="E407" t="s">
        <v>1048</v>
      </c>
      <c r="F407" s="368">
        <v>44286</v>
      </c>
      <c r="G407" t="s">
        <v>1048</v>
      </c>
      <c r="H407" t="s">
        <v>1048</v>
      </c>
      <c r="I407" t="s">
        <v>1048</v>
      </c>
      <c r="J407" t="s">
        <v>1048</v>
      </c>
      <c r="K407" t="s">
        <v>1048</v>
      </c>
      <c r="L407" t="s">
        <v>1048</v>
      </c>
      <c r="M407" t="s">
        <v>1048</v>
      </c>
      <c r="N407" t="s">
        <v>1048</v>
      </c>
      <c r="O407" t="s">
        <v>1048</v>
      </c>
      <c r="P407" t="s">
        <v>1048</v>
      </c>
      <c r="Q407" t="s">
        <v>1048</v>
      </c>
      <c r="R407" t="s">
        <v>1048</v>
      </c>
      <c r="S407" t="s">
        <v>1048</v>
      </c>
      <c r="T407" t="s">
        <v>1047</v>
      </c>
      <c r="U407" t="s">
        <v>1047</v>
      </c>
      <c r="V407" t="s">
        <v>1048</v>
      </c>
    </row>
    <row r="408" spans="1:22" x14ac:dyDescent="0.2">
      <c r="A408">
        <v>840033</v>
      </c>
      <c r="B408" t="s">
        <v>464</v>
      </c>
      <c r="C408">
        <v>21</v>
      </c>
      <c r="D408" s="368">
        <v>44316</v>
      </c>
      <c r="E408" t="s">
        <v>1048</v>
      </c>
      <c r="F408" s="368">
        <v>44286</v>
      </c>
      <c r="G408" t="s">
        <v>1048</v>
      </c>
      <c r="H408" t="s">
        <v>1048</v>
      </c>
      <c r="I408" t="s">
        <v>1048</v>
      </c>
      <c r="J408" t="s">
        <v>1048</v>
      </c>
      <c r="K408" t="s">
        <v>1048</v>
      </c>
      <c r="L408" t="s">
        <v>1048</v>
      </c>
      <c r="M408" t="s">
        <v>1048</v>
      </c>
      <c r="N408" t="s">
        <v>1048</v>
      </c>
      <c r="O408" t="s">
        <v>1048</v>
      </c>
      <c r="P408" t="s">
        <v>1048</v>
      </c>
      <c r="Q408" t="s">
        <v>1048</v>
      </c>
      <c r="R408" t="s">
        <v>1048</v>
      </c>
      <c r="S408" t="s">
        <v>1047</v>
      </c>
      <c r="T408" t="s">
        <v>1047</v>
      </c>
      <c r="U408" t="s">
        <v>1047</v>
      </c>
      <c r="V408" t="s">
        <v>1048</v>
      </c>
    </row>
    <row r="409" spans="1:22" x14ac:dyDescent="0.2">
      <c r="A409">
        <v>840090</v>
      </c>
      <c r="B409" t="s">
        <v>1229</v>
      </c>
      <c r="C409">
        <v>22</v>
      </c>
      <c r="D409" s="368">
        <v>44316</v>
      </c>
      <c r="E409" t="s">
        <v>1047</v>
      </c>
      <c r="F409" s="368">
        <v>43830</v>
      </c>
      <c r="G409" t="s">
        <v>1048</v>
      </c>
      <c r="H409" t="s">
        <v>1048</v>
      </c>
      <c r="I409" t="s">
        <v>1047</v>
      </c>
      <c r="J409" t="s">
        <v>1048</v>
      </c>
      <c r="K409" t="s">
        <v>1048</v>
      </c>
      <c r="L409" t="s">
        <v>1048</v>
      </c>
      <c r="M409" t="s">
        <v>1047</v>
      </c>
      <c r="N409" t="s">
        <v>1047</v>
      </c>
      <c r="O409" t="s">
        <v>1047</v>
      </c>
      <c r="P409" t="s">
        <v>1047</v>
      </c>
      <c r="Q409" t="s">
        <v>1047</v>
      </c>
      <c r="R409" t="s">
        <v>1047</v>
      </c>
      <c r="S409" t="s">
        <v>1047</v>
      </c>
      <c r="T409" t="s">
        <v>1047</v>
      </c>
      <c r="U409" t="s">
        <v>1047</v>
      </c>
      <c r="V409" t="s">
        <v>1047</v>
      </c>
    </row>
    <row r="410" spans="1:22" x14ac:dyDescent="0.2">
      <c r="A410">
        <v>842690</v>
      </c>
      <c r="B410" t="s">
        <v>465</v>
      </c>
      <c r="C410">
        <v>22</v>
      </c>
      <c r="D410" s="368">
        <v>44316</v>
      </c>
      <c r="E410" t="s">
        <v>1047</v>
      </c>
      <c r="F410" s="368">
        <v>43830</v>
      </c>
      <c r="G410" t="s">
        <v>1048</v>
      </c>
      <c r="H410" t="s">
        <v>1048</v>
      </c>
      <c r="I410" t="s">
        <v>1048</v>
      </c>
      <c r="J410" t="s">
        <v>1048</v>
      </c>
      <c r="K410" t="s">
        <v>1048</v>
      </c>
      <c r="L410" t="s">
        <v>1048</v>
      </c>
      <c r="M410" t="s">
        <v>1048</v>
      </c>
      <c r="N410" t="s">
        <v>1048</v>
      </c>
      <c r="O410" t="s">
        <v>1048</v>
      </c>
      <c r="P410" t="s">
        <v>1048</v>
      </c>
      <c r="Q410" t="s">
        <v>1048</v>
      </c>
      <c r="R410" t="s">
        <v>1048</v>
      </c>
      <c r="S410" t="s">
        <v>1048</v>
      </c>
      <c r="T410" t="s">
        <v>1048</v>
      </c>
      <c r="U410" t="s">
        <v>1047</v>
      </c>
      <c r="V410" t="s">
        <v>1048</v>
      </c>
    </row>
    <row r="411" spans="1:22" x14ac:dyDescent="0.2">
      <c r="A411">
        <v>844100</v>
      </c>
      <c r="B411" t="s">
        <v>466</v>
      </c>
      <c r="C411"/>
      <c r="D411"/>
      <c r="E411" t="s">
        <v>1047</v>
      </c>
      <c r="F411" s="368">
        <v>43465</v>
      </c>
      <c r="G411" t="s">
        <v>1048</v>
      </c>
      <c r="H411" t="s">
        <v>1048</v>
      </c>
      <c r="I411" t="s">
        <v>1048</v>
      </c>
      <c r="J411" t="s">
        <v>1048</v>
      </c>
      <c r="K411" t="s">
        <v>1048</v>
      </c>
      <c r="L411" t="s">
        <v>1048</v>
      </c>
      <c r="M411" t="s">
        <v>1048</v>
      </c>
      <c r="N411" t="s">
        <v>1048</v>
      </c>
      <c r="O411" t="s">
        <v>1048</v>
      </c>
      <c r="P411" t="s">
        <v>1048</v>
      </c>
      <c r="Q411" t="s">
        <v>1048</v>
      </c>
      <c r="R411" t="s">
        <v>1048</v>
      </c>
      <c r="S411" t="s">
        <v>1048</v>
      </c>
      <c r="T411" t="s">
        <v>1047</v>
      </c>
      <c r="U411" t="s">
        <v>1047</v>
      </c>
      <c r="V411" t="s">
        <v>1048</v>
      </c>
    </row>
    <row r="412" spans="1:22" x14ac:dyDescent="0.2">
      <c r="A412">
        <v>844522</v>
      </c>
      <c r="B412" t="s">
        <v>467</v>
      </c>
      <c r="C412">
        <v>21</v>
      </c>
      <c r="D412" s="368">
        <v>44316</v>
      </c>
      <c r="E412" t="s">
        <v>1048</v>
      </c>
      <c r="F412" s="368">
        <v>44286</v>
      </c>
      <c r="G412" t="s">
        <v>1048</v>
      </c>
      <c r="H412" t="s">
        <v>1048</v>
      </c>
      <c r="I412" t="s">
        <v>1048</v>
      </c>
      <c r="J412" t="s">
        <v>1048</v>
      </c>
      <c r="K412" t="s">
        <v>1048</v>
      </c>
      <c r="L412" t="s">
        <v>1048</v>
      </c>
      <c r="M412" t="s">
        <v>1048</v>
      </c>
      <c r="N412" t="s">
        <v>1048</v>
      </c>
      <c r="O412" t="s">
        <v>1048</v>
      </c>
      <c r="P412" t="s">
        <v>1048</v>
      </c>
      <c r="Q412" t="s">
        <v>1048</v>
      </c>
      <c r="R412" t="s">
        <v>1048</v>
      </c>
      <c r="S412" t="s">
        <v>1048</v>
      </c>
      <c r="T412" t="s">
        <v>1047</v>
      </c>
      <c r="U412" t="s">
        <v>1047</v>
      </c>
      <c r="V412" t="s">
        <v>1048</v>
      </c>
    </row>
    <row r="413" spans="1:22" x14ac:dyDescent="0.2">
      <c r="A413">
        <v>846527</v>
      </c>
      <c r="B413" t="s">
        <v>1230</v>
      </c>
      <c r="C413">
        <v>21</v>
      </c>
      <c r="D413" s="368">
        <v>44316</v>
      </c>
      <c r="E413" t="s">
        <v>1048</v>
      </c>
      <c r="F413" s="368">
        <v>44286</v>
      </c>
      <c r="G413" t="s">
        <v>1048</v>
      </c>
      <c r="H413" t="s">
        <v>1048</v>
      </c>
      <c r="I413" t="s">
        <v>1048</v>
      </c>
      <c r="J413" t="s">
        <v>1048</v>
      </c>
      <c r="K413" t="s">
        <v>1048</v>
      </c>
      <c r="L413" t="s">
        <v>1048</v>
      </c>
      <c r="M413" t="s">
        <v>1048</v>
      </c>
      <c r="N413" t="s">
        <v>1048</v>
      </c>
      <c r="O413" t="s">
        <v>1048</v>
      </c>
      <c r="P413" t="s">
        <v>1048</v>
      </c>
      <c r="Q413" t="s">
        <v>1048</v>
      </c>
      <c r="R413" t="s">
        <v>1048</v>
      </c>
      <c r="S413" t="s">
        <v>1048</v>
      </c>
      <c r="T413" t="s">
        <v>1048</v>
      </c>
      <c r="U413" t="s">
        <v>1048</v>
      </c>
      <c r="V413" t="s">
        <v>1047</v>
      </c>
    </row>
    <row r="414" spans="1:22" x14ac:dyDescent="0.2">
      <c r="A414">
        <v>848069</v>
      </c>
      <c r="B414" t="s">
        <v>1166</v>
      </c>
      <c r="C414">
        <v>23</v>
      </c>
      <c r="D414" s="368">
        <v>44316</v>
      </c>
      <c r="E414" t="s">
        <v>1048</v>
      </c>
      <c r="F414" s="368">
        <v>44286</v>
      </c>
      <c r="G414" t="s">
        <v>1048</v>
      </c>
      <c r="H414" t="s">
        <v>1048</v>
      </c>
      <c r="I414" t="s">
        <v>1048</v>
      </c>
      <c r="J414" t="s">
        <v>1048</v>
      </c>
      <c r="K414" t="s">
        <v>1048</v>
      </c>
      <c r="L414" t="s">
        <v>1047</v>
      </c>
      <c r="M414" t="s">
        <v>1047</v>
      </c>
      <c r="N414" t="s">
        <v>1047</v>
      </c>
      <c r="O414" t="s">
        <v>1047</v>
      </c>
      <c r="P414" t="s">
        <v>1047</v>
      </c>
      <c r="Q414" t="s">
        <v>1047</v>
      </c>
      <c r="R414" t="s">
        <v>1047</v>
      </c>
      <c r="S414" t="s">
        <v>1047</v>
      </c>
      <c r="T414" t="s">
        <v>1047</v>
      </c>
      <c r="U414" t="s">
        <v>1047</v>
      </c>
      <c r="V414" t="s">
        <v>1048</v>
      </c>
    </row>
    <row r="415" spans="1:22" x14ac:dyDescent="0.2">
      <c r="A415">
        <v>848770</v>
      </c>
      <c r="B415" t="s">
        <v>984</v>
      </c>
      <c r="C415">
        <v>20</v>
      </c>
      <c r="D415" s="368">
        <v>44316</v>
      </c>
      <c r="E415" t="s">
        <v>1047</v>
      </c>
      <c r="F415" s="368">
        <v>44286</v>
      </c>
      <c r="G415" t="s">
        <v>1048</v>
      </c>
      <c r="H415" t="s">
        <v>1048</v>
      </c>
      <c r="I415" t="s">
        <v>1048</v>
      </c>
      <c r="J415" t="s">
        <v>1047</v>
      </c>
      <c r="K415" t="s">
        <v>1047</v>
      </c>
      <c r="L415" t="s">
        <v>1047</v>
      </c>
      <c r="M415" t="s">
        <v>1047</v>
      </c>
      <c r="N415" t="s">
        <v>1047</v>
      </c>
      <c r="O415" t="s">
        <v>1047</v>
      </c>
      <c r="P415" t="s">
        <v>1047</v>
      </c>
      <c r="Q415" t="s">
        <v>1047</v>
      </c>
      <c r="R415" t="s">
        <v>1047</v>
      </c>
      <c r="S415" t="s">
        <v>1047</v>
      </c>
      <c r="T415" t="s">
        <v>1047</v>
      </c>
      <c r="U415" t="s">
        <v>1047</v>
      </c>
      <c r="V415" t="s">
        <v>1047</v>
      </c>
    </row>
    <row r="416" spans="1:22" x14ac:dyDescent="0.2">
      <c r="A416">
        <v>850776</v>
      </c>
      <c r="B416" t="s">
        <v>1098</v>
      </c>
      <c r="C416">
        <v>21</v>
      </c>
      <c r="D416" s="368">
        <v>44316</v>
      </c>
      <c r="E416" t="s">
        <v>1047</v>
      </c>
      <c r="F416" s="368">
        <v>44286</v>
      </c>
      <c r="G416" t="s">
        <v>1048</v>
      </c>
      <c r="H416" t="s">
        <v>1048</v>
      </c>
      <c r="I416" t="s">
        <v>1048</v>
      </c>
      <c r="J416" t="s">
        <v>1048</v>
      </c>
      <c r="K416" t="s">
        <v>1048</v>
      </c>
      <c r="L416" t="s">
        <v>1048</v>
      </c>
      <c r="M416" t="s">
        <v>1047</v>
      </c>
      <c r="N416" t="s">
        <v>1047</v>
      </c>
      <c r="O416" t="s">
        <v>1047</v>
      </c>
      <c r="P416" t="s">
        <v>1047</v>
      </c>
      <c r="Q416" t="s">
        <v>1047</v>
      </c>
      <c r="R416" t="s">
        <v>1047</v>
      </c>
      <c r="S416" t="s">
        <v>1047</v>
      </c>
      <c r="T416" t="s">
        <v>1047</v>
      </c>
      <c r="U416" t="s">
        <v>1047</v>
      </c>
      <c r="V416" t="s">
        <v>1048</v>
      </c>
    </row>
    <row r="417" spans="1:22" x14ac:dyDescent="0.2">
      <c r="A417">
        <v>852079</v>
      </c>
      <c r="B417" t="s">
        <v>468</v>
      </c>
      <c r="C417">
        <v>15</v>
      </c>
      <c r="D417" s="368">
        <v>44316</v>
      </c>
      <c r="E417" t="s">
        <v>1047</v>
      </c>
      <c r="F417" s="368">
        <v>43830</v>
      </c>
      <c r="G417" t="s">
        <v>1048</v>
      </c>
      <c r="H417" t="s">
        <v>1048</v>
      </c>
      <c r="I417" t="s">
        <v>1048</v>
      </c>
      <c r="J417" t="s">
        <v>1048</v>
      </c>
      <c r="K417" t="s">
        <v>1048</v>
      </c>
      <c r="L417" t="s">
        <v>1048</v>
      </c>
      <c r="M417" t="s">
        <v>1048</v>
      </c>
      <c r="N417" t="s">
        <v>1048</v>
      </c>
      <c r="O417" t="s">
        <v>1048</v>
      </c>
      <c r="P417" t="s">
        <v>1048</v>
      </c>
      <c r="Q417" t="s">
        <v>1048</v>
      </c>
      <c r="R417" t="s">
        <v>1048</v>
      </c>
      <c r="S417" t="s">
        <v>1048</v>
      </c>
      <c r="T417" t="s">
        <v>1048</v>
      </c>
      <c r="U417" t="s">
        <v>1048</v>
      </c>
      <c r="V417" t="s">
        <v>1048</v>
      </c>
    </row>
    <row r="418" spans="1:22" x14ac:dyDescent="0.2">
      <c r="A418">
        <v>855387</v>
      </c>
      <c r="B418" t="s">
        <v>469</v>
      </c>
      <c r="C418">
        <v>20</v>
      </c>
      <c r="D418" s="368">
        <v>44316</v>
      </c>
      <c r="E418" t="s">
        <v>1047</v>
      </c>
      <c r="F418" s="368">
        <v>43830</v>
      </c>
      <c r="G418" t="s">
        <v>1048</v>
      </c>
      <c r="H418" t="s">
        <v>1048</v>
      </c>
      <c r="I418" t="s">
        <v>1048</v>
      </c>
      <c r="J418" t="s">
        <v>1048</v>
      </c>
      <c r="K418" t="s">
        <v>1048</v>
      </c>
      <c r="L418" t="s">
        <v>1048</v>
      </c>
      <c r="M418" t="s">
        <v>1048</v>
      </c>
      <c r="N418" t="s">
        <v>1048</v>
      </c>
      <c r="O418" t="s">
        <v>1048</v>
      </c>
      <c r="P418" t="s">
        <v>1048</v>
      </c>
      <c r="Q418" t="s">
        <v>1048</v>
      </c>
      <c r="R418" t="s">
        <v>1048</v>
      </c>
      <c r="S418" t="s">
        <v>1047</v>
      </c>
      <c r="T418" t="s">
        <v>1047</v>
      </c>
      <c r="U418" t="s">
        <v>1047</v>
      </c>
      <c r="V418" t="s">
        <v>1048</v>
      </c>
    </row>
    <row r="419" spans="1:22" x14ac:dyDescent="0.2">
      <c r="A419">
        <v>856682</v>
      </c>
      <c r="B419" t="s">
        <v>1015</v>
      </c>
      <c r="C419">
        <v>22</v>
      </c>
      <c r="D419" s="368">
        <v>44316</v>
      </c>
      <c r="E419" t="s">
        <v>1047</v>
      </c>
      <c r="F419" s="368">
        <v>43830</v>
      </c>
      <c r="G419" t="s">
        <v>1048</v>
      </c>
      <c r="H419" t="s">
        <v>1048</v>
      </c>
      <c r="I419" t="s">
        <v>1048</v>
      </c>
      <c r="J419" t="s">
        <v>1048</v>
      </c>
      <c r="K419" t="s">
        <v>1048</v>
      </c>
      <c r="L419" t="s">
        <v>1048</v>
      </c>
      <c r="M419" t="s">
        <v>1047</v>
      </c>
      <c r="N419" t="s">
        <v>1047</v>
      </c>
      <c r="O419" t="s">
        <v>1048</v>
      </c>
      <c r="P419" t="s">
        <v>1047</v>
      </c>
      <c r="Q419" t="s">
        <v>1048</v>
      </c>
      <c r="R419" t="s">
        <v>1048</v>
      </c>
      <c r="S419" t="s">
        <v>1047</v>
      </c>
      <c r="T419" t="s">
        <v>1047</v>
      </c>
      <c r="U419" t="s">
        <v>1047</v>
      </c>
      <c r="V419" t="s">
        <v>1047</v>
      </c>
    </row>
    <row r="420" spans="1:22" x14ac:dyDescent="0.2">
      <c r="A420">
        <v>857037</v>
      </c>
      <c r="B420" t="s">
        <v>985</v>
      </c>
      <c r="C420">
        <v>25</v>
      </c>
      <c r="D420" s="368">
        <v>43982</v>
      </c>
      <c r="E420" t="s">
        <v>1047</v>
      </c>
      <c r="F420" s="368">
        <v>43830</v>
      </c>
      <c r="G420" t="s">
        <v>1048</v>
      </c>
      <c r="H420" t="s">
        <v>1048</v>
      </c>
      <c r="I420" t="s">
        <v>1048</v>
      </c>
      <c r="J420" t="s">
        <v>1047</v>
      </c>
      <c r="K420" t="s">
        <v>1047</v>
      </c>
      <c r="L420" t="s">
        <v>1047</v>
      </c>
      <c r="M420" t="s">
        <v>1047</v>
      </c>
      <c r="N420" t="s">
        <v>1047</v>
      </c>
      <c r="O420" t="s">
        <v>1047</v>
      </c>
      <c r="P420" t="s">
        <v>1047</v>
      </c>
      <c r="Q420" t="s">
        <v>1047</v>
      </c>
      <c r="R420" t="s">
        <v>1047</v>
      </c>
      <c r="S420" t="s">
        <v>1047</v>
      </c>
      <c r="T420" t="s">
        <v>1047</v>
      </c>
      <c r="U420" t="s">
        <v>1047</v>
      </c>
      <c r="V420" t="s">
        <v>1047</v>
      </c>
    </row>
    <row r="421" spans="1:22" x14ac:dyDescent="0.2">
      <c r="A421">
        <v>861104</v>
      </c>
      <c r="B421" t="s">
        <v>470</v>
      </c>
      <c r="C421">
        <v>21</v>
      </c>
      <c r="D421" s="368">
        <v>44316</v>
      </c>
      <c r="E421" t="s">
        <v>1048</v>
      </c>
      <c r="F421" s="368">
        <v>44286</v>
      </c>
      <c r="G421" t="s">
        <v>1048</v>
      </c>
      <c r="H421" t="s">
        <v>1048</v>
      </c>
      <c r="I421" t="s">
        <v>1048</v>
      </c>
      <c r="J421" t="s">
        <v>1048</v>
      </c>
      <c r="K421" t="s">
        <v>1048</v>
      </c>
      <c r="L421" t="s">
        <v>1048</v>
      </c>
      <c r="M421" t="s">
        <v>1048</v>
      </c>
      <c r="N421" t="s">
        <v>1048</v>
      </c>
      <c r="O421" t="s">
        <v>1048</v>
      </c>
      <c r="P421" t="s">
        <v>1048</v>
      </c>
      <c r="Q421" t="s">
        <v>1048</v>
      </c>
      <c r="R421" t="s">
        <v>1048</v>
      </c>
      <c r="S421" t="s">
        <v>1048</v>
      </c>
      <c r="T421" t="s">
        <v>1048</v>
      </c>
      <c r="U421" t="s">
        <v>1047</v>
      </c>
      <c r="V421" t="s">
        <v>1048</v>
      </c>
    </row>
    <row r="422" spans="1:22" x14ac:dyDescent="0.2">
      <c r="A422">
        <v>861229</v>
      </c>
      <c r="B422" t="s">
        <v>471</v>
      </c>
      <c r="C422"/>
      <c r="D422"/>
      <c r="E422" t="s">
        <v>1047</v>
      </c>
      <c r="F422" s="368">
        <v>43830</v>
      </c>
      <c r="G422" t="s">
        <v>1048</v>
      </c>
      <c r="H422" t="s">
        <v>1048</v>
      </c>
      <c r="I422" t="s">
        <v>1048</v>
      </c>
      <c r="J422" t="s">
        <v>1048</v>
      </c>
      <c r="K422" t="s">
        <v>1048</v>
      </c>
      <c r="L422" t="s">
        <v>1048</v>
      </c>
      <c r="M422" t="s">
        <v>1048</v>
      </c>
      <c r="N422" t="s">
        <v>1048</v>
      </c>
      <c r="O422" t="s">
        <v>1048</v>
      </c>
      <c r="P422" t="s">
        <v>1048</v>
      </c>
      <c r="Q422" t="s">
        <v>1048</v>
      </c>
      <c r="R422" t="s">
        <v>1048</v>
      </c>
      <c r="S422" t="s">
        <v>1048</v>
      </c>
      <c r="T422" t="s">
        <v>1048</v>
      </c>
      <c r="U422" t="s">
        <v>1048</v>
      </c>
      <c r="V422" t="s">
        <v>1047</v>
      </c>
    </row>
    <row r="423" spans="1:22" x14ac:dyDescent="0.2">
      <c r="A423">
        <v>861757</v>
      </c>
      <c r="B423" t="s">
        <v>1231</v>
      </c>
      <c r="C423">
        <v>21</v>
      </c>
      <c r="D423" s="368">
        <v>44316</v>
      </c>
      <c r="E423" t="s">
        <v>1048</v>
      </c>
      <c r="F423" s="368">
        <v>44286</v>
      </c>
      <c r="G423" t="s">
        <v>1048</v>
      </c>
      <c r="H423" t="s">
        <v>1048</v>
      </c>
      <c r="I423" t="s">
        <v>1048</v>
      </c>
      <c r="J423" t="s">
        <v>1048</v>
      </c>
      <c r="K423" t="s">
        <v>1048</v>
      </c>
      <c r="L423" t="s">
        <v>1048</v>
      </c>
      <c r="M423" t="s">
        <v>1047</v>
      </c>
      <c r="N423" t="s">
        <v>1047</v>
      </c>
      <c r="O423" t="s">
        <v>1047</v>
      </c>
      <c r="P423" t="s">
        <v>1047</v>
      </c>
      <c r="Q423" t="s">
        <v>1047</v>
      </c>
      <c r="R423" t="s">
        <v>1047</v>
      </c>
      <c r="S423" t="s">
        <v>1047</v>
      </c>
      <c r="T423" t="s">
        <v>1047</v>
      </c>
      <c r="U423" t="s">
        <v>1047</v>
      </c>
      <c r="V423" t="s">
        <v>1047</v>
      </c>
    </row>
    <row r="424" spans="1:22" x14ac:dyDescent="0.2">
      <c r="A424">
        <v>863522</v>
      </c>
      <c r="B424" t="s">
        <v>1125</v>
      </c>
      <c r="C424"/>
      <c r="D424"/>
      <c r="E424" t="s">
        <v>1047</v>
      </c>
      <c r="F424" s="368">
        <v>43555</v>
      </c>
      <c r="G424" t="s">
        <v>1048</v>
      </c>
      <c r="H424" t="s">
        <v>1048</v>
      </c>
      <c r="I424" t="s">
        <v>1048</v>
      </c>
      <c r="J424" t="s">
        <v>1048</v>
      </c>
      <c r="K424" t="s">
        <v>1048</v>
      </c>
      <c r="L424" t="s">
        <v>1048</v>
      </c>
      <c r="M424" t="s">
        <v>1048</v>
      </c>
      <c r="N424" t="s">
        <v>1048</v>
      </c>
      <c r="O424" t="s">
        <v>1048</v>
      </c>
      <c r="P424" t="s">
        <v>1048</v>
      </c>
      <c r="Q424" t="s">
        <v>1048</v>
      </c>
      <c r="R424" t="s">
        <v>1047</v>
      </c>
      <c r="S424" t="s">
        <v>1047</v>
      </c>
      <c r="T424" t="s">
        <v>1048</v>
      </c>
      <c r="U424" t="s">
        <v>1048</v>
      </c>
      <c r="V424" t="s">
        <v>1048</v>
      </c>
    </row>
    <row r="425" spans="1:22" x14ac:dyDescent="0.2">
      <c r="A425">
        <v>865063</v>
      </c>
      <c r="B425" t="s">
        <v>1016</v>
      </c>
      <c r="C425">
        <v>19</v>
      </c>
      <c r="D425" s="368">
        <v>44316</v>
      </c>
      <c r="E425" t="s">
        <v>1048</v>
      </c>
      <c r="F425" s="368">
        <v>44286</v>
      </c>
      <c r="G425" t="s">
        <v>1048</v>
      </c>
      <c r="H425" t="s">
        <v>1048</v>
      </c>
      <c r="I425" t="s">
        <v>1048</v>
      </c>
      <c r="J425" t="s">
        <v>1048</v>
      </c>
      <c r="K425" t="s">
        <v>1048</v>
      </c>
      <c r="L425" t="s">
        <v>1047</v>
      </c>
      <c r="M425" t="s">
        <v>1047</v>
      </c>
      <c r="N425" t="s">
        <v>1047</v>
      </c>
      <c r="O425" t="s">
        <v>1047</v>
      </c>
      <c r="P425" t="s">
        <v>1047</v>
      </c>
      <c r="Q425" t="s">
        <v>1047</v>
      </c>
      <c r="R425" t="s">
        <v>1047</v>
      </c>
      <c r="S425" t="s">
        <v>1047</v>
      </c>
      <c r="T425" t="s">
        <v>1047</v>
      </c>
      <c r="U425" t="s">
        <v>1047</v>
      </c>
      <c r="V425" t="s">
        <v>1048</v>
      </c>
    </row>
    <row r="426" spans="1:22" x14ac:dyDescent="0.2">
      <c r="A426">
        <v>865774</v>
      </c>
      <c r="B426" t="s">
        <v>1167</v>
      </c>
      <c r="C426">
        <v>19</v>
      </c>
      <c r="D426" s="368">
        <v>44227</v>
      </c>
      <c r="E426" t="s">
        <v>1047</v>
      </c>
      <c r="F426" s="368">
        <v>43830</v>
      </c>
      <c r="G426" t="s">
        <v>1048</v>
      </c>
      <c r="H426" t="s">
        <v>1048</v>
      </c>
      <c r="I426" t="s">
        <v>1048</v>
      </c>
      <c r="J426" t="s">
        <v>1048</v>
      </c>
      <c r="K426" t="s">
        <v>1048</v>
      </c>
      <c r="L426" t="s">
        <v>1048</v>
      </c>
      <c r="M426" t="s">
        <v>1047</v>
      </c>
      <c r="N426" t="s">
        <v>1048</v>
      </c>
      <c r="O426" t="s">
        <v>1048</v>
      </c>
      <c r="P426" t="s">
        <v>1047</v>
      </c>
      <c r="Q426" t="s">
        <v>1048</v>
      </c>
      <c r="R426" t="s">
        <v>1047</v>
      </c>
      <c r="S426" t="s">
        <v>1048</v>
      </c>
      <c r="T426" t="s">
        <v>1047</v>
      </c>
      <c r="U426" t="s">
        <v>1047</v>
      </c>
      <c r="V426" t="s">
        <v>1048</v>
      </c>
    </row>
    <row r="427" spans="1:22" x14ac:dyDescent="0.2">
      <c r="A427">
        <v>870907</v>
      </c>
      <c r="B427" t="s">
        <v>472</v>
      </c>
      <c r="C427"/>
      <c r="D427"/>
      <c r="E427" t="s">
        <v>1047</v>
      </c>
      <c r="F427" s="368">
        <v>43830</v>
      </c>
      <c r="G427" t="s">
        <v>1048</v>
      </c>
      <c r="H427" t="s">
        <v>1048</v>
      </c>
      <c r="I427" t="s">
        <v>1048</v>
      </c>
      <c r="J427" t="s">
        <v>1048</v>
      </c>
      <c r="K427" t="s">
        <v>1048</v>
      </c>
      <c r="L427" t="s">
        <v>1048</v>
      </c>
      <c r="M427" t="s">
        <v>1048</v>
      </c>
      <c r="N427" t="s">
        <v>1048</v>
      </c>
      <c r="O427" t="s">
        <v>1048</v>
      </c>
      <c r="P427" t="s">
        <v>1047</v>
      </c>
      <c r="Q427" t="s">
        <v>1048</v>
      </c>
      <c r="R427" t="s">
        <v>1047</v>
      </c>
      <c r="S427" t="s">
        <v>1047</v>
      </c>
      <c r="T427" t="s">
        <v>1047</v>
      </c>
      <c r="U427" t="s">
        <v>1047</v>
      </c>
      <c r="V427" t="s">
        <v>1047</v>
      </c>
    </row>
    <row r="428" spans="1:22" x14ac:dyDescent="0.2">
      <c r="A428">
        <v>874271</v>
      </c>
      <c r="B428" t="s">
        <v>473</v>
      </c>
      <c r="C428">
        <v>28</v>
      </c>
      <c r="D428" s="368">
        <v>44316</v>
      </c>
      <c r="E428" t="s">
        <v>1047</v>
      </c>
      <c r="F428" s="368">
        <v>43830</v>
      </c>
      <c r="G428" t="s">
        <v>1048</v>
      </c>
      <c r="H428" t="s">
        <v>1048</v>
      </c>
      <c r="I428" t="s">
        <v>1048</v>
      </c>
      <c r="J428" t="s">
        <v>1048</v>
      </c>
      <c r="K428" t="s">
        <v>1048</v>
      </c>
      <c r="L428" t="s">
        <v>1048</v>
      </c>
      <c r="M428" t="s">
        <v>1048</v>
      </c>
      <c r="N428" t="s">
        <v>1047</v>
      </c>
      <c r="O428" t="s">
        <v>1047</v>
      </c>
      <c r="P428" t="s">
        <v>1047</v>
      </c>
      <c r="Q428" t="s">
        <v>1047</v>
      </c>
      <c r="R428" t="s">
        <v>1047</v>
      </c>
      <c r="S428" t="s">
        <v>1047</v>
      </c>
      <c r="T428" t="s">
        <v>1047</v>
      </c>
      <c r="U428" t="s">
        <v>1047</v>
      </c>
      <c r="V428" t="s">
        <v>1048</v>
      </c>
    </row>
    <row r="429" spans="1:22" x14ac:dyDescent="0.2">
      <c r="A429">
        <v>874560</v>
      </c>
      <c r="B429" t="s">
        <v>517</v>
      </c>
      <c r="C429">
        <v>19</v>
      </c>
      <c r="D429" s="368">
        <v>44316</v>
      </c>
      <c r="E429" t="s">
        <v>1047</v>
      </c>
      <c r="F429" s="368">
        <v>43830</v>
      </c>
      <c r="G429" t="s">
        <v>1048</v>
      </c>
      <c r="H429" t="s">
        <v>1048</v>
      </c>
      <c r="I429" t="s">
        <v>1048</v>
      </c>
      <c r="J429" t="s">
        <v>1048</v>
      </c>
      <c r="K429" t="s">
        <v>1048</v>
      </c>
      <c r="L429" t="s">
        <v>1048</v>
      </c>
      <c r="M429" t="s">
        <v>1048</v>
      </c>
      <c r="N429" t="s">
        <v>1047</v>
      </c>
      <c r="O429" t="s">
        <v>1048</v>
      </c>
      <c r="P429" t="s">
        <v>1047</v>
      </c>
      <c r="Q429" t="s">
        <v>1047</v>
      </c>
      <c r="R429" t="s">
        <v>1048</v>
      </c>
      <c r="S429" t="s">
        <v>1047</v>
      </c>
      <c r="T429" t="s">
        <v>1047</v>
      </c>
      <c r="U429" t="s">
        <v>1047</v>
      </c>
      <c r="V429" t="s">
        <v>1048</v>
      </c>
    </row>
    <row r="430" spans="1:22" x14ac:dyDescent="0.2">
      <c r="A430">
        <v>878520</v>
      </c>
      <c r="B430" t="s">
        <v>474</v>
      </c>
      <c r="C430">
        <v>21</v>
      </c>
      <c r="D430" s="368">
        <v>44316</v>
      </c>
      <c r="E430" t="s">
        <v>1048</v>
      </c>
      <c r="F430" s="368">
        <v>44286</v>
      </c>
      <c r="G430" t="s">
        <v>1048</v>
      </c>
      <c r="H430" t="s">
        <v>1048</v>
      </c>
      <c r="I430" t="s">
        <v>1048</v>
      </c>
      <c r="J430" t="s">
        <v>1048</v>
      </c>
      <c r="K430" t="s">
        <v>1048</v>
      </c>
      <c r="L430" t="s">
        <v>1048</v>
      </c>
      <c r="M430" t="s">
        <v>1048</v>
      </c>
      <c r="N430" t="s">
        <v>1048</v>
      </c>
      <c r="O430" t="s">
        <v>1048</v>
      </c>
      <c r="P430" t="s">
        <v>1048</v>
      </c>
      <c r="Q430" t="s">
        <v>1048</v>
      </c>
      <c r="R430" t="s">
        <v>1048</v>
      </c>
      <c r="S430" t="s">
        <v>1048</v>
      </c>
      <c r="T430" t="s">
        <v>1048</v>
      </c>
      <c r="U430" t="s">
        <v>1047</v>
      </c>
      <c r="V430" t="s">
        <v>1048</v>
      </c>
    </row>
    <row r="431" spans="1:22" x14ac:dyDescent="0.2">
      <c r="A431">
        <v>879114</v>
      </c>
      <c r="B431" t="s">
        <v>1199</v>
      </c>
      <c r="C431">
        <v>21</v>
      </c>
      <c r="D431" s="368">
        <v>44316</v>
      </c>
      <c r="E431" t="s">
        <v>1048</v>
      </c>
      <c r="F431" s="368">
        <v>44286</v>
      </c>
      <c r="G431" t="s">
        <v>1048</v>
      </c>
      <c r="H431" t="s">
        <v>1048</v>
      </c>
      <c r="I431" t="s">
        <v>1048</v>
      </c>
      <c r="J431" t="s">
        <v>1048</v>
      </c>
      <c r="K431" t="s">
        <v>1048</v>
      </c>
      <c r="L431" t="s">
        <v>1048</v>
      </c>
      <c r="M431" t="s">
        <v>1048</v>
      </c>
      <c r="N431" t="s">
        <v>1048</v>
      </c>
      <c r="O431" t="s">
        <v>1048</v>
      </c>
      <c r="P431" t="s">
        <v>1048</v>
      </c>
      <c r="Q431" t="s">
        <v>1048</v>
      </c>
      <c r="R431" t="s">
        <v>1048</v>
      </c>
      <c r="S431" t="s">
        <v>1048</v>
      </c>
      <c r="T431" t="s">
        <v>1048</v>
      </c>
      <c r="U431" t="s">
        <v>1047</v>
      </c>
      <c r="V431" t="s">
        <v>1047</v>
      </c>
    </row>
    <row r="432" spans="1:22" x14ac:dyDescent="0.2">
      <c r="A432">
        <v>882126</v>
      </c>
      <c r="B432" t="s">
        <v>1191</v>
      </c>
      <c r="C432">
        <v>24</v>
      </c>
      <c r="D432" s="368">
        <v>44316</v>
      </c>
      <c r="E432" t="s">
        <v>1048</v>
      </c>
      <c r="F432" s="368">
        <v>44286</v>
      </c>
      <c r="G432" t="s">
        <v>1048</v>
      </c>
      <c r="H432" t="s">
        <v>1048</v>
      </c>
      <c r="I432" t="s">
        <v>1048</v>
      </c>
      <c r="J432" t="s">
        <v>1048</v>
      </c>
      <c r="K432" t="s">
        <v>1048</v>
      </c>
      <c r="L432" t="s">
        <v>1048</v>
      </c>
      <c r="M432" t="s">
        <v>1048</v>
      </c>
      <c r="N432" t="s">
        <v>1047</v>
      </c>
      <c r="O432" t="s">
        <v>1047</v>
      </c>
      <c r="P432" t="s">
        <v>1047</v>
      </c>
      <c r="Q432" t="s">
        <v>1047</v>
      </c>
      <c r="R432" t="s">
        <v>1047</v>
      </c>
      <c r="S432" t="s">
        <v>1047</v>
      </c>
      <c r="T432" t="s">
        <v>1047</v>
      </c>
      <c r="U432" t="s">
        <v>1047</v>
      </c>
      <c r="V432" t="s">
        <v>1048</v>
      </c>
    </row>
    <row r="433" spans="1:22" x14ac:dyDescent="0.2">
      <c r="A433">
        <v>882358</v>
      </c>
      <c r="B433" t="s">
        <v>544</v>
      </c>
      <c r="C433"/>
      <c r="D433"/>
      <c r="E433" t="s">
        <v>1047</v>
      </c>
      <c r="F433" s="368">
        <v>43830</v>
      </c>
      <c r="G433" t="s">
        <v>1048</v>
      </c>
      <c r="H433" t="s">
        <v>1048</v>
      </c>
      <c r="I433" t="s">
        <v>1048</v>
      </c>
      <c r="J433" t="s">
        <v>1048</v>
      </c>
      <c r="K433" t="s">
        <v>1048</v>
      </c>
      <c r="L433" t="s">
        <v>1048</v>
      </c>
      <c r="M433" t="s">
        <v>1048</v>
      </c>
      <c r="N433" t="s">
        <v>1048</v>
      </c>
      <c r="O433" t="s">
        <v>1048</v>
      </c>
      <c r="P433" t="s">
        <v>1048</v>
      </c>
      <c r="Q433" t="s">
        <v>1048</v>
      </c>
      <c r="R433" t="s">
        <v>1048</v>
      </c>
      <c r="S433" t="s">
        <v>1048</v>
      </c>
      <c r="T433" t="s">
        <v>1048</v>
      </c>
      <c r="U433" t="s">
        <v>1047</v>
      </c>
      <c r="V433" t="s">
        <v>1047</v>
      </c>
    </row>
    <row r="434" spans="1:22" x14ac:dyDescent="0.2">
      <c r="A434">
        <v>886606</v>
      </c>
      <c r="B434" t="s">
        <v>1099</v>
      </c>
      <c r="C434">
        <v>25</v>
      </c>
      <c r="D434" s="368">
        <v>44316</v>
      </c>
      <c r="E434" t="s">
        <v>1048</v>
      </c>
      <c r="F434" s="368">
        <v>44286</v>
      </c>
      <c r="G434" t="s">
        <v>1048</v>
      </c>
      <c r="H434" t="s">
        <v>1048</v>
      </c>
      <c r="I434" t="s">
        <v>1048</v>
      </c>
      <c r="J434" t="s">
        <v>1048</v>
      </c>
      <c r="K434" t="s">
        <v>1048</v>
      </c>
      <c r="L434" t="s">
        <v>1048</v>
      </c>
      <c r="M434" t="s">
        <v>1047</v>
      </c>
      <c r="N434" t="s">
        <v>1047</v>
      </c>
      <c r="O434" t="s">
        <v>1047</v>
      </c>
      <c r="P434" t="s">
        <v>1047</v>
      </c>
      <c r="Q434" t="s">
        <v>1047</v>
      </c>
      <c r="R434" t="s">
        <v>1047</v>
      </c>
      <c r="S434" t="s">
        <v>1047</v>
      </c>
      <c r="T434" t="s">
        <v>1047</v>
      </c>
      <c r="U434" t="s">
        <v>1047</v>
      </c>
      <c r="V434" t="s">
        <v>1048</v>
      </c>
    </row>
    <row r="435" spans="1:22" x14ac:dyDescent="0.2">
      <c r="A435">
        <v>887497</v>
      </c>
      <c r="B435" t="s">
        <v>475</v>
      </c>
      <c r="C435">
        <v>23</v>
      </c>
      <c r="D435" s="368">
        <v>44316</v>
      </c>
      <c r="E435" t="s">
        <v>1047</v>
      </c>
      <c r="F435" s="368">
        <v>44286</v>
      </c>
      <c r="G435" t="s">
        <v>1048</v>
      </c>
      <c r="H435" t="s">
        <v>1048</v>
      </c>
      <c r="I435" t="s">
        <v>1048</v>
      </c>
      <c r="J435" t="s">
        <v>1048</v>
      </c>
      <c r="K435" t="s">
        <v>1048</v>
      </c>
      <c r="L435" t="s">
        <v>1048</v>
      </c>
      <c r="M435" t="s">
        <v>1048</v>
      </c>
      <c r="N435" t="s">
        <v>1048</v>
      </c>
      <c r="O435" t="s">
        <v>1048</v>
      </c>
      <c r="P435" t="s">
        <v>1048</v>
      </c>
      <c r="Q435" t="s">
        <v>1048</v>
      </c>
      <c r="R435" t="s">
        <v>1047</v>
      </c>
      <c r="S435" t="s">
        <v>1047</v>
      </c>
      <c r="T435" t="s">
        <v>1047</v>
      </c>
      <c r="U435" t="s">
        <v>1048</v>
      </c>
      <c r="V435" t="s">
        <v>1048</v>
      </c>
    </row>
    <row r="436" spans="1:22" x14ac:dyDescent="0.2">
      <c r="A436">
        <v>887901</v>
      </c>
      <c r="B436" t="s">
        <v>476</v>
      </c>
      <c r="C436">
        <v>16</v>
      </c>
      <c r="D436" s="368">
        <v>44316</v>
      </c>
      <c r="E436" t="s">
        <v>1047</v>
      </c>
      <c r="F436" s="368">
        <v>44286</v>
      </c>
      <c r="G436" t="s">
        <v>1048</v>
      </c>
      <c r="H436" t="s">
        <v>1048</v>
      </c>
      <c r="I436" t="s">
        <v>1048</v>
      </c>
      <c r="J436" t="s">
        <v>1048</v>
      </c>
      <c r="K436" t="s">
        <v>1048</v>
      </c>
      <c r="L436" t="s">
        <v>1048</v>
      </c>
      <c r="M436" t="s">
        <v>1048</v>
      </c>
      <c r="N436" t="s">
        <v>1048</v>
      </c>
      <c r="O436" t="s">
        <v>1048</v>
      </c>
      <c r="P436" t="s">
        <v>1048</v>
      </c>
      <c r="Q436" t="s">
        <v>1048</v>
      </c>
      <c r="R436" t="s">
        <v>1048</v>
      </c>
      <c r="S436" t="s">
        <v>1048</v>
      </c>
      <c r="T436" t="s">
        <v>1048</v>
      </c>
      <c r="U436" t="s">
        <v>1048</v>
      </c>
      <c r="V436" t="s">
        <v>1048</v>
      </c>
    </row>
    <row r="437" spans="1:22" x14ac:dyDescent="0.2">
      <c r="A437">
        <v>896761</v>
      </c>
      <c r="B437" t="s">
        <v>477</v>
      </c>
      <c r="C437">
        <v>23</v>
      </c>
      <c r="D437" s="368">
        <v>44316</v>
      </c>
      <c r="E437" t="s">
        <v>1047</v>
      </c>
      <c r="F437" s="368">
        <v>43830</v>
      </c>
      <c r="G437" t="s">
        <v>1048</v>
      </c>
      <c r="H437" t="s">
        <v>1048</v>
      </c>
      <c r="I437" t="s">
        <v>1048</v>
      </c>
      <c r="J437" t="s">
        <v>1048</v>
      </c>
      <c r="K437" t="s">
        <v>1048</v>
      </c>
      <c r="L437" t="s">
        <v>1048</v>
      </c>
      <c r="M437" t="s">
        <v>1047</v>
      </c>
      <c r="N437" t="s">
        <v>1047</v>
      </c>
      <c r="O437" t="s">
        <v>1048</v>
      </c>
      <c r="P437" t="s">
        <v>1047</v>
      </c>
      <c r="Q437" t="s">
        <v>1048</v>
      </c>
      <c r="R437" t="s">
        <v>1048</v>
      </c>
      <c r="S437" t="s">
        <v>1047</v>
      </c>
      <c r="T437" t="s">
        <v>1047</v>
      </c>
      <c r="U437" t="s">
        <v>1047</v>
      </c>
      <c r="V437" t="s">
        <v>1047</v>
      </c>
    </row>
    <row r="438" spans="1:22" x14ac:dyDescent="0.2">
      <c r="A438">
        <v>899352</v>
      </c>
      <c r="B438" t="s">
        <v>1232</v>
      </c>
      <c r="C438">
        <v>20</v>
      </c>
      <c r="D438" s="368">
        <v>44316</v>
      </c>
      <c r="E438" t="s">
        <v>1048</v>
      </c>
      <c r="F438" s="368">
        <v>44286</v>
      </c>
      <c r="G438" t="s">
        <v>1048</v>
      </c>
      <c r="H438" t="s">
        <v>1048</v>
      </c>
      <c r="I438" t="s">
        <v>1048</v>
      </c>
      <c r="J438" t="s">
        <v>1048</v>
      </c>
      <c r="K438" t="s">
        <v>1048</v>
      </c>
      <c r="L438" t="s">
        <v>1048</v>
      </c>
      <c r="M438" t="s">
        <v>1048</v>
      </c>
      <c r="N438" t="s">
        <v>1047</v>
      </c>
      <c r="O438" t="s">
        <v>1048</v>
      </c>
      <c r="P438" t="s">
        <v>1048</v>
      </c>
      <c r="Q438" t="s">
        <v>1048</v>
      </c>
      <c r="R438" t="s">
        <v>1047</v>
      </c>
      <c r="S438" t="s">
        <v>1048</v>
      </c>
      <c r="T438" t="s">
        <v>1047</v>
      </c>
      <c r="U438" t="s">
        <v>1047</v>
      </c>
      <c r="V438" t="s">
        <v>1047</v>
      </c>
    </row>
    <row r="439" spans="1:22" x14ac:dyDescent="0.2">
      <c r="A439">
        <v>899773</v>
      </c>
      <c r="B439" t="s">
        <v>986</v>
      </c>
      <c r="C439">
        <v>21</v>
      </c>
      <c r="D439" s="368">
        <v>44316</v>
      </c>
      <c r="E439" t="s">
        <v>1047</v>
      </c>
      <c r="F439" s="368">
        <v>44286</v>
      </c>
      <c r="G439" t="s">
        <v>1048</v>
      </c>
      <c r="H439" t="s">
        <v>1048</v>
      </c>
      <c r="I439" t="s">
        <v>1048</v>
      </c>
      <c r="J439" t="s">
        <v>1047</v>
      </c>
      <c r="K439" t="s">
        <v>1047</v>
      </c>
      <c r="L439" t="s">
        <v>1047</v>
      </c>
      <c r="M439" t="s">
        <v>1047</v>
      </c>
      <c r="N439" t="s">
        <v>1047</v>
      </c>
      <c r="O439" t="s">
        <v>1047</v>
      </c>
      <c r="P439" t="s">
        <v>1047</v>
      </c>
      <c r="Q439" t="s">
        <v>1047</v>
      </c>
      <c r="R439" t="s">
        <v>1047</v>
      </c>
      <c r="S439" t="s">
        <v>1047</v>
      </c>
      <c r="T439" t="s">
        <v>1047</v>
      </c>
      <c r="U439" t="s">
        <v>1047</v>
      </c>
      <c r="V439" t="s">
        <v>1047</v>
      </c>
    </row>
    <row r="440" spans="1:22" x14ac:dyDescent="0.2">
      <c r="A440">
        <v>900894</v>
      </c>
      <c r="B440" t="s">
        <v>1017</v>
      </c>
      <c r="C440"/>
      <c r="D440"/>
      <c r="E440" t="s">
        <v>1047</v>
      </c>
      <c r="F440" s="368">
        <v>43830</v>
      </c>
      <c r="G440" t="s">
        <v>1048</v>
      </c>
      <c r="H440" t="s">
        <v>1048</v>
      </c>
      <c r="I440" t="s">
        <v>1048</v>
      </c>
      <c r="J440" t="s">
        <v>1048</v>
      </c>
      <c r="K440" t="s">
        <v>1048</v>
      </c>
      <c r="L440" t="s">
        <v>1047</v>
      </c>
      <c r="M440" t="s">
        <v>1047</v>
      </c>
      <c r="N440" t="s">
        <v>1047</v>
      </c>
      <c r="O440" t="s">
        <v>1047</v>
      </c>
      <c r="P440" t="s">
        <v>1047</v>
      </c>
      <c r="Q440" t="s">
        <v>1047</v>
      </c>
      <c r="R440" t="s">
        <v>1047</v>
      </c>
      <c r="S440" t="s">
        <v>1047</v>
      </c>
      <c r="T440" t="s">
        <v>1047</v>
      </c>
      <c r="U440" t="s">
        <v>1047</v>
      </c>
      <c r="V440" t="s">
        <v>1048</v>
      </c>
    </row>
    <row r="441" spans="1:22" x14ac:dyDescent="0.2">
      <c r="A441">
        <v>901181</v>
      </c>
      <c r="B441" t="s">
        <v>1168</v>
      </c>
      <c r="C441">
        <v>21</v>
      </c>
      <c r="D441" s="368">
        <v>44316</v>
      </c>
      <c r="E441" t="s">
        <v>1047</v>
      </c>
      <c r="F441" s="368">
        <v>44286</v>
      </c>
      <c r="G441" t="s">
        <v>1048</v>
      </c>
      <c r="H441" t="s">
        <v>1048</v>
      </c>
      <c r="I441" t="s">
        <v>1048</v>
      </c>
      <c r="J441" t="s">
        <v>1048</v>
      </c>
      <c r="K441" t="s">
        <v>1048</v>
      </c>
      <c r="L441" t="s">
        <v>1048</v>
      </c>
      <c r="M441" t="s">
        <v>1047</v>
      </c>
      <c r="N441" t="s">
        <v>1047</v>
      </c>
      <c r="O441" t="s">
        <v>1047</v>
      </c>
      <c r="P441" t="s">
        <v>1047</v>
      </c>
      <c r="Q441" t="s">
        <v>1047</v>
      </c>
      <c r="R441" t="s">
        <v>1047</v>
      </c>
      <c r="S441" t="s">
        <v>1047</v>
      </c>
      <c r="T441" t="s">
        <v>1047</v>
      </c>
      <c r="U441" t="s">
        <v>1047</v>
      </c>
      <c r="V441" t="s">
        <v>1048</v>
      </c>
    </row>
    <row r="442" spans="1:22" x14ac:dyDescent="0.2">
      <c r="A442">
        <v>901603</v>
      </c>
      <c r="B442" t="s">
        <v>1169</v>
      </c>
      <c r="C442">
        <v>19</v>
      </c>
      <c r="D442" s="368">
        <v>44316</v>
      </c>
      <c r="E442" t="s">
        <v>1047</v>
      </c>
      <c r="F442" s="368">
        <v>43830</v>
      </c>
      <c r="G442" t="s">
        <v>1048</v>
      </c>
      <c r="H442" t="s">
        <v>1048</v>
      </c>
      <c r="I442" t="s">
        <v>1048</v>
      </c>
      <c r="J442" t="s">
        <v>1048</v>
      </c>
      <c r="K442" t="s">
        <v>1048</v>
      </c>
      <c r="L442" t="s">
        <v>1048</v>
      </c>
      <c r="M442" t="s">
        <v>1047</v>
      </c>
      <c r="N442" t="s">
        <v>1048</v>
      </c>
      <c r="O442" t="s">
        <v>1048</v>
      </c>
      <c r="P442" t="s">
        <v>1047</v>
      </c>
      <c r="Q442" t="s">
        <v>1048</v>
      </c>
      <c r="R442" t="s">
        <v>1047</v>
      </c>
      <c r="S442" t="s">
        <v>1047</v>
      </c>
      <c r="T442" t="s">
        <v>1047</v>
      </c>
      <c r="U442" t="s">
        <v>1047</v>
      </c>
      <c r="V442" t="s">
        <v>1048</v>
      </c>
    </row>
    <row r="443" spans="1:22" x14ac:dyDescent="0.2">
      <c r="A443">
        <v>904904</v>
      </c>
      <c r="B443" t="s">
        <v>478</v>
      </c>
      <c r="C443">
        <v>20</v>
      </c>
      <c r="D443" s="368">
        <v>44316</v>
      </c>
      <c r="E443" t="s">
        <v>1048</v>
      </c>
      <c r="F443" s="368">
        <v>44286</v>
      </c>
      <c r="G443" t="s">
        <v>1048</v>
      </c>
      <c r="H443" t="s">
        <v>1048</v>
      </c>
      <c r="I443" t="s">
        <v>1048</v>
      </c>
      <c r="J443" t="s">
        <v>1048</v>
      </c>
      <c r="K443" t="s">
        <v>1048</v>
      </c>
      <c r="L443" t="s">
        <v>1048</v>
      </c>
      <c r="M443" t="s">
        <v>1048</v>
      </c>
      <c r="N443" t="s">
        <v>1048</v>
      </c>
      <c r="O443" t="s">
        <v>1048</v>
      </c>
      <c r="P443" t="s">
        <v>1048</v>
      </c>
      <c r="Q443" t="s">
        <v>1048</v>
      </c>
      <c r="R443" t="s">
        <v>1048</v>
      </c>
      <c r="S443" t="s">
        <v>1048</v>
      </c>
      <c r="T443" t="s">
        <v>1047</v>
      </c>
      <c r="U443" t="s">
        <v>1047</v>
      </c>
      <c r="V443" t="s">
        <v>1048</v>
      </c>
    </row>
    <row r="444" spans="1:22" x14ac:dyDescent="0.2">
      <c r="A444">
        <v>908277</v>
      </c>
      <c r="B444" t="s">
        <v>479</v>
      </c>
      <c r="C444">
        <v>20</v>
      </c>
      <c r="D444" s="368">
        <v>44316</v>
      </c>
      <c r="E444" t="s">
        <v>1048</v>
      </c>
      <c r="F444" s="368">
        <v>44286</v>
      </c>
      <c r="G444" t="s">
        <v>1048</v>
      </c>
      <c r="H444" t="s">
        <v>1048</v>
      </c>
      <c r="I444" t="s">
        <v>1048</v>
      </c>
      <c r="J444" t="s">
        <v>1048</v>
      </c>
      <c r="K444" t="s">
        <v>1048</v>
      </c>
      <c r="L444" t="s">
        <v>1048</v>
      </c>
      <c r="M444" t="s">
        <v>1047</v>
      </c>
      <c r="N444" t="s">
        <v>1047</v>
      </c>
      <c r="O444" t="s">
        <v>1048</v>
      </c>
      <c r="P444" t="s">
        <v>1048</v>
      </c>
      <c r="Q444" t="s">
        <v>1048</v>
      </c>
      <c r="R444" t="s">
        <v>1047</v>
      </c>
      <c r="S444" t="s">
        <v>1048</v>
      </c>
      <c r="T444" t="s">
        <v>1047</v>
      </c>
      <c r="U444" t="s">
        <v>1047</v>
      </c>
      <c r="V444" t="s">
        <v>1047</v>
      </c>
    </row>
    <row r="445" spans="1:22" x14ac:dyDescent="0.2">
      <c r="A445">
        <v>910109</v>
      </c>
      <c r="B445" t="s">
        <v>1170</v>
      </c>
      <c r="C445">
        <v>24</v>
      </c>
      <c r="D445" s="368">
        <v>44316</v>
      </c>
      <c r="E445" t="s">
        <v>1047</v>
      </c>
      <c r="F445" s="368">
        <v>44286</v>
      </c>
      <c r="G445" t="s">
        <v>1048</v>
      </c>
      <c r="H445" t="s">
        <v>1048</v>
      </c>
      <c r="I445" t="s">
        <v>1048</v>
      </c>
      <c r="J445" t="s">
        <v>1048</v>
      </c>
      <c r="K445" t="s">
        <v>1048</v>
      </c>
      <c r="L445" t="s">
        <v>1048</v>
      </c>
      <c r="M445" t="s">
        <v>1048</v>
      </c>
      <c r="N445" t="s">
        <v>1047</v>
      </c>
      <c r="O445" t="s">
        <v>1047</v>
      </c>
      <c r="P445" t="s">
        <v>1047</v>
      </c>
      <c r="Q445" t="s">
        <v>1047</v>
      </c>
      <c r="R445" t="s">
        <v>1047</v>
      </c>
      <c r="S445" t="s">
        <v>1047</v>
      </c>
      <c r="T445" t="s">
        <v>1047</v>
      </c>
      <c r="U445" t="s">
        <v>1047</v>
      </c>
      <c r="V445" t="s">
        <v>1048</v>
      </c>
    </row>
    <row r="446" spans="1:22" x14ac:dyDescent="0.2">
      <c r="A446">
        <v>912220</v>
      </c>
      <c r="B446" t="s">
        <v>480</v>
      </c>
      <c r="C446">
        <v>20</v>
      </c>
      <c r="D446" s="368">
        <v>44316</v>
      </c>
      <c r="E446" t="s">
        <v>1048</v>
      </c>
      <c r="F446" s="368">
        <v>44286</v>
      </c>
      <c r="G446" t="s">
        <v>1048</v>
      </c>
      <c r="H446" t="s">
        <v>1048</v>
      </c>
      <c r="I446" t="s">
        <v>1048</v>
      </c>
      <c r="J446" t="s">
        <v>1048</v>
      </c>
      <c r="K446" t="s">
        <v>1048</v>
      </c>
      <c r="L446" t="s">
        <v>1048</v>
      </c>
      <c r="M446" t="s">
        <v>1048</v>
      </c>
      <c r="N446" t="s">
        <v>1048</v>
      </c>
      <c r="O446" t="s">
        <v>1048</v>
      </c>
      <c r="P446" t="s">
        <v>1048</v>
      </c>
      <c r="Q446" t="s">
        <v>1048</v>
      </c>
      <c r="R446" t="s">
        <v>1048</v>
      </c>
      <c r="S446" t="s">
        <v>1048</v>
      </c>
      <c r="T446" t="s">
        <v>1047</v>
      </c>
      <c r="U446" t="s">
        <v>1047</v>
      </c>
      <c r="V446" t="s">
        <v>1048</v>
      </c>
    </row>
    <row r="447" spans="1:22" x14ac:dyDescent="0.2">
      <c r="A447">
        <v>914945</v>
      </c>
      <c r="B447" t="s">
        <v>481</v>
      </c>
      <c r="C447">
        <v>26</v>
      </c>
      <c r="D447" s="368">
        <v>44316</v>
      </c>
      <c r="E447" t="s">
        <v>1047</v>
      </c>
      <c r="F447" s="368">
        <v>44286</v>
      </c>
      <c r="G447" t="s">
        <v>1048</v>
      </c>
      <c r="H447" t="s">
        <v>1048</v>
      </c>
      <c r="I447" t="s">
        <v>1048</v>
      </c>
      <c r="J447" t="s">
        <v>1048</v>
      </c>
      <c r="K447" t="s">
        <v>1048</v>
      </c>
      <c r="L447" t="s">
        <v>1048</v>
      </c>
      <c r="M447" t="s">
        <v>1048</v>
      </c>
      <c r="N447" t="s">
        <v>1048</v>
      </c>
      <c r="O447" t="s">
        <v>1048</v>
      </c>
      <c r="P447" t="s">
        <v>1048</v>
      </c>
      <c r="Q447" t="s">
        <v>1048</v>
      </c>
      <c r="R447" t="s">
        <v>1048</v>
      </c>
      <c r="S447" t="s">
        <v>1048</v>
      </c>
      <c r="T447" t="s">
        <v>1048</v>
      </c>
      <c r="U447" t="s">
        <v>1047</v>
      </c>
      <c r="V447" t="s">
        <v>1047</v>
      </c>
    </row>
    <row r="448" spans="1:22" x14ac:dyDescent="0.2">
      <c r="A448">
        <v>916122</v>
      </c>
      <c r="B448" t="s">
        <v>1100</v>
      </c>
      <c r="C448">
        <v>18</v>
      </c>
      <c r="D448" s="368">
        <v>44316</v>
      </c>
      <c r="E448" t="s">
        <v>1048</v>
      </c>
      <c r="F448" s="368">
        <v>44286</v>
      </c>
      <c r="G448" t="s">
        <v>1048</v>
      </c>
      <c r="H448" t="s">
        <v>1048</v>
      </c>
      <c r="I448" t="s">
        <v>1048</v>
      </c>
      <c r="J448" t="s">
        <v>1048</v>
      </c>
      <c r="K448" t="s">
        <v>1048</v>
      </c>
      <c r="L448" t="s">
        <v>1048</v>
      </c>
      <c r="M448" t="s">
        <v>1048</v>
      </c>
      <c r="N448" t="s">
        <v>1047</v>
      </c>
      <c r="O448" t="s">
        <v>1047</v>
      </c>
      <c r="P448" t="s">
        <v>1047</v>
      </c>
      <c r="Q448" t="s">
        <v>1047</v>
      </c>
      <c r="R448" t="s">
        <v>1047</v>
      </c>
      <c r="S448" t="s">
        <v>1047</v>
      </c>
      <c r="T448" t="s">
        <v>1048</v>
      </c>
      <c r="U448" t="s">
        <v>1047</v>
      </c>
      <c r="V448" t="s">
        <v>1048</v>
      </c>
    </row>
    <row r="449" spans="1:22" x14ac:dyDescent="0.2">
      <c r="A449">
        <v>916189</v>
      </c>
      <c r="B449" t="s">
        <v>1171</v>
      </c>
      <c r="C449">
        <v>20</v>
      </c>
      <c r="D449" s="368">
        <v>44316</v>
      </c>
      <c r="E449" t="s">
        <v>1047</v>
      </c>
      <c r="F449" s="368">
        <v>43830</v>
      </c>
      <c r="G449" t="s">
        <v>1048</v>
      </c>
      <c r="H449" t="s">
        <v>1048</v>
      </c>
      <c r="I449" t="s">
        <v>1048</v>
      </c>
      <c r="J449" t="s">
        <v>1048</v>
      </c>
      <c r="K449" t="s">
        <v>1048</v>
      </c>
      <c r="L449" t="s">
        <v>1048</v>
      </c>
      <c r="M449" t="s">
        <v>1048</v>
      </c>
      <c r="N449" t="s">
        <v>1048</v>
      </c>
      <c r="O449" t="s">
        <v>1048</v>
      </c>
      <c r="P449" t="s">
        <v>1048</v>
      </c>
      <c r="Q449" t="s">
        <v>1048</v>
      </c>
      <c r="R449" t="s">
        <v>1048</v>
      </c>
      <c r="S449" t="s">
        <v>1047</v>
      </c>
      <c r="T449" t="s">
        <v>1047</v>
      </c>
      <c r="U449" t="s">
        <v>1047</v>
      </c>
      <c r="V449" t="s">
        <v>1048</v>
      </c>
    </row>
    <row r="450" spans="1:22" x14ac:dyDescent="0.2">
      <c r="A450">
        <v>916354</v>
      </c>
      <c r="B450" t="s">
        <v>1200</v>
      </c>
      <c r="C450">
        <v>26</v>
      </c>
      <c r="D450" s="368">
        <v>44316</v>
      </c>
      <c r="E450" t="s">
        <v>1047</v>
      </c>
      <c r="F450" s="368">
        <v>44286</v>
      </c>
      <c r="G450" t="s">
        <v>1048</v>
      </c>
      <c r="H450" t="s">
        <v>1048</v>
      </c>
      <c r="I450" t="s">
        <v>1048</v>
      </c>
      <c r="J450" t="s">
        <v>1048</v>
      </c>
      <c r="K450" t="s">
        <v>1048</v>
      </c>
      <c r="L450" t="s">
        <v>1048</v>
      </c>
      <c r="M450" t="s">
        <v>1048</v>
      </c>
      <c r="N450" t="s">
        <v>1048</v>
      </c>
      <c r="O450" t="s">
        <v>1048</v>
      </c>
      <c r="P450" t="s">
        <v>1048</v>
      </c>
      <c r="Q450" t="s">
        <v>1048</v>
      </c>
      <c r="R450" t="s">
        <v>1048</v>
      </c>
      <c r="S450" t="s">
        <v>1048</v>
      </c>
      <c r="T450" t="s">
        <v>1048</v>
      </c>
      <c r="U450" t="s">
        <v>1047</v>
      </c>
      <c r="V450" t="s">
        <v>1047</v>
      </c>
    </row>
    <row r="451" spans="1:22" x14ac:dyDescent="0.2">
      <c r="A451">
        <v>917955</v>
      </c>
      <c r="B451" t="s">
        <v>1101</v>
      </c>
      <c r="C451">
        <v>25</v>
      </c>
      <c r="D451" s="368">
        <v>44316</v>
      </c>
      <c r="E451" t="s">
        <v>1048</v>
      </c>
      <c r="F451" s="368">
        <v>44286</v>
      </c>
      <c r="G451" t="s">
        <v>1048</v>
      </c>
      <c r="H451" t="s">
        <v>1048</v>
      </c>
      <c r="I451" t="s">
        <v>1048</v>
      </c>
      <c r="J451" t="s">
        <v>1048</v>
      </c>
      <c r="K451" t="s">
        <v>1048</v>
      </c>
      <c r="L451" t="s">
        <v>1048</v>
      </c>
      <c r="M451" t="s">
        <v>1048</v>
      </c>
      <c r="N451" t="s">
        <v>1047</v>
      </c>
      <c r="O451" t="s">
        <v>1047</v>
      </c>
      <c r="P451" t="s">
        <v>1047</v>
      </c>
      <c r="Q451" t="s">
        <v>1047</v>
      </c>
      <c r="R451" t="s">
        <v>1047</v>
      </c>
      <c r="S451" t="s">
        <v>1047</v>
      </c>
      <c r="T451" t="s">
        <v>1047</v>
      </c>
      <c r="U451" t="s">
        <v>1047</v>
      </c>
      <c r="V451" t="s">
        <v>1048</v>
      </c>
    </row>
    <row r="452" spans="1:22" x14ac:dyDescent="0.2">
      <c r="A452">
        <v>920439</v>
      </c>
      <c r="B452" t="s">
        <v>987</v>
      </c>
      <c r="C452">
        <v>26</v>
      </c>
      <c r="D452" s="368">
        <v>44316</v>
      </c>
      <c r="E452" t="s">
        <v>1047</v>
      </c>
      <c r="F452" s="368">
        <v>44286</v>
      </c>
      <c r="G452" t="s">
        <v>1047</v>
      </c>
      <c r="H452" t="s">
        <v>1047</v>
      </c>
      <c r="I452" t="s">
        <v>1047</v>
      </c>
      <c r="J452" t="s">
        <v>1047</v>
      </c>
      <c r="K452" t="s">
        <v>1047</v>
      </c>
      <c r="L452" t="s">
        <v>1047</v>
      </c>
      <c r="M452" t="s">
        <v>1047</v>
      </c>
      <c r="N452" t="s">
        <v>1047</v>
      </c>
      <c r="O452" t="s">
        <v>1047</v>
      </c>
      <c r="P452" t="s">
        <v>1047</v>
      </c>
      <c r="Q452" t="s">
        <v>1047</v>
      </c>
      <c r="R452" t="s">
        <v>1047</v>
      </c>
      <c r="S452" t="s">
        <v>1047</v>
      </c>
      <c r="T452" t="s">
        <v>1047</v>
      </c>
      <c r="U452" t="s">
        <v>1047</v>
      </c>
      <c r="V452" t="s">
        <v>1047</v>
      </c>
    </row>
    <row r="453" spans="1:22" x14ac:dyDescent="0.2">
      <c r="A453">
        <v>922435</v>
      </c>
      <c r="B453" t="s">
        <v>1102</v>
      </c>
      <c r="C453">
        <v>24</v>
      </c>
      <c r="D453" s="368">
        <v>44316</v>
      </c>
      <c r="E453" t="s">
        <v>1048</v>
      </c>
      <c r="F453" s="368">
        <v>44286</v>
      </c>
      <c r="G453" t="s">
        <v>1048</v>
      </c>
      <c r="H453" t="s">
        <v>1048</v>
      </c>
      <c r="I453" t="s">
        <v>1047</v>
      </c>
      <c r="J453" t="s">
        <v>1048</v>
      </c>
      <c r="K453" t="s">
        <v>1048</v>
      </c>
      <c r="L453" t="s">
        <v>1048</v>
      </c>
      <c r="M453" t="s">
        <v>1047</v>
      </c>
      <c r="N453" t="s">
        <v>1047</v>
      </c>
      <c r="O453" t="s">
        <v>1047</v>
      </c>
      <c r="P453" t="s">
        <v>1047</v>
      </c>
      <c r="Q453" t="s">
        <v>1047</v>
      </c>
      <c r="R453" t="s">
        <v>1047</v>
      </c>
      <c r="S453" t="s">
        <v>1047</v>
      </c>
      <c r="T453" t="s">
        <v>1047</v>
      </c>
      <c r="U453" t="s">
        <v>1047</v>
      </c>
      <c r="V453" t="s">
        <v>1048</v>
      </c>
    </row>
    <row r="454" spans="1:22" x14ac:dyDescent="0.2">
      <c r="A454">
        <v>923383</v>
      </c>
      <c r="B454" t="s">
        <v>482</v>
      </c>
      <c r="C454">
        <v>18</v>
      </c>
      <c r="D454" s="368">
        <v>44316</v>
      </c>
      <c r="E454" t="s">
        <v>1048</v>
      </c>
      <c r="F454" s="368">
        <v>44286</v>
      </c>
      <c r="G454" t="s">
        <v>1048</v>
      </c>
      <c r="H454" t="s">
        <v>1048</v>
      </c>
      <c r="I454" t="s">
        <v>1048</v>
      </c>
      <c r="J454" t="s">
        <v>1048</v>
      </c>
      <c r="K454" t="s">
        <v>1048</v>
      </c>
      <c r="L454" t="s">
        <v>1048</v>
      </c>
      <c r="M454" t="s">
        <v>1048</v>
      </c>
      <c r="N454" t="s">
        <v>1047</v>
      </c>
      <c r="O454" t="s">
        <v>1048</v>
      </c>
      <c r="P454" t="s">
        <v>1047</v>
      </c>
      <c r="Q454" t="s">
        <v>1048</v>
      </c>
      <c r="R454" t="s">
        <v>1048</v>
      </c>
      <c r="S454" t="s">
        <v>1048</v>
      </c>
      <c r="T454" t="s">
        <v>1047</v>
      </c>
      <c r="U454" t="s">
        <v>1048</v>
      </c>
      <c r="V454" t="s">
        <v>1048</v>
      </c>
    </row>
    <row r="455" spans="1:22" x14ac:dyDescent="0.2">
      <c r="A455">
        <v>928341</v>
      </c>
      <c r="B455" t="s">
        <v>1194</v>
      </c>
      <c r="C455">
        <v>26</v>
      </c>
      <c r="D455" s="368">
        <v>44316</v>
      </c>
      <c r="E455" t="s">
        <v>1048</v>
      </c>
      <c r="F455" s="368">
        <v>44286</v>
      </c>
      <c r="G455" t="s">
        <v>1048</v>
      </c>
      <c r="H455" t="s">
        <v>1048</v>
      </c>
      <c r="I455" t="s">
        <v>1048</v>
      </c>
      <c r="J455" t="s">
        <v>1048</v>
      </c>
      <c r="K455" t="s">
        <v>1048</v>
      </c>
      <c r="L455" t="s">
        <v>1048</v>
      </c>
      <c r="M455" t="s">
        <v>1047</v>
      </c>
      <c r="N455" t="s">
        <v>1047</v>
      </c>
      <c r="O455" t="s">
        <v>1048</v>
      </c>
      <c r="P455" t="s">
        <v>1047</v>
      </c>
      <c r="Q455" t="s">
        <v>1048</v>
      </c>
      <c r="R455" t="s">
        <v>1048</v>
      </c>
      <c r="S455" t="s">
        <v>1047</v>
      </c>
      <c r="T455" t="s">
        <v>1047</v>
      </c>
      <c r="U455" t="s">
        <v>1047</v>
      </c>
      <c r="V455" t="s">
        <v>1047</v>
      </c>
    </row>
    <row r="456" spans="1:22" x14ac:dyDescent="0.2">
      <c r="A456">
        <v>929224</v>
      </c>
      <c r="B456" t="s">
        <v>483</v>
      </c>
      <c r="C456">
        <v>21</v>
      </c>
      <c r="D456" s="368">
        <v>44316</v>
      </c>
      <c r="E456" t="s">
        <v>1048</v>
      </c>
      <c r="F456" s="368">
        <v>44286</v>
      </c>
      <c r="G456" t="s">
        <v>1048</v>
      </c>
      <c r="H456" t="s">
        <v>1048</v>
      </c>
      <c r="I456" t="s">
        <v>1048</v>
      </c>
      <c r="J456" t="s">
        <v>1048</v>
      </c>
      <c r="K456" t="s">
        <v>1048</v>
      </c>
      <c r="L456" t="s">
        <v>1048</v>
      </c>
      <c r="M456" t="s">
        <v>1048</v>
      </c>
      <c r="N456" t="s">
        <v>1048</v>
      </c>
      <c r="O456" t="s">
        <v>1048</v>
      </c>
      <c r="P456" t="s">
        <v>1048</v>
      </c>
      <c r="Q456" t="s">
        <v>1048</v>
      </c>
      <c r="R456" t="s">
        <v>1048</v>
      </c>
      <c r="S456" t="s">
        <v>1048</v>
      </c>
      <c r="T456" t="s">
        <v>1047</v>
      </c>
      <c r="U456" t="s">
        <v>1047</v>
      </c>
      <c r="V456" t="s">
        <v>1048</v>
      </c>
    </row>
    <row r="457" spans="1:22" x14ac:dyDescent="0.2">
      <c r="A457">
        <v>934711</v>
      </c>
      <c r="B457" t="s">
        <v>484</v>
      </c>
      <c r="C457">
        <v>24</v>
      </c>
      <c r="D457" s="368">
        <v>44316</v>
      </c>
      <c r="E457" t="s">
        <v>1047</v>
      </c>
      <c r="F457" s="368">
        <v>43830</v>
      </c>
      <c r="G457" t="s">
        <v>1048</v>
      </c>
      <c r="H457" t="s">
        <v>1048</v>
      </c>
      <c r="I457" t="s">
        <v>1048</v>
      </c>
      <c r="J457" t="s">
        <v>1048</v>
      </c>
      <c r="K457" t="s">
        <v>1048</v>
      </c>
      <c r="L457" t="s">
        <v>1048</v>
      </c>
      <c r="M457" t="s">
        <v>1048</v>
      </c>
      <c r="N457" t="s">
        <v>1048</v>
      </c>
      <c r="O457" t="s">
        <v>1048</v>
      </c>
      <c r="P457" t="s">
        <v>1048</v>
      </c>
      <c r="Q457" t="s">
        <v>1048</v>
      </c>
      <c r="R457" t="s">
        <v>1048</v>
      </c>
      <c r="S457" t="s">
        <v>1048</v>
      </c>
      <c r="T457" t="s">
        <v>1047</v>
      </c>
      <c r="U457" t="s">
        <v>1047</v>
      </c>
      <c r="V457" t="s">
        <v>1047</v>
      </c>
    </row>
    <row r="458" spans="1:22" x14ac:dyDescent="0.2">
      <c r="A458">
        <v>935180</v>
      </c>
      <c r="B458" t="s">
        <v>1205</v>
      </c>
      <c r="C458">
        <v>22</v>
      </c>
      <c r="D458" s="368">
        <v>44316</v>
      </c>
      <c r="E458" t="s">
        <v>1047</v>
      </c>
      <c r="F458" s="368">
        <v>43830</v>
      </c>
      <c r="G458" t="s">
        <v>1048</v>
      </c>
      <c r="H458" t="s">
        <v>1048</v>
      </c>
      <c r="I458" t="s">
        <v>1048</v>
      </c>
      <c r="J458" t="s">
        <v>1047</v>
      </c>
      <c r="K458" t="s">
        <v>1047</v>
      </c>
      <c r="L458" t="s">
        <v>1047</v>
      </c>
      <c r="M458" t="s">
        <v>1047</v>
      </c>
      <c r="N458" t="s">
        <v>1047</v>
      </c>
      <c r="O458" t="s">
        <v>1047</v>
      </c>
      <c r="P458" t="s">
        <v>1047</v>
      </c>
      <c r="Q458" t="s">
        <v>1047</v>
      </c>
      <c r="R458" t="s">
        <v>1047</v>
      </c>
      <c r="S458" t="s">
        <v>1047</v>
      </c>
      <c r="T458" t="s">
        <v>1047</v>
      </c>
      <c r="U458" t="s">
        <v>1047</v>
      </c>
      <c r="V458" t="s">
        <v>1047</v>
      </c>
    </row>
    <row r="459" spans="1:22" x14ac:dyDescent="0.2">
      <c r="A459">
        <v>938845</v>
      </c>
      <c r="B459" t="s">
        <v>485</v>
      </c>
      <c r="C459">
        <v>25</v>
      </c>
      <c r="D459" s="368">
        <v>44316</v>
      </c>
      <c r="E459" t="s">
        <v>1048</v>
      </c>
      <c r="F459" s="368">
        <v>44286</v>
      </c>
      <c r="G459" t="s">
        <v>1048</v>
      </c>
      <c r="H459" t="s">
        <v>1048</v>
      </c>
      <c r="I459" t="s">
        <v>1048</v>
      </c>
      <c r="J459" t="s">
        <v>1048</v>
      </c>
      <c r="K459" t="s">
        <v>1048</v>
      </c>
      <c r="L459" t="s">
        <v>1048</v>
      </c>
      <c r="M459" t="s">
        <v>1048</v>
      </c>
      <c r="N459" t="s">
        <v>1048</v>
      </c>
      <c r="O459" t="s">
        <v>1048</v>
      </c>
      <c r="P459" t="s">
        <v>1048</v>
      </c>
      <c r="Q459" t="s">
        <v>1048</v>
      </c>
      <c r="R459" t="s">
        <v>1048</v>
      </c>
      <c r="S459" t="s">
        <v>1048</v>
      </c>
      <c r="T459" t="s">
        <v>1047</v>
      </c>
      <c r="U459" t="s">
        <v>1047</v>
      </c>
      <c r="V459" t="s">
        <v>1047</v>
      </c>
    </row>
    <row r="460" spans="1:22" x14ac:dyDescent="0.2">
      <c r="A460">
        <v>941096</v>
      </c>
      <c r="B460" t="s">
        <v>486</v>
      </c>
      <c r="C460">
        <v>19</v>
      </c>
      <c r="D460" s="368">
        <v>44316</v>
      </c>
      <c r="E460" t="s">
        <v>1048</v>
      </c>
      <c r="F460" s="368">
        <v>44286</v>
      </c>
      <c r="G460" t="s">
        <v>1048</v>
      </c>
      <c r="H460" t="s">
        <v>1048</v>
      </c>
      <c r="I460" t="s">
        <v>1048</v>
      </c>
      <c r="J460" t="s">
        <v>1048</v>
      </c>
      <c r="K460" t="s">
        <v>1048</v>
      </c>
      <c r="L460" t="s">
        <v>1048</v>
      </c>
      <c r="M460" t="s">
        <v>1047</v>
      </c>
      <c r="N460" t="s">
        <v>1047</v>
      </c>
      <c r="O460" t="s">
        <v>1048</v>
      </c>
      <c r="P460" t="s">
        <v>1048</v>
      </c>
      <c r="Q460" t="s">
        <v>1048</v>
      </c>
      <c r="R460" t="s">
        <v>1048</v>
      </c>
      <c r="S460" t="s">
        <v>1047</v>
      </c>
      <c r="T460" t="s">
        <v>1047</v>
      </c>
      <c r="U460" t="s">
        <v>1047</v>
      </c>
      <c r="V460" t="s">
        <v>1047</v>
      </c>
    </row>
    <row r="461" spans="1:22" x14ac:dyDescent="0.2">
      <c r="A461">
        <v>946285</v>
      </c>
      <c r="B461" t="s">
        <v>487</v>
      </c>
      <c r="C461">
        <v>22</v>
      </c>
      <c r="D461" s="368">
        <v>44316</v>
      </c>
      <c r="E461" t="s">
        <v>1047</v>
      </c>
      <c r="F461" s="368">
        <v>43830</v>
      </c>
      <c r="G461" t="s">
        <v>1048</v>
      </c>
      <c r="H461" t="s">
        <v>1048</v>
      </c>
      <c r="I461" t="s">
        <v>1048</v>
      </c>
      <c r="J461" t="s">
        <v>1047</v>
      </c>
      <c r="K461" t="s">
        <v>1047</v>
      </c>
      <c r="L461" t="s">
        <v>1047</v>
      </c>
      <c r="M461" t="s">
        <v>1047</v>
      </c>
      <c r="N461" t="s">
        <v>1047</v>
      </c>
      <c r="O461" t="s">
        <v>1047</v>
      </c>
      <c r="P461" t="s">
        <v>1047</v>
      </c>
      <c r="Q461" t="s">
        <v>1047</v>
      </c>
      <c r="R461" t="s">
        <v>1047</v>
      </c>
      <c r="S461" t="s">
        <v>1047</v>
      </c>
      <c r="T461" t="s">
        <v>1047</v>
      </c>
      <c r="U461" t="s">
        <v>1047</v>
      </c>
      <c r="V461" t="s">
        <v>1047</v>
      </c>
    </row>
    <row r="462" spans="1:22" x14ac:dyDescent="0.2">
      <c r="A462">
        <v>950774</v>
      </c>
      <c r="B462" t="s">
        <v>489</v>
      </c>
      <c r="C462">
        <v>26</v>
      </c>
      <c r="D462" s="368">
        <v>44316</v>
      </c>
      <c r="E462" t="s">
        <v>1047</v>
      </c>
      <c r="F462" s="368">
        <v>44286</v>
      </c>
      <c r="G462" t="s">
        <v>1048</v>
      </c>
      <c r="H462" t="s">
        <v>1048</v>
      </c>
      <c r="I462" t="s">
        <v>1048</v>
      </c>
      <c r="J462" t="s">
        <v>1048</v>
      </c>
      <c r="K462" t="s">
        <v>1048</v>
      </c>
      <c r="L462" t="s">
        <v>1048</v>
      </c>
      <c r="M462" t="s">
        <v>1048</v>
      </c>
      <c r="N462" t="s">
        <v>1048</v>
      </c>
      <c r="O462" t="s">
        <v>1048</v>
      </c>
      <c r="P462" t="s">
        <v>1048</v>
      </c>
      <c r="Q462" t="s">
        <v>1048</v>
      </c>
      <c r="R462" t="s">
        <v>1048</v>
      </c>
      <c r="S462" t="s">
        <v>1048</v>
      </c>
      <c r="T462" t="s">
        <v>1048</v>
      </c>
      <c r="U462" t="s">
        <v>1047</v>
      </c>
      <c r="V462" t="s">
        <v>1047</v>
      </c>
    </row>
    <row r="463" spans="1:22" x14ac:dyDescent="0.2">
      <c r="A463">
        <v>952010</v>
      </c>
      <c r="B463" t="s">
        <v>490</v>
      </c>
      <c r="C463">
        <v>22</v>
      </c>
      <c r="D463" s="368">
        <v>44316</v>
      </c>
      <c r="E463" t="s">
        <v>1047</v>
      </c>
      <c r="F463" s="368">
        <v>43830</v>
      </c>
      <c r="G463" t="s">
        <v>1048</v>
      </c>
      <c r="H463" t="s">
        <v>1048</v>
      </c>
      <c r="I463" t="s">
        <v>1048</v>
      </c>
      <c r="J463" t="s">
        <v>1048</v>
      </c>
      <c r="K463" t="s">
        <v>1048</v>
      </c>
      <c r="L463" t="s">
        <v>1048</v>
      </c>
      <c r="M463" t="s">
        <v>1048</v>
      </c>
      <c r="N463" t="s">
        <v>1048</v>
      </c>
      <c r="O463" t="s">
        <v>1048</v>
      </c>
      <c r="P463" t="s">
        <v>1048</v>
      </c>
      <c r="Q463" t="s">
        <v>1048</v>
      </c>
      <c r="R463" t="s">
        <v>1048</v>
      </c>
      <c r="S463" t="s">
        <v>1047</v>
      </c>
      <c r="T463" t="s">
        <v>1047</v>
      </c>
      <c r="U463" t="s">
        <v>1047</v>
      </c>
      <c r="V463" t="s">
        <v>1048</v>
      </c>
    </row>
    <row r="464" spans="1:22" x14ac:dyDescent="0.2">
      <c r="A464">
        <v>955435</v>
      </c>
      <c r="B464" t="s">
        <v>545</v>
      </c>
      <c r="C464"/>
      <c r="D464"/>
      <c r="E464" t="s">
        <v>1047</v>
      </c>
      <c r="F464" s="368">
        <v>43830</v>
      </c>
      <c r="G464" t="s">
        <v>1048</v>
      </c>
      <c r="H464" t="s">
        <v>1048</v>
      </c>
      <c r="I464" t="s">
        <v>1048</v>
      </c>
      <c r="J464" t="s">
        <v>1048</v>
      </c>
      <c r="K464" t="s">
        <v>1048</v>
      </c>
      <c r="L464" t="s">
        <v>1048</v>
      </c>
      <c r="M464" t="s">
        <v>1047</v>
      </c>
      <c r="N464" t="s">
        <v>1047</v>
      </c>
      <c r="O464" t="s">
        <v>1048</v>
      </c>
      <c r="P464" t="s">
        <v>1048</v>
      </c>
      <c r="Q464" t="s">
        <v>1048</v>
      </c>
      <c r="R464" t="s">
        <v>1047</v>
      </c>
      <c r="S464" t="s">
        <v>1048</v>
      </c>
      <c r="T464" t="s">
        <v>1047</v>
      </c>
      <c r="U464" t="s">
        <v>1047</v>
      </c>
      <c r="V464" t="s">
        <v>1047</v>
      </c>
    </row>
    <row r="465" spans="1:22" x14ac:dyDescent="0.2">
      <c r="A465">
        <v>958264</v>
      </c>
      <c r="B465" t="s">
        <v>1103</v>
      </c>
      <c r="C465">
        <v>29</v>
      </c>
      <c r="D465" s="368">
        <v>44316</v>
      </c>
      <c r="E465" t="s">
        <v>1047</v>
      </c>
      <c r="F465" s="368">
        <v>44286</v>
      </c>
      <c r="G465" t="s">
        <v>1048</v>
      </c>
      <c r="H465" t="s">
        <v>1048</v>
      </c>
      <c r="I465" t="s">
        <v>1048</v>
      </c>
      <c r="J465" t="s">
        <v>1048</v>
      </c>
      <c r="K465" t="s">
        <v>1048</v>
      </c>
      <c r="L465" t="s">
        <v>1048</v>
      </c>
      <c r="M465" t="s">
        <v>1047</v>
      </c>
      <c r="N465" t="s">
        <v>1047</v>
      </c>
      <c r="O465" t="s">
        <v>1047</v>
      </c>
      <c r="P465" t="s">
        <v>1047</v>
      </c>
      <c r="Q465" t="s">
        <v>1047</v>
      </c>
      <c r="R465" t="s">
        <v>1047</v>
      </c>
      <c r="S465" t="s">
        <v>1047</v>
      </c>
      <c r="T465" t="s">
        <v>1047</v>
      </c>
      <c r="U465" t="s">
        <v>1047</v>
      </c>
      <c r="V465" t="s">
        <v>1048</v>
      </c>
    </row>
    <row r="466" spans="1:22" x14ac:dyDescent="0.2">
      <c r="A466">
        <v>959502</v>
      </c>
      <c r="B466" t="s">
        <v>546</v>
      </c>
      <c r="C466">
        <v>21</v>
      </c>
      <c r="D466" s="368">
        <v>44316</v>
      </c>
      <c r="E466" t="s">
        <v>1048</v>
      </c>
      <c r="F466" s="368">
        <v>44286</v>
      </c>
      <c r="G466" t="s">
        <v>1048</v>
      </c>
      <c r="H466" t="s">
        <v>1048</v>
      </c>
      <c r="I466" t="s">
        <v>1048</v>
      </c>
      <c r="J466" t="s">
        <v>1048</v>
      </c>
      <c r="K466" t="s">
        <v>1048</v>
      </c>
      <c r="L466" t="s">
        <v>1048</v>
      </c>
      <c r="M466" t="s">
        <v>1048</v>
      </c>
      <c r="N466" t="s">
        <v>1048</v>
      </c>
      <c r="O466" t="s">
        <v>1048</v>
      </c>
      <c r="P466" t="s">
        <v>1048</v>
      </c>
      <c r="Q466" t="s">
        <v>1048</v>
      </c>
      <c r="R466" t="s">
        <v>1048</v>
      </c>
      <c r="S466" t="s">
        <v>1047</v>
      </c>
      <c r="T466" t="s">
        <v>1047</v>
      </c>
      <c r="U466" t="s">
        <v>1047</v>
      </c>
      <c r="V466" t="s">
        <v>1048</v>
      </c>
    </row>
    <row r="467" spans="1:22" x14ac:dyDescent="0.2">
      <c r="A467">
        <v>964767</v>
      </c>
      <c r="B467" t="s">
        <v>491</v>
      </c>
      <c r="C467">
        <v>22</v>
      </c>
      <c r="D467" s="368">
        <v>44316</v>
      </c>
      <c r="E467" t="s">
        <v>1048</v>
      </c>
      <c r="F467" s="368">
        <v>44286</v>
      </c>
      <c r="G467" t="s">
        <v>1048</v>
      </c>
      <c r="H467" t="s">
        <v>1048</v>
      </c>
      <c r="I467" t="s">
        <v>1048</v>
      </c>
      <c r="J467" t="s">
        <v>1048</v>
      </c>
      <c r="K467" t="s">
        <v>1048</v>
      </c>
      <c r="L467" t="s">
        <v>1048</v>
      </c>
      <c r="M467" t="s">
        <v>1048</v>
      </c>
      <c r="N467" t="s">
        <v>1048</v>
      </c>
      <c r="O467" t="s">
        <v>1048</v>
      </c>
      <c r="P467" t="s">
        <v>1048</v>
      </c>
      <c r="Q467" t="s">
        <v>1048</v>
      </c>
      <c r="R467" t="s">
        <v>1048</v>
      </c>
      <c r="S467" t="s">
        <v>1048</v>
      </c>
      <c r="T467" t="s">
        <v>1047</v>
      </c>
      <c r="U467" t="s">
        <v>1047</v>
      </c>
      <c r="V467" t="s">
        <v>1048</v>
      </c>
    </row>
    <row r="468" spans="1:22" x14ac:dyDescent="0.2">
      <c r="A468">
        <v>968420</v>
      </c>
      <c r="B468" t="s">
        <v>518</v>
      </c>
      <c r="C468">
        <v>17</v>
      </c>
      <c r="D468" s="368">
        <v>44316</v>
      </c>
      <c r="E468" t="s">
        <v>1047</v>
      </c>
      <c r="F468" s="368">
        <v>44286</v>
      </c>
      <c r="G468" t="s">
        <v>1048</v>
      </c>
      <c r="H468" t="s">
        <v>1048</v>
      </c>
      <c r="I468" t="s">
        <v>1048</v>
      </c>
      <c r="J468" t="s">
        <v>1048</v>
      </c>
      <c r="K468" t="s">
        <v>1048</v>
      </c>
      <c r="L468" t="s">
        <v>1048</v>
      </c>
      <c r="M468" t="s">
        <v>1047</v>
      </c>
      <c r="N468" t="s">
        <v>1047</v>
      </c>
      <c r="O468" t="s">
        <v>1048</v>
      </c>
      <c r="P468" t="s">
        <v>1047</v>
      </c>
      <c r="Q468" t="s">
        <v>1048</v>
      </c>
      <c r="R468" t="s">
        <v>1048</v>
      </c>
      <c r="S468" t="s">
        <v>1047</v>
      </c>
      <c r="T468" t="s">
        <v>1047</v>
      </c>
      <c r="U468" t="s">
        <v>1047</v>
      </c>
      <c r="V468" t="s">
        <v>1047</v>
      </c>
    </row>
    <row r="469" spans="1:22" x14ac:dyDescent="0.2">
      <c r="A469">
        <v>968891</v>
      </c>
      <c r="B469" t="s">
        <v>492</v>
      </c>
      <c r="C469">
        <v>19</v>
      </c>
      <c r="D469" s="368">
        <v>44316</v>
      </c>
      <c r="E469" t="s">
        <v>1048</v>
      </c>
      <c r="F469" s="368">
        <v>44286</v>
      </c>
      <c r="G469" t="s">
        <v>1048</v>
      </c>
      <c r="H469" t="s">
        <v>1048</v>
      </c>
      <c r="I469" t="s">
        <v>1048</v>
      </c>
      <c r="J469" t="s">
        <v>1048</v>
      </c>
      <c r="K469" t="s">
        <v>1048</v>
      </c>
      <c r="L469" t="s">
        <v>1048</v>
      </c>
      <c r="M469" t="s">
        <v>1048</v>
      </c>
      <c r="N469" t="s">
        <v>1048</v>
      </c>
      <c r="O469" t="s">
        <v>1048</v>
      </c>
      <c r="P469" t="s">
        <v>1048</v>
      </c>
      <c r="Q469" t="s">
        <v>1048</v>
      </c>
      <c r="R469" t="s">
        <v>1048</v>
      </c>
      <c r="S469" t="s">
        <v>1048</v>
      </c>
      <c r="T469" t="s">
        <v>1047</v>
      </c>
      <c r="U469" t="s">
        <v>1048</v>
      </c>
      <c r="V469" t="s">
        <v>1048</v>
      </c>
    </row>
    <row r="470" spans="1:22" x14ac:dyDescent="0.2">
      <c r="A470">
        <v>971010</v>
      </c>
      <c r="B470" t="s">
        <v>1134</v>
      </c>
      <c r="C470">
        <v>21</v>
      </c>
      <c r="D470" s="368">
        <v>44316</v>
      </c>
      <c r="E470" t="s">
        <v>1047</v>
      </c>
      <c r="F470" s="368">
        <v>43830</v>
      </c>
      <c r="G470" t="s">
        <v>1048</v>
      </c>
      <c r="H470" t="s">
        <v>1048</v>
      </c>
      <c r="I470" t="s">
        <v>1048</v>
      </c>
      <c r="J470" t="s">
        <v>1048</v>
      </c>
      <c r="K470" t="s">
        <v>1048</v>
      </c>
      <c r="L470" t="s">
        <v>1048</v>
      </c>
      <c r="M470" t="s">
        <v>1048</v>
      </c>
      <c r="N470" t="s">
        <v>1047</v>
      </c>
      <c r="O470" t="s">
        <v>1048</v>
      </c>
      <c r="P470" t="s">
        <v>1048</v>
      </c>
      <c r="Q470" t="s">
        <v>1048</v>
      </c>
      <c r="R470" t="s">
        <v>1047</v>
      </c>
      <c r="S470" t="s">
        <v>1048</v>
      </c>
      <c r="T470" t="s">
        <v>1047</v>
      </c>
      <c r="U470" t="s">
        <v>1047</v>
      </c>
      <c r="V470" t="s">
        <v>1047</v>
      </c>
    </row>
    <row r="471" spans="1:22" x14ac:dyDescent="0.2">
      <c r="A471">
        <v>972497</v>
      </c>
      <c r="B471" t="s">
        <v>493</v>
      </c>
      <c r="C471">
        <v>21</v>
      </c>
      <c r="D471" s="368">
        <v>44165</v>
      </c>
      <c r="E471" t="s">
        <v>1047</v>
      </c>
      <c r="F471" s="368">
        <v>43830</v>
      </c>
      <c r="G471" t="s">
        <v>1048</v>
      </c>
      <c r="H471" t="s">
        <v>1048</v>
      </c>
      <c r="I471" t="s">
        <v>1048</v>
      </c>
      <c r="J471" t="s">
        <v>1048</v>
      </c>
      <c r="K471" t="s">
        <v>1048</v>
      </c>
      <c r="L471" t="s">
        <v>1048</v>
      </c>
      <c r="M471" t="s">
        <v>1047</v>
      </c>
      <c r="N471" t="s">
        <v>1047</v>
      </c>
      <c r="O471" t="s">
        <v>1047</v>
      </c>
      <c r="P471" t="s">
        <v>1047</v>
      </c>
      <c r="Q471" t="s">
        <v>1047</v>
      </c>
      <c r="R471" t="s">
        <v>1047</v>
      </c>
      <c r="S471" t="s">
        <v>1047</v>
      </c>
      <c r="T471" t="s">
        <v>1047</v>
      </c>
      <c r="U471" t="s">
        <v>1047</v>
      </c>
      <c r="V471" t="s">
        <v>1047</v>
      </c>
    </row>
    <row r="472" spans="1:22" x14ac:dyDescent="0.2">
      <c r="A472">
        <v>973263</v>
      </c>
      <c r="B472" t="s">
        <v>1172</v>
      </c>
      <c r="C472">
        <v>21</v>
      </c>
      <c r="D472" s="368">
        <v>44316</v>
      </c>
      <c r="E472" t="s">
        <v>1048</v>
      </c>
      <c r="F472" s="368">
        <v>44286</v>
      </c>
      <c r="G472" t="s">
        <v>1048</v>
      </c>
      <c r="H472" t="s">
        <v>1048</v>
      </c>
      <c r="I472" t="s">
        <v>1048</v>
      </c>
      <c r="J472" t="s">
        <v>1048</v>
      </c>
      <c r="K472" t="s">
        <v>1048</v>
      </c>
      <c r="L472" t="s">
        <v>1048</v>
      </c>
      <c r="M472" t="s">
        <v>1047</v>
      </c>
      <c r="N472" t="s">
        <v>1047</v>
      </c>
      <c r="O472" t="s">
        <v>1047</v>
      </c>
      <c r="P472" t="s">
        <v>1047</v>
      </c>
      <c r="Q472" t="s">
        <v>1047</v>
      </c>
      <c r="R472" t="s">
        <v>1047</v>
      </c>
      <c r="S472" t="s">
        <v>1047</v>
      </c>
      <c r="T472" t="s">
        <v>1047</v>
      </c>
      <c r="U472" t="s">
        <v>1047</v>
      </c>
      <c r="V472" t="s">
        <v>1048</v>
      </c>
    </row>
    <row r="473" spans="1:22" x14ac:dyDescent="0.2">
      <c r="A473">
        <v>976506</v>
      </c>
      <c r="B473" t="s">
        <v>535</v>
      </c>
      <c r="C473">
        <v>22</v>
      </c>
      <c r="D473" s="368">
        <v>44316</v>
      </c>
      <c r="E473" t="s">
        <v>1048</v>
      </c>
      <c r="F473" s="368">
        <v>44286</v>
      </c>
      <c r="G473" t="s">
        <v>1048</v>
      </c>
      <c r="H473" t="s">
        <v>1048</v>
      </c>
      <c r="I473" t="s">
        <v>1048</v>
      </c>
      <c r="J473" t="s">
        <v>1048</v>
      </c>
      <c r="K473" t="s">
        <v>1048</v>
      </c>
      <c r="L473" t="s">
        <v>1048</v>
      </c>
      <c r="M473" t="s">
        <v>1048</v>
      </c>
      <c r="N473" t="s">
        <v>1048</v>
      </c>
      <c r="O473" t="s">
        <v>1048</v>
      </c>
      <c r="P473" t="s">
        <v>1048</v>
      </c>
      <c r="Q473" t="s">
        <v>1048</v>
      </c>
      <c r="R473" t="s">
        <v>1048</v>
      </c>
      <c r="S473" t="s">
        <v>1048</v>
      </c>
      <c r="T473" t="s">
        <v>1048</v>
      </c>
      <c r="U473" t="s">
        <v>1048</v>
      </c>
      <c r="V473" t="s">
        <v>1048</v>
      </c>
    </row>
    <row r="474" spans="1:22" x14ac:dyDescent="0.2">
      <c r="A474">
        <v>976928</v>
      </c>
      <c r="B474" t="s">
        <v>494</v>
      </c>
      <c r="C474">
        <v>21</v>
      </c>
      <c r="D474" s="368">
        <v>44316</v>
      </c>
      <c r="E474" t="s">
        <v>1048</v>
      </c>
      <c r="F474" s="368">
        <v>44286</v>
      </c>
      <c r="G474" t="s">
        <v>1048</v>
      </c>
      <c r="H474" t="s">
        <v>1048</v>
      </c>
      <c r="I474" t="s">
        <v>1048</v>
      </c>
      <c r="J474" t="s">
        <v>1048</v>
      </c>
      <c r="K474" t="s">
        <v>1048</v>
      </c>
      <c r="L474" t="s">
        <v>1048</v>
      </c>
      <c r="M474" t="s">
        <v>1047</v>
      </c>
      <c r="N474" t="s">
        <v>1047</v>
      </c>
      <c r="O474" t="s">
        <v>1048</v>
      </c>
      <c r="P474" t="s">
        <v>1048</v>
      </c>
      <c r="Q474" t="s">
        <v>1048</v>
      </c>
      <c r="R474" t="s">
        <v>1048</v>
      </c>
      <c r="S474" t="s">
        <v>1047</v>
      </c>
      <c r="T474" t="s">
        <v>1047</v>
      </c>
      <c r="U474" t="s">
        <v>1047</v>
      </c>
      <c r="V474" t="s">
        <v>1047</v>
      </c>
    </row>
    <row r="475" spans="1:22" x14ac:dyDescent="0.2">
      <c r="A475">
        <v>978981</v>
      </c>
      <c r="B475" t="s">
        <v>495</v>
      </c>
      <c r="C475">
        <v>24</v>
      </c>
      <c r="D475" s="368">
        <v>44316</v>
      </c>
      <c r="E475" t="s">
        <v>1048</v>
      </c>
      <c r="F475" s="368">
        <v>44286</v>
      </c>
      <c r="G475" t="s">
        <v>1048</v>
      </c>
      <c r="H475" t="s">
        <v>1048</v>
      </c>
      <c r="I475" t="s">
        <v>1048</v>
      </c>
      <c r="J475" t="s">
        <v>1048</v>
      </c>
      <c r="K475" t="s">
        <v>1048</v>
      </c>
      <c r="L475" t="s">
        <v>1048</v>
      </c>
      <c r="M475" t="s">
        <v>1048</v>
      </c>
      <c r="N475" t="s">
        <v>1048</v>
      </c>
      <c r="O475" t="s">
        <v>1048</v>
      </c>
      <c r="P475" t="s">
        <v>1048</v>
      </c>
      <c r="Q475" t="s">
        <v>1048</v>
      </c>
      <c r="R475" t="s">
        <v>1048</v>
      </c>
      <c r="S475" t="s">
        <v>1047</v>
      </c>
      <c r="T475" t="s">
        <v>1047</v>
      </c>
      <c r="U475" t="s">
        <v>1047</v>
      </c>
      <c r="V475" t="s">
        <v>1048</v>
      </c>
    </row>
    <row r="476" spans="1:22" x14ac:dyDescent="0.2">
      <c r="A476">
        <v>980284</v>
      </c>
      <c r="B476" t="s">
        <v>519</v>
      </c>
      <c r="C476"/>
      <c r="D476"/>
      <c r="E476" t="s">
        <v>1047</v>
      </c>
      <c r="F476" s="368">
        <v>43830</v>
      </c>
      <c r="G476" t="s">
        <v>1048</v>
      </c>
      <c r="H476" t="s">
        <v>1048</v>
      </c>
      <c r="I476" t="s">
        <v>1048</v>
      </c>
      <c r="J476" t="s">
        <v>1048</v>
      </c>
      <c r="K476" t="s">
        <v>1048</v>
      </c>
      <c r="L476" t="s">
        <v>1048</v>
      </c>
      <c r="M476" t="s">
        <v>1047</v>
      </c>
      <c r="N476" t="s">
        <v>1047</v>
      </c>
      <c r="O476" t="s">
        <v>1048</v>
      </c>
      <c r="P476" t="s">
        <v>1047</v>
      </c>
      <c r="Q476" t="s">
        <v>1047</v>
      </c>
      <c r="R476" t="s">
        <v>1047</v>
      </c>
      <c r="S476" t="s">
        <v>1048</v>
      </c>
      <c r="T476" t="s">
        <v>1047</v>
      </c>
      <c r="U476" t="s">
        <v>1047</v>
      </c>
      <c r="V476" t="s">
        <v>1047</v>
      </c>
    </row>
    <row r="477" spans="1:22" x14ac:dyDescent="0.2">
      <c r="A477">
        <v>981175</v>
      </c>
      <c r="B477" t="s">
        <v>496</v>
      </c>
      <c r="C477">
        <v>19</v>
      </c>
      <c r="D477" s="368">
        <v>44316</v>
      </c>
      <c r="E477" t="s">
        <v>1047</v>
      </c>
      <c r="F477" s="368">
        <v>43830</v>
      </c>
      <c r="G477" t="s">
        <v>1048</v>
      </c>
      <c r="H477" t="s">
        <v>1048</v>
      </c>
      <c r="I477" t="s">
        <v>1048</v>
      </c>
      <c r="J477" t="s">
        <v>1048</v>
      </c>
      <c r="K477" t="s">
        <v>1048</v>
      </c>
      <c r="L477" t="s">
        <v>1048</v>
      </c>
      <c r="M477" t="s">
        <v>1048</v>
      </c>
      <c r="N477" t="s">
        <v>1048</v>
      </c>
      <c r="O477" t="s">
        <v>1048</v>
      </c>
      <c r="P477" t="s">
        <v>1048</v>
      </c>
      <c r="Q477" t="s">
        <v>1048</v>
      </c>
      <c r="R477" t="s">
        <v>1048</v>
      </c>
      <c r="S477" t="s">
        <v>1048</v>
      </c>
      <c r="T477" t="s">
        <v>1047</v>
      </c>
      <c r="U477" t="s">
        <v>1047</v>
      </c>
      <c r="V477" t="s">
        <v>1048</v>
      </c>
    </row>
    <row r="478" spans="1:22" x14ac:dyDescent="0.2">
      <c r="A478">
        <v>981340</v>
      </c>
      <c r="B478" t="s">
        <v>1173</v>
      </c>
      <c r="C478">
        <v>21</v>
      </c>
      <c r="D478" s="368">
        <v>44316</v>
      </c>
      <c r="E478" t="s">
        <v>1047</v>
      </c>
      <c r="F478" s="368">
        <v>44286</v>
      </c>
      <c r="G478" t="s">
        <v>1048</v>
      </c>
      <c r="H478" t="s">
        <v>1048</v>
      </c>
      <c r="I478" t="s">
        <v>1048</v>
      </c>
      <c r="J478" t="s">
        <v>1048</v>
      </c>
      <c r="K478" t="s">
        <v>1048</v>
      </c>
      <c r="L478" t="s">
        <v>1048</v>
      </c>
      <c r="M478" t="s">
        <v>1047</v>
      </c>
      <c r="N478" t="s">
        <v>1047</v>
      </c>
      <c r="O478" t="s">
        <v>1048</v>
      </c>
      <c r="P478" t="s">
        <v>1047</v>
      </c>
      <c r="Q478" t="s">
        <v>1048</v>
      </c>
      <c r="R478" t="s">
        <v>1047</v>
      </c>
      <c r="S478" t="s">
        <v>1048</v>
      </c>
      <c r="T478" t="s">
        <v>1047</v>
      </c>
      <c r="U478" t="s">
        <v>1047</v>
      </c>
      <c r="V478" t="s">
        <v>1047</v>
      </c>
    </row>
    <row r="479" spans="1:22" x14ac:dyDescent="0.2">
      <c r="A479">
        <v>982116</v>
      </c>
      <c r="B479" t="s">
        <v>497</v>
      </c>
      <c r="C479">
        <v>22</v>
      </c>
      <c r="D479" s="368">
        <v>44316</v>
      </c>
      <c r="E479" t="s">
        <v>1047</v>
      </c>
      <c r="F479" s="368">
        <v>43830</v>
      </c>
      <c r="G479" t="s">
        <v>1048</v>
      </c>
      <c r="H479" t="s">
        <v>1048</v>
      </c>
      <c r="I479" t="s">
        <v>1048</v>
      </c>
      <c r="J479" t="s">
        <v>1047</v>
      </c>
      <c r="K479" t="s">
        <v>1047</v>
      </c>
      <c r="L479" t="s">
        <v>1047</v>
      </c>
      <c r="M479" t="s">
        <v>1047</v>
      </c>
      <c r="N479" t="s">
        <v>1047</v>
      </c>
      <c r="O479" t="s">
        <v>1047</v>
      </c>
      <c r="P479" t="s">
        <v>1047</v>
      </c>
      <c r="Q479" t="s">
        <v>1047</v>
      </c>
      <c r="R479" t="s">
        <v>1047</v>
      </c>
      <c r="S479" t="s">
        <v>1047</v>
      </c>
      <c r="T479" t="s">
        <v>1047</v>
      </c>
      <c r="U479" t="s">
        <v>1047</v>
      </c>
      <c r="V479" t="s">
        <v>1047</v>
      </c>
    </row>
    <row r="480" spans="1:22" x14ac:dyDescent="0.2">
      <c r="A480">
        <v>983593</v>
      </c>
      <c r="B480" t="s">
        <v>988</v>
      </c>
      <c r="C480">
        <v>30</v>
      </c>
      <c r="D480" s="368">
        <v>44316</v>
      </c>
      <c r="E480" t="s">
        <v>1047</v>
      </c>
      <c r="F480" s="368">
        <v>44286</v>
      </c>
      <c r="G480" t="s">
        <v>1048</v>
      </c>
      <c r="H480" t="s">
        <v>1048</v>
      </c>
      <c r="I480" t="s">
        <v>1048</v>
      </c>
      <c r="J480" t="s">
        <v>1048</v>
      </c>
      <c r="K480" t="s">
        <v>1048</v>
      </c>
      <c r="L480" t="s">
        <v>1047</v>
      </c>
      <c r="M480" t="s">
        <v>1048</v>
      </c>
      <c r="N480" t="s">
        <v>1047</v>
      </c>
      <c r="O480" t="s">
        <v>1047</v>
      </c>
      <c r="P480" t="s">
        <v>1047</v>
      </c>
      <c r="Q480" t="s">
        <v>1047</v>
      </c>
      <c r="R480" t="s">
        <v>1047</v>
      </c>
      <c r="S480" t="s">
        <v>1047</v>
      </c>
      <c r="T480" t="s">
        <v>1047</v>
      </c>
      <c r="U480" t="s">
        <v>1047</v>
      </c>
      <c r="V480" t="s">
        <v>1048</v>
      </c>
    </row>
    <row r="481" spans="1:22" x14ac:dyDescent="0.2">
      <c r="A481">
        <v>984187</v>
      </c>
      <c r="B481" t="s">
        <v>498</v>
      </c>
      <c r="C481">
        <v>18</v>
      </c>
      <c r="D481" s="368">
        <v>44316</v>
      </c>
      <c r="E481" t="s">
        <v>1048</v>
      </c>
      <c r="F481" s="368">
        <v>44286</v>
      </c>
      <c r="G481" t="s">
        <v>1048</v>
      </c>
      <c r="H481" t="s">
        <v>1048</v>
      </c>
      <c r="I481" t="s">
        <v>1048</v>
      </c>
      <c r="J481" t="s">
        <v>1048</v>
      </c>
      <c r="K481" t="s">
        <v>1048</v>
      </c>
      <c r="L481" t="s">
        <v>1048</v>
      </c>
      <c r="M481" t="s">
        <v>1047</v>
      </c>
      <c r="N481" t="s">
        <v>1047</v>
      </c>
      <c r="O481" t="s">
        <v>1048</v>
      </c>
      <c r="P481" t="s">
        <v>1048</v>
      </c>
      <c r="Q481" t="s">
        <v>1048</v>
      </c>
      <c r="R481" t="s">
        <v>1047</v>
      </c>
      <c r="S481" t="s">
        <v>1048</v>
      </c>
      <c r="T481" t="s">
        <v>1047</v>
      </c>
      <c r="U481" t="s">
        <v>1047</v>
      </c>
      <c r="V481" t="s">
        <v>1047</v>
      </c>
    </row>
    <row r="482" spans="1:22" x14ac:dyDescent="0.2">
      <c r="A482">
        <v>987784</v>
      </c>
      <c r="B482" t="s">
        <v>989</v>
      </c>
      <c r="C482">
        <v>32</v>
      </c>
      <c r="D482" s="368">
        <v>44316</v>
      </c>
      <c r="E482" t="s">
        <v>1047</v>
      </c>
      <c r="F482" s="368">
        <v>44286</v>
      </c>
      <c r="G482" t="s">
        <v>1048</v>
      </c>
      <c r="H482" t="s">
        <v>1048</v>
      </c>
      <c r="I482" t="s">
        <v>1048</v>
      </c>
      <c r="J482" t="s">
        <v>1048</v>
      </c>
      <c r="K482" t="s">
        <v>1048</v>
      </c>
      <c r="L482" t="s">
        <v>1048</v>
      </c>
      <c r="M482" t="s">
        <v>1048</v>
      </c>
      <c r="N482" t="s">
        <v>1047</v>
      </c>
      <c r="O482" t="s">
        <v>1047</v>
      </c>
      <c r="P482" t="s">
        <v>1047</v>
      </c>
      <c r="Q482" t="s">
        <v>1047</v>
      </c>
      <c r="R482" t="s">
        <v>1047</v>
      </c>
      <c r="S482" t="s">
        <v>1047</v>
      </c>
      <c r="T482" t="s">
        <v>1048</v>
      </c>
      <c r="U482" t="s">
        <v>1047</v>
      </c>
      <c r="V482" t="s">
        <v>1048</v>
      </c>
    </row>
    <row r="483" spans="1:22" x14ac:dyDescent="0.2">
      <c r="A483">
        <v>987842</v>
      </c>
      <c r="B483" t="s">
        <v>499</v>
      </c>
      <c r="C483">
        <v>23</v>
      </c>
      <c r="D483" s="368">
        <v>44316</v>
      </c>
      <c r="E483" t="s">
        <v>1048</v>
      </c>
      <c r="F483" s="368">
        <v>44286</v>
      </c>
      <c r="G483" t="s">
        <v>1048</v>
      </c>
      <c r="H483" t="s">
        <v>1048</v>
      </c>
      <c r="I483" t="s">
        <v>1048</v>
      </c>
      <c r="J483" t="s">
        <v>1048</v>
      </c>
      <c r="K483" t="s">
        <v>1048</v>
      </c>
      <c r="L483" t="s">
        <v>1048</v>
      </c>
      <c r="M483" t="s">
        <v>1048</v>
      </c>
      <c r="N483" t="s">
        <v>1048</v>
      </c>
      <c r="O483" t="s">
        <v>1048</v>
      </c>
      <c r="P483" t="s">
        <v>1048</v>
      </c>
      <c r="Q483" t="s">
        <v>1048</v>
      </c>
      <c r="R483" t="s">
        <v>1048</v>
      </c>
      <c r="S483" t="s">
        <v>1047</v>
      </c>
      <c r="T483" t="s">
        <v>1047</v>
      </c>
      <c r="U483" t="s">
        <v>1047</v>
      </c>
      <c r="V483" t="s">
        <v>1048</v>
      </c>
    </row>
    <row r="484" spans="1:22" x14ac:dyDescent="0.2">
      <c r="A484">
        <v>989491</v>
      </c>
      <c r="B484" t="s">
        <v>547</v>
      </c>
      <c r="C484">
        <v>22</v>
      </c>
      <c r="D484" s="368">
        <v>44316</v>
      </c>
      <c r="E484" t="s">
        <v>1048</v>
      </c>
      <c r="F484" s="368">
        <v>44286</v>
      </c>
      <c r="G484" t="s">
        <v>1048</v>
      </c>
      <c r="H484" t="s">
        <v>1048</v>
      </c>
      <c r="I484" t="s">
        <v>1048</v>
      </c>
      <c r="J484" t="s">
        <v>1048</v>
      </c>
      <c r="K484" t="s">
        <v>1048</v>
      </c>
      <c r="L484" t="s">
        <v>1048</v>
      </c>
      <c r="M484" t="s">
        <v>1048</v>
      </c>
      <c r="N484" t="s">
        <v>1048</v>
      </c>
      <c r="O484" t="s">
        <v>1048</v>
      </c>
      <c r="P484" t="s">
        <v>1048</v>
      </c>
      <c r="Q484" t="s">
        <v>1048</v>
      </c>
      <c r="R484" t="s">
        <v>1048</v>
      </c>
      <c r="S484" t="s">
        <v>1048</v>
      </c>
      <c r="T484" t="s">
        <v>1048</v>
      </c>
      <c r="U484" t="s">
        <v>1048</v>
      </c>
      <c r="V484" t="s">
        <v>1048</v>
      </c>
    </row>
    <row r="485" spans="1:22" x14ac:dyDescent="0.2">
      <c r="A485">
        <v>992099</v>
      </c>
      <c r="B485" t="s">
        <v>990</v>
      </c>
      <c r="C485">
        <v>26</v>
      </c>
      <c r="D485" s="368">
        <v>44316</v>
      </c>
      <c r="E485" t="s">
        <v>1047</v>
      </c>
      <c r="F485" s="368">
        <v>44286</v>
      </c>
      <c r="G485" t="s">
        <v>1047</v>
      </c>
      <c r="H485" t="s">
        <v>1047</v>
      </c>
      <c r="I485" t="s">
        <v>1047</v>
      </c>
      <c r="J485" t="s">
        <v>1047</v>
      </c>
      <c r="K485" t="s">
        <v>1047</v>
      </c>
      <c r="L485" t="s">
        <v>1047</v>
      </c>
      <c r="M485" t="s">
        <v>1047</v>
      </c>
      <c r="N485" t="s">
        <v>1047</v>
      </c>
      <c r="O485" t="s">
        <v>1047</v>
      </c>
      <c r="P485" t="s">
        <v>1047</v>
      </c>
      <c r="Q485" t="s">
        <v>1047</v>
      </c>
      <c r="R485" t="s">
        <v>1047</v>
      </c>
      <c r="S485" t="s">
        <v>1047</v>
      </c>
      <c r="T485" t="s">
        <v>1047</v>
      </c>
      <c r="U485" t="s">
        <v>1047</v>
      </c>
      <c r="V485" t="s">
        <v>1047</v>
      </c>
    </row>
    <row r="486" spans="1:22" x14ac:dyDescent="0.2">
      <c r="A486">
        <v>994095</v>
      </c>
      <c r="B486" t="s">
        <v>1104</v>
      </c>
      <c r="C486">
        <v>22</v>
      </c>
      <c r="D486" s="368">
        <v>44316</v>
      </c>
      <c r="E486" t="s">
        <v>1048</v>
      </c>
      <c r="F486" s="368">
        <v>44286</v>
      </c>
      <c r="G486" t="s">
        <v>1048</v>
      </c>
      <c r="H486" t="s">
        <v>1048</v>
      </c>
      <c r="I486" t="s">
        <v>1048</v>
      </c>
      <c r="J486" t="s">
        <v>1048</v>
      </c>
      <c r="K486" t="s">
        <v>1048</v>
      </c>
      <c r="L486" t="s">
        <v>1048</v>
      </c>
      <c r="M486" t="s">
        <v>1047</v>
      </c>
      <c r="N486" t="s">
        <v>1047</v>
      </c>
      <c r="O486" t="s">
        <v>1047</v>
      </c>
      <c r="P486" t="s">
        <v>1047</v>
      </c>
      <c r="Q486" t="s">
        <v>1047</v>
      </c>
      <c r="R486" t="s">
        <v>1047</v>
      </c>
      <c r="S486" t="s">
        <v>1047</v>
      </c>
      <c r="T486" t="s">
        <v>1047</v>
      </c>
      <c r="U486" t="s">
        <v>1047</v>
      </c>
      <c r="V486" t="s">
        <v>1048</v>
      </c>
    </row>
    <row r="487" spans="1:22" x14ac:dyDescent="0.2">
      <c r="A487">
        <v>995571</v>
      </c>
      <c r="B487" t="s">
        <v>1233</v>
      </c>
      <c r="C487">
        <v>26</v>
      </c>
      <c r="D487" s="368">
        <v>44316</v>
      </c>
      <c r="E487" t="s">
        <v>1047</v>
      </c>
      <c r="F487" s="368">
        <v>44286</v>
      </c>
      <c r="G487" t="s">
        <v>1048</v>
      </c>
      <c r="H487" t="s">
        <v>1048</v>
      </c>
      <c r="I487" t="s">
        <v>1048</v>
      </c>
      <c r="J487" t="s">
        <v>1048</v>
      </c>
      <c r="K487" t="s">
        <v>1048</v>
      </c>
      <c r="L487" t="s">
        <v>1048</v>
      </c>
      <c r="M487" t="s">
        <v>1047</v>
      </c>
      <c r="N487" t="s">
        <v>1047</v>
      </c>
      <c r="O487" t="s">
        <v>1047</v>
      </c>
      <c r="P487" t="s">
        <v>1047</v>
      </c>
      <c r="Q487" t="s">
        <v>1047</v>
      </c>
      <c r="R487" t="s">
        <v>1047</v>
      </c>
      <c r="S487" t="s">
        <v>1047</v>
      </c>
      <c r="T487" t="s">
        <v>1047</v>
      </c>
      <c r="U487" t="s">
        <v>1047</v>
      </c>
      <c r="V487" t="s">
        <v>1047</v>
      </c>
    </row>
    <row r="488" spans="1:22" x14ac:dyDescent="0.2">
      <c r="A488">
        <v>997403</v>
      </c>
      <c r="B488" t="s">
        <v>500</v>
      </c>
      <c r="C488">
        <v>22</v>
      </c>
      <c r="D488" s="368">
        <v>44316</v>
      </c>
      <c r="E488" t="s">
        <v>1047</v>
      </c>
      <c r="F488" s="368">
        <v>43830</v>
      </c>
      <c r="G488" t="s">
        <v>1048</v>
      </c>
      <c r="H488" t="s">
        <v>1048</v>
      </c>
      <c r="I488" t="s">
        <v>1048</v>
      </c>
      <c r="J488" t="s">
        <v>1048</v>
      </c>
      <c r="K488" t="s">
        <v>1048</v>
      </c>
      <c r="L488" t="s">
        <v>1048</v>
      </c>
      <c r="M488" t="s">
        <v>1048</v>
      </c>
      <c r="N488" t="s">
        <v>1048</v>
      </c>
      <c r="O488" t="s">
        <v>1048</v>
      </c>
      <c r="P488" t="s">
        <v>1048</v>
      </c>
      <c r="Q488" t="s">
        <v>1048</v>
      </c>
      <c r="R488" t="s">
        <v>1048</v>
      </c>
      <c r="S488" t="s">
        <v>1048</v>
      </c>
      <c r="T488" t="s">
        <v>1048</v>
      </c>
      <c r="U488" t="s">
        <v>1047</v>
      </c>
      <c r="V488" t="s">
        <v>1047</v>
      </c>
    </row>
    <row r="489" spans="1:22" x14ac:dyDescent="0.2">
      <c r="A489"/>
      <c r="B489"/>
      <c r="C489"/>
      <c r="D489"/>
      <c r="E489"/>
      <c r="F489" s="368"/>
      <c r="G489"/>
      <c r="H489"/>
      <c r="I489"/>
      <c r="J489"/>
      <c r="K489"/>
      <c r="L489"/>
      <c r="M489"/>
      <c r="N489"/>
      <c r="O489"/>
      <c r="P489"/>
      <c r="Q489"/>
      <c r="R489"/>
      <c r="S489"/>
      <c r="T489"/>
      <c r="U489"/>
      <c r="V489"/>
    </row>
    <row r="490" spans="1:22" x14ac:dyDescent="0.2">
      <c r="A490"/>
      <c r="B490"/>
      <c r="C490"/>
      <c r="D490" s="368"/>
      <c r="E490"/>
      <c r="F490" s="368"/>
      <c r="G490"/>
      <c r="H490"/>
      <c r="I490"/>
      <c r="J490"/>
      <c r="K490"/>
      <c r="L490"/>
      <c r="M490"/>
      <c r="N490"/>
      <c r="O490"/>
      <c r="P490"/>
      <c r="Q490"/>
      <c r="R490"/>
      <c r="S490"/>
      <c r="T490"/>
      <c r="U490"/>
      <c r="V490"/>
    </row>
    <row r="491" spans="1:22" x14ac:dyDescent="0.2">
      <c r="A491"/>
      <c r="B491"/>
      <c r="C491"/>
      <c r="D491" s="368"/>
      <c r="E491"/>
      <c r="F491" s="368"/>
      <c r="G491"/>
      <c r="H491"/>
      <c r="I491"/>
      <c r="J491"/>
      <c r="K491"/>
      <c r="L491"/>
      <c r="M491"/>
      <c r="N491"/>
      <c r="O491"/>
      <c r="P491"/>
      <c r="Q491"/>
      <c r="R491"/>
      <c r="S491"/>
      <c r="T491"/>
      <c r="U491"/>
      <c r="V491"/>
    </row>
    <row r="492" spans="1:22" x14ac:dyDescent="0.2">
      <c r="A492"/>
      <c r="B492"/>
      <c r="C492"/>
      <c r="D492" s="368"/>
      <c r="E492"/>
      <c r="F492" s="368"/>
      <c r="G492"/>
      <c r="H492"/>
      <c r="I492"/>
      <c r="J492"/>
      <c r="K492"/>
      <c r="L492"/>
      <c r="M492"/>
      <c r="N492"/>
      <c r="O492"/>
      <c r="P492"/>
      <c r="Q492"/>
      <c r="R492"/>
      <c r="S492"/>
      <c r="T492"/>
      <c r="U492"/>
      <c r="V492"/>
    </row>
    <row r="493" spans="1:22" x14ac:dyDescent="0.2">
      <c r="A493"/>
      <c r="B493"/>
      <c r="C493"/>
      <c r="D493" s="368"/>
      <c r="E493"/>
      <c r="F493" s="368"/>
      <c r="G493"/>
      <c r="H493"/>
      <c r="I493"/>
      <c r="J493"/>
      <c r="K493"/>
      <c r="L493"/>
      <c r="M493"/>
      <c r="N493"/>
      <c r="O493"/>
      <c r="P493"/>
      <c r="Q493"/>
      <c r="R493"/>
      <c r="S493"/>
      <c r="T493"/>
      <c r="U493"/>
      <c r="V493"/>
    </row>
    <row r="494" spans="1:22" x14ac:dyDescent="0.2">
      <c r="A494"/>
      <c r="B494"/>
      <c r="C494"/>
      <c r="D494" s="368"/>
      <c r="E494"/>
      <c r="F494" s="368"/>
      <c r="G494"/>
      <c r="H494"/>
      <c r="I494"/>
      <c r="J494"/>
      <c r="K494"/>
      <c r="L494"/>
      <c r="M494"/>
      <c r="N494"/>
      <c r="O494"/>
      <c r="P494"/>
      <c r="Q494"/>
      <c r="R494"/>
      <c r="S494"/>
      <c r="T494"/>
      <c r="U494"/>
      <c r="V494"/>
    </row>
    <row r="495" spans="1:22" x14ac:dyDescent="0.2">
      <c r="A495"/>
      <c r="B495"/>
      <c r="C495"/>
      <c r="D495" s="368"/>
      <c r="E495"/>
      <c r="F495" s="368"/>
      <c r="G495"/>
      <c r="H495"/>
      <c r="I495"/>
      <c r="J495"/>
      <c r="K495"/>
      <c r="L495"/>
      <c r="M495"/>
      <c r="N495"/>
      <c r="O495"/>
      <c r="P495"/>
      <c r="Q495"/>
      <c r="R495"/>
      <c r="S495"/>
      <c r="T495"/>
      <c r="U495"/>
      <c r="V495"/>
    </row>
    <row r="496" spans="1:22" x14ac:dyDescent="0.2">
      <c r="A496"/>
      <c r="B496"/>
      <c r="C496"/>
      <c r="D496" s="368"/>
      <c r="E496"/>
      <c r="F496" s="368"/>
      <c r="G496"/>
      <c r="H496"/>
      <c r="I496"/>
      <c r="J496"/>
      <c r="K496"/>
      <c r="L496"/>
      <c r="M496"/>
      <c r="N496"/>
      <c r="O496"/>
      <c r="P496"/>
      <c r="Q496"/>
      <c r="R496"/>
      <c r="S496"/>
      <c r="T496"/>
      <c r="U496"/>
      <c r="V496"/>
    </row>
    <row r="497" spans="1:22" x14ac:dyDescent="0.2">
      <c r="A497"/>
      <c r="B497"/>
      <c r="C497"/>
      <c r="D497" s="368"/>
      <c r="E497"/>
      <c r="F497" s="368"/>
      <c r="G497"/>
      <c r="H497"/>
      <c r="I497"/>
      <c r="J497"/>
      <c r="K497"/>
      <c r="L497"/>
      <c r="M497"/>
      <c r="N497"/>
      <c r="O497"/>
      <c r="P497"/>
      <c r="Q497"/>
      <c r="R497"/>
      <c r="S497"/>
      <c r="T497"/>
      <c r="U497"/>
      <c r="V497"/>
    </row>
    <row r="498" spans="1:22" x14ac:dyDescent="0.2">
      <c r="A498"/>
      <c r="B498"/>
      <c r="C498"/>
      <c r="D498" s="368"/>
      <c r="E498"/>
      <c r="F498" s="368"/>
      <c r="G498"/>
      <c r="H498"/>
      <c r="I498"/>
      <c r="J498"/>
      <c r="K498"/>
      <c r="L498"/>
      <c r="M498"/>
      <c r="N498"/>
      <c r="O498"/>
      <c r="P498"/>
      <c r="Q498"/>
      <c r="R498"/>
      <c r="S498"/>
      <c r="T498"/>
      <c r="U498"/>
      <c r="V498"/>
    </row>
    <row r="499" spans="1:22" x14ac:dyDescent="0.2">
      <c r="A499"/>
      <c r="B499"/>
      <c r="C499"/>
      <c r="D499" s="368"/>
      <c r="E499"/>
      <c r="F499" s="368"/>
      <c r="G499"/>
      <c r="H499"/>
      <c r="I499"/>
      <c r="J499"/>
      <c r="K499"/>
      <c r="L499"/>
      <c r="M499"/>
      <c r="N499"/>
      <c r="O499"/>
      <c r="P499"/>
      <c r="Q499"/>
      <c r="R499"/>
      <c r="S499"/>
      <c r="T499"/>
      <c r="U499"/>
      <c r="V499"/>
    </row>
    <row r="500" spans="1:22" x14ac:dyDescent="0.2">
      <c r="A500"/>
      <c r="B500"/>
      <c r="C500"/>
      <c r="D500" s="368"/>
      <c r="E500"/>
      <c r="F500" s="368"/>
      <c r="G500"/>
      <c r="H500"/>
      <c r="I500"/>
      <c r="J500"/>
      <c r="K500"/>
      <c r="L500"/>
      <c r="M500"/>
      <c r="N500"/>
      <c r="O500"/>
      <c r="P500"/>
      <c r="Q500"/>
      <c r="R500"/>
      <c r="S500"/>
      <c r="T500"/>
      <c r="U500"/>
      <c r="V500"/>
    </row>
    <row r="501" spans="1:22" x14ac:dyDescent="0.2">
      <c r="A501"/>
      <c r="B501"/>
      <c r="C501"/>
      <c r="D501" s="368"/>
      <c r="E501"/>
      <c r="F501" s="368"/>
      <c r="G501"/>
      <c r="H501"/>
      <c r="I501"/>
      <c r="J501"/>
      <c r="K501"/>
      <c r="L501"/>
      <c r="M501"/>
      <c r="N501"/>
      <c r="O501"/>
      <c r="P501"/>
      <c r="Q501"/>
      <c r="R501"/>
      <c r="S501"/>
      <c r="T501"/>
      <c r="U501"/>
      <c r="V501"/>
    </row>
    <row r="502" spans="1:22" x14ac:dyDescent="0.2">
      <c r="A502"/>
      <c r="B502"/>
      <c r="C502"/>
      <c r="D502" s="368"/>
      <c r="E502"/>
      <c r="F502" s="368"/>
      <c r="G502"/>
      <c r="H502"/>
      <c r="I502"/>
      <c r="J502"/>
      <c r="K502"/>
      <c r="L502"/>
      <c r="M502"/>
      <c r="N502"/>
      <c r="O502"/>
      <c r="P502"/>
      <c r="Q502"/>
      <c r="R502"/>
      <c r="S502"/>
      <c r="T502"/>
      <c r="U502"/>
      <c r="V502"/>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1241</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1207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B5" sqref="B5"/>
    </sheetView>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2021-08-17</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1185</v>
      </c>
      <c r="D48" s="125"/>
      <c r="E48" s="125"/>
      <c r="F48" s="125"/>
      <c r="G48" s="125"/>
      <c r="H48" s="125"/>
      <c r="I48" s="257"/>
      <c r="J48" s="125"/>
      <c r="K48" s="125"/>
      <c r="L48" s="125"/>
      <c r="M48" s="125"/>
      <c r="N48" s="125"/>
      <c r="O48" s="125"/>
      <c r="P48" s="125"/>
      <c r="Q48" s="125"/>
      <c r="R48" s="125"/>
      <c r="S48" s="2"/>
      <c r="T48" s="2"/>
    </row>
    <row r="49" spans="2:20" x14ac:dyDescent="0.2">
      <c r="B49" s="2"/>
      <c r="C49" s="125" t="s">
        <v>1186</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2021-08-17</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2021-08-17</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2021-08-17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2021-08-17</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5"/>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2021-08-17</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163"/>
      <c r="F257" s="181"/>
      <c r="G257" s="39"/>
      <c r="H257" s="39"/>
      <c r="I257" s="39"/>
      <c r="J257" s="44"/>
      <c r="K257" s="44"/>
      <c r="L257" s="44"/>
      <c r="M257" s="44"/>
    </row>
    <row r="258" spans="2:13" x14ac:dyDescent="0.2">
      <c r="B258" s="376">
        <v>43890</v>
      </c>
      <c r="C258" s="181">
        <v>7.2189494967460646E-2</v>
      </c>
      <c r="D258" s="181">
        <v>5.9997791811012169E-2</v>
      </c>
      <c r="E258" s="163"/>
      <c r="F258" s="181"/>
      <c r="G258" s="39"/>
      <c r="H258" s="39"/>
      <c r="I258" s="39"/>
      <c r="J258" s="44"/>
      <c r="K258" s="44"/>
      <c r="L258" s="44"/>
      <c r="M258" s="44"/>
    </row>
    <row r="259" spans="2:13" x14ac:dyDescent="0.2">
      <c r="B259" s="376">
        <v>43921</v>
      </c>
      <c r="C259" s="181">
        <v>6.3094696402549749E-2</v>
      </c>
      <c r="D259" s="181">
        <v>5.1116558366631759E-2</v>
      </c>
      <c r="E259" s="163"/>
      <c r="F259" s="181"/>
      <c r="G259" s="39"/>
      <c r="H259" s="39"/>
      <c r="I259" s="39"/>
      <c r="J259" s="44"/>
      <c r="K259" s="44"/>
      <c r="L259" s="44"/>
      <c r="M259" s="44"/>
    </row>
    <row r="260" spans="2:13" x14ac:dyDescent="0.2">
      <c r="B260" s="376">
        <v>43951</v>
      </c>
      <c r="C260" s="181">
        <v>6.8944838643074033E-2</v>
      </c>
      <c r="D260" s="181">
        <v>5.7067675100245463E-2</v>
      </c>
      <c r="E260" s="163"/>
      <c r="F260" s="181"/>
      <c r="G260" s="39"/>
      <c r="H260" s="39"/>
      <c r="I260" s="39"/>
      <c r="J260" s="44"/>
      <c r="K260" s="44"/>
      <c r="L260" s="44"/>
      <c r="M260" s="44"/>
    </row>
    <row r="261" spans="2:13" x14ac:dyDescent="0.2">
      <c r="B261" s="376">
        <v>43982</v>
      </c>
      <c r="C261" s="181">
        <v>6.9733425974845886E-2</v>
      </c>
      <c r="D261" s="181">
        <v>5.7634335766477029E-2</v>
      </c>
      <c r="E261" s="163"/>
      <c r="F261" s="181"/>
      <c r="G261" s="39"/>
      <c r="H261" s="39"/>
      <c r="I261" s="39"/>
      <c r="J261" s="44"/>
      <c r="K261" s="44"/>
      <c r="L261" s="44"/>
      <c r="M261" s="44"/>
    </row>
    <row r="262" spans="2:13" x14ac:dyDescent="0.2">
      <c r="B262" s="376">
        <v>44012</v>
      </c>
      <c r="C262" s="181">
        <v>7.0814010500907895E-2</v>
      </c>
      <c r="D262" s="181">
        <v>5.8502192253046648E-2</v>
      </c>
      <c r="E262" s="163"/>
      <c r="F262" s="181"/>
      <c r="G262" s="39"/>
      <c r="H262" s="39"/>
      <c r="I262" s="39"/>
      <c r="J262" s="44"/>
      <c r="K262" s="44"/>
      <c r="L262" s="44"/>
      <c r="M262" s="44"/>
    </row>
    <row r="263" spans="2:13" x14ac:dyDescent="0.2">
      <c r="B263" s="376">
        <v>44043</v>
      </c>
      <c r="C263" s="181">
        <v>7.0769491791725161E-2</v>
      </c>
      <c r="D263" s="181">
        <v>5.840816475862054E-2</v>
      </c>
      <c r="E263" s="163"/>
      <c r="F263" s="181"/>
      <c r="G263" s="39"/>
      <c r="H263" s="39"/>
      <c r="I263" s="39"/>
      <c r="J263" s="44"/>
      <c r="K263" s="44"/>
      <c r="L263" s="44"/>
      <c r="M263" s="44"/>
    </row>
    <row r="264" spans="2:13" x14ac:dyDescent="0.2">
      <c r="B264" s="376">
        <v>44074</v>
      </c>
      <c r="C264" s="181">
        <v>7.3443564772605899E-2</v>
      </c>
      <c r="D264" s="181">
        <v>6.1153312082904643E-2</v>
      </c>
      <c r="E264" s="163"/>
      <c r="F264" s="181"/>
      <c r="G264" s="39"/>
      <c r="H264" s="39"/>
      <c r="I264" s="39"/>
      <c r="J264" s="44"/>
      <c r="K264" s="44"/>
      <c r="L264" s="44"/>
      <c r="M264" s="44"/>
    </row>
    <row r="265" spans="2:13" x14ac:dyDescent="0.2">
      <c r="B265" s="376">
        <v>44104</v>
      </c>
      <c r="C265" s="181">
        <v>7.3966249823570265E-2</v>
      </c>
      <c r="D265" s="181">
        <v>6.1685219773016886E-2</v>
      </c>
      <c r="E265" s="163"/>
      <c r="F265" s="181"/>
      <c r="G265" s="39"/>
      <c r="H265" s="39"/>
      <c r="I265" s="39"/>
      <c r="J265" s="44"/>
      <c r="K265" s="44"/>
      <c r="L265" s="44"/>
      <c r="M265" s="44"/>
    </row>
    <row r="266" spans="2:13" x14ac:dyDescent="0.2">
      <c r="B266" s="376">
        <v>44135</v>
      </c>
      <c r="C266" s="181">
        <v>7.10481733083725E-2</v>
      </c>
      <c r="D266" s="181">
        <v>5.8876761473989792E-2</v>
      </c>
      <c r="E266" s="163"/>
      <c r="F266" s="181"/>
      <c r="G266" s="39"/>
      <c r="H266" s="39"/>
      <c r="I266" s="39"/>
      <c r="J266" s="44"/>
      <c r="K266" s="44"/>
      <c r="L266" s="44"/>
      <c r="M266" s="44"/>
    </row>
    <row r="267" spans="2:13" x14ac:dyDescent="0.2">
      <c r="B267" s="376">
        <v>44165</v>
      </c>
      <c r="C267" s="181">
        <v>7.6034685969352728E-2</v>
      </c>
      <c r="D267" s="181">
        <v>6.3842277399088765E-2</v>
      </c>
      <c r="E267" s="163"/>
      <c r="F267" s="181"/>
      <c r="G267" s="39"/>
      <c r="H267" s="39"/>
      <c r="I267" s="39"/>
      <c r="J267" s="44"/>
      <c r="K267" s="44"/>
      <c r="L267" s="44"/>
      <c r="M267" s="44"/>
    </row>
    <row r="268" spans="2:13" x14ac:dyDescent="0.2">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6">
        <v>44227</v>
      </c>
      <c r="C269" s="181">
        <v>7.7102836966514599E-2</v>
      </c>
      <c r="D269" s="181">
        <v>6.4843680256603919E-2</v>
      </c>
      <c r="E269" s="163"/>
      <c r="F269" s="181"/>
      <c r="G269" s="39"/>
      <c r="H269" s="39"/>
      <c r="I269" s="39"/>
      <c r="J269" s="44"/>
      <c r="K269" s="44"/>
      <c r="L269" s="44"/>
      <c r="M269" s="44"/>
    </row>
    <row r="270" spans="2:13" x14ac:dyDescent="0.2">
      <c r="B270" s="376">
        <v>44255</v>
      </c>
      <c r="C270" s="181">
        <v>7.8277084231376678E-2</v>
      </c>
      <c r="D270" s="181">
        <v>6.5932258580921665E-2</v>
      </c>
      <c r="E270" s="39"/>
      <c r="F270" s="39"/>
      <c r="G270" s="39"/>
      <c r="H270" s="39"/>
      <c r="I270" s="39"/>
      <c r="J270" s="44"/>
      <c r="K270" s="44"/>
      <c r="L270" s="44"/>
      <c r="M270" s="44"/>
    </row>
    <row r="271" spans="2:13" x14ac:dyDescent="0.2">
      <c r="B271" s="376">
        <v>44286</v>
      </c>
      <c r="C271" s="181">
        <v>8.1887838244438169E-2</v>
      </c>
      <c r="D271" s="181">
        <v>6.9476966162526299E-2</v>
      </c>
      <c r="E271" s="39"/>
      <c r="F271" s="39"/>
      <c r="G271" s="39"/>
      <c r="H271" s="39"/>
      <c r="I271" s="39"/>
      <c r="J271" s="44"/>
      <c r="K271" s="44"/>
      <c r="L271" s="44"/>
      <c r="M271" s="44"/>
    </row>
    <row r="272" spans="2:13" x14ac:dyDescent="0.2">
      <c r="B272" s="376">
        <v>44316</v>
      </c>
      <c r="C272" s="181">
        <v>8.2608607411384594E-2</v>
      </c>
      <c r="D272" s="181">
        <v>7.0128937567994321E-2</v>
      </c>
      <c r="E272" s="39"/>
      <c r="F272" s="39"/>
      <c r="G272" s="39"/>
      <c r="H272" s="39"/>
      <c r="I272" s="39"/>
      <c r="J272" s="44"/>
      <c r="K272" s="44"/>
      <c r="L272" s="44"/>
      <c r="M272" s="44"/>
    </row>
    <row r="273" spans="2:13" x14ac:dyDescent="0.2">
      <c r="B273" s="376">
        <v>44347</v>
      </c>
      <c r="C273" s="181">
        <v>8.2322433590888991E-2</v>
      </c>
      <c r="D273" s="181">
        <v>6.9805294512842675E-2</v>
      </c>
      <c r="E273" s="39"/>
      <c r="F273" s="39"/>
      <c r="G273" s="39"/>
      <c r="H273" s="39"/>
      <c r="I273" s="39"/>
      <c r="J273" s="44"/>
      <c r="K273" s="44"/>
      <c r="L273" s="44"/>
      <c r="M273" s="44"/>
    </row>
    <row r="274" spans="2:13" x14ac:dyDescent="0.2">
      <c r="B274" s="376">
        <v>44377</v>
      </c>
      <c r="C274" s="181">
        <v>8.4235921502113342E-2</v>
      </c>
      <c r="D274" s="181">
        <v>7.1702704150658381E-2</v>
      </c>
      <c r="E274" s="39"/>
      <c r="F274" s="39"/>
      <c r="G274" s="39"/>
      <c r="H274" s="39"/>
      <c r="I274" s="39"/>
      <c r="J274" s="44"/>
      <c r="K274" s="44"/>
      <c r="L274" s="44"/>
      <c r="M274" s="44"/>
    </row>
    <row r="275" spans="2:13" x14ac:dyDescent="0.2">
      <c r="B275" s="376"/>
      <c r="C275" s="181"/>
      <c r="D275" s="181"/>
      <c r="E275" s="39"/>
      <c r="F275" s="39"/>
      <c r="G275" s="39"/>
      <c r="H275" s="39"/>
      <c r="I275" s="39"/>
      <c r="J275" s="44"/>
      <c r="K275" s="44"/>
      <c r="L275" s="44"/>
      <c r="M275"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70" t="s">
        <v>98</v>
      </c>
      <c r="C5" s="39"/>
      <c r="D5" s="39"/>
      <c r="E5" s="39"/>
      <c r="F5" s="39"/>
      <c r="G5" s="39"/>
      <c r="H5" s="39"/>
      <c r="I5" s="39"/>
      <c r="J5" s="44"/>
      <c r="K5" s="44"/>
      <c r="L5" s="44"/>
      <c r="M5" s="44"/>
      <c r="N5" s="44"/>
      <c r="O5" s="44"/>
      <c r="P5" s="44"/>
      <c r="Q5" s="85"/>
      <c r="R5" s="85"/>
      <c r="S5" s="85"/>
      <c r="T5" s="85"/>
      <c r="U5" s="44"/>
      <c r="V5" s="44"/>
      <c r="W5" s="44"/>
    </row>
    <row r="6" spans="1:23" x14ac:dyDescent="0.2">
      <c r="B6" s="271" t="str">
        <f>'Värdeutveckling - konto'!C8</f>
        <v>Nästa uppdatering 2021-08-17</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44377</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0.16406329487929883</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0.18077410005979111</v>
      </c>
    </row>
    <row r="17" spans="1:23"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4.1967848710969147E-2</v>
      </c>
    </row>
    <row r="18" spans="1:23" ht="17.25" customHeight="1" x14ac:dyDescent="0.2">
      <c r="C18" s="80"/>
      <c r="D18" s="80"/>
      <c r="E18" s="80"/>
      <c r="F18" s="80"/>
      <c r="G18" s="80"/>
      <c r="H18" s="80"/>
      <c r="I18" s="80"/>
    </row>
    <row r="19" spans="1:23" x14ac:dyDescent="0.2">
      <c r="B19" s="44"/>
      <c r="C19" s="39"/>
      <c r="D19" s="39"/>
      <c r="E19" s="39"/>
      <c r="F19" s="39"/>
      <c r="G19" s="39"/>
      <c r="H19" s="39"/>
      <c r="I19" s="39"/>
      <c r="J19" s="39"/>
      <c r="K19" s="39"/>
      <c r="L19" s="44"/>
      <c r="M19" s="44"/>
      <c r="N19" s="44"/>
      <c r="O19" s="44"/>
      <c r="P19" s="44"/>
      <c r="Q19" s="51"/>
      <c r="R19" s="51"/>
      <c r="S19" s="51"/>
      <c r="T19" s="51"/>
      <c r="U19" s="44"/>
      <c r="V19" s="44"/>
      <c r="W19" s="44"/>
    </row>
    <row r="20" spans="1:23" x14ac:dyDescent="0.2">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x14ac:dyDescent="0.2">
      <c r="B21" s="183" t="s">
        <v>130</v>
      </c>
      <c r="C21" s="39"/>
      <c r="D21" s="39"/>
      <c r="E21" s="39"/>
      <c r="F21" s="39"/>
      <c r="G21" s="39"/>
      <c r="H21" s="39"/>
      <c r="I21" s="39"/>
      <c r="J21" s="44"/>
      <c r="K21" s="44"/>
      <c r="L21" s="20"/>
      <c r="M21" s="44"/>
      <c r="N21" s="44"/>
      <c r="O21" s="44"/>
      <c r="P21" s="44"/>
      <c r="Q21" s="43"/>
      <c r="R21" s="367"/>
      <c r="S21" s="367"/>
      <c r="T21" s="43"/>
      <c r="U21" s="44"/>
      <c r="V21" s="44"/>
      <c r="W21" s="44"/>
    </row>
    <row r="22" spans="1:23" x14ac:dyDescent="0.2">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
      <c r="A23" s="165"/>
      <c r="F23" s="173"/>
      <c r="G23" s="173"/>
      <c r="H23" s="173"/>
      <c r="I23" s="173"/>
      <c r="J23" s="173"/>
      <c r="K23" s="173"/>
      <c r="L23" s="175"/>
      <c r="M23" s="165"/>
      <c r="N23" s="174"/>
      <c r="Q23" s="171"/>
      <c r="R23" s="171"/>
      <c r="S23" s="171"/>
      <c r="T23" s="171"/>
      <c r="V23" s="170"/>
    </row>
    <row r="24" spans="1:23" x14ac:dyDescent="0.2">
      <c r="A24" s="165"/>
      <c r="F24" s="173"/>
      <c r="G24" s="173"/>
      <c r="H24" s="173"/>
      <c r="I24" s="173"/>
      <c r="J24" s="173"/>
      <c r="K24" s="173"/>
      <c r="L24" s="175"/>
      <c r="M24" s="165"/>
      <c r="N24" s="174"/>
      <c r="Q24" s="171"/>
      <c r="R24" s="171"/>
      <c r="S24" s="171"/>
      <c r="T24" s="171"/>
      <c r="V24" s="170"/>
    </row>
    <row r="25" spans="1:23" x14ac:dyDescent="0.2">
      <c r="F25" s="166"/>
      <c r="G25" s="166"/>
      <c r="H25" s="166"/>
      <c r="I25" s="166"/>
      <c r="J25" s="165"/>
      <c r="K25" s="165"/>
      <c r="L25" s="165"/>
      <c r="M25" s="165"/>
      <c r="N25" s="174"/>
      <c r="Q25" s="171"/>
      <c r="R25" s="171"/>
      <c r="S25" s="171"/>
      <c r="T25" s="171"/>
      <c r="V25" s="170"/>
    </row>
    <row r="26" spans="1:23" x14ac:dyDescent="0.2">
      <c r="F26" s="140"/>
      <c r="G26" s="140"/>
      <c r="H26" s="140"/>
      <c r="I26" s="140"/>
      <c r="K26" s="81"/>
      <c r="L26" s="81"/>
      <c r="Q26" s="171"/>
      <c r="R26" s="171"/>
      <c r="S26" s="171"/>
      <c r="T26" s="171"/>
      <c r="V26" s="170"/>
    </row>
    <row r="27" spans="1:23" x14ac:dyDescent="0.2">
      <c r="B27" s="102"/>
      <c r="C27" s="102"/>
      <c r="D27" s="102"/>
      <c r="E27" s="173"/>
      <c r="F27" s="140"/>
      <c r="G27" s="140"/>
      <c r="H27" s="140"/>
      <c r="I27" s="140"/>
      <c r="K27" s="81"/>
      <c r="L27" s="81"/>
      <c r="Q27" s="171"/>
      <c r="R27" s="171"/>
      <c r="S27" s="171"/>
      <c r="T27" s="171"/>
    </row>
    <row r="28" spans="1:23" x14ac:dyDescent="0.2">
      <c r="B28" s="102"/>
      <c r="C28" s="102"/>
      <c r="D28" s="102"/>
      <c r="E28" s="166"/>
      <c r="F28" s="102"/>
      <c r="G28" s="102"/>
      <c r="H28" s="140"/>
      <c r="I28" s="140"/>
      <c r="K28" s="81"/>
      <c r="L28" s="81"/>
      <c r="M28" s="171"/>
      <c r="N28" s="174"/>
      <c r="O28" s="174"/>
      <c r="P28" s="174"/>
      <c r="Q28" s="172"/>
      <c r="R28" s="172"/>
      <c r="S28" s="172"/>
      <c r="T28" s="172"/>
    </row>
    <row r="29" spans="1:23" x14ac:dyDescent="0.2">
      <c r="B29" s="102"/>
      <c r="C29" s="102"/>
      <c r="D29" s="102"/>
      <c r="E29" s="140"/>
      <c r="F29" s="102"/>
      <c r="G29" s="102"/>
      <c r="H29" s="140"/>
      <c r="I29" s="140"/>
      <c r="K29" s="81"/>
      <c r="L29" s="81"/>
      <c r="M29" s="171"/>
      <c r="O29" s="170"/>
      <c r="P29" s="170"/>
    </row>
    <row r="30" spans="1:23" x14ac:dyDescent="0.2">
      <c r="B30" s="102"/>
      <c r="C30" s="102"/>
      <c r="D30" s="102"/>
      <c r="E30" s="140"/>
      <c r="F30" s="102"/>
      <c r="G30" s="102"/>
      <c r="H30" s="140"/>
      <c r="I30" s="140"/>
      <c r="K30" s="81"/>
      <c r="L30" s="171"/>
      <c r="M30" s="172"/>
      <c r="N30" s="172"/>
    </row>
    <row r="31" spans="1:23" x14ac:dyDescent="0.2">
      <c r="B31" s="102"/>
      <c r="C31" s="102"/>
      <c r="D31" s="102"/>
      <c r="E31" s="102"/>
      <c r="F31" s="102"/>
      <c r="G31" s="102"/>
      <c r="H31" s="140"/>
      <c r="I31" s="140"/>
      <c r="J31" s="172"/>
      <c r="K31" s="81"/>
      <c r="M31" s="172"/>
      <c r="N31" s="170"/>
    </row>
    <row r="32" spans="1:23"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5" t="s">
        <v>6</v>
      </c>
      <c r="C6" s="39"/>
      <c r="D6" s="39"/>
      <c r="E6" s="39"/>
      <c r="F6" s="39"/>
      <c r="G6" s="39"/>
      <c r="H6" s="39"/>
      <c r="I6" s="39"/>
      <c r="J6" s="39"/>
      <c r="K6" s="44"/>
      <c r="L6" s="44"/>
      <c r="M6" s="44"/>
      <c r="N6" s="44"/>
      <c r="O6" s="44"/>
      <c r="P6" s="85"/>
      <c r="Q6" s="85"/>
      <c r="R6" s="44"/>
      <c r="S6" s="44"/>
      <c r="T6" s="44"/>
      <c r="U6" s="44"/>
      <c r="V6" s="44"/>
      <c r="W6" s="44"/>
      <c r="X6" s="44"/>
    </row>
    <row r="7" spans="1:30" x14ac:dyDescent="0.2">
      <c r="B7" s="271" t="str">
        <f>'Värdeutveckling - konto'!C8</f>
        <v>Nästa uppdatering 2021-08-17</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2"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44377</v>
      </c>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732.52332693827032</v>
      </c>
    </row>
    <row r="17" spans="2:24"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1831.4707735631598</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0"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2021-08-17</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0" t="s">
        <v>133</v>
      </c>
      <c r="C20" s="420"/>
      <c r="D20" s="364"/>
      <c r="E20" s="364"/>
      <c r="F20" s="364"/>
      <c r="H20" s="420" t="s">
        <v>128</v>
      </c>
      <c r="I20" s="420"/>
      <c r="J20" s="420"/>
      <c r="K20" s="420"/>
    </row>
    <row r="21" spans="2:22" ht="12.75" customHeight="1" x14ac:dyDescent="0.2">
      <c r="B21" s="420"/>
      <c r="C21" s="420"/>
      <c r="D21" s="364"/>
      <c r="E21" s="364"/>
      <c r="F21" s="364"/>
      <c r="H21" s="420"/>
      <c r="I21" s="420"/>
      <c r="J21" s="420"/>
      <c r="K21" s="420"/>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8"/>
      <c r="M24" s="418"/>
      <c r="N24" s="418"/>
      <c r="O24" s="418"/>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8"/>
      <c r="M25" s="418"/>
      <c r="N25" s="418"/>
      <c r="O25" s="418"/>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3">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3">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3">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3"/>
      <c r="C274" s="163"/>
      <c r="D274" s="163"/>
      <c r="E274" s="163"/>
      <c r="F274" s="163"/>
      <c r="H274" s="181"/>
      <c r="I274" s="181"/>
      <c r="J274" s="181"/>
      <c r="K274" s="181"/>
    </row>
    <row r="275" spans="2:11" x14ac:dyDescent="0.2">
      <c r="B275" s="192"/>
      <c r="J275" s="82"/>
    </row>
    <row r="276" spans="2:11" x14ac:dyDescent="0.2">
      <c r="B276" s="192"/>
      <c r="J276" s="82"/>
    </row>
    <row r="277" spans="2:11" x14ac:dyDescent="0.2">
      <c r="B277" s="192"/>
      <c r="J277" s="82"/>
    </row>
    <row r="278" spans="2:11" x14ac:dyDescent="0.2">
      <c r="B278" s="192"/>
      <c r="J278" s="82"/>
    </row>
    <row r="279" spans="2:11" x14ac:dyDescent="0.2">
      <c r="J279" s="82"/>
    </row>
    <row r="280" spans="2:11" x14ac:dyDescent="0.2">
      <c r="J280" s="82"/>
    </row>
    <row r="281" spans="2:11" x14ac:dyDescent="0.2">
      <c r="J281" s="82"/>
    </row>
    <row r="282" spans="2:11" x14ac:dyDescent="0.2">
      <c r="J282" s="82"/>
    </row>
    <row r="283" spans="2:11" x14ac:dyDescent="0.2">
      <c r="J283" s="82"/>
    </row>
    <row r="284" spans="2:11" x14ac:dyDescent="0.2">
      <c r="J284" s="82"/>
    </row>
    <row r="285" spans="2:11" x14ac:dyDescent="0.2">
      <c r="J285" s="82"/>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1056</v>
      </c>
      <c r="C10" s="399" t="s">
        <v>1057</v>
      </c>
      <c r="D10" s="44"/>
    </row>
    <row r="11" spans="2:4" x14ac:dyDescent="0.2">
      <c r="B11" s="404"/>
      <c r="C11" s="400"/>
      <c r="D11" s="44"/>
    </row>
    <row r="12" spans="2:4" x14ac:dyDescent="0.2">
      <c r="B12" s="403" t="s">
        <v>1059</v>
      </c>
      <c r="C12" s="399" t="s">
        <v>1058</v>
      </c>
      <c r="D12" s="44"/>
    </row>
    <row r="13" spans="2:4" x14ac:dyDescent="0.2">
      <c r="B13" s="404"/>
      <c r="C13" s="400"/>
      <c r="D13" s="44"/>
    </row>
    <row r="14" spans="2:4" x14ac:dyDescent="0.2">
      <c r="B14" s="403" t="s">
        <v>1060</v>
      </c>
      <c r="C14" s="401" t="s">
        <v>1061</v>
      </c>
      <c r="D14" s="44"/>
    </row>
    <row r="15" spans="2:4" x14ac:dyDescent="0.2">
      <c r="B15" s="404"/>
      <c r="C15" s="402"/>
      <c r="D15" s="44"/>
    </row>
    <row r="16" spans="2:4" x14ac:dyDescent="0.2">
      <c r="B16" s="403" t="s">
        <v>1062</v>
      </c>
      <c r="C16" s="401" t="s">
        <v>1066</v>
      </c>
      <c r="D16" s="44"/>
    </row>
    <row r="17" spans="2:4" x14ac:dyDescent="0.2">
      <c r="B17" s="404"/>
      <c r="C17" s="402"/>
      <c r="D17" s="44"/>
    </row>
    <row r="18" spans="2:4" ht="25.5" x14ac:dyDescent="0.2">
      <c r="B18" s="403" t="s">
        <v>1063</v>
      </c>
      <c r="C18" s="399" t="s">
        <v>1067</v>
      </c>
      <c r="D18" s="44"/>
    </row>
    <row r="19" spans="2:4" x14ac:dyDescent="0.2">
      <c r="B19" s="404"/>
      <c r="C19" s="400"/>
      <c r="D19" s="44"/>
    </row>
    <row r="20" spans="2:4" x14ac:dyDescent="0.2">
      <c r="B20" s="404"/>
      <c r="C20" s="400"/>
      <c r="D20" s="44"/>
    </row>
    <row r="21" spans="2:4" ht="25.5" x14ac:dyDescent="0.2">
      <c r="B21" s="403" t="s">
        <v>1064</v>
      </c>
      <c r="C21" s="399" t="s">
        <v>1065</v>
      </c>
      <c r="D21" s="44"/>
    </row>
    <row r="22" spans="2:4" x14ac:dyDescent="0.2">
      <c r="B22" s="403"/>
      <c r="C22" s="400"/>
      <c r="D22" s="44"/>
    </row>
    <row r="23" spans="2:4" ht="45.75" customHeight="1" x14ac:dyDescent="0.2">
      <c r="B23" s="403" t="s">
        <v>1053</v>
      </c>
      <c r="C23" s="405" t="s">
        <v>1068</v>
      </c>
      <c r="D23" s="44"/>
    </row>
    <row r="24" spans="2:4" ht="36" customHeight="1" x14ac:dyDescent="0.2">
      <c r="B24" s="398"/>
      <c r="C24" s="406" t="s">
        <v>1054</v>
      </c>
      <c r="D24" s="44"/>
    </row>
    <row r="25" spans="2:4" ht="47.25" customHeight="1" x14ac:dyDescent="0.2">
      <c r="B25" s="398"/>
      <c r="C25" s="406" t="s">
        <v>1055</v>
      </c>
      <c r="D25" s="44"/>
    </row>
    <row r="26" spans="2:4" ht="46.5" customHeight="1" x14ac:dyDescent="0.2">
      <c r="B26" s="398"/>
      <c r="C26" s="405" t="s">
        <v>1071</v>
      </c>
      <c r="D26" s="44"/>
    </row>
    <row r="27" spans="2:4" ht="84" customHeight="1" x14ac:dyDescent="0.2">
      <c r="B27" s="398"/>
      <c r="C27" s="405" t="s">
        <v>1072</v>
      </c>
      <c r="D27" s="44"/>
    </row>
    <row r="28" spans="2:4" ht="21.75" customHeight="1" x14ac:dyDescent="0.2">
      <c r="B28" s="398"/>
      <c r="C28" s="405" t="s">
        <v>1069</v>
      </c>
      <c r="D28" s="44"/>
    </row>
    <row r="29" spans="2:4" x14ac:dyDescent="0.2">
      <c r="B29" s="398"/>
      <c r="C29" s="407" t="s">
        <v>1070</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2021-07-16T08:03:10Z</dcterms:modified>
</cp:coreProperties>
</file>