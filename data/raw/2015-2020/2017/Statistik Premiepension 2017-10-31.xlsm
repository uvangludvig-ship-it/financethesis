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embeddings/oleObject1.bin" ContentType="application/vnd.openxmlformats-officedocument.oleObject"/>
  <Override PartName="/xl/charts/chart2.xml" ContentType="application/vnd.openxmlformats-officedocument.drawingml.chart+xml"/>
  <Override PartName="/xl/drawings/drawing8.xml" ContentType="application/vnd.openxmlformats-officedocument.drawing+xml"/>
  <Override PartName="/xl/charts/chart3.xml" ContentType="application/vnd.openxmlformats-officedocument.drawingml.chart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charts/chart4.xml" ContentType="application/vnd.openxmlformats-officedocument.drawingml.chart+xml"/>
  <Override PartName="/xl/drawings/drawing11.xml" ContentType="application/vnd.openxmlformats-officedocument.drawing+xml"/>
  <Override PartName="/xl/charts/chart5.xml" ContentType="application/vnd.openxmlformats-officedocument.drawingml.chart+xml"/>
  <Override PartName="/xl/drawings/drawing12.xml" ContentType="application/vnd.openxmlformats-officedocument.drawing+xml"/>
  <Override PartName="/xl/charts/chart6.xml" ContentType="application/vnd.openxmlformats-officedocument.drawingml.chart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F:\20-Linje lokalt\26-Analysavd\20-Statistik\74-Premiepension statistik\1 Fondsparande\Webbstatistik 2017\"/>
    </mc:Choice>
  </mc:AlternateContent>
  <bookViews>
    <workbookView xWindow="2100" yWindow="-270" windowWidth="25035" windowHeight="7875" tabRatio="724" firstSheet="9" activeTab="15"/>
  </bookViews>
  <sheets>
    <sheet name="Innehåll" sheetId="31" r:id="rId1"/>
    <sheet name="Fondval &amp; marknadsvärde" sheetId="13" r:id="rId2"/>
    <sheet name="10 mest valda fonder" sheetId="53" r:id="rId3"/>
    <sheet name="Fondstatistik" sheetId="14" r:id="rId4"/>
    <sheet name="Värdeutveckling - konto" sheetId="29" r:id="rId5"/>
    <sheet name="Värdeutv. Premiepensionssystem" sheetId="32" r:id="rId6"/>
    <sheet name="Värdeutv. fondrörelse per år" sheetId="38" r:id="rId7"/>
    <sheet name="Marknadsv. &amp; tillfört kapital" sheetId="39" r:id="rId8"/>
    <sheet name="Värdeutveckling - fondrörelse" sheetId="34" r:id="rId9"/>
    <sheet name="Värdeutv fondrörelse genomsnitt" sheetId="36" r:id="rId10"/>
    <sheet name="Avkastning pp-systemet" sheetId="27" r:id="rId11"/>
    <sheet name="Index, fondrörelsen" sheetId="25" r:id="rId12"/>
    <sheet name="Marknadsv. och tillfört kapital" sheetId="22" r:id="rId13"/>
    <sheet name="Avkastning sedan 2000" sheetId="47" r:id="rId14"/>
    <sheet name="Beskrivning av mått" sheetId="45" r:id="rId15"/>
    <sheet name="Info Makro" sheetId="43" r:id="rId16"/>
  </sheets>
  <externalReferences>
    <externalReference r:id="rId17"/>
  </externalReferences>
  <definedNames>
    <definedName name="_xlnm._FilterDatabase" localSheetId="1" hidden="1">'Fondval &amp; marknadsvärde'!$B$22:$N$22</definedName>
    <definedName name="Fråga_från_FIDB" localSheetId="3">Fondstatistik!$B$21:$O$21</definedName>
    <definedName name="Innehållsfört">Innehåll!$A$1</definedName>
    <definedName name="MyTblStart" localSheetId="1">'Fondval &amp; marknadsvärde'!$J$22</definedName>
    <definedName name="MyTblStart">Fondstatistik!$B$21</definedName>
    <definedName name="N1000F" localSheetId="14">'Beskrivning av mått'!$B$6</definedName>
    <definedName name="N1001D" localSheetId="14">'Beskrivning av mått'!$B$26</definedName>
    <definedName name="N1001D" localSheetId="15">'Info Makro'!$B$19</definedName>
    <definedName name="N1004E" localSheetId="14">'Beskrivning av mått'!$B$33</definedName>
    <definedName name="N1004E" localSheetId="15">'Info Makro'!$B$24</definedName>
    <definedName name="N1006A" localSheetId="15">'Info Makro'!$B$42</definedName>
    <definedName name="RubrFondNamn">Fondstatistik!$B$21</definedName>
    <definedName name="RubrMArknV">'Fondval &amp; marknadsvärde'!$G$21</definedName>
    <definedName name="_xlnm.Print_Area" localSheetId="3">Fondstatistik!$B$1:$T$718</definedName>
    <definedName name="_xlnm.Print_Area" localSheetId="1">'Fondval &amp; marknadsvärde'!$B$4:$N$895</definedName>
    <definedName name="_xlnm.Print_Titles" localSheetId="1">'Fondval &amp; marknadsvärde'!$21:$22</definedName>
    <definedName name="ValPFondTyp">#REF!</definedName>
    <definedName name="ViewMacroSort">'Fondval &amp; marknadsvärde'!$11:$14</definedName>
    <definedName name="ViewMacroSortFondStat">Fondstatistik!$10:$13</definedName>
    <definedName name="ViewManualSort">'Fondval &amp; marknadsvärde'!$7:$10</definedName>
    <definedName name="ViewManualSortFondStat">Fondstatistik!$7:$8</definedName>
    <definedName name="VärdeUtvKontoChartData">'Värdeutveckling - konto'!$51:$62</definedName>
  </definedNames>
  <calcPr calcId="162913"/>
</workbook>
</file>

<file path=xl/calcChain.xml><?xml version="1.0" encoding="utf-8"?>
<calcChain xmlns="http://schemas.openxmlformats.org/spreadsheetml/2006/main">
  <c r="O5" i="13" l="1"/>
  <c r="A10" i="13" s="1"/>
  <c r="O12" i="53" l="1"/>
  <c r="N12" i="53"/>
  <c r="A6" i="14" l="1"/>
  <c r="B6" i="53"/>
  <c r="I21" i="53" l="1"/>
  <c r="B5" i="53"/>
  <c r="B6" i="47" l="1"/>
  <c r="B7" i="22"/>
  <c r="B6" i="25"/>
  <c r="B6" i="27"/>
  <c r="B5" i="36"/>
  <c r="B5" i="34"/>
  <c r="B7" i="39"/>
  <c r="B5" i="38"/>
  <c r="B5" i="32"/>
  <c r="I29" i="53" l="1"/>
  <c r="I30" i="53"/>
  <c r="I31" i="53"/>
  <c r="I32" i="53"/>
  <c r="I33" i="53"/>
  <c r="I34" i="53"/>
  <c r="I35" i="53"/>
  <c r="I36" i="53"/>
  <c r="I28" i="53"/>
  <c r="I13" i="53"/>
  <c r="I14" i="53"/>
  <c r="I15" i="53"/>
  <c r="I16" i="53"/>
  <c r="I17" i="53"/>
  <c r="I18" i="53"/>
  <c r="I19" i="53"/>
  <c r="I20" i="53"/>
</calcChain>
</file>

<file path=xl/comments1.xml><?xml version="1.0" encoding="utf-8"?>
<comments xmlns="http://schemas.openxmlformats.org/spreadsheetml/2006/main">
  <authors>
    <author>Bengt Norrby</author>
  </authors>
  <commentList>
    <comment ref="I22" authorId="0" shapeId="0">
      <text>
        <r>
          <rPr>
            <b/>
            <sz val="9"/>
            <color indexed="81"/>
            <rFont val="Tahoma"/>
            <family val="2"/>
          </rPr>
          <t>Bengt Norrby:</t>
        </r>
        <r>
          <rPr>
            <sz val="9"/>
            <color indexed="81"/>
            <rFont val="Tahoma"/>
            <family val="2"/>
          </rPr>
          <t xml:space="preserve">
Handel netto som har varit under aktuell månad Netto = Köp - Sälj</t>
        </r>
      </text>
    </comment>
  </commentList>
</comments>
</file>

<file path=xl/sharedStrings.xml><?xml version="1.0" encoding="utf-8"?>
<sst xmlns="http://schemas.openxmlformats.org/spreadsheetml/2006/main" count="9983" uniqueCount="2044">
  <si>
    <t xml:space="preserve">Tillfört kapital är pengar från den tillfälliga förvaltningen (inklusive ränta) samt återförda fondavgifter och arvsvinster. Från det tillförda kapitalet har det dragits </t>
  </si>
  <si>
    <t xml:space="preserve">Från det tillförda kapitalet har det dragits av för pensionsutbetalningar, myndighetens avgift, samt överföringar till </t>
  </si>
  <si>
    <t xml:space="preserve">traditionell försäkring. Jämförelsen mellan marknadsvärde och tillfört kapital ger alltså inte en fullständig bild av </t>
  </si>
  <si>
    <t>utvecklingen av de inbetalda pensionsrätterna.</t>
  </si>
  <si>
    <t xml:space="preserve">Tillfört kapital är pengar från den tillfälliga förvaltningen (inklusive ränta) samt återförda fondavgifter och arvsvinster. </t>
  </si>
  <si>
    <t xml:space="preserve">Real avkastning = avkastning/inflation (KPI) </t>
  </si>
  <si>
    <t>Marknadsvärde och tillfört kapital till fondrörelsen</t>
  </si>
  <si>
    <t xml:space="preserve">Svensk/ </t>
  </si>
  <si>
    <t>Fondavgift, % netto:       TER minus myndighetens rabatt, pensionsspararens avgift till förvaltaren.</t>
  </si>
  <si>
    <t xml:space="preserve">TER:                               (Total expence ratio) När myndighetens rabatt på fondavgiften beräknas används TER. I TER ingår fondens alla </t>
  </si>
  <si>
    <t>Tidsviktad årsavkastning (TVA)</t>
  </si>
  <si>
    <t>Real tidsviktad årsavkastning (TVA)</t>
  </si>
  <si>
    <t xml:space="preserve">av för pensionsutbetalningar, myndighetens avgift, samt överföringar till traditionell försäkring. Jämförelsen mellan marknadsvärde och tillfört kapital ger alltså </t>
  </si>
  <si>
    <t>inte en fullständig bild av utvecklingen av de inbetalda pensionsrätterna.</t>
  </si>
  <si>
    <t>Etisk</t>
  </si>
  <si>
    <t>Balansindex är den siffra med vilken inkomstpensionen räknas upp årligen och är jämförbar med den kapitalviktade årsavkastningen.</t>
  </si>
  <si>
    <t xml:space="preserve">Real avkastning = avkastning justerad för inflation (KPI) </t>
  </si>
  <si>
    <t>Snitt 5 år:                        Geometriska medelvärdet av fondernas värdeutveckling i SEK för de senaste 60 månaderna (5 år).</t>
  </si>
  <si>
    <t>Seligson &amp; Co Global Top 25 Pharmaceuticals</t>
  </si>
  <si>
    <t>SEB Läkemedelsfond</t>
  </si>
  <si>
    <t>Länsförsäkringar Fastighetsfond</t>
  </si>
  <si>
    <t xml:space="preserve">Observera att kontona i staplarna har olika startår, beroende på när pensionsspararen fått sin första insättning till premiepensionen. </t>
  </si>
  <si>
    <t>De tio mest valda fonderna</t>
  </si>
  <si>
    <t>De tio fonderna med mest kapital</t>
  </si>
  <si>
    <t>De tio fonderna med högst värdeutveckling, snitt 5 år</t>
  </si>
  <si>
    <t>Så här har vi räknat</t>
  </si>
  <si>
    <t>Internräntan är beräknad enligt nedanstående formel:</t>
  </si>
  <si>
    <t>där</t>
  </si>
  <si>
    <t>r = internräntan under perioden uttryckt i årstakt</t>
  </si>
  <si>
    <t>t = antalet dagar sedan startpunkten</t>
  </si>
  <si>
    <t>Beskrivning av mått</t>
  </si>
  <si>
    <t>Risk:                               Standardavvikelse, 36 månader, anger hur kursutvecklingen avviker från medelvärdet.</t>
  </si>
  <si>
    <t xml:space="preserve">Fondavgift, % brutto:      Motsvarar TER. </t>
  </si>
  <si>
    <t xml:space="preserve">                                       kostnader utom transaktionskostnader, kupongskatt, räntekostnader eller valutaförluster.</t>
  </si>
  <si>
    <t>Sharpe-kvot:                   Ett mått på riskjusterad avkastning. Sharpe-kvot = (Värdeutvecklingen hos fonden - riskfria räntan) / Standardavvikelsen hos fonden (risk).</t>
  </si>
  <si>
    <t>Balansindex, (IR)</t>
  </si>
  <si>
    <t>Kan du ändå inte sortera?</t>
  </si>
  <si>
    <t>I år</t>
  </si>
  <si>
    <t>3 mån.</t>
  </si>
  <si>
    <t>6 mån.</t>
  </si>
  <si>
    <t>12 mån.</t>
  </si>
  <si>
    <t>36 mån.</t>
  </si>
  <si>
    <t>60 mån.</t>
  </si>
  <si>
    <t/>
  </si>
  <si>
    <t>De tio mest valda fonderna m.m</t>
  </si>
  <si>
    <t>Värdeutveckling - individuella konton</t>
  </si>
  <si>
    <t>Värdeutveckling - pensionssystemet</t>
  </si>
  <si>
    <t>(klicka på resp rubrik för att komma till sidan)</t>
  </si>
  <si>
    <t>Netto</t>
  </si>
  <si>
    <t>Brutto (TER)</t>
  </si>
  <si>
    <t>Klicka på resp rubrik för att sortera (stigande eller fallande)</t>
  </si>
  <si>
    <t xml:space="preserve">Internräntan (IR), är den kapitalviktade avkastningen under perioden uttryckt i årstakt. Den anger årlig genomsnittlig värdeutveckling för en persons </t>
  </si>
  <si>
    <t xml:space="preserve">premiepension och kan jämföras med räntan på ett bankkonto. Internräntan kan däremot inte jämföras med marknadsindex eller med den enskilda fondens avkastning. </t>
  </si>
  <si>
    <t xml:space="preserve">Tidsviktad avkastning TVA, mäter avkastningen på en genomsnittlig krona som sattes in i premiepensionssystemet 2000-12-13. Premiepensionsindex </t>
  </si>
  <si>
    <t>Då kan inställningarna till säkerhetsnivån för makron vara för hög på din dator. Ett alternativ</t>
  </si>
  <si>
    <t>kan då vara att kontakta nätverksadministratören på din arbetsplats.</t>
  </si>
  <si>
    <t>När balanstalet är mindre än 1 går pensionssystemet med underskott. För att återställa balansen i systemet används balansindex i stället för inkomstindex.</t>
  </si>
  <si>
    <t>Balansindex</t>
  </si>
  <si>
    <t>Swedbank Robur Transfer 80</t>
  </si>
  <si>
    <t>Swedbank Robur Transfer 70</t>
  </si>
  <si>
    <t>Swedbank Robur Aktiefond Pension</t>
  </si>
  <si>
    <t>Swedbank Robur Medica</t>
  </si>
  <si>
    <t>sorteringsfunktionaliteten måste du stänga dokumentet och öppna på nytt med valet "Aktivera makron".</t>
  </si>
  <si>
    <t>För att kunna få tillgång till enkel sorteringsfunktionalitet i vissa blad behöver man aktivera makron.</t>
  </si>
  <si>
    <t>Man kan även sortera manuellt om man inte vill utnyttja makrofunktionaliteten. Gå då direkt till</t>
  </si>
  <si>
    <t xml:space="preserve">Detta görs genom att klicka på "Aktivera makron" när detta dokument öppnas (se nedan). </t>
  </si>
  <si>
    <t>Har du valt att klicka på "Inaktivera makron" när detta dokument öppnades och vill kunna använda</t>
  </si>
  <si>
    <t>Värdeutveckling för fondrörelsen i genomsnitt per år</t>
  </si>
  <si>
    <t>Utländsk</t>
  </si>
  <si>
    <t>Fondnamn</t>
  </si>
  <si>
    <t>Fondkategori</t>
  </si>
  <si>
    <t>Risk</t>
  </si>
  <si>
    <t>Marknadsvärde</t>
  </si>
  <si>
    <t>Förvaltare</t>
  </si>
  <si>
    <t>Kvinnor</t>
  </si>
  <si>
    <t>Män</t>
  </si>
  <si>
    <t>Total</t>
  </si>
  <si>
    <t>Fondtyp</t>
  </si>
  <si>
    <t>Värdeutveckling i SEK (%)</t>
  </si>
  <si>
    <t>Sharpe-</t>
  </si>
  <si>
    <t>kvot</t>
  </si>
  <si>
    <t>valuta</t>
  </si>
  <si>
    <t>Noterings-</t>
  </si>
  <si>
    <t>Fondnummer</t>
  </si>
  <si>
    <t>Värdeutveckling</t>
  </si>
  <si>
    <t xml:space="preserve">och vid vilka tidpunkter som flödena har skett samt det totala marknadsvärdet i fonderna vid tidpunkten för beräkningen. </t>
  </si>
  <si>
    <t>Med årsavkastning avses genomsnittlig årsavkastning sedan start.</t>
  </si>
  <si>
    <t>Siffrorna omfattar både avkastningen i fondrörelsen och avkastningen av pengarna fram till tidpunkten då de placerades i fonderna.</t>
  </si>
  <si>
    <t>Tidsviktad avkastning sedan start (TVA)</t>
  </si>
  <si>
    <t>Real tidsviktad avkastning sedan start (TVA)</t>
  </si>
  <si>
    <t xml:space="preserve">Den kapitalviktade avkastningen kan inte jämföras med marknadsindex eller med enskilda fonders avkastning. </t>
  </si>
  <si>
    <t xml:space="preserve"> </t>
  </si>
  <si>
    <t>Svensk/</t>
  </si>
  <si>
    <t>Fondavgift (%)</t>
  </si>
  <si>
    <t>Netto tillfört kapital, mdr</t>
  </si>
  <si>
    <t>Marknadsvärde, mdr</t>
  </si>
  <si>
    <t>Didner &amp; Gerge Aktiefond</t>
  </si>
  <si>
    <t>innehållsförteckningen genom att klicka på knappen här bredvid.</t>
  </si>
  <si>
    <t>INNEHÅLLSFÖRTECKNING</t>
  </si>
  <si>
    <t>Didner &amp; Gerge Småbolag</t>
  </si>
  <si>
    <t>Marknadsvärde = Fondandelar * Fondkurs * Valutakurs.</t>
  </si>
  <si>
    <t xml:space="preserve">Kapitalviktad avkastning anger genomsnittlig årlig utveckling för en genomsnittlig persons premiepensionskonto. </t>
  </si>
  <si>
    <t>Måttet kan jämföras med räntan på ett bankkonto.</t>
  </si>
  <si>
    <t>Snitt 5 år</t>
  </si>
  <si>
    <t xml:space="preserve">Med årsavkastningn menas genomsnittlig avkastning sedan start. </t>
  </si>
  <si>
    <t>AMF Balansfond</t>
  </si>
  <si>
    <t>AMF Aktiefond Världen</t>
  </si>
  <si>
    <t>AMF Aktiefond Sverige</t>
  </si>
  <si>
    <t xml:space="preserve">Tidsviktad avkastning, TVA mäter avkastningen på en genomsnittlig krona som sattes in i premiepensionssystemet 2000-12-13. Premiepensionsindex </t>
  </si>
  <si>
    <t xml:space="preserve">Antal fondval, visar aktuellt läge vid månadsslut. </t>
  </si>
  <si>
    <t>Antal fondval</t>
  </si>
  <si>
    <t>Fondval och aktuellt marknadsvärde</t>
  </si>
  <si>
    <t xml:space="preserve">kan jämföras med marknadsindex och enskilda fonders avkastning. Rabatten på fondavgiften, myndighetens avgift och arvsvinster är inte medräknade. </t>
  </si>
  <si>
    <t>Värdeutveckling för premiepensionsfondernas index</t>
  </si>
  <si>
    <t xml:space="preserve">Med årsavkastning menas genomsnittlig avkastning sedan start. </t>
  </si>
  <si>
    <t>Kapitalviktad 
årsavkastning (IR)</t>
  </si>
  <si>
    <t>Real kapitalviktad årsavkastning (IR)</t>
  </si>
  <si>
    <t>Värdeutveckling för fondrörelsen per kalenderår</t>
  </si>
  <si>
    <t>och enskilda fonders avkastning. Rabatter på fondavgifter, myndighetens avgift och arvsvinster är inte medräknade.</t>
  </si>
  <si>
    <t xml:space="preserve">Avkastningen i fondrörelsen mäter avkastningen på en genomsnittlig krona som sattes in i början på året. </t>
  </si>
  <si>
    <t xml:space="preserve">Det kan jämföras med marknadsindex och enskilda fonders avkastning. </t>
  </si>
  <si>
    <t>Rabatter på fondavgifter, myndighetens avgift och arvsvinster är inte medräknade.</t>
  </si>
  <si>
    <t>Värdeutveckling - Premiepensionssystemet</t>
  </si>
  <si>
    <t>Värdeutveckling - fondrörelsen per kalenderår</t>
  </si>
  <si>
    <t>Värdeutveckling - fondrörelsen i genomsnitt per år</t>
  </si>
  <si>
    <t>Startdatum</t>
  </si>
  <si>
    <t xml:space="preserve">Avkastningen i fondrörelsen, inklusive Sjunde AP-fonden, mäter avkastningen på en genomsnittlig krona som sattes in i början på året. Det kan jämföras med marknadsindex </t>
  </si>
  <si>
    <t>Fondstatistik</t>
  </si>
  <si>
    <t>Swedbank Robur Technology</t>
  </si>
  <si>
    <t>Evli Sverige Småbolag</t>
  </si>
  <si>
    <t>Nordea Generationsfond 60-tal</t>
  </si>
  <si>
    <t>Balansindex, realt (IR) *</t>
  </si>
  <si>
    <t>Allianz Thailand Equity</t>
  </si>
  <si>
    <t>UBS (Lux) Equity Fund - Biotech (USD)</t>
  </si>
  <si>
    <t xml:space="preserve">Beräkningen av värdeutvecklingen i premiepensionssystemet är beräknad som internränta. Det innebär att man vid beräkningen tar hänsyn till alla flöden in och ut ur systemet </t>
  </si>
  <si>
    <t xml:space="preserve">De första flödena till premiepensionssystemet kom in under 1995 då det nya pensionssystemet startade. </t>
  </si>
  <si>
    <t>Ct = kassaflöde vid tidpunkten t (CT är slutvärdet som antas vara ett negativt kassaflöde)</t>
  </si>
  <si>
    <t>HealthInvest Value Fund</t>
  </si>
  <si>
    <t>Månadsstatistik om premiepension</t>
  </si>
  <si>
    <t xml:space="preserve">Diagrammet visar den årliga värdeutvecklingen för spararnas totala premiepension inom fondförsäkring sedan 1995 (orangea kurva) och hur motsvarande utveckling varit </t>
  </si>
  <si>
    <t>om insättningarna till premiepension istället avsatts till inkomstpensionen och haft samma värdeutveckling som balansindex (röd kurva).</t>
  </si>
  <si>
    <t xml:space="preserve">När vi gör motsvarande internränteberäkning med hjälp av inkomstindex/balansindex använder vi samma flöden och marknadvärden som vid beräkning av värdeutvecklingen </t>
  </si>
  <si>
    <t>i premiepensionen.</t>
  </si>
  <si>
    <t xml:space="preserve">Diagrammet belyser värdeutvecklingen för fondrörelsen, dvs alla fonder inklusive Premiesparfonden och AP7 Såfa sedan systemets start 2000-12-13. </t>
  </si>
  <si>
    <t xml:space="preserve">Diagrammet visar värdeutvecklingen för fondrörelsen, dvs alla fonder inklusive Premiesparfonden och AP7 Såfa sedan systemets start 2000-12-13. </t>
  </si>
  <si>
    <t xml:space="preserve">I tabellen nedan kan man därför jämföra den genomsnittlige personens avkastning i premiepensionssystemet </t>
  </si>
  <si>
    <t xml:space="preserve">med personens avkastning i inkomstpensionen. </t>
  </si>
  <si>
    <t>1) I beräkningen av värdeutvecklingen i fondrörelsen ingår alla fonder på fondtorget inklusive AP7 Aktiefond och AP7 Räntefond.</t>
  </si>
  <si>
    <t>2) I beräkningen av värdeutveckling för Sjunde AP-fondens förvaltning ingår AP7 Aktiefond och AP7 Räntefond.</t>
  </si>
  <si>
    <t xml:space="preserve">Tidsviktad avkastning (TVA), mäter avkastningen på en genomsnittlig krona som sattes in i premiepensionssystemet 2000-12-13. </t>
  </si>
  <si>
    <t>Datum</t>
  </si>
  <si>
    <t>Premiepensionsindex kan jämföras med marknadsindex och enskilda fonders avkastning. Rabatten på fondavgiften,</t>
  </si>
  <si>
    <t xml:space="preserve"> myndighetens avgift och arvsvinster är inte medräknade. </t>
  </si>
  <si>
    <t>SEK</t>
  </si>
  <si>
    <t>Svensk</t>
  </si>
  <si>
    <t>IKC Fonder AB</t>
  </si>
  <si>
    <t>Avanza Zero - Fonden utan avgifter</t>
  </si>
  <si>
    <t>Avanza Fonder AB</t>
  </si>
  <si>
    <t>Handelsbanken Funds</t>
  </si>
  <si>
    <t>Pension om mindre än 10 år</t>
  </si>
  <si>
    <t>AP7 Räntefond</t>
  </si>
  <si>
    <t>Sjunde AP-Fonden</t>
  </si>
  <si>
    <t>Fonden tar miljö och/eller etisk hänsyn</t>
  </si>
  <si>
    <t>Spiltan Räntefond Sverige</t>
  </si>
  <si>
    <t>Spiltan Fonder AB</t>
  </si>
  <si>
    <t>Öhman Penningmarknadsfond</t>
  </si>
  <si>
    <t>E. Öhman J:or Fonder AB</t>
  </si>
  <si>
    <t>AMF Räntefond kort</t>
  </si>
  <si>
    <t>AMF Fonder AB</t>
  </si>
  <si>
    <t>Öhman Obligationsfond</t>
  </si>
  <si>
    <t>AMF Räntefond Lång</t>
  </si>
  <si>
    <t>Swedbank Robur Fonder AB</t>
  </si>
  <si>
    <t>Länsförsäkringar Kort Räntefond</t>
  </si>
  <si>
    <t>Länsförsäkringar Fondförvaltning AB (publ)</t>
  </si>
  <si>
    <t>Folksam LO Obligation</t>
  </si>
  <si>
    <t>SKAGEN Krona</t>
  </si>
  <si>
    <t>SKAGEN Fonder</t>
  </si>
  <si>
    <t>SPP Obligationsfond</t>
  </si>
  <si>
    <t>SPP Fonder AB</t>
  </si>
  <si>
    <t>SPP Penningmarknadsfond</t>
  </si>
  <si>
    <t>AP7 Aktiefond</t>
  </si>
  <si>
    <t>Global</t>
  </si>
  <si>
    <t>AMF Räntefond Mix</t>
  </si>
  <si>
    <t>Simplicity Likviditet</t>
  </si>
  <si>
    <t>Simplicity AB</t>
  </si>
  <si>
    <t>Länsförsäkringar Kort Ränta Företag</t>
  </si>
  <si>
    <t>KPA Etisk Räntefond</t>
  </si>
  <si>
    <t>Carnegie Likviditetsfond</t>
  </si>
  <si>
    <t>Carnegie Fonder AB</t>
  </si>
  <si>
    <t>SPP Företagsobligationsfond</t>
  </si>
  <si>
    <t>Swedbank Robur Penningmarknadsfond</t>
  </si>
  <si>
    <t>Nordea Funds Ab</t>
  </si>
  <si>
    <t>Carnegie Obligationsfond</t>
  </si>
  <si>
    <t>Öhman Realobligationsfond</t>
  </si>
  <si>
    <t>Handelsbanken Fonder AB</t>
  </si>
  <si>
    <t>Lannebo Likviditetsfond</t>
  </si>
  <si>
    <t>Lannebo Fonder AB</t>
  </si>
  <si>
    <t>Evli Likviditet</t>
  </si>
  <si>
    <t>Evli Fondbolag Ab</t>
  </si>
  <si>
    <t>SPP Aktiefond Europa</t>
  </si>
  <si>
    <t>SPP Aktiefond Japan</t>
  </si>
  <si>
    <t>Japan</t>
  </si>
  <si>
    <t>Seligson &amp; Co Euroobligation</t>
  </si>
  <si>
    <t>EUR</t>
  </si>
  <si>
    <t>Seligson &amp; Co Fondbolag Abp</t>
  </si>
  <si>
    <t>SPP Aktiefond USA</t>
  </si>
  <si>
    <t>Danske Invest Sverige Kort Ränta</t>
  </si>
  <si>
    <t>Danske Capital AB</t>
  </si>
  <si>
    <t>SEB Korträntefond SEK</t>
  </si>
  <si>
    <t>SEB Investment Management AB</t>
  </si>
  <si>
    <t>SPP Aktiefond Sverige</t>
  </si>
  <si>
    <t>Länsförsäkringar Lång Räntefond</t>
  </si>
  <si>
    <t>SPP Aktiefond Global</t>
  </si>
  <si>
    <t>Swedbank Robur Mixfond Pension</t>
  </si>
  <si>
    <t>AMF Aktiefond Europa</t>
  </si>
  <si>
    <t>Europa</t>
  </si>
  <si>
    <t>AMF Aktiefond Global</t>
  </si>
  <si>
    <t>AMF Aktiefond Mix</t>
  </si>
  <si>
    <t>AMF Aktiefond Nordamerika</t>
  </si>
  <si>
    <t>Sverige</t>
  </si>
  <si>
    <t>KPA Etisk Aktiefond</t>
  </si>
  <si>
    <t>KPA Etisk Blandfond 2</t>
  </si>
  <si>
    <t>Nordea Stratega Ränta</t>
  </si>
  <si>
    <t>Folksam LO Västfonden</t>
  </si>
  <si>
    <t>DNB Asset Management S.A.</t>
  </si>
  <si>
    <t>Skandia Penningmarknadsfond</t>
  </si>
  <si>
    <t>Skandia Fonder AB</t>
  </si>
  <si>
    <t>Folksam LO Sverige</t>
  </si>
  <si>
    <t>Folksam LO Världen</t>
  </si>
  <si>
    <t>Alfred Berg Fonder AB</t>
  </si>
  <si>
    <t>Swedbank Robur Sverigefond MEGA</t>
  </si>
  <si>
    <t>SPP Generation 80-tal</t>
  </si>
  <si>
    <t>Swedbank Robur Globalfond MEGA</t>
  </si>
  <si>
    <t>Nordea Obligationsfond</t>
  </si>
  <si>
    <t>Nordea Realräntefond</t>
  </si>
  <si>
    <t>SEB Realräntefond SEK (SEB Fund 3- SEB Index Linked Bond Fund)</t>
  </si>
  <si>
    <t>Handelsbanken Sverige OMXSB Index</t>
  </si>
  <si>
    <t>Enter Fonder AB</t>
  </si>
  <si>
    <t>SPP Generation 40-tal</t>
  </si>
  <si>
    <t>SPP Generation 50-tal</t>
  </si>
  <si>
    <t>SPP Generation 60-tal</t>
  </si>
  <si>
    <t>SPP Generation 70-tal</t>
  </si>
  <si>
    <t>Swedbank Robur Europafond MEGA</t>
  </si>
  <si>
    <t>Aktiespararna Topp Sverige</t>
  </si>
  <si>
    <t>Aktieinvest Fonder AB</t>
  </si>
  <si>
    <t>Nordea Generationsfond 50-tal</t>
  </si>
  <si>
    <t>Solidar Fonder Flex 70</t>
  </si>
  <si>
    <t>Solidar Fonder AB</t>
  </si>
  <si>
    <t>Nordea Generationsfond 70-tal</t>
  </si>
  <si>
    <t>Nordea Generationsfond 80-tal</t>
  </si>
  <si>
    <t>Nordea Generationsfond 90-tal</t>
  </si>
  <si>
    <t>AMF Aktiefond Asien Stilla Havet</t>
  </si>
  <si>
    <t>Solidar Fonder Flex 100</t>
  </si>
  <si>
    <t>IT och kommunikation</t>
  </si>
  <si>
    <t>Nordea Generationsfond Senior</t>
  </si>
  <si>
    <t>Länsförsäkringar Pension 2010</t>
  </si>
  <si>
    <t>Skandia Sverige Exponering</t>
  </si>
  <si>
    <t>AMF Aktiefond Småbolag</t>
  </si>
  <si>
    <t>Sverige småbolag</t>
  </si>
  <si>
    <t>SEB Generationsfond 60-tal</t>
  </si>
  <si>
    <t>SEB Generationsfond 70-tal</t>
  </si>
  <si>
    <t>SEB Generationsfond 50-tal</t>
  </si>
  <si>
    <t>Länsförsäkringar Företagsobligation Norden</t>
  </si>
  <si>
    <t>Länsförsäkringar Pension 2015</t>
  </si>
  <si>
    <t>Länsförsäkringar Pension 2020</t>
  </si>
  <si>
    <t>Skandia Nordamerika Exponering</t>
  </si>
  <si>
    <t>Skandia Europa Exponering</t>
  </si>
  <si>
    <t>Skandia Global Exponering</t>
  </si>
  <si>
    <t>Skandia Japan Exponering</t>
  </si>
  <si>
    <t>SEB Generationsfond 80-tal - Lux ack</t>
  </si>
  <si>
    <t>Handelsbanken Sverige Index Criteria</t>
  </si>
  <si>
    <t>Länsförsäkringar Pension 2025</t>
  </si>
  <si>
    <t>Länsförsäkringar Pension 2030</t>
  </si>
  <si>
    <t>SPP Global Topp 100</t>
  </si>
  <si>
    <t>Länsförsäkringar Pension 2040</t>
  </si>
  <si>
    <t>Länsförsäkringar Pension 2045</t>
  </si>
  <si>
    <t>Evli Short Corporate Bond</t>
  </si>
  <si>
    <t>Skandia Kapitalmarknadsfond</t>
  </si>
  <si>
    <t>Skandia Realräntefond</t>
  </si>
  <si>
    <t>SPP Aktiefond Stabil</t>
  </si>
  <si>
    <t>Länsförsäkringar Pension 2035</t>
  </si>
  <si>
    <t>Handelsbanken Global Index Criteria</t>
  </si>
  <si>
    <t>GodFond Sverige &amp; Världen</t>
  </si>
  <si>
    <t>Cicero Avkastningsfond</t>
  </si>
  <si>
    <t>Cicero Fonder AB</t>
  </si>
  <si>
    <t>Öhman Etisk Index Sverige</t>
  </si>
  <si>
    <t>Monyx Aktiv Ränta</t>
  </si>
  <si>
    <t>SEB Fund Services S.A.</t>
  </si>
  <si>
    <t>Handelsbanken Råvarufond</t>
  </si>
  <si>
    <t>Övriga branscher</t>
  </si>
  <si>
    <t>Danske Invest Global Index</t>
  </si>
  <si>
    <t>Evli Sverige Aktieindex</t>
  </si>
  <si>
    <t>Alfred Berg Obligasjon</t>
  </si>
  <si>
    <t>NOK</t>
  </si>
  <si>
    <t>Alfred Berg Kapitalforvaltning AS</t>
  </si>
  <si>
    <t>Nya marknader</t>
  </si>
  <si>
    <t>Nordea Global</t>
  </si>
  <si>
    <t>Nordea Japan Fund</t>
  </si>
  <si>
    <t>Övriga länder</t>
  </si>
  <si>
    <t>Evli Statsobligation</t>
  </si>
  <si>
    <t>SKAGEN Tellus</t>
  </si>
  <si>
    <t>Nordea North America Fund</t>
  </si>
  <si>
    <t>Swedbank Robur Transfer 50</t>
  </si>
  <si>
    <t>Swedbank Robur Transfer 60</t>
  </si>
  <si>
    <t>Swedbank Robur Transfer 90</t>
  </si>
  <si>
    <t>Handelsbanken MSCI Emerging Markets Index</t>
  </si>
  <si>
    <t>Lärarfond 21-44 år</t>
  </si>
  <si>
    <t>Lärarfond 45-58 år</t>
  </si>
  <si>
    <t>Lärarfond 59+</t>
  </si>
  <si>
    <t>SPP Emerging Markets SRI</t>
  </si>
  <si>
    <t>Danske Invest SRI Global</t>
  </si>
  <si>
    <t>Handelsbanken Tillväxtmarknadsfond Obligation</t>
  </si>
  <si>
    <t>Aktie-Ansvar Avkastningsfond</t>
  </si>
  <si>
    <t>Aktie-Ansvar AB</t>
  </si>
  <si>
    <t>Danske Invest Horisont Ränta</t>
  </si>
  <si>
    <t>Swedbank Robur Realinvest</t>
  </si>
  <si>
    <t>Swedbank Robur Småbolagsfond Europa</t>
  </si>
  <si>
    <t>Swedbank Robur Småbolagsfond Norden</t>
  </si>
  <si>
    <t>Norden</t>
  </si>
  <si>
    <t>Swedbank Robur Småbolagsfond Sverige</t>
  </si>
  <si>
    <t>Swedbank Robur Östeuropafond</t>
  </si>
  <si>
    <t>Östeuropa</t>
  </si>
  <si>
    <t>Ålandsbanken Euro Bond</t>
  </si>
  <si>
    <t>Ålandsbanken Fondbolag Ab</t>
  </si>
  <si>
    <t>Öhman Etisk Index USA</t>
  </si>
  <si>
    <t>Carnegie Corporate Bond</t>
  </si>
  <si>
    <t>Catella Avkastningsfond</t>
  </si>
  <si>
    <t>Catella Fondförvaltning AB</t>
  </si>
  <si>
    <t>Catella Sverige Index</t>
  </si>
  <si>
    <t>Swedbank Robur Nordenfond</t>
  </si>
  <si>
    <t>BL - Bond Euro</t>
  </si>
  <si>
    <t>Banque de Luxembourg S.A.</t>
  </si>
  <si>
    <t>Öhman Etisk Index Japan</t>
  </si>
  <si>
    <t>Öhman Etisk Index Pacific</t>
  </si>
  <si>
    <t>Öhman Etisk Index Europa</t>
  </si>
  <si>
    <t>Alfred Berg Ränteallokering Plus</t>
  </si>
  <si>
    <t>Monyx Svenska Aktier</t>
  </si>
  <si>
    <t>Spiltan Högräntefond</t>
  </si>
  <si>
    <t>Seligson &amp; Co Global Top 25 Brands</t>
  </si>
  <si>
    <t>Didner &amp; Gerge Fonder AB</t>
  </si>
  <si>
    <t>Evli Corporate Bond SEK Hedged</t>
  </si>
  <si>
    <t>Evli Corporate Bond</t>
  </si>
  <si>
    <t>Kina</t>
  </si>
  <si>
    <t>BL - Bond Dollar</t>
  </si>
  <si>
    <t>USD</t>
  </si>
  <si>
    <t>Nordea Swedish Stars</t>
  </si>
  <si>
    <t>Pictet Global Bonds</t>
  </si>
  <si>
    <t>Länsförsäkringar Sverige Aktiv</t>
  </si>
  <si>
    <t>Nordea Europe Fund</t>
  </si>
  <si>
    <t>Nordea Småbolagsfond Norden</t>
  </si>
  <si>
    <t>Skandia Smart Försiktig</t>
  </si>
  <si>
    <t>Nordea Far East Fund</t>
  </si>
  <si>
    <t>SEB Asset Selection Lux Ack</t>
  </si>
  <si>
    <t>Holberg Kreditt</t>
  </si>
  <si>
    <t>Holberg Fondsforvaltning AS</t>
  </si>
  <si>
    <t>SKAGEN Vekst</t>
  </si>
  <si>
    <t>Evli High Yield SEK Hedged</t>
  </si>
  <si>
    <t>Simplicity Företagsobligationer</t>
  </si>
  <si>
    <t>SKAGEN Global</t>
  </si>
  <si>
    <t>Evli High Yield</t>
  </si>
  <si>
    <t>Nordea Latinamerikafonden</t>
  </si>
  <si>
    <t>Latinamerika</t>
  </si>
  <si>
    <t>Handelsbanken Sverigefond</t>
  </si>
  <si>
    <t>SEB Världenfond</t>
  </si>
  <si>
    <t>Öhman Företagsobligationsfond</t>
  </si>
  <si>
    <t>Evli Emerging Markets Credit</t>
  </si>
  <si>
    <t>Carnegie Sverigefond</t>
  </si>
  <si>
    <t>Cicero Emerging Markets Index A</t>
  </si>
  <si>
    <t>SEB Nordenfond</t>
  </si>
  <si>
    <t>Cicero China Index A</t>
  </si>
  <si>
    <t>Nordea Kinafond</t>
  </si>
  <si>
    <t>Nordea Nya Tillväxtmarknader</t>
  </si>
  <si>
    <t>Nordea Rysslandsfond</t>
  </si>
  <si>
    <t>Ryssland</t>
  </si>
  <si>
    <t>PineBridge Global Bond Fund</t>
  </si>
  <si>
    <t>PineBridge Investments Ireland Limited</t>
  </si>
  <si>
    <t>SEB Pension Fund</t>
  </si>
  <si>
    <t>Didner &amp; Gerge Global</t>
  </si>
  <si>
    <t>Handelsbanken Svenska Småbolagsfond</t>
  </si>
  <si>
    <t>Sparinvest S.A.</t>
  </si>
  <si>
    <t>Carnegie Strategifond</t>
  </si>
  <si>
    <t>Danske Invest Management Company S.A.</t>
  </si>
  <si>
    <t>Länsförsäkringar Trygghetsfond</t>
  </si>
  <si>
    <t>Länsförsäkringar USA Aktiv</t>
  </si>
  <si>
    <t>SEB Aktiesparfond</t>
  </si>
  <si>
    <t>SEB Europafond</t>
  </si>
  <si>
    <t>Handelsbanken Amerika Småbolag</t>
  </si>
  <si>
    <t>Länsförsäkringar Småbolag Sverige</t>
  </si>
  <si>
    <t>Solidar Fonder Sverige</t>
  </si>
  <si>
    <t>Länsförsäkringar Europa Aktiv</t>
  </si>
  <si>
    <t>Swedbank Robur Rysslandsfond</t>
  </si>
  <si>
    <t>Delphi Nordic</t>
  </si>
  <si>
    <t>Ålandsbanken Euro High Yield</t>
  </si>
  <si>
    <t>Nordea Globala Tillväxtmarknader</t>
  </si>
  <si>
    <t>Länsförsäkringar Asienfond</t>
  </si>
  <si>
    <t>Delphi Europe</t>
  </si>
  <si>
    <t>Delphi Global</t>
  </si>
  <si>
    <t>SEB Teknologifond</t>
  </si>
  <si>
    <t>Inside Sweden</t>
  </si>
  <si>
    <t>Insiderfonder AB</t>
  </si>
  <si>
    <t>Simplicity Global Corporate Bond</t>
  </si>
  <si>
    <t>Carnegie Småbolagsfond</t>
  </si>
  <si>
    <t>Danske Invest Horisont Försiktig</t>
  </si>
  <si>
    <t>SEB Nordamerikafond</t>
  </si>
  <si>
    <t>Nordea Indienfond</t>
  </si>
  <si>
    <t>SEB Japanfond</t>
  </si>
  <si>
    <t>Aberdeen Global - Select Global Investment Grade Credit Bond Fund</t>
  </si>
  <si>
    <t>GBP</t>
  </si>
  <si>
    <t>Aberdeen International Fund Managers Ltd</t>
  </si>
  <si>
    <t>Länsförsäkringar Tillväxtmarknad Aktiv</t>
  </si>
  <si>
    <t>Monyx Strategi Balanserad</t>
  </si>
  <si>
    <t>Monyx Strategi Offensiv</t>
  </si>
  <si>
    <t>Tellus Fonder AB</t>
  </si>
  <si>
    <t>Prior &amp; Nilsson Sverige Aktiv</t>
  </si>
  <si>
    <t>Prior &amp; Nilsson Fond och Kapitalförvaltning AB</t>
  </si>
  <si>
    <t>Carnegie Fonder Portfolio - Carnegie Strategy Fund (A)</t>
  </si>
  <si>
    <t>HealthInvest Partners AB</t>
  </si>
  <si>
    <t>Handelsbanken Kinafond</t>
  </si>
  <si>
    <t>Holberg Rurik</t>
  </si>
  <si>
    <t>Holberg Global</t>
  </si>
  <si>
    <t>SEB Asienfond ex Japan</t>
  </si>
  <si>
    <t>SEB Emerging Marketsfond</t>
  </si>
  <si>
    <t>SEB Europafond Småbolag</t>
  </si>
  <si>
    <t>SEB Östeuropafond</t>
  </si>
  <si>
    <t>SKAGEN m2</t>
  </si>
  <si>
    <t>Baring International Fund Managers (Ireland) Ltd</t>
  </si>
  <si>
    <t>Skandia Norden</t>
  </si>
  <si>
    <t>Skandia Smart Balanserad</t>
  </si>
  <si>
    <t>Skandia Smart Offensiv</t>
  </si>
  <si>
    <t>SEB Latinamerikafond</t>
  </si>
  <si>
    <t>Skandia Sverige</t>
  </si>
  <si>
    <t>Skandia USA</t>
  </si>
  <si>
    <t>Carnegie Asia</t>
  </si>
  <si>
    <t>Danske Invest Aktiv Förmögenhetsförvaltning</t>
  </si>
  <si>
    <t>Danske Invest Horisont Balanserad</t>
  </si>
  <si>
    <t>Skandia Småbolag Sverige</t>
  </si>
  <si>
    <t>Pictet EUR Bonds</t>
  </si>
  <si>
    <t>IKC Sverige Flexibel</t>
  </si>
  <si>
    <t>Skandia Världen</t>
  </si>
  <si>
    <t>Skandia Time Global</t>
  </si>
  <si>
    <t>Alfred Berg Norge</t>
  </si>
  <si>
    <t>BL - Equities Europe</t>
  </si>
  <si>
    <t>Danske Invest Sverige</t>
  </si>
  <si>
    <t>BL - Global 50</t>
  </si>
  <si>
    <t>BL - Global Flexible EUR</t>
  </si>
  <si>
    <t>BL - Global 30</t>
  </si>
  <si>
    <t>Aberdeen Global - Asia Local Currency Short Duration Bond Fund</t>
  </si>
  <si>
    <t>BL - Equities America</t>
  </si>
  <si>
    <t>Monyx Strategi Sverige/Världen</t>
  </si>
  <si>
    <t>BL - Global 75</t>
  </si>
  <si>
    <t>BL - Global Equities</t>
  </si>
  <si>
    <t>BL - Equities Dividend</t>
  </si>
  <si>
    <t>Morgan Stanley Investment Funds Euro Corporate Bond Fund</t>
  </si>
  <si>
    <t>Morgan Stanley Investment Management Ltd</t>
  </si>
  <si>
    <t>Evli Sverige Select</t>
  </si>
  <si>
    <t>DNB Asset Management AS</t>
  </si>
  <si>
    <t>Morgan Stanley Investment Funds Emerging Markets Debt Fund</t>
  </si>
  <si>
    <t>Morgan Stanley Investment Funds Emerging Markets Domestic Debt</t>
  </si>
  <si>
    <t>Morgan Stanley Investment Funds Euro Strategic Bond Fund</t>
  </si>
  <si>
    <t>Morgan Stanley Investment Funds European Currencies High Yield Bond Fund</t>
  </si>
  <si>
    <t>Lannebo Mixfond</t>
  </si>
  <si>
    <t>Lannebo Småbolag</t>
  </si>
  <si>
    <t>Lannebo Sverige</t>
  </si>
  <si>
    <t>Lannebo Vision</t>
  </si>
  <si>
    <t>F&amp;C Management Ltd.</t>
  </si>
  <si>
    <t>Carnegie Indienfond</t>
  </si>
  <si>
    <t>DNB Health Care</t>
  </si>
  <si>
    <t>BL - Emerging Markets</t>
  </si>
  <si>
    <t>Aberdeen Global - Select Global Credit Bond Fund</t>
  </si>
  <si>
    <t>PineBridge Global Focus Equity Fund</t>
  </si>
  <si>
    <t>Danske Invest Horisont Offensiv</t>
  </si>
  <si>
    <t>Skandia Tillväxtmarknadsfond</t>
  </si>
  <si>
    <t>Morgan Stanley Investment Funds US Advantage Fund</t>
  </si>
  <si>
    <t>Monyx Strategi Världen</t>
  </si>
  <si>
    <t>Handelsbanken Rysslandsfond</t>
  </si>
  <si>
    <t>Danske Invest Sverige Fokus</t>
  </si>
  <si>
    <t>Danske Invest Sverige/Europa</t>
  </si>
  <si>
    <t>Skandia Asien</t>
  </si>
  <si>
    <t>Öhman Hjärt-Lungfond</t>
  </si>
  <si>
    <t>Granit Fonder AB</t>
  </si>
  <si>
    <t>Inside USA</t>
  </si>
  <si>
    <t>Morgan Stanley Investment Funds European Equity Alpha Fund</t>
  </si>
  <si>
    <t>Morgan Stanley Investment Funds US Growth Fund</t>
  </si>
  <si>
    <t>Pictet EUR Corporate Bonds</t>
  </si>
  <si>
    <t>Allianz Euro High Yield Bond</t>
  </si>
  <si>
    <t>BL - Equities Horizon</t>
  </si>
  <si>
    <t>Morgan Stanley Investment Funds Global Property Fund</t>
  </si>
  <si>
    <t>Naventi Defensiv Flex</t>
  </si>
  <si>
    <t>Danske Invest Europa</t>
  </si>
  <si>
    <t>PineBridge American Equity Fund</t>
  </si>
  <si>
    <t>UBS (Lux) Strategy Fund - Balanced (EUR)</t>
  </si>
  <si>
    <t>Allianz US High Yield</t>
  </si>
  <si>
    <t>JPY</t>
  </si>
  <si>
    <t>AXA Rosenberg Management Ireland Ltd</t>
  </si>
  <si>
    <t>Morgan Stanley Investment Funds Emerging Markets Equity Fund</t>
  </si>
  <si>
    <t>Morgan Stanley Investment Funds Indian Equity Fund</t>
  </si>
  <si>
    <t>Morgan Stanley Investment Funds Latin American Equity Fund</t>
  </si>
  <si>
    <t>Carnegie Rysslandsfond</t>
  </si>
  <si>
    <t>Evli Europa</t>
  </si>
  <si>
    <t>Evli Nordic</t>
  </si>
  <si>
    <t>PineBridge Europe Small Cap Equity Fund</t>
  </si>
  <si>
    <t>Alfred Berg Aktiv</t>
  </si>
  <si>
    <t>Alfred Berg Nordic Best Selection</t>
  </si>
  <si>
    <t>Aviva Investors - European Corporate Bond Fund</t>
  </si>
  <si>
    <t>Aviva Investors Luxembourg S.A.</t>
  </si>
  <si>
    <t>SKAGEN Kon-Tiki</t>
  </si>
  <si>
    <t>DNB Fund - India</t>
  </si>
  <si>
    <t>Danske Invest Horisont Aktie</t>
  </si>
  <si>
    <t>Morgan Stanley Investment Funds European Property Fund</t>
  </si>
  <si>
    <t>Aktie-Ansvar Sverige</t>
  </si>
  <si>
    <t>Morgan Stanley Investment Funds Eurozone Equity Alpha Fund</t>
  </si>
  <si>
    <t>Spiltan Aktiefond Stabil</t>
  </si>
  <si>
    <t>Spiltan Aktiefond Sverige</t>
  </si>
  <si>
    <t>Carnegie Afrikafond</t>
  </si>
  <si>
    <t>Morgan Stanley Investment Funds Emerging Europe Middle East Africa</t>
  </si>
  <si>
    <t>Amundi Funds Absolute Volatility World</t>
  </si>
  <si>
    <t>Spiltan Aktiefond Småland</t>
  </si>
  <si>
    <t>DNB Fund - Private Equity</t>
  </si>
  <si>
    <t>Taaleri Finland Value Equity Fund</t>
  </si>
  <si>
    <t>UBS (Lux) Strategy Fund - Growth (EUR)</t>
  </si>
  <si>
    <t>Aktie-Ansvar Europa</t>
  </si>
  <si>
    <t>Alfred Berg Global Quant</t>
  </si>
  <si>
    <t>PineBridge Emerging Europe Equity Fund</t>
  </si>
  <si>
    <t>DNB Fund - Asian Small Cap</t>
  </si>
  <si>
    <t>Öhman Global Growth</t>
  </si>
  <si>
    <t>Lundmark &amp; Co Fondförvaltning AB</t>
  </si>
  <si>
    <t>Spiltan Aktiefond Dalarna</t>
  </si>
  <si>
    <t>Ålandsbanken Europe Value</t>
  </si>
  <si>
    <t>Morgan Stanley Investment Funds Asian Equity Fund</t>
  </si>
  <si>
    <t>Franklin US Equity Fund</t>
  </si>
  <si>
    <t>Franklin Templeton Investment Management Ltd</t>
  </si>
  <si>
    <t>Gustavia Sverige</t>
  </si>
  <si>
    <t>Holberg Norden</t>
  </si>
  <si>
    <t>Holberg Norge</t>
  </si>
  <si>
    <t>UBS (Lux) Equity Fund - Mid Caps USA (USD)</t>
  </si>
  <si>
    <t>Baring Hong Kong China Fund</t>
  </si>
  <si>
    <t>Aberdeen Global - Select Emerging Markets Bond Fund</t>
  </si>
  <si>
    <t>Fidelity Funds - European High Yield Fund</t>
  </si>
  <si>
    <t>FIL Investment Management (Luxembourg) S.A.</t>
  </si>
  <si>
    <t>Evli Finland Mix</t>
  </si>
  <si>
    <t>BlackRock (Channel Islands) Ltd</t>
  </si>
  <si>
    <t>FIM USA</t>
  </si>
  <si>
    <t>FIM Kapitalförvaltning Ab</t>
  </si>
  <si>
    <t>Pictet European Sustainable Equities</t>
  </si>
  <si>
    <t>UBS (Lux) Equity Sicav - Small Caps Europe</t>
  </si>
  <si>
    <t>Alfred Berg Sverige Plus</t>
  </si>
  <si>
    <t>First State Global Listed Infrastructure Fund</t>
  </si>
  <si>
    <t>First State Investments (UK) Ltd</t>
  </si>
  <si>
    <t>First State Global Resources Fund</t>
  </si>
  <si>
    <t>Inside Australia</t>
  </si>
  <si>
    <t>Inside Canada</t>
  </si>
  <si>
    <t>FIM Fenno Placeringsfond</t>
  </si>
  <si>
    <t>Baring Europa Fund</t>
  </si>
  <si>
    <t>Alfred Berg Fastighetsfond Norden</t>
  </si>
  <si>
    <t>Simplicity Norden</t>
  </si>
  <si>
    <t>Aberdeen Global - European Equity Fund</t>
  </si>
  <si>
    <t>Aberdeen Global - Japanese Equity Fund</t>
  </si>
  <si>
    <t>Aberdeen Global - Japanese Smaller Companies Fund</t>
  </si>
  <si>
    <t>First State Global Property Securities Fund</t>
  </si>
  <si>
    <t>Cicero World Wide</t>
  </si>
  <si>
    <t>PineBridge Global Emerging Markets Focus Equity Fund</t>
  </si>
  <si>
    <t>UBS (Lux) Equity Fund - Global Sustainable Innovators (EUR)</t>
  </si>
  <si>
    <t>UBS (Lux) Equity Sicav - Emerging Markets Sustainable</t>
  </si>
  <si>
    <t>JPMorgan Asset Management (Europe) S.à.r.l.</t>
  </si>
  <si>
    <t>Baring Asia Growth Fund</t>
  </si>
  <si>
    <t>Baring Latin America Fund</t>
  </si>
  <si>
    <t>Aberdeen Global - North American Equity Fund</t>
  </si>
  <si>
    <t>UBS (Lux) Equity Fund - Asian Consumption (USD)</t>
  </si>
  <si>
    <t>UBS (Lux) Equity Fund - Euro Countries Opportunity (EUR)</t>
  </si>
  <si>
    <t>UBS (Lux) Equity Fund - Global Multi Tech (USD)</t>
  </si>
  <si>
    <t>UBS (Lux) Equity Fund - Global Sustainable (USD)</t>
  </si>
  <si>
    <t>UBS (Lux) Equity Fund - Health Care (USD)</t>
  </si>
  <si>
    <t>Aberdeen Global - UK Equity Fund</t>
  </si>
  <si>
    <t>Granit Småbolag</t>
  </si>
  <si>
    <t>UBS (Lux) Equity Sicav - USA Growth B</t>
  </si>
  <si>
    <t>Enter Sverige</t>
  </si>
  <si>
    <t>Baring Global Resources Fund</t>
  </si>
  <si>
    <t>Gustavia Ny Teknik</t>
  </si>
  <si>
    <t>Quest Mangement Sicav - Quest Cleantech Fund A</t>
  </si>
  <si>
    <t>Capricorn Venture Partners NV</t>
  </si>
  <si>
    <t>Baring Eastern Europe Fund</t>
  </si>
  <si>
    <t>Evli Finland Select</t>
  </si>
  <si>
    <t>UBS (Lux) Equity Sicav - European Opportunity Unconstrained</t>
  </si>
  <si>
    <t>Baring Global Emerging Markets Fund</t>
  </si>
  <si>
    <t>Odin Fonder</t>
  </si>
  <si>
    <t>Odin Emerging Markets</t>
  </si>
  <si>
    <t>Odin Europa</t>
  </si>
  <si>
    <t>Odin Finland</t>
  </si>
  <si>
    <t>Odin Global</t>
  </si>
  <si>
    <t>Odin Norden</t>
  </si>
  <si>
    <t>Odin Norge</t>
  </si>
  <si>
    <t>Odin Sverige</t>
  </si>
  <si>
    <t>Pictet Global Emerging Debt</t>
  </si>
  <si>
    <t>Aberdeen Global - European Equity (Ex UK) Fund</t>
  </si>
  <si>
    <t>Aviva Investors - Global Convertibles Fund</t>
  </si>
  <si>
    <t>Independent Aktiv Mix</t>
  </si>
  <si>
    <t>Lantern Structured Asset Management</t>
  </si>
  <si>
    <t>FIM Nordic Placeringsfond</t>
  </si>
  <si>
    <t>Franklin European Growth Fund</t>
  </si>
  <si>
    <t>FIM Global Placeringsfond</t>
  </si>
  <si>
    <t>FIM Brands</t>
  </si>
  <si>
    <t>FIM Europa</t>
  </si>
  <si>
    <t>Franklin U.S. Opportunities Fund</t>
  </si>
  <si>
    <t>Aktia Capital</t>
  </si>
  <si>
    <t>Aktia Fondbolag Ab</t>
  </si>
  <si>
    <t>Amundi Funds Equity Japan Value</t>
  </si>
  <si>
    <t>First State Asian Property Securities Fund</t>
  </si>
  <si>
    <t>Franklin Mutual Global Discovery Fund</t>
  </si>
  <si>
    <t>East Capital Asset Management S.A.</t>
  </si>
  <si>
    <t>F&amp;C Portfolios Fund - F&amp;C Responsible Global Equity</t>
  </si>
  <si>
    <t>Allianz Global Metals and Mining</t>
  </si>
  <si>
    <t>Allianz Europe Equity Growth</t>
  </si>
  <si>
    <t>Allianz US Equity Fund</t>
  </si>
  <si>
    <t>Aberdeen Global - Technology Equity Fund</t>
  </si>
  <si>
    <t>Franklin India Fund</t>
  </si>
  <si>
    <t>Navigera AB</t>
  </si>
  <si>
    <t>UBS (Lux) Equity Fund - Greater China (USD)</t>
  </si>
  <si>
    <t>UBS (Lux) Equity Sicav - Brazil</t>
  </si>
  <si>
    <t>UBS (Lux) Equity Sicav - Russia</t>
  </si>
  <si>
    <t>ValueInvest LUX Japan</t>
  </si>
  <si>
    <t>ValueInvest Asset Management S.A.</t>
  </si>
  <si>
    <t>ValueInvest LUX Global</t>
  </si>
  <si>
    <t>Simplicity Indien</t>
  </si>
  <si>
    <t>Amundi Funds Equity US Relative Value</t>
  </si>
  <si>
    <t>Tellus Midas</t>
  </si>
  <si>
    <t>IKC Global Brand</t>
  </si>
  <si>
    <t>Simplicity Afrika</t>
  </si>
  <si>
    <t>Taaleri Eastern Europe Equity Fund</t>
  </si>
  <si>
    <t>Fondita 2000+ Placeringsfond</t>
  </si>
  <si>
    <t>Fondbolaget Fondita Ab</t>
  </si>
  <si>
    <t>Fondita Equity Spice Placeringsfond</t>
  </si>
  <si>
    <t>Fondita European Small Cap Placeringsfond</t>
  </si>
  <si>
    <t>Fondita European Top Picks B</t>
  </si>
  <si>
    <t>Fondita Nordic Micro Cap Placeringsfond</t>
  </si>
  <si>
    <t>Fondita Nordic Small Cap Placeringsfond</t>
  </si>
  <si>
    <t>Granit Global 85</t>
  </si>
  <si>
    <t>Inside Active Global</t>
  </si>
  <si>
    <t>Naventi Balanserad Flex</t>
  </si>
  <si>
    <t>Pictet European Equity Selection</t>
  </si>
  <si>
    <t>Pictet Japanese Equities Opportunities</t>
  </si>
  <si>
    <t>Pictet Japanese Equity Selection</t>
  </si>
  <si>
    <t>Fidelity Funds - Global High Yield Fund</t>
  </si>
  <si>
    <t>Simplicity Asien</t>
  </si>
  <si>
    <t>Simplicity Kina</t>
  </si>
  <si>
    <t>Amundi Funds Equity ASEAN</t>
  </si>
  <si>
    <t>Amundi Funds Equity Greater China</t>
  </si>
  <si>
    <t>Cicero World 0-50</t>
  </si>
  <si>
    <t>Naventi Offensiv Flex</t>
  </si>
  <si>
    <t>Amundi Funds Equity Latin America</t>
  </si>
  <si>
    <t>Advisor Världen</t>
  </si>
  <si>
    <t>Advisor Fondförvaltning AB</t>
  </si>
  <si>
    <t>Allianz Europe Small Cap Equity</t>
  </si>
  <si>
    <t>Naventi Offensiv</t>
  </si>
  <si>
    <t>Aviva Investors - European Real Estate Securities Fund</t>
  </si>
  <si>
    <t>Amundi Funds Equity Asia ex Japan</t>
  </si>
  <si>
    <t>Aviva Investors - European Equity Fund</t>
  </si>
  <si>
    <t>Amundi Funds Equity Emerging World</t>
  </si>
  <si>
    <t>Söderberg &amp; Partners Asset Management S.A</t>
  </si>
  <si>
    <t>Invesco Management S.A</t>
  </si>
  <si>
    <t>OPM Listed Private Equity</t>
  </si>
  <si>
    <t>Optimized Portfolio Management Stockholm AB</t>
  </si>
  <si>
    <t>Naventi Tillväxtmarknadsfond</t>
  </si>
  <si>
    <t>Solidar Sicav - Global Fokus</t>
  </si>
  <si>
    <t>Lemanik Asset Management Luxembourg S.A.</t>
  </si>
  <si>
    <t>FIM Russia Placeringsfond</t>
  </si>
  <si>
    <t>FIM Emerging Markets Småbolag</t>
  </si>
  <si>
    <t>Trigon New Europe Fund</t>
  </si>
  <si>
    <t>Gustavia Ryssland</t>
  </si>
  <si>
    <t>Independent Fonddoktorn Plus</t>
  </si>
  <si>
    <t>Independent Aktiv Max</t>
  </si>
  <si>
    <t>Allianz China Equity</t>
  </si>
  <si>
    <t>Allianz Little Dragons</t>
  </si>
  <si>
    <t>PineBridge Japan New Horizon Equity Fund</t>
  </si>
  <si>
    <t>Gustavia Kazakstan och Centralasien</t>
  </si>
  <si>
    <t>Avaron Emerging Europe Fund</t>
  </si>
  <si>
    <t>Turkisfund Bonds</t>
  </si>
  <si>
    <t>Solidar Sicav - Global Tillväxt</t>
  </si>
  <si>
    <t>Alfred Berg Ryssland</t>
  </si>
  <si>
    <t>Trigon Russia Top Picks Fund</t>
  </si>
  <si>
    <t>PineBridge Greater China Equity Fund</t>
  </si>
  <si>
    <t>Turkisfund Equities</t>
  </si>
  <si>
    <t>CB European Quality Fund</t>
  </si>
  <si>
    <t>Granit Basfonden</t>
  </si>
  <si>
    <t>Aviva Investors - Emerging Europe Equity Fund</t>
  </si>
  <si>
    <t>Evli Ryssland</t>
  </si>
  <si>
    <t>Tundra Frontier Opportunities Fund</t>
  </si>
  <si>
    <t>Tundra Fonder AB</t>
  </si>
  <si>
    <t>Tundra Vietnam Fund</t>
  </si>
  <si>
    <t>Gustavia Balkan</t>
  </si>
  <si>
    <t>Trigon Baltic Fund</t>
  </si>
  <si>
    <t>Gustavia Global Tillväxt</t>
  </si>
  <si>
    <t>Zmart Balanserad</t>
  </si>
  <si>
    <t>Pictet Water</t>
  </si>
  <si>
    <t>Pictet Timber</t>
  </si>
  <si>
    <t>Fidelity Funds - America Fund</t>
  </si>
  <si>
    <t>Pictet Biotech</t>
  </si>
  <si>
    <t>Pictet Clean Energy</t>
  </si>
  <si>
    <t>Pictet Security</t>
  </si>
  <si>
    <t>Pictet Premium Brands</t>
  </si>
  <si>
    <t>Pictet Greater China</t>
  </si>
  <si>
    <t>Pictet Asian Equities (Ex Japan)</t>
  </si>
  <si>
    <t>Pictet Small Cap Europe</t>
  </si>
  <si>
    <t>Fidelity Funds - Asian Special Situations Fund</t>
  </si>
  <si>
    <t>Fidelity Funds - Latin America Fund</t>
  </si>
  <si>
    <t>Fidelity Funds - Global Opportunities Fund</t>
  </si>
  <si>
    <t>Fidelity Funds - European Dynamic Growth Fund</t>
  </si>
  <si>
    <t>Fidelity Funds - China Consumer Fund</t>
  </si>
  <si>
    <t>Fidelity Funds - Emerging Markets Fund</t>
  </si>
  <si>
    <t>Fidelity Funds - Emerging Asia Fund</t>
  </si>
  <si>
    <t>Pictet Russian Equities</t>
  </si>
  <si>
    <t>Fidelity Funds - Emerging Europe, Middle East and Africa Fund</t>
  </si>
  <si>
    <t>Pictet Global Megatrend Selection</t>
  </si>
  <si>
    <t>Zmart Optimal</t>
  </si>
  <si>
    <t>Pictet Indian Equities</t>
  </si>
  <si>
    <t>Pictet Emerging Markets</t>
  </si>
  <si>
    <t>Norron Sicav-Target</t>
  </si>
  <si>
    <t>Falcon Aggressive Fund</t>
  </si>
  <si>
    <t>Falcon Funds SICAV Plc</t>
  </si>
  <si>
    <t>Life Emerging Market Bonds</t>
  </si>
  <si>
    <t>Life Funds EMEA AB</t>
  </si>
  <si>
    <t>FIM Sahara</t>
  </si>
  <si>
    <t>Kredietrust Luxembourg S.A</t>
  </si>
  <si>
    <t>Life High Yield Bonds</t>
  </si>
  <si>
    <t>SEB Dynamic Bond Fund</t>
  </si>
  <si>
    <t>Cicero Nordic Corporate Bond</t>
  </si>
  <si>
    <t>Holberg Kredit SEK A</t>
  </si>
  <si>
    <t>SEB Dynamisk Aktiefond</t>
  </si>
  <si>
    <t>F&amp;C Portfolios Fund - Global Convertible Bond A</t>
  </si>
  <si>
    <t>Prior &amp; Nilsson Realinvest</t>
  </si>
  <si>
    <t>F&amp;C Portfolios Fund - Emerging Markets Bond</t>
  </si>
  <si>
    <t>Credit Suisse Fund Management S.A.</t>
  </si>
  <si>
    <t>F&amp;C Portfolios Fund - European Equity A</t>
  </si>
  <si>
    <t>F&amp;C Portfolios Fund - Japanese Equity A</t>
  </si>
  <si>
    <t>Allianz Europe Equity Growth Select</t>
  </si>
  <si>
    <t>F&amp;C Portfolios Fund - European Small Cap A</t>
  </si>
  <si>
    <t>Allianz German Equity</t>
  </si>
  <si>
    <t>F&amp;C Portfolios Fund - US Smaller Companies A</t>
  </si>
  <si>
    <t>Allianz Global Small Cap Equity</t>
  </si>
  <si>
    <t>Allianz Emerging Asia Equity</t>
  </si>
  <si>
    <t>Sensor Sverige Select</t>
  </si>
  <si>
    <t>Sensor Fonder AB</t>
  </si>
  <si>
    <t>Handelsbanken Hållbar Energi</t>
  </si>
  <si>
    <t>Allianz Global Investors GmbH</t>
  </si>
  <si>
    <t>Danske Invest Sverige Ränta</t>
  </si>
  <si>
    <t>Erste Sparinvest Kapitalanlagegesellschaft m.b.H</t>
  </si>
  <si>
    <t>GFG Fund SICAV - Global Medium Risk Fund</t>
  </si>
  <si>
    <t>Oppenheim Asset Management Services S.à.r.l</t>
  </si>
  <si>
    <t>Credit Suisse (Lux) USA Value Equity Fund</t>
  </si>
  <si>
    <t>Credit Suisse (Lux) Small and Mid Cap Europe Equity Fund</t>
  </si>
  <si>
    <t xml:space="preserve">Amundi Luxembourg S.A. </t>
  </si>
  <si>
    <t>Handelsbanken Europafond Index</t>
  </si>
  <si>
    <t>UBS Fund Management (Luxembourg) S.A</t>
  </si>
  <si>
    <t>ESPA Bond Corporate BB</t>
  </si>
  <si>
    <t>ESPA Stock Commodities</t>
  </si>
  <si>
    <t>Tundra Pakistan Fund</t>
  </si>
  <si>
    <t>Zmartic Fonder AB</t>
  </si>
  <si>
    <t>Ålandsbanken Sverige Aktie Placeringsfond</t>
  </si>
  <si>
    <t>Ålandsbanken Kina Aktie Placeringsfond</t>
  </si>
  <si>
    <t>Länsförsäkringar Global Strategisk Ränta</t>
  </si>
  <si>
    <t>IKC Avkastningsfond</t>
  </si>
  <si>
    <t>IKC 0-50</t>
  </si>
  <si>
    <t>IKC Pension Variabel</t>
  </si>
  <si>
    <t>IKC Asien</t>
  </si>
  <si>
    <t>IKC Opportunities</t>
  </si>
  <si>
    <t>IKC Filippinerna</t>
  </si>
  <si>
    <t>Generationsfonder</t>
  </si>
  <si>
    <t>Sjunde AP-fonden</t>
  </si>
  <si>
    <t>AP7 Försiktig</t>
  </si>
  <si>
    <t>Blandfonder</t>
  </si>
  <si>
    <t>AP7 Balanserad</t>
  </si>
  <si>
    <t>AP7 Offensiv</t>
  </si>
  <si>
    <t>Aktiefonder</t>
  </si>
  <si>
    <t>Räntefonder</t>
  </si>
  <si>
    <t>NN Asset Management BV</t>
  </si>
  <si>
    <t>Storebrand Asset Management AS</t>
  </si>
  <si>
    <t>IKC Fastighetsfond</t>
  </si>
  <si>
    <t>Placeringsfond UB Europa REIT</t>
  </si>
  <si>
    <t>UB Fondbolag Ab</t>
  </si>
  <si>
    <t>BlackRock Global Funds -  Global Allocation Fund</t>
  </si>
  <si>
    <t>Ålandsbanken Norden Aktie Placeringsfond</t>
  </si>
  <si>
    <t>Placeringsfond UB Global REIT</t>
  </si>
  <si>
    <t>Placeringsfond UB Infra</t>
  </si>
  <si>
    <t>BlackRock Global Funds -  US Small &amp; MidCap Opportunities Fund</t>
  </si>
  <si>
    <t>BlackRock Global Funds -  US Flexible Equity Fund</t>
  </si>
  <si>
    <t>BlackRock Global Funds -  US Basic Value Fund</t>
  </si>
  <si>
    <t>BlackRock Global Funds - Emerging Markets Fund</t>
  </si>
  <si>
    <t>BlackRock Global Funds -  Japan Small &amp; MidCap Opportunities Fund</t>
  </si>
  <si>
    <t>BlackRock Global Funds -  Global SmallCap Fund</t>
  </si>
  <si>
    <t>BlackRock Global Funds -  European Fund</t>
  </si>
  <si>
    <t>BlackRock Global Funds -  European Value Fund</t>
  </si>
  <si>
    <t>BlackRock Global Funds -  China Fund</t>
  </si>
  <si>
    <t>BlackRock Global Funds -  World Financials Fund</t>
  </si>
  <si>
    <t>BlackRock Global Funds -  World Healthscience Fund</t>
  </si>
  <si>
    <t>BlackRock Global Funds -  Euro Markets Fund</t>
  </si>
  <si>
    <t>BlackRock Global Funds -  Technology Fund</t>
  </si>
  <si>
    <t>BlackRock Global Funds - Japan Flexible Equity Fund</t>
  </si>
  <si>
    <t>BlackRock Global Funds -  India Fund</t>
  </si>
  <si>
    <t>Placeringsfond UB Asia REIT Plus</t>
  </si>
  <si>
    <t>Placeringsfond UB EM Infra</t>
  </si>
  <si>
    <t>BlackRock Global Funds -  Latin American Fund</t>
  </si>
  <si>
    <t>BlackRock Global Funds -  World Energy Fund</t>
  </si>
  <si>
    <t>BlackRock Global Funds -  New Energy Fund</t>
  </si>
  <si>
    <t>BlackRock Global Funds -  World Gold Fund</t>
  </si>
  <si>
    <t>BlackRock Global Funds -  World Mining Fund</t>
  </si>
  <si>
    <t>BlackRock Global Funds - Emerging Europe Fund</t>
  </si>
  <si>
    <t>Pictet Health</t>
  </si>
  <si>
    <t>Avaron Asset Management, AS</t>
  </si>
  <si>
    <t>Swedbank Management Company S.A</t>
  </si>
  <si>
    <t xml:space="preserve">1) Fram till 21 maj 2010 är det värdeutvecklingen i Premiesparfonden. Efter den tidpunkten är det värdeutvecklingen i Sjunde AP-fonden. </t>
  </si>
  <si>
    <t>2) I beräkningen av värdeutveckling för Sjunde AP-fondena förvaltning ingår AP7 Aktiefond och AP7 Räntefond.</t>
  </si>
  <si>
    <t>SPP Grön Obligationsfond</t>
  </si>
  <si>
    <t>Allianz US Small Cap Equity AT USD</t>
  </si>
  <si>
    <t>IKC 0-100</t>
  </si>
  <si>
    <t>JPMorgan Investement Funds - Global Balanced Fund A (acc)</t>
  </si>
  <si>
    <t>Zmart Alfa</t>
  </si>
  <si>
    <t>Alpcot Offensiv</t>
  </si>
  <si>
    <t>Tellus Investmentbolag</t>
  </si>
  <si>
    <t>Simplicity Europa</t>
  </si>
  <si>
    <t>JPMorgan Funds - China Fund A (dist)</t>
  </si>
  <si>
    <t>JPMorgan Investement Funds - Japan Select Equity Fund A (acc)</t>
  </si>
  <si>
    <t>JPMorgan Funds - Emerging Markets Equity Fund A (dist)</t>
  </si>
  <si>
    <t>SKAGEN Credit SEK Verdipapirfond</t>
  </si>
  <si>
    <t>JPMorgan Funds - India Funds D (acc)</t>
  </si>
  <si>
    <t>JPMorgan Funds - Latin America Equity Fund D (acc)</t>
  </si>
  <si>
    <t>JPMorgan Funds - Global Dynamic Fund D (acc)</t>
  </si>
  <si>
    <t>JPMorgan Funds - Global Natural Resources Fund D (acc)</t>
  </si>
  <si>
    <t>Isec Services AB</t>
  </si>
  <si>
    <t>Axa Rosenberg Global Equity Alpha Fund</t>
  </si>
  <si>
    <t>Axa Rosenberg Japan Equity Alpha Fund</t>
  </si>
  <si>
    <t>Amundi Funds Equity Global Concentrated</t>
  </si>
  <si>
    <t>Amundi Funds Equity Europe Concentrated</t>
  </si>
  <si>
    <t>Statens förvaltningsalternativ</t>
  </si>
  <si>
    <t>Amundi Funds Equity Emerging Conservative</t>
  </si>
  <si>
    <t>Axa Rosenberg Pan-European Equity Alpha Fund</t>
  </si>
  <si>
    <t>Axa Rosenberg US Equity Alpha Fund</t>
  </si>
  <si>
    <t>Axa Rosenberg Pacific Ex-Japan Equity Alpha Fund</t>
  </si>
  <si>
    <t>Axa Rosenberg Eurobloc Equity Alpha Fund</t>
  </si>
  <si>
    <t>Amundi Funds Equity Global Conservative</t>
  </si>
  <si>
    <t>Axa Rosenberg Japan Small Cap Alpha Fund</t>
  </si>
  <si>
    <t>AP7 Såfa - Statens årskullsförvaltningsalternativ</t>
  </si>
  <si>
    <t>Luxcellence Management Company S.A.</t>
  </si>
  <si>
    <t>Zensum Tillväxt</t>
  </si>
  <si>
    <t>Lannebo Sverige Plus</t>
  </si>
  <si>
    <t>Taaleri Sicav - Taaleri Rhein Value Equity</t>
  </si>
  <si>
    <t>Alfa Aktiv</t>
  </si>
  <si>
    <t>Alfakraft Fonder AB</t>
  </si>
  <si>
    <t>FIM Frontier Placeringsfond</t>
  </si>
  <si>
    <t>Axa Rosenberg US Enhanced Index Equity Alpha Fund</t>
  </si>
  <si>
    <t>Axa Rosenberg Global Small Cap Alpha Fund B</t>
  </si>
  <si>
    <t>Axa Rosenberg All Country Asia Pacific Ex-Japan Equity Alpha Fund</t>
  </si>
  <si>
    <t>Alfred Berg Bull</t>
  </si>
  <si>
    <t>UBS (Lux) Equity Fund - Japan (JPY)</t>
  </si>
  <si>
    <t>Handelsbanken Nordenfond</t>
  </si>
  <si>
    <t>SEB Green Bond Fund</t>
  </si>
  <si>
    <t>Catella Småbolagsfond SEK Allmän klass</t>
  </si>
  <si>
    <t>Movestic Sicav - Movestic Korta Räntor Plus</t>
  </si>
  <si>
    <t>Swedbank Robur Access Sverige</t>
  </si>
  <si>
    <t>Swedbank Robur Access Asien</t>
  </si>
  <si>
    <t>Placeringsfond UB Nordamerika REIT</t>
  </si>
  <si>
    <t>Alfred Berg Bear</t>
  </si>
  <si>
    <t>Amundi Funds Equity Europe Conservative</t>
  </si>
  <si>
    <t>Swedbank Robur Access Europa</t>
  </si>
  <si>
    <t>Movestic Sicav - Movestic Sverige</t>
  </si>
  <si>
    <t>Swedbank Robur Access USA</t>
  </si>
  <si>
    <t>Enter Småbolagsfond</t>
  </si>
  <si>
    <t>Viking Fonder Sverige</t>
  </si>
  <si>
    <t>Ålandsbanken Kort Ränta SEK Placeringsfond</t>
  </si>
  <si>
    <t>Naventi Fonder AB</t>
  </si>
  <si>
    <t>UBS (Lux) Key Selection SICAV - Global Equities (USD)</t>
  </si>
  <si>
    <t>Solidar Flex 70 Plus</t>
  </si>
  <si>
    <t>Solidar Aggressiv Plus</t>
  </si>
  <si>
    <t>Swedbank Robur Access Global</t>
  </si>
  <si>
    <t>Swedbank Robur Access Japan</t>
  </si>
  <si>
    <t>Solidar Flex 40 Plus</t>
  </si>
  <si>
    <t>Solidar Flex 100 Plus</t>
  </si>
  <si>
    <t>INVL Asset Management UAB</t>
  </si>
  <si>
    <t>Ålandsbanken Premium 30 Placeringsfond</t>
  </si>
  <si>
    <t>Stewart Investors Worldwide Leaders Fund</t>
  </si>
  <si>
    <t>Coeli - Sweden Fund</t>
  </si>
  <si>
    <t>MDO Management Company S.A.</t>
  </si>
  <si>
    <t>Coeli - Global Select Fund</t>
  </si>
  <si>
    <t>Coeli - Nordic Corporate Bond Fund</t>
  </si>
  <si>
    <t>Cicero Focus</t>
  </si>
  <si>
    <t>Ålandsbanken Obligation Sverige Placeringsfond</t>
  </si>
  <si>
    <t>Öhman Småbolagsfond A</t>
  </si>
  <si>
    <t>Cliens Mixfond</t>
  </si>
  <si>
    <t>Cliens Kapitalförvaltning AB</t>
  </si>
  <si>
    <t>Cliens Räntefond Kort</t>
  </si>
  <si>
    <t>Xact Kapitalförvaltning AB</t>
  </si>
  <si>
    <t>Atlant Sharp Europe</t>
  </si>
  <si>
    <t>Atlant Fonder AB</t>
  </si>
  <si>
    <t>Öhman Sweden Micro Cap</t>
  </si>
  <si>
    <t>Öhman Sverige Hållbar A</t>
  </si>
  <si>
    <t>Odin Energi</t>
  </si>
  <si>
    <t>Pareto Global Corporate Bond</t>
  </si>
  <si>
    <t>SEF - Gaia Global</t>
  </si>
  <si>
    <t>SEF - Mimer Sverige</t>
  </si>
  <si>
    <t>SEF - European Best Ideas</t>
  </si>
  <si>
    <t>Taaleri Sicav - Taaleri Allocation 50</t>
  </si>
  <si>
    <t>Öhman FRN-fond SEK A</t>
  </si>
  <si>
    <t>INVL Baltic Fund</t>
  </si>
  <si>
    <t>INVL Russia TOP20 Subfund</t>
  </si>
  <si>
    <t>Pareto Global</t>
  </si>
  <si>
    <t>Swedbank Robur Företagsobligationsfond</t>
  </si>
  <si>
    <t>Handelsbanken Företagsobligation</t>
  </si>
  <si>
    <t>Handelsbanken Amerika Tema</t>
  </si>
  <si>
    <t>Handelsbanken Europa Tema</t>
  </si>
  <si>
    <t>Handelsbanken Tillväxtmarknad Tema</t>
  </si>
  <si>
    <t>Pareto Asset Management AS</t>
  </si>
  <si>
    <t>SEB Sverige Expanderad</t>
  </si>
  <si>
    <t>Pictet Emerging Europe</t>
  </si>
  <si>
    <t>Movestic MF - Movestic Globala Tillväxtmarknader</t>
  </si>
  <si>
    <t>INVL Emerging Europe ex Russia TOP20 Subfund</t>
  </si>
  <si>
    <t>Handelsbanken Långränta Criteria</t>
  </si>
  <si>
    <t>F&amp;C Portfolios Fund - BMO Responsible Global Emerging Markets Equity</t>
  </si>
  <si>
    <t>Carnegie Emerging Markets Corporate Bond</t>
  </si>
  <si>
    <t>Carnegie Fund Services S.A.</t>
  </si>
  <si>
    <t>Fondeum Mixed Fund</t>
  </si>
  <si>
    <t>Fondeum Fund SICAV plc</t>
  </si>
  <si>
    <t>First State Emerging Markets Bond Fund</t>
  </si>
  <si>
    <t xml:space="preserve">NN (L) EURO Equity </t>
  </si>
  <si>
    <t>NN (L) Information Technology</t>
  </si>
  <si>
    <t>NN (L) Japan Equity</t>
  </si>
  <si>
    <t xml:space="preserve">NN (L) Latin America Equity </t>
  </si>
  <si>
    <t>NN (L) Emerging Markets Debt (Hard Currency)</t>
  </si>
  <si>
    <t>ERSTE Bond Emerging Markets Corporate</t>
  </si>
  <si>
    <t>Simplicity Sverige</t>
  </si>
  <si>
    <t xml:space="preserve">NN (L) Alternative Beta </t>
  </si>
  <si>
    <t>NN (L) Asia Income</t>
  </si>
  <si>
    <t>NN (L) First Class Protection</t>
  </si>
  <si>
    <t>NN (L) Global Real Estate</t>
  </si>
  <si>
    <t xml:space="preserve">NN (L) Greater China Equity </t>
  </si>
  <si>
    <t>NN (L) Global Sustainable Equity</t>
  </si>
  <si>
    <t xml:space="preserve">NN (L) Emerging Markets Debt (Local Currency) </t>
  </si>
  <si>
    <t>NN (L) Euromix Bond</t>
  </si>
  <si>
    <t>Alfred Berg Hållbar Tillväxt Sverige</t>
  </si>
  <si>
    <t>Swedbank Robur Ethica Obligation</t>
  </si>
  <si>
    <t>Pacific Absolute Return</t>
  </si>
  <si>
    <t>Pacific Explorer Dynamic</t>
  </si>
  <si>
    <t>Pacific Global Dynamic</t>
  </si>
  <si>
    <t>Pacific Precious</t>
  </si>
  <si>
    <t>Granit Kina</t>
  </si>
  <si>
    <t>Nordic Fund Services S.A.</t>
  </si>
  <si>
    <t>Erste Bond Emerging Markets</t>
  </si>
  <si>
    <t>SPP Global Plus</t>
  </si>
  <si>
    <t>SPP Tillväxtmarknad Plus</t>
  </si>
  <si>
    <t>Fondrörelsen</t>
  </si>
  <si>
    <t>Movestic Sicav - Movestic Europa Småbolag</t>
  </si>
  <si>
    <t>Indecap Guide 2</t>
  </si>
  <si>
    <t>Indecap Fonder AB</t>
  </si>
  <si>
    <t>Holberg Triton</t>
  </si>
  <si>
    <t>Länsförsäkringar Global Indexnära</t>
  </si>
  <si>
    <t>Länsförsäkringar Tillväxtmarknad Indexnära</t>
  </si>
  <si>
    <t>Sentat Asset Management AB</t>
  </si>
  <si>
    <t>Indecap Guide 1</t>
  </si>
  <si>
    <t>Pictet Asset Management (Europe) S.A.</t>
  </si>
  <si>
    <t>Länsförsäkringar USA Indexnära</t>
  </si>
  <si>
    <t>Zmart Beta</t>
  </si>
  <si>
    <t>Länsförsäkringar Global Hållbar</t>
  </si>
  <si>
    <t>Alfred Berg Företagsobligationsfond Hållbar</t>
  </si>
  <si>
    <t>Alfred Berg Obligationsfond Plus Hållbar</t>
  </si>
  <si>
    <t>Alfred Berg Penningmarknadsfond Hållbar</t>
  </si>
  <si>
    <t>IKC Global Infrastructure</t>
  </si>
  <si>
    <t>KollektivaBästa 50-talister</t>
  </si>
  <si>
    <t>KollektivaBästa 60-talister</t>
  </si>
  <si>
    <t>KollektivaBästa 70-talister</t>
  </si>
  <si>
    <t>KollektivaBästa 80-talister</t>
  </si>
  <si>
    <t>Ålandsbanken Premium 50 Placeringsfond</t>
  </si>
  <si>
    <t>Ålandsbanken Premium 70 Placeringsfond</t>
  </si>
  <si>
    <t>Nordea Nordic Fund</t>
  </si>
  <si>
    <t>Pictet Digital</t>
  </si>
  <si>
    <t>AS Trigon Asset Management</t>
  </si>
  <si>
    <t>Aktiespararna Direktavkastning</t>
  </si>
  <si>
    <t>Didner &amp; Gerge US Small and Microcap</t>
  </si>
  <si>
    <t>SEF - Systematic Capital Multi</t>
  </si>
  <si>
    <t>FCG Fonder AB</t>
  </si>
  <si>
    <t>Lannebo Europa Småbolag</t>
  </si>
  <si>
    <t>Pacific Extraordinary Brands</t>
  </si>
  <si>
    <t>Erste Bond Danubia</t>
  </si>
  <si>
    <t>Swedbank Robur Bas Action</t>
  </si>
  <si>
    <t>Swedbank Robur Bas Solid</t>
  </si>
  <si>
    <t>Spiltan Globalfond Investmentbolag</t>
  </si>
  <si>
    <t>FondNavigator 0-100 Aktieallokering</t>
  </si>
  <si>
    <t>East Capital Emerging Asia</t>
  </si>
  <si>
    <t>East Capital China Environmental</t>
  </si>
  <si>
    <t>East Capital Global Frontier Markets</t>
  </si>
  <si>
    <t>Investerum Basic Value A</t>
  </si>
  <si>
    <r>
      <t>Fondrörelsen</t>
    </r>
    <r>
      <rPr>
        <vertAlign val="superscript"/>
        <sz val="10"/>
        <color indexed="61"/>
        <rFont val="Arial"/>
        <family val="2"/>
      </rPr>
      <t>1)</t>
    </r>
  </si>
  <si>
    <r>
      <t>Sjunde AP-fonden</t>
    </r>
    <r>
      <rPr>
        <vertAlign val="superscript"/>
        <sz val="10"/>
        <color indexed="61"/>
        <rFont val="Arial"/>
        <family val="2"/>
      </rPr>
      <t>2)</t>
    </r>
  </si>
  <si>
    <t>IKC Global Healthcare</t>
  </si>
  <si>
    <t>Cliens Småbolag A</t>
  </si>
  <si>
    <t>Öhman Obligationsfond SEK A</t>
  </si>
  <si>
    <t>DNB Teknologi</t>
  </si>
  <si>
    <t>Länsförsäkringar Pension 2060</t>
  </si>
  <si>
    <t>Länsförsäkringar Pension 2050</t>
  </si>
  <si>
    <t>Länsförsäkringar Pension 2055</t>
  </si>
  <si>
    <t>Simplicity Småbolag Sverige</t>
  </si>
  <si>
    <t>Handelsbanken Östeuropafond</t>
  </si>
  <si>
    <t>East Capital Baltikum</t>
  </si>
  <si>
    <t>East Capital Turkiet</t>
  </si>
  <si>
    <t>Handelsbanken Läkemedelsfond</t>
  </si>
  <si>
    <t>East Capital Östeuropa</t>
  </si>
  <si>
    <t>Enter Cross Credit</t>
  </si>
  <si>
    <t>East Capital Balkan</t>
  </si>
  <si>
    <t>Handelsbanken Nordiska Småbolagsfond</t>
  </si>
  <si>
    <t>Handelsbanken Latinamerikafond</t>
  </si>
  <si>
    <t>East Capital Ryssland</t>
  </si>
  <si>
    <t>Aktia Nordic Micro Cap</t>
  </si>
  <si>
    <t>Aktia Nordic Small Cap</t>
  </si>
  <si>
    <t>Navigera Strategi Världen</t>
  </si>
  <si>
    <t>SEF - EGAS Dynamic Portfolio</t>
  </si>
  <si>
    <t>Monyx Tillväxtmarknader</t>
  </si>
  <si>
    <t>Aktia Solida</t>
  </si>
  <si>
    <t>Aktia Secura</t>
  </si>
  <si>
    <t>Aktia Europe Small Cap</t>
  </si>
  <si>
    <t>Allianz GEM Equity High Dividend</t>
  </si>
  <si>
    <t>Aktia Nordic</t>
  </si>
  <si>
    <t>Navigera Strategi Tillväxt</t>
  </si>
  <si>
    <r>
      <t xml:space="preserve">För år 2017 är balansindex beräknat till 166,39. </t>
    </r>
    <r>
      <rPr>
        <sz val="8"/>
        <rFont val="Arial"/>
        <family val="2"/>
      </rPr>
      <t xml:space="preserve">Källa "Historik beräkningsfaktorer inkomstpension", http://www.pensionsmyndigheten.se/BasbeloppOchVarderegler.html </t>
    </r>
  </si>
  <si>
    <t>Vid omräkning av ålderspensionen för 2017 används balansindex i stället för inkomstindex.</t>
  </si>
  <si>
    <t>Danske Invest SICAV - Eastern Europe ex Russia - Class A</t>
  </si>
  <si>
    <t>Danske Invest SICAV - Global Stockpicking</t>
  </si>
  <si>
    <t>Pension om mer än 10 år</t>
  </si>
  <si>
    <t>Aggressiv</t>
  </si>
  <si>
    <t>Varierande</t>
  </si>
  <si>
    <t>C WorldWide Sweden</t>
  </si>
  <si>
    <t>Global och Sverige</t>
  </si>
  <si>
    <t>C WorldWide Sweden Small Cap</t>
  </si>
  <si>
    <t>C WorldWide Emerging Markets</t>
  </si>
  <si>
    <t>C WorldWide Stable Equities</t>
  </si>
  <si>
    <t>C WorldWide Global Equities Ethical</t>
  </si>
  <si>
    <t>Sverige kortränta</t>
  </si>
  <si>
    <t>Nordea Swedish Bond Stars</t>
  </si>
  <si>
    <t>Övriga räntefonder</t>
  </si>
  <si>
    <t>Tillväxtmarknad ränta</t>
  </si>
  <si>
    <t>Försiktig</t>
  </si>
  <si>
    <t>C WorldWide Nordic</t>
  </si>
  <si>
    <t>C WorldWide Global Equities</t>
  </si>
  <si>
    <t>Global ränta</t>
  </si>
  <si>
    <t>Handelsbanken Japan Tema</t>
  </si>
  <si>
    <t>Sverige lång och realränta</t>
  </si>
  <si>
    <t>Balanserad</t>
  </si>
  <si>
    <t>Danske Invest SICAV - Global Corporate Bonds</t>
  </si>
  <si>
    <t>Europa ränta</t>
  </si>
  <si>
    <t>Norden ränta</t>
  </si>
  <si>
    <t>Råvaror och energi</t>
  </si>
  <si>
    <t>Europa småbolag</t>
  </si>
  <si>
    <t>USA och Nordamerika</t>
  </si>
  <si>
    <t>Asien</t>
  </si>
  <si>
    <t>Fastighet</t>
  </si>
  <si>
    <t>FIM Euro</t>
  </si>
  <si>
    <t>Läkemedel och bioteknik</t>
  </si>
  <si>
    <t>C WorldWide Asia</t>
  </si>
  <si>
    <t>Handelsbanken Asien Tema</t>
  </si>
  <si>
    <t>Amundi Funds CPR Global Gold Mines</t>
  </si>
  <si>
    <t>Amundi Funds CPR Global Resources</t>
  </si>
  <si>
    <t>Swedbank Robur Global Emerging Markets</t>
  </si>
  <si>
    <t>Indien</t>
  </si>
  <si>
    <t>Öhman Sverige Smart Beta</t>
  </si>
  <si>
    <t>Axa Rosenberg US Small Cap Alpha Fund B</t>
  </si>
  <si>
    <t>C WorldWide Medical</t>
  </si>
  <si>
    <t>C WorldWide Medical Small &amp; Mid Cap</t>
  </si>
  <si>
    <t>C WorldWide Fund Management S.A.</t>
  </si>
  <si>
    <t xml:space="preserve">NN (L) European Equity </t>
  </si>
  <si>
    <t>Catella Sverige Aktiv Hållbarhet</t>
  </si>
  <si>
    <t>Länsförsäkringar Japan Indexnära</t>
  </si>
  <si>
    <t>UBS (Lux) Bond Fund - Global (EUR hedged) P acc</t>
  </si>
  <si>
    <t>NN (L) Global Equity Impact Opportunities</t>
  </si>
  <si>
    <t>Handelsbanken Multi Asset 50</t>
  </si>
  <si>
    <t xml:space="preserve">Bilden visar  årlig värdeutveckling och spridningen i värdeutveckling på de individuella kontona. Uppgifterna baseras på ett stickprov om drygt 19 000 personer. </t>
  </si>
  <si>
    <t>Sparinvest SICAV - Securus</t>
  </si>
  <si>
    <t>Movestic Fund Mgmt S.A</t>
  </si>
  <si>
    <t>Sparinvest SICAV - European Value</t>
  </si>
  <si>
    <t>Sparinvest SICAV - Global Value</t>
  </si>
  <si>
    <t>Sparinvest SICAV - Emerging Markets Corporate Value Bonds SEK</t>
  </si>
  <si>
    <t>Sparinvest SICAV - Ethical Global Value</t>
  </si>
  <si>
    <t>Sparinvest SICAV - Investment Grade Value Bonds</t>
  </si>
  <si>
    <t>Amundi Funds Wells Fargo US MID Cap</t>
  </si>
  <si>
    <t>Öhman Global Hållbar</t>
  </si>
  <si>
    <t>Sparinvest SICAV - Procedo</t>
  </si>
  <si>
    <t>Sparinvest SICAV - Ethical Emerging Markets Value</t>
  </si>
  <si>
    <t>Lundmark Aktiv Europa</t>
  </si>
  <si>
    <t>Tundra Frontier Africa Fund</t>
  </si>
  <si>
    <t>Sentat World Equity Replication fund</t>
  </si>
  <si>
    <t>Sparinvest SICAV - Equitas</t>
  </si>
  <si>
    <t>Sparinvest SICAV - Ethical High Yield Value Bonds EUR R</t>
  </si>
  <si>
    <t>SPP Sverige Plus</t>
  </si>
  <si>
    <t>Lundmark Affärsvärldenfonden</t>
  </si>
  <si>
    <t>Taaleri Nordic Value Equity Fund</t>
  </si>
  <si>
    <t>Lannebo Komplett</t>
  </si>
  <si>
    <t>Enter Return</t>
  </si>
  <si>
    <t>Axa Rosenberg All Country Asia Pacific Ex-Japan Small Cap Alpha</t>
  </si>
  <si>
    <t>Ålandsbanken Premium 100 Global Aktie Placeringsfond</t>
  </si>
  <si>
    <t>Handelsbanken USA Index</t>
  </si>
  <si>
    <t>DNB Global Indeks</t>
  </si>
  <si>
    <t>Fondita European Micro Cap Placeringsfond</t>
  </si>
  <si>
    <t>DNB SMB</t>
  </si>
  <si>
    <t>DNB USA</t>
  </si>
  <si>
    <t>Tellus Bank &amp; Finansfond</t>
  </si>
  <si>
    <t>Aktie-Ansvar Saxxum Aktiv</t>
  </si>
  <si>
    <t xml:space="preserve">    AP7 gäller from och med 21 maj 2010, före detta datum gällde Premiesparfonden.</t>
  </si>
  <si>
    <t>Evli Global</t>
  </si>
  <si>
    <t>Aktia Emerging Market Bond+</t>
  </si>
  <si>
    <t>Söderberg &amp; Partners Proaktiv 75 PM</t>
  </si>
  <si>
    <t>Allra Strategi Försiktig</t>
  </si>
  <si>
    <t>Allra Asset Management S.A.</t>
  </si>
  <si>
    <t>Söderberg &amp; Partners Proaktiv 80 PM</t>
  </si>
  <si>
    <t>Falcon Balanced Fund</t>
  </si>
  <si>
    <t>Falcon Cautious Fund</t>
  </si>
  <si>
    <t>Allra Strategi Ränta</t>
  </si>
  <si>
    <t>Aktia Emerging Market Local Currency Bond+</t>
  </si>
  <si>
    <t>Allra Strategi Lagom</t>
  </si>
  <si>
    <t>Allra Strategi Modig</t>
  </si>
  <si>
    <t>Ålandsbanken Dynamisk Ränta Placeringsfond</t>
  </si>
  <si>
    <t>Invesco Emerging Market Structured Equity Fund</t>
  </si>
  <si>
    <t>Cicero World 0-100</t>
  </si>
  <si>
    <t>East Capital Sustainable Emerging Markets</t>
  </si>
  <si>
    <t>Taaleri Rahastoyhtiö Oy</t>
  </si>
  <si>
    <t>C WorldWide Biotechnology</t>
  </si>
  <si>
    <t>Amundi Funds SBI FM Equity India</t>
  </si>
  <si>
    <t>DNB Grönt Norden</t>
  </si>
  <si>
    <t>UBS (Lux) Equity Sicav - Asian Smaller Companies (USD)</t>
  </si>
  <si>
    <t>UBS (Lux) Equity Fund - USA Multi Strategy (USD) P-acc</t>
  </si>
  <si>
    <t>Handelsbanken Global Tema</t>
  </si>
  <si>
    <t>Länsförsäkringar Sverige Indexnära</t>
  </si>
  <si>
    <t>Handelsbanken Pension 80</t>
  </si>
  <si>
    <t>Handelsbanken Pension 70</t>
  </si>
  <si>
    <t>Solidar Etisk Plus</t>
  </si>
  <si>
    <t>Handelsbanken Pension 60</t>
  </si>
  <si>
    <t>Amundi Funds CPR Global Lifestyles</t>
  </si>
  <si>
    <t>Amundi Funds Equity Euro Concentrated</t>
  </si>
  <si>
    <t>Länsförsäkringar Europa Indexnära</t>
  </si>
  <si>
    <t>Baring Global Leaders Fund</t>
  </si>
  <si>
    <t>Öhman Etisk Emerging Markets</t>
  </si>
  <si>
    <t>SEF - LHV Persian Gulf Fund</t>
  </si>
  <si>
    <t>Aberdeen Global - Select Euro High Yield Bond</t>
  </si>
  <si>
    <t>FIM Emerging Markets ESG</t>
  </si>
  <si>
    <t>Handelsbanken Pension 50</t>
  </si>
  <si>
    <t>INVL Emerging Europe Bond Subfund</t>
  </si>
  <si>
    <t>Swedbank Robur Bas Mix</t>
  </si>
  <si>
    <t>Navigera Strategi Bevara</t>
  </si>
  <si>
    <t>Handelsbanken Pension 40</t>
  </si>
  <si>
    <t>Monyx Strategi Försiktig</t>
  </si>
  <si>
    <t>SEB Rysslandfond - Lux</t>
  </si>
  <si>
    <t>Öhman Företagsobligationsfond Hållbar</t>
  </si>
  <si>
    <t>Sparinvest SICAV - Emerging Markets Corporate Value Bonds EUR</t>
  </si>
  <si>
    <t>Handelsbanken Lux Korträntefond</t>
  </si>
  <si>
    <t>Pictet Robotics</t>
  </si>
  <si>
    <t>SEF - Case Power Play</t>
  </si>
  <si>
    <t>Zensum Balanserad</t>
  </si>
  <si>
    <t>UBS (Lux) Equity Sicav - Euro Countries Income (EUR)</t>
  </si>
  <si>
    <t>Movestic Bear 2.0 (Derivat)</t>
  </si>
  <si>
    <t>Movestic Bull 2.0 (Derivat)</t>
  </si>
  <si>
    <t>Movestic Sicav - Movestic Global</t>
  </si>
  <si>
    <t>JRS SICAV 2 - JRS Global Edge</t>
  </si>
  <si>
    <t>Handelsbanken Pension 90</t>
  </si>
  <si>
    <t>Cicero Världen</t>
  </si>
  <si>
    <t>Alpcot Balanserad</t>
  </si>
  <si>
    <t>Enter Preserve</t>
  </si>
  <si>
    <t>Sparinvest SICAV - Ethical High Yield Value Bonds SEK R</t>
  </si>
  <si>
    <t>Proxy Petroleum Energy</t>
  </si>
  <si>
    <t>OPM Global Quality Companies</t>
  </si>
  <si>
    <t>CB Fund - Save Earth Fund</t>
  </si>
  <si>
    <t>BL - Global Bond Opportunities</t>
  </si>
  <si>
    <t>Handel, netto</t>
  </si>
  <si>
    <t>Klicka på kolumnnamnen för att sortera på respektive kolumn.</t>
  </si>
  <si>
    <t>ISIN-kod</t>
  </si>
  <si>
    <t>1 mån.</t>
  </si>
  <si>
    <t>LU0006061252</t>
  </si>
  <si>
    <t>LU0054578231</t>
  </si>
  <si>
    <t>SE0007413398</t>
  </si>
  <si>
    <t>LU0801842559</t>
  </si>
  <si>
    <t>SE0006851978</t>
  </si>
  <si>
    <t>SE0000356230</t>
  </si>
  <si>
    <t>LU0211331839</t>
  </si>
  <si>
    <t>SE0001719576</t>
  </si>
  <si>
    <t>SE0005932993</t>
  </si>
  <si>
    <t>SE0000356065</t>
  </si>
  <si>
    <t>FI0008813142</t>
  </si>
  <si>
    <t>SE0000429821</t>
  </si>
  <si>
    <t>SE0000696775</t>
  </si>
  <si>
    <t>LU0386865348</t>
  </si>
  <si>
    <t>LU0338482770</t>
  </si>
  <si>
    <t>SE0000540627</t>
  </si>
  <si>
    <t>IE0004324657</t>
  </si>
  <si>
    <t>SE0004518744</t>
  </si>
  <si>
    <t>SE0000810814</t>
  </si>
  <si>
    <t>SE0005424256</t>
  </si>
  <si>
    <t>SE0001112715</t>
  </si>
  <si>
    <t>SE0001112723</t>
  </si>
  <si>
    <t>LU0168450194</t>
  </si>
  <si>
    <t>SE0004357077</t>
  </si>
  <si>
    <t>LU0073229923</t>
  </si>
  <si>
    <t>LU0073231408</t>
  </si>
  <si>
    <t>SE0001185000</t>
  </si>
  <si>
    <t>LU0963586101</t>
  </si>
  <si>
    <t>LU0072913022</t>
  </si>
  <si>
    <t>LU0381617769</t>
  </si>
  <si>
    <t>LU0874909988</t>
  </si>
  <si>
    <t>SE0004357069</t>
  </si>
  <si>
    <t>SE0005472040</t>
  </si>
  <si>
    <t>SE0000855215</t>
  </si>
  <si>
    <t>SE0002699421</t>
  </si>
  <si>
    <t>IE0004318048</t>
  </si>
  <si>
    <t>LU0347592197</t>
  </si>
  <si>
    <t>LU1133292463</t>
  </si>
  <si>
    <t>LU1050467312</t>
  </si>
  <si>
    <t>SE0003695790</t>
  </si>
  <si>
    <t>LU0107464264</t>
  </si>
  <si>
    <t>LU0348825331</t>
  </si>
  <si>
    <t>LU0047713382</t>
  </si>
  <si>
    <t>LU0212924517</t>
  </si>
  <si>
    <t>SE0000810764</t>
  </si>
  <si>
    <t>LU0131726092</t>
  </si>
  <si>
    <t>LU0316859403</t>
  </si>
  <si>
    <t>LU0246274897</t>
  </si>
  <si>
    <t>SE0004167567</t>
  </si>
  <si>
    <t>LU0083425479</t>
  </si>
  <si>
    <t>LU0029375739</t>
  </si>
  <si>
    <t>SE0000577959</t>
  </si>
  <si>
    <t>NO0010660434</t>
  </si>
  <si>
    <t>FI0008814231</t>
  </si>
  <si>
    <t>SE0000837239</t>
  </si>
  <si>
    <t>SE0000837213</t>
  </si>
  <si>
    <t>LU0081259029</t>
  </si>
  <si>
    <t>LU0165623512</t>
  </si>
  <si>
    <t>LU0201575346</t>
  </si>
  <si>
    <t>SE0004751386</t>
  </si>
  <si>
    <t>SE0005281847</t>
  </si>
  <si>
    <t>SE0000984130</t>
  </si>
  <si>
    <t>SE0000984114</t>
  </si>
  <si>
    <t>SE0000775348</t>
  </si>
  <si>
    <t>SE0007074059</t>
  </si>
  <si>
    <t>IE0003893678</t>
  </si>
  <si>
    <t>IE0032431581</t>
  </si>
  <si>
    <t>SE0004114205</t>
  </si>
  <si>
    <t>SE0005472032</t>
  </si>
  <si>
    <t>IE0004897173</t>
  </si>
  <si>
    <t>IE0004896431</t>
  </si>
  <si>
    <t>IE0034234991</t>
  </si>
  <si>
    <t>SE0000522724</t>
  </si>
  <si>
    <t>LU0101692753</t>
  </si>
  <si>
    <t>SE0004646628</t>
  </si>
  <si>
    <t>LU0674580955</t>
  </si>
  <si>
    <t>SE0003299999</t>
  </si>
  <si>
    <t>LU0156840208</t>
  </si>
  <si>
    <t>LU0117088970</t>
  </si>
  <si>
    <t>SE0000429748</t>
  </si>
  <si>
    <t>SE0000709545</t>
  </si>
  <si>
    <t>SE0000837379</t>
  </si>
  <si>
    <t>LU0051128774</t>
  </si>
  <si>
    <t>SE0004840080</t>
  </si>
  <si>
    <t>LU0674581847</t>
  </si>
  <si>
    <t>SE0008241442</t>
  </si>
  <si>
    <t>SE0001938788</t>
  </si>
  <si>
    <t>SE0001015355</t>
  </si>
  <si>
    <t>SE0000984197</t>
  </si>
  <si>
    <t>SE0000813917</t>
  </si>
  <si>
    <t>SE0000862278</t>
  </si>
  <si>
    <t>SE0001112764</t>
  </si>
  <si>
    <t>SE0004546588</t>
  </si>
  <si>
    <t>SE0006028064</t>
  </si>
  <si>
    <t>SE0003655273</t>
  </si>
  <si>
    <t>LU0051755006</t>
  </si>
  <si>
    <t>SE0000529992</t>
  </si>
  <si>
    <t>SE0006426219</t>
  </si>
  <si>
    <t>SE0002566349</t>
  </si>
  <si>
    <t>SE0000924649</t>
  </si>
  <si>
    <t>SE0006453536</t>
  </si>
  <si>
    <t>SE0000428336</t>
  </si>
  <si>
    <t>SE0005065521</t>
  </si>
  <si>
    <t>SE0004636447</t>
  </si>
  <si>
    <t>LU0498763944</t>
  </si>
  <si>
    <t>LU0498763605</t>
  </si>
  <si>
    <t>LU0319687124</t>
  </si>
  <si>
    <t>SE0002801290</t>
  </si>
  <si>
    <t>SE0001891508</t>
  </si>
  <si>
    <t>SE0008320857</t>
  </si>
  <si>
    <t>SE0000735789</t>
  </si>
  <si>
    <t>LU1133292034</t>
  </si>
  <si>
    <t>SE0006852448</t>
  </si>
  <si>
    <t>SE0000429789</t>
  </si>
  <si>
    <t>SE0003788587</t>
  </si>
  <si>
    <t>SE0003495654</t>
  </si>
  <si>
    <t>SE0002686584</t>
  </si>
  <si>
    <t>SE0001091000</t>
  </si>
  <si>
    <t>SE0000429813</t>
  </si>
  <si>
    <t>SE0000810723</t>
  </si>
  <si>
    <t>SE0003116748</t>
  </si>
  <si>
    <t>MT7000014783</t>
  </si>
  <si>
    <t>SE0000538944</t>
  </si>
  <si>
    <t>SE0000837221</t>
  </si>
  <si>
    <t>SE0001091018</t>
  </si>
  <si>
    <t>SE0001463449</t>
  </si>
  <si>
    <t>LU0094517140</t>
  </si>
  <si>
    <t>SE0003207638</t>
  </si>
  <si>
    <t>FI4000058821</t>
  </si>
  <si>
    <t>FI4000058813</t>
  </si>
  <si>
    <t>SE0000709271</t>
  </si>
  <si>
    <t>SE0003116706</t>
  </si>
  <si>
    <t>SE0000777708</t>
  </si>
  <si>
    <t>SE0007704804</t>
  </si>
  <si>
    <t>SE0000739195</t>
  </si>
  <si>
    <t>SE0000810913</t>
  </si>
  <si>
    <t>SE0001718388</t>
  </si>
  <si>
    <t>LU0117896174</t>
  </si>
  <si>
    <t>SE0000837205</t>
  </si>
  <si>
    <t>SE0000739179</t>
  </si>
  <si>
    <t>SE0004357051</t>
  </si>
  <si>
    <t>SE0002135566</t>
  </si>
  <si>
    <t>SE0003116730</t>
  </si>
  <si>
    <t>SE0001244328</t>
  </si>
  <si>
    <t>SE0000740680</t>
  </si>
  <si>
    <t>SE0001472937</t>
  </si>
  <si>
    <t>SE0000577272</t>
  </si>
  <si>
    <t>SE0008321780</t>
  </si>
  <si>
    <t>SE0001466368</t>
  </si>
  <si>
    <t>SE0005281953</t>
  </si>
  <si>
    <t>SE0002135558</t>
  </si>
  <si>
    <t>SE0008015069</t>
  </si>
  <si>
    <t>SE0000888208</t>
  </si>
  <si>
    <t>SE0000356271</t>
  </si>
  <si>
    <t>SE0000540619</t>
  </si>
  <si>
    <t>SE0000582033</t>
  </si>
  <si>
    <t>SE0001932781</t>
  </si>
  <si>
    <t>SE0000569691</t>
  </si>
  <si>
    <t>SE0000540593</t>
  </si>
  <si>
    <t>SE0001112749</t>
  </si>
  <si>
    <t>SE0002800276</t>
  </si>
  <si>
    <t>SE0008320824</t>
  </si>
  <si>
    <t>LU0075898758</t>
  </si>
  <si>
    <t>SE0007603881</t>
  </si>
  <si>
    <t>SE0005189537</t>
  </si>
  <si>
    <t>SE0000739161</t>
  </si>
  <si>
    <t>SE0000916991</t>
  </si>
  <si>
    <t>SE0000984171</t>
  </si>
  <si>
    <t>SE0006143244</t>
  </si>
  <si>
    <t>SE0001451428</t>
  </si>
  <si>
    <t>SE0000740706</t>
  </si>
  <si>
    <t>SE0000984155</t>
  </si>
  <si>
    <t>SE0000433203</t>
  </si>
  <si>
    <t>SE0000984189</t>
  </si>
  <si>
    <t>SE0000531881</t>
  </si>
  <si>
    <t>SE0000569667</t>
  </si>
  <si>
    <t>IE0000829121</t>
  </si>
  <si>
    <t>SE0006964706</t>
  </si>
  <si>
    <t>SE0004841070</t>
  </si>
  <si>
    <t>LU1369651317</t>
  </si>
  <si>
    <t>SE0001112731</t>
  </si>
  <si>
    <t>LU0674582571</t>
  </si>
  <si>
    <t>SE0000433138</t>
  </si>
  <si>
    <t>SE0000577462</t>
  </si>
  <si>
    <t>SE0000709586</t>
  </si>
  <si>
    <t>SE0000735797</t>
  </si>
  <si>
    <t>SE0000432809</t>
  </si>
  <si>
    <t>LU0144879052</t>
  </si>
  <si>
    <t>SE0008241459</t>
  </si>
  <si>
    <t>SE0008241467</t>
  </si>
  <si>
    <t>SE0008374854</t>
  </si>
  <si>
    <t>SE0008374847</t>
  </si>
  <si>
    <t>SE0008374839</t>
  </si>
  <si>
    <t>SE0004548949</t>
  </si>
  <si>
    <t>SE0008129985</t>
  </si>
  <si>
    <t>SE0008129969</t>
  </si>
  <si>
    <t>SE0000396574</t>
  </si>
  <si>
    <t>SE0000837064</t>
  </si>
  <si>
    <t>SE0000837072</t>
  </si>
  <si>
    <t>SE0000837080</t>
  </si>
  <si>
    <t>SE0000837098</t>
  </si>
  <si>
    <t>LU0674581250</t>
  </si>
  <si>
    <t>SE0000432775</t>
  </si>
  <si>
    <t>LU0346595837</t>
  </si>
  <si>
    <t>SE0003039874</t>
  </si>
  <si>
    <t>SE0000813933</t>
  </si>
  <si>
    <t>SE0000735771</t>
  </si>
  <si>
    <t>SE0000709370</t>
  </si>
  <si>
    <t>LU0119216801</t>
  </si>
  <si>
    <t>SE0000837247</t>
  </si>
  <si>
    <t>SE0000522500</t>
  </si>
  <si>
    <t>SE0000865768</t>
  </si>
  <si>
    <t>SE0004951283</t>
  </si>
  <si>
    <t>SE0001702408</t>
  </si>
  <si>
    <t>IE0000829238</t>
  </si>
  <si>
    <t>IE0000828933</t>
  </si>
  <si>
    <t>SE0005506284</t>
  </si>
  <si>
    <t>SE0000984080</t>
  </si>
  <si>
    <t>SE0002152140</t>
  </si>
  <si>
    <t>LU0073230343</t>
  </si>
  <si>
    <t>LU1308446266</t>
  </si>
  <si>
    <t>SE0003395177</t>
  </si>
  <si>
    <t>SE0000988750</t>
  </si>
  <si>
    <t>SE0000577280</t>
  </si>
  <si>
    <t>LU0119200128</t>
  </si>
  <si>
    <t>SE0000837122</t>
  </si>
  <si>
    <t>SE0000837114</t>
  </si>
  <si>
    <t>SE0000837106</t>
  </si>
  <si>
    <t>SE0000709297</t>
  </si>
  <si>
    <t>LU0090738252</t>
  </si>
  <si>
    <t>LU0283960150</t>
  </si>
  <si>
    <t>LU0674583462</t>
  </si>
  <si>
    <t>SE0000837346</t>
  </si>
  <si>
    <t>SE0008374821</t>
  </si>
  <si>
    <t>SE0000356099</t>
  </si>
  <si>
    <t>LU0302296065</t>
  </si>
  <si>
    <t>SE0000740672</t>
  </si>
  <si>
    <t>SE0000577330</t>
  </si>
  <si>
    <t>SE0000837254</t>
  </si>
  <si>
    <t>SE0004324424</t>
  </si>
  <si>
    <t>SE0000891772</t>
  </si>
  <si>
    <t>SE0001827692</t>
  </si>
  <si>
    <t>SE0006338398</t>
  </si>
  <si>
    <t>SE0007278601</t>
  </si>
  <si>
    <t>SE0004545747</t>
  </si>
  <si>
    <t>SE0004750693</t>
  </si>
  <si>
    <t>SE0004750651</t>
  </si>
  <si>
    <t>LU0674582811</t>
  </si>
  <si>
    <t>SE0003299981</t>
  </si>
  <si>
    <t>SE0000709313</t>
  </si>
  <si>
    <t>LU0076532638</t>
  </si>
  <si>
    <t>IE0000805634</t>
  </si>
  <si>
    <t>IE0000838304</t>
  </si>
  <si>
    <t>LU0178670161</t>
  </si>
  <si>
    <t>IE0000268916</t>
  </si>
  <si>
    <t>NO0010710726</t>
  </si>
  <si>
    <t>SE0004926368</t>
  </si>
  <si>
    <t>SE0000569683</t>
  </si>
  <si>
    <t>SE0005188836</t>
  </si>
  <si>
    <t>SE0005796331</t>
  </si>
  <si>
    <t>LU0516397667</t>
  </si>
  <si>
    <t>SE0000837197</t>
  </si>
  <si>
    <t>IE00B8K8J134</t>
  </si>
  <si>
    <t>SE0009161540</t>
  </si>
  <si>
    <t>SE0007074091</t>
  </si>
  <si>
    <t>IE00B7YMYW09</t>
  </si>
  <si>
    <t>SE0001713678</t>
  </si>
  <si>
    <t>LU1028962543</t>
  </si>
  <si>
    <t>SE0004544823</t>
  </si>
  <si>
    <t>LU0075898915</t>
  </si>
  <si>
    <t>SE0004452118</t>
  </si>
  <si>
    <t>SE0003910298</t>
  </si>
  <si>
    <t>SE0005224078</t>
  </si>
  <si>
    <t>SE0004576452</t>
  </si>
  <si>
    <t>SE0005993128</t>
  </si>
  <si>
    <t>SE0000621393</t>
  </si>
  <si>
    <t>SE0000671919</t>
  </si>
  <si>
    <t>SE0003455658</t>
  </si>
  <si>
    <t>SE0000356107</t>
  </si>
  <si>
    <t>SE0008613939</t>
  </si>
  <si>
    <t>LU0303816887</t>
  </si>
  <si>
    <t>LU0115763970</t>
  </si>
  <si>
    <t>LU0119124864</t>
  </si>
  <si>
    <t>LU0238209786</t>
  </si>
  <si>
    <t>LU0766124472</t>
  </si>
  <si>
    <t>LU0267387339</t>
  </si>
  <si>
    <t>NO0010062961</t>
  </si>
  <si>
    <t>LU0082087510</t>
  </si>
  <si>
    <t>FI0008800495</t>
  </si>
  <si>
    <t>LU0157052563</t>
  </si>
  <si>
    <t>LU0115759606</t>
  </si>
  <si>
    <t>LU0778324086</t>
  </si>
  <si>
    <t>FI0008802871</t>
  </si>
  <si>
    <t>LTIF00000096</t>
  </si>
  <si>
    <t>LTIF00000443</t>
  </si>
  <si>
    <t>LU0159041358</t>
  </si>
  <si>
    <t>LU0070212591</t>
  </si>
  <si>
    <t>LU0132602227</t>
  </si>
  <si>
    <t>LU0073255928</t>
  </si>
  <si>
    <t>LU0078114898</t>
  </si>
  <si>
    <t>LU0073232554</t>
  </si>
  <si>
    <t>LU0370038167</t>
  </si>
  <si>
    <t>LU0144510053</t>
  </si>
  <si>
    <t>NO0010089410</t>
  </si>
  <si>
    <t>LU0138501191</t>
  </si>
  <si>
    <t>SE0005757275</t>
  </si>
  <si>
    <t>SE0000569709</t>
  </si>
  <si>
    <t>SE0000625352</t>
  </si>
  <si>
    <t>FI4000043682</t>
  </si>
  <si>
    <t>FI4000043690</t>
  </si>
  <si>
    <t>FI4000058854</t>
  </si>
  <si>
    <t>LU0907933575</t>
  </si>
  <si>
    <t>LU0133806512</t>
  </si>
  <si>
    <t>LU0128469839</t>
  </si>
  <si>
    <t>LU0580531472</t>
  </si>
  <si>
    <t>SE0000540601</t>
  </si>
  <si>
    <t>IE0004334029</t>
  </si>
  <si>
    <t>LU0055809197</t>
  </si>
  <si>
    <t>LU0104885248</t>
  </si>
  <si>
    <t>LU0346060212</t>
  </si>
  <si>
    <t>SE0003428200</t>
  </si>
  <si>
    <t>SE0001135005</t>
  </si>
  <si>
    <t>SE0000356297</t>
  </si>
  <si>
    <t>SE0007074075</t>
  </si>
  <si>
    <t>LU0094548533</t>
  </si>
  <si>
    <t>LU0132414144</t>
  </si>
  <si>
    <t>SE0001095506</t>
  </si>
  <si>
    <t>SE0000810897</t>
  </si>
  <si>
    <t>SE0000810871</t>
  </si>
  <si>
    <t>SE0001095845</t>
  </si>
  <si>
    <t>SE0001095852</t>
  </si>
  <si>
    <t>SE0001095878</t>
  </si>
  <si>
    <t>SE0000619355</t>
  </si>
  <si>
    <t>LU1152059942</t>
  </si>
  <si>
    <t>LU1152059868</t>
  </si>
  <si>
    <t>SE0008348403</t>
  </si>
  <si>
    <t>SE0004607919</t>
  </si>
  <si>
    <t>SE0004243038</t>
  </si>
  <si>
    <t>SE0004607893</t>
  </si>
  <si>
    <t>SE0004607927</t>
  </si>
  <si>
    <t>SE0004243020</t>
  </si>
  <si>
    <t>SE0004607901</t>
  </si>
  <si>
    <t>FI0008800321</t>
  </si>
  <si>
    <t>FI0008800339</t>
  </si>
  <si>
    <t>LU0122612848</t>
  </si>
  <si>
    <t>LTIF00000435</t>
  </si>
  <si>
    <t>LU0208853944</t>
  </si>
  <si>
    <t>LU0118140697</t>
  </si>
  <si>
    <t>SE0000602278</t>
  </si>
  <si>
    <t>SE0000639445</t>
  </si>
  <si>
    <t>SE0000602252</t>
  </si>
  <si>
    <t>SE0000539421</t>
  </si>
  <si>
    <t>SE0000543043</t>
  </si>
  <si>
    <t>SE0000537763</t>
  </si>
  <si>
    <t>SE0000602260</t>
  </si>
  <si>
    <t>SE0000542805</t>
  </si>
  <si>
    <t>SE0000537771</t>
  </si>
  <si>
    <t>SE0000542839</t>
  </si>
  <si>
    <t>SE0000537706</t>
  </si>
  <si>
    <t>SE0000577975</t>
  </si>
  <si>
    <t>SE0000533945</t>
  </si>
  <si>
    <t>SE0000493520</t>
  </si>
  <si>
    <t>SE0000993560</t>
  </si>
  <si>
    <t>LU0073234766</t>
  </si>
  <si>
    <t>LU0073234923</t>
  </si>
  <si>
    <t>LU0109967249</t>
  </si>
  <si>
    <t>LU0546915058</t>
  </si>
  <si>
    <t>LU0546916023</t>
  </si>
  <si>
    <t>LU0095527585</t>
  </si>
  <si>
    <t>LU0546916619</t>
  </si>
  <si>
    <t>LU0546913194</t>
  </si>
  <si>
    <t>LU0250172185</t>
  </si>
  <si>
    <t>LU0119216553</t>
  </si>
  <si>
    <t>SE0000709362</t>
  </si>
  <si>
    <t>SE0000881112</t>
  </si>
  <si>
    <t>LU0128492732</t>
  </si>
  <si>
    <t>LU0053685615</t>
  </si>
  <si>
    <t>SE0006763967</t>
  </si>
  <si>
    <t>SE0006881389</t>
  </si>
  <si>
    <t>SE0005393253</t>
  </si>
  <si>
    <t>LU0085872058</t>
  </si>
  <si>
    <t>SE0005393246</t>
  </si>
  <si>
    <t>SE0000916983</t>
  </si>
  <si>
    <t>SE0000810905</t>
  </si>
  <si>
    <t>SE0005798329</t>
  </si>
  <si>
    <t>LU1152060015</t>
  </si>
  <si>
    <t>SE0004139780</t>
  </si>
  <si>
    <t>FI0008813191</t>
  </si>
  <si>
    <t>FI4000010525</t>
  </si>
  <si>
    <t>GB00B1F76L55</t>
  </si>
  <si>
    <t>GB0033737874</t>
  </si>
  <si>
    <t>SE0000577322</t>
  </si>
  <si>
    <t>SE0005506276</t>
  </si>
  <si>
    <t>LU0234759529</t>
  </si>
  <si>
    <t>LU0153359632</t>
  </si>
  <si>
    <t>SE0000653370</t>
  </si>
  <si>
    <t>SE0000739187</t>
  </si>
  <si>
    <t>SE0000429854</t>
  </si>
  <si>
    <t>SE0003586346</t>
  </si>
  <si>
    <t>SE0000810731</t>
  </si>
  <si>
    <t>SE0001095860</t>
  </si>
  <si>
    <t>FI0008813332</t>
  </si>
  <si>
    <t>FI4000048962</t>
  </si>
  <si>
    <t>SE0000984098</t>
  </si>
  <si>
    <t>LU0207432559</t>
  </si>
  <si>
    <t>FI0008811708</t>
  </si>
  <si>
    <t>SE0000885071</t>
  </si>
  <si>
    <t>SE0000837296</t>
  </si>
  <si>
    <t>LU0273119544</t>
  </si>
  <si>
    <t>LU0256625632</t>
  </si>
  <si>
    <t>LU1279333832</t>
  </si>
  <si>
    <t>SE0004607935</t>
  </si>
  <si>
    <t>SE0001714593</t>
  </si>
  <si>
    <t>LTIF00000468</t>
  </si>
  <si>
    <t>LU0809909442</t>
  </si>
  <si>
    <t>LU1487948983</t>
  </si>
  <si>
    <t>LU0119485372</t>
  </si>
  <si>
    <t>LU1081248731</t>
  </si>
  <si>
    <t>LU1232457504</t>
  </si>
  <si>
    <t>LU0945154085</t>
  </si>
  <si>
    <t>SE0001184961</t>
  </si>
  <si>
    <t>LU0093570926</t>
  </si>
  <si>
    <t>SE0000429847</t>
  </si>
  <si>
    <t>NO0010363740</t>
  </si>
  <si>
    <t>SE0000810863</t>
  </si>
  <si>
    <t>SE0000522518</t>
  </si>
  <si>
    <t>FI4000236468</t>
  </si>
  <si>
    <t>LU1116557668</t>
  </si>
  <si>
    <t>LU1081249119</t>
  </si>
  <si>
    <t>FI0008801816</t>
  </si>
  <si>
    <t>FI0008801980</t>
  </si>
  <si>
    <t>FI4000167416</t>
  </si>
  <si>
    <t>FI4000123237</t>
  </si>
  <si>
    <t>LU0236501697</t>
  </si>
  <si>
    <t>SE0004324416</t>
  </si>
  <si>
    <t>SE0001714601</t>
  </si>
  <si>
    <t>SE0001714585</t>
  </si>
  <si>
    <t>LU0217138725</t>
  </si>
  <si>
    <t>LU0715498449</t>
  </si>
  <si>
    <t>SE0008014435</t>
  </si>
  <si>
    <t>LU0093569910</t>
  </si>
  <si>
    <t>FI4000081187</t>
  </si>
  <si>
    <t>FI4000081195</t>
  </si>
  <si>
    <t>SE0006852232</t>
  </si>
  <si>
    <t>SE0007073937</t>
  </si>
  <si>
    <t>SE0000639437</t>
  </si>
  <si>
    <t>SE0005506300</t>
  </si>
  <si>
    <t>SE0000542771</t>
  </si>
  <si>
    <t>SE0000602302</t>
  </si>
  <si>
    <t>SE0000537722</t>
  </si>
  <si>
    <t>LU0122292328</t>
  </si>
  <si>
    <t>SE0004330892</t>
  </si>
  <si>
    <t>LU1320616888</t>
  </si>
  <si>
    <t>SE0000625238</t>
  </si>
  <si>
    <t>SE0004330884</t>
  </si>
  <si>
    <t>SE0004807097</t>
  </si>
  <si>
    <t>SE0008347447</t>
  </si>
  <si>
    <t>LU0128473435</t>
  </si>
  <si>
    <t>FI0008814694</t>
  </si>
  <si>
    <t>LU0086737722</t>
  </si>
  <si>
    <t>NO0010072945</t>
  </si>
  <si>
    <t>GB00B24HJC53</t>
  </si>
  <si>
    <t>SE0004211282</t>
  </si>
  <si>
    <t>FI4000124250</t>
  </si>
  <si>
    <t>LU0715530605</t>
  </si>
  <si>
    <t>LU1209008116</t>
  </si>
  <si>
    <t>SE0001175712</t>
  </si>
  <si>
    <t>SE0001175720</t>
  </si>
  <si>
    <t>SE0001175738</t>
  </si>
  <si>
    <t>NO0010089501</t>
  </si>
  <si>
    <t>SE0000493504</t>
  </si>
  <si>
    <t>SE0005188091</t>
  </si>
  <si>
    <t>NO0010582984</t>
  </si>
  <si>
    <t>MT7000009643</t>
  </si>
  <si>
    <t>MT7000009676</t>
  </si>
  <si>
    <t>IE0030354744</t>
  </si>
  <si>
    <t>LU0085870433</t>
  </si>
  <si>
    <t>LU0487186396</t>
  </si>
  <si>
    <t>FI4000048970</t>
  </si>
  <si>
    <t>FI0008813241</t>
  </si>
  <si>
    <t>FI4000242854</t>
  </si>
  <si>
    <t>FI0008809892</t>
  </si>
  <si>
    <t>FI0008804992</t>
  </si>
  <si>
    <t>LU0153358154</t>
  </si>
  <si>
    <t>FI0008813555</t>
  </si>
  <si>
    <t>FI4000252317</t>
  </si>
  <si>
    <t>SE0000356263</t>
  </si>
  <si>
    <t>LU0568602667</t>
  </si>
  <si>
    <t>LU0362355355</t>
  </si>
  <si>
    <t>LU0760183912</t>
  </si>
  <si>
    <t>LU0083327972</t>
  </si>
  <si>
    <t>LU0137992961</t>
  </si>
  <si>
    <t>LU0010019577</t>
  </si>
  <si>
    <t>LU0160768213</t>
  </si>
  <si>
    <t>IE0004352823</t>
  </si>
  <si>
    <t>IE0004346098</t>
  </si>
  <si>
    <t>LU0093570769</t>
  </si>
  <si>
    <t>LU0309192036</t>
  </si>
  <si>
    <t>LU0309191657</t>
  </si>
  <si>
    <t>LU0093570330</t>
  </si>
  <si>
    <t>EE3600108866</t>
  </si>
  <si>
    <t>LU0562934934</t>
  </si>
  <si>
    <t>LU0256839274</t>
  </si>
  <si>
    <t>LU0401974943</t>
  </si>
  <si>
    <t>LU0482909818</t>
  </si>
  <si>
    <t>LU0049785446</t>
  </si>
  <si>
    <t>SE0008992069</t>
  </si>
  <si>
    <t>SE0001912924</t>
  </si>
  <si>
    <t>LU0766124126</t>
  </si>
  <si>
    <t>LU0359201612</t>
  </si>
  <si>
    <t>LU0093570173</t>
  </si>
  <si>
    <t>LU0048292394</t>
  </si>
  <si>
    <t>LU0048293368</t>
  </si>
  <si>
    <t>LU0117287580</t>
  </si>
  <si>
    <t>LU0211340665</t>
  </si>
  <si>
    <t>LU0093502762</t>
  </si>
  <si>
    <t>LU0011846440</t>
  </si>
  <si>
    <t>LU0072462426</t>
  </si>
  <si>
    <t>LU0072463663</t>
  </si>
  <si>
    <t>LU0124384867</t>
  </si>
  <si>
    <t>LU0072461881</t>
  </si>
  <si>
    <t>LU0154236417</t>
  </si>
  <si>
    <t>LU0006061336</t>
  </si>
  <si>
    <t>LU0106831901</t>
  </si>
  <si>
    <t>LU0055631609</t>
  </si>
  <si>
    <t>LU0122379950</t>
  </si>
  <si>
    <t>LU0056508442</t>
  </si>
  <si>
    <t>LU0072462186</t>
  </si>
  <si>
    <t>LU0011850392</t>
  </si>
  <si>
    <t>LU0048365026</t>
  </si>
  <si>
    <t>AT0000673199</t>
  </si>
  <si>
    <t>AT0000673306</t>
  </si>
  <si>
    <t>AT0000A05HS1</t>
  </si>
  <si>
    <t>AT0000A0NWB5</t>
  </si>
  <si>
    <t>AT0000A01VT9</t>
  </si>
  <si>
    <t>FI0008810908</t>
  </si>
  <si>
    <t>FI0008807565</t>
  </si>
  <si>
    <t>FI0008800511</t>
  </si>
  <si>
    <t>EE3600102372</t>
  </si>
  <si>
    <t>EE3600102380</t>
  </si>
  <si>
    <t>LU0135991064</t>
  </si>
  <si>
    <t>SE0007278585</t>
  </si>
  <si>
    <t>LU1121265208</t>
  </si>
  <si>
    <t>LU1138349862</t>
  </si>
  <si>
    <t>LU0303408685</t>
  </si>
  <si>
    <t>LU0979738498</t>
  </si>
  <si>
    <t>NO0010777865</t>
  </si>
  <si>
    <t>NO0010777881</t>
  </si>
  <si>
    <t>LU0910945848</t>
  </si>
  <si>
    <t>SE0002579524</t>
  </si>
  <si>
    <t>LU0187731129</t>
  </si>
  <si>
    <t>FI0008813324</t>
  </si>
  <si>
    <t>IE0004345025</t>
  </si>
  <si>
    <t>LU0198837287</t>
  </si>
  <si>
    <t>SE0006426086</t>
  </si>
  <si>
    <t>LU0135991148</t>
  </si>
  <si>
    <t>LU0048292808</t>
  </si>
  <si>
    <t>LU0920839346</t>
  </si>
  <si>
    <t>SE0001175746</t>
  </si>
  <si>
    <t>SE0000885089</t>
  </si>
  <si>
    <t>SE0000885105</t>
  </si>
  <si>
    <t>LU0755949848</t>
  </si>
  <si>
    <t>LU0198839143</t>
  </si>
  <si>
    <t>SE0008092399</t>
  </si>
  <si>
    <t>LU0090908194</t>
  </si>
  <si>
    <t>LU0086738027</t>
  </si>
  <si>
    <t>LU0424681269</t>
  </si>
  <si>
    <t>LU0424682077</t>
  </si>
  <si>
    <t>LU0086737482</t>
  </si>
  <si>
    <t>LU0093943974</t>
  </si>
  <si>
    <t>LU0835599696</t>
  </si>
  <si>
    <t>FI4000087911</t>
  </si>
  <si>
    <t>SE0006993390</t>
  </si>
  <si>
    <t>LU0910517969</t>
  </si>
  <si>
    <t>LU0354788688</t>
  </si>
  <si>
    <t>LU0225744001</t>
  </si>
  <si>
    <t>LU0947919287</t>
  </si>
  <si>
    <t>SE0000355828</t>
  </si>
  <si>
    <t>LU0130799603</t>
  </si>
  <si>
    <t>LU0112589485</t>
  </si>
  <si>
    <t>LU0131719634</t>
  </si>
  <si>
    <t>LU0723564463</t>
  </si>
  <si>
    <t>LU0348798009</t>
  </si>
  <si>
    <t>LU0396102641</t>
  </si>
  <si>
    <t>LU0131725367</t>
  </si>
  <si>
    <t>FI0008813308</t>
  </si>
  <si>
    <t>FI0008813456</t>
  </si>
  <si>
    <t>GB0030978612</t>
  </si>
  <si>
    <t>SE0004391738</t>
  </si>
  <si>
    <t>IE0030016244</t>
  </si>
  <si>
    <t>SE0002656611</t>
  </si>
  <si>
    <t>LU0809910291</t>
  </si>
  <si>
    <t>LU0809909954</t>
  </si>
  <si>
    <t>SE0000577967</t>
  </si>
  <si>
    <t>SE0000493546</t>
  </si>
  <si>
    <t>SE0000493496</t>
  </si>
  <si>
    <t>SE0003695816</t>
  </si>
  <si>
    <t>LU0049842262</t>
  </si>
  <si>
    <t>SE0000984163</t>
  </si>
  <si>
    <t>SE0003622257</t>
  </si>
  <si>
    <t>LU0130732109</t>
  </si>
  <si>
    <t>LU0589944643</t>
  </si>
  <si>
    <t>MT7000009619</t>
  </si>
  <si>
    <t>SE0004392025</t>
  </si>
  <si>
    <t>NO0010089444</t>
  </si>
  <si>
    <t>NO0010089527</t>
  </si>
  <si>
    <t>LU1320616961</t>
  </si>
  <si>
    <t>SE0000837353</t>
  </si>
  <si>
    <t>SE0000739153</t>
  </si>
  <si>
    <t>LU0119085271</t>
  </si>
  <si>
    <t>LU0297165101</t>
  </si>
  <si>
    <t>LU0562934264</t>
  </si>
  <si>
    <t>LU0348788117</t>
  </si>
  <si>
    <t>IE00B03Z0Q75</t>
  </si>
  <si>
    <t>SE0003462423</t>
  </si>
  <si>
    <t>SE0000777724</t>
  </si>
  <si>
    <t>LU0250158358</t>
  </si>
  <si>
    <t>LU1232458148</t>
  </si>
  <si>
    <t>SE0000624421</t>
  </si>
  <si>
    <t>LU0067059799</t>
  </si>
  <si>
    <t>SE0000837056</t>
  </si>
  <si>
    <t>LU0073229410</t>
  </si>
  <si>
    <t>IE0004314401</t>
  </si>
  <si>
    <t>SE0008434948</t>
  </si>
  <si>
    <t>LU0256846568</t>
  </si>
  <si>
    <t>LU0521945989</t>
  </si>
  <si>
    <t>IE0000931182</t>
  </si>
  <si>
    <t>FI0008801790</t>
  </si>
  <si>
    <t>SE0007158407</t>
  </si>
  <si>
    <t>SE0001919143</t>
  </si>
  <si>
    <t>SE0000810772</t>
  </si>
  <si>
    <t>IE0000830129</t>
  </si>
  <si>
    <t>SE0000356073</t>
  </si>
  <si>
    <t>LU0568608276</t>
  </si>
  <si>
    <t>LU0075056555</t>
  </si>
  <si>
    <t>LU0122376428</t>
  </si>
  <si>
    <t>SE0005965662</t>
  </si>
  <si>
    <t>LU0340558583</t>
  </si>
  <si>
    <t>SE0008015077</t>
  </si>
  <si>
    <t>LU0280431049</t>
  </si>
  <si>
    <t>LU0347594136</t>
  </si>
  <si>
    <t>SE0001832072</t>
  </si>
  <si>
    <t>SE0000810756</t>
  </si>
  <si>
    <t>SE0000577983</t>
  </si>
  <si>
    <t>LU0266114585</t>
  </si>
  <si>
    <t>SE0006600243</t>
  </si>
  <si>
    <t>SE0000837338</t>
  </si>
  <si>
    <t>SE0004296515</t>
  </si>
  <si>
    <t>FI4000122874</t>
  </si>
  <si>
    <t>FI4000081153</t>
  </si>
  <si>
    <t>FI4000081211</t>
  </si>
  <si>
    <t>LU0362354549</t>
  </si>
  <si>
    <t>LU0264920413</t>
  </si>
  <si>
    <t>LU0139791205</t>
  </si>
  <si>
    <t>LU0264925727</t>
  </si>
  <si>
    <t>SE0002572313</t>
  </si>
  <si>
    <t>SE0001172263</t>
  </si>
  <si>
    <t>LU0106959298</t>
  </si>
  <si>
    <t>SE0005468782</t>
  </si>
  <si>
    <t>SE0000984148</t>
  </si>
  <si>
    <t>FI4000081120</t>
  </si>
  <si>
    <t>LU0231465849</t>
  </si>
  <si>
    <t>LU0231464446</t>
  </si>
  <si>
    <t>LU0011963757</t>
  </si>
  <si>
    <t>LU0721812047</t>
  </si>
  <si>
    <t>LU0293315296</t>
  </si>
  <si>
    <t>LU0091821107</t>
  </si>
  <si>
    <t>LU1048555632</t>
  </si>
  <si>
    <t>SE0006343810</t>
  </si>
  <si>
    <t>IE00B8K8GY55</t>
  </si>
  <si>
    <t>SE0004545739</t>
  </si>
  <si>
    <t>LU0085872132</t>
  </si>
  <si>
    <t>SE0005393238</t>
  </si>
  <si>
    <t>NO0010657356</t>
  </si>
  <si>
    <t>LU0155303752</t>
  </si>
  <si>
    <t>SE0007074117</t>
  </si>
  <si>
    <t>LU0051129079</t>
  </si>
  <si>
    <t>LU0011963674</t>
  </si>
  <si>
    <t>IE0004354209</t>
  </si>
  <si>
    <t>IE0004354423</t>
  </si>
  <si>
    <t>LU0278936439</t>
  </si>
  <si>
    <t>LU0248702192</t>
  </si>
  <si>
    <t>LU0082087783</t>
  </si>
  <si>
    <t>LU0070214613</t>
  </si>
  <si>
    <t>NO0010317282</t>
  </si>
  <si>
    <t>NO0010039670</t>
  </si>
  <si>
    <t>LU0098994485</t>
  </si>
  <si>
    <t>SE0001192618</t>
  </si>
  <si>
    <t>SE0000740698</t>
  </si>
  <si>
    <t>NO0010337819</t>
  </si>
  <si>
    <t>NO0010337959</t>
  </si>
  <si>
    <t>SE0004751337</t>
  </si>
  <si>
    <t>FI4000013172</t>
  </si>
  <si>
    <t>NO0010028962</t>
  </si>
  <si>
    <t>NO0010073232</t>
  </si>
  <si>
    <t>NO0008004009</t>
  </si>
  <si>
    <t>NO0010140502</t>
  </si>
  <si>
    <t>NO0008000155</t>
  </si>
  <si>
    <t>NO0010028988</t>
  </si>
  <si>
    <t>NO0010337678</t>
  </si>
  <si>
    <t>NO0008000023</t>
  </si>
  <si>
    <t>NO0010029044</t>
  </si>
  <si>
    <t>NO0010327786</t>
  </si>
  <si>
    <t>NO0010073216</t>
  </si>
  <si>
    <t>LU0620744002</t>
  </si>
  <si>
    <t>LU1297882323</t>
  </si>
  <si>
    <t>FI4000048988</t>
  </si>
  <si>
    <t>SE0000653420</t>
  </si>
  <si>
    <t>SE0000653446</t>
  </si>
  <si>
    <t>SE0000653461</t>
  </si>
  <si>
    <t>SE0000653487</t>
  </si>
  <si>
    <t>SE0005880093</t>
  </si>
  <si>
    <t>SE0000444101</t>
  </si>
  <si>
    <t>FI0008813399</t>
  </si>
  <si>
    <t>FI0008813381</t>
  </si>
  <si>
    <t>SE0000427825</t>
  </si>
  <si>
    <t>SE0000433252</t>
  </si>
  <si>
    <t>SE0008092290</t>
  </si>
  <si>
    <t>SE0001621327</t>
  </si>
  <si>
    <t>NO0010630866</t>
  </si>
  <si>
    <t>NO0008000445</t>
  </si>
  <si>
    <t>NO0010730179</t>
  </si>
  <si>
    <t>NO0010039712</t>
  </si>
  <si>
    <t>NO0010089402</t>
  </si>
  <si>
    <t>NO0010073224</t>
  </si>
  <si>
    <t>NO0008000379</t>
  </si>
  <si>
    <t>NO0008000163</t>
  </si>
  <si>
    <t>LU0161942635</t>
  </si>
  <si>
    <t>LU0293313325</t>
  </si>
  <si>
    <t>LU0033036590</t>
  </si>
  <si>
    <t>FI0008813449</t>
  </si>
  <si>
    <t>FI0008813365</t>
  </si>
  <si>
    <t>SE0000427817</t>
  </si>
  <si>
    <t>LU1209020087</t>
  </si>
  <si>
    <t>GB00B1F76G03</t>
  </si>
  <si>
    <t>SE0004211308</t>
  </si>
  <si>
    <t>SE0005797099</t>
  </si>
  <si>
    <t>LU0286682959</t>
  </si>
  <si>
    <t>LU0115767021</t>
  </si>
  <si>
    <t>FI0008801428</t>
  </si>
  <si>
    <t>FI4000020409</t>
  </si>
  <si>
    <t>FI0008801402</t>
  </si>
  <si>
    <t>FI4000066725</t>
  </si>
  <si>
    <t>FI0008812607</t>
  </si>
  <si>
    <t>FI0008803887</t>
  </si>
  <si>
    <t>FI0008800347</t>
  </si>
  <si>
    <t>FI0008811062</t>
  </si>
  <si>
    <t>FI0008800644</t>
  </si>
  <si>
    <t>FI4000024492</t>
  </si>
  <si>
    <t>GB00B5TFC155</t>
  </si>
  <si>
    <t>SE0008964407</t>
  </si>
  <si>
    <t>SE0009522410</t>
  </si>
  <si>
    <t>LU1209020830</t>
  </si>
  <si>
    <t>SE0000709560</t>
  </si>
  <si>
    <t>FI0008805031</t>
  </si>
  <si>
    <t>SE0003989490</t>
  </si>
  <si>
    <t>SE0001015348</t>
  </si>
  <si>
    <t>SE0007074083</t>
  </si>
  <si>
    <t>LU0568605769</t>
  </si>
  <si>
    <t>SE0000594111</t>
  </si>
  <si>
    <t>SE0000569675</t>
  </si>
  <si>
    <t>SE0005468741</t>
  </si>
  <si>
    <t>NO0010337579</t>
  </si>
  <si>
    <t>LU1125674611</t>
  </si>
  <si>
    <t>LU1199945780</t>
  </si>
  <si>
    <t>LU0231484808</t>
  </si>
  <si>
    <t>LU0094541447</t>
  </si>
  <si>
    <t>LU0153359129</t>
  </si>
  <si>
    <t>LU0153358667</t>
  </si>
  <si>
    <t>LU0168601234</t>
  </si>
  <si>
    <t>LU0503254582</t>
  </si>
  <si>
    <t>LU1496893543</t>
  </si>
  <si>
    <t>SE0004576437</t>
  </si>
  <si>
    <t>SE0002729038</t>
  </si>
  <si>
    <t>FI4000058839</t>
  </si>
  <si>
    <t>SE0005619996</t>
  </si>
  <si>
    <t>LU0155301624</t>
  </si>
  <si>
    <t>LU0176901758</t>
  </si>
  <si>
    <t>FI4000115506</t>
  </si>
  <si>
    <t>LU0746413003</t>
  </si>
  <si>
    <t>LU0098995292</t>
  </si>
  <si>
    <t>SE0001285362</t>
  </si>
  <si>
    <t>LU0519053697</t>
  </si>
  <si>
    <t>SE0004578615</t>
  </si>
  <si>
    <t>SE0005065505</t>
  </si>
  <si>
    <t>SE0004751345</t>
  </si>
  <si>
    <t>LU1061710254</t>
  </si>
  <si>
    <t>SE0004751378</t>
  </si>
  <si>
    <t>LU0093570256</t>
  </si>
  <si>
    <t>IE0000018873</t>
  </si>
  <si>
    <t>IE0033609722</t>
  </si>
  <si>
    <t>LU0231203729</t>
  </si>
  <si>
    <t>LU0117881739</t>
  </si>
  <si>
    <t>LU0302237721</t>
  </si>
  <si>
    <t>SE0001209834</t>
  </si>
  <si>
    <t>SE0001338740</t>
  </si>
  <si>
    <t>LU0248272758</t>
  </si>
  <si>
    <t>LU0266115806</t>
  </si>
  <si>
    <t>LU0177113007</t>
  </si>
  <si>
    <t>SE0000984122</t>
  </si>
  <si>
    <t>SE0000493512</t>
  </si>
  <si>
    <t>FI0008801071</t>
  </si>
  <si>
    <t>FI4000122999</t>
  </si>
  <si>
    <t>FI0008810569</t>
  </si>
  <si>
    <t>FI4000223565</t>
  </si>
  <si>
    <t>FI4000029632</t>
  </si>
  <si>
    <t>FI0008804877</t>
  </si>
  <si>
    <t>FI0008804919</t>
  </si>
  <si>
    <t>LU0840617350</t>
  </si>
  <si>
    <t>SE0005218120</t>
  </si>
  <si>
    <t>LU1223425064</t>
  </si>
  <si>
    <t>SE0002793935</t>
  </si>
  <si>
    <t>LU1321409010</t>
  </si>
  <si>
    <t>LU0809910614</t>
  </si>
  <si>
    <t>LU0809910457</t>
  </si>
  <si>
    <t>LU0809909798</t>
  </si>
  <si>
    <t>NO0010102866</t>
  </si>
  <si>
    <t>SE0007048509</t>
  </si>
  <si>
    <t>LU0401973978</t>
  </si>
  <si>
    <t>LU0568611650</t>
  </si>
  <si>
    <t>LU0119176310</t>
  </si>
  <si>
    <t>LU0674583116</t>
  </si>
  <si>
    <t>LU0256863902</t>
  </si>
  <si>
    <t>LU0109391861</t>
  </si>
  <si>
    <t>IE00B54L8H63</t>
  </si>
  <si>
    <t>LU0011963831</t>
  </si>
  <si>
    <t>SE0000837262</t>
  </si>
  <si>
    <t>LU0112497440</t>
  </si>
  <si>
    <t>LU0069152568</t>
  </si>
  <si>
    <t>SE0005455540</t>
  </si>
  <si>
    <t>FI0008801097</t>
  </si>
  <si>
    <t>FI4000066899</t>
  </si>
  <si>
    <t>FI0008802046</t>
  </si>
  <si>
    <t>FI0008801212</t>
  </si>
  <si>
    <t>FI0008800107</t>
  </si>
  <si>
    <t>FI0008803929</t>
  </si>
  <si>
    <t>LU0630951415</t>
  </si>
  <si>
    <t>LU0139792278</t>
  </si>
  <si>
    <t>FI4000167408</t>
  </si>
  <si>
    <t>FI4000123245</t>
  </si>
  <si>
    <t>FI4000087903</t>
  </si>
  <si>
    <t>FI4000087929</t>
  </si>
  <si>
    <t>SE0005624632</t>
  </si>
  <si>
    <t>LU0092798577</t>
  </si>
  <si>
    <t>LU0842468240</t>
  </si>
  <si>
    <t>FI0008810148</t>
  </si>
  <si>
    <t>SE0008014401</t>
  </si>
  <si>
    <t>SE0000810798</t>
  </si>
  <si>
    <t>SE0002042283</t>
  </si>
  <si>
    <t>SE0002793943</t>
  </si>
  <si>
    <t>LU0098860363</t>
  </si>
  <si>
    <t>SE0007412978</t>
  </si>
  <si>
    <t>LU0085953304</t>
  </si>
  <si>
    <t>SE0000735375</t>
  </si>
  <si>
    <t>LU0188501331</t>
  </si>
  <si>
    <t>FI0008802897</t>
  </si>
  <si>
    <t>FI0008802855</t>
  </si>
  <si>
    <t>FI0008810940</t>
  </si>
  <si>
    <t>LU1087932015</t>
  </si>
  <si>
    <t>LU1087930662</t>
  </si>
  <si>
    <t>EE3600102356</t>
  </si>
  <si>
    <t>1 mån</t>
  </si>
  <si>
    <t>Ange din ålder</t>
  </si>
  <si>
    <t>Antal fondval och marknadsvärde i fonderna 2017-10-31</t>
  </si>
  <si>
    <t>Nästa uppdatering: 2017-12-08</t>
  </si>
  <si>
    <t>Fondstatistik per 2017-10-31</t>
  </si>
  <si>
    <t>DNB Fund - Global ESG</t>
  </si>
  <si>
    <t>DNB Fund - Global Emerging Markets ESG</t>
  </si>
  <si>
    <t>DNB Fund - Nordic Equities</t>
  </si>
  <si>
    <t xml:space="preserve">Totalt marknadsvärde  </t>
  </si>
  <si>
    <t xml:space="preserve"> miljarder kronor</t>
  </si>
  <si>
    <t>https://www.pensionsmyndigheten.se/statistik/pensionsstatistik/</t>
  </si>
  <si>
    <t>Ny statistik på Pensionsmyndighetens hemsida, Beta-version</t>
  </si>
  <si>
    <t>Nästa uppdatering: 2017-12-18</t>
  </si>
  <si>
    <t xml:space="preserve">Värdeutveckling  </t>
  </si>
  <si>
    <t>AP7 Såfa 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</si>
</sst>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43" formatCode="_-* #,##0.00\ _k_r_-;\-* #,##0.00\ _k_r_-;_-* &quot;-&quot;??\ _k_r_-;_-@_-"/>
    <numFmt numFmtId="164" formatCode="yyyy/mm/dd;@"/>
    <numFmt numFmtId="165" formatCode="0.0"/>
    <numFmt numFmtId="166" formatCode="0.0000"/>
    <numFmt numFmtId="167" formatCode="yyyy;@"/>
    <numFmt numFmtId="168" formatCode="0.0%"/>
    <numFmt numFmtId="169" formatCode="#,##0_ ;\-#,##0\ "/>
    <numFmt numFmtId="170" formatCode="#,##0.0000"/>
  </numFmts>
  <fonts count="78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0"/>
      <color indexed="53"/>
      <name val="Arial"/>
      <family val="2"/>
    </font>
    <font>
      <sz val="10"/>
      <color indexed="61"/>
      <name val="Verdana"/>
      <family val="2"/>
    </font>
    <font>
      <b/>
      <sz val="10"/>
      <color indexed="61"/>
      <name val="Verdana"/>
      <family val="2"/>
    </font>
    <font>
      <sz val="10"/>
      <color indexed="61"/>
      <name val="Arial"/>
      <family val="2"/>
    </font>
    <font>
      <b/>
      <sz val="10"/>
      <color indexed="61"/>
      <name val="Arial"/>
      <family val="2"/>
    </font>
    <font>
      <i/>
      <sz val="10"/>
      <color indexed="61"/>
      <name val="Arial"/>
      <family val="2"/>
    </font>
    <font>
      <b/>
      <sz val="14"/>
      <color indexed="61"/>
      <name val="Arial"/>
      <family val="2"/>
    </font>
    <font>
      <sz val="7"/>
      <color indexed="61"/>
      <name val="Arial"/>
      <family val="2"/>
    </font>
    <font>
      <sz val="12"/>
      <name val="Arial"/>
      <family val="2"/>
    </font>
    <font>
      <sz val="10"/>
      <color indexed="61"/>
      <name val="Arial"/>
      <family val="2"/>
    </font>
    <font>
      <b/>
      <sz val="14"/>
      <color indexed="61"/>
      <name val="Arial"/>
      <family val="2"/>
    </font>
    <font>
      <b/>
      <sz val="10"/>
      <color indexed="61"/>
      <name val="Arial"/>
      <family val="2"/>
    </font>
    <font>
      <sz val="5"/>
      <color indexed="61"/>
      <name val="Arial"/>
      <family val="2"/>
    </font>
    <font>
      <sz val="10"/>
      <color indexed="10"/>
      <name val="Arial"/>
      <family val="2"/>
    </font>
    <font>
      <sz val="11.2"/>
      <name val="Arial"/>
      <family val="2"/>
    </font>
    <font>
      <b/>
      <sz val="12"/>
      <color indexed="53"/>
      <name val="Arial"/>
      <family val="2"/>
    </font>
    <font>
      <sz val="10.5"/>
      <color indexed="53"/>
      <name val="Arial"/>
      <family val="2"/>
    </font>
    <font>
      <u/>
      <sz val="10.5"/>
      <color indexed="53"/>
      <name val="Arial"/>
      <family val="2"/>
    </font>
    <font>
      <vertAlign val="subscript"/>
      <sz val="10"/>
      <name val="Arial"/>
      <family val="2"/>
    </font>
    <font>
      <sz val="10"/>
      <color rgb="FF000000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b/>
      <sz val="10.5"/>
      <color theme="4" tint="-0.499984740745262"/>
      <name val="Arial"/>
      <family val="2"/>
    </font>
    <font>
      <sz val="10.5"/>
      <color theme="4" tint="-0.499984740745262"/>
      <name val="Arial"/>
      <family val="2"/>
    </font>
    <font>
      <u/>
      <sz val="10.5"/>
      <color theme="4" tint="-0.499984740745262"/>
      <name val="Arial"/>
      <family val="2"/>
    </font>
    <font>
      <b/>
      <sz val="10"/>
      <color theme="0"/>
      <name val="Arial"/>
      <family val="2"/>
    </font>
    <font>
      <b/>
      <sz val="14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0"/>
      <name val="Arial"/>
      <family val="2"/>
    </font>
    <font>
      <vertAlign val="superscript"/>
      <sz val="10"/>
      <color indexed="61"/>
      <name val="Arial"/>
      <family val="2"/>
    </font>
    <font>
      <sz val="10"/>
      <color theme="0"/>
      <name val="Arial"/>
      <family val="2"/>
    </font>
    <font>
      <i/>
      <sz val="10"/>
      <color theme="9" tint="-0.249977111117893"/>
      <name val="Arial"/>
      <family val="2"/>
    </font>
    <font>
      <b/>
      <i/>
      <sz val="10"/>
      <color theme="9" tint="-0.249977111117893"/>
      <name val="Arial"/>
      <family val="2"/>
    </font>
    <font>
      <u/>
      <sz val="10.5"/>
      <color theme="0"/>
      <name val="Arial"/>
      <family val="2"/>
    </font>
    <font>
      <sz val="10"/>
      <color theme="2" tint="-0.499984740745262"/>
      <name val="Arial"/>
      <family val="2"/>
    </font>
    <font>
      <sz val="10"/>
      <color theme="9" tint="-0.249977111117893"/>
      <name val="Arial"/>
      <family val="2"/>
    </font>
    <font>
      <b/>
      <sz val="16"/>
      <color indexed="61"/>
      <name val="Arial"/>
      <family val="2"/>
    </font>
    <font>
      <b/>
      <sz val="12"/>
      <color indexed="61"/>
      <name val="Arial"/>
      <family val="2"/>
    </font>
    <font>
      <sz val="11"/>
      <name val="Arial"/>
      <family val="2"/>
    </font>
    <font>
      <sz val="11"/>
      <color rgb="FF00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theme="1" tint="0.14999847407452621"/>
      <name val="Arial"/>
      <family val="2"/>
    </font>
    <font>
      <sz val="10"/>
      <color theme="2"/>
      <name val="Arial"/>
      <family val="2"/>
    </font>
    <font>
      <sz val="10"/>
      <color theme="2" tint="-9.9978637043366805E-2"/>
      <name val="Arial"/>
      <family val="2"/>
    </font>
    <font>
      <sz val="11"/>
      <name val="Calibri"/>
      <family val="2"/>
      <scheme val="minor"/>
    </font>
    <font>
      <u/>
      <sz val="10"/>
      <color theme="3" tint="0.39997558519241921"/>
      <name val="Arial"/>
      <family val="2"/>
    </font>
    <font>
      <b/>
      <sz val="10"/>
      <color theme="3" tint="0.39997558519241921"/>
      <name val="Arial"/>
      <family val="2"/>
    </font>
  </fonts>
  <fills count="3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34998626667073579"/>
        <bgColor indexed="64"/>
      </patternFill>
    </fill>
  </fills>
  <borders count="47">
    <border>
      <left/>
      <right/>
      <top/>
      <bottom/>
      <diagonal/>
    </border>
    <border>
      <left style="thin">
        <color indexed="61"/>
      </left>
      <right style="thin">
        <color indexed="61"/>
      </right>
      <top style="thin">
        <color indexed="6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1"/>
      </left>
      <right style="thin">
        <color indexed="61"/>
      </right>
      <top/>
      <bottom style="thin">
        <color indexed="61"/>
      </bottom>
      <diagonal/>
    </border>
    <border>
      <left/>
      <right style="thin">
        <color indexed="61"/>
      </right>
      <top style="thin">
        <color indexed="6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1"/>
      </right>
      <top/>
      <bottom style="thin">
        <color indexed="6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/>
      <bottom style="thin">
        <color auto="1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medium">
        <color theme="2" tint="-9.9948118533890809E-2"/>
      </left>
      <right/>
      <top style="medium">
        <color theme="0" tint="-4.9989318521683403E-2"/>
      </top>
      <bottom/>
      <diagonal/>
    </border>
    <border>
      <left/>
      <right/>
      <top style="medium">
        <color theme="0" tint="-4.9989318521683403E-2"/>
      </top>
      <bottom/>
      <diagonal/>
    </border>
    <border>
      <left/>
      <right style="medium">
        <color theme="0" tint="-4.9989318521683403E-2"/>
      </right>
      <top style="medium">
        <color theme="0" tint="-4.9989318521683403E-2"/>
      </top>
      <bottom/>
      <diagonal/>
    </border>
    <border>
      <left style="medium">
        <color theme="2" tint="-9.9948118533890809E-2"/>
      </left>
      <right/>
      <top/>
      <bottom/>
      <diagonal/>
    </border>
    <border>
      <left/>
      <right style="medium">
        <color theme="0" tint="-4.9989318521683403E-2"/>
      </right>
      <top/>
      <bottom/>
      <diagonal/>
    </border>
    <border>
      <left style="medium">
        <color theme="2" tint="-9.9948118533890809E-2"/>
      </left>
      <right/>
      <top/>
      <bottom style="medium">
        <color theme="2" tint="-9.9948118533890809E-2"/>
      </bottom>
      <diagonal/>
    </border>
    <border>
      <left/>
      <right/>
      <top/>
      <bottom style="medium">
        <color theme="2" tint="-9.9948118533890809E-2"/>
      </bottom>
      <diagonal/>
    </border>
    <border>
      <left/>
      <right style="medium">
        <color theme="0" tint="-4.9989318521683403E-2"/>
      </right>
      <top/>
      <bottom style="medium">
        <color theme="2" tint="-9.9948118533890809E-2"/>
      </bottom>
      <diagonal/>
    </border>
    <border>
      <left/>
      <right style="thin">
        <color indexed="61"/>
      </right>
      <top/>
      <bottom/>
      <diagonal/>
    </border>
    <border>
      <left style="thin">
        <color indexed="61"/>
      </left>
      <right style="thin">
        <color indexed="6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1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1"/>
      </left>
      <right/>
      <top style="thin">
        <color indexed="61"/>
      </top>
      <bottom/>
      <diagonal/>
    </border>
    <border>
      <left style="thin">
        <color indexed="61"/>
      </left>
      <right/>
      <top/>
      <bottom style="thin">
        <color indexed="6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895">
    <xf numFmtId="0" fontId="0" fillId="0" borderId="0"/>
    <xf numFmtId="0" fontId="9" fillId="0" borderId="0" applyNumberFormat="0" applyFill="0" applyBorder="0" applyAlignment="0" applyProtection="0">
      <alignment vertical="top"/>
      <protection locked="0"/>
    </xf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8" fillId="0" borderId="0"/>
    <xf numFmtId="9" fontId="8" fillId="0" borderId="0" applyFont="0" applyFill="0" applyBorder="0" applyAlignment="0" applyProtection="0"/>
    <xf numFmtId="0" fontId="34" fillId="0" borderId="0"/>
    <xf numFmtId="0" fontId="34" fillId="0" borderId="0"/>
    <xf numFmtId="0" fontId="35" fillId="0" borderId="0"/>
    <xf numFmtId="0" fontId="36" fillId="0" borderId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34" fillId="0" borderId="0"/>
    <xf numFmtId="0" fontId="34" fillId="0" borderId="0"/>
    <xf numFmtId="0" fontId="42" fillId="0" borderId="0" applyNumberFormat="0" applyFill="0" applyBorder="0" applyAlignment="0" applyProtection="0"/>
    <xf numFmtId="0" fontId="43" fillId="0" borderId="12" applyNumberFormat="0" applyFill="0" applyAlignment="0" applyProtection="0"/>
    <xf numFmtId="0" fontId="44" fillId="0" borderId="13" applyNumberFormat="0" applyFill="0" applyAlignment="0" applyProtection="0"/>
    <xf numFmtId="0" fontId="45" fillId="0" borderId="14" applyNumberFormat="0" applyFill="0" applyAlignment="0" applyProtection="0"/>
    <xf numFmtId="0" fontId="45" fillId="0" borderId="0" applyNumberFormat="0" applyFill="0" applyBorder="0" applyAlignment="0" applyProtection="0"/>
    <xf numFmtId="0" fontId="46" fillId="5" borderId="0" applyNumberFormat="0" applyBorder="0" applyAlignment="0" applyProtection="0"/>
    <xf numFmtId="0" fontId="47" fillId="6" borderId="0" applyNumberFormat="0" applyBorder="0" applyAlignment="0" applyProtection="0"/>
    <xf numFmtId="0" fontId="48" fillId="7" borderId="0" applyNumberFormat="0" applyBorder="0" applyAlignment="0" applyProtection="0"/>
    <xf numFmtId="0" fontId="49" fillId="8" borderId="15" applyNumberFormat="0" applyAlignment="0" applyProtection="0"/>
    <xf numFmtId="0" fontId="50" fillId="9" borderId="16" applyNumberFormat="0" applyAlignment="0" applyProtection="0"/>
    <xf numFmtId="0" fontId="51" fillId="9" borderId="15" applyNumberFormat="0" applyAlignment="0" applyProtection="0"/>
    <xf numFmtId="0" fontId="52" fillId="0" borderId="17" applyNumberFormat="0" applyFill="0" applyAlignment="0" applyProtection="0"/>
    <xf numFmtId="0" fontId="53" fillId="10" borderId="18" applyNumberFormat="0" applyAlignment="0" applyProtection="0"/>
    <xf numFmtId="0" fontId="54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20" applyNumberFormat="0" applyFill="0" applyAlignment="0" applyProtection="0"/>
    <xf numFmtId="0" fontId="57" fillId="12" borderId="0" applyNumberFormat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57" fillId="15" borderId="0" applyNumberFormat="0" applyBorder="0" applyAlignment="0" applyProtection="0"/>
    <xf numFmtId="0" fontId="57" fillId="16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57" fillId="19" borderId="0" applyNumberFormat="0" applyBorder="0" applyAlignment="0" applyProtection="0"/>
    <xf numFmtId="0" fontId="57" fillId="20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57" fillId="23" borderId="0" applyNumberFormat="0" applyBorder="0" applyAlignment="0" applyProtection="0"/>
    <xf numFmtId="0" fontId="57" fillId="24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57" fillId="27" borderId="0" applyNumberFormat="0" applyBorder="0" applyAlignment="0" applyProtection="0"/>
    <xf numFmtId="0" fontId="57" fillId="28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57" fillId="31" borderId="0" applyNumberFormat="0" applyBorder="0" applyAlignment="0" applyProtection="0"/>
    <xf numFmtId="0" fontId="57" fillId="32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57" fillId="35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19" applyNumberFormat="0" applyFont="0" applyAlignment="0" applyProtection="0"/>
    <xf numFmtId="0" fontId="4" fillId="0" borderId="0"/>
    <xf numFmtId="0" fontId="4" fillId="11" borderId="1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1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1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1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1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1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1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1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1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1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1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1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1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1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3" fillId="0" borderId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2" fillId="0" borderId="0"/>
    <xf numFmtId="0" fontId="1" fillId="0" borderId="0"/>
    <xf numFmtId="0" fontId="8" fillId="0" borderId="0"/>
  </cellStyleXfs>
  <cellXfs count="427">
    <xf numFmtId="0" fontId="0" fillId="0" borderId="0" xfId="0"/>
    <xf numFmtId="0" fontId="23" fillId="0" borderId="0" xfId="0" applyFont="1" applyFill="1" applyBorder="1"/>
    <xf numFmtId="0" fontId="0" fillId="2" borderId="0" xfId="0" applyFill="1"/>
    <xf numFmtId="3" fontId="0" fillId="2" borderId="0" xfId="0" applyNumberFormat="1" applyFill="1"/>
    <xf numFmtId="0" fontId="17" fillId="2" borderId="0" xfId="0" applyFont="1" applyFill="1" applyBorder="1"/>
    <xf numFmtId="0" fontId="17" fillId="2" borderId="0" xfId="0" applyFont="1" applyFill="1" applyAlignment="1">
      <alignment horizontal="center"/>
    </xf>
    <xf numFmtId="0" fontId="17" fillId="2" borderId="0" xfId="0" applyFont="1" applyFill="1" applyBorder="1" applyAlignment="1">
      <alignment horizontal="left"/>
    </xf>
    <xf numFmtId="3" fontId="17" fillId="2" borderId="0" xfId="0" applyNumberFormat="1" applyFont="1" applyFill="1" applyAlignment="1">
      <alignment horizontal="right" indent="1"/>
    </xf>
    <xf numFmtId="0" fontId="17" fillId="2" borderId="0" xfId="0" applyFont="1" applyFill="1" applyBorder="1" applyAlignment="1">
      <alignment horizontal="center"/>
    </xf>
    <xf numFmtId="3" fontId="17" fillId="2" borderId="0" xfId="0" applyNumberFormat="1" applyFont="1" applyFill="1" applyBorder="1" applyAlignment="1">
      <alignment horizontal="right" indent="1"/>
    </xf>
    <xf numFmtId="0" fontId="17" fillId="2" borderId="0" xfId="0" applyFont="1" applyFill="1" applyAlignment="1">
      <alignment horizontal="left" indent="4"/>
    </xf>
    <xf numFmtId="0" fontId="17" fillId="2" borderId="0" xfId="0" applyFont="1" applyFill="1" applyAlignment="1">
      <alignment horizontal="left"/>
    </xf>
    <xf numFmtId="3" fontId="17" fillId="2" borderId="0" xfId="0" applyNumberFormat="1" applyFont="1" applyFill="1" applyAlignment="1">
      <alignment horizontal="left"/>
    </xf>
    <xf numFmtId="3" fontId="17" fillId="2" borderId="0" xfId="0" applyNumberFormat="1" applyFont="1" applyFill="1" applyAlignment="1">
      <alignment horizontal="center"/>
    </xf>
    <xf numFmtId="3" fontId="17" fillId="2" borderId="0" xfId="0" applyNumberFormat="1" applyFont="1" applyFill="1" applyAlignment="1">
      <alignment horizontal="right"/>
    </xf>
    <xf numFmtId="0" fontId="17" fillId="2" borderId="0" xfId="0" applyFont="1" applyFill="1" applyAlignment="1">
      <alignment horizontal="right"/>
    </xf>
    <xf numFmtId="3" fontId="18" fillId="2" borderId="0" xfId="0" applyNumberFormat="1" applyFont="1" applyFill="1" applyBorder="1" applyAlignment="1" applyProtection="1">
      <alignment horizontal="right"/>
    </xf>
    <xf numFmtId="3" fontId="18" fillId="2" borderId="0" xfId="0" applyNumberFormat="1" applyFont="1" applyFill="1" applyBorder="1" applyAlignment="1" applyProtection="1">
      <alignment horizontal="left"/>
    </xf>
    <xf numFmtId="3" fontId="19" fillId="2" borderId="0" xfId="0" applyNumberFormat="1" applyFont="1" applyFill="1" applyAlignment="1">
      <alignment horizontal="right"/>
    </xf>
    <xf numFmtId="0" fontId="20" fillId="2" borderId="0" xfId="0" applyNumberFormat="1" applyFont="1" applyFill="1" applyBorder="1" applyAlignment="1" applyProtection="1">
      <alignment horizontal="left" indent="3"/>
    </xf>
    <xf numFmtId="0" fontId="8" fillId="2" borderId="0" xfId="0" applyFont="1" applyFill="1"/>
    <xf numFmtId="0" fontId="17" fillId="2" borderId="0" xfId="0" applyFont="1" applyFill="1"/>
    <xf numFmtId="3" fontId="18" fillId="2" borderId="0" xfId="0" applyNumberFormat="1" applyFont="1" applyFill="1" applyBorder="1" applyAlignment="1" applyProtection="1">
      <alignment horizontal="left" indent="3"/>
    </xf>
    <xf numFmtId="3" fontId="17" fillId="2" borderId="0" xfId="0" applyNumberFormat="1" applyFont="1" applyFill="1" applyBorder="1" applyAlignment="1">
      <alignment horizontal="center"/>
    </xf>
    <xf numFmtId="3" fontId="17" fillId="2" borderId="0" xfId="0" applyNumberFormat="1" applyFont="1" applyFill="1" applyBorder="1" applyAlignment="1">
      <alignment horizontal="left"/>
    </xf>
    <xf numFmtId="0" fontId="17" fillId="2" borderId="0" xfId="0" applyFont="1" applyFill="1" applyAlignment="1">
      <alignment horizontal="left" indent="3"/>
    </xf>
    <xf numFmtId="0" fontId="21" fillId="2" borderId="0" xfId="0" applyFont="1" applyFill="1"/>
    <xf numFmtId="3" fontId="18" fillId="2" borderId="0" xfId="0" applyNumberFormat="1" applyFont="1" applyFill="1" applyBorder="1" applyAlignment="1" applyProtection="1">
      <alignment horizontal="center"/>
    </xf>
    <xf numFmtId="3" fontId="17" fillId="2" borderId="0" xfId="0" applyNumberFormat="1" applyFont="1" applyFill="1"/>
    <xf numFmtId="0" fontId="11" fillId="2" borderId="0" xfId="0" applyFont="1" applyFill="1" applyAlignment="1">
      <alignment horizontal="left" indent="2"/>
    </xf>
    <xf numFmtId="0" fontId="11" fillId="2" borderId="0" xfId="0" applyFont="1" applyFill="1" applyAlignment="1">
      <alignment horizontal="left"/>
    </xf>
    <xf numFmtId="3" fontId="18" fillId="2" borderId="0" xfId="0" applyNumberFormat="1" applyFont="1" applyFill="1" applyBorder="1" applyAlignment="1" applyProtection="1"/>
    <xf numFmtId="3" fontId="18" fillId="2" borderId="0" xfId="0" applyNumberFormat="1" applyFont="1" applyFill="1" applyBorder="1" applyAlignment="1" applyProtection="1">
      <alignment horizontal="right" indent="1"/>
    </xf>
    <xf numFmtId="3" fontId="17" fillId="2" borderId="0" xfId="0" applyNumberFormat="1" applyFont="1" applyFill="1" applyBorder="1" applyAlignment="1">
      <alignment horizontal="right"/>
    </xf>
    <xf numFmtId="0" fontId="17" fillId="2" borderId="0" xfId="0" applyFont="1" applyFill="1" applyBorder="1" applyAlignment="1">
      <alignment horizontal="right"/>
    </xf>
    <xf numFmtId="3" fontId="17" fillId="2" borderId="2" xfId="0" applyNumberFormat="1" applyFont="1" applyFill="1" applyBorder="1" applyAlignment="1">
      <alignment horizontal="right" indent="1"/>
    </xf>
    <xf numFmtId="3" fontId="19" fillId="2" borderId="0" xfId="0" applyNumberFormat="1" applyFont="1" applyFill="1" applyBorder="1" applyAlignment="1">
      <alignment horizontal="right"/>
    </xf>
    <xf numFmtId="0" fontId="18" fillId="2" borderId="1" xfId="0" applyFont="1" applyFill="1" applyBorder="1" applyAlignment="1">
      <alignment horizontal="center"/>
    </xf>
    <xf numFmtId="1" fontId="23" fillId="2" borderId="0" xfId="0" applyNumberFormat="1" applyFont="1" applyFill="1" applyAlignment="1">
      <alignment horizontal="center"/>
    </xf>
    <xf numFmtId="0" fontId="23" fillId="2" borderId="0" xfId="0" applyFont="1" applyFill="1" applyAlignment="1">
      <alignment horizontal="center"/>
    </xf>
    <xf numFmtId="166" fontId="23" fillId="2" borderId="0" xfId="0" applyNumberFormat="1" applyFont="1" applyFill="1" applyAlignment="1">
      <alignment horizontal="center"/>
    </xf>
    <xf numFmtId="165" fontId="23" fillId="2" borderId="0" xfId="0" applyNumberFormat="1" applyFont="1" applyFill="1" applyAlignment="1">
      <alignment horizontal="center"/>
    </xf>
    <xf numFmtId="0" fontId="23" fillId="2" borderId="0" xfId="0" applyFont="1" applyFill="1" applyBorder="1"/>
    <xf numFmtId="1" fontId="23" fillId="2" borderId="0" xfId="0" applyNumberFormat="1" applyFont="1" applyFill="1" applyAlignment="1">
      <alignment horizontal="left"/>
    </xf>
    <xf numFmtId="0" fontId="23" fillId="2" borderId="0" xfId="0" applyFont="1" applyFill="1"/>
    <xf numFmtId="0" fontId="24" fillId="2" borderId="0" xfId="0" applyNumberFormat="1" applyFont="1" applyFill="1" applyBorder="1" applyAlignment="1" applyProtection="1">
      <alignment horizontal="center"/>
    </xf>
    <xf numFmtId="0" fontId="23" fillId="2" borderId="0" xfId="0" applyFont="1" applyFill="1" applyBorder="1" applyAlignment="1">
      <alignment horizontal="center"/>
    </xf>
    <xf numFmtId="0" fontId="23" fillId="2" borderId="2" xfId="0" applyFont="1" applyFill="1" applyBorder="1" applyAlignment="1">
      <alignment horizontal="center"/>
    </xf>
    <xf numFmtId="166" fontId="23" fillId="2" borderId="2" xfId="0" applyNumberFormat="1" applyFont="1" applyFill="1" applyBorder="1" applyAlignment="1">
      <alignment horizontal="center"/>
    </xf>
    <xf numFmtId="165" fontId="23" fillId="2" borderId="2" xfId="0" applyNumberFormat="1" applyFont="1" applyFill="1" applyBorder="1" applyAlignment="1">
      <alignment horizontal="center"/>
    </xf>
    <xf numFmtId="165" fontId="23" fillId="2" borderId="0" xfId="0" applyNumberFormat="1" applyFont="1" applyFill="1" applyBorder="1" applyAlignment="1">
      <alignment horizontal="center"/>
    </xf>
    <xf numFmtId="1" fontId="23" fillId="2" borderId="0" xfId="0" applyNumberFormat="1" applyFont="1" applyFill="1" applyBorder="1" applyAlignment="1">
      <alignment horizontal="left"/>
    </xf>
    <xf numFmtId="0" fontId="17" fillId="0" borderId="0" xfId="0" applyFont="1" applyFill="1" applyBorder="1"/>
    <xf numFmtId="0" fontId="17" fillId="2" borderId="0" xfId="0" applyFont="1" applyFill="1" applyAlignment="1">
      <alignment horizontal="left" indent="1"/>
    </xf>
    <xf numFmtId="1" fontId="23" fillId="2" borderId="0" xfId="0" applyNumberFormat="1" applyFont="1" applyFill="1" applyAlignment="1">
      <alignment horizontal="left" indent="1"/>
    </xf>
    <xf numFmtId="0" fontId="17" fillId="0" borderId="0" xfId="0" applyFont="1" applyFill="1" applyAlignment="1">
      <alignment horizontal="center"/>
    </xf>
    <xf numFmtId="0" fontId="30" fillId="4" borderId="0" xfId="0" applyFont="1" applyFill="1" applyAlignment="1">
      <alignment horizontal="left" indent="2"/>
    </xf>
    <xf numFmtId="0" fontId="31" fillId="4" borderId="0" xfId="1" applyFont="1" applyFill="1" applyBorder="1" applyAlignment="1" applyProtection="1">
      <alignment horizontal="left" indent="2"/>
    </xf>
    <xf numFmtId="0" fontId="14" fillId="4" borderId="0" xfId="0" applyFont="1" applyFill="1"/>
    <xf numFmtId="0" fontId="14" fillId="4" borderId="0" xfId="0" applyFont="1" applyFill="1" applyAlignment="1">
      <alignment horizontal="left" indent="2"/>
    </xf>
    <xf numFmtId="0" fontId="30" fillId="4" borderId="0" xfId="0" applyFont="1" applyFill="1"/>
    <xf numFmtId="0" fontId="30" fillId="4" borderId="0" xfId="0" applyFont="1" applyFill="1" applyBorder="1"/>
    <xf numFmtId="0" fontId="14" fillId="4" borderId="0" xfId="0" applyFont="1" applyFill="1" applyBorder="1"/>
    <xf numFmtId="0" fontId="29" fillId="4" borderId="0" xfId="0" applyFont="1" applyFill="1" applyBorder="1"/>
    <xf numFmtId="0" fontId="9" fillId="4" borderId="0" xfId="1" applyFill="1" applyBorder="1" applyAlignment="1" applyProtection="1"/>
    <xf numFmtId="0" fontId="8" fillId="4" borderId="0" xfId="1" applyFont="1" applyFill="1" applyBorder="1" applyAlignment="1" applyProtection="1"/>
    <xf numFmtId="0" fontId="9" fillId="4" borderId="0" xfId="1" applyFont="1" applyFill="1" applyBorder="1" applyAlignment="1" applyProtection="1"/>
    <xf numFmtId="0" fontId="9" fillId="4" borderId="0" xfId="1" applyFont="1" applyFill="1" applyAlignment="1" applyProtection="1"/>
    <xf numFmtId="0" fontId="9" fillId="4" borderId="0" xfId="1" applyFill="1" applyAlignment="1" applyProtection="1"/>
    <xf numFmtId="0" fontId="27" fillId="4" borderId="0" xfId="0" applyFont="1" applyFill="1"/>
    <xf numFmtId="0" fontId="0" fillId="4" borderId="0" xfId="0" applyFill="1" applyAlignment="1">
      <alignment horizontal="left" indent="1"/>
    </xf>
    <xf numFmtId="0" fontId="14" fillId="2" borderId="0" xfId="0" applyFont="1" applyFill="1" applyAlignment="1">
      <alignment horizontal="left" indent="2"/>
    </xf>
    <xf numFmtId="0" fontId="30" fillId="2" borderId="0" xfId="0" applyFont="1" applyFill="1" applyAlignment="1">
      <alignment horizontal="left" indent="2"/>
    </xf>
    <xf numFmtId="0" fontId="15" fillId="4" borderId="0" xfId="0" applyFont="1" applyFill="1" applyBorder="1"/>
    <xf numFmtId="0" fontId="15" fillId="2" borderId="0" xfId="0" applyFont="1" applyFill="1" applyBorder="1"/>
    <xf numFmtId="0" fontId="10" fillId="0" borderId="5" xfId="0" applyFont="1" applyFill="1" applyBorder="1" applyAlignment="1">
      <alignment horizontal="center"/>
    </xf>
    <xf numFmtId="0" fontId="10" fillId="0" borderId="4" xfId="0" applyFont="1" applyFill="1" applyBorder="1" applyAlignment="1">
      <alignment horizontal="center"/>
    </xf>
    <xf numFmtId="0" fontId="10" fillId="0" borderId="1" xfId="0" applyFont="1" applyFill="1" applyBorder="1" applyAlignment="1">
      <alignment horizontal="center"/>
    </xf>
    <xf numFmtId="0" fontId="10" fillId="0" borderId="3" xfId="0" applyFont="1" applyFill="1" applyBorder="1" applyAlignment="1">
      <alignment horizontal="center"/>
    </xf>
    <xf numFmtId="0" fontId="10" fillId="0" borderId="7" xfId="0" applyFont="1" applyFill="1" applyBorder="1" applyAlignment="1">
      <alignment horizontal="center"/>
    </xf>
    <xf numFmtId="0" fontId="10" fillId="0" borderId="6" xfId="0" applyFont="1" applyFill="1" applyBorder="1" applyAlignment="1">
      <alignment horizontal="center"/>
    </xf>
    <xf numFmtId="0" fontId="23" fillId="4" borderId="0" xfId="0" applyFont="1" applyFill="1"/>
    <xf numFmtId="1" fontId="23" fillId="4" borderId="0" xfId="0" applyNumberFormat="1" applyFont="1" applyFill="1" applyAlignment="1">
      <alignment horizontal="center"/>
    </xf>
    <xf numFmtId="0" fontId="23" fillId="4" borderId="0" xfId="0" applyFont="1" applyFill="1" applyAlignment="1">
      <alignment horizontal="center"/>
    </xf>
    <xf numFmtId="166" fontId="23" fillId="4" borderId="0" xfId="0" applyNumberFormat="1" applyFont="1" applyFill="1" applyAlignment="1">
      <alignment horizontal="center"/>
    </xf>
    <xf numFmtId="165" fontId="25" fillId="4" borderId="0" xfId="0" applyNumberFormat="1" applyFont="1" applyFill="1" applyAlignment="1">
      <alignment horizontal="center"/>
    </xf>
    <xf numFmtId="165" fontId="23" fillId="4" borderId="0" xfId="0" applyNumberFormat="1" applyFont="1" applyFill="1" applyAlignment="1">
      <alignment horizontal="center"/>
    </xf>
    <xf numFmtId="0" fontId="25" fillId="4" borderId="0" xfId="0" applyFont="1" applyFill="1"/>
    <xf numFmtId="3" fontId="23" fillId="4" borderId="0" xfId="0" applyNumberFormat="1" applyFont="1" applyFill="1" applyBorder="1" applyAlignment="1" applyProtection="1">
      <alignment horizontal="left"/>
    </xf>
    <xf numFmtId="0" fontId="24" fillId="2" borderId="0" xfId="0" applyFont="1" applyFill="1"/>
    <xf numFmtId="0" fontId="23" fillId="2" borderId="0" xfId="0" applyFont="1" applyFill="1" applyAlignment="1"/>
    <xf numFmtId="165" fontId="25" fillId="2" borderId="0" xfId="0" applyNumberFormat="1" applyFont="1" applyFill="1" applyAlignment="1">
      <alignment horizontal="center"/>
    </xf>
    <xf numFmtId="0" fontId="37" fillId="2" borderId="0" xfId="0" applyFont="1" applyFill="1" applyAlignment="1">
      <alignment horizontal="left" indent="2"/>
    </xf>
    <xf numFmtId="0" fontId="38" fillId="2" borderId="0" xfId="0" applyFont="1" applyFill="1" applyAlignment="1">
      <alignment horizontal="left" indent="2"/>
    </xf>
    <xf numFmtId="0" fontId="39" fillId="2" borderId="0" xfId="1" applyFont="1" applyFill="1" applyAlignment="1" applyProtection="1">
      <alignment horizontal="left" indent="2"/>
    </xf>
    <xf numFmtId="0" fontId="39" fillId="2" borderId="0" xfId="1" applyFont="1" applyFill="1" applyBorder="1" applyAlignment="1" applyProtection="1">
      <alignment horizontal="left" indent="2"/>
    </xf>
    <xf numFmtId="0" fontId="38" fillId="2" borderId="0" xfId="0" applyFont="1" applyFill="1" applyBorder="1" applyAlignment="1">
      <alignment horizontal="left" indent="2"/>
    </xf>
    <xf numFmtId="0" fontId="41" fillId="2" borderId="0" xfId="0" applyFont="1" applyFill="1" applyAlignment="1">
      <alignment horizontal="left" indent="2"/>
    </xf>
    <xf numFmtId="0" fontId="11" fillId="4" borderId="0" xfId="0" applyFont="1" applyFill="1"/>
    <xf numFmtId="0" fontId="11" fillId="4" borderId="0" xfId="0" applyFont="1" applyFill="1" applyBorder="1"/>
    <xf numFmtId="0" fontId="11" fillId="4" borderId="0" xfId="0" applyFont="1" applyFill="1" applyAlignment="1">
      <alignment wrapText="1"/>
    </xf>
    <xf numFmtId="1" fontId="11" fillId="4" borderId="0" xfId="0" applyNumberFormat="1" applyFont="1" applyFill="1"/>
    <xf numFmtId="49" fontId="11" fillId="4" borderId="0" xfId="0" applyNumberFormat="1" applyFont="1" applyFill="1"/>
    <xf numFmtId="169" fontId="11" fillId="4" borderId="0" xfId="3" applyNumberFormat="1" applyFont="1" applyFill="1"/>
    <xf numFmtId="0" fontId="11" fillId="2" borderId="0" xfId="0" applyFont="1" applyFill="1"/>
    <xf numFmtId="0" fontId="22" fillId="2" borderId="0" xfId="0" applyFont="1" applyFill="1"/>
    <xf numFmtId="0" fontId="13" fillId="2" borderId="0" xfId="0" applyFont="1" applyFill="1" applyAlignment="1"/>
    <xf numFmtId="0" fontId="11" fillId="2" borderId="0" xfId="0" applyFont="1" applyFill="1" applyBorder="1"/>
    <xf numFmtId="0" fontId="8" fillId="4" borderId="0" xfId="0" applyFont="1" applyFill="1"/>
    <xf numFmtId="0" fontId="11" fillId="4" borderId="0" xfId="0" applyFont="1" applyFill="1" applyAlignment="1">
      <alignment horizontal="left" indent="1"/>
    </xf>
    <xf numFmtId="3" fontId="11" fillId="4" borderId="0" xfId="0" applyNumberFormat="1" applyFont="1" applyFill="1" applyBorder="1"/>
    <xf numFmtId="1" fontId="0" fillId="4" borderId="0" xfId="0" applyNumberFormat="1" applyFill="1" applyBorder="1" applyAlignment="1">
      <alignment horizontal="center"/>
    </xf>
    <xf numFmtId="0" fontId="11" fillId="4" borderId="0" xfId="0" applyFont="1" applyFill="1" applyBorder="1" applyAlignment="1">
      <alignment horizontal="center"/>
    </xf>
    <xf numFmtId="3" fontId="11" fillId="2" borderId="0" xfId="0" applyNumberFormat="1" applyFont="1" applyFill="1"/>
    <xf numFmtId="0" fontId="10" fillId="2" borderId="0" xfId="0" applyFont="1" applyFill="1"/>
    <xf numFmtId="0" fontId="13" fillId="2" borderId="0" xfId="0" applyFont="1" applyFill="1" applyAlignment="1">
      <alignment horizontal="left" indent="1"/>
    </xf>
    <xf numFmtId="3" fontId="0" fillId="2" borderId="0" xfId="0" applyNumberFormat="1" applyFill="1" applyAlignment="1">
      <alignment horizontal="center"/>
    </xf>
    <xf numFmtId="3" fontId="11" fillId="2" borderId="0" xfId="0" applyNumberFormat="1" applyFont="1" applyFill="1" applyBorder="1"/>
    <xf numFmtId="3" fontId="10" fillId="2" borderId="0" xfId="0" applyNumberFormat="1" applyFont="1" applyFill="1"/>
    <xf numFmtId="0" fontId="10" fillId="2" borderId="0" xfId="0" applyFont="1" applyFill="1" applyAlignment="1">
      <alignment horizontal="left" indent="6"/>
    </xf>
    <xf numFmtId="1" fontId="0" fillId="2" borderId="0" xfId="0" applyNumberFormat="1" applyFill="1" applyBorder="1" applyAlignment="1">
      <alignment horizontal="center"/>
    </xf>
    <xf numFmtId="3" fontId="0" fillId="2" borderId="0" xfId="0" applyNumberFormat="1" applyFill="1" applyBorder="1"/>
    <xf numFmtId="0" fontId="40" fillId="36" borderId="25" xfId="0" applyFont="1" applyFill="1" applyBorder="1" applyAlignment="1">
      <alignment horizontal="left" indent="3"/>
    </xf>
    <xf numFmtId="3" fontId="40" fillId="36" borderId="22" xfId="0" applyNumberFormat="1" applyFont="1" applyFill="1" applyBorder="1" applyAlignment="1">
      <alignment horizontal="center"/>
    </xf>
    <xf numFmtId="3" fontId="40" fillId="36" borderId="23" xfId="0" applyNumberFormat="1" applyFont="1" applyFill="1" applyBorder="1" applyAlignment="1">
      <alignment horizontal="center"/>
    </xf>
    <xf numFmtId="3" fontId="40" fillId="36" borderId="24" xfId="0" applyNumberFormat="1" applyFont="1" applyFill="1" applyBorder="1" applyAlignment="1">
      <alignment horizontal="center"/>
    </xf>
    <xf numFmtId="0" fontId="40" fillId="36" borderId="22" xfId="0" applyFont="1" applyFill="1" applyBorder="1" applyAlignment="1">
      <alignment horizontal="center"/>
    </xf>
    <xf numFmtId="0" fontId="40" fillId="36" borderId="25" xfId="0" applyFont="1" applyFill="1" applyBorder="1" applyAlignment="1">
      <alignment horizontal="left" indent="2"/>
    </xf>
    <xf numFmtId="1" fontId="40" fillId="36" borderId="25" xfId="0" applyNumberFormat="1" applyFont="1" applyFill="1" applyBorder="1" applyAlignment="1">
      <alignment horizontal="center"/>
    </xf>
    <xf numFmtId="0" fontId="40" fillId="36" borderId="26" xfId="0" applyFont="1" applyFill="1" applyBorder="1" applyAlignment="1">
      <alignment horizontal="center"/>
    </xf>
    <xf numFmtId="0" fontId="0" fillId="4" borderId="0" xfId="0" applyFill="1"/>
    <xf numFmtId="0" fontId="8" fillId="4" borderId="0" xfId="4" applyFill="1"/>
    <xf numFmtId="0" fontId="8" fillId="4" borderId="0" xfId="4" applyFill="1" applyBorder="1"/>
    <xf numFmtId="0" fontId="32" fillId="4" borderId="0" xfId="4" applyFont="1" applyFill="1"/>
    <xf numFmtId="0" fontId="8" fillId="2" borderId="0" xfId="4" applyFill="1"/>
    <xf numFmtId="0" fontId="13" fillId="2" borderId="0" xfId="4" applyFont="1" applyFill="1" applyAlignment="1"/>
    <xf numFmtId="0" fontId="8" fillId="2" borderId="0" xfId="4" applyFont="1" applyFill="1"/>
    <xf numFmtId="0" fontId="10" fillId="2" borderId="0" xfId="4" applyFont="1" applyFill="1"/>
    <xf numFmtId="0" fontId="8" fillId="2" borderId="0" xfId="4" applyNumberFormat="1" applyFill="1"/>
    <xf numFmtId="0" fontId="58" fillId="2" borderId="0" xfId="4" applyFont="1" applyFill="1"/>
    <xf numFmtId="0" fontId="8" fillId="4" borderId="0" xfId="0" applyFont="1" applyFill="1" applyBorder="1"/>
    <xf numFmtId="0" fontId="8" fillId="2" borderId="0" xfId="0" applyFont="1" applyFill="1" applyBorder="1"/>
    <xf numFmtId="0" fontId="20" fillId="4" borderId="0" xfId="4" applyFont="1" applyFill="1"/>
    <xf numFmtId="0" fontId="18" fillId="4" borderId="0" xfId="4" applyFont="1" applyFill="1"/>
    <xf numFmtId="14" fontId="18" fillId="4" borderId="0" xfId="4" applyNumberFormat="1" applyFont="1" applyFill="1" applyBorder="1" applyAlignment="1">
      <alignment horizontal="left"/>
    </xf>
    <xf numFmtId="0" fontId="18" fillId="4" borderId="0" xfId="4" applyNumberFormat="1" applyFont="1" applyFill="1"/>
    <xf numFmtId="9" fontId="18" fillId="4" borderId="0" xfId="4" applyNumberFormat="1" applyFont="1" applyFill="1" applyBorder="1" applyAlignment="1">
      <alignment horizontal="center"/>
    </xf>
    <xf numFmtId="0" fontId="18" fillId="4" borderId="0" xfId="4" applyFont="1" applyFill="1" applyBorder="1"/>
    <xf numFmtId="0" fontId="25" fillId="4" borderId="0" xfId="0" applyFont="1" applyFill="1" applyBorder="1"/>
    <xf numFmtId="0" fontId="18" fillId="4" borderId="0" xfId="4" applyNumberFormat="1" applyFont="1" applyFill="1" applyAlignment="1">
      <alignment horizontal="center"/>
    </xf>
    <xf numFmtId="0" fontId="17" fillId="4" borderId="0" xfId="4" applyNumberFormat="1" applyFont="1" applyFill="1" applyAlignment="1">
      <alignment horizontal="center"/>
    </xf>
    <xf numFmtId="168" fontId="23" fillId="4" borderId="0" xfId="0" applyNumberFormat="1" applyFont="1" applyFill="1" applyAlignment="1">
      <alignment horizontal="center"/>
    </xf>
    <xf numFmtId="14" fontId="23" fillId="4" borderId="0" xfId="0" applyNumberFormat="1" applyFont="1" applyFill="1" applyAlignment="1">
      <alignment horizontal="center"/>
    </xf>
    <xf numFmtId="0" fontId="17" fillId="2" borderId="0" xfId="4" applyFont="1" applyFill="1"/>
    <xf numFmtId="0" fontId="18" fillId="2" borderId="0" xfId="4" applyFont="1" applyFill="1"/>
    <xf numFmtId="9" fontId="18" fillId="2" borderId="0" xfId="4" applyNumberFormat="1" applyFont="1" applyFill="1" applyBorder="1" applyAlignment="1">
      <alignment horizontal="center"/>
    </xf>
    <xf numFmtId="0" fontId="18" fillId="2" borderId="0" xfId="4" applyFont="1" applyFill="1" applyBorder="1" applyAlignment="1">
      <alignment horizontal="center"/>
    </xf>
    <xf numFmtId="0" fontId="18" fillId="2" borderId="0" xfId="4" applyFont="1" applyFill="1" applyBorder="1"/>
    <xf numFmtId="167" fontId="18" fillId="2" borderId="0" xfId="4" applyNumberFormat="1" applyFont="1" applyFill="1" applyAlignment="1">
      <alignment horizontal="center"/>
    </xf>
    <xf numFmtId="9" fontId="18" fillId="2" borderId="0" xfId="4" applyNumberFormat="1" applyFont="1" applyFill="1" applyAlignment="1">
      <alignment horizontal="center"/>
    </xf>
    <xf numFmtId="1" fontId="18" fillId="2" borderId="0" xfId="4" applyNumberFormat="1" applyFont="1" applyFill="1" applyAlignment="1">
      <alignment horizontal="center"/>
    </xf>
    <xf numFmtId="14" fontId="17" fillId="2" borderId="0" xfId="4" applyNumberFormat="1" applyFont="1" applyFill="1" applyAlignment="1">
      <alignment horizontal="center"/>
    </xf>
    <xf numFmtId="168" fontId="17" fillId="2" borderId="0" xfId="4" applyNumberFormat="1" applyFont="1" applyFill="1" applyAlignment="1">
      <alignment horizontal="center"/>
    </xf>
    <xf numFmtId="168" fontId="17" fillId="2" borderId="0" xfId="2" applyNumberFormat="1" applyFont="1" applyFill="1" applyAlignment="1">
      <alignment horizontal="center"/>
    </xf>
    <xf numFmtId="165" fontId="17" fillId="2" borderId="0" xfId="4" applyNumberFormat="1" applyFont="1" applyFill="1" applyAlignment="1">
      <alignment horizontal="center"/>
    </xf>
    <xf numFmtId="14" fontId="17" fillId="2" borderId="0" xfId="4" applyNumberFormat="1" applyFont="1" applyFill="1"/>
    <xf numFmtId="168" fontId="8" fillId="2" borderId="0" xfId="2" applyNumberFormat="1" applyFill="1"/>
    <xf numFmtId="168" fontId="17" fillId="2" borderId="0" xfId="4" applyNumberFormat="1" applyFont="1" applyFill="1"/>
    <xf numFmtId="164" fontId="17" fillId="2" borderId="0" xfId="4" applyNumberFormat="1" applyFont="1" applyFill="1" applyAlignment="1">
      <alignment horizontal="center"/>
    </xf>
    <xf numFmtId="14" fontId="8" fillId="2" borderId="0" xfId="4" applyNumberFormat="1" applyFill="1" applyAlignment="1">
      <alignment horizontal="center"/>
    </xf>
    <xf numFmtId="168" fontId="8" fillId="2" borderId="0" xfId="4" applyNumberFormat="1" applyFill="1" applyAlignment="1">
      <alignment horizontal="center"/>
    </xf>
    <xf numFmtId="10" fontId="17" fillId="2" borderId="0" xfId="4" applyNumberFormat="1" applyFont="1" applyFill="1" applyAlignment="1">
      <alignment horizontal="center"/>
    </xf>
    <xf numFmtId="168" fontId="8" fillId="2" borderId="0" xfId="2" applyNumberFormat="1" applyFill="1" applyAlignment="1">
      <alignment horizontal="center"/>
    </xf>
    <xf numFmtId="168" fontId="8" fillId="2" borderId="0" xfId="2" applyNumberFormat="1" applyFont="1" applyFill="1" applyAlignment="1">
      <alignment horizontal="center"/>
    </xf>
    <xf numFmtId="14" fontId="8" fillId="2" borderId="0" xfId="4" applyNumberFormat="1" applyFont="1" applyFill="1" applyAlignment="1">
      <alignment horizontal="center"/>
    </xf>
    <xf numFmtId="168" fontId="23" fillId="2" borderId="0" xfId="0" applyNumberFormat="1" applyFont="1" applyFill="1" applyAlignment="1">
      <alignment horizontal="center"/>
    </xf>
    <xf numFmtId="10" fontId="23" fillId="2" borderId="0" xfId="0" applyNumberFormat="1" applyFont="1" applyFill="1" applyAlignment="1">
      <alignment horizontal="center"/>
    </xf>
    <xf numFmtId="0" fontId="24" fillId="4" borderId="0" xfId="0" applyFont="1" applyFill="1"/>
    <xf numFmtId="0" fontId="23" fillId="4" borderId="0" xfId="0" applyFont="1" applyFill="1" applyBorder="1"/>
    <xf numFmtId="0" fontId="23" fillId="4" borderId="0" xfId="0" applyFont="1" applyFill="1" applyBorder="1" applyAlignment="1">
      <alignment horizontal="center"/>
    </xf>
    <xf numFmtId="9" fontId="25" fillId="4" borderId="0" xfId="0" applyNumberFormat="1" applyFont="1" applyFill="1" applyBorder="1" applyAlignment="1">
      <alignment horizontal="center"/>
    </xf>
    <xf numFmtId="0" fontId="25" fillId="4" borderId="2" xfId="0" applyFont="1" applyFill="1" applyBorder="1"/>
    <xf numFmtId="9" fontId="25" fillId="4" borderId="2" xfId="0" applyNumberFormat="1" applyFont="1" applyFill="1" applyBorder="1" applyAlignment="1">
      <alignment horizontal="center"/>
    </xf>
    <xf numFmtId="168" fontId="23" fillId="4" borderId="0" xfId="2" applyNumberFormat="1" applyFont="1" applyFill="1" applyAlignment="1">
      <alignment horizontal="center"/>
    </xf>
    <xf numFmtId="0" fontId="23" fillId="4" borderId="0" xfId="0" applyNumberFormat="1" applyFont="1" applyFill="1" applyAlignment="1">
      <alignment horizontal="center"/>
    </xf>
    <xf numFmtId="1" fontId="23" fillId="4" borderId="0" xfId="0" applyNumberFormat="1" applyFont="1" applyFill="1" applyAlignment="1">
      <alignment horizontal="left"/>
    </xf>
    <xf numFmtId="168" fontId="23" fillId="4" borderId="0" xfId="0" applyNumberFormat="1" applyFont="1" applyFill="1"/>
    <xf numFmtId="168" fontId="23" fillId="4" borderId="0" xfId="0" applyNumberFormat="1" applyFont="1" applyFill="1" applyBorder="1" applyAlignment="1">
      <alignment horizontal="center"/>
    </xf>
    <xf numFmtId="168" fontId="8" fillId="4" borderId="0" xfId="2" applyNumberFormat="1" applyFill="1" applyBorder="1"/>
    <xf numFmtId="168" fontId="8" fillId="4" borderId="0" xfId="0" applyNumberFormat="1" applyFont="1" applyFill="1" applyBorder="1" applyAlignment="1">
      <alignment horizontal="center"/>
    </xf>
    <xf numFmtId="0" fontId="28" fillId="4" borderId="0" xfId="0" applyFont="1" applyFill="1"/>
    <xf numFmtId="0" fontId="25" fillId="2" borderId="0" xfId="0" applyFont="1" applyFill="1"/>
    <xf numFmtId="0" fontId="25" fillId="2" borderId="0" xfId="0" applyFont="1" applyFill="1" applyBorder="1"/>
    <xf numFmtId="0" fontId="25" fillId="2" borderId="0" xfId="0" applyFont="1" applyFill="1" applyBorder="1" applyAlignment="1">
      <alignment horizontal="center"/>
    </xf>
    <xf numFmtId="9" fontId="25" fillId="2" borderId="0" xfId="0" applyNumberFormat="1" applyFont="1" applyFill="1" applyBorder="1" applyAlignment="1">
      <alignment horizontal="center"/>
    </xf>
    <xf numFmtId="168" fontId="23" fillId="2" borderId="0" xfId="2" applyNumberFormat="1" applyFont="1" applyFill="1" applyAlignment="1">
      <alignment horizontal="center"/>
    </xf>
    <xf numFmtId="168" fontId="8" fillId="2" borderId="0" xfId="2" applyNumberFormat="1" applyFont="1" applyFill="1" applyBorder="1"/>
    <xf numFmtId="168" fontId="23" fillId="2" borderId="0" xfId="0" applyNumberFormat="1" applyFont="1" applyFill="1" applyBorder="1" applyAlignment="1">
      <alignment horizontal="center"/>
    </xf>
    <xf numFmtId="168" fontId="8" fillId="2" borderId="0" xfId="2" applyNumberFormat="1" applyFont="1" applyFill="1" applyBorder="1" applyAlignment="1">
      <alignment horizontal="center"/>
    </xf>
    <xf numFmtId="168" fontId="8" fillId="2" borderId="0" xfId="2" applyNumberFormat="1" applyFill="1" applyBorder="1"/>
    <xf numFmtId="0" fontId="19" fillId="2" borderId="0" xfId="0" applyFont="1" applyFill="1"/>
    <xf numFmtId="168" fontId="23" fillId="2" borderId="27" xfId="0" applyNumberFormat="1" applyFont="1" applyFill="1" applyBorder="1" applyAlignment="1">
      <alignment horizontal="center"/>
    </xf>
    <xf numFmtId="168" fontId="8" fillId="2" borderId="27" xfId="2" applyNumberFormat="1" applyFont="1" applyFill="1" applyBorder="1" applyAlignment="1">
      <alignment horizontal="center"/>
    </xf>
    <xf numFmtId="165" fontId="0" fillId="4" borderId="0" xfId="0" applyNumberFormat="1" applyFill="1" applyAlignment="1">
      <alignment horizontal="center"/>
    </xf>
    <xf numFmtId="3" fontId="23" fillId="4" borderId="0" xfId="0" applyNumberFormat="1" applyFont="1" applyFill="1" applyAlignment="1">
      <alignment horizontal="right"/>
    </xf>
    <xf numFmtId="1" fontId="26" fillId="4" borderId="0" xfId="0" applyNumberFormat="1" applyFont="1" applyFill="1" applyAlignment="1">
      <alignment horizontal="center"/>
    </xf>
    <xf numFmtId="1" fontId="0" fillId="2" borderId="0" xfId="0" applyNumberFormat="1" applyFill="1" applyAlignment="1">
      <alignment horizontal="center"/>
    </xf>
    <xf numFmtId="14" fontId="25" fillId="4" borderId="0" xfId="0" applyNumberFormat="1" applyFont="1" applyFill="1" applyBorder="1" applyAlignment="1">
      <alignment horizontal="left"/>
    </xf>
    <xf numFmtId="14" fontId="25" fillId="4" borderId="0" xfId="0" applyNumberFormat="1" applyFont="1" applyFill="1" applyBorder="1" applyAlignment="1">
      <alignment horizontal="right"/>
    </xf>
    <xf numFmtId="9" fontId="23" fillId="4" borderId="0" xfId="0" applyNumberFormat="1" applyFont="1" applyFill="1" applyBorder="1" applyAlignment="1">
      <alignment horizontal="center"/>
    </xf>
    <xf numFmtId="14" fontId="25" fillId="4" borderId="0" xfId="0" applyNumberFormat="1" applyFont="1" applyFill="1" applyAlignment="1">
      <alignment horizontal="center"/>
    </xf>
    <xf numFmtId="9" fontId="25" fillId="4" borderId="0" xfId="0" applyNumberFormat="1" applyFont="1" applyFill="1" applyAlignment="1">
      <alignment horizontal="center"/>
    </xf>
    <xf numFmtId="1" fontId="25" fillId="4" borderId="0" xfId="0" applyNumberFormat="1" applyFont="1" applyFill="1" applyAlignment="1">
      <alignment horizontal="center"/>
    </xf>
    <xf numFmtId="164" fontId="23" fillId="4" borderId="0" xfId="0" applyNumberFormat="1" applyFont="1" applyFill="1" applyAlignment="1">
      <alignment horizontal="center"/>
    </xf>
    <xf numFmtId="164" fontId="23" fillId="4" borderId="0" xfId="0" applyNumberFormat="1" applyFont="1" applyFill="1"/>
    <xf numFmtId="14" fontId="23" fillId="4" borderId="0" xfId="0" applyNumberFormat="1" applyFont="1" applyFill="1"/>
    <xf numFmtId="14" fontId="25" fillId="2" borderId="0" xfId="0" applyNumberFormat="1" applyFont="1" applyFill="1" applyBorder="1" applyAlignment="1">
      <alignment horizontal="right"/>
    </xf>
    <xf numFmtId="9" fontId="23" fillId="2" borderId="0" xfId="0" applyNumberFormat="1" applyFont="1" applyFill="1" applyBorder="1" applyAlignment="1">
      <alignment horizontal="center"/>
    </xf>
    <xf numFmtId="9" fontId="25" fillId="2" borderId="0" xfId="0" applyNumberFormat="1" applyFont="1" applyFill="1" applyAlignment="1">
      <alignment horizontal="center"/>
    </xf>
    <xf numFmtId="1" fontId="25" fillId="2" borderId="0" xfId="0" applyNumberFormat="1" applyFont="1" applyFill="1" applyAlignment="1">
      <alignment horizontal="center"/>
    </xf>
    <xf numFmtId="164" fontId="23" fillId="2" borderId="0" xfId="0" applyNumberFormat="1" applyFont="1" applyFill="1" applyAlignment="1">
      <alignment horizontal="center"/>
    </xf>
    <xf numFmtId="164" fontId="23" fillId="2" borderId="0" xfId="0" applyNumberFormat="1" applyFont="1" applyFill="1"/>
    <xf numFmtId="168" fontId="23" fillId="2" borderId="0" xfId="0" applyNumberFormat="1" applyFont="1" applyFill="1"/>
    <xf numFmtId="168" fontId="11" fillId="2" borderId="0" xfId="0" applyNumberFormat="1" applyFont="1" applyFill="1" applyAlignment="1">
      <alignment horizontal="center"/>
    </xf>
    <xf numFmtId="168" fontId="0" fillId="2" borderId="0" xfId="0" applyNumberFormat="1" applyFill="1" applyAlignment="1">
      <alignment horizontal="center"/>
    </xf>
    <xf numFmtId="14" fontId="23" fillId="2" borderId="0" xfId="0" applyNumberFormat="1" applyFont="1" applyFill="1"/>
    <xf numFmtId="168" fontId="23" fillId="2" borderId="0" xfId="0" applyNumberFormat="1" applyFont="1" applyFill="1" applyAlignment="1">
      <alignment horizontal="center" vertical="center"/>
    </xf>
    <xf numFmtId="14" fontId="0" fillId="2" borderId="0" xfId="0" applyNumberFormat="1" applyFill="1" applyAlignment="1">
      <alignment horizontal="center"/>
    </xf>
    <xf numFmtId="168" fontId="8" fillId="2" borderId="0" xfId="0" applyNumberFormat="1" applyFont="1" applyFill="1" applyAlignment="1">
      <alignment horizontal="center"/>
    </xf>
    <xf numFmtId="14" fontId="8" fillId="2" borderId="0" xfId="4" applyNumberFormat="1" applyFill="1"/>
    <xf numFmtId="168" fontId="8" fillId="2" borderId="0" xfId="4" applyNumberFormat="1" applyFont="1" applyFill="1" applyAlignment="1">
      <alignment horizontal="center"/>
    </xf>
    <xf numFmtId="14" fontId="0" fillId="2" borderId="0" xfId="0" applyNumberFormat="1" applyFill="1"/>
    <xf numFmtId="9" fontId="40" fillId="3" borderId="0" xfId="0" applyNumberFormat="1" applyFont="1" applyFill="1" applyBorder="1" applyAlignment="1">
      <alignment horizontal="center"/>
    </xf>
    <xf numFmtId="14" fontId="40" fillId="3" borderId="0" xfId="0" applyNumberFormat="1" applyFont="1" applyFill="1" applyAlignment="1">
      <alignment horizontal="center"/>
    </xf>
    <xf numFmtId="0" fontId="40" fillId="3" borderId="2" xfId="0" applyFont="1" applyFill="1" applyBorder="1" applyAlignment="1">
      <alignment horizontal="center"/>
    </xf>
    <xf numFmtId="167" fontId="40" fillId="3" borderId="2" xfId="0" applyNumberFormat="1" applyFont="1" applyFill="1" applyBorder="1" applyAlignment="1">
      <alignment horizontal="center"/>
    </xf>
    <xf numFmtId="167" fontId="40" fillId="3" borderId="0" xfId="0" applyNumberFormat="1" applyFont="1" applyFill="1" applyAlignment="1">
      <alignment horizontal="center"/>
    </xf>
    <xf numFmtId="164" fontId="40" fillId="3" borderId="2" xfId="0" applyNumberFormat="1" applyFont="1" applyFill="1" applyBorder="1" applyAlignment="1">
      <alignment horizontal="center"/>
    </xf>
    <xf numFmtId="1" fontId="40" fillId="3" borderId="2" xfId="0" applyNumberFormat="1" applyFont="1" applyFill="1" applyBorder="1" applyAlignment="1">
      <alignment horizontal="center"/>
    </xf>
    <xf numFmtId="164" fontId="40" fillId="3" borderId="0" xfId="0" applyNumberFormat="1" applyFont="1" applyFill="1" applyAlignment="1">
      <alignment horizontal="center"/>
    </xf>
    <xf numFmtId="9" fontId="40" fillId="3" borderId="0" xfId="4" applyNumberFormat="1" applyFont="1" applyFill="1" applyBorder="1" applyAlignment="1">
      <alignment horizontal="center"/>
    </xf>
    <xf numFmtId="14" fontId="40" fillId="3" borderId="0" xfId="4" applyNumberFormat="1" applyFont="1" applyFill="1" applyAlignment="1">
      <alignment horizontal="center"/>
    </xf>
    <xf numFmtId="1" fontId="23" fillId="2" borderId="27" xfId="0" applyNumberFormat="1" applyFont="1" applyFill="1" applyBorder="1" applyAlignment="1">
      <alignment horizontal="center"/>
    </xf>
    <xf numFmtId="3" fontId="17" fillId="2" borderId="27" xfId="0" applyNumberFormat="1" applyFont="1" applyFill="1" applyBorder="1" applyAlignment="1">
      <alignment horizontal="center"/>
    </xf>
    <xf numFmtId="1" fontId="0" fillId="2" borderId="27" xfId="0" applyNumberFormat="1" applyFill="1" applyBorder="1" applyAlignment="1">
      <alignment horizontal="center"/>
    </xf>
    <xf numFmtId="14" fontId="8" fillId="2" borderId="0" xfId="0" applyNumberFormat="1" applyFont="1" applyFill="1" applyAlignment="1">
      <alignment horizontal="center"/>
    </xf>
    <xf numFmtId="14" fontId="8" fillId="0" borderId="0" xfId="4" applyNumberFormat="1"/>
    <xf numFmtId="168" fontId="8" fillId="0" borderId="0" xfId="4" applyNumberFormat="1" applyFont="1" applyAlignment="1">
      <alignment horizontal="center"/>
    </xf>
    <xf numFmtId="168" fontId="8" fillId="0" borderId="0" xfId="4" applyNumberFormat="1" applyFont="1" applyAlignment="1">
      <alignment horizontal="center"/>
    </xf>
    <xf numFmtId="168" fontId="8" fillId="0" borderId="0" xfId="4" applyNumberFormat="1" applyAlignment="1">
      <alignment horizontal="center"/>
    </xf>
    <xf numFmtId="0" fontId="10" fillId="4" borderId="0" xfId="0" applyFont="1" applyFill="1" applyAlignment="1">
      <alignment horizontal="left" indent="1"/>
    </xf>
    <xf numFmtId="0" fontId="10" fillId="2" borderId="0" xfId="0" applyFont="1" applyFill="1" applyAlignment="1">
      <alignment horizontal="left" indent="1"/>
    </xf>
    <xf numFmtId="3" fontId="0" fillId="4" borderId="0" xfId="0" applyNumberFormat="1" applyFill="1" applyAlignment="1">
      <alignment horizontal="center"/>
    </xf>
    <xf numFmtId="0" fontId="8" fillId="0" borderId="0" xfId="4"/>
    <xf numFmtId="0" fontId="8" fillId="2" borderId="0" xfId="4" applyFill="1"/>
    <xf numFmtId="0" fontId="17" fillId="2" borderId="0" xfId="4" applyFont="1" applyFill="1" applyBorder="1"/>
    <xf numFmtId="3" fontId="17" fillId="2" borderId="0" xfId="4" applyNumberFormat="1" applyFont="1" applyFill="1" applyAlignment="1">
      <alignment horizontal="right" indent="1"/>
    </xf>
    <xf numFmtId="3" fontId="17" fillId="2" borderId="0" xfId="4" applyNumberFormat="1" applyFont="1" applyFill="1" applyAlignment="1">
      <alignment horizontal="left"/>
    </xf>
    <xf numFmtId="3" fontId="17" fillId="2" borderId="0" xfId="4" applyNumberFormat="1" applyFont="1" applyFill="1" applyAlignment="1">
      <alignment horizontal="center"/>
    </xf>
    <xf numFmtId="3" fontId="17" fillId="2" borderId="0" xfId="4" applyNumberFormat="1" applyFont="1" applyFill="1" applyAlignment="1">
      <alignment horizontal="right"/>
    </xf>
    <xf numFmtId="0" fontId="17" fillId="2" borderId="0" xfId="4" applyFont="1" applyFill="1" applyAlignment="1">
      <alignment horizontal="right"/>
    </xf>
    <xf numFmtId="3" fontId="19" fillId="2" borderId="0" xfId="4" applyNumberFormat="1" applyFont="1" applyFill="1" applyAlignment="1">
      <alignment horizontal="right"/>
    </xf>
    <xf numFmtId="0" fontId="17" fillId="2" borderId="0" xfId="4" applyFont="1" applyFill="1"/>
    <xf numFmtId="3" fontId="8" fillId="2" borderId="0" xfId="4" applyNumberFormat="1" applyFill="1" applyAlignment="1">
      <alignment horizontal="left" indent="1"/>
    </xf>
    <xf numFmtId="0" fontId="17" fillId="2" borderId="0" xfId="4" applyFont="1" applyFill="1" applyBorder="1" applyAlignment="1">
      <alignment horizontal="left" indent="1"/>
    </xf>
    <xf numFmtId="3" fontId="17" fillId="2" borderId="0" xfId="4" applyNumberFormat="1" applyFont="1" applyFill="1" applyAlignment="1">
      <alignment horizontal="left" indent="1"/>
    </xf>
    <xf numFmtId="0" fontId="17" fillId="2" borderId="0" xfId="4" applyFont="1" applyFill="1" applyAlignment="1">
      <alignment horizontal="left" indent="1"/>
    </xf>
    <xf numFmtId="3" fontId="19" fillId="2" borderId="0" xfId="4" applyNumberFormat="1" applyFont="1" applyFill="1" applyAlignment="1">
      <alignment horizontal="left" indent="1"/>
    </xf>
    <xf numFmtId="0" fontId="10" fillId="4" borderId="0" xfId="0" applyFont="1" applyFill="1" applyAlignment="1">
      <alignment horizontal="left" indent="4"/>
    </xf>
    <xf numFmtId="0" fontId="34" fillId="0" borderId="0" xfId="7" applyAlignment="1">
      <alignment horizontal="left" indent="1"/>
    </xf>
    <xf numFmtId="0" fontId="34" fillId="0" borderId="0" xfId="7" quotePrefix="1" applyFont="1" applyAlignment="1">
      <alignment horizontal="left" indent="1"/>
    </xf>
    <xf numFmtId="3" fontId="10" fillId="4" borderId="0" xfId="0" applyNumberFormat="1" applyFont="1" applyFill="1"/>
    <xf numFmtId="3" fontId="11" fillId="4" borderId="0" xfId="0" applyNumberFormat="1" applyFont="1" applyFill="1"/>
    <xf numFmtId="0" fontId="8" fillId="0" borderId="0" xfId="4"/>
    <xf numFmtId="0" fontId="8" fillId="2" borderId="0" xfId="4" applyFill="1" applyAlignment="1">
      <alignment horizontal="center"/>
    </xf>
    <xf numFmtId="0" fontId="34" fillId="2" borderId="0" xfId="7" applyFill="1" applyAlignment="1">
      <alignment horizontal="left" indent="1"/>
    </xf>
    <xf numFmtId="0" fontId="8" fillId="2" borderId="0" xfId="4" applyFill="1" applyAlignment="1">
      <alignment horizontal="left" indent="1"/>
    </xf>
    <xf numFmtId="0" fontId="61" fillId="2" borderId="0" xfId="0" applyFont="1" applyFill="1" applyAlignment="1">
      <alignment horizontal="left" indent="2"/>
    </xf>
    <xf numFmtId="168" fontId="8" fillId="0" borderId="0" xfId="4" applyNumberFormat="1" applyAlignment="1">
      <alignment horizontal="center"/>
    </xf>
    <xf numFmtId="0" fontId="15" fillId="2" borderId="30" xfId="0" applyFont="1" applyFill="1" applyBorder="1"/>
    <xf numFmtId="0" fontId="15" fillId="2" borderId="31" xfId="0" applyFont="1" applyFill="1" applyBorder="1"/>
    <xf numFmtId="0" fontId="15" fillId="2" borderId="32" xfId="0" applyFont="1" applyFill="1" applyBorder="1"/>
    <xf numFmtId="0" fontId="15" fillId="2" borderId="33" xfId="0" applyFont="1" applyFill="1" applyBorder="1"/>
    <xf numFmtId="0" fontId="15" fillId="2" borderId="34" xfId="0" applyFont="1" applyFill="1" applyBorder="1"/>
    <xf numFmtId="0" fontId="15" fillId="2" borderId="33" xfId="0" applyFont="1" applyFill="1" applyBorder="1" applyAlignment="1"/>
    <xf numFmtId="0" fontId="15" fillId="2" borderId="33" xfId="0" applyFont="1" applyFill="1" applyBorder="1" applyAlignment="1">
      <alignment horizontal="left"/>
    </xf>
    <xf numFmtId="0" fontId="15" fillId="2" borderId="35" xfId="0" applyFont="1" applyFill="1" applyBorder="1"/>
    <xf numFmtId="0" fontId="15" fillId="2" borderId="36" xfId="0" applyFont="1" applyFill="1" applyBorder="1"/>
    <xf numFmtId="0" fontId="15" fillId="2" borderId="37" xfId="0" applyFont="1" applyFill="1" applyBorder="1"/>
    <xf numFmtId="0" fontId="62" fillId="2" borderId="0" xfId="0" applyFont="1" applyFill="1" applyAlignment="1">
      <alignment horizontal="left" indent="2"/>
    </xf>
    <xf numFmtId="168" fontId="17" fillId="2" borderId="0" xfId="0" applyNumberFormat="1" applyFont="1" applyFill="1" applyAlignment="1">
      <alignment horizontal="center"/>
    </xf>
    <xf numFmtId="168" fontId="17" fillId="2" borderId="27" xfId="0" applyNumberFormat="1" applyFont="1" applyFill="1" applyBorder="1" applyAlignment="1">
      <alignment horizontal="center"/>
    </xf>
    <xf numFmtId="168" fontId="8" fillId="0" borderId="0" xfId="4" applyNumberFormat="1" applyAlignment="1">
      <alignment horizontal="center"/>
    </xf>
    <xf numFmtId="168" fontId="8" fillId="0" borderId="0" xfId="4" applyNumberFormat="1" applyFont="1" applyAlignment="1">
      <alignment horizontal="center"/>
    </xf>
    <xf numFmtId="14" fontId="8" fillId="0" borderId="0" xfId="4" applyNumberFormat="1"/>
    <xf numFmtId="168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0" fontId="8" fillId="0" borderId="0" xfId="4" applyAlignment="1">
      <alignment horizontal="left" indent="1"/>
    </xf>
    <xf numFmtId="3" fontId="17" fillId="2" borderId="0" xfId="4" applyNumberFormat="1" applyFont="1" applyFill="1" applyBorder="1" applyAlignment="1">
      <alignment horizontal="right" indent="2"/>
    </xf>
    <xf numFmtId="0" fontId="17" fillId="2" borderId="0" xfId="4" applyFont="1" applyFill="1" applyBorder="1" applyAlignment="1">
      <alignment horizontal="right" indent="2"/>
    </xf>
    <xf numFmtId="3" fontId="8" fillId="2" borderId="0" xfId="4" applyNumberFormat="1" applyFill="1" applyAlignment="1">
      <alignment horizontal="right" indent="2"/>
    </xf>
    <xf numFmtId="3" fontId="17" fillId="2" borderId="0" xfId="4" applyNumberFormat="1" applyFont="1" applyFill="1" applyAlignment="1">
      <alignment horizontal="right" indent="2"/>
    </xf>
    <xf numFmtId="0" fontId="17" fillId="2" borderId="0" xfId="4" applyFont="1" applyFill="1" applyAlignment="1">
      <alignment horizontal="right" indent="2"/>
    </xf>
    <xf numFmtId="0" fontId="8" fillId="0" borderId="0" xfId="4" applyAlignment="1">
      <alignment horizontal="right" indent="2"/>
    </xf>
    <xf numFmtId="168" fontId="8" fillId="0" borderId="0" xfId="4" applyNumberFormat="1" applyAlignment="1">
      <alignment horizontal="center"/>
    </xf>
    <xf numFmtId="0" fontId="9" fillId="2" borderId="0" xfId="1" applyFill="1" applyAlignment="1" applyProtection="1"/>
    <xf numFmtId="3" fontId="34" fillId="0" borderId="0" xfId="7" applyNumberFormat="1"/>
    <xf numFmtId="0" fontId="34" fillId="0" borderId="0" xfId="7" applyBorder="1" applyAlignment="1">
      <alignment horizontal="left" indent="1"/>
    </xf>
    <xf numFmtId="3" fontId="34" fillId="0" borderId="0" xfId="7" applyNumberFormat="1" applyBorder="1"/>
    <xf numFmtId="168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0" fontId="15" fillId="2" borderId="33" xfId="0" applyFont="1" applyFill="1" applyBorder="1" applyAlignment="1">
      <alignment horizontal="left" indent="1"/>
    </xf>
    <xf numFmtId="0" fontId="16" fillId="2" borderId="33" xfId="0" applyFont="1" applyFill="1" applyBorder="1" applyAlignment="1">
      <alignment horizontal="left" indent="1"/>
    </xf>
    <xf numFmtId="3" fontId="15" fillId="2" borderId="33" xfId="0" applyNumberFormat="1" applyFont="1" applyFill="1" applyBorder="1" applyAlignment="1" applyProtection="1">
      <alignment horizontal="left" indent="1"/>
    </xf>
    <xf numFmtId="0" fontId="24" fillId="2" borderId="0" xfId="0" applyFont="1" applyFill="1" applyAlignment="1">
      <alignment horizontal="left" indent="1"/>
    </xf>
    <xf numFmtId="0" fontId="25" fillId="2" borderId="0" xfId="0" applyFont="1" applyFill="1" applyAlignment="1">
      <alignment horizontal="left" indent="1"/>
    </xf>
    <xf numFmtId="0" fontId="23" fillId="2" borderId="0" xfId="0" applyFont="1" applyFill="1" applyAlignment="1">
      <alignment horizontal="left" indent="1"/>
    </xf>
    <xf numFmtId="0" fontId="2" fillId="0" borderId="0" xfId="892" applyAlignment="1">
      <alignment horizontal="left" indent="1"/>
    </xf>
    <xf numFmtId="0" fontId="2" fillId="0" borderId="0" xfId="892" applyAlignment="1">
      <alignment horizontal="center"/>
    </xf>
    <xf numFmtId="0" fontId="20" fillId="2" borderId="0" xfId="0" applyFont="1" applyFill="1" applyAlignment="1">
      <alignment horizontal="left" indent="1"/>
    </xf>
    <xf numFmtId="0" fontId="8" fillId="2" borderId="0" xfId="0" applyFont="1" applyFill="1" applyAlignment="1">
      <alignment horizontal="left" indent="1"/>
    </xf>
    <xf numFmtId="0" fontId="17" fillId="2" borderId="0" xfId="0" applyNumberFormat="1" applyFont="1" applyFill="1" applyAlignment="1">
      <alignment horizontal="left" indent="1"/>
    </xf>
    <xf numFmtId="0" fontId="23" fillId="2" borderId="27" xfId="0" applyFont="1" applyFill="1" applyBorder="1" applyAlignment="1">
      <alignment horizontal="left" indent="1"/>
    </xf>
    <xf numFmtId="0" fontId="40" fillId="3" borderId="2" xfId="0" applyFont="1" applyFill="1" applyBorder="1" applyAlignment="1">
      <alignment horizontal="left" indent="1"/>
    </xf>
    <xf numFmtId="0" fontId="17" fillId="2" borderId="27" xfId="0" applyFont="1" applyFill="1" applyBorder="1" applyAlignment="1">
      <alignment horizontal="left" indent="1"/>
    </xf>
    <xf numFmtId="0" fontId="20" fillId="2" borderId="0" xfId="4" applyNumberFormat="1" applyFont="1" applyFill="1" applyBorder="1" applyAlignment="1" applyProtection="1">
      <alignment horizontal="left" indent="1"/>
    </xf>
    <xf numFmtId="0" fontId="18" fillId="2" borderId="0" xfId="4" applyFont="1" applyFill="1" applyAlignment="1">
      <alignment horizontal="left" indent="1"/>
    </xf>
    <xf numFmtId="0" fontId="18" fillId="2" borderId="0" xfId="4" applyNumberFormat="1" applyFont="1" applyFill="1" applyBorder="1" applyAlignment="1" applyProtection="1">
      <alignment horizontal="left" indent="1"/>
    </xf>
    <xf numFmtId="0" fontId="17" fillId="2" borderId="0" xfId="4" applyNumberFormat="1" applyFont="1" applyFill="1" applyBorder="1" applyAlignment="1" applyProtection="1">
      <alignment horizontal="left" indent="1"/>
    </xf>
    <xf numFmtId="3" fontId="2" fillId="0" borderId="0" xfId="892" applyNumberFormat="1" applyAlignment="1">
      <alignment horizontal="right" indent="1"/>
    </xf>
    <xf numFmtId="168" fontId="8" fillId="0" borderId="0" xfId="4" applyNumberFormat="1" applyAlignment="1">
      <alignment horizontal="center"/>
    </xf>
    <xf numFmtId="0" fontId="63" fillId="2" borderId="0" xfId="1" applyFont="1" applyFill="1" applyBorder="1" applyAlignment="1" applyProtection="1">
      <alignment horizontal="left" indent="2"/>
    </xf>
    <xf numFmtId="0" fontId="13" fillId="0" borderId="0" xfId="0" applyFont="1" applyFill="1" applyAlignment="1">
      <alignment horizontal="left" indent="1"/>
    </xf>
    <xf numFmtId="168" fontId="64" fillId="2" borderId="27" xfId="2" applyNumberFormat="1" applyFont="1" applyFill="1" applyBorder="1" applyAlignment="1">
      <alignment horizontal="center"/>
    </xf>
    <xf numFmtId="168" fontId="64" fillId="2" borderId="27" xfId="0" applyNumberFormat="1" applyFont="1" applyFill="1" applyBorder="1" applyAlignment="1">
      <alignment horizontal="center"/>
    </xf>
    <xf numFmtId="0" fontId="65" fillId="2" borderId="0" xfId="0" applyFont="1" applyFill="1" applyAlignment="1">
      <alignment horizontal="left" indent="3"/>
    </xf>
    <xf numFmtId="0" fontId="61" fillId="2" borderId="0" xfId="0" applyFont="1" applyFill="1" applyAlignment="1">
      <alignment horizontal="left" indent="3"/>
    </xf>
    <xf numFmtId="168" fontId="0" fillId="0" borderId="0" xfId="0" applyNumberFormat="1" applyAlignment="1">
      <alignment horizontal="center"/>
    </xf>
    <xf numFmtId="0" fontId="0" fillId="0" borderId="0" xfId="0" applyAlignment="1">
      <alignment horizontal="left" indent="1"/>
    </xf>
    <xf numFmtId="0" fontId="17" fillId="2" borderId="0" xfId="0" applyFont="1" applyFill="1" applyAlignment="1">
      <alignment horizontal="left" indent="2"/>
    </xf>
    <xf numFmtId="0" fontId="11" fillId="2" borderId="0" xfId="0" applyFont="1" applyFill="1" applyAlignment="1">
      <alignment horizontal="left" indent="1"/>
    </xf>
    <xf numFmtId="0" fontId="17" fillId="2" borderId="0" xfId="0" applyFont="1" applyFill="1" applyBorder="1" applyAlignment="1">
      <alignment horizontal="left" indent="1"/>
    </xf>
    <xf numFmtId="0" fontId="65" fillId="2" borderId="0" xfId="0" applyFont="1" applyFill="1" applyBorder="1" applyAlignment="1">
      <alignment horizontal="left" indent="2"/>
    </xf>
    <xf numFmtId="0" fontId="23" fillId="2" borderId="2" xfId="0" applyFont="1" applyFill="1" applyBorder="1" applyAlignment="1">
      <alignment horizontal="left" indent="1"/>
    </xf>
    <xf numFmtId="14" fontId="8" fillId="0" borderId="0" xfId="0" applyNumberFormat="1" applyFont="1" applyFill="1" applyBorder="1" applyAlignment="1">
      <alignment horizontal="left" indent="1"/>
    </xf>
    <xf numFmtId="0" fontId="10" fillId="0" borderId="0" xfId="0" applyFont="1" applyFill="1" applyBorder="1" applyAlignment="1">
      <alignment horizontal="left" indent="1"/>
    </xf>
    <xf numFmtId="0" fontId="8" fillId="0" borderId="0" xfId="0" applyFont="1" applyAlignment="1">
      <alignment horizontal="left" indent="1"/>
    </xf>
    <xf numFmtId="0" fontId="67" fillId="2" borderId="0" xfId="0" applyNumberFormat="1" applyFont="1" applyFill="1" applyBorder="1" applyAlignment="1" applyProtection="1">
      <alignment horizontal="left" indent="1"/>
    </xf>
    <xf numFmtId="0" fontId="8" fillId="2" borderId="0" xfId="0" applyFont="1" applyFill="1" applyAlignment="1">
      <alignment horizontal="left" indent="3"/>
    </xf>
    <xf numFmtId="1" fontId="23" fillId="2" borderId="0" xfId="0" applyNumberFormat="1" applyFont="1" applyFill="1" applyBorder="1" applyAlignment="1">
      <alignment horizontal="center"/>
    </xf>
    <xf numFmtId="0" fontId="8" fillId="0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8" fillId="0" borderId="0" xfId="4" applyAlignment="1">
      <alignment horizontal="center"/>
    </xf>
    <xf numFmtId="0" fontId="11" fillId="2" borderId="0" xfId="0" applyFont="1" applyFill="1" applyAlignment="1">
      <alignment horizontal="center"/>
    </xf>
    <xf numFmtId="1" fontId="10" fillId="0" borderId="40" xfId="0" applyNumberFormat="1" applyFont="1" applyFill="1" applyBorder="1" applyAlignment="1">
      <alignment horizontal="center"/>
    </xf>
    <xf numFmtId="0" fontId="66" fillId="2" borderId="0" xfId="0" applyNumberFormat="1" applyFont="1" applyFill="1" applyBorder="1" applyAlignment="1" applyProtection="1">
      <alignment horizontal="left" indent="1"/>
    </xf>
    <xf numFmtId="0" fontId="61" fillId="2" borderId="0" xfId="0" applyFont="1" applyFill="1" applyAlignment="1">
      <alignment horizontal="left" indent="1"/>
    </xf>
    <xf numFmtId="0" fontId="68" fillId="2" borderId="0" xfId="0" applyFont="1" applyFill="1" applyAlignment="1">
      <alignment horizontal="left" indent="1"/>
    </xf>
    <xf numFmtId="3" fontId="18" fillId="0" borderId="39" xfId="0" applyNumberFormat="1" applyFont="1" applyFill="1" applyBorder="1" applyAlignment="1" applyProtection="1">
      <alignment horizontal="center"/>
      <protection locked="0"/>
    </xf>
    <xf numFmtId="3" fontId="18" fillId="0" borderId="38" xfId="0" applyNumberFormat="1" applyFont="1" applyFill="1" applyBorder="1" applyAlignment="1" applyProtection="1">
      <alignment horizontal="center"/>
      <protection locked="0"/>
    </xf>
    <xf numFmtId="164" fontId="18" fillId="2" borderId="5" xfId="0" applyNumberFormat="1" applyFont="1" applyFill="1" applyBorder="1" applyAlignment="1" applyProtection="1">
      <alignment horizontal="center"/>
    </xf>
    <xf numFmtId="3" fontId="18" fillId="2" borderId="10" xfId="0" applyNumberFormat="1" applyFont="1" applyFill="1" applyBorder="1" applyAlignment="1">
      <alignment horizontal="center"/>
    </xf>
    <xf numFmtId="3" fontId="18" fillId="0" borderId="41" xfId="0" applyNumberFormat="1" applyFont="1" applyFill="1" applyBorder="1" applyAlignment="1" applyProtection="1">
      <alignment horizontal="center"/>
      <protection locked="0"/>
    </xf>
    <xf numFmtId="3" fontId="18" fillId="2" borderId="9" xfId="0" applyNumberFormat="1" applyFont="1" applyFill="1" applyBorder="1" applyAlignment="1"/>
    <xf numFmtId="0" fontId="17" fillId="2" borderId="4" xfId="0" applyFont="1" applyFill="1" applyBorder="1" applyAlignment="1">
      <alignment horizontal="left" indent="3"/>
    </xf>
    <xf numFmtId="3" fontId="18" fillId="0" borderId="7" xfId="0" applyNumberFormat="1" applyFont="1" applyFill="1" applyBorder="1" applyAlignment="1" applyProtection="1">
      <alignment horizontal="center"/>
      <protection locked="0"/>
    </xf>
    <xf numFmtId="3" fontId="18" fillId="2" borderId="42" xfId="0" applyNumberFormat="1" applyFont="1" applyFill="1" applyBorder="1" applyAlignment="1">
      <alignment horizontal="center"/>
    </xf>
    <xf numFmtId="0" fontId="18" fillId="2" borderId="11" xfId="0" applyFont="1" applyFill="1" applyBorder="1" applyAlignment="1">
      <alignment horizontal="center"/>
    </xf>
    <xf numFmtId="3" fontId="18" fillId="2" borderId="10" xfId="0" applyNumberFormat="1" applyFont="1" applyFill="1" applyBorder="1" applyAlignment="1"/>
    <xf numFmtId="0" fontId="17" fillId="2" borderId="5" xfId="0" applyFont="1" applyFill="1" applyBorder="1" applyAlignment="1">
      <alignment horizontal="right"/>
    </xf>
    <xf numFmtId="0" fontId="18" fillId="0" borderId="39" xfId="0" applyFont="1" applyFill="1" applyBorder="1" applyAlignment="1">
      <alignment horizontal="left" indent="1"/>
    </xf>
    <xf numFmtId="0" fontId="18" fillId="0" borderId="38" xfId="0" applyFont="1" applyFill="1" applyBorder="1" applyAlignment="1" applyProtection="1">
      <alignment horizontal="left" indent="1"/>
      <protection locked="0"/>
    </xf>
    <xf numFmtId="0" fontId="18" fillId="0" borderId="7" xfId="0" applyFont="1" applyFill="1" applyBorder="1" applyAlignment="1" applyProtection="1">
      <alignment horizontal="left" indent="1"/>
      <protection locked="0"/>
    </xf>
    <xf numFmtId="0" fontId="18" fillId="2" borderId="0" xfId="0" applyFont="1" applyFill="1" applyBorder="1" applyAlignment="1">
      <alignment horizontal="center"/>
    </xf>
    <xf numFmtId="3" fontId="18" fillId="0" borderId="0" xfId="0" applyNumberFormat="1" applyFont="1" applyFill="1" applyBorder="1" applyAlignment="1">
      <alignment horizontal="right" indent="1"/>
    </xf>
    <xf numFmtId="0" fontId="23" fillId="2" borderId="0" xfId="0" applyFont="1" applyFill="1" applyBorder="1" applyAlignment="1">
      <alignment horizontal="left"/>
    </xf>
    <xf numFmtId="0" fontId="0" fillId="0" borderId="0" xfId="0" applyAlignment="1">
      <alignment horizontal="left"/>
    </xf>
    <xf numFmtId="0" fontId="8" fillId="0" borderId="0" xfId="4" applyAlignment="1">
      <alignment horizontal="left"/>
    </xf>
    <xf numFmtId="0" fontId="61" fillId="2" borderId="0" xfId="0" applyFont="1" applyFill="1" applyAlignment="1">
      <alignment horizontal="center"/>
    </xf>
    <xf numFmtId="0" fontId="10" fillId="0" borderId="44" xfId="0" applyFont="1" applyFill="1" applyBorder="1" applyAlignment="1">
      <alignment horizontal="left"/>
    </xf>
    <xf numFmtId="165" fontId="23" fillId="2" borderId="0" xfId="0" applyNumberFormat="1" applyFont="1" applyFill="1" applyAlignment="1">
      <alignment horizontal="left"/>
    </xf>
    <xf numFmtId="0" fontId="10" fillId="0" borderId="43" xfId="0" applyFont="1" applyFill="1" applyBorder="1" applyAlignment="1">
      <alignment horizontal="left"/>
    </xf>
    <xf numFmtId="165" fontId="23" fillId="2" borderId="0" xfId="0" applyNumberFormat="1" applyFont="1" applyFill="1" applyBorder="1" applyAlignment="1">
      <alignment horizontal="left"/>
    </xf>
    <xf numFmtId="1" fontId="23" fillId="2" borderId="5" xfId="0" applyNumberFormat="1" applyFont="1" applyFill="1" applyBorder="1" applyAlignment="1">
      <alignment horizontal="left"/>
    </xf>
    <xf numFmtId="0" fontId="10" fillId="0" borderId="7" xfId="0" applyFont="1" applyFill="1" applyBorder="1" applyAlignment="1">
      <alignment horizontal="left"/>
    </xf>
    <xf numFmtId="0" fontId="8" fillId="0" borderId="4" xfId="0" applyFont="1" applyFill="1" applyBorder="1" applyAlignment="1">
      <alignment horizontal="left"/>
    </xf>
    <xf numFmtId="0" fontId="10" fillId="0" borderId="6" xfId="0" applyFont="1" applyFill="1" applyBorder="1" applyAlignment="1">
      <alignment horizontal="left"/>
    </xf>
    <xf numFmtId="0" fontId="21" fillId="2" borderId="0" xfId="0" applyFont="1" applyFill="1" applyAlignment="1">
      <alignment horizontal="center"/>
    </xf>
    <xf numFmtId="3" fontId="19" fillId="2" borderId="0" xfId="0" applyNumberFormat="1" applyFont="1" applyFill="1" applyAlignment="1">
      <alignment horizontal="center"/>
    </xf>
    <xf numFmtId="170" fontId="17" fillId="2" borderId="0" xfId="0" applyNumberFormat="1" applyFont="1" applyFill="1" applyAlignment="1">
      <alignment horizontal="center"/>
    </xf>
    <xf numFmtId="0" fontId="8" fillId="2" borderId="0" xfId="4" applyFont="1" applyFill="1" applyAlignment="1">
      <alignment horizontal="left" indent="1"/>
    </xf>
    <xf numFmtId="0" fontId="18" fillId="2" borderId="5" xfId="0" applyNumberFormat="1" applyFont="1" applyFill="1" applyBorder="1" applyAlignment="1" applyProtection="1">
      <alignment horizontal="center"/>
    </xf>
    <xf numFmtId="0" fontId="72" fillId="2" borderId="0" xfId="0" applyFont="1" applyFill="1" applyAlignment="1">
      <alignment horizontal="left" indent="3"/>
    </xf>
    <xf numFmtId="0" fontId="11" fillId="2" borderId="0" xfId="0" applyFont="1" applyFill="1" applyBorder="1" applyAlignment="1">
      <alignment horizontal="center"/>
    </xf>
    <xf numFmtId="0" fontId="73" fillId="4" borderId="0" xfId="0" applyFont="1" applyFill="1"/>
    <xf numFmtId="0" fontId="74" fillId="4" borderId="0" xfId="0" applyFont="1" applyFill="1"/>
    <xf numFmtId="165" fontId="8" fillId="4" borderId="0" xfId="0" applyNumberFormat="1" applyFont="1" applyFill="1"/>
    <xf numFmtId="0" fontId="75" fillId="0" borderId="0" xfId="892" applyFont="1" applyAlignment="1">
      <alignment horizontal="center"/>
    </xf>
    <xf numFmtId="0" fontId="8" fillId="2" borderId="0" xfId="4" applyFont="1" applyFill="1" applyBorder="1" applyAlignment="1">
      <alignment horizontal="left" indent="1"/>
    </xf>
    <xf numFmtId="3" fontId="75" fillId="0" borderId="0" xfId="892" applyNumberFormat="1" applyFont="1" applyAlignment="1">
      <alignment horizontal="right" indent="1"/>
    </xf>
    <xf numFmtId="0" fontId="75" fillId="0" borderId="0" xfId="892" applyFont="1" applyAlignment="1">
      <alignment horizontal="left" indent="1"/>
    </xf>
    <xf numFmtId="3" fontId="0" fillId="2" borderId="0" xfId="0" applyNumberFormat="1" applyFill="1" applyBorder="1" applyAlignment="1">
      <alignment horizontal="center"/>
    </xf>
    <xf numFmtId="3" fontId="18" fillId="2" borderId="0" xfId="0" applyNumberFormat="1" applyFont="1" applyFill="1" applyAlignment="1">
      <alignment horizontal="center"/>
    </xf>
    <xf numFmtId="3" fontId="60" fillId="2" borderId="0" xfId="0" applyNumberFormat="1" applyFont="1" applyFill="1" applyAlignment="1">
      <alignment horizontal="left"/>
    </xf>
    <xf numFmtId="0" fontId="60" fillId="2" borderId="0" xfId="0" applyFont="1" applyFill="1" applyBorder="1"/>
    <xf numFmtId="0" fontId="30" fillId="2" borderId="45" xfId="0" applyFont="1" applyFill="1" applyBorder="1" applyAlignment="1">
      <alignment horizontal="left"/>
    </xf>
    <xf numFmtId="0" fontId="76" fillId="2" borderId="46" xfId="1" applyFont="1" applyFill="1" applyBorder="1" applyAlignment="1" applyProtection="1">
      <alignment vertical="center"/>
    </xf>
    <xf numFmtId="3" fontId="77" fillId="2" borderId="0" xfId="0" applyNumberFormat="1" applyFont="1" applyFill="1" applyAlignment="1">
      <alignment horizontal="center"/>
    </xf>
    <xf numFmtId="3" fontId="40" fillId="36" borderId="28" xfId="0" applyNumberFormat="1" applyFont="1" applyFill="1" applyBorder="1" applyAlignment="1">
      <alignment horizontal="center"/>
    </xf>
    <xf numFmtId="3" fontId="40" fillId="36" borderId="29" xfId="0" applyNumberFormat="1" applyFont="1" applyFill="1" applyBorder="1" applyAlignment="1">
      <alignment horizontal="center"/>
    </xf>
    <xf numFmtId="3" fontId="40" fillId="36" borderId="21" xfId="0" applyNumberFormat="1" applyFont="1" applyFill="1" applyBorder="1" applyAlignment="1">
      <alignment horizontal="center"/>
    </xf>
    <xf numFmtId="0" fontId="10" fillId="0" borderId="9" xfId="0" applyFont="1" applyFill="1" applyBorder="1" applyAlignment="1">
      <alignment horizontal="center"/>
    </xf>
    <xf numFmtId="0" fontId="10" fillId="0" borderId="10" xfId="0" applyFont="1" applyFill="1" applyBorder="1" applyAlignment="1">
      <alignment horizontal="center"/>
    </xf>
    <xf numFmtId="0" fontId="10" fillId="0" borderId="11" xfId="0" applyFont="1" applyFill="1" applyBorder="1" applyAlignment="1">
      <alignment horizontal="center"/>
    </xf>
    <xf numFmtId="9" fontId="40" fillId="3" borderId="0" xfId="4" applyNumberFormat="1" applyFont="1" applyFill="1" applyAlignment="1">
      <alignment horizontal="center" wrapText="1"/>
    </xf>
    <xf numFmtId="0" fontId="40" fillId="3" borderId="0" xfId="4" applyFont="1" applyFill="1" applyBorder="1" applyAlignment="1">
      <alignment horizontal="center" wrapText="1"/>
    </xf>
    <xf numFmtId="0" fontId="60" fillId="3" borderId="0" xfId="4" applyFont="1" applyFill="1" applyAlignment="1">
      <alignment horizontal="center" wrapText="1"/>
    </xf>
    <xf numFmtId="9" fontId="25" fillId="4" borderId="0" xfId="0" applyNumberFormat="1" applyFont="1" applyFill="1" applyAlignment="1">
      <alignment horizontal="center" wrapText="1"/>
    </xf>
    <xf numFmtId="9" fontId="40" fillId="3" borderId="0" xfId="0" applyNumberFormat="1" applyFont="1" applyFill="1" applyAlignment="1">
      <alignment horizontal="center" wrapText="1"/>
    </xf>
    <xf numFmtId="0" fontId="17" fillId="2" borderId="8" xfId="0" applyFont="1" applyFill="1" applyBorder="1" applyAlignment="1">
      <alignment horizontal="right" indent="2"/>
    </xf>
    <xf numFmtId="0" fontId="18" fillId="0" borderId="0" xfId="0" applyFont="1" applyFill="1" applyBorder="1" applyAlignment="1" applyProtection="1">
      <alignment horizontal="left" indent="1"/>
      <protection locked="0"/>
    </xf>
    <xf numFmtId="0" fontId="8" fillId="4" borderId="0" xfId="0" applyFont="1" applyFill="1" applyAlignment="1">
      <alignment horizontal="left"/>
    </xf>
    <xf numFmtId="0" fontId="73" fillId="4" borderId="0" xfId="0" applyFont="1" applyFill="1" applyAlignment="1">
      <alignment horizontal="left"/>
    </xf>
    <xf numFmtId="1" fontId="11" fillId="4" borderId="40" xfId="0" applyNumberFormat="1" applyFont="1" applyFill="1" applyBorder="1" applyAlignment="1">
      <alignment horizontal="center"/>
    </xf>
    <xf numFmtId="165" fontId="11" fillId="4" borderId="0" xfId="0" applyNumberFormat="1" applyFont="1" applyFill="1" applyAlignment="1">
      <alignment horizontal="center"/>
    </xf>
  </cellXfs>
  <cellStyles count="895">
    <cellStyle name="20 % - Dekorfärg1" xfId="31" builtinId="30" customBuiltin="1"/>
    <cellStyle name="20 % - Dekorfärg2" xfId="35" builtinId="34" customBuiltin="1"/>
    <cellStyle name="20 % - Dekorfärg3" xfId="39" builtinId="38" customBuiltin="1"/>
    <cellStyle name="20 % - Dekorfärg4" xfId="43" builtinId="42" customBuiltin="1"/>
    <cellStyle name="20 % - Dekorfärg5" xfId="47" builtinId="46" customBuiltin="1"/>
    <cellStyle name="20 % - Dekorfärg6" xfId="51" builtinId="50" customBuiltin="1"/>
    <cellStyle name="20% - Dekorfärg1 10" xfId="170"/>
    <cellStyle name="20% - Dekorfärg1 10 2" xfId="387"/>
    <cellStyle name="20% - Dekorfärg1 10 3" xfId="597"/>
    <cellStyle name="20% - Dekorfärg1 10 4" xfId="807"/>
    <cellStyle name="20% - Dekorfärg1 11" xfId="184"/>
    <cellStyle name="20% - Dekorfärg1 11 2" xfId="401"/>
    <cellStyle name="20% - Dekorfärg1 11 3" xfId="611"/>
    <cellStyle name="20% - Dekorfärg1 11 4" xfId="821"/>
    <cellStyle name="20% - Dekorfärg1 12" xfId="198"/>
    <cellStyle name="20% - Dekorfärg1 12 2" xfId="415"/>
    <cellStyle name="20% - Dekorfärg1 12 3" xfId="625"/>
    <cellStyle name="20% - Dekorfärg1 12 4" xfId="835"/>
    <cellStyle name="20% - Dekorfärg1 13" xfId="212"/>
    <cellStyle name="20% - Dekorfärg1 13 2" xfId="429"/>
    <cellStyle name="20% - Dekorfärg1 13 3" xfId="639"/>
    <cellStyle name="20% - Dekorfärg1 13 4" xfId="849"/>
    <cellStyle name="20% - Dekorfärg1 14" xfId="226"/>
    <cellStyle name="20% - Dekorfärg1 14 2" xfId="443"/>
    <cellStyle name="20% - Dekorfärg1 14 3" xfId="653"/>
    <cellStyle name="20% - Dekorfärg1 14 4" xfId="863"/>
    <cellStyle name="20% - Dekorfärg1 15" xfId="240"/>
    <cellStyle name="20% - Dekorfärg1 15 2" xfId="457"/>
    <cellStyle name="20% - Dekorfärg1 15 3" xfId="667"/>
    <cellStyle name="20% - Dekorfärg1 15 4" xfId="877"/>
    <cellStyle name="20% - Dekorfärg1 16" xfId="259"/>
    <cellStyle name="20% - Dekorfärg1 17" xfId="469"/>
    <cellStyle name="20% - Dekorfärg1 18" xfId="679"/>
    <cellStyle name="20% - Dekorfärg1 2" xfId="58"/>
    <cellStyle name="20% - Dekorfärg1 2 2" xfId="275"/>
    <cellStyle name="20% - Dekorfärg1 2 3" xfId="485"/>
    <cellStyle name="20% - Dekorfärg1 2 4" xfId="695"/>
    <cellStyle name="20% - Dekorfärg1 3" xfId="72"/>
    <cellStyle name="20% - Dekorfärg1 3 2" xfId="289"/>
    <cellStyle name="20% - Dekorfärg1 3 3" xfId="499"/>
    <cellStyle name="20% - Dekorfärg1 3 4" xfId="709"/>
    <cellStyle name="20% - Dekorfärg1 4" xfId="86"/>
    <cellStyle name="20% - Dekorfärg1 4 2" xfId="303"/>
    <cellStyle name="20% - Dekorfärg1 4 3" xfId="513"/>
    <cellStyle name="20% - Dekorfärg1 4 4" xfId="723"/>
    <cellStyle name="20% - Dekorfärg1 5" xfId="100"/>
    <cellStyle name="20% - Dekorfärg1 5 2" xfId="317"/>
    <cellStyle name="20% - Dekorfärg1 5 3" xfId="527"/>
    <cellStyle name="20% - Dekorfärg1 5 4" xfId="737"/>
    <cellStyle name="20% - Dekorfärg1 6" xfId="114"/>
    <cellStyle name="20% - Dekorfärg1 6 2" xfId="331"/>
    <cellStyle name="20% - Dekorfärg1 6 3" xfId="541"/>
    <cellStyle name="20% - Dekorfärg1 6 4" xfId="751"/>
    <cellStyle name="20% - Dekorfärg1 7" xfId="128"/>
    <cellStyle name="20% - Dekorfärg1 7 2" xfId="345"/>
    <cellStyle name="20% - Dekorfärg1 7 3" xfId="555"/>
    <cellStyle name="20% - Dekorfärg1 7 4" xfId="765"/>
    <cellStyle name="20% - Dekorfärg1 8" xfId="142"/>
    <cellStyle name="20% - Dekorfärg1 8 2" xfId="359"/>
    <cellStyle name="20% - Dekorfärg1 8 3" xfId="569"/>
    <cellStyle name="20% - Dekorfärg1 8 4" xfId="779"/>
    <cellStyle name="20% - Dekorfärg1 9" xfId="156"/>
    <cellStyle name="20% - Dekorfärg1 9 2" xfId="373"/>
    <cellStyle name="20% - Dekorfärg1 9 3" xfId="583"/>
    <cellStyle name="20% - Dekorfärg1 9 4" xfId="793"/>
    <cellStyle name="20% - Dekorfärg2 10" xfId="172"/>
    <cellStyle name="20% - Dekorfärg2 10 2" xfId="389"/>
    <cellStyle name="20% - Dekorfärg2 10 3" xfId="599"/>
    <cellStyle name="20% - Dekorfärg2 10 4" xfId="809"/>
    <cellStyle name="20% - Dekorfärg2 11" xfId="186"/>
    <cellStyle name="20% - Dekorfärg2 11 2" xfId="403"/>
    <cellStyle name="20% - Dekorfärg2 11 3" xfId="613"/>
    <cellStyle name="20% - Dekorfärg2 11 4" xfId="823"/>
    <cellStyle name="20% - Dekorfärg2 12" xfId="200"/>
    <cellStyle name="20% - Dekorfärg2 12 2" xfId="417"/>
    <cellStyle name="20% - Dekorfärg2 12 3" xfId="627"/>
    <cellStyle name="20% - Dekorfärg2 12 4" xfId="837"/>
    <cellStyle name="20% - Dekorfärg2 13" xfId="214"/>
    <cellStyle name="20% - Dekorfärg2 13 2" xfId="431"/>
    <cellStyle name="20% - Dekorfärg2 13 3" xfId="641"/>
    <cellStyle name="20% - Dekorfärg2 13 4" xfId="851"/>
    <cellStyle name="20% - Dekorfärg2 14" xfId="228"/>
    <cellStyle name="20% - Dekorfärg2 14 2" xfId="445"/>
    <cellStyle name="20% - Dekorfärg2 14 3" xfId="655"/>
    <cellStyle name="20% - Dekorfärg2 14 4" xfId="865"/>
    <cellStyle name="20% - Dekorfärg2 15" xfId="242"/>
    <cellStyle name="20% - Dekorfärg2 15 2" xfId="459"/>
    <cellStyle name="20% - Dekorfärg2 15 3" xfId="669"/>
    <cellStyle name="20% - Dekorfärg2 15 4" xfId="879"/>
    <cellStyle name="20% - Dekorfärg2 16" xfId="261"/>
    <cellStyle name="20% - Dekorfärg2 17" xfId="471"/>
    <cellStyle name="20% - Dekorfärg2 18" xfId="681"/>
    <cellStyle name="20% - Dekorfärg2 2" xfId="60"/>
    <cellStyle name="20% - Dekorfärg2 2 2" xfId="277"/>
    <cellStyle name="20% - Dekorfärg2 2 3" xfId="487"/>
    <cellStyle name="20% - Dekorfärg2 2 4" xfId="697"/>
    <cellStyle name="20% - Dekorfärg2 3" xfId="74"/>
    <cellStyle name="20% - Dekorfärg2 3 2" xfId="291"/>
    <cellStyle name="20% - Dekorfärg2 3 3" xfId="501"/>
    <cellStyle name="20% - Dekorfärg2 3 4" xfId="711"/>
    <cellStyle name="20% - Dekorfärg2 4" xfId="88"/>
    <cellStyle name="20% - Dekorfärg2 4 2" xfId="305"/>
    <cellStyle name="20% - Dekorfärg2 4 3" xfId="515"/>
    <cellStyle name="20% - Dekorfärg2 4 4" xfId="725"/>
    <cellStyle name="20% - Dekorfärg2 5" xfId="102"/>
    <cellStyle name="20% - Dekorfärg2 5 2" xfId="319"/>
    <cellStyle name="20% - Dekorfärg2 5 3" xfId="529"/>
    <cellStyle name="20% - Dekorfärg2 5 4" xfId="739"/>
    <cellStyle name="20% - Dekorfärg2 6" xfId="116"/>
    <cellStyle name="20% - Dekorfärg2 6 2" xfId="333"/>
    <cellStyle name="20% - Dekorfärg2 6 3" xfId="543"/>
    <cellStyle name="20% - Dekorfärg2 6 4" xfId="753"/>
    <cellStyle name="20% - Dekorfärg2 7" xfId="130"/>
    <cellStyle name="20% - Dekorfärg2 7 2" xfId="347"/>
    <cellStyle name="20% - Dekorfärg2 7 3" xfId="557"/>
    <cellStyle name="20% - Dekorfärg2 7 4" xfId="767"/>
    <cellStyle name="20% - Dekorfärg2 8" xfId="144"/>
    <cellStyle name="20% - Dekorfärg2 8 2" xfId="361"/>
    <cellStyle name="20% - Dekorfärg2 8 3" xfId="571"/>
    <cellStyle name="20% - Dekorfärg2 8 4" xfId="781"/>
    <cellStyle name="20% - Dekorfärg2 9" xfId="158"/>
    <cellStyle name="20% - Dekorfärg2 9 2" xfId="375"/>
    <cellStyle name="20% - Dekorfärg2 9 3" xfId="585"/>
    <cellStyle name="20% - Dekorfärg2 9 4" xfId="795"/>
    <cellStyle name="20% - Dekorfärg3 10" xfId="174"/>
    <cellStyle name="20% - Dekorfärg3 10 2" xfId="391"/>
    <cellStyle name="20% - Dekorfärg3 10 3" xfId="601"/>
    <cellStyle name="20% - Dekorfärg3 10 4" xfId="811"/>
    <cellStyle name="20% - Dekorfärg3 11" xfId="188"/>
    <cellStyle name="20% - Dekorfärg3 11 2" xfId="405"/>
    <cellStyle name="20% - Dekorfärg3 11 3" xfId="615"/>
    <cellStyle name="20% - Dekorfärg3 11 4" xfId="825"/>
    <cellStyle name="20% - Dekorfärg3 12" xfId="202"/>
    <cellStyle name="20% - Dekorfärg3 12 2" xfId="419"/>
    <cellStyle name="20% - Dekorfärg3 12 3" xfId="629"/>
    <cellStyle name="20% - Dekorfärg3 12 4" xfId="839"/>
    <cellStyle name="20% - Dekorfärg3 13" xfId="216"/>
    <cellStyle name="20% - Dekorfärg3 13 2" xfId="433"/>
    <cellStyle name="20% - Dekorfärg3 13 3" xfId="643"/>
    <cellStyle name="20% - Dekorfärg3 13 4" xfId="853"/>
    <cellStyle name="20% - Dekorfärg3 14" xfId="230"/>
    <cellStyle name="20% - Dekorfärg3 14 2" xfId="447"/>
    <cellStyle name="20% - Dekorfärg3 14 3" xfId="657"/>
    <cellStyle name="20% - Dekorfärg3 14 4" xfId="867"/>
    <cellStyle name="20% - Dekorfärg3 15" xfId="244"/>
    <cellStyle name="20% - Dekorfärg3 15 2" xfId="461"/>
    <cellStyle name="20% - Dekorfärg3 15 3" xfId="671"/>
    <cellStyle name="20% - Dekorfärg3 15 4" xfId="881"/>
    <cellStyle name="20% - Dekorfärg3 16" xfId="263"/>
    <cellStyle name="20% - Dekorfärg3 17" xfId="473"/>
    <cellStyle name="20% - Dekorfärg3 18" xfId="683"/>
    <cellStyle name="20% - Dekorfärg3 2" xfId="62"/>
    <cellStyle name="20% - Dekorfärg3 2 2" xfId="279"/>
    <cellStyle name="20% - Dekorfärg3 2 3" xfId="489"/>
    <cellStyle name="20% - Dekorfärg3 2 4" xfId="699"/>
    <cellStyle name="20% - Dekorfärg3 3" xfId="76"/>
    <cellStyle name="20% - Dekorfärg3 3 2" xfId="293"/>
    <cellStyle name="20% - Dekorfärg3 3 3" xfId="503"/>
    <cellStyle name="20% - Dekorfärg3 3 4" xfId="713"/>
    <cellStyle name="20% - Dekorfärg3 4" xfId="90"/>
    <cellStyle name="20% - Dekorfärg3 4 2" xfId="307"/>
    <cellStyle name="20% - Dekorfärg3 4 3" xfId="517"/>
    <cellStyle name="20% - Dekorfärg3 4 4" xfId="727"/>
    <cellStyle name="20% - Dekorfärg3 5" xfId="104"/>
    <cellStyle name="20% - Dekorfärg3 5 2" xfId="321"/>
    <cellStyle name="20% - Dekorfärg3 5 3" xfId="531"/>
    <cellStyle name="20% - Dekorfärg3 5 4" xfId="741"/>
    <cellStyle name="20% - Dekorfärg3 6" xfId="118"/>
    <cellStyle name="20% - Dekorfärg3 6 2" xfId="335"/>
    <cellStyle name="20% - Dekorfärg3 6 3" xfId="545"/>
    <cellStyle name="20% - Dekorfärg3 6 4" xfId="755"/>
    <cellStyle name="20% - Dekorfärg3 7" xfId="132"/>
    <cellStyle name="20% - Dekorfärg3 7 2" xfId="349"/>
    <cellStyle name="20% - Dekorfärg3 7 3" xfId="559"/>
    <cellStyle name="20% - Dekorfärg3 7 4" xfId="769"/>
    <cellStyle name="20% - Dekorfärg3 8" xfId="146"/>
    <cellStyle name="20% - Dekorfärg3 8 2" xfId="363"/>
    <cellStyle name="20% - Dekorfärg3 8 3" xfId="573"/>
    <cellStyle name="20% - Dekorfärg3 8 4" xfId="783"/>
    <cellStyle name="20% - Dekorfärg3 9" xfId="160"/>
    <cellStyle name="20% - Dekorfärg3 9 2" xfId="377"/>
    <cellStyle name="20% - Dekorfärg3 9 3" xfId="587"/>
    <cellStyle name="20% - Dekorfärg3 9 4" xfId="797"/>
    <cellStyle name="20% - Dekorfärg4 10" xfId="176"/>
    <cellStyle name="20% - Dekorfärg4 10 2" xfId="393"/>
    <cellStyle name="20% - Dekorfärg4 10 3" xfId="603"/>
    <cellStyle name="20% - Dekorfärg4 10 4" xfId="813"/>
    <cellStyle name="20% - Dekorfärg4 11" xfId="190"/>
    <cellStyle name="20% - Dekorfärg4 11 2" xfId="407"/>
    <cellStyle name="20% - Dekorfärg4 11 3" xfId="617"/>
    <cellStyle name="20% - Dekorfärg4 11 4" xfId="827"/>
    <cellStyle name="20% - Dekorfärg4 12" xfId="204"/>
    <cellStyle name="20% - Dekorfärg4 12 2" xfId="421"/>
    <cellStyle name="20% - Dekorfärg4 12 3" xfId="631"/>
    <cellStyle name="20% - Dekorfärg4 12 4" xfId="841"/>
    <cellStyle name="20% - Dekorfärg4 13" xfId="218"/>
    <cellStyle name="20% - Dekorfärg4 13 2" xfId="435"/>
    <cellStyle name="20% - Dekorfärg4 13 3" xfId="645"/>
    <cellStyle name="20% - Dekorfärg4 13 4" xfId="855"/>
    <cellStyle name="20% - Dekorfärg4 14" xfId="232"/>
    <cellStyle name="20% - Dekorfärg4 14 2" xfId="449"/>
    <cellStyle name="20% - Dekorfärg4 14 3" xfId="659"/>
    <cellStyle name="20% - Dekorfärg4 14 4" xfId="869"/>
    <cellStyle name="20% - Dekorfärg4 15" xfId="246"/>
    <cellStyle name="20% - Dekorfärg4 15 2" xfId="463"/>
    <cellStyle name="20% - Dekorfärg4 15 3" xfId="673"/>
    <cellStyle name="20% - Dekorfärg4 15 4" xfId="883"/>
    <cellStyle name="20% - Dekorfärg4 16" xfId="265"/>
    <cellStyle name="20% - Dekorfärg4 17" xfId="475"/>
    <cellStyle name="20% - Dekorfärg4 18" xfId="685"/>
    <cellStyle name="20% - Dekorfärg4 2" xfId="64"/>
    <cellStyle name="20% - Dekorfärg4 2 2" xfId="281"/>
    <cellStyle name="20% - Dekorfärg4 2 3" xfId="491"/>
    <cellStyle name="20% - Dekorfärg4 2 4" xfId="701"/>
    <cellStyle name="20% - Dekorfärg4 3" xfId="78"/>
    <cellStyle name="20% - Dekorfärg4 3 2" xfId="295"/>
    <cellStyle name="20% - Dekorfärg4 3 3" xfId="505"/>
    <cellStyle name="20% - Dekorfärg4 3 4" xfId="715"/>
    <cellStyle name="20% - Dekorfärg4 4" xfId="92"/>
    <cellStyle name="20% - Dekorfärg4 4 2" xfId="309"/>
    <cellStyle name="20% - Dekorfärg4 4 3" xfId="519"/>
    <cellStyle name="20% - Dekorfärg4 4 4" xfId="729"/>
    <cellStyle name="20% - Dekorfärg4 5" xfId="106"/>
    <cellStyle name="20% - Dekorfärg4 5 2" xfId="323"/>
    <cellStyle name="20% - Dekorfärg4 5 3" xfId="533"/>
    <cellStyle name="20% - Dekorfärg4 5 4" xfId="743"/>
    <cellStyle name="20% - Dekorfärg4 6" xfId="120"/>
    <cellStyle name="20% - Dekorfärg4 6 2" xfId="337"/>
    <cellStyle name="20% - Dekorfärg4 6 3" xfId="547"/>
    <cellStyle name="20% - Dekorfärg4 6 4" xfId="757"/>
    <cellStyle name="20% - Dekorfärg4 7" xfId="134"/>
    <cellStyle name="20% - Dekorfärg4 7 2" xfId="351"/>
    <cellStyle name="20% - Dekorfärg4 7 3" xfId="561"/>
    <cellStyle name="20% - Dekorfärg4 7 4" xfId="771"/>
    <cellStyle name="20% - Dekorfärg4 8" xfId="148"/>
    <cellStyle name="20% - Dekorfärg4 8 2" xfId="365"/>
    <cellStyle name="20% - Dekorfärg4 8 3" xfId="575"/>
    <cellStyle name="20% - Dekorfärg4 8 4" xfId="785"/>
    <cellStyle name="20% - Dekorfärg4 9" xfId="162"/>
    <cellStyle name="20% - Dekorfärg4 9 2" xfId="379"/>
    <cellStyle name="20% - Dekorfärg4 9 3" xfId="589"/>
    <cellStyle name="20% - Dekorfärg4 9 4" xfId="799"/>
    <cellStyle name="20% - Dekorfärg5 10" xfId="178"/>
    <cellStyle name="20% - Dekorfärg5 10 2" xfId="395"/>
    <cellStyle name="20% - Dekorfärg5 10 3" xfId="605"/>
    <cellStyle name="20% - Dekorfärg5 10 4" xfId="815"/>
    <cellStyle name="20% - Dekorfärg5 11" xfId="192"/>
    <cellStyle name="20% - Dekorfärg5 11 2" xfId="409"/>
    <cellStyle name="20% - Dekorfärg5 11 3" xfId="619"/>
    <cellStyle name="20% - Dekorfärg5 11 4" xfId="829"/>
    <cellStyle name="20% - Dekorfärg5 12" xfId="206"/>
    <cellStyle name="20% - Dekorfärg5 12 2" xfId="423"/>
    <cellStyle name="20% - Dekorfärg5 12 3" xfId="633"/>
    <cellStyle name="20% - Dekorfärg5 12 4" xfId="843"/>
    <cellStyle name="20% - Dekorfärg5 13" xfId="220"/>
    <cellStyle name="20% - Dekorfärg5 13 2" xfId="437"/>
    <cellStyle name="20% - Dekorfärg5 13 3" xfId="647"/>
    <cellStyle name="20% - Dekorfärg5 13 4" xfId="857"/>
    <cellStyle name="20% - Dekorfärg5 14" xfId="234"/>
    <cellStyle name="20% - Dekorfärg5 14 2" xfId="451"/>
    <cellStyle name="20% - Dekorfärg5 14 3" xfId="661"/>
    <cellStyle name="20% - Dekorfärg5 14 4" xfId="871"/>
    <cellStyle name="20% - Dekorfärg5 15" xfId="248"/>
    <cellStyle name="20% - Dekorfärg5 15 2" xfId="465"/>
    <cellStyle name="20% - Dekorfärg5 15 3" xfId="675"/>
    <cellStyle name="20% - Dekorfärg5 15 4" xfId="885"/>
    <cellStyle name="20% - Dekorfärg5 16" xfId="267"/>
    <cellStyle name="20% - Dekorfärg5 17" xfId="477"/>
    <cellStyle name="20% - Dekorfärg5 18" xfId="687"/>
    <cellStyle name="20% - Dekorfärg5 2" xfId="66"/>
    <cellStyle name="20% - Dekorfärg5 2 2" xfId="283"/>
    <cellStyle name="20% - Dekorfärg5 2 3" xfId="493"/>
    <cellStyle name="20% - Dekorfärg5 2 4" xfId="703"/>
    <cellStyle name="20% - Dekorfärg5 3" xfId="80"/>
    <cellStyle name="20% - Dekorfärg5 3 2" xfId="297"/>
    <cellStyle name="20% - Dekorfärg5 3 3" xfId="507"/>
    <cellStyle name="20% - Dekorfärg5 3 4" xfId="717"/>
    <cellStyle name="20% - Dekorfärg5 4" xfId="94"/>
    <cellStyle name="20% - Dekorfärg5 4 2" xfId="311"/>
    <cellStyle name="20% - Dekorfärg5 4 3" xfId="521"/>
    <cellStyle name="20% - Dekorfärg5 4 4" xfId="731"/>
    <cellStyle name="20% - Dekorfärg5 5" xfId="108"/>
    <cellStyle name="20% - Dekorfärg5 5 2" xfId="325"/>
    <cellStyle name="20% - Dekorfärg5 5 3" xfId="535"/>
    <cellStyle name="20% - Dekorfärg5 5 4" xfId="745"/>
    <cellStyle name="20% - Dekorfärg5 6" xfId="122"/>
    <cellStyle name="20% - Dekorfärg5 6 2" xfId="339"/>
    <cellStyle name="20% - Dekorfärg5 6 3" xfId="549"/>
    <cellStyle name="20% - Dekorfärg5 6 4" xfId="759"/>
    <cellStyle name="20% - Dekorfärg5 7" xfId="136"/>
    <cellStyle name="20% - Dekorfärg5 7 2" xfId="353"/>
    <cellStyle name="20% - Dekorfärg5 7 3" xfId="563"/>
    <cellStyle name="20% - Dekorfärg5 7 4" xfId="773"/>
    <cellStyle name="20% - Dekorfärg5 8" xfId="150"/>
    <cellStyle name="20% - Dekorfärg5 8 2" xfId="367"/>
    <cellStyle name="20% - Dekorfärg5 8 3" xfId="577"/>
    <cellStyle name="20% - Dekorfärg5 8 4" xfId="787"/>
    <cellStyle name="20% - Dekorfärg5 9" xfId="164"/>
    <cellStyle name="20% - Dekorfärg5 9 2" xfId="381"/>
    <cellStyle name="20% - Dekorfärg5 9 3" xfId="591"/>
    <cellStyle name="20% - Dekorfärg5 9 4" xfId="801"/>
    <cellStyle name="20% - Dekorfärg6 10" xfId="180"/>
    <cellStyle name="20% - Dekorfärg6 10 2" xfId="397"/>
    <cellStyle name="20% - Dekorfärg6 10 3" xfId="607"/>
    <cellStyle name="20% - Dekorfärg6 10 4" xfId="817"/>
    <cellStyle name="20% - Dekorfärg6 11" xfId="194"/>
    <cellStyle name="20% - Dekorfärg6 11 2" xfId="411"/>
    <cellStyle name="20% - Dekorfärg6 11 3" xfId="621"/>
    <cellStyle name="20% - Dekorfärg6 11 4" xfId="831"/>
    <cellStyle name="20% - Dekorfärg6 12" xfId="208"/>
    <cellStyle name="20% - Dekorfärg6 12 2" xfId="425"/>
    <cellStyle name="20% - Dekorfärg6 12 3" xfId="635"/>
    <cellStyle name="20% - Dekorfärg6 12 4" xfId="845"/>
    <cellStyle name="20% - Dekorfärg6 13" xfId="222"/>
    <cellStyle name="20% - Dekorfärg6 13 2" xfId="439"/>
    <cellStyle name="20% - Dekorfärg6 13 3" xfId="649"/>
    <cellStyle name="20% - Dekorfärg6 13 4" xfId="859"/>
    <cellStyle name="20% - Dekorfärg6 14" xfId="236"/>
    <cellStyle name="20% - Dekorfärg6 14 2" xfId="453"/>
    <cellStyle name="20% - Dekorfärg6 14 3" xfId="663"/>
    <cellStyle name="20% - Dekorfärg6 14 4" xfId="873"/>
    <cellStyle name="20% - Dekorfärg6 15" xfId="250"/>
    <cellStyle name="20% - Dekorfärg6 15 2" xfId="467"/>
    <cellStyle name="20% - Dekorfärg6 15 3" xfId="677"/>
    <cellStyle name="20% - Dekorfärg6 15 4" xfId="887"/>
    <cellStyle name="20% - Dekorfärg6 16" xfId="269"/>
    <cellStyle name="20% - Dekorfärg6 17" xfId="479"/>
    <cellStyle name="20% - Dekorfärg6 18" xfId="689"/>
    <cellStyle name="20% - Dekorfärg6 2" xfId="68"/>
    <cellStyle name="20% - Dekorfärg6 2 2" xfId="285"/>
    <cellStyle name="20% - Dekorfärg6 2 3" xfId="495"/>
    <cellStyle name="20% - Dekorfärg6 2 4" xfId="705"/>
    <cellStyle name="20% - Dekorfärg6 3" xfId="82"/>
    <cellStyle name="20% - Dekorfärg6 3 2" xfId="299"/>
    <cellStyle name="20% - Dekorfärg6 3 3" xfId="509"/>
    <cellStyle name="20% - Dekorfärg6 3 4" xfId="719"/>
    <cellStyle name="20% - Dekorfärg6 4" xfId="96"/>
    <cellStyle name="20% - Dekorfärg6 4 2" xfId="313"/>
    <cellStyle name="20% - Dekorfärg6 4 3" xfId="523"/>
    <cellStyle name="20% - Dekorfärg6 4 4" xfId="733"/>
    <cellStyle name="20% - Dekorfärg6 5" xfId="110"/>
    <cellStyle name="20% - Dekorfärg6 5 2" xfId="327"/>
    <cellStyle name="20% - Dekorfärg6 5 3" xfId="537"/>
    <cellStyle name="20% - Dekorfärg6 5 4" xfId="747"/>
    <cellStyle name="20% - Dekorfärg6 6" xfId="124"/>
    <cellStyle name="20% - Dekorfärg6 6 2" xfId="341"/>
    <cellStyle name="20% - Dekorfärg6 6 3" xfId="551"/>
    <cellStyle name="20% - Dekorfärg6 6 4" xfId="761"/>
    <cellStyle name="20% - Dekorfärg6 7" xfId="138"/>
    <cellStyle name="20% - Dekorfärg6 7 2" xfId="355"/>
    <cellStyle name="20% - Dekorfärg6 7 3" xfId="565"/>
    <cellStyle name="20% - Dekorfärg6 7 4" xfId="775"/>
    <cellStyle name="20% - Dekorfärg6 8" xfId="152"/>
    <cellStyle name="20% - Dekorfärg6 8 2" xfId="369"/>
    <cellStyle name="20% - Dekorfärg6 8 3" xfId="579"/>
    <cellStyle name="20% - Dekorfärg6 8 4" xfId="789"/>
    <cellStyle name="20% - Dekorfärg6 9" xfId="166"/>
    <cellStyle name="20% - Dekorfärg6 9 2" xfId="383"/>
    <cellStyle name="20% - Dekorfärg6 9 3" xfId="593"/>
    <cellStyle name="20% - Dekorfärg6 9 4" xfId="803"/>
    <cellStyle name="40 % - Dekorfärg1" xfId="32" builtinId="31" customBuiltin="1"/>
    <cellStyle name="40 % - Dekorfärg2" xfId="36" builtinId="35" customBuiltin="1"/>
    <cellStyle name="40 % - Dekorfärg3" xfId="40" builtinId="39" customBuiltin="1"/>
    <cellStyle name="40 % - Dekorfärg4" xfId="44" builtinId="43" customBuiltin="1"/>
    <cellStyle name="40 % - Dekorfärg5" xfId="48" builtinId="47" customBuiltin="1"/>
    <cellStyle name="40 % - Dekorfärg6" xfId="52" builtinId="51" customBuiltin="1"/>
    <cellStyle name="40% - Dekorfärg1 10" xfId="171"/>
    <cellStyle name="40% - Dekorfärg1 10 2" xfId="388"/>
    <cellStyle name="40% - Dekorfärg1 10 3" xfId="598"/>
    <cellStyle name="40% - Dekorfärg1 10 4" xfId="808"/>
    <cellStyle name="40% - Dekorfärg1 11" xfId="185"/>
    <cellStyle name="40% - Dekorfärg1 11 2" xfId="402"/>
    <cellStyle name="40% - Dekorfärg1 11 3" xfId="612"/>
    <cellStyle name="40% - Dekorfärg1 11 4" xfId="822"/>
    <cellStyle name="40% - Dekorfärg1 12" xfId="199"/>
    <cellStyle name="40% - Dekorfärg1 12 2" xfId="416"/>
    <cellStyle name="40% - Dekorfärg1 12 3" xfId="626"/>
    <cellStyle name="40% - Dekorfärg1 12 4" xfId="836"/>
    <cellStyle name="40% - Dekorfärg1 13" xfId="213"/>
    <cellStyle name="40% - Dekorfärg1 13 2" xfId="430"/>
    <cellStyle name="40% - Dekorfärg1 13 3" xfId="640"/>
    <cellStyle name="40% - Dekorfärg1 13 4" xfId="850"/>
    <cellStyle name="40% - Dekorfärg1 14" xfId="227"/>
    <cellStyle name="40% - Dekorfärg1 14 2" xfId="444"/>
    <cellStyle name="40% - Dekorfärg1 14 3" xfId="654"/>
    <cellStyle name="40% - Dekorfärg1 14 4" xfId="864"/>
    <cellStyle name="40% - Dekorfärg1 15" xfId="241"/>
    <cellStyle name="40% - Dekorfärg1 15 2" xfId="458"/>
    <cellStyle name="40% - Dekorfärg1 15 3" xfId="668"/>
    <cellStyle name="40% - Dekorfärg1 15 4" xfId="878"/>
    <cellStyle name="40% - Dekorfärg1 16" xfId="260"/>
    <cellStyle name="40% - Dekorfärg1 17" xfId="470"/>
    <cellStyle name="40% - Dekorfärg1 18" xfId="680"/>
    <cellStyle name="40% - Dekorfärg1 2" xfId="59"/>
    <cellStyle name="40% - Dekorfärg1 2 2" xfId="276"/>
    <cellStyle name="40% - Dekorfärg1 2 3" xfId="486"/>
    <cellStyle name="40% - Dekorfärg1 2 4" xfId="696"/>
    <cellStyle name="40% - Dekorfärg1 3" xfId="73"/>
    <cellStyle name="40% - Dekorfärg1 3 2" xfId="290"/>
    <cellStyle name="40% - Dekorfärg1 3 3" xfId="500"/>
    <cellStyle name="40% - Dekorfärg1 3 4" xfId="710"/>
    <cellStyle name="40% - Dekorfärg1 4" xfId="87"/>
    <cellStyle name="40% - Dekorfärg1 4 2" xfId="304"/>
    <cellStyle name="40% - Dekorfärg1 4 3" xfId="514"/>
    <cellStyle name="40% - Dekorfärg1 4 4" xfId="724"/>
    <cellStyle name="40% - Dekorfärg1 5" xfId="101"/>
    <cellStyle name="40% - Dekorfärg1 5 2" xfId="318"/>
    <cellStyle name="40% - Dekorfärg1 5 3" xfId="528"/>
    <cellStyle name="40% - Dekorfärg1 5 4" xfId="738"/>
    <cellStyle name="40% - Dekorfärg1 6" xfId="115"/>
    <cellStyle name="40% - Dekorfärg1 6 2" xfId="332"/>
    <cellStyle name="40% - Dekorfärg1 6 3" xfId="542"/>
    <cellStyle name="40% - Dekorfärg1 6 4" xfId="752"/>
    <cellStyle name="40% - Dekorfärg1 7" xfId="129"/>
    <cellStyle name="40% - Dekorfärg1 7 2" xfId="346"/>
    <cellStyle name="40% - Dekorfärg1 7 3" xfId="556"/>
    <cellStyle name="40% - Dekorfärg1 7 4" xfId="766"/>
    <cellStyle name="40% - Dekorfärg1 8" xfId="143"/>
    <cellStyle name="40% - Dekorfärg1 8 2" xfId="360"/>
    <cellStyle name="40% - Dekorfärg1 8 3" xfId="570"/>
    <cellStyle name="40% - Dekorfärg1 8 4" xfId="780"/>
    <cellStyle name="40% - Dekorfärg1 9" xfId="157"/>
    <cellStyle name="40% - Dekorfärg1 9 2" xfId="374"/>
    <cellStyle name="40% - Dekorfärg1 9 3" xfId="584"/>
    <cellStyle name="40% - Dekorfärg1 9 4" xfId="794"/>
    <cellStyle name="40% - Dekorfärg2 10" xfId="173"/>
    <cellStyle name="40% - Dekorfärg2 10 2" xfId="390"/>
    <cellStyle name="40% - Dekorfärg2 10 3" xfId="600"/>
    <cellStyle name="40% - Dekorfärg2 10 4" xfId="810"/>
    <cellStyle name="40% - Dekorfärg2 11" xfId="187"/>
    <cellStyle name="40% - Dekorfärg2 11 2" xfId="404"/>
    <cellStyle name="40% - Dekorfärg2 11 3" xfId="614"/>
    <cellStyle name="40% - Dekorfärg2 11 4" xfId="824"/>
    <cellStyle name="40% - Dekorfärg2 12" xfId="201"/>
    <cellStyle name="40% - Dekorfärg2 12 2" xfId="418"/>
    <cellStyle name="40% - Dekorfärg2 12 3" xfId="628"/>
    <cellStyle name="40% - Dekorfärg2 12 4" xfId="838"/>
    <cellStyle name="40% - Dekorfärg2 13" xfId="215"/>
    <cellStyle name="40% - Dekorfärg2 13 2" xfId="432"/>
    <cellStyle name="40% - Dekorfärg2 13 3" xfId="642"/>
    <cellStyle name="40% - Dekorfärg2 13 4" xfId="852"/>
    <cellStyle name="40% - Dekorfärg2 14" xfId="229"/>
    <cellStyle name="40% - Dekorfärg2 14 2" xfId="446"/>
    <cellStyle name="40% - Dekorfärg2 14 3" xfId="656"/>
    <cellStyle name="40% - Dekorfärg2 14 4" xfId="866"/>
    <cellStyle name="40% - Dekorfärg2 15" xfId="243"/>
    <cellStyle name="40% - Dekorfärg2 15 2" xfId="460"/>
    <cellStyle name="40% - Dekorfärg2 15 3" xfId="670"/>
    <cellStyle name="40% - Dekorfärg2 15 4" xfId="880"/>
    <cellStyle name="40% - Dekorfärg2 16" xfId="262"/>
    <cellStyle name="40% - Dekorfärg2 17" xfId="472"/>
    <cellStyle name="40% - Dekorfärg2 18" xfId="682"/>
    <cellStyle name="40% - Dekorfärg2 2" xfId="61"/>
    <cellStyle name="40% - Dekorfärg2 2 2" xfId="278"/>
    <cellStyle name="40% - Dekorfärg2 2 3" xfId="488"/>
    <cellStyle name="40% - Dekorfärg2 2 4" xfId="698"/>
    <cellStyle name="40% - Dekorfärg2 3" xfId="75"/>
    <cellStyle name="40% - Dekorfärg2 3 2" xfId="292"/>
    <cellStyle name="40% - Dekorfärg2 3 3" xfId="502"/>
    <cellStyle name="40% - Dekorfärg2 3 4" xfId="712"/>
    <cellStyle name="40% - Dekorfärg2 4" xfId="89"/>
    <cellStyle name="40% - Dekorfärg2 4 2" xfId="306"/>
    <cellStyle name="40% - Dekorfärg2 4 3" xfId="516"/>
    <cellStyle name="40% - Dekorfärg2 4 4" xfId="726"/>
    <cellStyle name="40% - Dekorfärg2 5" xfId="103"/>
    <cellStyle name="40% - Dekorfärg2 5 2" xfId="320"/>
    <cellStyle name="40% - Dekorfärg2 5 3" xfId="530"/>
    <cellStyle name="40% - Dekorfärg2 5 4" xfId="740"/>
    <cellStyle name="40% - Dekorfärg2 6" xfId="117"/>
    <cellStyle name="40% - Dekorfärg2 6 2" xfId="334"/>
    <cellStyle name="40% - Dekorfärg2 6 3" xfId="544"/>
    <cellStyle name="40% - Dekorfärg2 6 4" xfId="754"/>
    <cellStyle name="40% - Dekorfärg2 7" xfId="131"/>
    <cellStyle name="40% - Dekorfärg2 7 2" xfId="348"/>
    <cellStyle name="40% - Dekorfärg2 7 3" xfId="558"/>
    <cellStyle name="40% - Dekorfärg2 7 4" xfId="768"/>
    <cellStyle name="40% - Dekorfärg2 8" xfId="145"/>
    <cellStyle name="40% - Dekorfärg2 8 2" xfId="362"/>
    <cellStyle name="40% - Dekorfärg2 8 3" xfId="572"/>
    <cellStyle name="40% - Dekorfärg2 8 4" xfId="782"/>
    <cellStyle name="40% - Dekorfärg2 9" xfId="159"/>
    <cellStyle name="40% - Dekorfärg2 9 2" xfId="376"/>
    <cellStyle name="40% - Dekorfärg2 9 3" xfId="586"/>
    <cellStyle name="40% - Dekorfärg2 9 4" xfId="796"/>
    <cellStyle name="40% - Dekorfärg3 10" xfId="175"/>
    <cellStyle name="40% - Dekorfärg3 10 2" xfId="392"/>
    <cellStyle name="40% - Dekorfärg3 10 3" xfId="602"/>
    <cellStyle name="40% - Dekorfärg3 10 4" xfId="812"/>
    <cellStyle name="40% - Dekorfärg3 11" xfId="189"/>
    <cellStyle name="40% - Dekorfärg3 11 2" xfId="406"/>
    <cellStyle name="40% - Dekorfärg3 11 3" xfId="616"/>
    <cellStyle name="40% - Dekorfärg3 11 4" xfId="826"/>
    <cellStyle name="40% - Dekorfärg3 12" xfId="203"/>
    <cellStyle name="40% - Dekorfärg3 12 2" xfId="420"/>
    <cellStyle name="40% - Dekorfärg3 12 3" xfId="630"/>
    <cellStyle name="40% - Dekorfärg3 12 4" xfId="840"/>
    <cellStyle name="40% - Dekorfärg3 13" xfId="217"/>
    <cellStyle name="40% - Dekorfärg3 13 2" xfId="434"/>
    <cellStyle name="40% - Dekorfärg3 13 3" xfId="644"/>
    <cellStyle name="40% - Dekorfärg3 13 4" xfId="854"/>
    <cellStyle name="40% - Dekorfärg3 14" xfId="231"/>
    <cellStyle name="40% - Dekorfärg3 14 2" xfId="448"/>
    <cellStyle name="40% - Dekorfärg3 14 3" xfId="658"/>
    <cellStyle name="40% - Dekorfärg3 14 4" xfId="868"/>
    <cellStyle name="40% - Dekorfärg3 15" xfId="245"/>
    <cellStyle name="40% - Dekorfärg3 15 2" xfId="462"/>
    <cellStyle name="40% - Dekorfärg3 15 3" xfId="672"/>
    <cellStyle name="40% - Dekorfärg3 15 4" xfId="882"/>
    <cellStyle name="40% - Dekorfärg3 16" xfId="264"/>
    <cellStyle name="40% - Dekorfärg3 17" xfId="474"/>
    <cellStyle name="40% - Dekorfärg3 18" xfId="684"/>
    <cellStyle name="40% - Dekorfärg3 2" xfId="63"/>
    <cellStyle name="40% - Dekorfärg3 2 2" xfId="280"/>
    <cellStyle name="40% - Dekorfärg3 2 3" xfId="490"/>
    <cellStyle name="40% - Dekorfärg3 2 4" xfId="700"/>
    <cellStyle name="40% - Dekorfärg3 3" xfId="77"/>
    <cellStyle name="40% - Dekorfärg3 3 2" xfId="294"/>
    <cellStyle name="40% - Dekorfärg3 3 3" xfId="504"/>
    <cellStyle name="40% - Dekorfärg3 3 4" xfId="714"/>
    <cellStyle name="40% - Dekorfärg3 4" xfId="91"/>
    <cellStyle name="40% - Dekorfärg3 4 2" xfId="308"/>
    <cellStyle name="40% - Dekorfärg3 4 3" xfId="518"/>
    <cellStyle name="40% - Dekorfärg3 4 4" xfId="728"/>
    <cellStyle name="40% - Dekorfärg3 5" xfId="105"/>
    <cellStyle name="40% - Dekorfärg3 5 2" xfId="322"/>
    <cellStyle name="40% - Dekorfärg3 5 3" xfId="532"/>
    <cellStyle name="40% - Dekorfärg3 5 4" xfId="742"/>
    <cellStyle name="40% - Dekorfärg3 6" xfId="119"/>
    <cellStyle name="40% - Dekorfärg3 6 2" xfId="336"/>
    <cellStyle name="40% - Dekorfärg3 6 3" xfId="546"/>
    <cellStyle name="40% - Dekorfärg3 6 4" xfId="756"/>
    <cellStyle name="40% - Dekorfärg3 7" xfId="133"/>
    <cellStyle name="40% - Dekorfärg3 7 2" xfId="350"/>
    <cellStyle name="40% - Dekorfärg3 7 3" xfId="560"/>
    <cellStyle name="40% - Dekorfärg3 7 4" xfId="770"/>
    <cellStyle name="40% - Dekorfärg3 8" xfId="147"/>
    <cellStyle name="40% - Dekorfärg3 8 2" xfId="364"/>
    <cellStyle name="40% - Dekorfärg3 8 3" xfId="574"/>
    <cellStyle name="40% - Dekorfärg3 8 4" xfId="784"/>
    <cellStyle name="40% - Dekorfärg3 9" xfId="161"/>
    <cellStyle name="40% - Dekorfärg3 9 2" xfId="378"/>
    <cellStyle name="40% - Dekorfärg3 9 3" xfId="588"/>
    <cellStyle name="40% - Dekorfärg3 9 4" xfId="798"/>
    <cellStyle name="40% - Dekorfärg4 10" xfId="177"/>
    <cellStyle name="40% - Dekorfärg4 10 2" xfId="394"/>
    <cellStyle name="40% - Dekorfärg4 10 3" xfId="604"/>
    <cellStyle name="40% - Dekorfärg4 10 4" xfId="814"/>
    <cellStyle name="40% - Dekorfärg4 11" xfId="191"/>
    <cellStyle name="40% - Dekorfärg4 11 2" xfId="408"/>
    <cellStyle name="40% - Dekorfärg4 11 3" xfId="618"/>
    <cellStyle name="40% - Dekorfärg4 11 4" xfId="828"/>
    <cellStyle name="40% - Dekorfärg4 12" xfId="205"/>
    <cellStyle name="40% - Dekorfärg4 12 2" xfId="422"/>
    <cellStyle name="40% - Dekorfärg4 12 3" xfId="632"/>
    <cellStyle name="40% - Dekorfärg4 12 4" xfId="842"/>
    <cellStyle name="40% - Dekorfärg4 13" xfId="219"/>
    <cellStyle name="40% - Dekorfärg4 13 2" xfId="436"/>
    <cellStyle name="40% - Dekorfärg4 13 3" xfId="646"/>
    <cellStyle name="40% - Dekorfärg4 13 4" xfId="856"/>
    <cellStyle name="40% - Dekorfärg4 14" xfId="233"/>
    <cellStyle name="40% - Dekorfärg4 14 2" xfId="450"/>
    <cellStyle name="40% - Dekorfärg4 14 3" xfId="660"/>
    <cellStyle name="40% - Dekorfärg4 14 4" xfId="870"/>
    <cellStyle name="40% - Dekorfärg4 15" xfId="247"/>
    <cellStyle name="40% - Dekorfärg4 15 2" xfId="464"/>
    <cellStyle name="40% - Dekorfärg4 15 3" xfId="674"/>
    <cellStyle name="40% - Dekorfärg4 15 4" xfId="884"/>
    <cellStyle name="40% - Dekorfärg4 16" xfId="266"/>
    <cellStyle name="40% - Dekorfärg4 17" xfId="476"/>
    <cellStyle name="40% - Dekorfärg4 18" xfId="686"/>
    <cellStyle name="40% - Dekorfärg4 2" xfId="65"/>
    <cellStyle name="40% - Dekorfärg4 2 2" xfId="282"/>
    <cellStyle name="40% - Dekorfärg4 2 3" xfId="492"/>
    <cellStyle name="40% - Dekorfärg4 2 4" xfId="702"/>
    <cellStyle name="40% - Dekorfärg4 3" xfId="79"/>
    <cellStyle name="40% - Dekorfärg4 3 2" xfId="296"/>
    <cellStyle name="40% - Dekorfärg4 3 3" xfId="506"/>
    <cellStyle name="40% - Dekorfärg4 3 4" xfId="716"/>
    <cellStyle name="40% - Dekorfärg4 4" xfId="93"/>
    <cellStyle name="40% - Dekorfärg4 4 2" xfId="310"/>
    <cellStyle name="40% - Dekorfärg4 4 3" xfId="520"/>
    <cellStyle name="40% - Dekorfärg4 4 4" xfId="730"/>
    <cellStyle name="40% - Dekorfärg4 5" xfId="107"/>
    <cellStyle name="40% - Dekorfärg4 5 2" xfId="324"/>
    <cellStyle name="40% - Dekorfärg4 5 3" xfId="534"/>
    <cellStyle name="40% - Dekorfärg4 5 4" xfId="744"/>
    <cellStyle name="40% - Dekorfärg4 6" xfId="121"/>
    <cellStyle name="40% - Dekorfärg4 6 2" xfId="338"/>
    <cellStyle name="40% - Dekorfärg4 6 3" xfId="548"/>
    <cellStyle name="40% - Dekorfärg4 6 4" xfId="758"/>
    <cellStyle name="40% - Dekorfärg4 7" xfId="135"/>
    <cellStyle name="40% - Dekorfärg4 7 2" xfId="352"/>
    <cellStyle name="40% - Dekorfärg4 7 3" xfId="562"/>
    <cellStyle name="40% - Dekorfärg4 7 4" xfId="772"/>
    <cellStyle name="40% - Dekorfärg4 8" xfId="149"/>
    <cellStyle name="40% - Dekorfärg4 8 2" xfId="366"/>
    <cellStyle name="40% - Dekorfärg4 8 3" xfId="576"/>
    <cellStyle name="40% - Dekorfärg4 8 4" xfId="786"/>
    <cellStyle name="40% - Dekorfärg4 9" xfId="163"/>
    <cellStyle name="40% - Dekorfärg4 9 2" xfId="380"/>
    <cellStyle name="40% - Dekorfärg4 9 3" xfId="590"/>
    <cellStyle name="40% - Dekorfärg4 9 4" xfId="800"/>
    <cellStyle name="40% - Dekorfärg5 10" xfId="179"/>
    <cellStyle name="40% - Dekorfärg5 10 2" xfId="396"/>
    <cellStyle name="40% - Dekorfärg5 10 3" xfId="606"/>
    <cellStyle name="40% - Dekorfärg5 10 4" xfId="816"/>
    <cellStyle name="40% - Dekorfärg5 11" xfId="193"/>
    <cellStyle name="40% - Dekorfärg5 11 2" xfId="410"/>
    <cellStyle name="40% - Dekorfärg5 11 3" xfId="620"/>
    <cellStyle name="40% - Dekorfärg5 11 4" xfId="830"/>
    <cellStyle name="40% - Dekorfärg5 12" xfId="207"/>
    <cellStyle name="40% - Dekorfärg5 12 2" xfId="424"/>
    <cellStyle name="40% - Dekorfärg5 12 3" xfId="634"/>
    <cellStyle name="40% - Dekorfärg5 12 4" xfId="844"/>
    <cellStyle name="40% - Dekorfärg5 13" xfId="221"/>
    <cellStyle name="40% - Dekorfärg5 13 2" xfId="438"/>
    <cellStyle name="40% - Dekorfärg5 13 3" xfId="648"/>
    <cellStyle name="40% - Dekorfärg5 13 4" xfId="858"/>
    <cellStyle name="40% - Dekorfärg5 14" xfId="235"/>
    <cellStyle name="40% - Dekorfärg5 14 2" xfId="452"/>
    <cellStyle name="40% - Dekorfärg5 14 3" xfId="662"/>
    <cellStyle name="40% - Dekorfärg5 14 4" xfId="872"/>
    <cellStyle name="40% - Dekorfärg5 15" xfId="249"/>
    <cellStyle name="40% - Dekorfärg5 15 2" xfId="466"/>
    <cellStyle name="40% - Dekorfärg5 15 3" xfId="676"/>
    <cellStyle name="40% - Dekorfärg5 15 4" xfId="886"/>
    <cellStyle name="40% - Dekorfärg5 16" xfId="268"/>
    <cellStyle name="40% - Dekorfärg5 17" xfId="478"/>
    <cellStyle name="40% - Dekorfärg5 18" xfId="688"/>
    <cellStyle name="40% - Dekorfärg5 2" xfId="67"/>
    <cellStyle name="40% - Dekorfärg5 2 2" xfId="284"/>
    <cellStyle name="40% - Dekorfärg5 2 3" xfId="494"/>
    <cellStyle name="40% - Dekorfärg5 2 4" xfId="704"/>
    <cellStyle name="40% - Dekorfärg5 3" xfId="81"/>
    <cellStyle name="40% - Dekorfärg5 3 2" xfId="298"/>
    <cellStyle name="40% - Dekorfärg5 3 3" xfId="508"/>
    <cellStyle name="40% - Dekorfärg5 3 4" xfId="718"/>
    <cellStyle name="40% - Dekorfärg5 4" xfId="95"/>
    <cellStyle name="40% - Dekorfärg5 4 2" xfId="312"/>
    <cellStyle name="40% - Dekorfärg5 4 3" xfId="522"/>
    <cellStyle name="40% - Dekorfärg5 4 4" xfId="732"/>
    <cellStyle name="40% - Dekorfärg5 5" xfId="109"/>
    <cellStyle name="40% - Dekorfärg5 5 2" xfId="326"/>
    <cellStyle name="40% - Dekorfärg5 5 3" xfId="536"/>
    <cellStyle name="40% - Dekorfärg5 5 4" xfId="746"/>
    <cellStyle name="40% - Dekorfärg5 6" xfId="123"/>
    <cellStyle name="40% - Dekorfärg5 6 2" xfId="340"/>
    <cellStyle name="40% - Dekorfärg5 6 3" xfId="550"/>
    <cellStyle name="40% - Dekorfärg5 6 4" xfId="760"/>
    <cellStyle name="40% - Dekorfärg5 7" xfId="137"/>
    <cellStyle name="40% - Dekorfärg5 7 2" xfId="354"/>
    <cellStyle name="40% - Dekorfärg5 7 3" xfId="564"/>
    <cellStyle name="40% - Dekorfärg5 7 4" xfId="774"/>
    <cellStyle name="40% - Dekorfärg5 8" xfId="151"/>
    <cellStyle name="40% - Dekorfärg5 8 2" xfId="368"/>
    <cellStyle name="40% - Dekorfärg5 8 3" xfId="578"/>
    <cellStyle name="40% - Dekorfärg5 8 4" xfId="788"/>
    <cellStyle name="40% - Dekorfärg5 9" xfId="165"/>
    <cellStyle name="40% - Dekorfärg5 9 2" xfId="382"/>
    <cellStyle name="40% - Dekorfärg5 9 3" xfId="592"/>
    <cellStyle name="40% - Dekorfärg5 9 4" xfId="802"/>
    <cellStyle name="40% - Dekorfärg6 10" xfId="181"/>
    <cellStyle name="40% - Dekorfärg6 10 2" xfId="398"/>
    <cellStyle name="40% - Dekorfärg6 10 3" xfId="608"/>
    <cellStyle name="40% - Dekorfärg6 10 4" xfId="818"/>
    <cellStyle name="40% - Dekorfärg6 11" xfId="195"/>
    <cellStyle name="40% - Dekorfärg6 11 2" xfId="412"/>
    <cellStyle name="40% - Dekorfärg6 11 3" xfId="622"/>
    <cellStyle name="40% - Dekorfärg6 11 4" xfId="832"/>
    <cellStyle name="40% - Dekorfärg6 12" xfId="209"/>
    <cellStyle name="40% - Dekorfärg6 12 2" xfId="426"/>
    <cellStyle name="40% - Dekorfärg6 12 3" xfId="636"/>
    <cellStyle name="40% - Dekorfärg6 12 4" xfId="846"/>
    <cellStyle name="40% - Dekorfärg6 13" xfId="223"/>
    <cellStyle name="40% - Dekorfärg6 13 2" xfId="440"/>
    <cellStyle name="40% - Dekorfärg6 13 3" xfId="650"/>
    <cellStyle name="40% - Dekorfärg6 13 4" xfId="860"/>
    <cellStyle name="40% - Dekorfärg6 14" xfId="237"/>
    <cellStyle name="40% - Dekorfärg6 14 2" xfId="454"/>
    <cellStyle name="40% - Dekorfärg6 14 3" xfId="664"/>
    <cellStyle name="40% - Dekorfärg6 14 4" xfId="874"/>
    <cellStyle name="40% - Dekorfärg6 15" xfId="251"/>
    <cellStyle name="40% - Dekorfärg6 15 2" xfId="468"/>
    <cellStyle name="40% - Dekorfärg6 15 3" xfId="678"/>
    <cellStyle name="40% - Dekorfärg6 15 4" xfId="888"/>
    <cellStyle name="40% - Dekorfärg6 16" xfId="270"/>
    <cellStyle name="40% - Dekorfärg6 17" xfId="480"/>
    <cellStyle name="40% - Dekorfärg6 18" xfId="690"/>
    <cellStyle name="40% - Dekorfärg6 2" xfId="69"/>
    <cellStyle name="40% - Dekorfärg6 2 2" xfId="286"/>
    <cellStyle name="40% - Dekorfärg6 2 3" xfId="496"/>
    <cellStyle name="40% - Dekorfärg6 2 4" xfId="706"/>
    <cellStyle name="40% - Dekorfärg6 3" xfId="83"/>
    <cellStyle name="40% - Dekorfärg6 3 2" xfId="300"/>
    <cellStyle name="40% - Dekorfärg6 3 3" xfId="510"/>
    <cellStyle name="40% - Dekorfärg6 3 4" xfId="720"/>
    <cellStyle name="40% - Dekorfärg6 4" xfId="97"/>
    <cellStyle name="40% - Dekorfärg6 4 2" xfId="314"/>
    <cellStyle name="40% - Dekorfärg6 4 3" xfId="524"/>
    <cellStyle name="40% - Dekorfärg6 4 4" xfId="734"/>
    <cellStyle name="40% - Dekorfärg6 5" xfId="111"/>
    <cellStyle name="40% - Dekorfärg6 5 2" xfId="328"/>
    <cellStyle name="40% - Dekorfärg6 5 3" xfId="538"/>
    <cellStyle name="40% - Dekorfärg6 5 4" xfId="748"/>
    <cellStyle name="40% - Dekorfärg6 6" xfId="125"/>
    <cellStyle name="40% - Dekorfärg6 6 2" xfId="342"/>
    <cellStyle name="40% - Dekorfärg6 6 3" xfId="552"/>
    <cellStyle name="40% - Dekorfärg6 6 4" xfId="762"/>
    <cellStyle name="40% - Dekorfärg6 7" xfId="139"/>
    <cellStyle name="40% - Dekorfärg6 7 2" xfId="356"/>
    <cellStyle name="40% - Dekorfärg6 7 3" xfId="566"/>
    <cellStyle name="40% - Dekorfärg6 7 4" xfId="776"/>
    <cellStyle name="40% - Dekorfärg6 8" xfId="153"/>
    <cellStyle name="40% - Dekorfärg6 8 2" xfId="370"/>
    <cellStyle name="40% - Dekorfärg6 8 3" xfId="580"/>
    <cellStyle name="40% - Dekorfärg6 8 4" xfId="790"/>
    <cellStyle name="40% - Dekorfärg6 9" xfId="167"/>
    <cellStyle name="40% - Dekorfärg6 9 2" xfId="384"/>
    <cellStyle name="40% - Dekorfärg6 9 3" xfId="594"/>
    <cellStyle name="40% - Dekorfärg6 9 4" xfId="804"/>
    <cellStyle name="60 % - Dekorfärg1" xfId="33" builtinId="32" customBuiltin="1"/>
    <cellStyle name="60 % - Dekorfärg2" xfId="37" builtinId="36" customBuiltin="1"/>
    <cellStyle name="60 % - Dekorfärg3" xfId="41" builtinId="40" customBuiltin="1"/>
    <cellStyle name="60 % - Dekorfärg4" xfId="45" builtinId="44" customBuiltin="1"/>
    <cellStyle name="60 % - Dekorfärg5" xfId="49" builtinId="48" customBuiltin="1"/>
    <cellStyle name="60 % - Dekorfärg6" xfId="53" builtinId="52" customBuiltin="1"/>
    <cellStyle name="Anteckning 10" xfId="155"/>
    <cellStyle name="Anteckning 10 2" xfId="372"/>
    <cellStyle name="Anteckning 10 3" xfId="582"/>
    <cellStyle name="Anteckning 10 4" xfId="792"/>
    <cellStyle name="Anteckning 11" xfId="169"/>
    <cellStyle name="Anteckning 11 2" xfId="386"/>
    <cellStyle name="Anteckning 11 3" xfId="596"/>
    <cellStyle name="Anteckning 11 4" xfId="806"/>
    <cellStyle name="Anteckning 12" xfId="183"/>
    <cellStyle name="Anteckning 12 2" xfId="400"/>
    <cellStyle name="Anteckning 12 3" xfId="610"/>
    <cellStyle name="Anteckning 12 4" xfId="820"/>
    <cellStyle name="Anteckning 13" xfId="197"/>
    <cellStyle name="Anteckning 13 2" xfId="414"/>
    <cellStyle name="Anteckning 13 3" xfId="624"/>
    <cellStyle name="Anteckning 13 4" xfId="834"/>
    <cellStyle name="Anteckning 14" xfId="211"/>
    <cellStyle name="Anteckning 14 2" xfId="428"/>
    <cellStyle name="Anteckning 14 3" xfId="638"/>
    <cellStyle name="Anteckning 14 4" xfId="848"/>
    <cellStyle name="Anteckning 15" xfId="225"/>
    <cellStyle name="Anteckning 15 2" xfId="442"/>
    <cellStyle name="Anteckning 15 3" xfId="652"/>
    <cellStyle name="Anteckning 15 4" xfId="862"/>
    <cellStyle name="Anteckning 16" xfId="239"/>
    <cellStyle name="Anteckning 16 2" xfId="456"/>
    <cellStyle name="Anteckning 16 3" xfId="666"/>
    <cellStyle name="Anteckning 16 4" xfId="876"/>
    <cellStyle name="Anteckning 2" xfId="55"/>
    <cellStyle name="Anteckning 2 2" xfId="272"/>
    <cellStyle name="Anteckning 2 3" xfId="482"/>
    <cellStyle name="Anteckning 2 4" xfId="692"/>
    <cellStyle name="Anteckning 3" xfId="57"/>
    <cellStyle name="Anteckning 3 2" xfId="274"/>
    <cellStyle name="Anteckning 3 3" xfId="484"/>
    <cellStyle name="Anteckning 3 4" xfId="694"/>
    <cellStyle name="Anteckning 4" xfId="71"/>
    <cellStyle name="Anteckning 4 2" xfId="288"/>
    <cellStyle name="Anteckning 4 3" xfId="498"/>
    <cellStyle name="Anteckning 4 4" xfId="708"/>
    <cellStyle name="Anteckning 5" xfId="85"/>
    <cellStyle name="Anteckning 5 2" xfId="302"/>
    <cellStyle name="Anteckning 5 3" xfId="512"/>
    <cellStyle name="Anteckning 5 4" xfId="722"/>
    <cellStyle name="Anteckning 6" xfId="99"/>
    <cellStyle name="Anteckning 6 2" xfId="316"/>
    <cellStyle name="Anteckning 6 3" xfId="526"/>
    <cellStyle name="Anteckning 6 4" xfId="736"/>
    <cellStyle name="Anteckning 7" xfId="113"/>
    <cellStyle name="Anteckning 7 2" xfId="330"/>
    <cellStyle name="Anteckning 7 3" xfId="540"/>
    <cellStyle name="Anteckning 7 4" xfId="750"/>
    <cellStyle name="Anteckning 8" xfId="127"/>
    <cellStyle name="Anteckning 8 2" xfId="344"/>
    <cellStyle name="Anteckning 8 3" xfId="554"/>
    <cellStyle name="Anteckning 8 4" xfId="764"/>
    <cellStyle name="Anteckning 9" xfId="141"/>
    <cellStyle name="Anteckning 9 2" xfId="358"/>
    <cellStyle name="Anteckning 9 3" xfId="568"/>
    <cellStyle name="Anteckning 9 4" xfId="778"/>
    <cellStyle name="Beräkning" xfId="24" builtinId="22" customBuiltin="1"/>
    <cellStyle name="Bra" xfId="19" builtinId="26" customBuiltin="1"/>
    <cellStyle name="Dekorfärg1" xfId="30" builtinId="29" customBuiltin="1"/>
    <cellStyle name="Dekorfärg2" xfId="34" builtinId="33" customBuiltin="1"/>
    <cellStyle name="Dekorfärg3" xfId="38" builtinId="37" customBuiltin="1"/>
    <cellStyle name="Dekorfärg4" xfId="42" builtinId="41" customBuiltin="1"/>
    <cellStyle name="Dekorfärg5" xfId="46" builtinId="45" customBuiltin="1"/>
    <cellStyle name="Dekorfärg6" xfId="50" builtinId="49" customBuiltin="1"/>
    <cellStyle name="Dålig" xfId="20" builtinId="27" customBuiltin="1"/>
    <cellStyle name="Förklarande text" xfId="28" builtinId="53" customBuiltin="1"/>
    <cellStyle name="Hyperlänk" xfId="1" builtinId="8"/>
    <cellStyle name="Indata" xfId="22" builtinId="20" customBuiltin="1"/>
    <cellStyle name="Kontrollcell" xfId="26" builtinId="23" customBuiltin="1"/>
    <cellStyle name="Länkad cell" xfId="25" builtinId="24" customBuiltin="1"/>
    <cellStyle name="Neutral" xfId="21" builtinId="28" customBuiltin="1"/>
    <cellStyle name="Normal" xfId="0" builtinId="0"/>
    <cellStyle name="Normal 10" xfId="154"/>
    <cellStyle name="Normal 10 2" xfId="371"/>
    <cellStyle name="Normal 10 3" xfId="581"/>
    <cellStyle name="Normal 10 4" xfId="791"/>
    <cellStyle name="Normal 11" xfId="168"/>
    <cellStyle name="Normal 11 2" xfId="385"/>
    <cellStyle name="Normal 11 3" xfId="595"/>
    <cellStyle name="Normal 11 4" xfId="805"/>
    <cellStyle name="Normal 12" xfId="182"/>
    <cellStyle name="Normal 12 2" xfId="399"/>
    <cellStyle name="Normal 12 3" xfId="609"/>
    <cellStyle name="Normal 12 4" xfId="819"/>
    <cellStyle name="Normal 13" xfId="196"/>
    <cellStyle name="Normal 13 2" xfId="413"/>
    <cellStyle name="Normal 13 3" xfId="623"/>
    <cellStyle name="Normal 13 4" xfId="833"/>
    <cellStyle name="Normal 14" xfId="210"/>
    <cellStyle name="Normal 14 2" xfId="427"/>
    <cellStyle name="Normal 14 3" xfId="637"/>
    <cellStyle name="Normal 14 4" xfId="847"/>
    <cellStyle name="Normal 15" xfId="224"/>
    <cellStyle name="Normal 15 2" xfId="441"/>
    <cellStyle name="Normal 15 3" xfId="651"/>
    <cellStyle name="Normal 15 4" xfId="861"/>
    <cellStyle name="Normal 16" xfId="238"/>
    <cellStyle name="Normal 16 2" xfId="455"/>
    <cellStyle name="Normal 16 3" xfId="665"/>
    <cellStyle name="Normal 16 4" xfId="875"/>
    <cellStyle name="Normal 17" xfId="889"/>
    <cellStyle name="Normal 18" xfId="892"/>
    <cellStyle name="Normal 19" xfId="893"/>
    <cellStyle name="Normal 2" xfId="4"/>
    <cellStyle name="Normal 2 2" xfId="7"/>
    <cellStyle name="Normal 2 3" xfId="54"/>
    <cellStyle name="Normal 2 3 2" xfId="271"/>
    <cellStyle name="Normal 2 3 3" xfId="481"/>
    <cellStyle name="Normal 2 3 4" xfId="691"/>
    <cellStyle name="Normal 3" xfId="6"/>
    <cellStyle name="Normal 3 2" xfId="56"/>
    <cellStyle name="Normal 3 2 2" xfId="273"/>
    <cellStyle name="Normal 3 2 3" xfId="483"/>
    <cellStyle name="Normal 3 2 4" xfId="693"/>
    <cellStyle name="Normal 4" xfId="8"/>
    <cellStyle name="Normal 4 2" xfId="12"/>
    <cellStyle name="Normal 4 3" xfId="70"/>
    <cellStyle name="Normal 4 3 2" xfId="287"/>
    <cellStyle name="Normal 4 3 3" xfId="497"/>
    <cellStyle name="Normal 4 3 4" xfId="707"/>
    <cellStyle name="Normal 5" xfId="9"/>
    <cellStyle name="Normal 5 2" xfId="13"/>
    <cellStyle name="Normal 5 3" xfId="84"/>
    <cellStyle name="Normal 5 3 2" xfId="301"/>
    <cellStyle name="Normal 5 3 3" xfId="511"/>
    <cellStyle name="Normal 5 3 4" xfId="721"/>
    <cellStyle name="Normal 6" xfId="98"/>
    <cellStyle name="Normal 6 2" xfId="315"/>
    <cellStyle name="Normal 6 3" xfId="525"/>
    <cellStyle name="Normal 6 4" xfId="735"/>
    <cellStyle name="Normal 6 5" xfId="894"/>
    <cellStyle name="Normal 7" xfId="112"/>
    <cellStyle name="Normal 7 2" xfId="329"/>
    <cellStyle name="Normal 7 3" xfId="539"/>
    <cellStyle name="Normal 7 4" xfId="749"/>
    <cellStyle name="Normal 8" xfId="126"/>
    <cellStyle name="Normal 8 2" xfId="343"/>
    <cellStyle name="Normal 8 3" xfId="553"/>
    <cellStyle name="Normal 8 4" xfId="763"/>
    <cellStyle name="Normal 9" xfId="140"/>
    <cellStyle name="Normal 9 2" xfId="357"/>
    <cellStyle name="Normal 9 3" xfId="567"/>
    <cellStyle name="Normal 9 4" xfId="777"/>
    <cellStyle name="Procent" xfId="2" builtinId="5"/>
    <cellStyle name="Procent 2" xfId="5"/>
    <cellStyle name="Procent 2 2" xfId="254"/>
    <cellStyle name="Procent 2 3" xfId="253"/>
    <cellStyle name="Procent 3" xfId="10"/>
    <cellStyle name="Procent 4" xfId="252"/>
    <cellStyle name="Procent 5" xfId="890"/>
    <cellStyle name="Rubrik" xfId="14" builtinId="15" customBuiltin="1"/>
    <cellStyle name="Rubrik 1" xfId="15" builtinId="16" customBuiltin="1"/>
    <cellStyle name="Rubrik 2" xfId="16" builtinId="17" customBuiltin="1"/>
    <cellStyle name="Rubrik 3" xfId="17" builtinId="18" customBuiltin="1"/>
    <cellStyle name="Rubrik 4" xfId="18" builtinId="19" customBuiltin="1"/>
    <cellStyle name="Summa" xfId="29" builtinId="25" customBuiltin="1"/>
    <cellStyle name="Tusental" xfId="3" builtinId="3"/>
    <cellStyle name="Tusental 2" xfId="11"/>
    <cellStyle name="Tusental 2 2" xfId="257"/>
    <cellStyle name="Tusental 2 3" xfId="256"/>
    <cellStyle name="Tusental 3" xfId="258"/>
    <cellStyle name="Tusental 4" xfId="255"/>
    <cellStyle name="Tusental 5" xfId="891"/>
    <cellStyle name="Utdata" xfId="23" builtinId="21" customBuiltin="1"/>
    <cellStyle name="Varningstext" xfId="27" builtinId="11" customBuiltin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766A63"/>
      <rgbColor rgb="00FFFF00"/>
      <rgbColor rgb="00FF00FF"/>
      <rgbColor rgb="0000FFFF"/>
      <rgbColor rgb="00C42695"/>
      <rgbColor rgb="00545F1D"/>
      <rgbColor rgb="00AC1A2F"/>
      <rgbColor rgb="005EB0E6"/>
      <rgbColor rgb="00808080"/>
      <rgbColor rgb="00AFA500"/>
      <rgbColor rgb="00C0C0C0"/>
      <rgbColor rgb="00FFFFFF"/>
      <rgbColor rgb="00E34912"/>
      <rgbColor rgb="00EF8200"/>
      <rgbColor rgb="00FFB70F"/>
      <rgbColor rgb="00F6CF47"/>
      <rgbColor rgb="00AC1A2F"/>
      <rgbColor rgb="00D53044"/>
      <rgbColor rgb="00870150"/>
      <rgbColor rgb="00C42695"/>
      <rgbColor rgb="00000000"/>
      <rgbColor rgb="00E34912"/>
      <rgbColor rgb="00EF8200"/>
      <rgbColor rgb="00FFB70F"/>
      <rgbColor rgb="00AC1A2F"/>
      <rgbColor rgb="00C42695"/>
      <rgbColor rgb="00AFA500"/>
      <rgbColor rgb="00766A63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EF8200"/>
      <rgbColor rgb="00125687"/>
      <rgbColor rgb="00B9B1A9"/>
      <rgbColor rgb="00969696"/>
      <rgbColor rgb="00F6CF47"/>
      <rgbColor rgb="00339966"/>
      <rgbColor rgb="00FFB70F"/>
      <rgbColor rgb="00EF8200"/>
      <rgbColor rgb="00E34912"/>
      <rgbColor rgb="00333333"/>
      <rgbColor rgb="00D53044"/>
      <rgbColor rgb="00870150"/>
    </indexedColors>
    <mruColors>
      <color rgb="FFFA961E"/>
      <color rgb="FFFF6600"/>
      <color rgb="FF0000FF"/>
      <color rgb="FFDDDDDD"/>
      <color rgb="FFFF9900"/>
      <color rgb="FFCC0000"/>
      <color rgb="FF660033"/>
      <color rgb="FFFFFFCC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6.xml"/><Relationship Id="rId1" Type="http://schemas.openxmlformats.org/officeDocument/2006/relationships/themeOverride" Target="../theme/themeOverride1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individuella konton 2017-10-31
</a:t>
            </a:r>
          </a:p>
        </c:rich>
      </c:tx>
      <c:layout>
        <c:manualLayout>
          <c:xMode val="edge"/>
          <c:yMode val="edge"/>
          <c:x val="0.28733264675592174"/>
          <c:y val="2.97951582867783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710607621009269"/>
          <c:y val="0.15270038172602726"/>
          <c:w val="0.89186405767250254"/>
          <c:h val="0.70577409540505598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B70F"/>
            </a:solidFill>
            <a:ln w="25400">
              <a:noFill/>
            </a:ln>
          </c:spPr>
          <c:invertIfNegative val="1"/>
          <c:dPt>
            <c:idx val="0"/>
            <c:invertIfNegative val="1"/>
            <c:bubble3D val="0"/>
            <c:spPr>
              <a:solidFill>
                <a:srgbClr val="AC1A2F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1-5CBA-4FC4-8A40-0801E125DA99}"/>
              </c:ext>
            </c:extLst>
          </c:dPt>
          <c:dPt>
            <c:idx val="1"/>
            <c:invertIfNegative val="1"/>
            <c:bubble3D val="0"/>
            <c:spPr>
              <a:solidFill>
                <a:srgbClr val="FFC0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3-5CBA-4FC4-8A40-0801E125DA99}"/>
              </c:ext>
            </c:extLst>
          </c:dPt>
          <c:dPt>
            <c:idx val="2"/>
            <c:invertIfNegative val="1"/>
            <c:bubble3D val="0"/>
            <c:spPr>
              <a:solidFill>
                <a:srgbClr val="FFC0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5-5CBA-4FC4-8A40-0801E125DA99}"/>
              </c:ext>
            </c:extLst>
          </c:dPt>
          <c:dPt>
            <c:idx val="3"/>
            <c:invertIfNegative val="1"/>
            <c:bubble3D val="0"/>
            <c:spPr>
              <a:solidFill>
                <a:srgbClr val="FFC0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7-5CBA-4FC4-8A40-0801E125DA99}"/>
              </c:ext>
            </c:extLst>
          </c:dPt>
          <c:dLbls>
            <c:dLbl>
              <c:idx val="2"/>
              <c:layout>
                <c:manualLayout>
                  <c:x val="-1.3731548232063166E-3"/>
                  <c:y val="4.9658597144630664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5-5CBA-4FC4-8A40-0801E125DA99}"/>
                </c:ext>
              </c:extLst>
            </c:dLbl>
            <c:dLbl>
              <c:idx val="3"/>
              <c:layout>
                <c:manualLayout>
                  <c:x val="1.3731548232063166E-3"/>
                  <c:y val="7.4487895716945996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7-5CBA-4FC4-8A40-0801E125DA99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 baseline="0"/>
                </a:pPr>
                <a:endParaRPr lang="sv-S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[1]Data!$G$2:$G$10</c:f>
              <c:strCache>
                <c:ptCount val="9"/>
                <c:pt idx="0">
                  <c:v>Under 0</c:v>
                </c:pt>
                <c:pt idx="1">
                  <c:v>0 till +2</c:v>
                </c:pt>
                <c:pt idx="2">
                  <c:v>+2 till +4</c:v>
                </c:pt>
                <c:pt idx="3">
                  <c:v>+4 till +6</c:v>
                </c:pt>
                <c:pt idx="4">
                  <c:v>+6 till +8</c:v>
                </c:pt>
                <c:pt idx="5">
                  <c:v>+8 till +10</c:v>
                </c:pt>
                <c:pt idx="6">
                  <c:v>+10 till +12</c:v>
                </c:pt>
                <c:pt idx="7">
                  <c:v>+12 till +14</c:v>
                </c:pt>
                <c:pt idx="8">
                  <c:v>Över +14</c:v>
                </c:pt>
              </c:strCache>
            </c:strRef>
          </c:cat>
          <c:val>
            <c:numRef>
              <c:f>[1]Data!$K$2:$K$10</c:f>
              <c:numCache>
                <c:formatCode>General</c:formatCode>
                <c:ptCount val="9"/>
                <c:pt idx="0">
                  <c:v>30000</c:v>
                </c:pt>
                <c:pt idx="1">
                  <c:v>210000</c:v>
                </c:pt>
                <c:pt idx="2">
                  <c:v>350000</c:v>
                </c:pt>
                <c:pt idx="3">
                  <c:v>1610000</c:v>
                </c:pt>
                <c:pt idx="4">
                  <c:v>2000000</c:v>
                </c:pt>
                <c:pt idx="5">
                  <c:v>1460000</c:v>
                </c:pt>
                <c:pt idx="6">
                  <c:v>930000</c:v>
                </c:pt>
                <c:pt idx="7">
                  <c:v>590000</c:v>
                </c:pt>
                <c:pt idx="8">
                  <c:v>30000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w="25400">
                    <a:noFill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8-5CBA-4FC4-8A40-0801E125DA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0"/>
        <c:axId val="176901120"/>
        <c:axId val="176919296"/>
      </c:barChart>
      <c:catAx>
        <c:axId val="1769011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76919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76919296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76901120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  <c:userShapes r:id="rId2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Premiepensionssystemet 2017-10-31</a:t>
            </a:r>
          </a:p>
        </c:rich>
      </c:tx>
      <c:layout>
        <c:manualLayout>
          <c:xMode val="edge"/>
          <c:yMode val="edge"/>
          <c:x val="0.28425390077774021"/>
          <c:y val="2.749140893470790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7673850627826451E-2"/>
          <c:y val="0.1288661597712657"/>
          <c:w val="0.87997052481115912"/>
          <c:h val="0.69129546950961018"/>
        </c:manualLayout>
      </c:layout>
      <c:lineChart>
        <c:grouping val="standard"/>
        <c:varyColors val="0"/>
        <c:ser>
          <c:idx val="0"/>
          <c:order val="0"/>
          <c:tx>
            <c:v>Premiepensionssystemet (IR)</c:v>
          </c:tx>
          <c:spPr>
            <a:ln w="381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pp-systemet'!$B$27:$B$949</c:f>
              <c:numCache>
                <c:formatCode>m/d/yyyy</c:formatCode>
                <c:ptCount val="92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  <c:pt idx="189">
                  <c:v>42613</c:v>
                </c:pt>
                <c:pt idx="190">
                  <c:v>42643</c:v>
                </c:pt>
                <c:pt idx="191">
                  <c:v>42674</c:v>
                </c:pt>
                <c:pt idx="192">
                  <c:v>42704</c:v>
                </c:pt>
                <c:pt idx="193">
                  <c:v>42735</c:v>
                </c:pt>
                <c:pt idx="194">
                  <c:v>42766</c:v>
                </c:pt>
                <c:pt idx="195">
                  <c:v>42794</c:v>
                </c:pt>
                <c:pt idx="196">
                  <c:v>42825</c:v>
                </c:pt>
                <c:pt idx="197">
                  <c:v>42855</c:v>
                </c:pt>
                <c:pt idx="198">
                  <c:v>42886</c:v>
                </c:pt>
                <c:pt idx="199">
                  <c:v>42916</c:v>
                </c:pt>
                <c:pt idx="200">
                  <c:v>42947</c:v>
                </c:pt>
                <c:pt idx="201">
                  <c:v>42978</c:v>
                </c:pt>
                <c:pt idx="202">
                  <c:v>43008</c:v>
                </c:pt>
                <c:pt idx="203">
                  <c:v>43039</c:v>
                </c:pt>
                <c:pt idx="204">
                  <c:v>43069</c:v>
                </c:pt>
                <c:pt idx="205">
                  <c:v>43100</c:v>
                </c:pt>
              </c:numCache>
            </c:numRef>
          </c:cat>
          <c:val>
            <c:numRef>
              <c:f>'Avkastning pp-systemet'!$C$27:$C$949</c:f>
              <c:numCache>
                <c:formatCode>0.0%</c:formatCode>
                <c:ptCount val="923"/>
                <c:pt idx="0">
                  <c:v>4.1944485443448101E-2</c:v>
                </c:pt>
                <c:pt idx="1">
                  <c:v>2.9172234535217278E-2</c:v>
                </c:pt>
                <c:pt idx="2">
                  <c:v>3.4470444993645266E-2</c:v>
                </c:pt>
                <c:pt idx="3">
                  <c:v>1.5265800868734553E-2</c:v>
                </c:pt>
                <c:pt idx="4">
                  <c:v>-1.8410568162869163E-3</c:v>
                </c:pt>
                <c:pt idx="5">
                  <c:v>2.0691238008785837E-2</c:v>
                </c:pt>
                <c:pt idx="6">
                  <c:v>2.985371110015975E-2</c:v>
                </c:pt>
                <c:pt idx="7">
                  <c:v>2.1832256757043877E-2</c:v>
                </c:pt>
                <c:pt idx="8">
                  <c:v>9.9048701493387632E-3</c:v>
                </c:pt>
                <c:pt idx="9">
                  <c:v>-5.8520358709966656E-3</c:v>
                </c:pt>
                <c:pt idx="10">
                  <c:v>-2.8352978395008131E-2</c:v>
                </c:pt>
                <c:pt idx="11">
                  <c:v>-1.585379730917981E-2</c:v>
                </c:pt>
                <c:pt idx="12">
                  <c:v>1.5011297694889443E-3</c:v>
                </c:pt>
                <c:pt idx="13">
                  <c:v>4.0387541055679332E-3</c:v>
                </c:pt>
                <c:pt idx="14">
                  <c:v>-5.667357900465719E-3</c:v>
                </c:pt>
                <c:pt idx="15">
                  <c:v>-3.2903120307584913E-3</c:v>
                </c:pt>
                <c:pt idx="16">
                  <c:v>2.3982886472156918E-3</c:v>
                </c:pt>
                <c:pt idx="17">
                  <c:v>-1.2952820132294431E-2</c:v>
                </c:pt>
                <c:pt idx="18">
                  <c:v>-2.2360659830725063E-2</c:v>
                </c:pt>
                <c:pt idx="19">
                  <c:v>-4.5427655968047501E-2</c:v>
                </c:pt>
                <c:pt idx="20">
                  <c:v>-6.1224875463743861E-2</c:v>
                </c:pt>
                <c:pt idx="21">
                  <c:v>-6.1997545623277285E-2</c:v>
                </c:pt>
                <c:pt idx="22">
                  <c:v>-8.5605650565585945E-2</c:v>
                </c:pt>
                <c:pt idx="23">
                  <c:v>-6.703261910928289E-2</c:v>
                </c:pt>
                <c:pt idx="24">
                  <c:v>-5.2669649763952171E-2</c:v>
                </c:pt>
                <c:pt idx="25">
                  <c:v>-7.0741388653405013E-2</c:v>
                </c:pt>
                <c:pt idx="26">
                  <c:v>-7.0135071498244037E-2</c:v>
                </c:pt>
                <c:pt idx="27">
                  <c:v>-7.2571541857751262E-2</c:v>
                </c:pt>
                <c:pt idx="28">
                  <c:v>-7.1063686828130704E-2</c:v>
                </c:pt>
                <c:pt idx="29">
                  <c:v>-5.4954814205048427E-2</c:v>
                </c:pt>
                <c:pt idx="30">
                  <c:v>-5.1866752709012774E-2</c:v>
                </c:pt>
                <c:pt idx="31">
                  <c:v>-4.0726863641158295E-2</c:v>
                </c:pt>
                <c:pt idx="32">
                  <c:v>-3.2080109833262468E-2</c:v>
                </c:pt>
                <c:pt idx="33">
                  <c:v>-2.3525179201037201E-2</c:v>
                </c:pt>
                <c:pt idx="34">
                  <c:v>-3.3240878057555143E-2</c:v>
                </c:pt>
                <c:pt idx="35">
                  <c:v>-2.0371364102513268E-2</c:v>
                </c:pt>
                <c:pt idx="36">
                  <c:v>-2.0828327760144809E-2</c:v>
                </c:pt>
                <c:pt idx="37">
                  <c:v>-1.6626373368198985E-2</c:v>
                </c:pt>
                <c:pt idx="38">
                  <c:v>-4.7650734584944116E-3</c:v>
                </c:pt>
                <c:pt idx="39">
                  <c:v>1.0376537058383413E-3</c:v>
                </c:pt>
                <c:pt idx="40">
                  <c:v>6.9231923160418716E-4</c:v>
                </c:pt>
                <c:pt idx="41">
                  <c:v>-5.9282198337367719E-4</c:v>
                </c:pt>
                <c:pt idx="42">
                  <c:v>-4.4633515740136499E-3</c:v>
                </c:pt>
                <c:pt idx="43">
                  <c:v>6.494845643696661E-4</c:v>
                </c:pt>
                <c:pt idx="44">
                  <c:v>-4.0807779733609889E-3</c:v>
                </c:pt>
                <c:pt idx="45">
                  <c:v>-5.081345602871332E-3</c:v>
                </c:pt>
                <c:pt idx="46">
                  <c:v>-3.5102540217259244E-3</c:v>
                </c:pt>
                <c:pt idx="47">
                  <c:v>-3.4181846243503907E-3</c:v>
                </c:pt>
                <c:pt idx="48">
                  <c:v>3.4493808749515471E-4</c:v>
                </c:pt>
                <c:pt idx="49">
                  <c:v>3.2363981008529663E-3</c:v>
                </c:pt>
                <c:pt idx="50">
                  <c:v>1.0241518593147002E-2</c:v>
                </c:pt>
                <c:pt idx="51">
                  <c:v>1.482239235496002E-2</c:v>
                </c:pt>
                <c:pt idx="52">
                  <c:v>1.4477044854297232E-2</c:v>
                </c:pt>
                <c:pt idx="53">
                  <c:v>1.2525283838135183E-2</c:v>
                </c:pt>
                <c:pt idx="54">
                  <c:v>2.2922137451328074E-2</c:v>
                </c:pt>
                <c:pt idx="55">
                  <c:v>3.1608211033280577E-2</c:v>
                </c:pt>
                <c:pt idx="56">
                  <c:v>3.7373515279066051E-2</c:v>
                </c:pt>
                <c:pt idx="57">
                  <c:v>3.4547599092232276E-2</c:v>
                </c:pt>
                <c:pt idx="58">
                  <c:v>4.2610079736795259E-2</c:v>
                </c:pt>
                <c:pt idx="59">
                  <c:v>3.9599620455029606E-2</c:v>
                </c:pt>
                <c:pt idx="60">
                  <c:v>4.7240474686750543E-2</c:v>
                </c:pt>
                <c:pt idx="61">
                  <c:v>5.0999656319618225E-2</c:v>
                </c:pt>
                <c:pt idx="62">
                  <c:v>5.0136571265158199E-2</c:v>
                </c:pt>
                <c:pt idx="63">
                  <c:v>5.6744259739211399E-2</c:v>
                </c:pt>
                <c:pt idx="64">
                  <c:v>5.9380883833274292E-2</c:v>
                </c:pt>
                <c:pt idx="65">
                  <c:v>5.7893895207078321E-2</c:v>
                </c:pt>
                <c:pt idx="66">
                  <c:v>4.3999999999999997E-2</c:v>
                </c:pt>
                <c:pt idx="67">
                  <c:v>4.3799999999999999E-2</c:v>
                </c:pt>
                <c:pt idx="68">
                  <c:v>4.359794932972591E-2</c:v>
                </c:pt>
                <c:pt idx="69">
                  <c:v>4.7822286996518748E-2</c:v>
                </c:pt>
                <c:pt idx="70">
                  <c:v>5.1760927419626929E-2</c:v>
                </c:pt>
                <c:pt idx="71">
                  <c:v>5.5149368696020322E-2</c:v>
                </c:pt>
                <c:pt idx="72">
                  <c:v>5.3271803275811547E-2</c:v>
                </c:pt>
                <c:pt idx="73">
                  <c:v>5.8835127949714669E-2</c:v>
                </c:pt>
                <c:pt idx="74">
                  <c:v>6.2E-2</c:v>
                </c:pt>
                <c:pt idx="75">
                  <c:v>6.0193528731770071E-2</c:v>
                </c:pt>
                <c:pt idx="76">
                  <c:v>6.4564324830753222E-2</c:v>
                </c:pt>
                <c:pt idx="77">
                  <c:v>6.7463896782851265E-2</c:v>
                </c:pt>
                <c:pt idx="78">
                  <c:v>7.2349404324642028E-2</c:v>
                </c:pt>
                <c:pt idx="79">
                  <c:v>7.0343827295215947E-2</c:v>
                </c:pt>
                <c:pt idx="80">
                  <c:v>6.7299999999999999E-2</c:v>
                </c:pt>
                <c:pt idx="81">
                  <c:v>6.5489151248442859E-2</c:v>
                </c:pt>
                <c:pt idx="82">
                  <c:v>6.5394162553259028E-2</c:v>
                </c:pt>
                <c:pt idx="83">
                  <c:v>6.6821058285115434E-2</c:v>
                </c:pt>
                <c:pt idx="84">
                  <c:v>5.9590164348598797E-2</c:v>
                </c:pt>
                <c:pt idx="85">
                  <c:v>5.781260430812836E-2</c:v>
                </c:pt>
                <c:pt idx="86">
                  <c:v>3.8598902509140144E-2</c:v>
                </c:pt>
                <c:pt idx="87">
                  <c:v>4.0303905909068509E-2</c:v>
                </c:pt>
                <c:pt idx="88">
                  <c:v>3.244250437241801E-2</c:v>
                </c:pt>
                <c:pt idx="89">
                  <c:v>3.9764054710611244E-2</c:v>
                </c:pt>
                <c:pt idx="90">
                  <c:v>4.2500000000000003E-2</c:v>
                </c:pt>
                <c:pt idx="91">
                  <c:v>2.7672873595805437E-2</c:v>
                </c:pt>
                <c:pt idx="92">
                  <c:v>2.5698025510801501E-2</c:v>
                </c:pt>
                <c:pt idx="93">
                  <c:v>2.7445335039780076E-2</c:v>
                </c:pt>
                <c:pt idx="94">
                  <c:v>1.250261342755922E-2</c:v>
                </c:pt>
                <c:pt idx="95">
                  <c:v>-7.5383875148255456E-3</c:v>
                </c:pt>
                <c:pt idx="96">
                  <c:v>-1.1504305720920358E-2</c:v>
                </c:pt>
                <c:pt idx="97">
                  <c:v>-7.8772533498704424E-3</c:v>
                </c:pt>
                <c:pt idx="98">
                  <c:v>-1.0905817471719459E-2</c:v>
                </c:pt>
                <c:pt idx="99">
                  <c:v>-1.1421187647476256E-2</c:v>
                </c:pt>
                <c:pt idx="100">
                  <c:v>-1.1433679364785697E-2</c:v>
                </c:pt>
                <c:pt idx="101">
                  <c:v>5.8475468159503363E-3</c:v>
                </c:pt>
                <c:pt idx="102">
                  <c:v>1.1170524943810163E-2</c:v>
                </c:pt>
                <c:pt idx="103">
                  <c:v>1.3029093251482361E-2</c:v>
                </c:pt>
                <c:pt idx="104">
                  <c:v>1.8901288726589967E-2</c:v>
                </c:pt>
                <c:pt idx="105">
                  <c:v>2.1092283118913844E-2</c:v>
                </c:pt>
                <c:pt idx="106">
                  <c:v>2.4270381294047346E-2</c:v>
                </c:pt>
                <c:pt idx="107">
                  <c:v>2.6668072977410431E-2</c:v>
                </c:pt>
                <c:pt idx="108">
                  <c:v>2.8385516527609313E-2</c:v>
                </c:pt>
                <c:pt idx="109">
                  <c:v>3.2962104678153983E-2</c:v>
                </c:pt>
                <c:pt idx="110">
                  <c:v>3.0703852564881555E-2</c:v>
                </c:pt>
                <c:pt idx="111">
                  <c:v>2.7390350802765685E-2</c:v>
                </c:pt>
                <c:pt idx="112">
                  <c:v>3.669809625032866E-2</c:v>
                </c:pt>
                <c:pt idx="113">
                  <c:v>3.8628510169618754E-2</c:v>
                </c:pt>
                <c:pt idx="114">
                  <c:v>3.3225234782453976E-2</c:v>
                </c:pt>
                <c:pt idx="115">
                  <c:v>3.0566288151634442E-2</c:v>
                </c:pt>
                <c:pt idx="116">
                  <c:v>3.2312782361443991E-2</c:v>
                </c:pt>
                <c:pt idx="117">
                  <c:v>2.9506999372779858E-2</c:v>
                </c:pt>
                <c:pt idx="118">
                  <c:v>3.335931017917132E-2</c:v>
                </c:pt>
                <c:pt idx="119">
                  <c:v>3.5975209023492986E-2</c:v>
                </c:pt>
                <c:pt idx="120">
                  <c:v>3.7473871553749323E-2</c:v>
                </c:pt>
                <c:pt idx="121">
                  <c:v>4.28437739610672E-2</c:v>
                </c:pt>
                <c:pt idx="122">
                  <c:v>3.8442396321812032E-2</c:v>
                </c:pt>
                <c:pt idx="123">
                  <c:v>3.8625571906551304E-2</c:v>
                </c:pt>
                <c:pt idx="124">
                  <c:v>3.905410892308208E-2</c:v>
                </c:pt>
                <c:pt idx="125">
                  <c:v>3.9851568220885765E-2</c:v>
                </c:pt>
                <c:pt idx="126">
                  <c:v>3.8890105359171354E-2</c:v>
                </c:pt>
                <c:pt idx="127">
                  <c:v>3.7436450723536942E-2</c:v>
                </c:pt>
                <c:pt idx="128">
                  <c:v>3.4277375851144785E-2</c:v>
                </c:pt>
                <c:pt idx="129">
                  <c:v>2.3176244540428031E-2</c:v>
                </c:pt>
                <c:pt idx="130">
                  <c:v>1.6991182799443404E-2</c:v>
                </c:pt>
                <c:pt idx="131">
                  <c:v>2.4613764648437501E-2</c:v>
                </c:pt>
                <c:pt idx="132">
                  <c:v>2.3371118164062503E-2</c:v>
                </c:pt>
                <c:pt idx="133">
                  <c:v>2.492214739322662E-2</c:v>
                </c:pt>
                <c:pt idx="134">
                  <c:v>3.1015268554687503E-2</c:v>
                </c:pt>
                <c:pt idx="135">
                  <c:v>3.5189965820312516E-2</c:v>
                </c:pt>
                <c:pt idx="136">
                  <c:v>3.4631059570312511E-2</c:v>
                </c:pt>
                <c:pt idx="137">
                  <c:v>3.3569233398437495E-2</c:v>
                </c:pt>
                <c:pt idx="138">
                  <c:v>2.8288481445312506E-2</c:v>
                </c:pt>
                <c:pt idx="139">
                  <c:v>2.8859262695312506E-2</c:v>
                </c:pt>
                <c:pt idx="140">
                  <c:v>3.0935004882812506E-2</c:v>
                </c:pt>
                <c:pt idx="141">
                  <c:v>3.1047563476562505E-2</c:v>
                </c:pt>
                <c:pt idx="142">
                  <c:v>3.2554301757812515E-2</c:v>
                </c:pt>
                <c:pt idx="143">
                  <c:v>3.2000000000000001E-2</c:v>
                </c:pt>
                <c:pt idx="144">
                  <c:v>3.4284340820312509E-2</c:v>
                </c:pt>
                <c:pt idx="145">
                  <c:v>3.4646333007812502E-2</c:v>
                </c:pt>
                <c:pt idx="146">
                  <c:v>3.8501791992187492E-2</c:v>
                </c:pt>
                <c:pt idx="147">
                  <c:v>3.9431303710937518E-2</c:v>
                </c:pt>
                <c:pt idx="148">
                  <c:v>4.0993569335937508E-2</c:v>
                </c:pt>
                <c:pt idx="149">
                  <c:v>4.2931303710937507E-2</c:v>
                </c:pt>
                <c:pt idx="150">
                  <c:v>4.5287895507812509E-2</c:v>
                </c:pt>
                <c:pt idx="151">
                  <c:v>4.1000000000000002E-2</c:v>
                </c:pt>
                <c:pt idx="152">
                  <c:v>4.4999999999999998E-2</c:v>
                </c:pt>
                <c:pt idx="153">
                  <c:v>4.3019926757812507E-2</c:v>
                </c:pt>
                <c:pt idx="154">
                  <c:v>4.5229418945312502E-2</c:v>
                </c:pt>
                <c:pt idx="155">
                  <c:v>4.9000000000000002E-2</c:v>
                </c:pt>
                <c:pt idx="156">
                  <c:v>5.0999999999999997E-2</c:v>
                </c:pt>
                <c:pt idx="157">
                  <c:v>5.0999999999999997E-2</c:v>
                </c:pt>
                <c:pt idx="158">
                  <c:v>4.7509770507812507E-2</c:v>
                </c:pt>
                <c:pt idx="159">
                  <c:v>5.1708959960937523E-2</c:v>
                </c:pt>
                <c:pt idx="160">
                  <c:v>5.1999999999999998E-2</c:v>
                </c:pt>
                <c:pt idx="161">
                  <c:v>5.3138706054687512E-2</c:v>
                </c:pt>
                <c:pt idx="162">
                  <c:v>5.7033979492187512E-2</c:v>
                </c:pt>
                <c:pt idx="163">
                  <c:v>5.8000000000000003E-2</c:v>
                </c:pt>
                <c:pt idx="164">
                  <c:v>5.8898247070312507E-2</c:v>
                </c:pt>
                <c:pt idx="165">
                  <c:v>6.0087006835937512E-2</c:v>
                </c:pt>
                <c:pt idx="166">
                  <c:v>5.9308852539062498E-2</c:v>
                </c:pt>
                <c:pt idx="167">
                  <c:v>6.1238891601562498E-2</c:v>
                </c:pt>
                <c:pt idx="168">
                  <c:v>6.3145004882812508E-2</c:v>
                </c:pt>
                <c:pt idx="169">
                  <c:v>6.4257553710937484E-2</c:v>
                </c:pt>
                <c:pt idx="170">
                  <c:v>6.8076977539062514E-2</c:v>
                </c:pt>
                <c:pt idx="171">
                  <c:v>7.3548276367187485E-2</c:v>
                </c:pt>
                <c:pt idx="172">
                  <c:v>7.4999999999999997E-2</c:v>
                </c:pt>
                <c:pt idx="173">
                  <c:v>7.4109584960937488E-2</c:v>
                </c:pt>
                <c:pt idx="174">
                  <c:v>7.5254829101562518E-2</c:v>
                </c:pt>
                <c:pt idx="175">
                  <c:v>6.9000000000000006E-2</c:v>
                </c:pt>
                <c:pt idx="176">
                  <c:v>7.2231967773437503E-2</c:v>
                </c:pt>
                <c:pt idx="177">
                  <c:v>6.4853579101562489E-2</c:v>
                </c:pt>
                <c:pt idx="178">
                  <c:v>6.0220356445312498E-2</c:v>
                </c:pt>
                <c:pt idx="179">
                  <c:v>6.6949321289062516E-2</c:v>
                </c:pt>
                <c:pt idx="180">
                  <c:v>6.824416503906254E-2</c:v>
                </c:pt>
                <c:pt idx="181">
                  <c:v>6.4044057617187497E-2</c:v>
                </c:pt>
                <c:pt idx="182">
                  <c:v>5.7633999023437521E-2</c:v>
                </c:pt>
                <c:pt idx="183">
                  <c:v>5.7370122070312501E-2</c:v>
                </c:pt>
                <c:pt idx="184">
                  <c:v>5.8672514648437521E-2</c:v>
                </c:pt>
                <c:pt idx="185">
                  <c:v>5.8484155273437519E-2</c:v>
                </c:pt>
                <c:pt idx="186">
                  <c:v>6.1221791992187496E-2</c:v>
                </c:pt>
                <c:pt idx="187">
                  <c:v>5.9694028320312509E-2</c:v>
                </c:pt>
                <c:pt idx="188">
                  <c:v>6.4098120117187476E-2</c:v>
                </c:pt>
                <c:pt idx="189">
                  <c:v>6.4803186058998125E-2</c:v>
                </c:pt>
                <c:pt idx="190">
                  <c:v>6.4854136109352145E-2</c:v>
                </c:pt>
                <c:pt idx="191">
                  <c:v>6.5986338257789628E-2</c:v>
                </c:pt>
                <c:pt idx="192">
                  <c:v>6.7281797528266921E-2</c:v>
                </c:pt>
                <c:pt idx="193">
                  <c:v>6.7250260710716256E-2</c:v>
                </c:pt>
                <c:pt idx="194">
                  <c:v>6.678140461444855E-2</c:v>
                </c:pt>
                <c:pt idx="195">
                  <c:v>7.0446261763572687E-2</c:v>
                </c:pt>
                <c:pt idx="196">
                  <c:v>7.0515719056129467E-2</c:v>
                </c:pt>
                <c:pt idx="197">
                  <c:v>7.1395435929298437E-2</c:v>
                </c:pt>
                <c:pt idx="198">
                  <c:v>7.172808945178985E-2</c:v>
                </c:pt>
                <c:pt idx="199">
                  <c:v>6.9000000000000006E-2</c:v>
                </c:pt>
                <c:pt idx="200">
                  <c:v>6.8000000000000005E-2</c:v>
                </c:pt>
                <c:pt idx="201">
                  <c:v>6.6752430796623241E-2</c:v>
                </c:pt>
                <c:pt idx="202">
                  <c:v>6.9597551226615914E-2</c:v>
                </c:pt>
                <c:pt idx="203">
                  <c:v>7.2357377409934989E-2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D84-447E-8DAF-B492CE5418B5}"/>
            </c:ext>
          </c:extLst>
        </c:ser>
        <c:ser>
          <c:idx val="2"/>
          <c:order val="1"/>
          <c:tx>
            <c:v>Premiepensionssystemet, realt (IR)</c:v>
          </c:tx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  <c:marker>
            <c:symbol val="none"/>
          </c:marker>
          <c:cat>
            <c:numRef>
              <c:f>'Avkastning pp-systemet'!$B$27:$B$949</c:f>
              <c:numCache>
                <c:formatCode>m/d/yyyy</c:formatCode>
                <c:ptCount val="92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  <c:pt idx="189">
                  <c:v>42613</c:v>
                </c:pt>
                <c:pt idx="190">
                  <c:v>42643</c:v>
                </c:pt>
                <c:pt idx="191">
                  <c:v>42674</c:v>
                </c:pt>
                <c:pt idx="192">
                  <c:v>42704</c:v>
                </c:pt>
                <c:pt idx="193">
                  <c:v>42735</c:v>
                </c:pt>
                <c:pt idx="194">
                  <c:v>42766</c:v>
                </c:pt>
                <c:pt idx="195">
                  <c:v>42794</c:v>
                </c:pt>
                <c:pt idx="196">
                  <c:v>42825</c:v>
                </c:pt>
                <c:pt idx="197">
                  <c:v>42855</c:v>
                </c:pt>
                <c:pt idx="198">
                  <c:v>42886</c:v>
                </c:pt>
                <c:pt idx="199">
                  <c:v>42916</c:v>
                </c:pt>
                <c:pt idx="200">
                  <c:v>42947</c:v>
                </c:pt>
                <c:pt idx="201">
                  <c:v>42978</c:v>
                </c:pt>
                <c:pt idx="202">
                  <c:v>43008</c:v>
                </c:pt>
                <c:pt idx="203">
                  <c:v>43039</c:v>
                </c:pt>
                <c:pt idx="204">
                  <c:v>43069</c:v>
                </c:pt>
                <c:pt idx="205">
                  <c:v>43100</c:v>
                </c:pt>
              </c:numCache>
            </c:numRef>
          </c:cat>
          <c:val>
            <c:numRef>
              <c:f>'Avkastning pp-systemet'!$D$27:$D$949</c:f>
              <c:numCache>
                <c:formatCode>0.0%</c:formatCode>
                <c:ptCount val="923"/>
                <c:pt idx="0">
                  <c:v>3.4185081486749702E-2</c:v>
                </c:pt>
                <c:pt idx="1">
                  <c:v>2.1548629423359555E-2</c:v>
                </c:pt>
                <c:pt idx="2">
                  <c:v>2.7404682439887473E-2</c:v>
                </c:pt>
                <c:pt idx="3">
                  <c:v>7.8503517895816E-3</c:v>
                </c:pt>
                <c:pt idx="4">
                  <c:v>-1.0267239300616793E-2</c:v>
                </c:pt>
                <c:pt idx="5">
                  <c:v>1.0771200659497771E-2</c:v>
                </c:pt>
                <c:pt idx="6">
                  <c:v>1.8881108471976438E-2</c:v>
                </c:pt>
                <c:pt idx="7">
                  <c:v>1.1325475944840457E-2</c:v>
                </c:pt>
                <c:pt idx="8">
                  <c:v>4.7028351006228597E-4</c:v>
                </c:pt>
                <c:pt idx="9">
                  <c:v>-1.5417734422042306E-2</c:v>
                </c:pt>
                <c:pt idx="10">
                  <c:v>-3.8834699205131495E-2</c:v>
                </c:pt>
                <c:pt idx="11">
                  <c:v>-2.5904718303681462E-2</c:v>
                </c:pt>
                <c:pt idx="12">
                  <c:v>-8.6559676423678678E-3</c:v>
                </c:pt>
                <c:pt idx="13">
                  <c:v>-6.1731336402864878E-3</c:v>
                </c:pt>
                <c:pt idx="14">
                  <c:v>-1.5298287953683931E-2</c:v>
                </c:pt>
                <c:pt idx="15">
                  <c:v>-1.3144274988336146E-2</c:v>
                </c:pt>
                <c:pt idx="16">
                  <c:v>-8.6379847426899525E-3</c:v>
                </c:pt>
                <c:pt idx="17">
                  <c:v>-2.4244469021596826E-2</c:v>
                </c:pt>
                <c:pt idx="18">
                  <c:v>-3.3758340216878069E-2</c:v>
                </c:pt>
                <c:pt idx="19">
                  <c:v>-5.6242413003703695E-2</c:v>
                </c:pt>
                <c:pt idx="20">
                  <c:v>-7.1328747213725285E-2</c:v>
                </c:pt>
                <c:pt idx="21">
                  <c:v>-7.2026959066810781E-2</c:v>
                </c:pt>
                <c:pt idx="22">
                  <c:v>-9.6191525348371942E-2</c:v>
                </c:pt>
                <c:pt idx="23">
                  <c:v>-7.811047611313271E-2</c:v>
                </c:pt>
                <c:pt idx="24">
                  <c:v>-6.3490325914083545E-2</c:v>
                </c:pt>
                <c:pt idx="25">
                  <c:v>-8.1363488144732155E-2</c:v>
                </c:pt>
                <c:pt idx="26">
                  <c:v>-8.1082083561948126E-2</c:v>
                </c:pt>
                <c:pt idx="27">
                  <c:v>-8.4368288687806992E-2</c:v>
                </c:pt>
                <c:pt idx="28">
                  <c:v>-8.3327589721909345E-2</c:v>
                </c:pt>
                <c:pt idx="29">
                  <c:v>-6.6895914983121973E-2</c:v>
                </c:pt>
                <c:pt idx="30">
                  <c:v>-6.3604430327384165E-2</c:v>
                </c:pt>
                <c:pt idx="31">
                  <c:v>-5.2157286858934504E-2</c:v>
                </c:pt>
                <c:pt idx="32">
                  <c:v>-4.3131071458743397E-2</c:v>
                </c:pt>
                <c:pt idx="33">
                  <c:v>-3.4524092565202391E-2</c:v>
                </c:pt>
                <c:pt idx="34">
                  <c:v>-4.4827020282767416E-2</c:v>
                </c:pt>
                <c:pt idx="35">
                  <c:v>-3.2079646012366569E-2</c:v>
                </c:pt>
                <c:pt idx="36">
                  <c:v>-3.2182176662197692E-2</c:v>
                </c:pt>
                <c:pt idx="37">
                  <c:v>-2.8072136451758656E-2</c:v>
                </c:pt>
                <c:pt idx="38">
                  <c:v>-1.5971690400716887E-2</c:v>
                </c:pt>
                <c:pt idx="39">
                  <c:v>-9.8531879500926012E-3</c:v>
                </c:pt>
                <c:pt idx="40">
                  <c:v>-1.0917284193586507E-2</c:v>
                </c:pt>
                <c:pt idx="41">
                  <c:v>-1.2082717703069346E-2</c:v>
                </c:pt>
                <c:pt idx="42">
                  <c:v>-1.6072427072010176E-2</c:v>
                </c:pt>
                <c:pt idx="43">
                  <c:v>-1.0460542731541622E-2</c:v>
                </c:pt>
                <c:pt idx="44">
                  <c:v>-1.489083907696509E-2</c:v>
                </c:pt>
                <c:pt idx="45">
                  <c:v>-1.5674661955586866E-2</c:v>
                </c:pt>
                <c:pt idx="46">
                  <c:v>-1.476524487914932E-2</c:v>
                </c:pt>
                <c:pt idx="47">
                  <c:v>-1.4868318328853047E-2</c:v>
                </c:pt>
                <c:pt idx="48">
                  <c:v>-1.0471397953667361E-2</c:v>
                </c:pt>
                <c:pt idx="49">
                  <c:v>-7.5207632668000679E-3</c:v>
                </c:pt>
                <c:pt idx="50">
                  <c:v>4.3491823343178027E-5</c:v>
                </c:pt>
                <c:pt idx="51">
                  <c:v>4.1942931763401248E-3</c:v>
                </c:pt>
                <c:pt idx="52">
                  <c:v>3.7261994448885005E-3</c:v>
                </c:pt>
                <c:pt idx="53">
                  <c:v>1.741840457652799E-3</c:v>
                </c:pt>
                <c:pt idx="54">
                  <c:v>1.2080834781232008E-2</c:v>
                </c:pt>
                <c:pt idx="55">
                  <c:v>2.0727322154043826E-2</c:v>
                </c:pt>
                <c:pt idx="56">
                  <c:v>2.6871026698744638E-2</c:v>
                </c:pt>
                <c:pt idx="57">
                  <c:v>2.3982048101524711E-2</c:v>
                </c:pt>
                <c:pt idx="58">
                  <c:v>3.1351522851562619E-2</c:v>
                </c:pt>
                <c:pt idx="59">
                  <c:v>2.8289954554848729E-2</c:v>
                </c:pt>
                <c:pt idx="60">
                  <c:v>3.6174714678961495E-2</c:v>
                </c:pt>
                <c:pt idx="61">
                  <c:v>3.9969120847023198E-2</c:v>
                </c:pt>
                <c:pt idx="62">
                  <c:v>3.9924696157996209E-2</c:v>
                </c:pt>
                <c:pt idx="63">
                  <c:v>4.6057149056302427E-2</c:v>
                </c:pt>
                <c:pt idx="64">
                  <c:v>4.8141964784657709E-2</c:v>
                </c:pt>
                <c:pt idx="65">
                  <c:v>4.6268814703733341E-2</c:v>
                </c:pt>
                <c:pt idx="66">
                  <c:v>3.2266482805877184E-2</c:v>
                </c:pt>
                <c:pt idx="67">
                  <c:v>3.2376415782498835E-2</c:v>
                </c:pt>
                <c:pt idx="68">
                  <c:v>3.2415263728103216E-2</c:v>
                </c:pt>
                <c:pt idx="69">
                  <c:v>3.6615016583132709E-2</c:v>
                </c:pt>
                <c:pt idx="70">
                  <c:v>4.0069293877977863E-2</c:v>
                </c:pt>
                <c:pt idx="71">
                  <c:v>4.3494004748145132E-2</c:v>
                </c:pt>
                <c:pt idx="72">
                  <c:v>4.1607747360923319E-2</c:v>
                </c:pt>
                <c:pt idx="73">
                  <c:v>4.7248204632641677E-2</c:v>
                </c:pt>
                <c:pt idx="74">
                  <c:v>5.0643140205407722E-2</c:v>
                </c:pt>
                <c:pt idx="75">
                  <c:v>4.8689985855187246E-2</c:v>
                </c:pt>
                <c:pt idx="76">
                  <c:v>5.2522620695754307E-2</c:v>
                </c:pt>
                <c:pt idx="77">
                  <c:v>5.5033553075613639E-2</c:v>
                </c:pt>
                <c:pt idx="78">
                  <c:v>6.0039238342899148E-2</c:v>
                </c:pt>
                <c:pt idx="79">
                  <c:v>5.8000055826007646E-2</c:v>
                </c:pt>
                <c:pt idx="80">
                  <c:v>5.5202713208013732E-2</c:v>
                </c:pt>
                <c:pt idx="81">
                  <c:v>5.3521367869992176E-2</c:v>
                </c:pt>
                <c:pt idx="82">
                  <c:v>5.2674689687163712E-2</c:v>
                </c:pt>
                <c:pt idx="83">
                  <c:v>5.3727785198714129E-2</c:v>
                </c:pt>
                <c:pt idx="84">
                  <c:v>4.6141160304356443E-2</c:v>
                </c:pt>
                <c:pt idx="85">
                  <c:v>4.4545527707018584E-2</c:v>
                </c:pt>
                <c:pt idx="86">
                  <c:v>2.6024271859803161E-2</c:v>
                </c:pt>
                <c:pt idx="87">
                  <c:v>2.7461672860831232E-2</c:v>
                </c:pt>
                <c:pt idx="88">
                  <c:v>1.9037555292700015E-2</c:v>
                </c:pt>
                <c:pt idx="89">
                  <c:v>2.6007256561989545E-2</c:v>
                </c:pt>
                <c:pt idx="90">
                  <c:v>2.8487882226032157E-2</c:v>
                </c:pt>
                <c:pt idx="91">
                  <c:v>1.358501620340391E-2</c:v>
                </c:pt>
                <c:pt idx="92">
                  <c:v>1.1878917786482424E-2</c:v>
                </c:pt>
                <c:pt idx="93">
                  <c:v>1.3558157509492297E-2</c:v>
                </c:pt>
                <c:pt idx="94">
                  <c:v>-1.8499898710262475E-3</c:v>
                </c:pt>
                <c:pt idx="95">
                  <c:v>-2.1634276779328276E-2</c:v>
                </c:pt>
                <c:pt idx="96">
                  <c:v>-2.4876939720925084E-2</c:v>
                </c:pt>
                <c:pt idx="97">
                  <c:v>-2.0525774681651843E-2</c:v>
                </c:pt>
                <c:pt idx="98">
                  <c:v>-2.2917707176761448E-2</c:v>
                </c:pt>
                <c:pt idx="99">
                  <c:v>-2.3372180736469406E-2</c:v>
                </c:pt>
                <c:pt idx="100">
                  <c:v>-2.3511776323394629E-2</c:v>
                </c:pt>
                <c:pt idx="101">
                  <c:v>-6.4777286344437357E-3</c:v>
                </c:pt>
                <c:pt idx="102">
                  <c:v>-1.1924484536891544E-3</c:v>
                </c:pt>
                <c:pt idx="103">
                  <c:v>5.473128672552896E-4</c:v>
                </c:pt>
                <c:pt idx="104">
                  <c:v>6.7386723308759944E-3</c:v>
                </c:pt>
                <c:pt idx="105">
                  <c:v>8.8289205702789531E-3</c:v>
                </c:pt>
                <c:pt idx="106">
                  <c:v>1.1823532400842218E-2</c:v>
                </c:pt>
                <c:pt idx="107">
                  <c:v>1.4087793226733147E-2</c:v>
                </c:pt>
                <c:pt idx="108">
                  <c:v>1.5873251118418308E-2</c:v>
                </c:pt>
                <c:pt idx="109">
                  <c:v>1.9308385716834797E-2</c:v>
                </c:pt>
                <c:pt idx="110">
                  <c:v>1.8584471684042425E-2</c:v>
                </c:pt>
                <c:pt idx="111">
                  <c:v>1.4971511735579091E-2</c:v>
                </c:pt>
                <c:pt idx="112">
                  <c:v>2.4071410714172625E-2</c:v>
                </c:pt>
                <c:pt idx="113">
                  <c:v>2.603844629148E-2</c:v>
                </c:pt>
                <c:pt idx="114">
                  <c:v>2.0644845305179516E-2</c:v>
                </c:pt>
                <c:pt idx="115">
                  <c:v>1.8075096199156038E-2</c:v>
                </c:pt>
                <c:pt idx="116">
                  <c:v>2.0071045031447188E-2</c:v>
                </c:pt>
                <c:pt idx="117">
                  <c:v>1.7359436795189032E-2</c:v>
                </c:pt>
                <c:pt idx="118">
                  <c:v>2.0682496548403373E-2</c:v>
                </c:pt>
                <c:pt idx="119">
                  <c:v>2.3125833495651227E-2</c:v>
                </c:pt>
                <c:pt idx="120">
                  <c:v>2.4458909450991939E-2</c:v>
                </c:pt>
                <c:pt idx="121">
                  <c:v>2.8949994981807947E-2</c:v>
                </c:pt>
                <c:pt idx="122">
                  <c:v>2.5641282056729553E-2</c:v>
                </c:pt>
                <c:pt idx="123">
                  <c:v>2.5498098365235977E-2</c:v>
                </c:pt>
                <c:pt idx="124">
                  <c:v>2.5557541452574606E-2</c:v>
                </c:pt>
                <c:pt idx="125">
                  <c:v>2.61421381643685E-2</c:v>
                </c:pt>
                <c:pt idx="126">
                  <c:v>2.5145744937958403E-2</c:v>
                </c:pt>
                <c:pt idx="127">
                  <c:v>2.3929728238789583E-2</c:v>
                </c:pt>
                <c:pt idx="128">
                  <c:v>2.0909664735007993E-2</c:v>
                </c:pt>
                <c:pt idx="129">
                  <c:v>9.9986986813036527E-3</c:v>
                </c:pt>
                <c:pt idx="130">
                  <c:v>3.5362049089282532E-3</c:v>
                </c:pt>
                <c:pt idx="131">
                  <c:v>1.1123333942320901E-2</c:v>
                </c:pt>
                <c:pt idx="132">
                  <c:v>9.8214578965045707E-3</c:v>
                </c:pt>
                <c:pt idx="133">
                  <c:v>1.0515910236677195E-2</c:v>
                </c:pt>
                <c:pt idx="134">
                  <c:v>1.7941996911883917E-2</c:v>
                </c:pt>
                <c:pt idx="135">
                  <c:v>2.1729992452113711E-2</c:v>
                </c:pt>
                <c:pt idx="136">
                  <c:v>2.1076218730202267E-2</c:v>
                </c:pt>
                <c:pt idx="137">
                  <c:v>2.0288992060290667E-2</c:v>
                </c:pt>
                <c:pt idx="138">
                  <c:v>1.4865738425540842E-2</c:v>
                </c:pt>
                <c:pt idx="139">
                  <c:v>1.5632923947092037E-2</c:v>
                </c:pt>
                <c:pt idx="140">
                  <c:v>1.7977601349618677E-2</c:v>
                </c:pt>
                <c:pt idx="141">
                  <c:v>1.809066091010636E-2</c:v>
                </c:pt>
                <c:pt idx="142">
                  <c:v>1.9407039951484961E-2</c:v>
                </c:pt>
                <c:pt idx="143">
                  <c:v>1.9E-2</c:v>
                </c:pt>
                <c:pt idx="144">
                  <c:v>2.1419156062164157E-2</c:v>
                </c:pt>
                <c:pt idx="145">
                  <c:v>2.1999999999999999E-2</c:v>
                </c:pt>
                <c:pt idx="146">
                  <c:v>2.5999999999999999E-2</c:v>
                </c:pt>
                <c:pt idx="147">
                  <c:v>2.7E-2</c:v>
                </c:pt>
                <c:pt idx="148">
                  <c:v>2.8000000000000001E-2</c:v>
                </c:pt>
                <c:pt idx="149">
                  <c:v>3.021634960992059E-2</c:v>
                </c:pt>
                <c:pt idx="150">
                  <c:v>3.2510235111782526E-2</c:v>
                </c:pt>
                <c:pt idx="151">
                  <c:v>2.9000000000000001E-2</c:v>
                </c:pt>
                <c:pt idx="152">
                  <c:v>3.2000000000000001E-2</c:v>
                </c:pt>
                <c:pt idx="153">
                  <c:v>3.0565346771909807E-2</c:v>
                </c:pt>
                <c:pt idx="154">
                  <c:v>3.2590249313495745E-2</c:v>
                </c:pt>
                <c:pt idx="155">
                  <c:v>3.5999999999999997E-2</c:v>
                </c:pt>
                <c:pt idx="156">
                  <c:v>3.9E-2</c:v>
                </c:pt>
                <c:pt idx="157">
                  <c:v>3.7999999999999999E-2</c:v>
                </c:pt>
                <c:pt idx="158">
                  <c:v>3.5704475850176109E-2</c:v>
                </c:pt>
                <c:pt idx="159">
                  <c:v>3.9678287364250497E-2</c:v>
                </c:pt>
                <c:pt idx="160">
                  <c:v>0.04</c:v>
                </c:pt>
                <c:pt idx="161">
                  <c:v>4.0989521007804397E-2</c:v>
                </c:pt>
                <c:pt idx="162">
                  <c:v>4.4864681036111742E-2</c:v>
                </c:pt>
                <c:pt idx="163">
                  <c:v>4.5999999999999999E-2</c:v>
                </c:pt>
                <c:pt idx="164">
                  <c:v>4.6876804335680644E-2</c:v>
                </c:pt>
                <c:pt idx="165">
                  <c:v>4.8158070905524042E-2</c:v>
                </c:pt>
                <c:pt idx="166">
                  <c:v>4.7353837554251488E-2</c:v>
                </c:pt>
                <c:pt idx="167">
                  <c:v>4.9283665742172023E-2</c:v>
                </c:pt>
                <c:pt idx="168">
                  <c:v>5.1296585932272709E-2</c:v>
                </c:pt>
                <c:pt idx="169">
                  <c:v>5.2363437649265432E-2</c:v>
                </c:pt>
                <c:pt idx="170">
                  <c:v>5.6750176126521223E-2</c:v>
                </c:pt>
                <c:pt idx="171">
                  <c:v>6.1839418162997983E-2</c:v>
                </c:pt>
                <c:pt idx="172">
                  <c:v>6.3E-2</c:v>
                </c:pt>
                <c:pt idx="173">
                  <c:v>6.2452188892409222E-2</c:v>
                </c:pt>
                <c:pt idx="174">
                  <c:v>6.3451950031283566E-2</c:v>
                </c:pt>
                <c:pt idx="175">
                  <c:v>5.8000000000000003E-2</c:v>
                </c:pt>
                <c:pt idx="176">
                  <c:v>6.0691903343027098E-2</c:v>
                </c:pt>
                <c:pt idx="177">
                  <c:v>5.354101860584537E-2</c:v>
                </c:pt>
                <c:pt idx="178">
                  <c:v>4.8799148656467617E-2</c:v>
                </c:pt>
                <c:pt idx="179">
                  <c:v>5.5464333436504587E-2</c:v>
                </c:pt>
                <c:pt idx="180">
                  <c:v>5.6878755217900645E-2</c:v>
                </c:pt>
                <c:pt idx="181">
                  <c:v>5.2694345074882021E-2</c:v>
                </c:pt>
                <c:pt idx="182">
                  <c:v>4.6569628501169191E-2</c:v>
                </c:pt>
                <c:pt idx="183">
                  <c:v>4.6191734216294966E-2</c:v>
                </c:pt>
                <c:pt idx="184">
                  <c:v>4.7278269191232569E-2</c:v>
                </c:pt>
                <c:pt idx="185">
                  <c:v>4.7145950147996496E-2</c:v>
                </c:pt>
                <c:pt idx="186">
                  <c:v>4.9809464284329863E-2</c:v>
                </c:pt>
                <c:pt idx="187">
                  <c:v>4.8291149941902312E-2</c:v>
                </c:pt>
                <c:pt idx="188">
                  <c:v>5.2662670970432757E-2</c:v>
                </c:pt>
                <c:pt idx="189">
                  <c:v>5.3458447876366E-2</c:v>
                </c:pt>
                <c:pt idx="190">
                  <c:v>5.3470725589369827E-2</c:v>
                </c:pt>
                <c:pt idx="191">
                  <c:v>5.4467302236123727E-2</c:v>
                </c:pt>
                <c:pt idx="192">
                  <c:v>5.5777449633751752E-2</c:v>
                </c:pt>
                <c:pt idx="193">
                  <c:v>5.5777449633751752E-2</c:v>
                </c:pt>
                <c:pt idx="194">
                  <c:v>5.546034285313195E-2</c:v>
                </c:pt>
                <c:pt idx="195">
                  <c:v>5.8792211776401704E-2</c:v>
                </c:pt>
                <c:pt idx="196">
                  <c:v>5.8912153091711827E-2</c:v>
                </c:pt>
                <c:pt idx="197">
                  <c:v>5.9548415034212709E-2</c:v>
                </c:pt>
                <c:pt idx="198">
                  <c:v>5.9891908623134427E-2</c:v>
                </c:pt>
                <c:pt idx="199">
                  <c:v>5.8000000000000003E-2</c:v>
                </c:pt>
                <c:pt idx="200">
                  <c:v>5.6000000000000001E-2</c:v>
                </c:pt>
                <c:pt idx="201">
                  <c:v>5.4891996275059585E-2</c:v>
                </c:pt>
                <c:pt idx="202">
                  <c:v>5.7685399402702231E-2</c:v>
                </c:pt>
                <c:pt idx="203">
                  <c:v>6.0492862078971532E-2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D84-447E-8DAF-B492CE5418B5}"/>
            </c:ext>
          </c:extLst>
        </c:ser>
        <c:ser>
          <c:idx val="1"/>
          <c:order val="2"/>
          <c:tx>
            <c:strRef>
              <c:f>'Avkastning pp-systemet'!$E$25:$E$26</c:f>
              <c:strCache>
                <c:ptCount val="2"/>
                <c:pt idx="0">
                  <c:v>Balansindex, (IR)</c:v>
                </c:pt>
              </c:strCache>
            </c:strRef>
          </c:tx>
          <c:spPr>
            <a:ln w="12700">
              <a:solidFill>
                <a:srgbClr val="E34912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E34912"/>
              </a:solidFill>
              <a:ln>
                <a:solidFill>
                  <a:srgbClr val="E34912"/>
                </a:solidFill>
                <a:prstDash val="solid"/>
              </a:ln>
            </c:spPr>
          </c:marker>
          <c:trendline>
            <c:spPr>
              <a:ln w="38100">
                <a:solidFill>
                  <a:srgbClr val="FF6600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cat>
            <c:numRef>
              <c:f>'Avkastning pp-systemet'!$B$27:$B$949</c:f>
              <c:numCache>
                <c:formatCode>m/d/yyyy</c:formatCode>
                <c:ptCount val="92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  <c:pt idx="189">
                  <c:v>42613</c:v>
                </c:pt>
                <c:pt idx="190">
                  <c:v>42643</c:v>
                </c:pt>
                <c:pt idx="191">
                  <c:v>42674</c:v>
                </c:pt>
                <c:pt idx="192">
                  <c:v>42704</c:v>
                </c:pt>
                <c:pt idx="193">
                  <c:v>42735</c:v>
                </c:pt>
                <c:pt idx="194">
                  <c:v>42766</c:v>
                </c:pt>
                <c:pt idx="195">
                  <c:v>42794</c:v>
                </c:pt>
                <c:pt idx="196">
                  <c:v>42825</c:v>
                </c:pt>
                <c:pt idx="197">
                  <c:v>42855</c:v>
                </c:pt>
                <c:pt idx="198">
                  <c:v>42886</c:v>
                </c:pt>
                <c:pt idx="199">
                  <c:v>42916</c:v>
                </c:pt>
                <c:pt idx="200">
                  <c:v>42947</c:v>
                </c:pt>
                <c:pt idx="201">
                  <c:v>42978</c:v>
                </c:pt>
                <c:pt idx="202">
                  <c:v>43008</c:v>
                </c:pt>
                <c:pt idx="203">
                  <c:v>43039</c:v>
                </c:pt>
                <c:pt idx="204">
                  <c:v>43069</c:v>
                </c:pt>
                <c:pt idx="205">
                  <c:v>43100</c:v>
                </c:pt>
              </c:numCache>
            </c:numRef>
          </c:cat>
          <c:val>
            <c:numRef>
              <c:f>'Avkastning pp-systemet'!$E$27:$E$931</c:f>
              <c:numCache>
                <c:formatCode>0.0%</c:formatCode>
                <c:ptCount val="905"/>
                <c:pt idx="1">
                  <c:v>2.2797217369079588E-2</c:v>
                </c:pt>
                <c:pt idx="13">
                  <c:v>2.3982968330383304E-2</c:v>
                </c:pt>
                <c:pt idx="25">
                  <c:v>2.7880635261535645E-2</c:v>
                </c:pt>
                <c:pt idx="37">
                  <c:v>3.0487141609191897E-2</c:v>
                </c:pt>
                <c:pt idx="49">
                  <c:v>2.9854731559753416E-2</c:v>
                </c:pt>
                <c:pt idx="61">
                  <c:v>2.9321951866149901E-2</c:v>
                </c:pt>
                <c:pt idx="73">
                  <c:v>2.8684389648437503E-2</c:v>
                </c:pt>
                <c:pt idx="85">
                  <c:v>3.0921567382812501E-2</c:v>
                </c:pt>
                <c:pt idx="97">
                  <c:v>3.5105043945312511E-2</c:v>
                </c:pt>
                <c:pt idx="109">
                  <c:v>2.8925034179687503E-2</c:v>
                </c:pt>
                <c:pt idx="121">
                  <c:v>2.2445375976562501E-2</c:v>
                </c:pt>
                <c:pt idx="133">
                  <c:v>2.5404243164062507E-2</c:v>
                </c:pt>
                <c:pt idx="145">
                  <c:v>2.8646831054687502E-2</c:v>
                </c:pt>
                <c:pt idx="157">
                  <c:v>2.4E-2</c:v>
                </c:pt>
                <c:pt idx="169">
                  <c:v>2.4825893554687499E-2</c:v>
                </c:pt>
                <c:pt idx="181">
                  <c:v>2.8203940429687498E-2</c:v>
                </c:pt>
                <c:pt idx="193">
                  <c:v>2.9847344756126402E-2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D84-447E-8DAF-B492CE5418B5}"/>
            </c:ext>
          </c:extLst>
        </c:ser>
        <c:ser>
          <c:idx val="3"/>
          <c:order val="3"/>
          <c:tx>
            <c:strRef>
              <c:f>'Avkastning pp-systemet'!$F$25:$F$26</c:f>
              <c:strCache>
                <c:ptCount val="2"/>
                <c:pt idx="0">
                  <c:v>Balansindex, realt (IR) *</c:v>
                </c:pt>
              </c:strCache>
            </c:strRef>
          </c:tx>
          <c:spPr>
            <a:ln w="12700">
              <a:solidFill>
                <a:srgbClr val="CC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CC0000"/>
              </a:solidFill>
              <a:ln>
                <a:solidFill>
                  <a:srgbClr val="CC0000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CC0000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cat>
            <c:numRef>
              <c:f>'Avkastning pp-systemet'!$B$27:$B$949</c:f>
              <c:numCache>
                <c:formatCode>m/d/yyyy</c:formatCode>
                <c:ptCount val="92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  <c:pt idx="189">
                  <c:v>42613</c:v>
                </c:pt>
                <c:pt idx="190">
                  <c:v>42643</c:v>
                </c:pt>
                <c:pt idx="191">
                  <c:v>42674</c:v>
                </c:pt>
                <c:pt idx="192">
                  <c:v>42704</c:v>
                </c:pt>
                <c:pt idx="193">
                  <c:v>42735</c:v>
                </c:pt>
                <c:pt idx="194">
                  <c:v>42766</c:v>
                </c:pt>
                <c:pt idx="195">
                  <c:v>42794</c:v>
                </c:pt>
                <c:pt idx="196">
                  <c:v>42825</c:v>
                </c:pt>
                <c:pt idx="197">
                  <c:v>42855</c:v>
                </c:pt>
                <c:pt idx="198">
                  <c:v>42886</c:v>
                </c:pt>
                <c:pt idx="199">
                  <c:v>42916</c:v>
                </c:pt>
                <c:pt idx="200">
                  <c:v>42947</c:v>
                </c:pt>
                <c:pt idx="201">
                  <c:v>42978</c:v>
                </c:pt>
                <c:pt idx="202">
                  <c:v>43008</c:v>
                </c:pt>
                <c:pt idx="203">
                  <c:v>43039</c:v>
                </c:pt>
                <c:pt idx="204">
                  <c:v>43069</c:v>
                </c:pt>
                <c:pt idx="205">
                  <c:v>43100</c:v>
                </c:pt>
              </c:numCache>
            </c:numRef>
          </c:cat>
          <c:val>
            <c:numRef>
              <c:f>'Avkastning pp-systemet'!$F$27:$F$931</c:f>
              <c:numCache>
                <c:formatCode>0.0%</c:formatCode>
                <c:ptCount val="905"/>
                <c:pt idx="1">
                  <c:v>1.4385435572878524E-2</c:v>
                </c:pt>
                <c:pt idx="13">
                  <c:v>1.2858501944238876E-2</c:v>
                </c:pt>
                <c:pt idx="25">
                  <c:v>1.731618596262785E-2</c:v>
                </c:pt>
                <c:pt idx="37">
                  <c:v>1.946856297105648E-2</c:v>
                </c:pt>
                <c:pt idx="49">
                  <c:v>1.946168072920984E-2</c:v>
                </c:pt>
                <c:pt idx="61">
                  <c:v>1.8905712826249532E-2</c:v>
                </c:pt>
                <c:pt idx="73">
                  <c:v>1.8187786090944069E-2</c:v>
                </c:pt>
                <c:pt idx="85">
                  <c:v>1.7944317787332631E-2</c:v>
                </c:pt>
                <c:pt idx="97">
                  <c:v>2.2184246086472958E-2</c:v>
                </c:pt>
                <c:pt idx="109">
                  <c:v>1.6326040939315112E-2</c:v>
                </c:pt>
                <c:pt idx="121">
                  <c:v>8.3401417466919536E-3</c:v>
                </c:pt>
                <c:pt idx="133">
                  <c:v>1.1775920690321406E-2</c:v>
                </c:pt>
                <c:pt idx="145">
                  <c:v>1.5767971616328147E-2</c:v>
                </c:pt>
                <c:pt idx="157">
                  <c:v>1.2E-2</c:v>
                </c:pt>
                <c:pt idx="169">
                  <c:v>1.3372464750312618E-2</c:v>
                </c:pt>
                <c:pt idx="181">
                  <c:v>1.7236519414362217E-2</c:v>
                </c:pt>
                <c:pt idx="193">
                  <c:v>1.8557478048362164E-2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D84-447E-8DAF-B492CE5418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6572288"/>
        <c:axId val="196573824"/>
      </c:lineChart>
      <c:dateAx>
        <c:axId val="196572288"/>
        <c:scaling>
          <c:orientation val="minMax"/>
          <c:max val="43100"/>
          <c:min val="36526"/>
        </c:scaling>
        <c:delete val="0"/>
        <c:axPos val="b"/>
        <c:numFmt formatCode="yyyy;@" sourceLinked="0"/>
        <c:majorTickMark val="cross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 anchor="ctr" anchorCtr="1"/>
          <a:lstStyle/>
          <a:p>
            <a:pPr>
              <a:defRPr sz="10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573824"/>
        <c:crosses val="autoZero"/>
        <c:auto val="1"/>
        <c:lblOffset val="100"/>
        <c:baseTimeUnit val="days"/>
        <c:majorUnit val="1"/>
        <c:majorTimeUnit val="years"/>
        <c:minorUnit val="1"/>
        <c:minorTimeUnit val="years"/>
      </c:dateAx>
      <c:valAx>
        <c:axId val="196573824"/>
        <c:scaling>
          <c:orientation val="minMax"/>
          <c:max val="0.08"/>
          <c:min val="-0.1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572288"/>
        <c:crosses val="autoZero"/>
        <c:crossBetween val="midCat"/>
      </c:valAx>
    </c:plotArea>
    <c:legend>
      <c:legendPos val="r"/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1.9427402862985686E-2"/>
          <c:y val="0.88144474208765133"/>
          <c:w val="0.96625863484855801"/>
          <c:h val="0.10652939001181549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969696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fondrörelsen per kalenderår</a:t>
            </a:r>
          </a:p>
        </c:rich>
      </c:tx>
      <c:layout>
        <c:manualLayout>
          <c:xMode val="edge"/>
          <c:yMode val="edge"/>
          <c:x val="0.30959784825658399"/>
          <c:y val="2.82392026578073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5015545399116151E-2"/>
          <c:y val="0.15116279069767441"/>
          <c:w val="0.92088149971965583"/>
          <c:h val="0.6843853820598007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'Index, fondrörelsen'!$B$15</c:f>
              <c:strCache>
                <c:ptCount val="1"/>
                <c:pt idx="0">
                  <c:v>Fondrörelsen1)</c:v>
                </c:pt>
              </c:strCache>
            </c:strRef>
          </c:tx>
          <c:spPr>
            <a:solidFill>
              <a:srgbClr val="FFB70F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18-EF6A-43DA-BAE7-882E122B7A90}"/>
              </c:ext>
            </c:extLst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1D-EF6A-43DA-BAE7-882E122B7A90}"/>
              </c:ext>
            </c:extLst>
          </c:dPt>
          <c:dPt>
            <c:idx val="2"/>
            <c:invertIfNegative val="0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1F-EF6A-43DA-BAE7-882E122B7A90}"/>
              </c:ext>
            </c:extLst>
          </c:dPt>
          <c:dPt>
            <c:idx val="3"/>
            <c:invertIfNegative val="0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20-EF6A-43DA-BAE7-882E122B7A9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24-EF6A-43DA-BAE7-882E122B7A90}"/>
              </c:ext>
            </c:extLst>
          </c:dPt>
          <c:dPt>
            <c:idx val="5"/>
            <c:invertIfNegative val="0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28-EF6A-43DA-BAE7-882E122B7A90}"/>
              </c:ext>
            </c:extLst>
          </c:dPt>
          <c:dPt>
            <c:idx val="6"/>
            <c:invertIfNegative val="0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3B-EF6A-43DA-BAE7-882E122B7A90}"/>
              </c:ext>
            </c:extLst>
          </c:dPt>
          <c:dPt>
            <c:idx val="7"/>
            <c:invertIfNegative val="0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34-EF6A-43DA-BAE7-882E122B7A90}"/>
              </c:ext>
            </c:extLst>
          </c:dPt>
          <c:dPt>
            <c:idx val="8"/>
            <c:invertIfNegative val="0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2C-EF6A-43DA-BAE7-882E122B7A90}"/>
              </c:ext>
            </c:extLst>
          </c:dPt>
          <c:dPt>
            <c:idx val="9"/>
            <c:invertIfNegative val="0"/>
            <c:bubble3D val="0"/>
            <c:spPr>
              <a:pattFill prst="wdUpDiag">
                <a:fgClr>
                  <a:schemeClr val="accent6">
                    <a:lumMod val="40000"/>
                    <a:lumOff val="60000"/>
                  </a:schemeClr>
                </a:fgClr>
                <a:bgClr>
                  <a:srgbClr val="FFC000"/>
                </a:bgClr>
              </a:patt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1-E43D-4778-9766-A8473E722B27}"/>
              </c:ext>
            </c:extLst>
          </c:dPt>
          <c:cat>
            <c:numRef>
              <c:f>'Index, fondrörelsen'!$C$14:$S$14</c:f>
              <c:numCache>
                <c:formatCode>General</c:formatCode>
                <c:ptCount val="17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yyyy;@">
                  <c:v>41639</c:v>
                </c:pt>
                <c:pt idx="13" formatCode="yyyy;@">
                  <c:v>42004</c:v>
                </c:pt>
                <c:pt idx="14" formatCode="yyyy;@">
                  <c:v>42369</c:v>
                </c:pt>
                <c:pt idx="15" formatCode="yyyy;@">
                  <c:v>42370</c:v>
                </c:pt>
                <c:pt idx="16" formatCode="yyyy/mm/dd;@">
                  <c:v>43039</c:v>
                </c:pt>
              </c:numCache>
            </c:numRef>
          </c:cat>
          <c:val>
            <c:numRef>
              <c:f>'Index, fondrörelsen'!$C$15:$S$15</c:f>
              <c:numCache>
                <c:formatCode>0.0%</c:formatCode>
                <c:ptCount val="17"/>
                <c:pt idx="0">
                  <c:v>-0.111</c:v>
                </c:pt>
                <c:pt idx="1">
                  <c:v>-0.31223079839764201</c:v>
                </c:pt>
                <c:pt idx="2">
                  <c:v>0.1782730775091621</c:v>
                </c:pt>
                <c:pt idx="3">
                  <c:v>8.7501758829949594E-2</c:v>
                </c:pt>
                <c:pt idx="4">
                  <c:v>0.30552648011758543</c:v>
                </c:pt>
                <c:pt idx="5">
                  <c:v>0.12140116450721394</c:v>
                </c:pt>
                <c:pt idx="6">
                  <c:v>5.6636805614445285E-2</c:v>
                </c:pt>
                <c:pt idx="7">
                  <c:v>-0.34156819000074978</c:v>
                </c:pt>
                <c:pt idx="8">
                  <c:v>0.34685505788951732</c:v>
                </c:pt>
                <c:pt idx="9">
                  <c:v>0.12151293044644662</c:v>
                </c:pt>
                <c:pt idx="10">
                  <c:v>-0.10687426681227297</c:v>
                </c:pt>
                <c:pt idx="11">
                  <c:v>0.12125473461444458</c:v>
                </c:pt>
                <c:pt idx="12">
                  <c:v>0.21099999999999999</c:v>
                </c:pt>
                <c:pt idx="13">
                  <c:v>0.20699999999999999</c:v>
                </c:pt>
                <c:pt idx="14">
                  <c:v>6.4000000000000001E-2</c:v>
                </c:pt>
                <c:pt idx="15">
                  <c:v>0.10855501959583491</c:v>
                </c:pt>
                <c:pt idx="16">
                  <c:v>0.12281109661700196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3D-4778-9766-A8473E722B27}"/>
            </c:ext>
          </c:extLst>
        </c:ser>
        <c:ser>
          <c:idx val="2"/>
          <c:order val="1"/>
          <c:tx>
            <c:strRef>
              <c:f>'Index, fondrörelsen'!$B$16</c:f>
              <c:strCache>
                <c:ptCount val="1"/>
                <c:pt idx="0">
                  <c:v>Sjunde AP-fonden2)</c:v>
                </c:pt>
              </c:strCache>
            </c:strRef>
          </c:tx>
          <c:spPr>
            <a:solidFill>
              <a:srgbClr val="FF6600"/>
            </a:solidFill>
            <a:ln w="1905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04-E43D-4778-9766-A8473E722B27}"/>
              </c:ext>
            </c:extLst>
          </c:dPt>
          <c:dPt>
            <c:idx val="1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06-E43D-4778-9766-A8473E722B27}"/>
              </c:ext>
            </c:extLst>
          </c:dPt>
          <c:dPt>
            <c:idx val="2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08-E43D-4778-9766-A8473E722B27}"/>
              </c:ext>
            </c:extLst>
          </c:dPt>
          <c:dPt>
            <c:idx val="3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0A-E43D-4778-9766-A8473E722B27}"/>
              </c:ext>
            </c:extLst>
          </c:dPt>
          <c:dPt>
            <c:idx val="4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0C-E43D-4778-9766-A8473E722B27}"/>
              </c:ext>
            </c:extLst>
          </c:dPt>
          <c:dPt>
            <c:idx val="5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0E-E43D-4778-9766-A8473E722B27}"/>
              </c:ext>
            </c:extLst>
          </c:dPt>
          <c:dPt>
            <c:idx val="6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10-E43D-4778-9766-A8473E722B27}"/>
              </c:ext>
            </c:extLst>
          </c:dPt>
          <c:dPt>
            <c:idx val="7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12-E43D-4778-9766-A8473E722B27}"/>
              </c:ext>
            </c:extLst>
          </c:dPt>
          <c:dPt>
            <c:idx val="8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14-E43D-4778-9766-A8473E722B27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5-E43D-4778-9766-A8473E722B27}"/>
              </c:ext>
            </c:extLst>
          </c:dPt>
          <c:cat>
            <c:numRef>
              <c:f>'Index, fondrörelsen'!$C$14:$S$14</c:f>
              <c:numCache>
                <c:formatCode>General</c:formatCode>
                <c:ptCount val="17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yyyy;@">
                  <c:v>41639</c:v>
                </c:pt>
                <c:pt idx="13" formatCode="yyyy;@">
                  <c:v>42004</c:v>
                </c:pt>
                <c:pt idx="14" formatCode="yyyy;@">
                  <c:v>42369</c:v>
                </c:pt>
                <c:pt idx="15" formatCode="yyyy;@">
                  <c:v>42370</c:v>
                </c:pt>
                <c:pt idx="16" formatCode="yyyy/mm/dd;@">
                  <c:v>43039</c:v>
                </c:pt>
              </c:numCache>
            </c:numRef>
          </c:cat>
          <c:val>
            <c:numRef>
              <c:f>'Index, fondrörelsen'!$C$16:$S$16</c:f>
              <c:numCache>
                <c:formatCode>0.0%</c:formatCode>
                <c:ptCount val="17"/>
                <c:pt idx="0">
                  <c:v>-0.106</c:v>
                </c:pt>
                <c:pt idx="1">
                  <c:v>-0.26700000000000002</c:v>
                </c:pt>
                <c:pt idx="2">
                  <c:v>0.187</c:v>
                </c:pt>
                <c:pt idx="3">
                  <c:v>0.10100000000000001</c:v>
                </c:pt>
                <c:pt idx="4">
                  <c:v>0.251</c:v>
                </c:pt>
                <c:pt idx="5">
                  <c:v>0.105</c:v>
                </c:pt>
                <c:pt idx="6">
                  <c:v>4.7E-2</c:v>
                </c:pt>
                <c:pt idx="7">
                  <c:v>-0.36199999999999999</c:v>
                </c:pt>
                <c:pt idx="8">
                  <c:v>0.35141800246609134</c:v>
                </c:pt>
                <c:pt idx="9">
                  <c:v>0.14644453351666153</c:v>
                </c:pt>
                <c:pt idx="10">
                  <c:v>-0.10536246609942557</c:v>
                </c:pt>
                <c:pt idx="11">
                  <c:v>0.17497988455497548</c:v>
                </c:pt>
                <c:pt idx="12">
                  <c:v>0.318</c:v>
                </c:pt>
                <c:pt idx="13">
                  <c:v>0.29099999999999998</c:v>
                </c:pt>
                <c:pt idx="14">
                  <c:v>6.2E-2</c:v>
                </c:pt>
                <c:pt idx="15">
                  <c:v>0.15138751375459392</c:v>
                </c:pt>
                <c:pt idx="16">
                  <c:v>0.13997492244189713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E43D-4778-9766-A8473E72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0"/>
        <c:axId val="196635264"/>
        <c:axId val="196641152"/>
      </c:barChart>
      <c:catAx>
        <c:axId val="19663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6411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966411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635264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8823637757354628E-2"/>
          <c:y val="0.94850498338870437"/>
          <c:w val="0.89267372538185041"/>
          <c:h val="4.152823920265780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Marknadsvärde och netto tillfört kapital till fondrörelsen</a:t>
            </a:r>
          </a:p>
        </c:rich>
      </c:tx>
      <c:layout>
        <c:manualLayout>
          <c:xMode val="edge"/>
          <c:yMode val="edge"/>
          <c:x val="0.27962577962577961"/>
          <c:y val="2.93040293040293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765072765072769E-2"/>
          <c:y val="0.15750943922676144"/>
          <c:w val="0.90436590436590436"/>
          <c:h val="0.6831514050183955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'Marknadsv. och tillfört kapital'!$B$16</c:f>
              <c:strCache>
                <c:ptCount val="1"/>
                <c:pt idx="0">
                  <c:v>Netto tillfört kapital, mdr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3175">
              <a:solidFill>
                <a:srgbClr val="766A63"/>
              </a:solidFill>
              <a:prstDash val="solid"/>
            </a:ln>
          </c:spPr>
          <c:invertIfNegative val="0"/>
          <c:cat>
            <c:numRef>
              <c:f>'Marknadsv. och tillfört kapital'!$C$15:$T$15</c:f>
              <c:numCache>
                <c:formatCode>General</c:formatCode>
                <c:ptCount val="18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yyyy;@">
                  <c:v>41274</c:v>
                </c:pt>
                <c:pt idx="13" formatCode="yyyy;@">
                  <c:v>41639</c:v>
                </c:pt>
                <c:pt idx="14" formatCode="yyyy;@">
                  <c:v>42004</c:v>
                </c:pt>
                <c:pt idx="15" formatCode="yyyy;@">
                  <c:v>42369</c:v>
                </c:pt>
                <c:pt idx="16" formatCode="yyyy;@">
                  <c:v>42370</c:v>
                </c:pt>
                <c:pt idx="17" formatCode="yyyy/mm/dd;@">
                  <c:v>43039</c:v>
                </c:pt>
              </c:numCache>
            </c:numRef>
          </c:cat>
          <c:val>
            <c:numRef>
              <c:f>'Marknadsv. och tillfört kapital'!$C$16:$T$16</c:f>
              <c:numCache>
                <c:formatCode>0</c:formatCode>
                <c:ptCount val="18"/>
                <c:pt idx="0">
                  <c:v>55.831616023629408</c:v>
                </c:pt>
                <c:pt idx="1">
                  <c:v>74.033547998326426</c:v>
                </c:pt>
                <c:pt idx="2">
                  <c:v>93.93715098490317</c:v>
                </c:pt>
                <c:pt idx="3">
                  <c:v>114.64956724755694</c:v>
                </c:pt>
                <c:pt idx="4">
                  <c:v>136.62021154457284</c:v>
                </c:pt>
                <c:pt idx="5">
                  <c:v>159.77779842054943</c:v>
                </c:pt>
                <c:pt idx="6">
                  <c:v>209</c:v>
                </c:pt>
                <c:pt idx="7">
                  <c:v>235.50159071018251</c:v>
                </c:pt>
                <c:pt idx="8">
                  <c:v>263.98657166722467</c:v>
                </c:pt>
                <c:pt idx="9">
                  <c:v>293.39683174242759</c:v>
                </c:pt>
                <c:pt idx="10">
                  <c:v>323.04324834873717</c:v>
                </c:pt>
                <c:pt idx="11">
                  <c:v>354.29697772737427</c:v>
                </c:pt>
                <c:pt idx="12">
                  <c:v>387</c:v>
                </c:pt>
                <c:pt idx="13">
                  <c:v>421</c:v>
                </c:pt>
                <c:pt idx="14">
                  <c:v>456</c:v>
                </c:pt>
                <c:pt idx="15">
                  <c:v>496</c:v>
                </c:pt>
                <c:pt idx="16">
                  <c:v>538.21494048724287</c:v>
                </c:pt>
                <c:pt idx="17">
                  <c:v>545.26620181822477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B6-4FA6-B1FB-F19FDA3FB4ED}"/>
            </c:ext>
          </c:extLst>
        </c:ser>
        <c:ser>
          <c:idx val="1"/>
          <c:order val="1"/>
          <c:tx>
            <c:strRef>
              <c:f>'Marknadsv. och tillfört kapital'!$B$17</c:f>
              <c:strCache>
                <c:ptCount val="1"/>
                <c:pt idx="0">
                  <c:v>Marknadsvärde, mdr</c:v>
                </c:pt>
              </c:strCache>
            </c:strRef>
          </c:tx>
          <c:spPr>
            <a:solidFill>
              <a:srgbClr val="FFC000"/>
            </a:solidFill>
            <a:ln w="25400">
              <a:noFill/>
            </a:ln>
          </c:spPr>
          <c:invertIfNegative val="0"/>
          <c:cat>
            <c:numRef>
              <c:f>'Marknadsv. och tillfört kapital'!$C$15:$T$15</c:f>
              <c:numCache>
                <c:formatCode>General</c:formatCode>
                <c:ptCount val="18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yyyy;@">
                  <c:v>41274</c:v>
                </c:pt>
                <c:pt idx="13" formatCode="yyyy;@">
                  <c:v>41639</c:v>
                </c:pt>
                <c:pt idx="14" formatCode="yyyy;@">
                  <c:v>42004</c:v>
                </c:pt>
                <c:pt idx="15" formatCode="yyyy;@">
                  <c:v>42369</c:v>
                </c:pt>
                <c:pt idx="16" formatCode="yyyy;@">
                  <c:v>42370</c:v>
                </c:pt>
                <c:pt idx="17" formatCode="yyyy/mm/dd;@">
                  <c:v>43039</c:v>
                </c:pt>
              </c:numCache>
            </c:numRef>
          </c:cat>
          <c:val>
            <c:numRef>
              <c:f>'Marknadsv. och tillfört kapital'!$C$17:$T$17</c:f>
              <c:numCache>
                <c:formatCode>0</c:formatCode>
                <c:ptCount val="18"/>
                <c:pt idx="0">
                  <c:v>52.735199475111202</c:v>
                </c:pt>
                <c:pt idx="1">
                  <c:v>65.023593666597904</c:v>
                </c:pt>
                <c:pt idx="2">
                  <c:v>59.275358189472996</c:v>
                </c:pt>
                <c:pt idx="3">
                  <c:v>93.920076415257597</c:v>
                </c:pt>
                <c:pt idx="4">
                  <c:v>124.75628531142399</c:v>
                </c:pt>
                <c:pt idx="5">
                  <c:v>192.35696213467801</c:v>
                </c:pt>
                <c:pt idx="6">
                  <c:v>267</c:v>
                </c:pt>
                <c:pt idx="7">
                  <c:v>308.29568458589898</c:v>
                </c:pt>
                <c:pt idx="8">
                  <c:v>230.23493756186801</c:v>
                </c:pt>
                <c:pt idx="9" formatCode="#,##0">
                  <c:v>340.16227208294498</c:v>
                </c:pt>
                <c:pt idx="10">
                  <c:v>408.47751268748601</c:v>
                </c:pt>
                <c:pt idx="11">
                  <c:v>393.15689279941199</c:v>
                </c:pt>
                <c:pt idx="12">
                  <c:v>471</c:v>
                </c:pt>
                <c:pt idx="13">
                  <c:v>602</c:v>
                </c:pt>
                <c:pt idx="14">
                  <c:v>759</c:v>
                </c:pt>
                <c:pt idx="15">
                  <c:v>839</c:v>
                </c:pt>
                <c:pt idx="16">
                  <c:v>959.84765629860874</c:v>
                </c:pt>
                <c:pt idx="17">
                  <c:v>1071.7600503661699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2B6-4FA6-B1FB-F19FDA3FB4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96795776"/>
        <c:axId val="196809856"/>
      </c:barChart>
      <c:catAx>
        <c:axId val="196795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8098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96809856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sv-SE"/>
                  <a:t>Mdkr</a:t>
                </a:r>
              </a:p>
            </c:rich>
          </c:tx>
          <c:layout>
            <c:manualLayout>
              <c:xMode val="edge"/>
              <c:yMode val="edge"/>
              <c:x val="3.4303534303534305E-2"/>
              <c:y val="8.0586272869737421E-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795776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16839916839916841"/>
          <c:y val="0.94322517377635484"/>
          <c:w val="0.70582120582120589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fondrörelsen sedan start, 2000-12-13</a:t>
            </a:r>
          </a:p>
        </c:rich>
      </c:tx>
      <c:layout>
        <c:manualLayout>
          <c:xMode val="edge"/>
          <c:yMode val="edge"/>
          <c:x val="0.27338877338877338"/>
          <c:y val="2.93040293040293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476091476091481E-2"/>
          <c:y val="0.14102589326117013"/>
          <c:w val="0.86902286902286907"/>
          <c:h val="0.67582538458924379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2000'!$E$22:$E$23</c:f>
              <c:strCache>
                <c:ptCount val="2"/>
                <c:pt idx="0">
                  <c:v>Tidsviktad avkastning sedan start (TVA)</c:v>
                </c:pt>
              </c:strCache>
            </c:strRef>
          </c:tx>
          <c:spPr>
            <a:ln w="38100">
              <a:solidFill>
                <a:srgbClr val="FF66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2000'!$B$24:$B$244</c:f>
              <c:numCache>
                <c:formatCode>yyyy/mm/dd;@</c:formatCode>
                <c:ptCount val="221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  <c:pt idx="178" formatCode="m/d/yyyy">
                  <c:v>42277</c:v>
                </c:pt>
                <c:pt idx="179" formatCode="m/d/yyyy">
                  <c:v>42308</c:v>
                </c:pt>
                <c:pt idx="180" formatCode="m/d/yyyy">
                  <c:v>42338</c:v>
                </c:pt>
                <c:pt idx="181" formatCode="m/d/yyyy">
                  <c:v>42369</c:v>
                </c:pt>
                <c:pt idx="182" formatCode="m/d/yyyy">
                  <c:v>42400</c:v>
                </c:pt>
                <c:pt idx="183" formatCode="m/d/yyyy">
                  <c:v>42429</c:v>
                </c:pt>
                <c:pt idx="184" formatCode="m/d/yyyy">
                  <c:v>42460</c:v>
                </c:pt>
                <c:pt idx="185" formatCode="m/d/yyyy">
                  <c:v>42490</c:v>
                </c:pt>
                <c:pt idx="186" formatCode="m/d/yyyy">
                  <c:v>42521</c:v>
                </c:pt>
                <c:pt idx="187" formatCode="m/d/yyyy">
                  <c:v>42551</c:v>
                </c:pt>
                <c:pt idx="188" formatCode="m/d/yyyy">
                  <c:v>42582</c:v>
                </c:pt>
                <c:pt idx="189" formatCode="m/d/yyyy">
                  <c:v>42613</c:v>
                </c:pt>
                <c:pt idx="190" formatCode="m/d/yyyy">
                  <c:v>42643</c:v>
                </c:pt>
                <c:pt idx="191" formatCode="m/d/yyyy">
                  <c:v>42674</c:v>
                </c:pt>
                <c:pt idx="192" formatCode="m/d/yyyy">
                  <c:v>42704</c:v>
                </c:pt>
                <c:pt idx="193" formatCode="m/d/yyyy">
                  <c:v>42735</c:v>
                </c:pt>
                <c:pt idx="194" formatCode="m/d/yyyy">
                  <c:v>42766</c:v>
                </c:pt>
                <c:pt idx="195" formatCode="m/d/yyyy">
                  <c:v>42794</c:v>
                </c:pt>
                <c:pt idx="196" formatCode="m/d/yyyy">
                  <c:v>42825</c:v>
                </c:pt>
                <c:pt idx="197" formatCode="m/d/yyyy">
                  <c:v>42855</c:v>
                </c:pt>
                <c:pt idx="198" formatCode="m/d/yyyy">
                  <c:v>42886</c:v>
                </c:pt>
                <c:pt idx="199" formatCode="m/d/yyyy">
                  <c:v>42916</c:v>
                </c:pt>
                <c:pt idx="200" formatCode="m/d/yyyy">
                  <c:v>42947</c:v>
                </c:pt>
                <c:pt idx="201" formatCode="m/d/yyyy">
                  <c:v>42978</c:v>
                </c:pt>
                <c:pt idx="202" formatCode="m/d/yyyy">
                  <c:v>43008</c:v>
                </c:pt>
                <c:pt idx="203" formatCode="m/d/yyyy">
                  <c:v>43039</c:v>
                </c:pt>
              </c:numCache>
            </c:numRef>
          </c:cat>
          <c:val>
            <c:numRef>
              <c:f>'Avkastning sedan 2000'!$E$24:$E$244</c:f>
              <c:numCache>
                <c:formatCode>0.0%</c:formatCode>
                <c:ptCount val="221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-0.18662022488362295</c:v>
                </c:pt>
                <c:pt idx="15">
                  <c:v>-0.19577125072951806</c:v>
                </c:pt>
                <c:pt idx="16">
                  <c:v>-0.17796435824374601</c:v>
                </c:pt>
                <c:pt idx="17">
                  <c:v>-0.22660606519990201</c:v>
                </c:pt>
                <c:pt idx="18">
                  <c:v>-0.25645158127320089</c:v>
                </c:pt>
                <c:pt idx="19">
                  <c:v>-0.32593737992429506</c:v>
                </c:pt>
                <c:pt idx="20">
                  <c:v>-0.37284385787911678</c:v>
                </c:pt>
                <c:pt idx="21">
                  <c:v>-0.37825195439072901</c:v>
                </c:pt>
                <c:pt idx="22">
                  <c:v>-0.44458184201584461</c:v>
                </c:pt>
                <c:pt idx="23">
                  <c:v>-0.39921608781484508</c:v>
                </c:pt>
                <c:pt idx="24">
                  <c:v>-0.36113506922304062</c:v>
                </c:pt>
                <c:pt idx="25">
                  <c:v>-0.41650742840072186</c:v>
                </c:pt>
                <c:pt idx="26">
                  <c:v>-0.43969955560310947</c:v>
                </c:pt>
                <c:pt idx="27">
                  <c:v>-0.44849588278422881</c:v>
                </c:pt>
                <c:pt idx="28">
                  <c:v>-0.44851136723349694</c:v>
                </c:pt>
                <c:pt idx="29">
                  <c:v>-0.41183682582898196</c:v>
                </c:pt>
                <c:pt idx="30">
                  <c:v>-0.40646780652014425</c:v>
                </c:pt>
                <c:pt idx="31">
                  <c:v>-0.37846552335272365</c:v>
                </c:pt>
                <c:pt idx="32">
                  <c:v>-0.35534931744811826</c:v>
                </c:pt>
                <c:pt idx="33">
                  <c:v>-0.33047415193973351</c:v>
                </c:pt>
                <c:pt idx="34">
                  <c:v>-0.36228741759380223</c:v>
                </c:pt>
                <c:pt idx="35">
                  <c:v>-0.32288254981017206</c:v>
                </c:pt>
                <c:pt idx="36">
                  <c:v>-0.32551293599988529</c:v>
                </c:pt>
                <c:pt idx="37">
                  <c:v>-0.31237214995239981</c:v>
                </c:pt>
                <c:pt idx="38">
                  <c:v>-0.28042428168822753</c:v>
                </c:pt>
                <c:pt idx="39">
                  <c:v>-0.26159113811669987</c:v>
                </c:pt>
                <c:pt idx="40">
                  <c:v>-0.26279025098696795</c:v>
                </c:pt>
                <c:pt idx="41">
                  <c:v>-0.26724240937259902</c:v>
                </c:pt>
                <c:pt idx="42">
                  <c:v>-0.28095073852229646</c:v>
                </c:pt>
                <c:pt idx="43">
                  <c:v>-0.26287547044942672</c:v>
                </c:pt>
                <c:pt idx="44">
                  <c:v>-0.28002496412248912</c:v>
                </c:pt>
                <c:pt idx="45">
                  <c:v>-0.28394579712309564</c:v>
                </c:pt>
                <c:pt idx="46">
                  <c:v>-0.27840323907420905</c:v>
                </c:pt>
                <c:pt idx="47">
                  <c:v>-0.27824987083614972</c:v>
                </c:pt>
                <c:pt idx="48">
                  <c:v>-0.26384370438779248</c:v>
                </c:pt>
                <c:pt idx="49">
                  <c:v>-0.2521934119949012</c:v>
                </c:pt>
                <c:pt idx="50">
                  <c:v>-0.23887742096441089</c:v>
                </c:pt>
                <c:pt idx="51">
                  <c:v>-0.22044037074748646</c:v>
                </c:pt>
                <c:pt idx="52">
                  <c:v>-0.2207386506537321</c:v>
                </c:pt>
                <c:pt idx="53">
                  <c:v>-0.22788257530025025</c:v>
                </c:pt>
                <c:pt idx="54">
                  <c:v>-0.1832471684524668</c:v>
                </c:pt>
                <c:pt idx="55">
                  <c:v>-0.14263136710218371</c:v>
                </c:pt>
                <c:pt idx="56">
                  <c:v>-0.11281950386238349</c:v>
                </c:pt>
                <c:pt idx="57">
                  <c:v>-0.12389555584764222</c:v>
                </c:pt>
                <c:pt idx="58">
                  <c:v>-8.0690388803733248E-2</c:v>
                </c:pt>
                <c:pt idx="59">
                  <c:v>-9.3126559629821304E-2</c:v>
                </c:pt>
                <c:pt idx="60">
                  <c:v>-4.8914028745870031E-2</c:v>
                </c:pt>
                <c:pt idx="61">
                  <c:v>-2.3718697352962059E-2</c:v>
                </c:pt>
                <c:pt idx="62">
                  <c:v>-1.0424394650775493E-2</c:v>
                </c:pt>
                <c:pt idx="63">
                  <c:v>3.0014183035481645E-2</c:v>
                </c:pt>
                <c:pt idx="64">
                  <c:v>5.0193361401623671E-2</c:v>
                </c:pt>
                <c:pt idx="65">
                  <c:v>4.4662754434510399E-2</c:v>
                </c:pt>
                <c:pt idx="66">
                  <c:v>-2.9381641778342127E-2</c:v>
                </c:pt>
                <c:pt idx="67">
                  <c:v>-2.6726971994004423E-2</c:v>
                </c:pt>
                <c:pt idx="68">
                  <c:v>-2.4535188841549926E-2</c:v>
                </c:pt>
                <c:pt idx="69">
                  <c:v>3.9915687660647681E-3</c:v>
                </c:pt>
                <c:pt idx="70">
                  <c:v>3.2231571212107513E-2</c:v>
                </c:pt>
                <c:pt idx="71">
                  <c:v>5.8520543949904802E-2</c:v>
                </c:pt>
                <c:pt idx="72">
                  <c:v>5.1558894569992075E-2</c:v>
                </c:pt>
                <c:pt idx="73">
                  <c:v>9.4850367645782585E-2</c:v>
                </c:pt>
                <c:pt idx="74">
                  <c:v>0.11980107996956058</c:v>
                </c:pt>
                <c:pt idx="75">
                  <c:v>0.11414872101073859</c:v>
                </c:pt>
                <c:pt idx="76">
                  <c:v>0.14950697704275284</c:v>
                </c:pt>
                <c:pt idx="77">
                  <c:v>0.17663535705172673</c:v>
                </c:pt>
                <c:pt idx="78">
                  <c:v>0.20524677975003369</c:v>
                </c:pt>
                <c:pt idx="79">
                  <c:v>0.21105391484399494</c:v>
                </c:pt>
                <c:pt idx="80">
                  <c:v>0.19508971689613053</c:v>
                </c:pt>
                <c:pt idx="81">
                  <c:v>0.18834052508861676</c:v>
                </c:pt>
                <c:pt idx="82">
                  <c:v>0.19255668247413049</c:v>
                </c:pt>
                <c:pt idx="83">
                  <c:v>0.21191040166843123</c:v>
                </c:pt>
                <c:pt idx="84">
                  <c:v>0.16049908722911277</c:v>
                </c:pt>
                <c:pt idx="85">
                  <c:v>0.15685919509504065</c:v>
                </c:pt>
                <c:pt idx="86">
                  <c:v>2.9603655926605077E-2</c:v>
                </c:pt>
                <c:pt idx="87">
                  <c:v>4.3304412307429985E-2</c:v>
                </c:pt>
                <c:pt idx="88">
                  <c:v>-3.7615058640585453E-3</c:v>
                </c:pt>
                <c:pt idx="89">
                  <c:v>4.7132150716817645E-2</c:v>
                </c:pt>
                <c:pt idx="90">
                  <c:v>6.9816677234908697E-2</c:v>
                </c:pt>
                <c:pt idx="91">
                  <c:v>-2.5443851449256316E-2</c:v>
                </c:pt>
                <c:pt idx="92">
                  <c:v>-3.6344304655599347E-2</c:v>
                </c:pt>
                <c:pt idx="93">
                  <c:v>-2.3133182299815203E-2</c:v>
                </c:pt>
                <c:pt idx="94">
                  <c:v>-0.1139665830023523</c:v>
                </c:pt>
                <c:pt idx="95">
                  <c:v>-0.22384848303838767</c:v>
                </c:pt>
                <c:pt idx="96">
                  <c:v>-0.24457663096656557</c:v>
                </c:pt>
                <c:pt idx="97">
                  <c:v>-0.23864830860065911</c:v>
                </c:pt>
                <c:pt idx="98">
                  <c:v>-0.25390891467117582</c:v>
                </c:pt>
                <c:pt idx="99">
                  <c:v>-0.25701157299710631</c:v>
                </c:pt>
                <c:pt idx="100">
                  <c:v>-0.2576288552075241</c:v>
                </c:pt>
                <c:pt idx="101">
                  <c:v>-0.1653259798016975</c:v>
                </c:pt>
                <c:pt idx="102">
                  <c:v>-0.13497363507801818</c:v>
                </c:pt>
                <c:pt idx="103">
                  <c:v>-0.12276691325653688</c:v>
                </c:pt>
                <c:pt idx="104">
                  <c:v>-8.5073921557098142E-2</c:v>
                </c:pt>
                <c:pt idx="105">
                  <c:v>-6.898388992072102E-2</c:v>
                </c:pt>
                <c:pt idx="106">
                  <c:v>-4.5585246709528682E-2</c:v>
                </c:pt>
                <c:pt idx="107">
                  <c:v>-2.6613904350038076E-2</c:v>
                </c:pt>
                <c:pt idx="108">
                  <c:v>-1.1782473478652467E-2</c:v>
                </c:pt>
                <c:pt idx="109">
                  <c:v>2.543037639394119E-2</c:v>
                </c:pt>
                <c:pt idx="110">
                  <c:v>1.8453875080511217E-2</c:v>
                </c:pt>
                <c:pt idx="111">
                  <c:v>-3.0876251228501017E-3</c:v>
                </c:pt>
                <c:pt idx="112">
                  <c:v>6.9960321678838921E-2</c:v>
                </c:pt>
                <c:pt idx="113">
                  <c:v>8.7738537739706191E-2</c:v>
                </c:pt>
                <c:pt idx="114">
                  <c:v>4.8410525516147551E-2</c:v>
                </c:pt>
                <c:pt idx="115">
                  <c:v>3.0469170916279431E-2</c:v>
                </c:pt>
                <c:pt idx="116">
                  <c:v>4.6388077815640472E-2</c:v>
                </c:pt>
                <c:pt idx="117">
                  <c:v>2.6161055074352735E-2</c:v>
                </c:pt>
                <c:pt idx="118">
                  <c:v>6.0743965551832924E-2</c:v>
                </c:pt>
                <c:pt idx="119">
                  <c:v>8.6387826673868018E-2</c:v>
                </c:pt>
                <c:pt idx="120">
                  <c:v>0.10229897799027432</c:v>
                </c:pt>
                <c:pt idx="121">
                  <c:v>0.15001935030402835</c:v>
                </c:pt>
                <c:pt idx="122">
                  <c:v>0.12223841378123068</c:v>
                </c:pt>
                <c:pt idx="123">
                  <c:v>0.127289614049932</c:v>
                </c:pt>
                <c:pt idx="124">
                  <c:v>0.13478587383121199</c:v>
                </c:pt>
                <c:pt idx="125">
                  <c:v>0.14514347137673544</c:v>
                </c:pt>
                <c:pt idx="126">
                  <c:v>0.14047567324230759</c:v>
                </c:pt>
                <c:pt idx="127">
                  <c:v>0.13083147670429729</c:v>
                </c:pt>
                <c:pt idx="128">
                  <c:v>0.10565007916458669</c:v>
                </c:pt>
                <c:pt idx="129">
                  <c:v>1.289215747942829E-2</c:v>
                </c:pt>
                <c:pt idx="130">
                  <c:v>-3.4398096944852075E-2</c:v>
                </c:pt>
                <c:pt idx="131">
                  <c:v>3.0839724905906474E-2</c:v>
                </c:pt>
                <c:pt idx="132">
                  <c:v>1.9730563284597435E-2</c:v>
                </c:pt>
                <c:pt idx="133">
                  <c:v>2.7124447142439667E-2</c:v>
                </c:pt>
                <c:pt idx="134">
                  <c:v>8.673849924675725E-2</c:v>
                </c:pt>
                <c:pt idx="135">
                  <c:v>0.12740895915251982</c:v>
                </c:pt>
                <c:pt idx="136">
                  <c:v>0.12529214586913517</c:v>
                </c:pt>
                <c:pt idx="137">
                  <c:v>0.12645335943591696</c:v>
                </c:pt>
                <c:pt idx="138">
                  <c:v>7.5981590412642186E-2</c:v>
                </c:pt>
                <c:pt idx="139">
                  <c:v>8.2967716131719493E-2</c:v>
                </c:pt>
                <c:pt idx="140">
                  <c:v>0.10265678479880602</c:v>
                </c:pt>
                <c:pt idx="141">
                  <c:v>9.5000000000000001E-2</c:v>
                </c:pt>
                <c:pt idx="142">
                  <c:v>0.1242918985969359</c:v>
                </c:pt>
                <c:pt idx="143">
                  <c:v>0.12584782986895471</c:v>
                </c:pt>
                <c:pt idx="144">
                  <c:v>0.14799999999999999</c:v>
                </c:pt>
                <c:pt idx="145">
                  <c:v>0.15166814939670425</c:v>
                </c:pt>
                <c:pt idx="146">
                  <c:v>0.19400000000000001</c:v>
                </c:pt>
                <c:pt idx="147">
                  <c:v>0.20699999999999999</c:v>
                </c:pt>
                <c:pt idx="148">
                  <c:v>0.22800000000000001</c:v>
                </c:pt>
                <c:pt idx="149">
                  <c:v>0.254</c:v>
                </c:pt>
                <c:pt idx="150">
                  <c:v>0.28599999999999998</c:v>
                </c:pt>
                <c:pt idx="151">
                  <c:v>0.24299999999999999</c:v>
                </c:pt>
                <c:pt idx="152">
                  <c:v>0.28986220667725471</c:v>
                </c:pt>
                <c:pt idx="153">
                  <c:v>0.27307344187594884</c:v>
                </c:pt>
                <c:pt idx="154">
                  <c:v>0.30399999999999999</c:v>
                </c:pt>
                <c:pt idx="155">
                  <c:v>0.35699999999999998</c:v>
                </c:pt>
                <c:pt idx="156">
                  <c:v>0.39200000000000002</c:v>
                </c:pt>
                <c:pt idx="157">
                  <c:v>0.39400000000000002</c:v>
                </c:pt>
                <c:pt idx="158">
                  <c:v>0.35720288377253184</c:v>
                </c:pt>
                <c:pt idx="159">
                  <c:v>0.41669480090607003</c:v>
                </c:pt>
                <c:pt idx="160">
                  <c:v>0.43</c:v>
                </c:pt>
                <c:pt idx="161">
                  <c:v>0.44800000000000001</c:v>
                </c:pt>
                <c:pt idx="162">
                  <c:v>0.51100000000000001</c:v>
                </c:pt>
                <c:pt idx="163">
                  <c:v>0.53600000000000003</c:v>
                </c:pt>
                <c:pt idx="164">
                  <c:v>0.53577106018337739</c:v>
                </c:pt>
                <c:pt idx="165">
                  <c:v>0.57899999999999996</c:v>
                </c:pt>
                <c:pt idx="166">
                  <c:v>0.57499999999999996</c:v>
                </c:pt>
                <c:pt idx="167">
                  <c:v>0.61399999999999999</c:v>
                </c:pt>
                <c:pt idx="168">
                  <c:v>0.65400000000000003</c:v>
                </c:pt>
                <c:pt idx="169">
                  <c:v>0.68300000000000005</c:v>
                </c:pt>
                <c:pt idx="170">
                  <c:v>0.75900000000000001</c:v>
                </c:pt>
                <c:pt idx="171">
                  <c:v>0.87211627638129352</c:v>
                </c:pt>
                <c:pt idx="172">
                  <c:v>0.89928893026958101</c:v>
                </c:pt>
                <c:pt idx="173">
                  <c:v>0.90200000000000002</c:v>
                </c:pt>
                <c:pt idx="174">
                  <c:v>0.93700000000000006</c:v>
                </c:pt>
                <c:pt idx="175">
                  <c:v>0.83299999999999996</c:v>
                </c:pt>
                <c:pt idx="176">
                  <c:v>0.89900000000000002</c:v>
                </c:pt>
                <c:pt idx="177">
                  <c:v>0.76600000000000001</c:v>
                </c:pt>
                <c:pt idx="178">
                  <c:v>0.68899999999999995</c:v>
                </c:pt>
                <c:pt idx="179">
                  <c:v>0.82499999999999996</c:v>
                </c:pt>
                <c:pt idx="180">
                  <c:v>0.86099999999999999</c:v>
                </c:pt>
                <c:pt idx="181">
                  <c:v>0.79100000000000004</c:v>
                </c:pt>
                <c:pt idx="182">
                  <c:v>0.68200000000000005</c:v>
                </c:pt>
                <c:pt idx="183">
                  <c:v>0.685214138766439</c:v>
                </c:pt>
                <c:pt idx="184">
                  <c:v>0.71699999999999997</c:v>
                </c:pt>
                <c:pt idx="185">
                  <c:v>0.72199999999999998</c:v>
                </c:pt>
                <c:pt idx="186">
                  <c:v>0.78200000000000003</c:v>
                </c:pt>
                <c:pt idx="187">
                  <c:v>0.76100000000000001</c:v>
                </c:pt>
                <c:pt idx="188">
                  <c:v>0.85796425018382538</c:v>
                </c:pt>
                <c:pt idx="189">
                  <c:v>0.88300000000000001</c:v>
                </c:pt>
                <c:pt idx="190">
                  <c:v>0.89300000000000002</c:v>
                </c:pt>
                <c:pt idx="191">
                  <c:v>0.92572849251788436</c:v>
                </c:pt>
                <c:pt idx="192">
                  <c:v>0.96791784772508582</c:v>
                </c:pt>
                <c:pt idx="193">
                  <c:v>0.98514913536272819</c:v>
                </c:pt>
                <c:pt idx="194">
                  <c:v>0.98563801765141767</c:v>
                </c:pt>
                <c:pt idx="195">
                  <c:v>1.0799189283485671</c:v>
                </c:pt>
                <c:pt idx="196">
                  <c:v>1.0942589386917381</c:v>
                </c:pt>
                <c:pt idx="197">
                  <c:v>1.1276127151568303</c:v>
                </c:pt>
                <c:pt idx="198">
                  <c:v>1.1482759725449072</c:v>
                </c:pt>
                <c:pt idx="199">
                  <c:v>1.1037371900463713</c:v>
                </c:pt>
                <c:pt idx="200">
                  <c:v>1.0820827612018995</c:v>
                </c:pt>
                <c:pt idx="201">
                  <c:v>1.0609367450562535</c:v>
                </c:pt>
                <c:pt idx="202">
                  <c:v>1.1435394816391677</c:v>
                </c:pt>
                <c:pt idx="203">
                  <c:v>1.2288883566396662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85-4511-94B6-712DDD06C658}"/>
            </c:ext>
          </c:extLst>
        </c:ser>
        <c:ser>
          <c:idx val="1"/>
          <c:order val="1"/>
          <c:tx>
            <c:strRef>
              <c:f>'Avkastning sedan 2000'!$F$22:$F$23</c:f>
              <c:strCache>
                <c:ptCount val="2"/>
                <c:pt idx="0">
                  <c:v>Real tidsviktad avkastning sedan start (TVA)</c:v>
                </c:pt>
              </c:strCache>
            </c:strRef>
          </c:tx>
          <c:spPr>
            <a:ln w="127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2000'!$B$24:$B$244</c:f>
              <c:numCache>
                <c:formatCode>yyyy/mm/dd;@</c:formatCode>
                <c:ptCount val="221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  <c:pt idx="178" formatCode="m/d/yyyy">
                  <c:v>42277</c:v>
                </c:pt>
                <c:pt idx="179" formatCode="m/d/yyyy">
                  <c:v>42308</c:v>
                </c:pt>
                <c:pt idx="180" formatCode="m/d/yyyy">
                  <c:v>42338</c:v>
                </c:pt>
                <c:pt idx="181" formatCode="m/d/yyyy">
                  <c:v>42369</c:v>
                </c:pt>
                <c:pt idx="182" formatCode="m/d/yyyy">
                  <c:v>42400</c:v>
                </c:pt>
                <c:pt idx="183" formatCode="m/d/yyyy">
                  <c:v>42429</c:v>
                </c:pt>
                <c:pt idx="184" formatCode="m/d/yyyy">
                  <c:v>42460</c:v>
                </c:pt>
                <c:pt idx="185" formatCode="m/d/yyyy">
                  <c:v>42490</c:v>
                </c:pt>
                <c:pt idx="186" formatCode="m/d/yyyy">
                  <c:v>42521</c:v>
                </c:pt>
                <c:pt idx="187" formatCode="m/d/yyyy">
                  <c:v>42551</c:v>
                </c:pt>
                <c:pt idx="188" formatCode="m/d/yyyy">
                  <c:v>42582</c:v>
                </c:pt>
                <c:pt idx="189" formatCode="m/d/yyyy">
                  <c:v>42613</c:v>
                </c:pt>
                <c:pt idx="190" formatCode="m/d/yyyy">
                  <c:v>42643</c:v>
                </c:pt>
                <c:pt idx="191" formatCode="m/d/yyyy">
                  <c:v>42674</c:v>
                </c:pt>
                <c:pt idx="192" formatCode="m/d/yyyy">
                  <c:v>42704</c:v>
                </c:pt>
                <c:pt idx="193" formatCode="m/d/yyyy">
                  <c:v>42735</c:v>
                </c:pt>
                <c:pt idx="194" formatCode="m/d/yyyy">
                  <c:v>42766</c:v>
                </c:pt>
                <c:pt idx="195" formatCode="m/d/yyyy">
                  <c:v>42794</c:v>
                </c:pt>
                <c:pt idx="196" formatCode="m/d/yyyy">
                  <c:v>42825</c:v>
                </c:pt>
                <c:pt idx="197" formatCode="m/d/yyyy">
                  <c:v>42855</c:v>
                </c:pt>
                <c:pt idx="198" formatCode="m/d/yyyy">
                  <c:v>42886</c:v>
                </c:pt>
                <c:pt idx="199" formatCode="m/d/yyyy">
                  <c:v>42916</c:v>
                </c:pt>
                <c:pt idx="200" formatCode="m/d/yyyy">
                  <c:v>42947</c:v>
                </c:pt>
                <c:pt idx="201" formatCode="m/d/yyyy">
                  <c:v>42978</c:v>
                </c:pt>
                <c:pt idx="202" formatCode="m/d/yyyy">
                  <c:v>43008</c:v>
                </c:pt>
                <c:pt idx="203" formatCode="m/d/yyyy">
                  <c:v>43039</c:v>
                </c:pt>
              </c:numCache>
            </c:numRef>
          </c:cat>
          <c:val>
            <c:numRef>
              <c:f>'Avkastning sedan 2000'!$F$24:$F$243</c:f>
              <c:numCache>
                <c:formatCode>0.0%</c:formatCode>
                <c:ptCount val="220"/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-0.20507862007785627</c:v>
                </c:pt>
                <c:pt idx="15">
                  <c:v>-0.21577248539957083</c:v>
                </c:pt>
                <c:pt idx="16">
                  <c:v>-0.20548652285000768</c:v>
                </c:pt>
                <c:pt idx="17">
                  <c:v>-0.25551269083185868</c:v>
                </c:pt>
                <c:pt idx="18">
                  <c:v>-0.28607394152218535</c:v>
                </c:pt>
                <c:pt idx="19">
                  <c:v>-0.35184388618635543</c:v>
                </c:pt>
                <c:pt idx="20">
                  <c:v>-0.39495439392157172</c:v>
                </c:pt>
                <c:pt idx="21">
                  <c:v>-0.40039202796785789</c:v>
                </c:pt>
                <c:pt idx="22">
                  <c:v>-0.46845774097472637</c:v>
                </c:pt>
                <c:pt idx="23">
                  <c:v>-0.42692108303906973</c:v>
                </c:pt>
                <c:pt idx="24">
                  <c:v>-0.3890432569526493</c:v>
                </c:pt>
                <c:pt idx="25">
                  <c:v>-0.44280807503042408</c:v>
                </c:pt>
                <c:pt idx="26">
                  <c:v>-0.46669954078600318</c:v>
                </c:pt>
                <c:pt idx="27">
                  <c:v>-0.47959722847491704</c:v>
                </c:pt>
                <c:pt idx="28">
                  <c:v>-0.4822156403582547</c:v>
                </c:pt>
                <c:pt idx="29">
                  <c:v>-0.44580177240055074</c:v>
                </c:pt>
                <c:pt idx="30">
                  <c:v>-0.44014036902277165</c:v>
                </c:pt>
                <c:pt idx="31">
                  <c:v>-0.41203778532502877</c:v>
                </c:pt>
                <c:pt idx="32">
                  <c:v>-0.38818737606076836</c:v>
                </c:pt>
                <c:pt idx="33">
                  <c:v>-0.36434969177653775</c:v>
                </c:pt>
                <c:pt idx="34">
                  <c:v>-0.39889811482558968</c:v>
                </c:pt>
                <c:pt idx="35">
                  <c:v>-0.36221314390509929</c:v>
                </c:pt>
                <c:pt idx="36">
                  <c:v>-0.36332105025932415</c:v>
                </c:pt>
                <c:pt idx="37">
                  <c:v>-0.35161580686466432</c:v>
                </c:pt>
                <c:pt idx="38">
                  <c:v>-0.32002683021401934</c:v>
                </c:pt>
                <c:pt idx="39">
                  <c:v>-0.30046877743691702</c:v>
                </c:pt>
                <c:pt idx="40">
                  <c:v>-0.30685396898452577</c:v>
                </c:pt>
                <c:pt idx="41">
                  <c:v>-0.31104001768855316</c:v>
                </c:pt>
                <c:pt idx="42">
                  <c:v>-0.32561856126314637</c:v>
                </c:pt>
                <c:pt idx="43">
                  <c:v>-0.3056915958661327</c:v>
                </c:pt>
                <c:pt idx="44">
                  <c:v>-0.32087094461392418</c:v>
                </c:pt>
                <c:pt idx="45">
                  <c:v>-0.32384098096418845</c:v>
                </c:pt>
                <c:pt idx="46">
                  <c:v>-0.32347084548463501</c:v>
                </c:pt>
                <c:pt idx="47">
                  <c:v>-0.32525352693472087</c:v>
                </c:pt>
                <c:pt idx="48">
                  <c:v>-0.30784445648773473</c:v>
                </c:pt>
                <c:pt idx="49">
                  <c:v>-0.29689051299592184</c:v>
                </c:pt>
                <c:pt idx="50">
                  <c:v>-0.2805077311527554</c:v>
                </c:pt>
                <c:pt idx="51">
                  <c:v>-0.26651033451061856</c:v>
                </c:pt>
                <c:pt idx="52">
                  <c:v>-0.26836327207553767</c:v>
                </c:pt>
                <c:pt idx="53">
                  <c:v>-0.27610546941961367</c:v>
                </c:pt>
                <c:pt idx="54">
                  <c:v>-0.23453097093279718</c:v>
                </c:pt>
                <c:pt idx="55">
                  <c:v>-0.19675199763817275</c:v>
                </c:pt>
                <c:pt idx="56">
                  <c:v>-0.16584711404670061</c:v>
                </c:pt>
                <c:pt idx="57">
                  <c:v>-0.17773262779984145</c:v>
                </c:pt>
                <c:pt idx="58">
                  <c:v>-0.14330388484831758</c:v>
                </c:pt>
                <c:pt idx="59">
                  <c:v>-0.1563893314970044</c:v>
                </c:pt>
                <c:pt idx="60">
                  <c:v>-0.11306253230933627</c:v>
                </c:pt>
                <c:pt idx="61">
                  <c:v>-8.9889644409592573E-2</c:v>
                </c:pt>
                <c:pt idx="62">
                  <c:v>-7.0204544063659946E-2</c:v>
                </c:pt>
                <c:pt idx="63">
                  <c:v>-3.6722228966105219E-2</c:v>
                </c:pt>
                <c:pt idx="64">
                  <c:v>-2.4759461132572658E-2</c:v>
                </c:pt>
                <c:pt idx="65">
                  <c:v>-3.4774530142283711E-2</c:v>
                </c:pt>
                <c:pt idx="66">
                  <c:v>-0.10457422845614006</c:v>
                </c:pt>
                <c:pt idx="67">
                  <c:v>-0.10187289427717072</c:v>
                </c:pt>
                <c:pt idx="68">
                  <c:v>-9.8298300815212403E-2</c:v>
                </c:pt>
                <c:pt idx="69">
                  <c:v>-7.2548754782877811E-2</c:v>
                </c:pt>
                <c:pt idx="70">
                  <c:v>-5.1995407084950984E-2</c:v>
                </c:pt>
                <c:pt idx="71">
                  <c:v>-2.7953483777956367E-2</c:v>
                </c:pt>
                <c:pt idx="72">
                  <c:v>-3.5560096346273329E-2</c:v>
                </c:pt>
                <c:pt idx="73">
                  <c:v>4.1447878383795711E-3</c:v>
                </c:pt>
                <c:pt idx="74">
                  <c:v>3.2145341244179226E-2</c:v>
                </c:pt>
                <c:pt idx="75">
                  <c:v>2.177297611981488E-2</c:v>
                </c:pt>
                <c:pt idx="76">
                  <c:v>4.7325921233070556E-2</c:v>
                </c:pt>
                <c:pt idx="77">
                  <c:v>6.6641734695774613E-2</c:v>
                </c:pt>
                <c:pt idx="78">
                  <c:v>9.3748545807426531E-2</c:v>
                </c:pt>
                <c:pt idx="79">
                  <c:v>9.7236983719666936E-2</c:v>
                </c:pt>
                <c:pt idx="80">
                  <c:v>8.4493656529115002E-2</c:v>
                </c:pt>
                <c:pt idx="81">
                  <c:v>7.8667136383606673E-2</c:v>
                </c:pt>
                <c:pt idx="82">
                  <c:v>7.1791448805863967E-2</c:v>
                </c:pt>
                <c:pt idx="83">
                  <c:v>8.3440063019557087E-2</c:v>
                </c:pt>
                <c:pt idx="84">
                  <c:v>3.0813559476205787E-2</c:v>
                </c:pt>
                <c:pt idx="85">
                  <c:v>2.560377480921705E-2</c:v>
                </c:pt>
                <c:pt idx="86">
                  <c:v>-8.0385963511766856E-2</c:v>
                </c:pt>
                <c:pt idx="87">
                  <c:v>-7.1998140742324579E-2</c:v>
                </c:pt>
                <c:pt idx="88">
                  <c:v>-0.12224358596219553</c:v>
                </c:pt>
                <c:pt idx="89">
                  <c:v>-8.1438488017804955E-2</c:v>
                </c:pt>
                <c:pt idx="90">
                  <c:v>-6.5222547448493207E-2</c:v>
                </c:pt>
                <c:pt idx="91">
                  <c:v>-0.15248973707534308</c:v>
                </c:pt>
                <c:pt idx="92">
                  <c:v>-0.16024563402450054</c:v>
                </c:pt>
                <c:pt idx="93">
                  <c:v>-0.15019897672084725</c:v>
                </c:pt>
                <c:pt idx="94">
                  <c:v>-0.23704936854175285</c:v>
                </c:pt>
                <c:pt idx="95">
                  <c:v>-0.33271696718871724</c:v>
                </c:pt>
                <c:pt idx="96">
                  <c:v>-0.34518009950147421</c:v>
                </c:pt>
                <c:pt idx="97">
                  <c:v>-0.33105759613830954</c:v>
                </c:pt>
                <c:pt idx="98">
                  <c:v>-0.34202320358573213</c:v>
                </c:pt>
                <c:pt idx="99">
                  <c:v>-0.34491337548696033</c:v>
                </c:pt>
                <c:pt idx="100">
                  <c:v>-0.34731961266069811</c:v>
                </c:pt>
                <c:pt idx="101">
                  <c:v>-0.26729644755031057</c:v>
                </c:pt>
                <c:pt idx="102">
                  <c:v>-0.24113399210217179</c:v>
                </c:pt>
                <c:pt idx="103">
                  <c:v>-0.23227127332009279</c:v>
                </c:pt>
                <c:pt idx="104">
                  <c:v>-0.19561217936094266</c:v>
                </c:pt>
                <c:pt idx="105">
                  <c:v>-0.1831610042153945</c:v>
                </c:pt>
                <c:pt idx="106">
                  <c:v>-0.16522471886330359</c:v>
                </c:pt>
                <c:pt idx="107">
                  <c:v>-0.15078035492927833</c:v>
                </c:pt>
                <c:pt idx="108">
                  <c:v>-0.13761171904076663</c:v>
                </c:pt>
                <c:pt idx="109">
                  <c:v>-0.10709483284600629</c:v>
                </c:pt>
                <c:pt idx="110">
                  <c:v>-0.1075491744766327</c:v>
                </c:pt>
                <c:pt idx="111">
                  <c:v>-0.13163937504483814</c:v>
                </c:pt>
                <c:pt idx="112">
                  <c:v>-7.0261390232101872E-2</c:v>
                </c:pt>
                <c:pt idx="113">
                  <c:v>-5.4938107341510722E-2</c:v>
                </c:pt>
                <c:pt idx="114">
                  <c:v>-9.0791479423306676E-2</c:v>
                </c:pt>
                <c:pt idx="115">
                  <c:v>-0.10649816417563929</c:v>
                </c:pt>
                <c:pt idx="116">
                  <c:v>-8.9901509594197071E-2</c:v>
                </c:pt>
                <c:pt idx="117">
                  <c:v>-0.10755310478702085</c:v>
                </c:pt>
                <c:pt idx="118">
                  <c:v>-8.516927199452895E-2</c:v>
                </c:pt>
                <c:pt idx="119">
                  <c:v>-6.6027155587180975E-2</c:v>
                </c:pt>
                <c:pt idx="120">
                  <c:v>-5.5470214893192371E-2</c:v>
                </c:pt>
                <c:pt idx="121">
                  <c:v>-2.1442414650768571E-2</c:v>
                </c:pt>
                <c:pt idx="122">
                  <c:v>-3.7034031356102282E-2</c:v>
                </c:pt>
                <c:pt idx="123">
                  <c:v>-3.2225550291120619E-2</c:v>
                </c:pt>
                <c:pt idx="124">
                  <c:v>-3.8701592804297302E-2</c:v>
                </c:pt>
                <c:pt idx="125">
                  <c:v>-3.4070158198470257E-2</c:v>
                </c:pt>
                <c:pt idx="126">
                  <c:v>-3.9795656173468918E-2</c:v>
                </c:pt>
                <c:pt idx="127">
                  <c:v>-4.5652053038361173E-2</c:v>
                </c:pt>
                <c:pt idx="128">
                  <c:v>-6.6453650253794461E-2</c:v>
                </c:pt>
                <c:pt idx="129">
                  <c:v>-0.1450478110405623</c:v>
                </c:pt>
                <c:pt idx="130">
                  <c:v>-0.19063329206921498</c:v>
                </c:pt>
                <c:pt idx="131">
                  <c:v>-0.13597857273696135</c:v>
                </c:pt>
                <c:pt idx="132">
                  <c:v>-0.14730322455161793</c:v>
                </c:pt>
                <c:pt idx="133">
                  <c:v>-0.14281214732727965</c:v>
                </c:pt>
                <c:pt idx="134">
                  <c:v>-8.4539991174849782E-2</c:v>
                </c:pt>
                <c:pt idx="135">
                  <c:v>-5.654200570410628E-2</c:v>
                </c:pt>
                <c:pt idx="136">
                  <c:v>-6.0945849047580158E-2</c:v>
                </c:pt>
                <c:pt idx="137">
                  <c:v>-6.2032718869646009E-2</c:v>
                </c:pt>
                <c:pt idx="138">
                  <c:v>-0.10332023030358439</c:v>
                </c:pt>
                <c:pt idx="139">
                  <c:v>-9.525959921194882E-2</c:v>
                </c:pt>
                <c:pt idx="140">
                  <c:v>-7.5222879779566765E-2</c:v>
                </c:pt>
                <c:pt idx="141">
                  <c:v>-8.3000000000000004E-2</c:v>
                </c:pt>
                <c:pt idx="142">
                  <c:v>-6.1810356210364903E-2</c:v>
                </c:pt>
                <c:pt idx="143">
                  <c:v>-5.9854970257877227E-2</c:v>
                </c:pt>
                <c:pt idx="144">
                  <c:v>-3.9E-2</c:v>
                </c:pt>
                <c:pt idx="145">
                  <c:v>-3.8354715849737153E-2</c:v>
                </c:pt>
                <c:pt idx="146">
                  <c:v>5.0000000000000001E-3</c:v>
                </c:pt>
                <c:pt idx="147">
                  <c:v>1.2E-2</c:v>
                </c:pt>
                <c:pt idx="148">
                  <c:v>2.5999999999999999E-2</c:v>
                </c:pt>
                <c:pt idx="149">
                  <c:v>4.9000000000000002E-2</c:v>
                </c:pt>
                <c:pt idx="150">
                  <c:v>7.3999999999999996E-2</c:v>
                </c:pt>
                <c:pt idx="151">
                  <c:v>0.04</c:v>
                </c:pt>
                <c:pt idx="152">
                  <c:v>8.0678685039434983E-2</c:v>
                </c:pt>
                <c:pt idx="153">
                  <c:v>6.5627049390809988E-2</c:v>
                </c:pt>
                <c:pt idx="154">
                  <c:v>8.7999999999999995E-2</c:v>
                </c:pt>
                <c:pt idx="155">
                  <c:v>0.13400000000000001</c:v>
                </c:pt>
                <c:pt idx="156">
                  <c:v>0.16400000000000001</c:v>
                </c:pt>
                <c:pt idx="157">
                  <c:v>0.16300000000000001</c:v>
                </c:pt>
                <c:pt idx="158">
                  <c:v>0.1449860225666979</c:v>
                </c:pt>
                <c:pt idx="159">
                  <c:v>0.1901686095235835</c:v>
                </c:pt>
                <c:pt idx="160">
                  <c:v>0.20200000000000001</c:v>
                </c:pt>
                <c:pt idx="161">
                  <c:v>0.21199999999999999</c:v>
                </c:pt>
                <c:pt idx="162">
                  <c:v>0.26400000000000001</c:v>
                </c:pt>
                <c:pt idx="163">
                  <c:v>0.28199999999999997</c:v>
                </c:pt>
                <c:pt idx="164">
                  <c:v>0.28621499509093384</c:v>
                </c:pt>
                <c:pt idx="165">
                  <c:v>0.32400000000000001</c:v>
                </c:pt>
                <c:pt idx="166">
                  <c:v>0.318</c:v>
                </c:pt>
                <c:pt idx="167">
                  <c:v>0.35</c:v>
                </c:pt>
                <c:pt idx="168">
                  <c:v>0.38600000000000001</c:v>
                </c:pt>
                <c:pt idx="169">
                  <c:v>0.40799999999999997</c:v>
                </c:pt>
                <c:pt idx="170">
                  <c:v>0.48699999999999999</c:v>
                </c:pt>
                <c:pt idx="171">
                  <c:v>0.57276925425444758</c:v>
                </c:pt>
                <c:pt idx="172">
                  <c:v>0.59569912364660005</c:v>
                </c:pt>
                <c:pt idx="173">
                  <c:v>0.59199999999999997</c:v>
                </c:pt>
                <c:pt idx="174">
                  <c:v>0.62</c:v>
                </c:pt>
                <c:pt idx="175">
                  <c:v>0.53</c:v>
                </c:pt>
                <c:pt idx="176">
                  <c:v>0.59099999999999997</c:v>
                </c:pt>
                <c:pt idx="177">
                  <c:v>0.48299999999999998</c:v>
                </c:pt>
                <c:pt idx="178">
                  <c:v>0.41299999999999998</c:v>
                </c:pt>
                <c:pt idx="179">
                  <c:v>0.52600000000000002</c:v>
                </c:pt>
                <c:pt idx="180">
                  <c:v>0.55800000000000005</c:v>
                </c:pt>
                <c:pt idx="181">
                  <c:v>0.497</c:v>
                </c:pt>
                <c:pt idx="182">
                  <c:v>0.41099999999999998</c:v>
                </c:pt>
                <c:pt idx="183">
                  <c:v>0.40926260346961096</c:v>
                </c:pt>
                <c:pt idx="184">
                  <c:v>0.42899999999999999</c:v>
                </c:pt>
                <c:pt idx="185">
                  <c:v>0.433</c:v>
                </c:pt>
                <c:pt idx="186">
                  <c:v>0.48</c:v>
                </c:pt>
                <c:pt idx="187">
                  <c:v>0.46100000000000002</c:v>
                </c:pt>
                <c:pt idx="188">
                  <c:v>0.54101982295106521</c:v>
                </c:pt>
                <c:pt idx="189">
                  <c:v>0.56299999999999994</c:v>
                </c:pt>
                <c:pt idx="190">
                  <c:v>0.56999999999999995</c:v>
                </c:pt>
                <c:pt idx="191">
                  <c:v>0.59084551881901937</c:v>
                </c:pt>
                <c:pt idx="192">
                  <c:v>0.62518710656202447</c:v>
                </c:pt>
                <c:pt idx="193">
                  <c:v>0.6313146829948344</c:v>
                </c:pt>
                <c:pt idx="194">
                  <c:v>0.64292002279378702</c:v>
                </c:pt>
                <c:pt idx="195">
                  <c:v>0.70892535100606313</c:v>
                </c:pt>
                <c:pt idx="196">
                  <c:v>0.72097667415640498</c:v>
                </c:pt>
                <c:pt idx="197">
                  <c:v>0.73827163112427474</c:v>
                </c:pt>
                <c:pt idx="198">
                  <c:v>0.75406259087321148</c:v>
                </c:pt>
                <c:pt idx="199">
                  <c:v>0.71646973266199243</c:v>
                </c:pt>
                <c:pt idx="200">
                  <c:v>0.68977460337897045</c:v>
                </c:pt>
                <c:pt idx="201">
                  <c:v>0.67525243804157964</c:v>
                </c:pt>
                <c:pt idx="202">
                  <c:v>0.74002787784008817</c:v>
                </c:pt>
                <c:pt idx="203">
                  <c:v>0.81065301283085001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85-4511-94B6-712DDD06C6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1093888"/>
        <c:axId val="201095424"/>
      </c:lineChart>
      <c:dateAx>
        <c:axId val="201093888"/>
        <c:scaling>
          <c:orientation val="minMax"/>
          <c:max val="43070"/>
        </c:scaling>
        <c:delete val="0"/>
        <c:axPos val="b"/>
        <c:majorGridlines>
          <c:spPr>
            <a:ln>
              <a:solidFill>
                <a:schemeClr val="bg1">
                  <a:lumMod val="95000"/>
                </a:schemeClr>
              </a:solidFill>
            </a:ln>
          </c:spPr>
        </c:majorGridlines>
        <c:numFmt formatCode="yyyy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01095424"/>
        <c:crosses val="autoZero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201095424"/>
        <c:scaling>
          <c:orientation val="minMax"/>
          <c:min val="-0.5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01093888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3.6382536382536385E-2"/>
          <c:y val="0.94322517377635484"/>
          <c:w val="0.87629937629937626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</a:t>
            </a:r>
            <a:r>
              <a:rPr lang="sv-SE" baseline="0"/>
              <a:t> -</a:t>
            </a:r>
            <a:r>
              <a:rPr lang="sv-SE"/>
              <a:t> fondrörelsen i genomsnitt per år </a:t>
            </a:r>
          </a:p>
        </c:rich>
      </c:tx>
      <c:layout>
        <c:manualLayout>
          <c:xMode val="edge"/>
          <c:yMode val="edge"/>
          <c:x val="0.29531578919233875"/>
          <c:y val="2.92504570383912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0631409626902221E-2"/>
          <c:y val="0.14259610535101383"/>
          <c:w val="0.86965420024016293"/>
          <c:h val="0.67458926762210392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2000'!$C$22:$C$23</c:f>
              <c:strCache>
                <c:ptCount val="2"/>
                <c:pt idx="0">
                  <c:v>Tidsviktad årsavkastning (TVA)</c:v>
                </c:pt>
              </c:strCache>
            </c:strRef>
          </c:tx>
          <c:spPr>
            <a:ln w="38100">
              <a:solidFill>
                <a:srgbClr val="FF66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2000'!$B$24:$B$295</c:f>
              <c:numCache>
                <c:formatCode>yyyy/mm/dd;@</c:formatCode>
                <c:ptCount val="272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  <c:pt idx="178" formatCode="m/d/yyyy">
                  <c:v>42277</c:v>
                </c:pt>
                <c:pt idx="179" formatCode="m/d/yyyy">
                  <c:v>42308</c:v>
                </c:pt>
                <c:pt idx="180" formatCode="m/d/yyyy">
                  <c:v>42338</c:v>
                </c:pt>
                <c:pt idx="181" formatCode="m/d/yyyy">
                  <c:v>42369</c:v>
                </c:pt>
                <c:pt idx="182" formatCode="m/d/yyyy">
                  <c:v>42400</c:v>
                </c:pt>
                <c:pt idx="183" formatCode="m/d/yyyy">
                  <c:v>42429</c:v>
                </c:pt>
                <c:pt idx="184" formatCode="m/d/yyyy">
                  <c:v>42460</c:v>
                </c:pt>
                <c:pt idx="185" formatCode="m/d/yyyy">
                  <c:v>42490</c:v>
                </c:pt>
                <c:pt idx="186" formatCode="m/d/yyyy">
                  <c:v>42521</c:v>
                </c:pt>
                <c:pt idx="187" formatCode="m/d/yyyy">
                  <c:v>42551</c:v>
                </c:pt>
                <c:pt idx="188" formatCode="m/d/yyyy">
                  <c:v>42582</c:v>
                </c:pt>
                <c:pt idx="189" formatCode="m/d/yyyy">
                  <c:v>42613</c:v>
                </c:pt>
                <c:pt idx="190" formatCode="m/d/yyyy">
                  <c:v>42643</c:v>
                </c:pt>
                <c:pt idx="191" formatCode="m/d/yyyy">
                  <c:v>42674</c:v>
                </c:pt>
                <c:pt idx="192" formatCode="m/d/yyyy">
                  <c:v>42704</c:v>
                </c:pt>
                <c:pt idx="193" formatCode="m/d/yyyy">
                  <c:v>42735</c:v>
                </c:pt>
                <c:pt idx="194" formatCode="m/d/yyyy">
                  <c:v>42766</c:v>
                </c:pt>
                <c:pt idx="195" formatCode="m/d/yyyy">
                  <c:v>42794</c:v>
                </c:pt>
                <c:pt idx="196" formatCode="m/d/yyyy">
                  <c:v>42825</c:v>
                </c:pt>
                <c:pt idx="197" formatCode="m/d/yyyy">
                  <c:v>42855</c:v>
                </c:pt>
                <c:pt idx="198" formatCode="m/d/yyyy">
                  <c:v>42886</c:v>
                </c:pt>
                <c:pt idx="199" formatCode="m/d/yyyy">
                  <c:v>42916</c:v>
                </c:pt>
                <c:pt idx="200" formatCode="m/d/yyyy">
                  <c:v>42947</c:v>
                </c:pt>
                <c:pt idx="201" formatCode="m/d/yyyy">
                  <c:v>42978</c:v>
                </c:pt>
                <c:pt idx="202" formatCode="m/d/yyyy">
                  <c:v>43008</c:v>
                </c:pt>
                <c:pt idx="203" formatCode="m/d/yyyy">
                  <c:v>43039</c:v>
                </c:pt>
              </c:numCache>
            </c:numRef>
          </c:cat>
          <c:val>
            <c:numRef>
              <c:f>'Avkastning sedan 2000'!$C$24:$C$293</c:f>
              <c:numCache>
                <c:formatCode>0.0%</c:formatCode>
                <c:ptCount val="270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-0.16226125402914071</c:v>
                </c:pt>
                <c:pt idx="15">
                  <c:v>-0.15995282583486503</c:v>
                </c:pt>
                <c:pt idx="16">
                  <c:v>-0.13668758570700124</c:v>
                </c:pt>
                <c:pt idx="17">
                  <c:v>-0.16588858009420038</c:v>
                </c:pt>
                <c:pt idx="18">
                  <c:v>-0.17925892347518058</c:v>
                </c:pt>
                <c:pt idx="19">
                  <c:v>-0.22050976223006347</c:v>
                </c:pt>
                <c:pt idx="20">
                  <c:v>-0.24416776840847387</c:v>
                </c:pt>
                <c:pt idx="21">
                  <c:v>-0.23780624183716714</c:v>
                </c:pt>
                <c:pt idx="22">
                  <c:v>-0.27439234057319351</c:v>
                </c:pt>
                <c:pt idx="23">
                  <c:v>-0.23343554860848559</c:v>
                </c:pt>
                <c:pt idx="24">
                  <c:v>-0.20070973309006235</c:v>
                </c:pt>
                <c:pt idx="25">
                  <c:v>-0.22785838594751284</c:v>
                </c:pt>
                <c:pt idx="26">
                  <c:v>-0.23460327412364324</c:v>
                </c:pt>
                <c:pt idx="27">
                  <c:v>-0.23240386065007368</c:v>
                </c:pt>
                <c:pt idx="28">
                  <c:v>-0.22512802037218171</c:v>
                </c:pt>
                <c:pt idx="29">
                  <c:v>-0.19717702713728946</c:v>
                </c:pt>
                <c:pt idx="30">
                  <c:v>-0.18833333094140081</c:v>
                </c:pt>
                <c:pt idx="31">
                  <c:v>-0.16813844327559169</c:v>
                </c:pt>
                <c:pt idx="32">
                  <c:v>-0.1518031259781758</c:v>
                </c:pt>
                <c:pt idx="33">
                  <c:v>-0.13574346501764911</c:v>
                </c:pt>
                <c:pt idx="34">
                  <c:v>-0.14681322947025155</c:v>
                </c:pt>
                <c:pt idx="35">
                  <c:v>-0.1251331817775535</c:v>
                </c:pt>
                <c:pt idx="36">
                  <c:v>-0.12301693246698986</c:v>
                </c:pt>
                <c:pt idx="37">
                  <c:v>-0.1143751986773297</c:v>
                </c:pt>
                <c:pt idx="38">
                  <c:v>-9.8706449952690956E-2</c:v>
                </c:pt>
                <c:pt idx="39">
                  <c:v>-8.9088952368647556E-2</c:v>
                </c:pt>
                <c:pt idx="40">
                  <c:v>-8.7406605538522308E-2</c:v>
                </c:pt>
                <c:pt idx="41">
                  <c:v>-8.6988615271393566E-2</c:v>
                </c:pt>
                <c:pt idx="42">
                  <c:v>-8.9931885662111632E-2</c:v>
                </c:pt>
                <c:pt idx="43">
                  <c:v>-8.1594111492517385E-2</c:v>
                </c:pt>
                <c:pt idx="44">
                  <c:v>-8.5704517293054172E-2</c:v>
                </c:pt>
                <c:pt idx="45">
                  <c:v>-8.5215270792155073E-2</c:v>
                </c:pt>
                <c:pt idx="46">
                  <c:v>-8.159684410507495E-2</c:v>
                </c:pt>
                <c:pt idx="47">
                  <c:v>-7.9882149410125725E-2</c:v>
                </c:pt>
                <c:pt idx="48">
                  <c:v>-7.3719529380124937E-2</c:v>
                </c:pt>
                <c:pt idx="49">
                  <c:v>-6.8696459652047626E-2</c:v>
                </c:pt>
                <c:pt idx="50">
                  <c:v>-6.341088664394734E-2</c:v>
                </c:pt>
                <c:pt idx="51">
                  <c:v>-5.6910768482158702E-2</c:v>
                </c:pt>
                <c:pt idx="52">
                  <c:v>-5.5930861892893091E-2</c:v>
                </c:pt>
                <c:pt idx="53">
                  <c:v>-5.6873786580065921E-2</c:v>
                </c:pt>
                <c:pt idx="54">
                  <c:v>-4.3985259422495315E-2</c:v>
                </c:pt>
                <c:pt idx="55">
                  <c:v>-3.3018014505805326E-2</c:v>
                </c:pt>
                <c:pt idx="56">
                  <c:v>-2.5325259264046607E-2</c:v>
                </c:pt>
                <c:pt idx="57">
                  <c:v>-2.746217415188934E-2</c:v>
                </c:pt>
                <c:pt idx="58">
                  <c:v>-1.7256064356471201E-2</c:v>
                </c:pt>
                <c:pt idx="59">
                  <c:v>-1.9685498604054108E-2</c:v>
                </c:pt>
                <c:pt idx="60">
                  <c:v>-9.9800295892689128E-3</c:v>
                </c:pt>
                <c:pt idx="61">
                  <c:v>-4.7110674544711406E-3</c:v>
                </c:pt>
                <c:pt idx="62">
                  <c:v>-2.0261592519472682E-3</c:v>
                </c:pt>
                <c:pt idx="63">
                  <c:v>5.6487653200738563E-3</c:v>
                </c:pt>
                <c:pt idx="64">
                  <c:v>9.2249715902352758E-3</c:v>
                </c:pt>
                <c:pt idx="65">
                  <c:v>8.0992276958389287E-3</c:v>
                </c:pt>
                <c:pt idx="66">
                  <c:v>-5.4074952826941303E-3</c:v>
                </c:pt>
                <c:pt idx="67">
                  <c:v>-4.8403012667731504E-3</c:v>
                </c:pt>
                <c:pt idx="68">
                  <c:v>-4.3741452361311106E-3</c:v>
                </c:pt>
                <c:pt idx="69">
                  <c:v>6.9304414696169658E-4</c:v>
                </c:pt>
                <c:pt idx="70">
                  <c:v>5.45304819675696E-3</c:v>
                </c:pt>
                <c:pt idx="71">
                  <c:v>9.6585518189129527E-3</c:v>
                </c:pt>
                <c:pt idx="72">
                  <c:v>8.4141557924484189E-3</c:v>
                </c:pt>
                <c:pt idx="73">
                  <c:v>1.500756008888593E-2</c:v>
                </c:pt>
                <c:pt idx="74">
                  <c:v>1.8518194889937556E-2</c:v>
                </c:pt>
                <c:pt idx="75">
                  <c:v>1.7444917265784232E-2</c:v>
                </c:pt>
                <c:pt idx="76">
                  <c:v>2.224375243149157E-2</c:v>
                </c:pt>
                <c:pt idx="77">
                  <c:v>2.5673479879851469E-2</c:v>
                </c:pt>
                <c:pt idx="78">
                  <c:v>2.9137083472588143E-2</c:v>
                </c:pt>
                <c:pt idx="79">
                  <c:v>2.951440349286516E-2</c:v>
                </c:pt>
                <c:pt idx="80">
                  <c:v>2.7093726215310143E-2</c:v>
                </c:pt>
                <c:pt idx="81">
                  <c:v>2.5893685550976597E-2</c:v>
                </c:pt>
                <c:pt idx="82">
                  <c:v>2.6105589192325196E-2</c:v>
                </c:pt>
                <c:pt idx="83">
                  <c:v>2.8177334679883703E-2</c:v>
                </c:pt>
                <c:pt idx="84">
                  <c:v>2.1492005082166754E-2</c:v>
                </c:pt>
                <c:pt idx="85">
                  <c:v>2.0783679984143433E-2</c:v>
                </c:pt>
                <c:pt idx="86">
                  <c:v>4.0790775493757536E-3</c:v>
                </c:pt>
                <c:pt idx="87">
                  <c:v>5.8644386324504527E-3</c:v>
                </c:pt>
                <c:pt idx="88">
                  <c:v>-5.1376771948852262E-4</c:v>
                </c:pt>
                <c:pt idx="89">
                  <c:v>6.2290021634821002E-3</c:v>
                </c:pt>
                <c:pt idx="90">
                  <c:v>9.0389136859068131E-3</c:v>
                </c:pt>
                <c:pt idx="91">
                  <c:v>-3.3928874419889565E-3</c:v>
                </c:pt>
                <c:pt idx="92">
                  <c:v>-4.8172133966993824E-3</c:v>
                </c:pt>
                <c:pt idx="93">
                  <c:v>-3.015438448475849E-3</c:v>
                </c:pt>
                <c:pt idx="94">
                  <c:v>-1.5328195456027816E-2</c:v>
                </c:pt>
                <c:pt idx="95">
                  <c:v>-3.150249419696316E-2</c:v>
                </c:pt>
                <c:pt idx="96">
                  <c:v>-3.4452148187868015E-2</c:v>
                </c:pt>
                <c:pt idx="97">
                  <c:v>-3.3168568368584062E-2</c:v>
                </c:pt>
                <c:pt idx="98">
                  <c:v>-3.5230663025813347E-2</c:v>
                </c:pt>
                <c:pt idx="99">
                  <c:v>-3.5368453768149566E-2</c:v>
                </c:pt>
                <c:pt idx="100">
                  <c:v>-3.5117277279205217E-2</c:v>
                </c:pt>
                <c:pt idx="101">
                  <c:v>-2.1242112837696281E-2</c:v>
                </c:pt>
                <c:pt idx="102">
                  <c:v>-1.6913601228283448E-2</c:v>
                </c:pt>
                <c:pt idx="103">
                  <c:v>-1.5144256937690503E-2</c:v>
                </c:pt>
                <c:pt idx="104">
                  <c:v>-1.0206632726496134E-2</c:v>
                </c:pt>
                <c:pt idx="105">
                  <c:v>-8.1357184729335952E-3</c:v>
                </c:pt>
                <c:pt idx="106">
                  <c:v>-5.2679940769330136E-3</c:v>
                </c:pt>
                <c:pt idx="107">
                  <c:v>-3.0206025293543215E-3</c:v>
                </c:pt>
                <c:pt idx="108">
                  <c:v>-1.3160706544280698E-3</c:v>
                </c:pt>
                <c:pt idx="109">
                  <c:v>2.7684935362404239E-3</c:v>
                </c:pt>
                <c:pt idx="110">
                  <c:v>1.9967911431406637E-3</c:v>
                </c:pt>
                <c:pt idx="111">
                  <c:v>-3.3425781767004725E-4</c:v>
                </c:pt>
                <c:pt idx="112">
                  <c:v>7.2714774332358623E-3</c:v>
                </c:pt>
                <c:pt idx="113">
                  <c:v>8.9710598371586237E-3</c:v>
                </c:pt>
                <c:pt idx="114">
                  <c:v>4.9887427577515187E-3</c:v>
                </c:pt>
                <c:pt idx="115">
                  <c:v>3.1368265438185272E-3</c:v>
                </c:pt>
                <c:pt idx="116">
                  <c:v>4.7018094765645113E-3</c:v>
                </c:pt>
                <c:pt idx="117">
                  <c:v>2.652198892256763E-3</c:v>
                </c:pt>
                <c:pt idx="118">
                  <c:v>6.0150196652901666E-3</c:v>
                </c:pt>
                <c:pt idx="119">
                  <c:v>8.390460303901115E-3</c:v>
                </c:pt>
                <c:pt idx="120">
                  <c:v>9.7873840817976898E-3</c:v>
                </c:pt>
                <c:pt idx="121">
                  <c:v>1.3958885208253058E-2</c:v>
                </c:pt>
                <c:pt idx="122">
                  <c:v>1.1408050737646835E-2</c:v>
                </c:pt>
                <c:pt idx="123">
                  <c:v>1.1757971236948661E-2</c:v>
                </c:pt>
                <c:pt idx="124">
                  <c:v>1.2311686217160611E-2</c:v>
                </c:pt>
                <c:pt idx="125">
                  <c:v>1.3095883137439257E-2</c:v>
                </c:pt>
                <c:pt idx="126">
                  <c:v>1.2597298463506323E-2</c:v>
                </c:pt>
                <c:pt idx="127">
                  <c:v>1.1685370203887935E-2</c:v>
                </c:pt>
                <c:pt idx="128">
                  <c:v>9.4601042789193013E-3</c:v>
                </c:pt>
                <c:pt idx="129">
                  <c:v>1.192315922280196E-3</c:v>
                </c:pt>
                <c:pt idx="130">
                  <c:v>-3.2258906758955153E-3</c:v>
                </c:pt>
                <c:pt idx="131">
                  <c:v>2.7862013168424848E-3</c:v>
                </c:pt>
                <c:pt idx="132">
                  <c:v>1.7778001215293937E-3</c:v>
                </c:pt>
                <c:pt idx="133">
                  <c:v>2.4176334743228889E-3</c:v>
                </c:pt>
                <c:pt idx="134">
                  <c:v>7.4768586609763599E-3</c:v>
                </c:pt>
                <c:pt idx="135">
                  <c:v>1.0716754603864231E-2</c:v>
                </c:pt>
                <c:pt idx="136">
                  <c:v>1.0469961675287909E-2</c:v>
                </c:pt>
                <c:pt idx="137">
                  <c:v>1.0484426592469731E-2</c:v>
                </c:pt>
                <c:pt idx="138">
                  <c:v>6.3884371626934389E-3</c:v>
                </c:pt>
                <c:pt idx="139">
                  <c:v>6.9047494449268054E-3</c:v>
                </c:pt>
                <c:pt idx="140">
                  <c:v>8.4113952258388913E-3</c:v>
                </c:pt>
                <c:pt idx="141">
                  <c:v>8.0000000000000002E-3</c:v>
                </c:pt>
                <c:pt idx="142">
                  <c:v>9.9494584964721078E-3</c:v>
                </c:pt>
                <c:pt idx="143">
                  <c:v>9.9967456049194769E-3</c:v>
                </c:pt>
                <c:pt idx="144">
                  <c:v>1.2E-2</c:v>
                </c:pt>
                <c:pt idx="145">
                  <c:v>1.1755018850492904E-2</c:v>
                </c:pt>
                <c:pt idx="146">
                  <c:v>1.4999999999999999E-2</c:v>
                </c:pt>
                <c:pt idx="147">
                  <c:v>1.6E-2</c:v>
                </c:pt>
                <c:pt idx="148">
                  <c:v>1.7000000000000001E-2</c:v>
                </c:pt>
                <c:pt idx="149">
                  <c:v>1.7999999999999999E-2</c:v>
                </c:pt>
                <c:pt idx="150">
                  <c:v>0.02</c:v>
                </c:pt>
                <c:pt idx="151">
                  <c:v>1.7000000000000001E-2</c:v>
                </c:pt>
                <c:pt idx="152">
                  <c:v>2.0298161417040772E-2</c:v>
                </c:pt>
                <c:pt idx="153">
                  <c:v>1.9116423868826615E-2</c:v>
                </c:pt>
                <c:pt idx="154">
                  <c:v>2.1000000000000001E-2</c:v>
                </c:pt>
                <c:pt idx="155">
                  <c:v>2.4E-2</c:v>
                </c:pt>
                <c:pt idx="156">
                  <c:v>2.5999999999999999E-2</c:v>
                </c:pt>
                <c:pt idx="157">
                  <c:v>2.5999999999999999E-2</c:v>
                </c:pt>
                <c:pt idx="158">
                  <c:v>2.3468042798530764E-2</c:v>
                </c:pt>
                <c:pt idx="159">
                  <c:v>2.663739494441919E-2</c:v>
                </c:pt>
                <c:pt idx="160">
                  <c:v>2.7E-2</c:v>
                </c:pt>
                <c:pt idx="161">
                  <c:v>2.8000000000000001E-2</c:v>
                </c:pt>
                <c:pt idx="162">
                  <c:v>3.1E-2</c:v>
                </c:pt>
                <c:pt idx="163">
                  <c:v>3.2000000000000001E-2</c:v>
                </c:pt>
                <c:pt idx="164">
                  <c:v>3.1890572857588895E-2</c:v>
                </c:pt>
                <c:pt idx="165">
                  <c:v>3.4000000000000002E-2</c:v>
                </c:pt>
                <c:pt idx="166">
                  <c:v>3.3000000000000002E-2</c:v>
                </c:pt>
                <c:pt idx="167">
                  <c:v>3.5000000000000003E-2</c:v>
                </c:pt>
                <c:pt idx="168">
                  <c:v>3.6999999999999998E-2</c:v>
                </c:pt>
                <c:pt idx="169">
                  <c:v>3.7999999999999999E-2</c:v>
                </c:pt>
                <c:pt idx="170">
                  <c:v>4.1000000000000002E-2</c:v>
                </c:pt>
                <c:pt idx="171">
                  <c:v>4.4987450717208555E-2</c:v>
                </c:pt>
                <c:pt idx="172">
                  <c:v>4.5770975014270299E-2</c:v>
                </c:pt>
                <c:pt idx="173">
                  <c:v>4.5999999999999999E-2</c:v>
                </c:pt>
                <c:pt idx="174">
                  <c:v>4.7E-2</c:v>
                </c:pt>
                <c:pt idx="175">
                  <c:v>4.2000000000000003E-2</c:v>
                </c:pt>
                <c:pt idx="176">
                  <c:v>4.4999999999999998E-2</c:v>
                </c:pt>
                <c:pt idx="177">
                  <c:v>3.9E-2</c:v>
                </c:pt>
                <c:pt idx="178">
                  <c:v>3.5999999999999997E-2</c:v>
                </c:pt>
                <c:pt idx="179">
                  <c:v>4.1000000000000002E-2</c:v>
                </c:pt>
                <c:pt idx="180">
                  <c:v>4.2000000000000003E-2</c:v>
                </c:pt>
                <c:pt idx="181">
                  <c:v>3.9E-2</c:v>
                </c:pt>
                <c:pt idx="182">
                  <c:v>3.5000000000000003E-2</c:v>
                </c:pt>
                <c:pt idx="183">
                  <c:v>3.4814794575029895E-2</c:v>
                </c:pt>
                <c:pt idx="184">
                  <c:v>3.5999999999999997E-2</c:v>
                </c:pt>
                <c:pt idx="185">
                  <c:v>3.5999999999999997E-2</c:v>
                </c:pt>
                <c:pt idx="186">
                  <c:v>3.7999999999999999E-2</c:v>
                </c:pt>
                <c:pt idx="187">
                  <c:v>3.6999999999999998E-2</c:v>
                </c:pt>
                <c:pt idx="188">
                  <c:v>4.0333532333468369E-2</c:v>
                </c:pt>
                <c:pt idx="189">
                  <c:v>4.1000000000000002E-2</c:v>
                </c:pt>
                <c:pt idx="190">
                  <c:v>4.1000000000000002E-2</c:v>
                </c:pt>
                <c:pt idx="191">
                  <c:v>4.2030228419878357E-2</c:v>
                </c:pt>
                <c:pt idx="192">
                  <c:v>4.3218872876169323E-2</c:v>
                </c:pt>
                <c:pt idx="193">
                  <c:v>4.3555702411013808E-2</c:v>
                </c:pt>
                <c:pt idx="194">
                  <c:v>4.334228507554494E-2</c:v>
                </c:pt>
                <c:pt idx="195">
                  <c:v>4.6097313069848767E-2</c:v>
                </c:pt>
                <c:pt idx="196">
                  <c:v>4.6296857857121454E-2</c:v>
                </c:pt>
                <c:pt idx="197">
                  <c:v>4.7063816541086823E-2</c:v>
                </c:pt>
                <c:pt idx="198">
                  <c:v>4.7434009312021796E-2</c:v>
                </c:pt>
                <c:pt idx="199">
                  <c:v>4.5867995592066203E-2</c:v>
                </c:pt>
                <c:pt idx="200">
                  <c:v>4.4984573611139389E-2</c:v>
                </c:pt>
                <c:pt idx="201">
                  <c:v>4.4119313366598689E-2</c:v>
                </c:pt>
                <c:pt idx="202">
                  <c:v>4.633602322555963E-2</c:v>
                </c:pt>
                <c:pt idx="203">
                  <c:v>4.8519831871773889E-2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C6-4F7B-91E3-BDD48BA15D2F}"/>
            </c:ext>
          </c:extLst>
        </c:ser>
        <c:ser>
          <c:idx val="1"/>
          <c:order val="1"/>
          <c:tx>
            <c:strRef>
              <c:f>'Avkastning sedan 2000'!$D$22:$D$23</c:f>
              <c:strCache>
                <c:ptCount val="2"/>
                <c:pt idx="0">
                  <c:v>Real tidsviktad årsavkastning (TVA)</c:v>
                </c:pt>
              </c:strCache>
            </c:strRef>
          </c:tx>
          <c:spPr>
            <a:ln w="12700">
              <a:solidFill>
                <a:srgbClr val="FFC0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2000'!$B$24:$B$295</c:f>
              <c:numCache>
                <c:formatCode>yyyy/mm/dd;@</c:formatCode>
                <c:ptCount val="272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  <c:pt idx="178" formatCode="m/d/yyyy">
                  <c:v>42277</c:v>
                </c:pt>
                <c:pt idx="179" formatCode="m/d/yyyy">
                  <c:v>42308</c:v>
                </c:pt>
                <c:pt idx="180" formatCode="m/d/yyyy">
                  <c:v>42338</c:v>
                </c:pt>
                <c:pt idx="181" formatCode="m/d/yyyy">
                  <c:v>42369</c:v>
                </c:pt>
                <c:pt idx="182" formatCode="m/d/yyyy">
                  <c:v>42400</c:v>
                </c:pt>
                <c:pt idx="183" formatCode="m/d/yyyy">
                  <c:v>42429</c:v>
                </c:pt>
                <c:pt idx="184" formatCode="m/d/yyyy">
                  <c:v>42460</c:v>
                </c:pt>
                <c:pt idx="185" formatCode="m/d/yyyy">
                  <c:v>42490</c:v>
                </c:pt>
                <c:pt idx="186" formatCode="m/d/yyyy">
                  <c:v>42521</c:v>
                </c:pt>
                <c:pt idx="187" formatCode="m/d/yyyy">
                  <c:v>42551</c:v>
                </c:pt>
                <c:pt idx="188" formatCode="m/d/yyyy">
                  <c:v>42582</c:v>
                </c:pt>
                <c:pt idx="189" formatCode="m/d/yyyy">
                  <c:v>42613</c:v>
                </c:pt>
                <c:pt idx="190" formatCode="m/d/yyyy">
                  <c:v>42643</c:v>
                </c:pt>
                <c:pt idx="191" formatCode="m/d/yyyy">
                  <c:v>42674</c:v>
                </c:pt>
                <c:pt idx="192" formatCode="m/d/yyyy">
                  <c:v>42704</c:v>
                </c:pt>
                <c:pt idx="193" formatCode="m/d/yyyy">
                  <c:v>42735</c:v>
                </c:pt>
                <c:pt idx="194" formatCode="m/d/yyyy">
                  <c:v>42766</c:v>
                </c:pt>
                <c:pt idx="195" formatCode="m/d/yyyy">
                  <c:v>42794</c:v>
                </c:pt>
                <c:pt idx="196" formatCode="m/d/yyyy">
                  <c:v>42825</c:v>
                </c:pt>
                <c:pt idx="197" formatCode="m/d/yyyy">
                  <c:v>42855</c:v>
                </c:pt>
                <c:pt idx="198" formatCode="m/d/yyyy">
                  <c:v>42886</c:v>
                </c:pt>
                <c:pt idx="199" formatCode="m/d/yyyy">
                  <c:v>42916</c:v>
                </c:pt>
                <c:pt idx="200" formatCode="m/d/yyyy">
                  <c:v>42947</c:v>
                </c:pt>
                <c:pt idx="201" formatCode="m/d/yyyy">
                  <c:v>42978</c:v>
                </c:pt>
                <c:pt idx="202" formatCode="m/d/yyyy">
                  <c:v>43008</c:v>
                </c:pt>
                <c:pt idx="203" formatCode="m/d/yyyy">
                  <c:v>43039</c:v>
                </c:pt>
              </c:numCache>
            </c:numRef>
          </c:cat>
          <c:val>
            <c:numRef>
              <c:f>'Avkastning sedan 2000'!$D$24:$D$293</c:f>
              <c:numCache>
                <c:formatCode>0.0%</c:formatCode>
                <c:ptCount val="270"/>
                <c:pt idx="0">
                  <c:v>0</c:v>
                </c:pt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-0.17982548286273181</c:v>
                </c:pt>
                <c:pt idx="15">
                  <c:v>-0.17789240716081489</c:v>
                </c:pt>
                <c:pt idx="16">
                  <c:v>-0.1598893652815141</c:v>
                </c:pt>
                <c:pt idx="17">
                  <c:v>-0.1893815764872061</c:v>
                </c:pt>
                <c:pt idx="18">
                  <c:v>-0.202477220739679</c:v>
                </c:pt>
                <c:pt idx="19">
                  <c:v>-0.24061222909381852</c:v>
                </c:pt>
                <c:pt idx="20">
                  <c:v>-0.26110857275586996</c:v>
                </c:pt>
                <c:pt idx="21">
                  <c:v>-0.25420894591188581</c:v>
                </c:pt>
                <c:pt idx="22">
                  <c:v>-0.29238390797011871</c:v>
                </c:pt>
                <c:pt idx="23">
                  <c:v>-0.2529240597264083</c:v>
                </c:pt>
                <c:pt idx="24">
                  <c:v>-0.21912139700742306</c:v>
                </c:pt>
                <c:pt idx="25">
                  <c:v>-0.24546098585877341</c:v>
                </c:pt>
                <c:pt idx="26">
                  <c:v>-0.25253463167868995</c:v>
                </c:pt>
                <c:pt idx="27">
                  <c:v>-0.25269517603713187</c:v>
                </c:pt>
                <c:pt idx="28">
                  <c:v>-0.24654438583516525</c:v>
                </c:pt>
                <c:pt idx="29">
                  <c:v>-0.21738415643477516</c:v>
                </c:pt>
                <c:pt idx="30">
                  <c:v>-0.20771433610726042</c:v>
                </c:pt>
                <c:pt idx="31">
                  <c:v>-0.18641163030864216</c:v>
                </c:pt>
                <c:pt idx="32">
                  <c:v>-0.16879672984135718</c:v>
                </c:pt>
                <c:pt idx="33">
                  <c:v>-0.15240816443373728</c:v>
                </c:pt>
                <c:pt idx="34">
                  <c:v>-0.16496042280154943</c:v>
                </c:pt>
                <c:pt idx="35">
                  <c:v>-0.14341679706964161</c:v>
                </c:pt>
                <c:pt idx="36">
                  <c:v>-0.14019184001357088</c:v>
                </c:pt>
                <c:pt idx="37">
                  <c:v>-0.13155412420909063</c:v>
                </c:pt>
                <c:pt idx="38">
                  <c:v>-0.11510276230671346</c:v>
                </c:pt>
                <c:pt idx="39">
                  <c:v>-0.10451536454155341</c:v>
                </c:pt>
                <c:pt idx="40">
                  <c:v>-0.10454961524634732</c:v>
                </c:pt>
                <c:pt idx="41">
                  <c:v>-0.10371465734584484</c:v>
                </c:pt>
                <c:pt idx="42">
                  <c:v>-0.10685537216643326</c:v>
                </c:pt>
                <c:pt idx="43">
                  <c:v>-9.7162913472718326E-2</c:v>
                </c:pt>
                <c:pt idx="44">
                  <c:v>-0.10048598561228328</c:v>
                </c:pt>
                <c:pt idx="45">
                  <c:v>-9.9406515102145931E-2</c:v>
                </c:pt>
                <c:pt idx="46">
                  <c:v>-9.7256122030551784E-2</c:v>
                </c:pt>
                <c:pt idx="47">
                  <c:v>-9.5905139396950667E-2</c:v>
                </c:pt>
                <c:pt idx="48">
                  <c:v>-8.8181181115921548E-2</c:v>
                </c:pt>
                <c:pt idx="49">
                  <c:v>-8.2935944173102905E-2</c:v>
                </c:pt>
                <c:pt idx="50">
                  <c:v>-7.6224112759343265E-2</c:v>
                </c:pt>
                <c:pt idx="51">
                  <c:v>-7.0598211042535719E-2</c:v>
                </c:pt>
                <c:pt idx="52">
                  <c:v>-6.9835735237260943E-2</c:v>
                </c:pt>
                <c:pt idx="53">
                  <c:v>-7.0805954993096609E-2</c:v>
                </c:pt>
                <c:pt idx="54">
                  <c:v>-5.791941284542701E-2</c:v>
                </c:pt>
                <c:pt idx="55">
                  <c:v>-4.6928443506298878E-2</c:v>
                </c:pt>
                <c:pt idx="56">
                  <c:v>-3.8343913031174237E-2</c:v>
                </c:pt>
                <c:pt idx="57">
                  <c:v>-4.0589498864344042E-2</c:v>
                </c:pt>
                <c:pt idx="58">
                  <c:v>-3.174243636300067E-2</c:v>
                </c:pt>
                <c:pt idx="59">
                  <c:v>-3.4242878040501412E-2</c:v>
                </c:pt>
                <c:pt idx="60">
                  <c:v>-2.3941612747295116E-2</c:v>
                </c:pt>
                <c:pt idx="61">
                  <c:v>-1.8584321752021737E-2</c:v>
                </c:pt>
                <c:pt idx="62">
                  <c:v>-1.4184660194154763E-2</c:v>
                </c:pt>
                <c:pt idx="63">
                  <c:v>-7.305353855676322E-3</c:v>
                </c:pt>
                <c:pt idx="64">
                  <c:v>-4.9091212224618985E-3</c:v>
                </c:pt>
                <c:pt idx="65">
                  <c:v>-6.7395195982034029E-3</c:v>
                </c:pt>
                <c:pt idx="66">
                  <c:v>-2.0103622327111714E-2</c:v>
                </c:pt>
                <c:pt idx="67">
                  <c:v>-1.9273541886137835E-2</c:v>
                </c:pt>
                <c:pt idx="68">
                  <c:v>-1.8297318019034781E-2</c:v>
                </c:pt>
                <c:pt idx="69">
                  <c:v>-1.3213011309038181E-2</c:v>
                </c:pt>
                <c:pt idx="70">
                  <c:v>-9.3213483735131719E-3</c:v>
                </c:pt>
                <c:pt idx="71">
                  <c:v>-4.9851276550716417E-3</c:v>
                </c:pt>
                <c:pt idx="72">
                  <c:v>-6.2182206623906389E-3</c:v>
                </c:pt>
                <c:pt idx="73">
                  <c:v>4.8259698982211496E-4</c:v>
                </c:pt>
                <c:pt idx="74">
                  <c:v>4.9619284156534604E-3</c:v>
                </c:pt>
                <c:pt idx="75">
                  <c:v>3.264471702695726E-3</c:v>
                </c:pt>
                <c:pt idx="76">
                  <c:v>7.1303960019744039E-3</c:v>
                </c:pt>
                <c:pt idx="77">
                  <c:v>9.9017579650937382E-3</c:v>
                </c:pt>
                <c:pt idx="78">
                  <c:v>1.3685123987246861E-2</c:v>
                </c:pt>
                <c:pt idx="79">
                  <c:v>1.4000369215551034E-2</c:v>
                </c:pt>
                <c:pt idx="80">
                  <c:v>1.205467685719297E-2</c:v>
                </c:pt>
                <c:pt idx="81">
                  <c:v>1.1100529078291732E-2</c:v>
                </c:pt>
                <c:pt idx="82">
                  <c:v>1.0002874668263884E-2</c:v>
                </c:pt>
                <c:pt idx="83">
                  <c:v>1.1454212754854032E-2</c:v>
                </c:pt>
                <c:pt idx="84">
                  <c:v>4.1400638306066107E-3</c:v>
                </c:pt>
                <c:pt idx="85">
                  <c:v>3.3724263430032764E-3</c:v>
                </c:pt>
                <c:pt idx="86">
                  <c:v>-1.1808379696149451E-2</c:v>
                </c:pt>
                <c:pt idx="87">
                  <c:v>-1.0439381179948248E-2</c:v>
                </c:pt>
                <c:pt idx="88">
                  <c:v>-1.7817743470440184E-2</c:v>
                </c:pt>
                <c:pt idx="89">
                  <c:v>-1.1586518717328853E-2</c:v>
                </c:pt>
                <c:pt idx="90">
                  <c:v>-9.1529094498647989E-3</c:v>
                </c:pt>
                <c:pt idx="91">
                  <c:v>-2.1781821903615661E-2</c:v>
                </c:pt>
                <c:pt idx="92">
                  <c:v>-2.2715193179157933E-2</c:v>
                </c:pt>
                <c:pt idx="93">
                  <c:v>-2.0972779360206917E-2</c:v>
                </c:pt>
                <c:pt idx="94">
                  <c:v>-3.4148442908676913E-2</c:v>
                </c:pt>
                <c:pt idx="95">
                  <c:v>-5.0009224944316366E-2</c:v>
                </c:pt>
                <c:pt idx="96">
                  <c:v>-5.1726608288675702E-2</c:v>
                </c:pt>
                <c:pt idx="97">
                  <c:v>-4.8680964135333737E-2</c:v>
                </c:pt>
                <c:pt idx="98">
                  <c:v>-5.0114693864390492E-2</c:v>
                </c:pt>
                <c:pt idx="99">
                  <c:v>-5.0126997720250976E-2</c:v>
                </c:pt>
                <c:pt idx="100">
                  <c:v>-5.0059759907933876E-2</c:v>
                </c:pt>
                <c:pt idx="101">
                  <c:v>-3.6426954167268266E-2</c:v>
                </c:pt>
                <c:pt idx="102">
                  <c:v>-3.2088745490252202E-2</c:v>
                </c:pt>
                <c:pt idx="103">
                  <c:v>-3.0472775711631206E-2</c:v>
                </c:pt>
                <c:pt idx="104">
                  <c:v>-2.5087464817492022E-2</c:v>
                </c:pt>
                <c:pt idx="105">
                  <c:v>-2.3139925695490948E-2</c:v>
                </c:pt>
                <c:pt idx="106">
                  <c:v>-2.0522532130171967E-2</c:v>
                </c:pt>
                <c:pt idx="107">
                  <c:v>-1.8448640866734478E-2</c:v>
                </c:pt>
                <c:pt idx="108">
                  <c:v>-1.6596231475387579E-2</c:v>
                </c:pt>
                <c:pt idx="109">
                  <c:v>-1.267439772507517E-2</c:v>
                </c:pt>
                <c:pt idx="110">
                  <c:v>-1.2599544982237365E-2</c:v>
                </c:pt>
                <c:pt idx="111">
                  <c:v>-1.5413098802518621E-2</c:v>
                </c:pt>
                <c:pt idx="112">
                  <c:v>-8.0466500837836907E-3</c:v>
                </c:pt>
                <c:pt idx="113">
                  <c:v>-6.1150600541195477E-3</c:v>
                </c:pt>
                <c:pt idx="114">
                  <c:v>-1.0100380693534694E-2</c:v>
                </c:pt>
                <c:pt idx="115">
                  <c:v>-1.1810531389113699E-2</c:v>
                </c:pt>
                <c:pt idx="116">
                  <c:v>-9.8220561885055124E-3</c:v>
                </c:pt>
                <c:pt idx="117">
                  <c:v>-1.1724756686247506E-2</c:v>
                </c:pt>
                <c:pt idx="118">
                  <c:v>-9.1391080674046998E-3</c:v>
                </c:pt>
                <c:pt idx="119">
                  <c:v>-6.9928123510089035E-3</c:v>
                </c:pt>
                <c:pt idx="120">
                  <c:v>-5.8196092007823941E-3</c:v>
                </c:pt>
                <c:pt idx="121">
                  <c:v>-2.280479713513639E-3</c:v>
                </c:pt>
                <c:pt idx="122">
                  <c:v>-3.8289314555191023E-3</c:v>
                </c:pt>
                <c:pt idx="123">
                  <c:v>-3.3122408109134138E-3</c:v>
                </c:pt>
                <c:pt idx="124">
                  <c:v>-3.9424626729700485E-3</c:v>
                </c:pt>
                <c:pt idx="125">
                  <c:v>-3.4535370714708913E-3</c:v>
                </c:pt>
                <c:pt idx="126">
                  <c:v>-3.9906442982745594E-3</c:v>
                </c:pt>
                <c:pt idx="127">
                  <c:v>-4.5320880057121427E-3</c:v>
                </c:pt>
                <c:pt idx="128">
                  <c:v>-6.5500419435271517E-3</c:v>
                </c:pt>
                <c:pt idx="129">
                  <c:v>-1.4593316821186031E-2</c:v>
                </c:pt>
                <c:pt idx="130">
                  <c:v>-1.9457870608243777E-2</c:v>
                </c:pt>
                <c:pt idx="131">
                  <c:v>-1.3421994319146924E-2</c:v>
                </c:pt>
                <c:pt idx="132">
                  <c:v>-1.4504405073829774E-2</c:v>
                </c:pt>
                <c:pt idx="133">
                  <c:v>-1.3929296295151938E-2</c:v>
                </c:pt>
                <c:pt idx="134">
                  <c:v>-7.9933870494597326E-3</c:v>
                </c:pt>
                <c:pt idx="135">
                  <c:v>-5.2778214061410811E-3</c:v>
                </c:pt>
                <c:pt idx="136">
                  <c:v>-5.6506496706182352E-3</c:v>
                </c:pt>
                <c:pt idx="137">
                  <c:v>-5.710927296860957E-3</c:v>
                </c:pt>
                <c:pt idx="138">
                  <c:v>-9.5529530528657425E-3</c:v>
                </c:pt>
                <c:pt idx="139">
                  <c:v>-8.716626672028549E-3</c:v>
                </c:pt>
                <c:pt idx="140">
                  <c:v>-6.7884113074839769E-3</c:v>
                </c:pt>
                <c:pt idx="141">
                  <c:v>-7.0000000000000001E-3</c:v>
                </c:pt>
                <c:pt idx="142">
                  <c:v>-5.4851731630494172E-3</c:v>
                </c:pt>
                <c:pt idx="143">
                  <c:v>-5.2719741961625433E-3</c:v>
                </c:pt>
                <c:pt idx="144">
                  <c:v>-3.0000000000000001E-3</c:v>
                </c:pt>
                <c:pt idx="145">
                  <c:v>-3.3347187598281591E-3</c:v>
                </c:pt>
                <c:pt idx="146">
                  <c:v>0</c:v>
                </c:pt>
                <c:pt idx="147">
                  <c:v>1E-3</c:v>
                </c:pt>
                <c:pt idx="148">
                  <c:v>2E-3</c:v>
                </c:pt>
                <c:pt idx="149">
                  <c:v>4.0000000000000001E-3</c:v>
                </c:pt>
                <c:pt idx="150">
                  <c:v>6.0000000000000001E-3</c:v>
                </c:pt>
                <c:pt idx="151">
                  <c:v>3.0000000000000001E-3</c:v>
                </c:pt>
                <c:pt idx="152">
                  <c:v>6.0511896942254673E-3</c:v>
                </c:pt>
                <c:pt idx="153">
                  <c:v>4.9055777142639201E-3</c:v>
                </c:pt>
                <c:pt idx="154">
                  <c:v>6.0000000000000001E-3</c:v>
                </c:pt>
                <c:pt idx="155">
                  <c:v>0.01</c:v>
                </c:pt>
                <c:pt idx="156">
                  <c:v>1.2E-2</c:v>
                </c:pt>
                <c:pt idx="157">
                  <c:v>1.0999999999999999E-2</c:v>
                </c:pt>
                <c:pt idx="158">
                  <c:v>1.0252919635167501E-2</c:v>
                </c:pt>
                <c:pt idx="159">
                  <c:v>1.3141621147147342E-2</c:v>
                </c:pt>
                <c:pt idx="160">
                  <c:v>1.4E-2</c:v>
                </c:pt>
                <c:pt idx="161">
                  <c:v>1.4E-2</c:v>
                </c:pt>
                <c:pt idx="162">
                  <c:v>1.7000000000000001E-2</c:v>
                </c:pt>
                <c:pt idx="163">
                  <c:v>1.7999999999999999E-2</c:v>
                </c:pt>
                <c:pt idx="164">
                  <c:v>1.8506916764109205E-2</c:v>
                </c:pt>
                <c:pt idx="165">
                  <c:v>2.1000000000000001E-2</c:v>
                </c:pt>
                <c:pt idx="166">
                  <c:v>0.02</c:v>
                </c:pt>
                <c:pt idx="167">
                  <c:v>2.1999999999999999E-2</c:v>
                </c:pt>
                <c:pt idx="168">
                  <c:v>2.3E-2</c:v>
                </c:pt>
                <c:pt idx="169">
                  <c:v>2.5000000000000001E-2</c:v>
                </c:pt>
                <c:pt idx="170">
                  <c:v>2.8000000000000001E-2</c:v>
                </c:pt>
                <c:pt idx="171">
                  <c:v>3.1250454261287697E-2</c:v>
                </c:pt>
                <c:pt idx="172">
                  <c:v>3.2114554680856999E-2</c:v>
                </c:pt>
                <c:pt idx="173">
                  <c:v>3.2000000000000001E-2</c:v>
                </c:pt>
                <c:pt idx="174">
                  <c:v>3.3000000000000002E-2</c:v>
                </c:pt>
                <c:pt idx="175">
                  <c:v>2.9000000000000001E-2</c:v>
                </c:pt>
                <c:pt idx="176">
                  <c:v>3.2000000000000001E-2</c:v>
                </c:pt>
                <c:pt idx="177">
                  <c:v>2.7E-2</c:v>
                </c:pt>
                <c:pt idx="178">
                  <c:v>2.4E-2</c:v>
                </c:pt>
                <c:pt idx="179">
                  <c:v>2.9000000000000001E-2</c:v>
                </c:pt>
                <c:pt idx="180">
                  <c:v>0.03</c:v>
                </c:pt>
                <c:pt idx="181">
                  <c:v>2.7E-2</c:v>
                </c:pt>
                <c:pt idx="182">
                  <c:v>2.3E-2</c:v>
                </c:pt>
                <c:pt idx="183">
                  <c:v>2.2685222994411669E-2</c:v>
                </c:pt>
                <c:pt idx="184">
                  <c:v>2.3E-2</c:v>
                </c:pt>
                <c:pt idx="185">
                  <c:v>2.4E-2</c:v>
                </c:pt>
                <c:pt idx="186">
                  <c:v>2.5999999999999999E-2</c:v>
                </c:pt>
                <c:pt idx="187">
                  <c:v>2.5000000000000001E-2</c:v>
                </c:pt>
                <c:pt idx="188">
                  <c:v>2.7921695980168693E-2</c:v>
                </c:pt>
                <c:pt idx="189">
                  <c:v>2.9000000000000001E-2</c:v>
                </c:pt>
                <c:pt idx="190">
                  <c:v>2.9000000000000001E-2</c:v>
                </c:pt>
                <c:pt idx="191">
                  <c:v>2.9533051802302257E-2</c:v>
                </c:pt>
                <c:pt idx="192">
                  <c:v>3.0752191716537203E-2</c:v>
                </c:pt>
                <c:pt idx="193">
                  <c:v>3.0830294890720422E-2</c:v>
                </c:pt>
                <c:pt idx="194">
                  <c:v>3.1123599502151711E-2</c:v>
                </c:pt>
                <c:pt idx="195">
                  <c:v>3.3461627268104976E-2</c:v>
                </c:pt>
                <c:pt idx="196">
                  <c:v>3.3733130393092559E-2</c:v>
                </c:pt>
                <c:pt idx="197">
                  <c:v>3.4187242986752242E-2</c:v>
                </c:pt>
                <c:pt idx="198">
                  <c:v>3.457868053407509E-2</c:v>
                </c:pt>
                <c:pt idx="199">
                  <c:v>3.3051576167592911E-2</c:v>
                </c:pt>
                <c:pt idx="200">
                  <c:v>3.1911349941530887E-2</c:v>
                </c:pt>
                <c:pt idx="201">
                  <c:v>3.1219376750072358E-2</c:v>
                </c:pt>
                <c:pt idx="202">
                  <c:v>3.4682935993638697E-2</c:v>
                </c:pt>
                <c:pt idx="203">
                  <c:v>3.6919054106707705E-2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0C6-4F7B-91E3-BDD48BA15D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6459904"/>
        <c:axId val="196469888"/>
      </c:lineChart>
      <c:dateAx>
        <c:axId val="196459904"/>
        <c:scaling>
          <c:orientation val="minMax"/>
          <c:max val="43070"/>
        </c:scaling>
        <c:delete val="0"/>
        <c:axPos val="b"/>
        <c:majorGridlines>
          <c:spPr>
            <a:ln>
              <a:solidFill>
                <a:schemeClr val="bg1">
                  <a:lumMod val="95000"/>
                </a:schemeClr>
              </a:solidFill>
              <a:prstDash val="dash"/>
            </a:ln>
          </c:spPr>
        </c:majorGridlines>
        <c:numFmt formatCode="yyyy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469888"/>
        <c:crosses val="autoZero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196469888"/>
        <c:scaling>
          <c:orientation val="minMax"/>
          <c:min val="-0.3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459904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11608971994590289"/>
          <c:y val="0.94332800721664811"/>
          <c:w val="0.7902244602316767"/>
          <c:h val="4.0219378427787889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hyperlink" Target="#'10 mest valda fonder'!A1"/><Relationship Id="rId1" Type="http://schemas.openxmlformats.org/officeDocument/2006/relationships/image" Target="../media/image2.png"/><Relationship Id="rId4" Type="http://schemas.openxmlformats.org/officeDocument/2006/relationships/hyperlink" Target="#Inneh&#229;ll!A13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'Fondval &amp; marknadsv&#228;rde'!A1"/><Relationship Id="rId1" Type="http://schemas.openxmlformats.org/officeDocument/2006/relationships/hyperlink" Target="#Fondstatistik!A1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'10 mest valda fonder'!A1"/><Relationship Id="rId2" Type="http://schemas.openxmlformats.org/officeDocument/2006/relationships/hyperlink" Target="#V&#228;rdeUtvKontoChartData"/><Relationship Id="rId1" Type="http://schemas.openxmlformats.org/officeDocument/2006/relationships/hyperlink" Target="#'Beskrivning av m&#229;tt'!A1"/><Relationship Id="rId5" Type="http://schemas.openxmlformats.org/officeDocument/2006/relationships/image" Target="../media/image2.png"/><Relationship Id="rId4" Type="http://schemas.openxmlformats.org/officeDocument/2006/relationships/hyperlink" Target="#Inneh&#229;ll!A13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Fondstatistik!A1"/><Relationship Id="rId1" Type="http://schemas.openxmlformats.org/officeDocument/2006/relationships/hyperlink" Target="#'V&#228;rdeutv. Premiepensionssystem'!A1"/><Relationship Id="rId5" Type="http://schemas.openxmlformats.org/officeDocument/2006/relationships/chart" Target="../charts/chart1.xml"/><Relationship Id="rId4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2.xml"/><Relationship Id="rId6" Type="http://schemas.openxmlformats.org/officeDocument/2006/relationships/image" Target="../media/image2.png"/><Relationship Id="rId5" Type="http://schemas.openxmlformats.org/officeDocument/2006/relationships/hyperlink" Target="#Inneh&#229;ll!A14"/><Relationship Id="rId4" Type="http://schemas.openxmlformats.org/officeDocument/2006/relationships/hyperlink" Target="#'V&#228;rdeutveckling - konto'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hyperlink" Target="#'V&#228;rdeutv. Premiepensionssystem'!A1"/><Relationship Id="rId7" Type="http://schemas.openxmlformats.org/officeDocument/2006/relationships/hyperlink" Target="#'Index, fondr&#246;relsen'!A1"/><Relationship Id="rId2" Type="http://schemas.openxmlformats.org/officeDocument/2006/relationships/hyperlink" Target="#'Marknadsv. &amp; tillf&#246;rt kapital'!A1"/><Relationship Id="rId1" Type="http://schemas.openxmlformats.org/officeDocument/2006/relationships/chart" Target="../charts/chart3.xml"/><Relationship Id="rId6" Type="http://schemas.microsoft.com/office/2007/relationships/hdphoto" Target="../media/hdphoto1.wdp"/><Relationship Id="rId5" Type="http://schemas.openxmlformats.org/officeDocument/2006/relationships/image" Target="../media/image4.png"/><Relationship Id="rId4" Type="http://schemas.openxmlformats.org/officeDocument/2006/relationships/hyperlink" Target="#Inneh&#229;ll!A15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V&#228;rdeutveckling - fondr&#246;relse'!A1"/><Relationship Id="rId1" Type="http://schemas.openxmlformats.org/officeDocument/2006/relationships/chart" Target="../charts/chart4.xml"/><Relationship Id="rId6" Type="http://schemas.openxmlformats.org/officeDocument/2006/relationships/image" Target="../media/image2.png"/><Relationship Id="rId5" Type="http://schemas.openxmlformats.org/officeDocument/2006/relationships/hyperlink" Target="#'Marknadsv. och tillf&#246;rt kapital'!A1"/><Relationship Id="rId4" Type="http://schemas.openxmlformats.org/officeDocument/2006/relationships/hyperlink" Target="#Inneh&#229;ll!A16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7"/><Relationship Id="rId2" Type="http://schemas.openxmlformats.org/officeDocument/2006/relationships/hyperlink" Target="#'Marknadsv. &amp; tillf&#246;rt kapital'!A1"/><Relationship Id="rId1" Type="http://schemas.openxmlformats.org/officeDocument/2006/relationships/hyperlink" Target="#'V&#228;rdeutv fondr&#246;relse genomsnitt'!A1"/><Relationship Id="rId6" Type="http://schemas.openxmlformats.org/officeDocument/2006/relationships/image" Target="../media/image2.png"/><Relationship Id="rId5" Type="http://schemas.openxmlformats.org/officeDocument/2006/relationships/hyperlink" Target="#'Avkastning sedan 2000'!A1"/><Relationship Id="rId4" Type="http://schemas.openxmlformats.org/officeDocument/2006/relationships/chart" Target="../charts/chart5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eckling - fondr&#246;relse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6.xml"/><Relationship Id="rId6" Type="http://schemas.openxmlformats.org/officeDocument/2006/relationships/image" Target="../media/image2.png"/><Relationship Id="rId5" Type="http://schemas.openxmlformats.org/officeDocument/2006/relationships/hyperlink" Target="#'Avkastning sedan 2000'!A1"/><Relationship Id="rId4" Type="http://schemas.openxmlformats.org/officeDocument/2006/relationships/hyperlink" Target="#Inneh&#229;ll!A19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 fondr&#246;relse genomsnitt'!A1"/><Relationship Id="rId2" Type="http://schemas.openxmlformats.org/officeDocument/2006/relationships/hyperlink" Target="#'Index, fondr&#246;relsen'!A1"/><Relationship Id="rId1" Type="http://schemas.openxmlformats.org/officeDocument/2006/relationships/hyperlink" Target="#'V&#228;rdeutv. Premiepensionssystem'!A1"/><Relationship Id="rId5" Type="http://schemas.openxmlformats.org/officeDocument/2006/relationships/image" Target="../media/image2.png"/><Relationship Id="rId4" Type="http://schemas.openxmlformats.org/officeDocument/2006/relationships/hyperlink" Target="#Inneh&#229;ll!A14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'Avkastning pp-systemet'!A1"/><Relationship Id="rId2" Type="http://schemas.openxmlformats.org/officeDocument/2006/relationships/hyperlink" Target="#'Marknadsv. och tillf&#246;rt kapital'!A1"/><Relationship Id="rId1" Type="http://schemas.openxmlformats.org/officeDocument/2006/relationships/hyperlink" Target="#'V&#228;rdeutv. fondr&#246;relse per &#229;r'!A1"/><Relationship Id="rId5" Type="http://schemas.openxmlformats.org/officeDocument/2006/relationships/image" Target="../media/image2.png"/><Relationship Id="rId4" Type="http://schemas.openxmlformats.org/officeDocument/2006/relationships/hyperlink" Target="#Inneh&#229;ll!A14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'Index, fondr&#246;relsen'!A1"/><Relationship Id="rId2" Type="http://schemas.openxmlformats.org/officeDocument/2006/relationships/hyperlink" Target="#'Avkastning sedan 2000'!A1"/><Relationship Id="rId1" Type="http://schemas.openxmlformats.org/officeDocument/2006/relationships/hyperlink" Target="#'Marknadsv. &amp; tillf&#246;rt kapital'!A1"/><Relationship Id="rId5" Type="http://schemas.openxmlformats.org/officeDocument/2006/relationships/image" Target="../media/image2.png"/><Relationship Id="rId4" Type="http://schemas.openxmlformats.org/officeDocument/2006/relationships/hyperlink" Target="#Inneh&#229;ll!A16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hyperlink" Target="#'Marknadsv. och tillf&#246;rt kapital'!A1"/><Relationship Id="rId2" Type="http://schemas.openxmlformats.org/officeDocument/2006/relationships/hyperlink" Target="#'Beskrivning av m&#229;tt'!N1004E"/><Relationship Id="rId1" Type="http://schemas.openxmlformats.org/officeDocument/2006/relationships/hyperlink" Target="#'V&#228;rdeutv fondr&#246;relse genomsnitt'!A1"/><Relationship Id="rId6" Type="http://schemas.openxmlformats.org/officeDocument/2006/relationships/image" Target="../media/image2.png"/><Relationship Id="rId5" Type="http://schemas.openxmlformats.org/officeDocument/2006/relationships/hyperlink" Target="#'V&#228;rdeutveckling - fondr&#246;relse'!A1"/><Relationship Id="rId4" Type="http://schemas.openxmlformats.org/officeDocument/2006/relationships/hyperlink" Target="#Inneh&#229;ll!A19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Fondstatistik!A1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4" Type="http://schemas.openxmlformats.org/officeDocument/2006/relationships/image" Target="../media/image2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w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1</xdr:row>
      <xdr:rowOff>66675</xdr:rowOff>
    </xdr:from>
    <xdr:to>
      <xdr:col>1</xdr:col>
      <xdr:colOff>1733550</xdr:colOff>
      <xdr:row>5</xdr:row>
      <xdr:rowOff>142875</xdr:rowOff>
    </xdr:to>
    <xdr:pic>
      <xdr:nvPicPr>
        <xdr:cNvPr id="226319" name="Picture 3" descr="Pensionsmyndigheten_rgb 37 mm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5775" y="228600"/>
          <a:ext cx="1562100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405336</xdr:colOff>
      <xdr:row>11</xdr:row>
      <xdr:rowOff>28575</xdr:rowOff>
    </xdr:from>
    <xdr:to>
      <xdr:col>0</xdr:col>
      <xdr:colOff>595836</xdr:colOff>
      <xdr:row>12</xdr:row>
      <xdr:rowOff>57150</xdr:rowOff>
    </xdr:to>
    <xdr:sp macro="" textlink="">
      <xdr:nvSpPr>
        <xdr:cNvPr id="9455" name="Rectangle 132"/>
        <xdr:cNvSpPr>
          <a:spLocks noChangeArrowheads="1"/>
        </xdr:cNvSpPr>
      </xdr:nvSpPr>
      <xdr:spPr bwMode="auto">
        <a:xfrm>
          <a:off x="405336" y="1933575"/>
          <a:ext cx="1905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414861</xdr:colOff>
      <xdr:row>12</xdr:row>
      <xdr:rowOff>95250</xdr:rowOff>
    </xdr:from>
    <xdr:to>
      <xdr:col>0</xdr:col>
      <xdr:colOff>605361</xdr:colOff>
      <xdr:row>13</xdr:row>
      <xdr:rowOff>123825</xdr:rowOff>
    </xdr:to>
    <xdr:sp macro="" textlink="">
      <xdr:nvSpPr>
        <xdr:cNvPr id="9456" name="Rectangle 133"/>
        <xdr:cNvSpPr>
          <a:spLocks noChangeArrowheads="1"/>
        </xdr:cNvSpPr>
      </xdr:nvSpPr>
      <xdr:spPr bwMode="auto">
        <a:xfrm>
          <a:off x="414861" y="2190750"/>
          <a:ext cx="1905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627584</xdr:colOff>
      <xdr:row>12</xdr:row>
      <xdr:rowOff>148167</xdr:rowOff>
    </xdr:from>
    <xdr:to>
      <xdr:col>1</xdr:col>
      <xdr:colOff>878415</xdr:colOff>
      <xdr:row>13</xdr:row>
      <xdr:rowOff>179917</xdr:rowOff>
    </xdr:to>
    <xdr:sp macro="" textlink="">
      <xdr:nvSpPr>
        <xdr:cNvPr id="9350" name="Rectangle 134"/>
        <xdr:cNvSpPr>
          <a:spLocks noChangeArrowheads="1"/>
        </xdr:cNvSpPr>
      </xdr:nvSpPr>
      <xdr:spPr bwMode="auto">
        <a:xfrm>
          <a:off x="627584" y="2455334"/>
          <a:ext cx="1436164" cy="28575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Fallande sortering</a:t>
          </a:r>
        </a:p>
      </xdr:txBody>
    </xdr:sp>
    <xdr:clientData/>
  </xdr:twoCellAnchor>
  <xdr:twoCellAnchor>
    <xdr:from>
      <xdr:col>0</xdr:col>
      <xdr:colOff>627586</xdr:colOff>
      <xdr:row>11</xdr:row>
      <xdr:rowOff>91017</xdr:rowOff>
    </xdr:from>
    <xdr:to>
      <xdr:col>1</xdr:col>
      <xdr:colOff>857250</xdr:colOff>
      <xdr:row>12</xdr:row>
      <xdr:rowOff>74084</xdr:rowOff>
    </xdr:to>
    <xdr:sp macro="" textlink="">
      <xdr:nvSpPr>
        <xdr:cNvPr id="9351" name="Rectangle 135"/>
        <xdr:cNvSpPr>
          <a:spLocks noChangeArrowheads="1"/>
        </xdr:cNvSpPr>
      </xdr:nvSpPr>
      <xdr:spPr bwMode="auto">
        <a:xfrm>
          <a:off x="627586" y="2154767"/>
          <a:ext cx="1414997" cy="226484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Stigande sortering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352425</xdr:colOff>
          <xdr:row>15</xdr:row>
          <xdr:rowOff>47625</xdr:rowOff>
        </xdr:from>
        <xdr:to>
          <xdr:col>1</xdr:col>
          <xdr:colOff>714375</xdr:colOff>
          <xdr:row>16</xdr:row>
          <xdr:rowOff>161925</xdr:rowOff>
        </xdr:to>
        <xdr:sp macro="" textlink="">
          <xdr:nvSpPr>
            <xdr:cNvPr id="9353" name="Button 137" hidden="1">
              <a:extLst>
                <a:ext uri="{63B3BB69-23CF-44E3-9099-C40C66FF867C}">
                  <a14:compatExt spid="_x0000_s9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349250</xdr:colOff>
      <xdr:row>0</xdr:row>
      <xdr:rowOff>74086</xdr:rowOff>
    </xdr:from>
    <xdr:to>
      <xdr:col>1</xdr:col>
      <xdr:colOff>677786</xdr:colOff>
      <xdr:row>4</xdr:row>
      <xdr:rowOff>148168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9250" y="74086"/>
          <a:ext cx="1513869" cy="709082"/>
        </a:xfrm>
        <a:prstGeom prst="rect">
          <a:avLst/>
        </a:prstGeom>
      </xdr:spPr>
    </xdr:pic>
    <xdr:clientData/>
  </xdr:twoCellAnchor>
  <xdr:twoCellAnchor>
    <xdr:from>
      <xdr:col>1</xdr:col>
      <xdr:colOff>1852083</xdr:colOff>
      <xdr:row>15</xdr:row>
      <xdr:rowOff>52917</xdr:rowOff>
    </xdr:from>
    <xdr:to>
      <xdr:col>1</xdr:col>
      <xdr:colOff>3936999</xdr:colOff>
      <xdr:row>16</xdr:row>
      <xdr:rowOff>137584</xdr:rowOff>
    </xdr:to>
    <xdr:sp macro="[0]!Blad2.Visa_kolumnx" textlink="">
      <xdr:nvSpPr>
        <xdr:cNvPr id="2" name="Rektangel med rundade hörn 1"/>
        <xdr:cNvSpPr/>
      </xdr:nvSpPr>
      <xdr:spPr bwMode="auto">
        <a:xfrm>
          <a:off x="2741083" y="1957917"/>
          <a:ext cx="2084916" cy="275167"/>
        </a:xfrm>
        <a:prstGeom prst="roundRect">
          <a:avLst/>
        </a:prstGeom>
        <a:solidFill>
          <a:schemeClr val="bg1">
            <a:lumMod val="95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/>
      </xdr:spPr>
      <xdr:txBody>
        <a:bodyPr vertOverflow="clip" horzOverflow="clip" wrap="square" lIns="18288" tIns="0" rIns="0" bIns="0" rtlCol="0" anchor="ctr" upright="1"/>
        <a:lstStyle/>
        <a:p>
          <a:pPr indent="0" algn="ctr"/>
          <a:r>
            <a:rPr lang="sv-SE" sz="1200" b="1">
              <a:latin typeface="+mn-lt"/>
              <a:ea typeface="+mn-ea"/>
              <a:cs typeface="+mn-cs"/>
            </a:rPr>
            <a:t>VISA allt</a:t>
          </a:r>
        </a:p>
      </xdr:txBody>
    </xdr:sp>
    <xdr:clientData/>
  </xdr:twoCellAnchor>
  <xdr:twoCellAnchor editAs="absolute">
    <xdr:from>
      <xdr:col>11</xdr:col>
      <xdr:colOff>2063751</xdr:colOff>
      <xdr:row>2</xdr:row>
      <xdr:rowOff>17994</xdr:rowOff>
    </xdr:from>
    <xdr:to>
      <xdr:col>13</xdr:col>
      <xdr:colOff>148167</xdr:colOff>
      <xdr:row>6</xdr:row>
      <xdr:rowOff>148166</xdr:rowOff>
    </xdr:to>
    <xdr:grpSp>
      <xdr:nvGrpSpPr>
        <xdr:cNvPr id="12" name="Group 46"/>
        <xdr:cNvGrpSpPr>
          <a:grpSpLocks/>
        </xdr:cNvGrpSpPr>
      </xdr:nvGrpSpPr>
      <xdr:grpSpPr bwMode="auto">
        <a:xfrm>
          <a:off x="11969751" y="335494"/>
          <a:ext cx="1947333" cy="818089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3" name="AutoShape 24">
            <a:hlinkClick xmlns:r="http://schemas.openxmlformats.org/officeDocument/2006/relationships" r:id="rId2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4" name="AutoShape 25">
            <a:hlinkClick xmlns:r="http://schemas.openxmlformats.org/officeDocument/2006/relationships" r:id="rId3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Föregående</a:t>
            </a:r>
          </a:p>
        </xdr:txBody>
      </xdr:sp>
      <xdr:sp macro="" textlink="">
        <xdr:nvSpPr>
          <xdr:cNvPr id="15" name="AutoShape 2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295275</xdr:colOff>
      <xdr:row>4</xdr:row>
      <xdr:rowOff>9525</xdr:rowOff>
    </xdr:from>
    <xdr:to>
      <xdr:col>8</xdr:col>
      <xdr:colOff>714376</xdr:colOff>
      <xdr:row>7</xdr:row>
      <xdr:rowOff>152400</xdr:rowOff>
    </xdr:to>
    <xdr:grpSp>
      <xdr:nvGrpSpPr>
        <xdr:cNvPr id="5" name="Group 46"/>
        <xdr:cNvGrpSpPr>
          <a:grpSpLocks/>
        </xdr:cNvGrpSpPr>
      </xdr:nvGrpSpPr>
      <xdr:grpSpPr bwMode="auto">
        <a:xfrm>
          <a:off x="8562975" y="962025"/>
          <a:ext cx="1524001" cy="666750"/>
          <a:chOff x="865" y="15"/>
          <a:chExt cx="160" cy="73"/>
        </a:xfrm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6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7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1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val="FF66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6724</xdr:colOff>
      <xdr:row>0</xdr:row>
      <xdr:rowOff>536201</xdr:rowOff>
    </xdr:from>
    <xdr:to>
      <xdr:col>11</xdr:col>
      <xdr:colOff>405093</xdr:colOff>
      <xdr:row>2</xdr:row>
      <xdr:rowOff>31376</xdr:rowOff>
    </xdr:to>
    <xdr:sp macro="[0]!TillInnehåll" textlink="">
      <xdr:nvSpPr>
        <xdr:cNvPr id="10298" name="AutoShape 58">
          <a:hlinkClick xmlns:r="http://schemas.openxmlformats.org/officeDocument/2006/relationships" r:id="rId1" tooltip="Klicka här om du vill ha beskrivning av måtten i resp. kolumn nedan"/>
        </xdr:cNvPr>
        <xdr:cNvSpPr>
          <a:spLocks noChangeArrowheads="1"/>
        </xdr:cNvSpPr>
      </xdr:nvSpPr>
      <xdr:spPr bwMode="auto">
        <a:xfrm>
          <a:off x="8825753" y="536201"/>
          <a:ext cx="1642222" cy="223557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Beskrivning av måtten</a:t>
          </a:r>
        </a:p>
      </xdr:txBody>
    </xdr:sp>
    <xdr:clientData fPrintsWithSheet="0"/>
  </xdr:twoCellAnchor>
  <xdr:twoCellAnchor>
    <xdr:from>
      <xdr:col>0</xdr:col>
      <xdr:colOff>66675</xdr:colOff>
      <xdr:row>10</xdr:row>
      <xdr:rowOff>28575</xdr:rowOff>
    </xdr:from>
    <xdr:to>
      <xdr:col>0</xdr:col>
      <xdr:colOff>257175</xdr:colOff>
      <xdr:row>11</xdr:row>
      <xdr:rowOff>57150</xdr:rowOff>
    </xdr:to>
    <xdr:sp macro="" textlink="">
      <xdr:nvSpPr>
        <xdr:cNvPr id="10472" name="Rectangle 129"/>
        <xdr:cNvSpPr>
          <a:spLocks noChangeArrowheads="1"/>
        </xdr:cNvSpPr>
      </xdr:nvSpPr>
      <xdr:spPr bwMode="auto">
        <a:xfrm>
          <a:off x="66675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76200</xdr:colOff>
      <xdr:row>11</xdr:row>
      <xdr:rowOff>95250</xdr:rowOff>
    </xdr:from>
    <xdr:to>
      <xdr:col>0</xdr:col>
      <xdr:colOff>266700</xdr:colOff>
      <xdr:row>12</xdr:row>
      <xdr:rowOff>123825</xdr:rowOff>
    </xdr:to>
    <xdr:sp macro="" textlink="">
      <xdr:nvSpPr>
        <xdr:cNvPr id="10473" name="Rectangle 130"/>
        <xdr:cNvSpPr>
          <a:spLocks noChangeArrowheads="1"/>
        </xdr:cNvSpPr>
      </xdr:nvSpPr>
      <xdr:spPr bwMode="auto">
        <a:xfrm>
          <a:off x="76200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257175</xdr:colOff>
      <xdr:row>11</xdr:row>
      <xdr:rowOff>104775</xdr:rowOff>
    </xdr:from>
    <xdr:to>
      <xdr:col>1</xdr:col>
      <xdr:colOff>323850</xdr:colOff>
      <xdr:row>12</xdr:row>
      <xdr:rowOff>142875</xdr:rowOff>
    </xdr:to>
    <xdr:sp macro="" textlink="">
      <xdr:nvSpPr>
        <xdr:cNvPr id="10371" name="Rectangle 131"/>
        <xdr:cNvSpPr>
          <a:spLocks noChangeArrowheads="1"/>
        </xdr:cNvSpPr>
      </xdr:nvSpPr>
      <xdr:spPr bwMode="auto">
        <a:xfrm>
          <a:off x="257175" y="1838325"/>
          <a:ext cx="4086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Fallande sortering</a:t>
          </a:r>
        </a:p>
      </xdr:txBody>
    </xdr:sp>
    <xdr:clientData/>
  </xdr:twoCellAnchor>
  <xdr:twoCellAnchor>
    <xdr:from>
      <xdr:col>0</xdr:col>
      <xdr:colOff>257174</xdr:colOff>
      <xdr:row>10</xdr:row>
      <xdr:rowOff>38101</xdr:rowOff>
    </xdr:from>
    <xdr:to>
      <xdr:col>1</xdr:col>
      <xdr:colOff>464342</xdr:colOff>
      <xdr:row>11</xdr:row>
      <xdr:rowOff>59532</xdr:rowOff>
    </xdr:to>
    <xdr:sp macro="" textlink="">
      <xdr:nvSpPr>
        <xdr:cNvPr id="10372" name="Rectangle 132"/>
        <xdr:cNvSpPr>
          <a:spLocks noChangeArrowheads="1"/>
        </xdr:cNvSpPr>
      </xdr:nvSpPr>
      <xdr:spPr bwMode="auto">
        <a:xfrm>
          <a:off x="257174" y="1883570"/>
          <a:ext cx="1195387" cy="188118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Stigande sortering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171450</xdr:colOff>
          <xdr:row>15</xdr:row>
          <xdr:rowOff>19050</xdr:rowOff>
        </xdr:from>
        <xdr:to>
          <xdr:col>1</xdr:col>
          <xdr:colOff>523875</xdr:colOff>
          <xdr:row>16</xdr:row>
          <xdr:rowOff>133350</xdr:rowOff>
        </xdr:to>
        <xdr:sp macro="" textlink="">
          <xdr:nvSpPr>
            <xdr:cNvPr id="10374" name="Button 134" hidden="1">
              <a:extLst>
                <a:ext uri="{63B3BB69-23CF-44E3-9099-C40C66FF867C}">
                  <a14:compatExt spid="_x0000_s10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564217</xdr:colOff>
      <xdr:row>0</xdr:row>
      <xdr:rowOff>526676</xdr:rowOff>
    </xdr:from>
    <xdr:to>
      <xdr:col>14</xdr:col>
      <xdr:colOff>560295</xdr:colOff>
      <xdr:row>4</xdr:row>
      <xdr:rowOff>164726</xdr:rowOff>
    </xdr:to>
    <xdr:grpSp>
      <xdr:nvGrpSpPr>
        <xdr:cNvPr id="13" name="Group 46"/>
        <xdr:cNvGrpSpPr>
          <a:grpSpLocks/>
        </xdr:cNvGrpSpPr>
      </xdr:nvGrpSpPr>
      <xdr:grpSpPr bwMode="auto">
        <a:xfrm>
          <a:off x="10627099" y="526676"/>
          <a:ext cx="1811431" cy="680197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4" name="AutoShape 24">
            <a:hlinkClick xmlns:r="http://schemas.openxmlformats.org/officeDocument/2006/relationships" r:id="rId2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5" name="AutoShape 25">
            <a:hlinkClick xmlns:r="http://schemas.openxmlformats.org/officeDocument/2006/relationships" r:id="rId3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6" name="AutoShape 2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0</xdr:col>
      <xdr:colOff>135732</xdr:colOff>
      <xdr:row>0</xdr:row>
      <xdr:rowOff>52388</xdr:rowOff>
    </xdr:from>
    <xdr:to>
      <xdr:col>1</xdr:col>
      <xdr:colOff>738640</xdr:colOff>
      <xdr:row>2</xdr:row>
      <xdr:rowOff>64232</xdr:rowOff>
    </xdr:to>
    <xdr:pic>
      <xdr:nvPicPr>
        <xdr:cNvPr id="4" name="Bildobjekt 3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5732" y="52388"/>
          <a:ext cx="1591127" cy="75003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3</xdr:row>
      <xdr:rowOff>95250</xdr:rowOff>
    </xdr:from>
    <xdr:to>
      <xdr:col>16</xdr:col>
      <xdr:colOff>447675</xdr:colOff>
      <xdr:row>7</xdr:row>
      <xdr:rowOff>114300</xdr:rowOff>
    </xdr:to>
    <xdr:grpSp>
      <xdr:nvGrpSpPr>
        <xdr:cNvPr id="20597" name="Group 46"/>
        <xdr:cNvGrpSpPr>
          <a:grpSpLocks/>
        </xdr:cNvGrpSpPr>
      </xdr:nvGrpSpPr>
      <xdr:grpSpPr bwMode="auto">
        <a:xfrm>
          <a:off x="7972425" y="581025"/>
          <a:ext cx="1514475" cy="695325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0504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505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506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4</xdr:col>
      <xdr:colOff>190952</xdr:colOff>
      <xdr:row>5</xdr:row>
      <xdr:rowOff>97569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325" y="161925"/>
          <a:ext cx="1591127" cy="745269"/>
        </a:xfrm>
        <a:prstGeom prst="rect">
          <a:avLst/>
        </a:prstGeom>
      </xdr:spPr>
    </xdr:pic>
    <xdr:clientData/>
  </xdr:twoCellAnchor>
  <xdr:twoCellAnchor>
    <xdr:from>
      <xdr:col>2</xdr:col>
      <xdr:colOff>0</xdr:colOff>
      <xdr:row>8</xdr:row>
      <xdr:rowOff>0</xdr:rowOff>
    </xdr:from>
    <xdr:to>
      <xdr:col>17</xdr:col>
      <xdr:colOff>85724</xdr:colOff>
      <xdr:row>39</xdr:row>
      <xdr:rowOff>95250</xdr:rowOff>
    </xdr:to>
    <xdr:graphicFrame macro="">
      <xdr:nvGraphicFramePr>
        <xdr:cNvPr id="14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0.00514</cdr:x>
      <cdr:y>0.06941</cdr:y>
    </cdr:from>
    <cdr:to>
      <cdr:x>0.18601</cdr:x>
      <cdr:y>0.11823</cdr:y>
    </cdr:to>
    <cdr:sp macro="" textlink="">
      <cdr:nvSpPr>
        <cdr:cNvPr id="25601" name="Text Box 102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358839"/>
          <a:ext cx="1674547" cy="25020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36576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sv-SE" sz="1100" b="1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Antal pensionssparare</a:t>
          </a:r>
        </a:p>
      </cdr:txBody>
    </cdr:sp>
  </cdr:relSizeAnchor>
  <cdr:relSizeAnchor xmlns:cdr="http://schemas.openxmlformats.org/drawingml/2006/chartDrawing">
    <cdr:from>
      <cdr:x>0.27781</cdr:x>
      <cdr:y>0.93722</cdr:y>
    </cdr:from>
    <cdr:to>
      <cdr:x>0.74842</cdr:x>
      <cdr:y>0.97917</cdr:y>
    </cdr:to>
    <cdr:sp macro="" textlink="">
      <cdr:nvSpPr>
        <cdr:cNvPr id="25602" name="Text Box 1026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575220" y="4805909"/>
          <a:ext cx="4357031" cy="21499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36576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sv-SE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Årlig genomsnittlig värdeutveckling i procent (Internränta, IR)</a:t>
          </a:r>
        </a:p>
      </cdr:txBody>
    </cdr:sp>
  </cdr:relSizeAnchor>
  <cdr:relSizeAnchor xmlns:cdr="http://schemas.openxmlformats.org/drawingml/2006/chartDrawing">
    <cdr:from>
      <cdr:x>0.27781</cdr:x>
      <cdr:y>0.93722</cdr:y>
    </cdr:from>
    <cdr:to>
      <cdr:x>0.74842</cdr:x>
      <cdr:y>0.97917</cdr:y>
    </cdr:to>
    <cdr:sp macro="" textlink="">
      <cdr:nvSpPr>
        <cdr:cNvPr id="3" name="Text Box 1026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575220" y="4805909"/>
          <a:ext cx="4357031" cy="21499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36576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sv-SE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Årlig genomsnittlig värdeutveckling i procent (Internränta, IR)</a:t>
          </a:r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7</xdr:row>
      <xdr:rowOff>28575</xdr:rowOff>
    </xdr:from>
    <xdr:to>
      <xdr:col>17</xdr:col>
      <xdr:colOff>438150</xdr:colOff>
      <xdr:row>41</xdr:row>
      <xdr:rowOff>38101</xdr:rowOff>
    </xdr:to>
    <xdr:graphicFrame macro="">
      <xdr:nvGraphicFramePr>
        <xdr:cNvPr id="20999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133350</xdr:colOff>
      <xdr:row>5</xdr:row>
      <xdr:rowOff>47625</xdr:rowOff>
    </xdr:from>
    <xdr:to>
      <xdr:col>3</xdr:col>
      <xdr:colOff>0</xdr:colOff>
      <xdr:row>6</xdr:row>
      <xdr:rowOff>123825</xdr:rowOff>
    </xdr:to>
    <xdr:sp macro="[0]!XGåTillData1" textlink="">
      <xdr:nvSpPr>
        <xdr:cNvPr id="209923" name="AutoShape 3">
          <a:hlinkClick xmlns:r="http://schemas.openxmlformats.org/officeDocument/2006/relationships" r:id="rId2" tooltip="Klicka här för att gå till bakomliggande data."/>
        </xdr:cNvPr>
        <xdr:cNvSpPr>
          <a:spLocks noChangeArrowheads="1"/>
        </xdr:cNvSpPr>
      </xdr:nvSpPr>
      <xdr:spPr bwMode="auto">
        <a:xfrm>
          <a:off x="314325" y="11620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>
    <xdr:from>
      <xdr:col>14</xdr:col>
      <xdr:colOff>342900</xdr:colOff>
      <xdr:row>3</xdr:row>
      <xdr:rowOff>9525</xdr:rowOff>
    </xdr:from>
    <xdr:to>
      <xdr:col>17</xdr:col>
      <xdr:colOff>38100</xdr:colOff>
      <xdr:row>6</xdr:row>
      <xdr:rowOff>180975</xdr:rowOff>
    </xdr:to>
    <xdr:grpSp>
      <xdr:nvGrpSpPr>
        <xdr:cNvPr id="209992" name="Group 13"/>
        <xdr:cNvGrpSpPr>
          <a:grpSpLocks/>
        </xdr:cNvGrpSpPr>
      </xdr:nvGrpSpPr>
      <xdr:grpSpPr bwMode="auto">
        <a:xfrm>
          <a:off x="8448675" y="800100"/>
          <a:ext cx="1524000" cy="695325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09928" name="AutoShape 8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9929" name="AutoShape 9">
            <a:hlinkClick xmlns:r="http://schemas.openxmlformats.org/officeDocument/2006/relationships" r:id="rId4" tooltip="Klicka här för att gå till Värdeutveckling individuella konton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9930" name="AutoShape 10">
            <a:hlinkClick xmlns:r="http://schemas.openxmlformats.org/officeDocument/2006/relationships" r:id="rId5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60</xdr:row>
          <xdr:rowOff>47625</xdr:rowOff>
        </xdr:from>
        <xdr:to>
          <xdr:col>5</xdr:col>
          <xdr:colOff>38100</xdr:colOff>
          <xdr:row>64</xdr:row>
          <xdr:rowOff>9525</xdr:rowOff>
        </xdr:to>
        <xdr:sp macro="" textlink="">
          <xdr:nvSpPr>
            <xdr:cNvPr id="209935" name="Object 15" hidden="1">
              <a:extLst>
                <a:ext uri="{63B3BB69-23CF-44E3-9099-C40C66FF867C}">
                  <a14:compatExt spid="_x0000_s2099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</xdr:spPr>
        </xdr:sp>
        <xdr:clientData/>
      </xdr:twoCellAnchor>
    </mc:Choice>
    <mc:Fallback/>
  </mc:AlternateContent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123824</xdr:colOff>
      <xdr:row>7</xdr:row>
      <xdr:rowOff>95250</xdr:rowOff>
    </xdr:from>
    <xdr:to>
      <xdr:col>20</xdr:col>
      <xdr:colOff>19049</xdr:colOff>
      <xdr:row>43</xdr:row>
      <xdr:rowOff>0</xdr:rowOff>
    </xdr:to>
    <xdr:graphicFrame macro="">
      <xdr:nvGraphicFramePr>
        <xdr:cNvPr id="222288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28575</xdr:colOff>
      <xdr:row>2</xdr:row>
      <xdr:rowOff>304800</xdr:rowOff>
    </xdr:from>
    <xdr:to>
      <xdr:col>19</xdr:col>
      <xdr:colOff>333375</xdr:colOff>
      <xdr:row>7</xdr:row>
      <xdr:rowOff>38100</xdr:rowOff>
    </xdr:to>
    <xdr:grpSp>
      <xdr:nvGrpSpPr>
        <xdr:cNvPr id="222290" name="Group 15"/>
        <xdr:cNvGrpSpPr>
          <a:grpSpLocks/>
        </xdr:cNvGrpSpPr>
      </xdr:nvGrpSpPr>
      <xdr:grpSpPr bwMode="auto">
        <a:xfrm>
          <a:off x="9353550" y="781050"/>
          <a:ext cx="2133600" cy="695325"/>
          <a:chOff x="864" y="15"/>
          <a:chExt cx="160" cy="73"/>
        </a:xfrm>
      </xdr:grpSpPr>
      <xdr:sp macro="" textlink="">
        <xdr:nvSpPr>
          <xdr:cNvPr id="222219" name="AutoShape 11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947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2220" name="AutoShape 12">
            <a:hlinkClick xmlns:r="http://schemas.openxmlformats.org/officeDocument/2006/relationships" r:id="rId3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864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222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5" y="15"/>
            <a:ext cx="157" cy="27"/>
          </a:xfrm>
          <a:prstGeom prst="roundRect">
            <a:avLst>
              <a:gd name="adj" fmla="val 16667"/>
            </a:avLst>
          </a:prstGeom>
          <a:solidFill>
            <a:srgbClr val="FF6600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9</xdr:col>
      <xdr:colOff>247652</xdr:colOff>
      <xdr:row>41</xdr:row>
      <xdr:rowOff>80871</xdr:rowOff>
    </xdr:from>
    <xdr:to>
      <xdr:col>11</xdr:col>
      <xdr:colOff>219076</xdr:colOff>
      <xdr:row>42</xdr:row>
      <xdr:rowOff>66802</xdr:rowOff>
    </xdr:to>
    <xdr:pic>
      <xdr:nvPicPr>
        <xdr:cNvPr id="222291" name="Picture 16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05427" y="7024596"/>
          <a:ext cx="1190624" cy="1478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133350</xdr:colOff>
      <xdr:row>5</xdr:row>
      <xdr:rowOff>47625</xdr:rowOff>
    </xdr:from>
    <xdr:to>
      <xdr:col>3</xdr:col>
      <xdr:colOff>0</xdr:colOff>
      <xdr:row>7</xdr:row>
      <xdr:rowOff>0</xdr:rowOff>
    </xdr:to>
    <xdr:sp macro="[0]!XGåTillData1" textlink="">
      <xdr:nvSpPr>
        <xdr:cNvPr id="9" name="AutoShape 3">
          <a:hlinkClick xmlns:r="http://schemas.openxmlformats.org/officeDocument/2006/relationships" r:id="rId7" tooltip="Klicka här för att gå till bakomliggande data."/>
        </xdr:cNvPr>
        <xdr:cNvSpPr>
          <a:spLocks noChangeArrowheads="1"/>
        </xdr:cNvSpPr>
      </xdr:nvSpPr>
      <xdr:spPr bwMode="auto">
        <a:xfrm>
          <a:off x="314325" y="11620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0.06354</cdr:x>
      <cdr:y>0.15282</cdr:y>
    </cdr:from>
    <cdr:to>
      <cdr:x>0.58008</cdr:x>
      <cdr:y>0.83389</cdr:y>
    </cdr:to>
    <cdr:sp macro="" textlink="">
      <cdr:nvSpPr>
        <cdr:cNvPr id="3" name="Rektangel 2"/>
        <cdr:cNvSpPr/>
      </cdr:nvSpPr>
      <cdr:spPr bwMode="auto">
        <a:xfrm xmlns:a="http://schemas.openxmlformats.org/drawingml/2006/main">
          <a:off x="729288" y="876278"/>
          <a:ext cx="5928653" cy="3905289"/>
        </a:xfrm>
        <a:prstGeom xmlns:a="http://schemas.openxmlformats.org/drawingml/2006/main" prst="rect">
          <a:avLst/>
        </a:prstGeom>
        <a:solidFill xmlns:a="http://schemas.openxmlformats.org/drawingml/2006/main">
          <a:srgbClr val="DDDDDD">
            <a:alpha val="49804"/>
          </a:srgbClr>
        </a:solidFill>
        <a:ln xmlns:a="http://schemas.openxmlformats.org/drawingml/2006/main" w="9525" cap="flat" cmpd="sng" algn="ctr">
          <a:noFill/>
          <a:prstDash val="solid"/>
          <a:round/>
          <a:headEnd type="none" w="med" len="med"/>
          <a:tailEnd type="none" w="med" len="med"/>
        </a:ln>
        <a:effectLst xmlns:a="http://schemas.openxmlformats.org/drawingml/2006/main"/>
        <a:extLst xmlns:a="http://schemas.openxmlformats.org/drawingml/2006/main"/>
      </cdr:spPr>
      <cdr:txBody>
        <a:bodyPr xmlns:a="http://schemas.openxmlformats.org/drawingml/2006/main" vertOverflow="clip" wrap="square" lIns="18288" tIns="0" rIns="0" bIns="0" upright="1"/>
        <a:lstStyle xmlns:a="http://schemas.openxmlformats.org/drawingml/2006/main"/>
        <a:p xmlns:a="http://schemas.openxmlformats.org/drawingml/2006/main">
          <a:endParaRPr lang="sv-SE"/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66674</xdr:colOff>
      <xdr:row>9</xdr:row>
      <xdr:rowOff>76200</xdr:rowOff>
    </xdr:from>
    <xdr:to>
      <xdr:col>19</xdr:col>
      <xdr:colOff>542925</xdr:colOff>
      <xdr:row>41</xdr:row>
      <xdr:rowOff>57150</xdr:rowOff>
    </xdr:to>
    <xdr:graphicFrame macro="">
      <xdr:nvGraphicFramePr>
        <xdr:cNvPr id="22433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76200</xdr:colOff>
      <xdr:row>4</xdr:row>
      <xdr:rowOff>9525</xdr:rowOff>
    </xdr:from>
    <xdr:to>
      <xdr:col>19</xdr:col>
      <xdr:colOff>381000</xdr:colOff>
      <xdr:row>8</xdr:row>
      <xdr:rowOff>57150</xdr:rowOff>
    </xdr:to>
    <xdr:grpSp>
      <xdr:nvGrpSpPr>
        <xdr:cNvPr id="224331" name="Group 19"/>
        <xdr:cNvGrpSpPr>
          <a:grpSpLocks/>
        </xdr:cNvGrpSpPr>
      </xdr:nvGrpSpPr>
      <xdr:grpSpPr bwMode="auto">
        <a:xfrm>
          <a:off x="10010775" y="657225"/>
          <a:ext cx="1524000" cy="685800"/>
          <a:chOff x="863" y="16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24270" name="AutoShape 14">
            <a:hlinkClick xmlns:r="http://schemas.openxmlformats.org/officeDocument/2006/relationships" r:id="rId2" tooltip="Klicka här för att gå till Värdeutveckling Premiepensionsfondernas index"/>
          </xdr:cNvPr>
          <xdr:cNvSpPr>
            <a:spLocks noChangeArrowheads="1"/>
          </xdr:cNvSpPr>
        </xdr:nvSpPr>
        <xdr:spPr bwMode="auto">
          <a:xfrm>
            <a:off x="946" y="52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4271" name="AutoShape 15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863" y="52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4272" name="AutoShape 1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4" y="16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123825</xdr:colOff>
      <xdr:row>7</xdr:row>
      <xdr:rowOff>38100</xdr:rowOff>
    </xdr:from>
    <xdr:to>
      <xdr:col>2</xdr:col>
      <xdr:colOff>600075</xdr:colOff>
      <xdr:row>8</xdr:row>
      <xdr:rowOff>152400</xdr:rowOff>
    </xdr:to>
    <xdr:sp macro="[0]!XGåTillData1" textlink="">
      <xdr:nvSpPr>
        <xdr:cNvPr id="8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304800" y="11620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5</xdr:row>
      <xdr:rowOff>107094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342900</xdr:colOff>
      <xdr:row>3</xdr:row>
      <xdr:rowOff>9525</xdr:rowOff>
    </xdr:from>
    <xdr:to>
      <xdr:col>17</xdr:col>
      <xdr:colOff>38100</xdr:colOff>
      <xdr:row>7</xdr:row>
      <xdr:rowOff>57150</xdr:rowOff>
    </xdr:to>
    <xdr:grpSp>
      <xdr:nvGrpSpPr>
        <xdr:cNvPr id="214089" name="Group 17"/>
        <xdr:cNvGrpSpPr>
          <a:grpSpLocks/>
        </xdr:cNvGrpSpPr>
      </xdr:nvGrpSpPr>
      <xdr:grpSpPr bwMode="auto">
        <a:xfrm>
          <a:off x="8448675" y="800100"/>
          <a:ext cx="15240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14025" name="AutoShape 9">
            <a:hlinkClick xmlns:r="http://schemas.openxmlformats.org/officeDocument/2006/relationships" r:id="rId1" tooltip="Klicka här för att gå till Värdeutv fondrörelse genomsnitt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14026" name="AutoShape 10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14027" name="AutoShape 11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152401</xdr:colOff>
      <xdr:row>7</xdr:row>
      <xdr:rowOff>95250</xdr:rowOff>
    </xdr:from>
    <xdr:to>
      <xdr:col>16</xdr:col>
      <xdr:colOff>504825</xdr:colOff>
      <xdr:row>39</xdr:row>
      <xdr:rowOff>114300</xdr:rowOff>
    </xdr:to>
    <xdr:graphicFrame macro="">
      <xdr:nvGraphicFramePr>
        <xdr:cNvPr id="214090" name="Diagram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123825</xdr:colOff>
      <xdr:row>5</xdr:row>
      <xdr:rowOff>38100</xdr:rowOff>
    </xdr:from>
    <xdr:to>
      <xdr:col>2</xdr:col>
      <xdr:colOff>600075</xdr:colOff>
      <xdr:row>6</xdr:row>
      <xdr:rowOff>152400</xdr:rowOff>
    </xdr:to>
    <xdr:sp macro="[0]!XGåTillData1" textlink="">
      <xdr:nvSpPr>
        <xdr:cNvPr id="9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304800" y="1152525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7</xdr:row>
      <xdr:rowOff>104775</xdr:rowOff>
    </xdr:from>
    <xdr:to>
      <xdr:col>16</xdr:col>
      <xdr:colOff>438150</xdr:colOff>
      <xdr:row>39</xdr:row>
      <xdr:rowOff>133350</xdr:rowOff>
    </xdr:to>
    <xdr:graphicFrame macro="">
      <xdr:nvGraphicFramePr>
        <xdr:cNvPr id="218177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523875</xdr:colOff>
      <xdr:row>5</xdr:row>
      <xdr:rowOff>28575</xdr:rowOff>
    </xdr:from>
    <xdr:to>
      <xdr:col>17</xdr:col>
      <xdr:colOff>38100</xdr:colOff>
      <xdr:row>7</xdr:row>
      <xdr:rowOff>57150</xdr:rowOff>
    </xdr:to>
    <xdr:sp macro="" textlink="">
      <xdr:nvSpPr>
        <xdr:cNvPr id="218121" name="AutoShape 9">
          <a:hlinkClick xmlns:r="http://schemas.openxmlformats.org/officeDocument/2006/relationships" r:id="rId2" tooltip="Avkastning pp-systemet"/>
        </xdr:cNvPr>
        <xdr:cNvSpPr>
          <a:spLocks noChangeArrowheads="1"/>
        </xdr:cNvSpPr>
      </xdr:nvSpPr>
      <xdr:spPr bwMode="auto">
        <a:xfrm>
          <a:off x="9058275" y="514350"/>
          <a:ext cx="733425" cy="352425"/>
        </a:xfrm>
        <a:prstGeom prst="rightArrow">
          <a:avLst>
            <a:gd name="adj1" fmla="val 50000"/>
            <a:gd name="adj2" fmla="val 5202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Nästa</a:t>
          </a:r>
        </a:p>
      </xdr:txBody>
    </xdr:sp>
    <xdr:clientData fPrintsWithSheet="0"/>
  </xdr:twoCellAnchor>
  <xdr:twoCellAnchor>
    <xdr:from>
      <xdr:col>14</xdr:col>
      <xdr:colOff>342900</xdr:colOff>
      <xdr:row>5</xdr:row>
      <xdr:rowOff>28575</xdr:rowOff>
    </xdr:from>
    <xdr:to>
      <xdr:col>15</xdr:col>
      <xdr:colOff>466725</xdr:colOff>
      <xdr:row>7</xdr:row>
      <xdr:rowOff>57150</xdr:rowOff>
    </xdr:to>
    <xdr:sp macro="" textlink="">
      <xdr:nvSpPr>
        <xdr:cNvPr id="218122" name="AutoShape 10">
          <a:hlinkClick xmlns:r="http://schemas.openxmlformats.org/officeDocument/2006/relationships" r:id="rId3" tooltip="Klicka här för att gå till Värdeutveckling - fondrörelse"/>
        </xdr:cNvPr>
        <xdr:cNvSpPr>
          <a:spLocks noChangeArrowheads="1"/>
        </xdr:cNvSpPr>
      </xdr:nvSpPr>
      <xdr:spPr bwMode="auto">
        <a:xfrm>
          <a:off x="8267700" y="514350"/>
          <a:ext cx="733425" cy="352425"/>
        </a:xfrm>
        <a:prstGeom prst="leftArrow">
          <a:avLst>
            <a:gd name="adj1" fmla="val 50000"/>
            <a:gd name="adj2" fmla="val 5202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Föreg.</a:t>
          </a:r>
        </a:p>
      </xdr:txBody>
    </xdr:sp>
    <xdr:clientData fPrintsWithSheet="0"/>
  </xdr:twoCellAnchor>
  <xdr:twoCellAnchor>
    <xdr:from>
      <xdr:col>14</xdr:col>
      <xdr:colOff>352425</xdr:colOff>
      <xdr:row>3</xdr:row>
      <xdr:rowOff>9525</xdr:rowOff>
    </xdr:from>
    <xdr:to>
      <xdr:col>17</xdr:col>
      <xdr:colOff>19050</xdr:colOff>
      <xdr:row>4</xdr:row>
      <xdr:rowOff>104775</xdr:rowOff>
    </xdr:to>
    <xdr:sp macro="" textlink="">
      <xdr:nvSpPr>
        <xdr:cNvPr id="218123" name="AutoShape 11">
          <a:hlinkClick xmlns:r="http://schemas.openxmlformats.org/officeDocument/2006/relationships" r:id="rId4" tooltip="Klicka här för att gå till Innehållsförteckningen"/>
        </xdr:cNvPr>
        <xdr:cNvSpPr>
          <a:spLocks noChangeArrowheads="1"/>
        </xdr:cNvSpPr>
      </xdr:nvSpPr>
      <xdr:spPr bwMode="auto">
        <a:xfrm>
          <a:off x="8277225" y="171450"/>
          <a:ext cx="1495425" cy="25717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1</xdr:col>
      <xdr:colOff>123825</xdr:colOff>
      <xdr:row>5</xdr:row>
      <xdr:rowOff>47625</xdr:rowOff>
    </xdr:from>
    <xdr:to>
      <xdr:col>2</xdr:col>
      <xdr:colOff>600075</xdr:colOff>
      <xdr:row>7</xdr:row>
      <xdr:rowOff>0</xdr:rowOff>
    </xdr:to>
    <xdr:sp macro="[0]!XGåTillData1" textlink="">
      <xdr:nvSpPr>
        <xdr:cNvPr id="7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304800" y="11620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133350</xdr:colOff>
      <xdr:row>16</xdr:row>
      <xdr:rowOff>133350</xdr:rowOff>
    </xdr:from>
    <xdr:to>
      <xdr:col>2</xdr:col>
      <xdr:colOff>619125</xdr:colOff>
      <xdr:row>22</xdr:row>
      <xdr:rowOff>0</xdr:rowOff>
    </xdr:to>
    <xdr:sp macro="[0]!TillInnehåll" textlink="">
      <xdr:nvSpPr>
        <xdr:cNvPr id="12293" name="AutoShape 5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323850" y="3162300"/>
          <a:ext cx="14287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10</xdr:col>
      <xdr:colOff>85725</xdr:colOff>
      <xdr:row>4</xdr:row>
      <xdr:rowOff>9525</xdr:rowOff>
    </xdr:from>
    <xdr:to>
      <xdr:col>12</xdr:col>
      <xdr:colOff>180975</xdr:colOff>
      <xdr:row>7</xdr:row>
      <xdr:rowOff>85725</xdr:rowOff>
    </xdr:to>
    <xdr:grpSp>
      <xdr:nvGrpSpPr>
        <xdr:cNvPr id="12355" name="Group 20"/>
        <xdr:cNvGrpSpPr>
          <a:grpSpLocks/>
        </xdr:cNvGrpSpPr>
      </xdr:nvGrpSpPr>
      <xdr:grpSpPr bwMode="auto">
        <a:xfrm>
          <a:off x="8267700" y="962025"/>
          <a:ext cx="1524000" cy="685800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2299" name="AutoShape 11">
            <a:hlinkClick xmlns:r="http://schemas.openxmlformats.org/officeDocument/2006/relationships" r:id="rId2" tooltip="Index, fondrörelsen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2300" name="AutoShape 12">
            <a:hlinkClick xmlns:r="http://schemas.openxmlformats.org/officeDocument/2006/relationships" r:id="rId3" tooltip="Klicka här för att gå till Värdeutv fondrörelse i genomsnit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230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648152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9</xdr:row>
      <xdr:rowOff>104775</xdr:rowOff>
    </xdr:from>
    <xdr:to>
      <xdr:col>1</xdr:col>
      <xdr:colOff>1466850</xdr:colOff>
      <xdr:row>11</xdr:row>
      <xdr:rowOff>47625</xdr:rowOff>
    </xdr:to>
    <xdr:sp macro="[0]!XGåTillDiagram5" textlink="">
      <xdr:nvSpPr>
        <xdr:cNvPr id="58374" name="AutoShape 6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304800" y="1990725"/>
          <a:ext cx="13525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12</xdr:col>
      <xdr:colOff>438150</xdr:colOff>
      <xdr:row>4</xdr:row>
      <xdr:rowOff>9525</xdr:rowOff>
    </xdr:from>
    <xdr:to>
      <xdr:col>14</xdr:col>
      <xdr:colOff>781050</xdr:colOff>
      <xdr:row>7</xdr:row>
      <xdr:rowOff>152400</xdr:rowOff>
    </xdr:to>
    <xdr:grpSp>
      <xdr:nvGrpSpPr>
        <xdr:cNvPr id="7" name="Group 20"/>
        <xdr:cNvGrpSpPr>
          <a:grpSpLocks/>
        </xdr:cNvGrpSpPr>
      </xdr:nvGrpSpPr>
      <xdr:grpSpPr bwMode="auto">
        <a:xfrm>
          <a:off x="8267700" y="962025"/>
          <a:ext cx="1524000" cy="75247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8" name="AutoShape 11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9" name="AutoShape 12">
            <a:hlinkClick xmlns:r="http://schemas.openxmlformats.org/officeDocument/2006/relationships" r:id="rId3" tooltip="Klicka här för att gå till Avkastning pp-systeme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0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11</xdr:row>
      <xdr:rowOff>28575</xdr:rowOff>
    </xdr:from>
    <xdr:to>
      <xdr:col>1</xdr:col>
      <xdr:colOff>1466850</xdr:colOff>
      <xdr:row>12</xdr:row>
      <xdr:rowOff>133350</xdr:rowOff>
    </xdr:to>
    <xdr:sp macro="[0]!XGåTillDiagram5" textlink="">
      <xdr:nvSpPr>
        <xdr:cNvPr id="59397" name="AutoShape 5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304800" y="2257425"/>
          <a:ext cx="13525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14</xdr:col>
      <xdr:colOff>114301</xdr:colOff>
      <xdr:row>4</xdr:row>
      <xdr:rowOff>159544</xdr:rowOff>
    </xdr:from>
    <xdr:to>
      <xdr:col>17</xdr:col>
      <xdr:colOff>209550</xdr:colOff>
      <xdr:row>8</xdr:row>
      <xdr:rowOff>140494</xdr:rowOff>
    </xdr:to>
    <xdr:grpSp>
      <xdr:nvGrpSpPr>
        <xdr:cNvPr id="59457" name="Group 18"/>
        <xdr:cNvGrpSpPr>
          <a:grpSpLocks/>
        </xdr:cNvGrpSpPr>
      </xdr:nvGrpSpPr>
      <xdr:grpSpPr bwMode="auto">
        <a:xfrm>
          <a:off x="7867651" y="1112044"/>
          <a:ext cx="2238374" cy="7715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59404" name="AutoShape 12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59405" name="AutoShape 13">
            <a:hlinkClick xmlns:r="http://schemas.openxmlformats.org/officeDocument/2006/relationships" r:id="rId3" tooltip="Klicka här för att gå till föregående fördjupningssid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59406" name="AutoShape 14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18</xdr:row>
      <xdr:rowOff>76200</xdr:rowOff>
    </xdr:from>
    <xdr:to>
      <xdr:col>3</xdr:col>
      <xdr:colOff>419100</xdr:colOff>
      <xdr:row>20</xdr:row>
      <xdr:rowOff>19050</xdr:rowOff>
    </xdr:to>
    <xdr:sp macro="[0]!TillInnehåll" textlink="">
      <xdr:nvSpPr>
        <xdr:cNvPr id="264194" name="AutoShape 2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333375" y="3362325"/>
          <a:ext cx="26860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årlig värdutveckling</a:t>
          </a:r>
        </a:p>
      </xdr:txBody>
    </xdr:sp>
    <xdr:clientData/>
  </xdr:twoCellAnchor>
  <xdr:twoCellAnchor>
    <xdr:from>
      <xdr:col>6</xdr:col>
      <xdr:colOff>466725</xdr:colOff>
      <xdr:row>4</xdr:row>
      <xdr:rowOff>9525</xdr:rowOff>
    </xdr:from>
    <xdr:to>
      <xdr:col>7</xdr:col>
      <xdr:colOff>257175</xdr:colOff>
      <xdr:row>7</xdr:row>
      <xdr:rowOff>152400</xdr:rowOff>
    </xdr:to>
    <xdr:grpSp>
      <xdr:nvGrpSpPr>
        <xdr:cNvPr id="264261" name="Group 13"/>
        <xdr:cNvGrpSpPr>
          <a:grpSpLocks/>
        </xdr:cNvGrpSpPr>
      </xdr:nvGrpSpPr>
      <xdr:grpSpPr bwMode="auto">
        <a:xfrm>
          <a:off x="8267700" y="962025"/>
          <a:ext cx="15240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64196" name="AutoShape 4">
            <a:hlinkClick xmlns:r="http://schemas.openxmlformats.org/officeDocument/2006/relationships" r:id="rId2" tooltip="Klicka här för att gå till Ordlist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64197" name="AutoShape 5">
            <a:hlinkClick xmlns:r="http://schemas.openxmlformats.org/officeDocument/2006/relationships" r:id="rId3" tooltip="Klicka här för att gå till Avkastning sedan 2000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64198" name="AutoShape 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123825</xdr:colOff>
      <xdr:row>15</xdr:row>
      <xdr:rowOff>152400</xdr:rowOff>
    </xdr:from>
    <xdr:to>
      <xdr:col>3</xdr:col>
      <xdr:colOff>390525</xdr:colOff>
      <xdr:row>17</xdr:row>
      <xdr:rowOff>95250</xdr:rowOff>
    </xdr:to>
    <xdr:sp macro="[0]!TillInnehåll" textlink="">
      <xdr:nvSpPr>
        <xdr:cNvPr id="264204" name="AutoShape 12">
          <a:hlinkClick xmlns:r="http://schemas.openxmlformats.org/officeDocument/2006/relationships" r:id="rId5" tooltip="Klicka här för att återgå till diagrammet."/>
        </xdr:cNvPr>
        <xdr:cNvSpPr>
          <a:spLocks noChangeArrowheads="1"/>
        </xdr:cNvSpPr>
      </xdr:nvSpPr>
      <xdr:spPr bwMode="auto">
        <a:xfrm>
          <a:off x="314325" y="2952750"/>
          <a:ext cx="2676525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värdeutveckling från start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914852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419099</xdr:colOff>
      <xdr:row>4</xdr:row>
      <xdr:rowOff>47625</xdr:rowOff>
    </xdr:from>
    <xdr:to>
      <xdr:col>12</xdr:col>
      <xdr:colOff>123824</xdr:colOff>
      <xdr:row>5</xdr:row>
      <xdr:rowOff>57150</xdr:rowOff>
    </xdr:to>
    <xdr:sp macro="[0]!TillInnehåll" textlink="">
      <xdr:nvSpPr>
        <xdr:cNvPr id="232450" name="AutoShape 2">
          <a:hlinkClick xmlns:r="http://schemas.openxmlformats.org/officeDocument/2006/relationships" r:id="rId1" tooltip="Klicka här för att återgå till Fondstatistik"/>
        </xdr:cNvPr>
        <xdr:cNvSpPr>
          <a:spLocks noChangeArrowheads="1"/>
        </xdr:cNvSpPr>
      </xdr:nvSpPr>
      <xdr:spPr bwMode="auto">
        <a:xfrm>
          <a:off x="4876799" y="1000125"/>
          <a:ext cx="2143125" cy="2381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Fondstatistik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052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561975</xdr:colOff>
      <xdr:row>14</xdr:row>
      <xdr:rowOff>66675</xdr:rowOff>
    </xdr:from>
    <xdr:to>
      <xdr:col>7</xdr:col>
      <xdr:colOff>542925</xdr:colOff>
      <xdr:row>22</xdr:row>
      <xdr:rowOff>133350</xdr:rowOff>
    </xdr:to>
    <xdr:pic>
      <xdr:nvPicPr>
        <xdr:cNvPr id="230447" name="Picture 3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41196" r="37137" b="42653"/>
        <a:stretch>
          <a:fillRect/>
        </a:stretch>
      </xdr:blipFill>
      <xdr:spPr bwMode="auto">
        <a:xfrm>
          <a:off x="1371600" y="2657475"/>
          <a:ext cx="3028950" cy="1362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533400</xdr:colOff>
      <xdr:row>27</xdr:row>
      <xdr:rowOff>66675</xdr:rowOff>
    </xdr:from>
    <xdr:to>
      <xdr:col>8</xdr:col>
      <xdr:colOff>600075</xdr:colOff>
      <xdr:row>46</xdr:row>
      <xdr:rowOff>114300</xdr:rowOff>
    </xdr:to>
    <xdr:pic>
      <xdr:nvPicPr>
        <xdr:cNvPr id="230448" name="Picture 5"/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812" t="25293" r="27734" b="29492"/>
        <a:stretch>
          <a:fillRect/>
        </a:stretch>
      </xdr:blipFill>
      <xdr:spPr bwMode="auto">
        <a:xfrm>
          <a:off x="733425" y="4762500"/>
          <a:ext cx="4333875" cy="31242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12</xdr:col>
      <xdr:colOff>238125</xdr:colOff>
      <xdr:row>4</xdr:row>
      <xdr:rowOff>38099</xdr:rowOff>
    </xdr:from>
    <xdr:to>
      <xdr:col>14</xdr:col>
      <xdr:colOff>514350</xdr:colOff>
      <xdr:row>5</xdr:row>
      <xdr:rowOff>133350</xdr:rowOff>
    </xdr:to>
    <xdr:sp macro="" textlink="">
      <xdr:nvSpPr>
        <xdr:cNvPr id="230409" name="AutoShape 9">
          <a:hlinkClick xmlns:r="http://schemas.openxmlformats.org/officeDocument/2006/relationships" r:id="rId3" tooltip="Klicka här för att gå till Innehållsförteckningen"/>
        </xdr:cNvPr>
        <xdr:cNvSpPr>
          <a:spLocks noChangeArrowheads="1"/>
        </xdr:cNvSpPr>
      </xdr:nvSpPr>
      <xdr:spPr bwMode="auto">
        <a:xfrm>
          <a:off x="7143750" y="1447799"/>
          <a:ext cx="1495425" cy="257176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2</xdr:col>
      <xdr:colOff>561975</xdr:colOff>
      <xdr:row>12</xdr:row>
      <xdr:rowOff>95250</xdr:rowOff>
    </xdr:from>
    <xdr:to>
      <xdr:col>7</xdr:col>
      <xdr:colOff>542925</xdr:colOff>
      <xdr:row>14</xdr:row>
      <xdr:rowOff>66675</xdr:rowOff>
    </xdr:to>
    <xdr:pic>
      <xdr:nvPicPr>
        <xdr:cNvPr id="230450" name="Picture 10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36565" r="37137" b="59933"/>
        <a:stretch>
          <a:fillRect/>
        </a:stretch>
      </xdr:blipFill>
      <xdr:spPr bwMode="auto">
        <a:xfrm>
          <a:off x="1371600" y="2362200"/>
          <a:ext cx="302895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190500</xdr:colOff>
      <xdr:row>47</xdr:row>
      <xdr:rowOff>19050</xdr:rowOff>
    </xdr:from>
    <xdr:to>
      <xdr:col>15</xdr:col>
      <xdr:colOff>9525</xdr:colOff>
      <xdr:row>47</xdr:row>
      <xdr:rowOff>28575</xdr:rowOff>
    </xdr:to>
    <xdr:cxnSp macro="">
      <xdr:nvCxnSpPr>
        <xdr:cNvPr id="4" name="Rak 3"/>
        <xdr:cNvCxnSpPr/>
      </xdr:nvCxnSpPr>
      <xdr:spPr bwMode="auto">
        <a:xfrm>
          <a:off x="190500" y="8086725"/>
          <a:ext cx="8553450" cy="952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34925" cap="flat" cmpd="sng" algn="ctr">
          <a:solidFill>
            <a:schemeClr val="bg2">
              <a:lumMod val="90000"/>
            </a:schemeClr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14</xdr:col>
      <xdr:colOff>590549</xdr:colOff>
      <xdr:row>1</xdr:row>
      <xdr:rowOff>0</xdr:rowOff>
    </xdr:from>
    <xdr:to>
      <xdr:col>15</xdr:col>
      <xdr:colOff>16949</xdr:colOff>
      <xdr:row>47</xdr:row>
      <xdr:rowOff>47625</xdr:rowOff>
    </xdr:to>
    <xdr:cxnSp macro="">
      <xdr:nvCxnSpPr>
        <xdr:cNvPr id="8" name="Rak 7"/>
        <xdr:cNvCxnSpPr/>
      </xdr:nvCxnSpPr>
      <xdr:spPr bwMode="auto">
        <a:xfrm>
          <a:off x="8715374" y="171450"/>
          <a:ext cx="36000" cy="794385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34925" cap="flat" cmpd="sng" algn="ctr">
          <a:solidFill>
            <a:schemeClr val="bg2">
              <a:lumMod val="90000"/>
            </a:schemeClr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441998</xdr:colOff>
      <xdr:row>3</xdr:row>
      <xdr:rowOff>19937</xdr:rowOff>
    </xdr:to>
    <xdr:pic>
      <xdr:nvPicPr>
        <xdr:cNvPr id="15" name="Bildobjekt 14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516" y="158750"/>
          <a:ext cx="1652466" cy="7740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20-Linje%20lokalt/26-Analysavd/20-Statistik/49-Skyddat-mtrl%20(vid%20behov)/6%20Individuellt%20konto/2017/Individkonto_2017-09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QL"/>
      <sheetName val="Data"/>
      <sheetName val="Graf"/>
      <sheetName val="SAS"/>
    </sheetNames>
    <sheetDataSet>
      <sheetData sheetId="0"/>
      <sheetData sheetId="1">
        <row r="2">
          <cell r="G2" t="str">
            <v>Under 0</v>
          </cell>
          <cell r="K2">
            <v>30000</v>
          </cell>
        </row>
        <row r="3">
          <cell r="G3" t="str">
            <v>0 till +2</v>
          </cell>
          <cell r="K3">
            <v>210000</v>
          </cell>
        </row>
        <row r="4">
          <cell r="G4" t="str">
            <v>+2 till +4</v>
          </cell>
          <cell r="K4">
            <v>350000</v>
          </cell>
        </row>
        <row r="5">
          <cell r="G5" t="str">
            <v>+4 till +6</v>
          </cell>
          <cell r="K5">
            <v>1610000</v>
          </cell>
        </row>
        <row r="6">
          <cell r="G6" t="str">
            <v>+6 till +8</v>
          </cell>
          <cell r="K6">
            <v>2000000</v>
          </cell>
        </row>
        <row r="7">
          <cell r="G7" t="str">
            <v>+8 till +10</v>
          </cell>
          <cell r="K7">
            <v>1460000</v>
          </cell>
        </row>
        <row r="8">
          <cell r="G8" t="str">
            <v>+10 till +12</v>
          </cell>
          <cell r="K8">
            <v>930000</v>
          </cell>
        </row>
        <row r="9">
          <cell r="G9" t="str">
            <v>+12 till +14</v>
          </cell>
          <cell r="K9">
            <v>590000</v>
          </cell>
        </row>
        <row r="10">
          <cell r="G10" t="str">
            <v>Över +14</v>
          </cell>
          <cell r="K10">
            <v>30000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pensionsmyndigheten.se/statistik/pensionsstatistik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3.wmf"/><Relationship Id="rId4" Type="http://schemas.openxmlformats.org/officeDocument/2006/relationships/oleObject" Target="../embeddings/oleObject1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1"/>
  <dimension ref="B2:K37"/>
  <sheetViews>
    <sheetView showGridLines="0" showRowColHeaders="0" workbookViewId="0">
      <selection activeCell="B13" sqref="B13"/>
    </sheetView>
  </sheetViews>
  <sheetFormatPr defaultRowHeight="12.75" x14ac:dyDescent="0.2"/>
  <cols>
    <col min="1" max="1" width="4.7109375" style="58" customWidth="1"/>
    <col min="2" max="2" width="55.7109375" style="59" customWidth="1"/>
    <col min="3" max="3" width="4.7109375" style="58" customWidth="1"/>
    <col min="4" max="4" width="9.140625" style="58"/>
    <col min="5" max="5" width="16.85546875" style="58" customWidth="1"/>
    <col min="6" max="7" width="9.140625" style="58"/>
    <col min="8" max="8" width="41.28515625" style="58" bestFit="1" customWidth="1"/>
    <col min="9" max="16384" width="9.140625" style="58"/>
  </cols>
  <sheetData>
    <row r="2" spans="2:11" x14ac:dyDescent="0.2">
      <c r="B2" s="71"/>
    </row>
    <row r="3" spans="2:11" x14ac:dyDescent="0.2">
      <c r="B3" s="71"/>
    </row>
    <row r="4" spans="2:11" x14ac:dyDescent="0.2">
      <c r="B4" s="71"/>
    </row>
    <row r="5" spans="2:11" x14ac:dyDescent="0.2">
      <c r="B5" s="71"/>
    </row>
    <row r="6" spans="2:11" x14ac:dyDescent="0.2">
      <c r="B6" s="71"/>
    </row>
    <row r="7" spans="2:11" ht="13.5" x14ac:dyDescent="0.2">
      <c r="B7" s="72"/>
      <c r="C7" s="60"/>
      <c r="D7" s="60"/>
    </row>
    <row r="8" spans="2:11" ht="18" x14ac:dyDescent="0.25">
      <c r="B8" s="97" t="s">
        <v>138</v>
      </c>
      <c r="C8" s="60"/>
      <c r="D8" s="60"/>
    </row>
    <row r="9" spans="2:11" ht="13.5" x14ac:dyDescent="0.2">
      <c r="B9" s="72"/>
      <c r="C9" s="60"/>
      <c r="D9" s="60"/>
    </row>
    <row r="10" spans="2:11" ht="13.5" x14ac:dyDescent="0.2">
      <c r="B10" s="92" t="s">
        <v>98</v>
      </c>
      <c r="C10" s="60"/>
      <c r="D10" s="60"/>
      <c r="E10" s="62"/>
      <c r="F10" s="62"/>
      <c r="G10" s="62"/>
      <c r="H10" s="62"/>
      <c r="I10" s="62"/>
      <c r="J10" s="62"/>
      <c r="K10" s="62"/>
    </row>
    <row r="11" spans="2:11" ht="15.75" x14ac:dyDescent="0.25">
      <c r="B11" s="93" t="s">
        <v>47</v>
      </c>
      <c r="C11" s="60"/>
      <c r="D11" s="60"/>
      <c r="E11" s="62"/>
      <c r="F11" s="62"/>
      <c r="G11" s="62"/>
      <c r="H11" s="63"/>
      <c r="I11" s="62"/>
      <c r="J11" s="62"/>
      <c r="K11" s="62"/>
    </row>
    <row r="12" spans="2:11" ht="15.75" x14ac:dyDescent="0.25">
      <c r="B12" s="93"/>
      <c r="C12" s="60"/>
      <c r="D12" s="60"/>
      <c r="E12" s="62"/>
      <c r="F12" s="62"/>
      <c r="G12" s="62"/>
      <c r="H12" s="63"/>
      <c r="I12" s="62"/>
      <c r="J12" s="62"/>
      <c r="K12" s="62"/>
    </row>
    <row r="13" spans="2:11" ht="22.5" customHeight="1" x14ac:dyDescent="0.2">
      <c r="B13" s="94" t="s">
        <v>111</v>
      </c>
      <c r="C13" s="60"/>
      <c r="D13" s="60"/>
      <c r="E13" s="62"/>
      <c r="F13" s="64"/>
      <c r="G13" s="62"/>
      <c r="H13" s="62"/>
      <c r="I13" s="62"/>
      <c r="J13" s="62"/>
      <c r="K13" s="62"/>
    </row>
    <row r="14" spans="2:11" ht="22.5" customHeight="1" x14ac:dyDescent="0.2">
      <c r="B14" s="94" t="s">
        <v>44</v>
      </c>
      <c r="C14" s="60"/>
      <c r="D14" s="60"/>
      <c r="E14" s="62"/>
      <c r="F14" s="65"/>
      <c r="G14" s="62"/>
      <c r="H14" s="62"/>
      <c r="I14" s="62"/>
      <c r="J14" s="62"/>
      <c r="K14" s="62"/>
    </row>
    <row r="15" spans="2:11" ht="22.5" customHeight="1" x14ac:dyDescent="0.2">
      <c r="B15" s="94" t="s">
        <v>127</v>
      </c>
      <c r="C15" s="60"/>
      <c r="D15" s="60"/>
      <c r="E15" s="62"/>
      <c r="F15" s="64"/>
      <c r="G15" s="62"/>
      <c r="H15" s="62"/>
      <c r="I15" s="62"/>
      <c r="J15" s="62"/>
      <c r="K15" s="62"/>
    </row>
    <row r="16" spans="2:11" ht="22.5" customHeight="1" x14ac:dyDescent="0.2">
      <c r="B16" s="94" t="s">
        <v>45</v>
      </c>
      <c r="C16" s="60"/>
      <c r="D16" s="60"/>
      <c r="E16" s="62"/>
      <c r="F16" s="66"/>
      <c r="G16" s="62"/>
      <c r="H16" s="62"/>
      <c r="I16" s="62"/>
      <c r="J16" s="62"/>
      <c r="K16" s="62"/>
    </row>
    <row r="17" spans="2:11" ht="22.5" customHeight="1" x14ac:dyDescent="0.2">
      <c r="B17" s="94" t="s">
        <v>46</v>
      </c>
      <c r="C17" s="60"/>
      <c r="D17" s="60"/>
      <c r="E17" s="62"/>
      <c r="F17" s="64"/>
      <c r="G17" s="62"/>
      <c r="H17" s="62"/>
      <c r="I17" s="62"/>
      <c r="J17" s="62"/>
      <c r="K17" s="62"/>
    </row>
    <row r="18" spans="2:11" ht="22.5" customHeight="1" x14ac:dyDescent="0.2">
      <c r="B18" s="94" t="s">
        <v>117</v>
      </c>
      <c r="C18" s="60"/>
      <c r="D18" s="60"/>
      <c r="E18" s="62"/>
      <c r="F18" s="64"/>
      <c r="G18" s="62"/>
      <c r="H18" s="62"/>
      <c r="I18" s="62"/>
      <c r="J18" s="62"/>
      <c r="K18" s="62"/>
    </row>
    <row r="19" spans="2:11" ht="22.5" customHeight="1" x14ac:dyDescent="0.2">
      <c r="B19" s="94" t="s">
        <v>6</v>
      </c>
      <c r="C19" s="60"/>
      <c r="D19" s="60"/>
      <c r="E19" s="62"/>
      <c r="F19" s="64"/>
      <c r="G19" s="62"/>
      <c r="H19" s="62"/>
      <c r="I19" s="62"/>
      <c r="J19" s="62"/>
      <c r="K19" s="62"/>
    </row>
    <row r="20" spans="2:11" ht="22.5" customHeight="1" x14ac:dyDescent="0.2">
      <c r="B20" s="95" t="s">
        <v>113</v>
      </c>
      <c r="C20" s="61"/>
      <c r="D20" s="61"/>
      <c r="E20" s="62"/>
      <c r="F20" s="64"/>
      <c r="G20" s="62"/>
      <c r="H20" s="62"/>
      <c r="I20" s="62"/>
      <c r="J20" s="62"/>
      <c r="K20" s="62"/>
    </row>
    <row r="21" spans="2:11" ht="22.5" customHeight="1" x14ac:dyDescent="0.2">
      <c r="B21" s="95" t="s">
        <v>67</v>
      </c>
      <c r="C21" s="57"/>
      <c r="D21" s="57"/>
      <c r="E21" s="57"/>
      <c r="F21" s="64"/>
      <c r="G21" s="62"/>
      <c r="H21" s="62"/>
      <c r="I21" s="62"/>
      <c r="J21" s="62"/>
      <c r="K21" s="62"/>
    </row>
    <row r="22" spans="2:11" ht="13.5" x14ac:dyDescent="0.2">
      <c r="B22" s="96" t="s">
        <v>43</v>
      </c>
      <c r="C22" s="61"/>
      <c r="D22" s="61"/>
      <c r="E22" s="62"/>
      <c r="F22" s="64"/>
      <c r="G22" s="62"/>
      <c r="H22" s="62"/>
      <c r="I22" s="62"/>
      <c r="J22" s="62"/>
      <c r="K22" s="62"/>
    </row>
    <row r="23" spans="2:11" ht="13.5" x14ac:dyDescent="0.2">
      <c r="B23" s="95" t="s">
        <v>30</v>
      </c>
      <c r="C23" s="61"/>
      <c r="D23" s="61"/>
      <c r="E23" s="62"/>
      <c r="F23" s="64"/>
      <c r="G23" s="62"/>
      <c r="I23" s="62"/>
      <c r="J23" s="62"/>
      <c r="K23" s="62"/>
    </row>
    <row r="24" spans="2:11" ht="13.5" x14ac:dyDescent="0.2">
      <c r="B24" s="96"/>
      <c r="C24" s="61"/>
      <c r="D24" s="61"/>
      <c r="E24" s="62"/>
      <c r="F24" s="64"/>
    </row>
    <row r="25" spans="2:11" ht="13.5" x14ac:dyDescent="0.2">
      <c r="B25" s="333"/>
      <c r="C25" s="61"/>
      <c r="D25" s="61"/>
      <c r="E25" s="62"/>
      <c r="F25" s="64"/>
    </row>
    <row r="26" spans="2:11" ht="13.5" x14ac:dyDescent="0.2">
      <c r="B26" s="56"/>
      <c r="C26" s="61"/>
      <c r="D26" s="61"/>
      <c r="E26" s="62"/>
      <c r="F26" s="66"/>
    </row>
    <row r="27" spans="2:11" ht="13.5" x14ac:dyDescent="0.2">
      <c r="B27" s="56"/>
      <c r="C27" s="61"/>
      <c r="D27" s="61"/>
      <c r="E27" s="62"/>
      <c r="F27" s="64"/>
    </row>
    <row r="28" spans="2:11" ht="14.25" thickBot="1" x14ac:dyDescent="0.25">
      <c r="B28" s="56"/>
      <c r="C28" s="62"/>
      <c r="D28" s="62"/>
      <c r="E28" s="62"/>
      <c r="F28" s="66"/>
    </row>
    <row r="29" spans="2:11" ht="13.5" x14ac:dyDescent="0.2">
      <c r="B29" s="407" t="s">
        <v>2040</v>
      </c>
      <c r="C29" s="62"/>
      <c r="D29" s="62"/>
      <c r="E29" s="62"/>
      <c r="F29" s="64"/>
    </row>
    <row r="30" spans="2:11" ht="16.5" customHeight="1" thickBot="1" x14ac:dyDescent="0.25">
      <c r="B30" s="408" t="s">
        <v>2039</v>
      </c>
      <c r="F30" s="67"/>
    </row>
    <row r="31" spans="2:11" x14ac:dyDescent="0.2">
      <c r="B31" s="58"/>
      <c r="F31" s="68"/>
    </row>
    <row r="32" spans="2:11" x14ac:dyDescent="0.2">
      <c r="F32" s="69"/>
    </row>
    <row r="33" spans="2:6" x14ac:dyDescent="0.2">
      <c r="F33" s="68"/>
    </row>
    <row r="34" spans="2:6" ht="13.5" x14ac:dyDescent="0.2">
      <c r="B34" s="56"/>
      <c r="C34" s="70"/>
    </row>
    <row r="35" spans="2:6" ht="13.5" x14ac:dyDescent="0.2">
      <c r="B35" s="56"/>
      <c r="C35" s="70"/>
    </row>
    <row r="36" spans="2:6" ht="13.5" x14ac:dyDescent="0.2">
      <c r="B36" s="56"/>
      <c r="C36" s="70"/>
    </row>
    <row r="37" spans="2:6" ht="13.5" x14ac:dyDescent="0.2">
      <c r="B37" s="56"/>
      <c r="C37" s="70"/>
    </row>
  </sheetData>
  <phoneticPr fontId="12" type="noConversion"/>
  <hyperlinks>
    <hyperlink ref="B13" location="'Fondval &amp; marknadsvärde'!A1" tooltip="Här visas antal gjorda val och marknadsvärde per fond fördelat på kön." display="Antal gjorda fondval och aktuellt marknadsvärde"/>
    <hyperlink ref="B15" location="Fondstatistik!A1" tooltip="Här visas fondernas värdeutveckling, brutto och fondavgifter samt fondernas risknvivå." display="Fondstatistik"/>
    <hyperlink ref="B16" location="'Värdeutveckling - konto'!A1" tooltip="Här visas variationen i värdeutvecklingen i pensionsspararnas konton sedan deras inträde i premiepensionssystemet." display="Värdeutveckling - individuella konton"/>
    <hyperlink ref="B20" location="'Värdeutveckling - fondrörelse'!A1" tooltip="Här visas värdeutvecklingen i alla fonder, inklusive Premiesparfonden, sedan systemets införande 2000-12-13" display="VÄRDEUTVECKLING FÖR PREMIEPENSIONSFONDERNAS INDEX"/>
    <hyperlink ref="B19" location="'Marknadsv. &amp; tillfört kapital'!A1" tooltip="Här visas hur stora medel som tillförts till premiepensionssystemet samt markandsvärde per år." display="MARKNADSVÄRDE OCH TILLFÖRT KAPITAL TILL FONDRÖRELSEN"/>
    <hyperlink ref="B17" location="'Värdeutv. Premiepensionssystem'!A1" tooltip="Här visas den årliga värdeutvecklingen för premiepensionsspararnas totala premiepensionen och hur motsvarande utveckling varit om instättningen till premiepensionen istället placerats i inkomstpensionen." display="VÄRDEUTVECKLING - PENSIONSSYSTEMET"/>
    <hyperlink ref="B21" location="'Värdeutv fondrörelse genomsnitt'!A1" tooltip="Här visas den årliga genomsnittliga värdeutvecklingen för alla fonder sedan systemets införande." display="Värdeutveckling för fondrörelsen i genomsnitt per år"/>
    <hyperlink ref="B18" location="'Värdeutv. fondrörelse per år'!A1" tooltip="Här visas den årliga värdeutvecklingen i genomsnitt för premiesparfonderna, uppdelat på hela fondrörelsen, valbara fonder och Premiesparfonden." display="VÄRDEUTVECKLING FÖR FONDRÖRELSEN PER KALENDERÅR"/>
    <hyperlink ref="B14" location="'10 mest valda fonder'!A1" tooltip="Här visas de tio fonderna med flest val , mest kapital samt högsta värdeutveckling." display="De tio mest valda fonderna m.m"/>
    <hyperlink ref="B23" location="'Beskrivning av mått'!A1" tooltip="Här förklaras måtten som används i dokumentet." display="Beskrivning av mått"/>
    <hyperlink ref="B30" r:id="rId1"/>
  </hyperlinks>
  <pageMargins left="0.75" right="0.75" top="0.55000000000000004" bottom="1" header="0.35" footer="0.5"/>
  <pageSetup paperSize="9" orientation="portrait" r:id="rId2"/>
  <headerFooter alignWithMargins="0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A1:Q2665"/>
  <sheetViews>
    <sheetView showGridLines="0" showRowColHeaders="0" zoomScale="90" zoomScaleNormal="90" workbookViewId="0">
      <pane ySplit="22" topLeftCell="A23" activePane="bottomLeft" state="frozen"/>
      <selection pane="bottomLeft"/>
    </sheetView>
  </sheetViews>
  <sheetFormatPr defaultRowHeight="12.75" x14ac:dyDescent="0.2"/>
  <cols>
    <col min="1" max="1" width="17.7109375" style="18" bestFit="1" customWidth="1"/>
    <col min="2" max="2" width="60.28515625" style="11" bestFit="1" customWidth="1"/>
    <col min="3" max="3" width="13.28515625" style="12" hidden="1" customWidth="1"/>
    <col min="4" max="4" width="13.28515625" style="13" hidden="1" customWidth="1"/>
    <col min="5" max="5" width="16" style="12" customWidth="1"/>
    <col min="6" max="6" width="20.42578125" style="14" hidden="1" customWidth="1"/>
    <col min="7" max="7" width="22.140625" style="15" hidden="1" customWidth="1"/>
    <col min="8" max="8" width="20.42578125" style="12" customWidth="1"/>
    <col min="9" max="9" width="15.28515625" style="12" customWidth="1"/>
    <col min="10" max="10" width="29.5703125" hidden="1" customWidth="1"/>
    <col min="11" max="11" width="18.7109375" style="7" customWidth="1"/>
    <col min="12" max="12" width="58" style="13" bestFit="1" customWidth="1"/>
    <col min="13" max="13" width="11.7109375" style="7" hidden="1" customWidth="1"/>
    <col min="14" max="14" width="10.28515625" style="7" bestFit="1" customWidth="1"/>
    <col min="15" max="15" width="52.42578125" style="5" bestFit="1" customWidth="1"/>
    <col min="16" max="16" width="9.140625" style="4"/>
    <col min="17" max="17" width="16.140625" style="4" bestFit="1" customWidth="1"/>
    <col min="18" max="18" width="43.7109375" style="4" bestFit="1" customWidth="1"/>
    <col min="19" max="19" width="7.42578125" style="4" bestFit="1" customWidth="1"/>
    <col min="20" max="20" width="47.42578125" style="4" bestFit="1" customWidth="1"/>
    <col min="21" max="16384" width="9.140625" style="4"/>
  </cols>
  <sheetData>
    <row r="1" spans="1:15" x14ac:dyDescent="0.2">
      <c r="A1" s="25"/>
      <c r="B1" s="12"/>
      <c r="C1" s="13"/>
      <c r="D1" s="12"/>
      <c r="E1" s="14"/>
      <c r="F1" s="15"/>
      <c r="G1" s="12"/>
      <c r="H1" s="7"/>
      <c r="I1" s="7"/>
      <c r="K1" s="13"/>
      <c r="L1" s="7"/>
      <c r="N1" s="5"/>
      <c r="O1" s="4"/>
    </row>
    <row r="2" spans="1:15" x14ac:dyDescent="0.2">
      <c r="A2" s="25"/>
      <c r="B2" s="12"/>
      <c r="C2" s="13"/>
      <c r="D2" s="12"/>
      <c r="E2" s="14"/>
      <c r="F2" s="15"/>
      <c r="G2" s="12"/>
      <c r="H2" s="7"/>
      <c r="I2" s="7"/>
      <c r="K2" s="13"/>
      <c r="L2" s="7"/>
      <c r="N2" s="5"/>
      <c r="O2" s="4"/>
    </row>
    <row r="3" spans="1:15" x14ac:dyDescent="0.2">
      <c r="A3" s="25"/>
      <c r="B3" s="12"/>
      <c r="C3" s="13"/>
      <c r="D3" s="12"/>
      <c r="E3" s="14"/>
      <c r="F3" s="15"/>
      <c r="G3" s="12"/>
      <c r="H3" s="7"/>
      <c r="I3" s="7"/>
      <c r="K3" s="13"/>
      <c r="L3" s="7"/>
      <c r="N3" s="5"/>
      <c r="O3" s="4"/>
    </row>
    <row r="4" spans="1:15" x14ac:dyDescent="0.2">
      <c r="A4" s="10"/>
      <c r="B4" s="12"/>
      <c r="C4" s="13"/>
      <c r="D4" s="12"/>
      <c r="E4" s="14"/>
      <c r="F4" s="15"/>
      <c r="G4" s="16"/>
      <c r="H4" s="17"/>
      <c r="I4" s="17"/>
      <c r="N4" s="13"/>
      <c r="O4" s="405" t="s">
        <v>2037</v>
      </c>
    </row>
    <row r="5" spans="1:15" x14ac:dyDescent="0.2">
      <c r="A5" s="10"/>
      <c r="B5" s="12"/>
      <c r="C5" s="13"/>
      <c r="D5" s="12"/>
      <c r="E5" s="14"/>
      <c r="F5" s="15"/>
      <c r="G5" s="16"/>
      <c r="H5" s="17"/>
      <c r="I5" s="17"/>
      <c r="K5" s="13"/>
      <c r="L5" s="7"/>
      <c r="O5" s="405">
        <f>ROUND(SUM(H23:H1000)/1000000000,0)</f>
        <v>1072</v>
      </c>
    </row>
    <row r="6" spans="1:15" ht="16.5" customHeight="1" x14ac:dyDescent="0.25">
      <c r="A6" s="19" t="s">
        <v>2031</v>
      </c>
      <c r="B6" s="12"/>
      <c r="C6" s="13"/>
      <c r="D6" s="17"/>
      <c r="E6" s="17"/>
      <c r="F6" s="17"/>
      <c r="G6" s="17"/>
      <c r="H6" s="21"/>
      <c r="I6" s="21"/>
      <c r="K6" s="13"/>
      <c r="L6" s="7"/>
      <c r="N6" s="5"/>
      <c r="O6" s="406" t="s">
        <v>2038</v>
      </c>
    </row>
    <row r="7" spans="1:15" ht="16.5" customHeight="1" x14ac:dyDescent="0.2">
      <c r="A7" s="394" t="s">
        <v>2032</v>
      </c>
      <c r="B7" s="12"/>
      <c r="C7" s="13"/>
      <c r="D7" s="17"/>
      <c r="E7" s="17"/>
      <c r="F7" s="17"/>
      <c r="G7" s="17"/>
      <c r="H7" s="17"/>
      <c r="I7" s="17"/>
      <c r="K7" s="13"/>
      <c r="L7" s="7"/>
      <c r="N7" s="5"/>
      <c r="O7" s="4"/>
    </row>
    <row r="8" spans="1:15" ht="16.5" customHeight="1" x14ac:dyDescent="0.2">
      <c r="A8" s="22" t="s">
        <v>109</v>
      </c>
      <c r="B8" s="12"/>
      <c r="C8" s="23"/>
      <c r="D8" s="17"/>
      <c r="E8" s="17"/>
      <c r="F8" s="17"/>
      <c r="G8" s="289"/>
      <c r="H8" s="17"/>
      <c r="I8" s="17"/>
      <c r="K8" s="13"/>
      <c r="L8" s="7"/>
      <c r="N8" s="5"/>
      <c r="O8" s="4"/>
    </row>
    <row r="9" spans="1:15" ht="16.5" customHeight="1" x14ac:dyDescent="0.2">
      <c r="A9" s="22" t="s">
        <v>100</v>
      </c>
      <c r="B9" s="4"/>
      <c r="C9" s="24"/>
      <c r="D9" s="17"/>
      <c r="E9" s="17"/>
      <c r="F9" s="17"/>
      <c r="G9" s="17"/>
      <c r="H9" s="17"/>
      <c r="I9" s="17"/>
      <c r="K9" s="13"/>
      <c r="L9" s="7"/>
      <c r="N9" s="5"/>
      <c r="O9" s="4"/>
    </row>
    <row r="10" spans="1:15" ht="16.5" customHeight="1" x14ac:dyDescent="0.2">
      <c r="A10" s="22" t="str">
        <f>CONCATENATE(O4,O5,O6)</f>
        <v>Totalt marknadsvärde  1072 miljarder kronor</v>
      </c>
      <c r="B10" s="12"/>
      <c r="C10" s="13"/>
      <c r="D10" s="17"/>
      <c r="F10" s="17"/>
      <c r="G10" s="17"/>
      <c r="I10" s="26"/>
      <c r="K10" s="13"/>
      <c r="L10" s="7"/>
      <c r="N10" s="5"/>
      <c r="O10" s="4"/>
    </row>
    <row r="11" spans="1:15" ht="16.5" customHeight="1" x14ac:dyDescent="0.2">
      <c r="B11" s="12"/>
      <c r="C11" s="27"/>
      <c r="D11" s="17"/>
      <c r="E11" s="17"/>
      <c r="F11" s="17"/>
      <c r="G11" s="17"/>
      <c r="H11" s="17"/>
      <c r="I11" s="17"/>
      <c r="L11" s="7"/>
      <c r="N11" s="5"/>
      <c r="O11" s="4"/>
    </row>
    <row r="12" spans="1:15" ht="19.5" customHeight="1" x14ac:dyDescent="0.2">
      <c r="A12" s="29"/>
      <c r="B12" s="12"/>
      <c r="C12" s="27"/>
      <c r="D12" s="17"/>
      <c r="E12" s="17"/>
      <c r="F12" s="17"/>
      <c r="G12" s="17"/>
      <c r="H12" s="17"/>
      <c r="I12" s="17"/>
      <c r="K12" s="13"/>
      <c r="L12" s="7"/>
      <c r="M12" s="2"/>
      <c r="N12" s="5"/>
      <c r="O12" s="4"/>
    </row>
    <row r="13" spans="1:15" ht="20.25" customHeight="1" x14ac:dyDescent="0.2">
      <c r="A13" s="29"/>
      <c r="B13" s="28"/>
      <c r="C13" s="28"/>
      <c r="D13" s="17"/>
      <c r="E13" s="17"/>
      <c r="F13" s="17"/>
      <c r="G13" s="17"/>
      <c r="H13" s="17"/>
      <c r="I13" s="17"/>
      <c r="K13" s="13"/>
      <c r="L13" s="7"/>
      <c r="N13" s="5"/>
      <c r="O13" s="4"/>
    </row>
    <row r="14" spans="1:15" ht="16.5" customHeight="1" x14ac:dyDescent="0.2">
      <c r="A14" s="25"/>
      <c r="B14" s="28"/>
      <c r="C14" s="28"/>
      <c r="D14" s="17"/>
      <c r="E14" s="17"/>
      <c r="F14" s="17"/>
      <c r="G14" s="17"/>
      <c r="H14" s="17"/>
      <c r="I14" s="17"/>
      <c r="K14" s="13"/>
      <c r="L14" s="7"/>
      <c r="N14" s="5"/>
      <c r="O14" s="4"/>
    </row>
    <row r="15" spans="1:15" ht="15" customHeight="1" x14ac:dyDescent="0.2">
      <c r="C15" s="404"/>
      <c r="D15" s="17"/>
      <c r="E15" s="17"/>
      <c r="F15" s="17"/>
      <c r="G15" s="17"/>
      <c r="H15" s="17"/>
      <c r="I15" s="17"/>
      <c r="K15" s="13"/>
      <c r="L15" s="7"/>
      <c r="N15" s="5"/>
      <c r="O15" s="4"/>
    </row>
    <row r="16" spans="1:15" ht="15" customHeight="1" x14ac:dyDescent="0.2">
      <c r="A16" s="277"/>
      <c r="B16" s="28"/>
      <c r="C16" s="27"/>
      <c r="D16" s="17"/>
      <c r="E16" s="17"/>
      <c r="F16" s="17"/>
      <c r="G16" s="3"/>
      <c r="H16" s="17"/>
      <c r="I16" s="17"/>
      <c r="K16" s="13"/>
      <c r="L16" s="7"/>
      <c r="N16" s="5"/>
      <c r="O16" s="4"/>
    </row>
    <row r="17" spans="1:15" ht="15" customHeight="1" x14ac:dyDescent="0.2">
      <c r="A17" s="25"/>
      <c r="B17" s="12"/>
      <c r="C17" s="27"/>
      <c r="D17" s="17"/>
      <c r="E17" s="16"/>
      <c r="F17" s="16"/>
      <c r="G17" s="31"/>
      <c r="H17" s="32"/>
      <c r="I17" s="32"/>
      <c r="K17" s="13"/>
      <c r="L17" s="7"/>
      <c r="N17" s="5"/>
      <c r="O17" s="4"/>
    </row>
    <row r="18" spans="1:15" ht="15" customHeight="1" x14ac:dyDescent="0.2">
      <c r="A18" s="337"/>
      <c r="B18" s="28"/>
      <c r="C18" s="28"/>
      <c r="D18" s="28"/>
      <c r="E18" s="28"/>
      <c r="F18" s="28"/>
      <c r="G18" s="28"/>
      <c r="H18" s="9"/>
      <c r="I18" s="9"/>
      <c r="K18" s="13"/>
      <c r="L18" s="7"/>
      <c r="N18" s="5"/>
      <c r="O18" s="4"/>
    </row>
    <row r="19" spans="1:15" ht="15" customHeight="1" x14ac:dyDescent="0.2">
      <c r="A19" s="350" t="s">
        <v>1165</v>
      </c>
      <c r="B19" s="12"/>
      <c r="C19" s="13"/>
      <c r="D19" s="12"/>
      <c r="E19" s="14"/>
      <c r="F19" s="15"/>
      <c r="G19" s="277"/>
      <c r="H19" s="9"/>
      <c r="I19" s="9"/>
      <c r="K19" s="13"/>
      <c r="L19" s="7"/>
      <c r="N19" s="5"/>
      <c r="O19" s="4"/>
    </row>
    <row r="20" spans="1:15" ht="15" customHeight="1" x14ac:dyDescent="0.2">
      <c r="A20" s="36"/>
      <c r="B20" s="6"/>
      <c r="C20" s="24"/>
      <c r="D20" s="23"/>
      <c r="E20" s="24"/>
      <c r="F20" s="33"/>
      <c r="G20" s="34"/>
      <c r="H20" s="24"/>
      <c r="I20" s="24"/>
      <c r="J20" s="25"/>
      <c r="K20" s="9"/>
      <c r="L20" s="23"/>
      <c r="M20" s="35"/>
      <c r="N20" s="9"/>
      <c r="O20" s="8"/>
    </row>
    <row r="21" spans="1:15" s="8" customFormat="1" x14ac:dyDescent="0.2">
      <c r="A21" s="421"/>
      <c r="B21" s="362"/>
      <c r="C21" s="365"/>
      <c r="D21" s="363" t="s">
        <v>110</v>
      </c>
      <c r="E21" s="369" t="s">
        <v>110</v>
      </c>
      <c r="F21" s="370"/>
      <c r="G21" s="363" t="s">
        <v>72</v>
      </c>
      <c r="H21" s="369" t="s">
        <v>72</v>
      </c>
      <c r="I21" s="368"/>
      <c r="J21" s="366"/>
      <c r="K21" s="371"/>
      <c r="L21" s="37"/>
      <c r="M21" s="393" t="s">
        <v>7</v>
      </c>
      <c r="N21" s="375"/>
    </row>
    <row r="22" spans="1:15" s="52" customFormat="1" x14ac:dyDescent="0.2">
      <c r="A22" s="422" t="s">
        <v>83</v>
      </c>
      <c r="B22" s="374" t="s">
        <v>69</v>
      </c>
      <c r="C22" s="361" t="s">
        <v>74</v>
      </c>
      <c r="D22" s="360" t="s">
        <v>75</v>
      </c>
      <c r="E22" s="360" t="s">
        <v>76</v>
      </c>
      <c r="F22" s="360" t="s">
        <v>74</v>
      </c>
      <c r="G22" s="360" t="s">
        <v>75</v>
      </c>
      <c r="H22" s="364" t="s">
        <v>76</v>
      </c>
      <c r="I22" s="367" t="s">
        <v>1164</v>
      </c>
      <c r="J22" s="373" t="s">
        <v>70</v>
      </c>
      <c r="K22" s="374" t="s">
        <v>77</v>
      </c>
      <c r="L22" s="372" t="s">
        <v>73</v>
      </c>
      <c r="M22" s="367" t="s">
        <v>68</v>
      </c>
      <c r="N22" s="376"/>
      <c r="O22" s="55"/>
    </row>
    <row r="23" spans="1:15" ht="15" customHeight="1" x14ac:dyDescent="0.25">
      <c r="A23" s="320">
        <v>1</v>
      </c>
      <c r="B23" s="319" t="s">
        <v>839</v>
      </c>
      <c r="C23" s="331">
        <v>1771311</v>
      </c>
      <c r="D23" s="331">
        <v>1897886</v>
      </c>
      <c r="E23" s="331">
        <v>3669197</v>
      </c>
      <c r="F23" s="331">
        <v>168390624316</v>
      </c>
      <c r="G23" s="331">
        <v>209950614110</v>
      </c>
      <c r="H23" s="331">
        <v>378341238426</v>
      </c>
      <c r="I23" s="331"/>
      <c r="J23" s="319" t="s">
        <v>831</v>
      </c>
      <c r="K23" s="319" t="s">
        <v>765</v>
      </c>
      <c r="L23" s="319" t="s">
        <v>766</v>
      </c>
      <c r="M23" s="319" t="s">
        <v>154</v>
      </c>
      <c r="N23" s="3"/>
      <c r="O23" s="4"/>
    </row>
    <row r="24" spans="1:15" ht="15" customHeight="1" x14ac:dyDescent="0.25">
      <c r="A24" s="320">
        <v>283408</v>
      </c>
      <c r="B24" s="319" t="s">
        <v>128</v>
      </c>
      <c r="C24" s="331">
        <v>138430</v>
      </c>
      <c r="D24" s="331">
        <v>149001</v>
      </c>
      <c r="E24" s="331">
        <v>287431</v>
      </c>
      <c r="F24" s="331">
        <v>9213315707</v>
      </c>
      <c r="G24" s="331">
        <v>12600799051</v>
      </c>
      <c r="H24" s="331">
        <v>21814114758</v>
      </c>
      <c r="I24" s="331">
        <v>66194633</v>
      </c>
      <c r="J24" s="319" t="s">
        <v>253</v>
      </c>
      <c r="K24" s="319" t="s">
        <v>771</v>
      </c>
      <c r="L24" s="319" t="s">
        <v>171</v>
      </c>
      <c r="M24" s="319" t="s">
        <v>154</v>
      </c>
      <c r="N24" s="3"/>
      <c r="O24" s="4"/>
    </row>
    <row r="25" spans="1:15" ht="15" customHeight="1" x14ac:dyDescent="0.25">
      <c r="A25" s="320">
        <v>291906</v>
      </c>
      <c r="B25" s="319" t="s">
        <v>96</v>
      </c>
      <c r="C25" s="331">
        <v>112475</v>
      </c>
      <c r="D25" s="331">
        <v>125383</v>
      </c>
      <c r="E25" s="331">
        <v>237858</v>
      </c>
      <c r="F25" s="331">
        <v>11203406784</v>
      </c>
      <c r="G25" s="331">
        <v>14895689604</v>
      </c>
      <c r="H25" s="331">
        <v>26099096388</v>
      </c>
      <c r="I25" s="331">
        <v>-35908030</v>
      </c>
      <c r="J25" s="319" t="s">
        <v>219</v>
      </c>
      <c r="K25" s="319" t="s">
        <v>771</v>
      </c>
      <c r="L25" s="319" t="s">
        <v>339</v>
      </c>
      <c r="M25" s="319" t="s">
        <v>154</v>
      </c>
      <c r="N25" s="3"/>
      <c r="O25" s="4"/>
    </row>
    <row r="26" spans="1:15" ht="15" customHeight="1" x14ac:dyDescent="0.25">
      <c r="A26" s="320">
        <v>681783</v>
      </c>
      <c r="B26" s="319" t="s">
        <v>107</v>
      </c>
      <c r="C26" s="331">
        <v>110581</v>
      </c>
      <c r="D26" s="331">
        <v>117140</v>
      </c>
      <c r="E26" s="331">
        <v>227721</v>
      </c>
      <c r="F26" s="331">
        <v>9013880765</v>
      </c>
      <c r="G26" s="331">
        <v>11935027240</v>
      </c>
      <c r="H26" s="331">
        <v>20948908005</v>
      </c>
      <c r="I26" s="331">
        <v>-58107927</v>
      </c>
      <c r="J26" s="319" t="s">
        <v>219</v>
      </c>
      <c r="K26" s="319" t="s">
        <v>771</v>
      </c>
      <c r="L26" s="319" t="s">
        <v>168</v>
      </c>
      <c r="M26" s="319" t="s">
        <v>154</v>
      </c>
      <c r="N26" s="3"/>
      <c r="O26" s="4"/>
    </row>
    <row r="27" spans="1:15" ht="15" customHeight="1" x14ac:dyDescent="0.25">
      <c r="A27" s="320">
        <v>645952</v>
      </c>
      <c r="B27" s="319" t="s">
        <v>106</v>
      </c>
      <c r="C27" s="331">
        <v>101639</v>
      </c>
      <c r="D27" s="331">
        <v>104386</v>
      </c>
      <c r="E27" s="331">
        <v>206025</v>
      </c>
      <c r="F27" s="331">
        <v>7555990874</v>
      </c>
      <c r="G27" s="331">
        <v>9798696627</v>
      </c>
      <c r="H27" s="331">
        <v>17354687501</v>
      </c>
      <c r="I27" s="331">
        <v>-57757299</v>
      </c>
      <c r="J27" s="319" t="s">
        <v>1026</v>
      </c>
      <c r="K27" s="319" t="s">
        <v>771</v>
      </c>
      <c r="L27" s="319" t="s">
        <v>168</v>
      </c>
      <c r="M27" s="319" t="s">
        <v>154</v>
      </c>
      <c r="N27" s="2"/>
      <c r="O27" s="4"/>
    </row>
    <row r="28" spans="1:15" ht="15" customHeight="1" x14ac:dyDescent="0.25">
      <c r="A28" s="320">
        <v>785022</v>
      </c>
      <c r="B28" s="319" t="s">
        <v>60</v>
      </c>
      <c r="C28" s="331">
        <v>86440</v>
      </c>
      <c r="D28" s="331">
        <v>74226</v>
      </c>
      <c r="E28" s="331">
        <v>160666</v>
      </c>
      <c r="F28" s="331">
        <v>7386601392</v>
      </c>
      <c r="G28" s="331">
        <v>7700400916</v>
      </c>
      <c r="H28" s="331">
        <v>15087002308</v>
      </c>
      <c r="I28" s="331">
        <v>-25142465</v>
      </c>
      <c r="J28" s="319" t="s">
        <v>1026</v>
      </c>
      <c r="K28" s="319" t="s">
        <v>771</v>
      </c>
      <c r="L28" s="319" t="s">
        <v>171</v>
      </c>
      <c r="M28" s="319" t="s">
        <v>154</v>
      </c>
      <c r="N28" s="2"/>
      <c r="O28" s="4"/>
    </row>
    <row r="29" spans="1:15" ht="15" customHeight="1" x14ac:dyDescent="0.25">
      <c r="A29" s="320">
        <v>747899</v>
      </c>
      <c r="B29" s="319" t="s">
        <v>58</v>
      </c>
      <c r="C29" s="331">
        <v>64293</v>
      </c>
      <c r="D29" s="331">
        <v>64365</v>
      </c>
      <c r="E29" s="331">
        <v>128658</v>
      </c>
      <c r="F29" s="331">
        <v>9522707325</v>
      </c>
      <c r="G29" s="331">
        <v>11753248847</v>
      </c>
      <c r="H29" s="331">
        <v>21275956172</v>
      </c>
      <c r="I29" s="331">
        <v>-37152389</v>
      </c>
      <c r="J29" s="319" t="s">
        <v>1022</v>
      </c>
      <c r="K29" s="319" t="s">
        <v>765</v>
      </c>
      <c r="L29" s="319" t="s">
        <v>171</v>
      </c>
      <c r="M29" s="319" t="s">
        <v>154</v>
      </c>
      <c r="N29" s="2"/>
      <c r="O29" s="4"/>
    </row>
    <row r="30" spans="1:15" ht="15" customHeight="1" x14ac:dyDescent="0.25">
      <c r="A30" s="320">
        <v>783720</v>
      </c>
      <c r="B30" s="319" t="s">
        <v>59</v>
      </c>
      <c r="C30" s="331">
        <v>66269</v>
      </c>
      <c r="D30" s="331">
        <v>51018</v>
      </c>
      <c r="E30" s="331">
        <v>117287</v>
      </c>
      <c r="F30" s="331">
        <v>10286632637</v>
      </c>
      <c r="G30" s="331">
        <v>9331625729</v>
      </c>
      <c r="H30" s="331">
        <v>19618258367</v>
      </c>
      <c r="I30" s="331">
        <v>-20649125</v>
      </c>
      <c r="J30" s="319" t="s">
        <v>1022</v>
      </c>
      <c r="K30" s="319" t="s">
        <v>765</v>
      </c>
      <c r="L30" s="319" t="s">
        <v>171</v>
      </c>
      <c r="M30" s="319" t="s">
        <v>154</v>
      </c>
      <c r="N30" s="2"/>
      <c r="O30" s="4"/>
    </row>
    <row r="31" spans="1:15" ht="15" customHeight="1" x14ac:dyDescent="0.25">
      <c r="A31" s="320">
        <v>610121</v>
      </c>
      <c r="B31" s="319" t="s">
        <v>105</v>
      </c>
      <c r="C31" s="331">
        <v>61014</v>
      </c>
      <c r="D31" s="331">
        <v>55233</v>
      </c>
      <c r="E31" s="331">
        <v>116247</v>
      </c>
      <c r="F31" s="331">
        <v>4049831027</v>
      </c>
      <c r="G31" s="331">
        <v>4583303085</v>
      </c>
      <c r="H31" s="331">
        <v>8633134113</v>
      </c>
      <c r="I31" s="331">
        <v>-33951791</v>
      </c>
      <c r="J31" s="319" t="s">
        <v>1024</v>
      </c>
      <c r="K31" s="319" t="s">
        <v>768</v>
      </c>
      <c r="L31" s="319" t="s">
        <v>168</v>
      </c>
      <c r="M31" s="319" t="s">
        <v>154</v>
      </c>
      <c r="N31" s="2"/>
      <c r="O31" s="4"/>
    </row>
    <row r="32" spans="1:15" ht="15" customHeight="1" x14ac:dyDescent="0.25">
      <c r="A32" s="320">
        <v>928341</v>
      </c>
      <c r="B32" s="319" t="s">
        <v>61</v>
      </c>
      <c r="C32" s="331">
        <v>59871</v>
      </c>
      <c r="D32" s="331">
        <v>55996</v>
      </c>
      <c r="E32" s="331">
        <v>115867</v>
      </c>
      <c r="F32" s="331">
        <v>2395150878</v>
      </c>
      <c r="G32" s="331">
        <v>2875311793</v>
      </c>
      <c r="H32" s="331">
        <v>5270462671</v>
      </c>
      <c r="I32" s="331">
        <v>-32105816</v>
      </c>
      <c r="J32" s="319" t="s">
        <v>1051</v>
      </c>
      <c r="K32" s="319" t="s">
        <v>771</v>
      </c>
      <c r="L32" s="319" t="s">
        <v>171</v>
      </c>
      <c r="M32" s="319" t="s">
        <v>154</v>
      </c>
      <c r="N32" s="2"/>
      <c r="O32" s="4"/>
    </row>
    <row r="33" spans="1:15" ht="15" customHeight="1" x14ac:dyDescent="0.25">
      <c r="A33" s="320">
        <v>581371</v>
      </c>
      <c r="B33" s="319" t="s">
        <v>180</v>
      </c>
      <c r="C33" s="331">
        <v>41996</v>
      </c>
      <c r="D33" s="331">
        <v>60198</v>
      </c>
      <c r="E33" s="331">
        <v>102194</v>
      </c>
      <c r="F33" s="331">
        <v>4565184061</v>
      </c>
      <c r="G33" s="331">
        <v>7178010891</v>
      </c>
      <c r="H33" s="331">
        <v>11743194952</v>
      </c>
      <c r="I33" s="331">
        <v>80978664</v>
      </c>
      <c r="J33" s="319" t="s">
        <v>181</v>
      </c>
      <c r="K33" s="319" t="s">
        <v>771</v>
      </c>
      <c r="L33" s="319" t="s">
        <v>161</v>
      </c>
      <c r="M33" s="319" t="s">
        <v>154</v>
      </c>
      <c r="N33" s="2"/>
      <c r="O33" s="4"/>
    </row>
    <row r="34" spans="1:15" ht="15" customHeight="1" x14ac:dyDescent="0.25">
      <c r="A34" s="320">
        <v>789271</v>
      </c>
      <c r="B34" s="319" t="s">
        <v>230</v>
      </c>
      <c r="C34" s="331">
        <v>52173</v>
      </c>
      <c r="D34" s="331">
        <v>49219</v>
      </c>
      <c r="E34" s="331">
        <v>101392</v>
      </c>
      <c r="F34" s="331">
        <v>3439687685</v>
      </c>
      <c r="G34" s="331">
        <v>3976621325</v>
      </c>
      <c r="H34" s="331">
        <v>7416309010</v>
      </c>
      <c r="I34" s="331">
        <v>-16272788</v>
      </c>
      <c r="J34" s="319" t="s">
        <v>219</v>
      </c>
      <c r="K34" s="319" t="s">
        <v>771</v>
      </c>
      <c r="L34" s="319" t="s">
        <v>171</v>
      </c>
      <c r="M34" s="319" t="s">
        <v>154</v>
      </c>
      <c r="N34" s="2"/>
      <c r="O34" s="4"/>
    </row>
    <row r="35" spans="1:15" ht="15" x14ac:dyDescent="0.25">
      <c r="A35" s="320">
        <v>463141</v>
      </c>
      <c r="B35" s="319" t="s">
        <v>240</v>
      </c>
      <c r="C35" s="331">
        <v>53054</v>
      </c>
      <c r="D35" s="331">
        <v>42546</v>
      </c>
      <c r="E35" s="331">
        <v>95600</v>
      </c>
      <c r="F35" s="331">
        <v>5658755776</v>
      </c>
      <c r="G35" s="331">
        <v>5490978806</v>
      </c>
      <c r="H35" s="331">
        <v>11149734581</v>
      </c>
      <c r="I35" s="331">
        <v>-24490038</v>
      </c>
      <c r="J35" s="319" t="s">
        <v>1022</v>
      </c>
      <c r="K35" s="319" t="s">
        <v>765</v>
      </c>
      <c r="L35" s="319" t="s">
        <v>178</v>
      </c>
      <c r="M35" s="319" t="s">
        <v>154</v>
      </c>
      <c r="N35" s="2"/>
      <c r="O35" s="4"/>
    </row>
    <row r="36" spans="1:15" ht="15" x14ac:dyDescent="0.25">
      <c r="A36" s="320">
        <v>734491</v>
      </c>
      <c r="B36" s="319" t="s">
        <v>156</v>
      </c>
      <c r="C36" s="331">
        <v>33374</v>
      </c>
      <c r="D36" s="331">
        <v>56671</v>
      </c>
      <c r="E36" s="331">
        <v>90045</v>
      </c>
      <c r="F36" s="331">
        <v>2299198839</v>
      </c>
      <c r="G36" s="331">
        <v>4598016856</v>
      </c>
      <c r="H36" s="331">
        <v>6897215696</v>
      </c>
      <c r="I36" s="331">
        <v>65077971</v>
      </c>
      <c r="J36" s="319" t="s">
        <v>219</v>
      </c>
      <c r="K36" s="319" t="s">
        <v>771</v>
      </c>
      <c r="L36" s="319" t="s">
        <v>157</v>
      </c>
      <c r="M36" s="319" t="s">
        <v>154</v>
      </c>
      <c r="N36" s="2"/>
      <c r="O36" s="4"/>
    </row>
    <row r="37" spans="1:15" ht="15" x14ac:dyDescent="0.25">
      <c r="A37" s="320">
        <v>212332</v>
      </c>
      <c r="B37" s="319" t="s">
        <v>210</v>
      </c>
      <c r="C37" s="331">
        <v>42650</v>
      </c>
      <c r="D37" s="331">
        <v>45833</v>
      </c>
      <c r="E37" s="331">
        <v>88483</v>
      </c>
      <c r="F37" s="331">
        <v>2849722464</v>
      </c>
      <c r="G37" s="331">
        <v>3766009658</v>
      </c>
      <c r="H37" s="331">
        <v>6615732122</v>
      </c>
      <c r="I37" s="331">
        <v>-10332391</v>
      </c>
      <c r="J37" s="319" t="s">
        <v>219</v>
      </c>
      <c r="K37" s="319" t="s">
        <v>771</v>
      </c>
      <c r="L37" s="319" t="s">
        <v>178</v>
      </c>
      <c r="M37" s="319" t="s">
        <v>154</v>
      </c>
      <c r="N37" s="2"/>
      <c r="O37" s="4"/>
    </row>
    <row r="38" spans="1:15" ht="15" x14ac:dyDescent="0.25">
      <c r="A38" s="320">
        <v>753442</v>
      </c>
      <c r="B38" s="319" t="s">
        <v>232</v>
      </c>
      <c r="C38" s="331">
        <v>44774</v>
      </c>
      <c r="D38" s="331">
        <v>40465</v>
      </c>
      <c r="E38" s="331">
        <v>85239</v>
      </c>
      <c r="F38" s="331">
        <v>2846476421</v>
      </c>
      <c r="G38" s="331">
        <v>3422366424</v>
      </c>
      <c r="H38" s="331">
        <v>6268842846</v>
      </c>
      <c r="I38" s="331">
        <v>-13127273</v>
      </c>
      <c r="J38" s="319" t="s">
        <v>181</v>
      </c>
      <c r="K38" s="319" t="s">
        <v>771</v>
      </c>
      <c r="L38" s="319" t="s">
        <v>171</v>
      </c>
      <c r="M38" s="319" t="s">
        <v>154</v>
      </c>
      <c r="N38" s="2"/>
      <c r="O38" s="4"/>
    </row>
    <row r="39" spans="1:15" ht="15" x14ac:dyDescent="0.25">
      <c r="A39" s="320">
        <v>313155</v>
      </c>
      <c r="B39" s="319" t="s">
        <v>1060</v>
      </c>
      <c r="C39" s="331">
        <v>43118</v>
      </c>
      <c r="D39" s="331">
        <v>39369</v>
      </c>
      <c r="E39" s="331">
        <v>82487</v>
      </c>
      <c r="F39" s="331">
        <v>1918143934</v>
      </c>
      <c r="G39" s="331">
        <v>2085581005</v>
      </c>
      <c r="H39" s="331">
        <v>4003724940</v>
      </c>
      <c r="I39" s="331">
        <v>-18941153</v>
      </c>
      <c r="J39" s="319" t="s">
        <v>1051</v>
      </c>
      <c r="K39" s="319" t="s">
        <v>771</v>
      </c>
      <c r="L39" s="319" t="s">
        <v>1062</v>
      </c>
      <c r="M39" s="319" t="s">
        <v>68</v>
      </c>
      <c r="N39" s="2"/>
      <c r="O39" s="4"/>
    </row>
    <row r="40" spans="1:15" ht="15" x14ac:dyDescent="0.25">
      <c r="A40" s="320">
        <v>359315</v>
      </c>
      <c r="B40" s="319" t="s">
        <v>130</v>
      </c>
      <c r="C40" s="331">
        <v>44883</v>
      </c>
      <c r="D40" s="331">
        <v>35565</v>
      </c>
      <c r="E40" s="331">
        <v>80448</v>
      </c>
      <c r="F40" s="331">
        <v>8344799079</v>
      </c>
      <c r="G40" s="331">
        <v>7789692755</v>
      </c>
      <c r="H40" s="331">
        <v>16134491833</v>
      </c>
      <c r="I40" s="331">
        <v>32276449</v>
      </c>
      <c r="J40" s="319" t="s">
        <v>1022</v>
      </c>
      <c r="K40" s="319" t="s">
        <v>765</v>
      </c>
      <c r="L40" s="319" t="s">
        <v>191</v>
      </c>
      <c r="M40" s="319" t="s">
        <v>154</v>
      </c>
      <c r="N40" s="2"/>
      <c r="O40" s="4"/>
    </row>
    <row r="41" spans="1:15" ht="15" x14ac:dyDescent="0.25">
      <c r="A41" s="320">
        <v>313742</v>
      </c>
      <c r="B41" s="319" t="s">
        <v>20</v>
      </c>
      <c r="C41" s="331">
        <v>37332</v>
      </c>
      <c r="D41" s="331">
        <v>42535</v>
      </c>
      <c r="E41" s="331">
        <v>79867</v>
      </c>
      <c r="F41" s="331">
        <v>2133458203</v>
      </c>
      <c r="G41" s="331">
        <v>2988124318</v>
      </c>
      <c r="H41" s="331">
        <v>5121582522</v>
      </c>
      <c r="I41" s="331">
        <v>-74074031</v>
      </c>
      <c r="J41" s="319" t="s">
        <v>1049</v>
      </c>
      <c r="K41" s="319" t="s">
        <v>771</v>
      </c>
      <c r="L41" s="319" t="s">
        <v>173</v>
      </c>
      <c r="M41" s="319" t="s">
        <v>154</v>
      </c>
      <c r="N41" s="2"/>
      <c r="O41" s="4"/>
    </row>
    <row r="42" spans="1:15" ht="15" x14ac:dyDescent="0.25">
      <c r="A42" s="320">
        <v>976928</v>
      </c>
      <c r="B42" s="319" t="s">
        <v>227</v>
      </c>
      <c r="C42" s="331">
        <v>38491</v>
      </c>
      <c r="D42" s="331">
        <v>39556</v>
      </c>
      <c r="E42" s="331">
        <v>78047</v>
      </c>
      <c r="F42" s="331">
        <v>3113913862</v>
      </c>
      <c r="G42" s="331">
        <v>4031027333</v>
      </c>
      <c r="H42" s="331">
        <v>7144941194</v>
      </c>
      <c r="I42" s="331">
        <v>-10513513</v>
      </c>
      <c r="J42" s="319" t="s">
        <v>219</v>
      </c>
      <c r="K42" s="319" t="s">
        <v>771</v>
      </c>
      <c r="L42" s="319" t="s">
        <v>171</v>
      </c>
      <c r="M42" s="319" t="s">
        <v>154</v>
      </c>
      <c r="N42" s="2"/>
      <c r="O42" s="4"/>
    </row>
    <row r="43" spans="1:15" ht="15" x14ac:dyDescent="0.25">
      <c r="A43" s="320">
        <v>287656</v>
      </c>
      <c r="B43" s="319" t="s">
        <v>248</v>
      </c>
      <c r="C43" s="331">
        <v>42618</v>
      </c>
      <c r="D43" s="331">
        <v>35315</v>
      </c>
      <c r="E43" s="331">
        <v>77933</v>
      </c>
      <c r="F43" s="331">
        <v>6726908405</v>
      </c>
      <c r="G43" s="331">
        <v>6562105615</v>
      </c>
      <c r="H43" s="331">
        <v>13289014020</v>
      </c>
      <c r="I43" s="331">
        <v>32905129</v>
      </c>
      <c r="J43" s="319" t="s">
        <v>1022</v>
      </c>
      <c r="K43" s="319" t="s">
        <v>765</v>
      </c>
      <c r="L43" s="319" t="s">
        <v>191</v>
      </c>
      <c r="M43" s="319" t="s">
        <v>154</v>
      </c>
      <c r="N43" s="2"/>
      <c r="O43" s="4"/>
    </row>
    <row r="44" spans="1:15" ht="15" x14ac:dyDescent="0.25">
      <c r="A44" s="320">
        <v>307306</v>
      </c>
      <c r="B44" s="319" t="s">
        <v>954</v>
      </c>
      <c r="C44" s="331">
        <v>39829</v>
      </c>
      <c r="D44" s="331">
        <v>37307</v>
      </c>
      <c r="E44" s="331">
        <v>77136</v>
      </c>
      <c r="F44" s="331">
        <v>1469535718</v>
      </c>
      <c r="G44" s="331">
        <v>1515000783</v>
      </c>
      <c r="H44" s="331">
        <v>2984536501</v>
      </c>
      <c r="I44" s="331">
        <v>36472409</v>
      </c>
      <c r="J44" s="319" t="s">
        <v>1024</v>
      </c>
      <c r="K44" s="319" t="s">
        <v>768</v>
      </c>
      <c r="L44" s="319" t="s">
        <v>949</v>
      </c>
      <c r="M44" s="319" t="s">
        <v>154</v>
      </c>
      <c r="N44" s="2"/>
      <c r="O44" s="4"/>
    </row>
    <row r="45" spans="1:15" ht="15" x14ac:dyDescent="0.25">
      <c r="A45" s="320">
        <v>427310</v>
      </c>
      <c r="B45" s="319" t="s">
        <v>239</v>
      </c>
      <c r="C45" s="331">
        <v>40647</v>
      </c>
      <c r="D45" s="331">
        <v>36477</v>
      </c>
      <c r="E45" s="331">
        <v>77124</v>
      </c>
      <c r="F45" s="331">
        <v>4014705131</v>
      </c>
      <c r="G45" s="331">
        <v>4378656363</v>
      </c>
      <c r="H45" s="331">
        <v>8393361495</v>
      </c>
      <c r="I45" s="331">
        <v>-38749263</v>
      </c>
      <c r="J45" s="319" t="s">
        <v>159</v>
      </c>
      <c r="K45" s="319" t="s">
        <v>765</v>
      </c>
      <c r="L45" s="319" t="s">
        <v>178</v>
      </c>
      <c r="M45" s="319" t="s">
        <v>154</v>
      </c>
      <c r="N45" s="2"/>
      <c r="O45" s="4"/>
    </row>
    <row r="46" spans="1:15" ht="15" x14ac:dyDescent="0.25">
      <c r="A46" s="320">
        <v>677534</v>
      </c>
      <c r="B46" s="319" t="s">
        <v>936</v>
      </c>
      <c r="C46" s="331">
        <v>44304</v>
      </c>
      <c r="D46" s="331">
        <v>32673</v>
      </c>
      <c r="E46" s="331">
        <v>76977</v>
      </c>
      <c r="F46" s="331">
        <v>1600161961</v>
      </c>
      <c r="G46" s="331">
        <v>1441433284</v>
      </c>
      <c r="H46" s="331">
        <v>3041595245</v>
      </c>
      <c r="I46" s="331">
        <v>-23141202</v>
      </c>
      <c r="J46" s="319" t="s">
        <v>1040</v>
      </c>
      <c r="K46" s="319" t="s">
        <v>772</v>
      </c>
      <c r="L46" s="319" t="s">
        <v>171</v>
      </c>
      <c r="M46" s="319" t="s">
        <v>154</v>
      </c>
      <c r="N46" s="2"/>
      <c r="O46" s="4"/>
    </row>
    <row r="47" spans="1:15" ht="15" customHeight="1" x14ac:dyDescent="0.25">
      <c r="A47" s="320">
        <v>271478</v>
      </c>
      <c r="B47" s="319" t="s">
        <v>948</v>
      </c>
      <c r="C47" s="331">
        <v>39551</v>
      </c>
      <c r="D47" s="331">
        <v>37186</v>
      </c>
      <c r="E47" s="331">
        <v>76737</v>
      </c>
      <c r="F47" s="331">
        <v>5709252843</v>
      </c>
      <c r="G47" s="331">
        <v>6834550882</v>
      </c>
      <c r="H47" s="331">
        <v>12543803725</v>
      </c>
      <c r="I47" s="331">
        <v>46547611</v>
      </c>
      <c r="J47" s="319" t="s">
        <v>1026</v>
      </c>
      <c r="K47" s="319" t="s">
        <v>771</v>
      </c>
      <c r="L47" s="319" t="s">
        <v>949</v>
      </c>
      <c r="M47" s="319" t="s">
        <v>154</v>
      </c>
      <c r="N47" s="2"/>
      <c r="O47" s="4"/>
    </row>
    <row r="48" spans="1:15" ht="15" customHeight="1" x14ac:dyDescent="0.25">
      <c r="A48" s="320">
        <v>941096</v>
      </c>
      <c r="B48" s="319" t="s">
        <v>228</v>
      </c>
      <c r="C48" s="331">
        <v>38009</v>
      </c>
      <c r="D48" s="331">
        <v>37053</v>
      </c>
      <c r="E48" s="331">
        <v>75062</v>
      </c>
      <c r="F48" s="331">
        <v>2190674749</v>
      </c>
      <c r="G48" s="331">
        <v>2650192707</v>
      </c>
      <c r="H48" s="331">
        <v>4840867456</v>
      </c>
      <c r="I48" s="331">
        <v>-15052472</v>
      </c>
      <c r="J48" s="319" t="s">
        <v>181</v>
      </c>
      <c r="K48" s="319" t="s">
        <v>771</v>
      </c>
      <c r="L48" s="319" t="s">
        <v>171</v>
      </c>
      <c r="M48" s="319" t="s">
        <v>154</v>
      </c>
      <c r="N48" s="2"/>
      <c r="O48" s="4"/>
    </row>
    <row r="49" spans="1:15" ht="15" x14ac:dyDescent="0.25">
      <c r="A49" s="320">
        <v>719674</v>
      </c>
      <c r="B49" s="319" t="s">
        <v>856</v>
      </c>
      <c r="C49" s="331">
        <v>41100</v>
      </c>
      <c r="D49" s="331">
        <v>33535</v>
      </c>
      <c r="E49" s="331">
        <v>74635</v>
      </c>
      <c r="F49" s="331">
        <v>2471940898</v>
      </c>
      <c r="G49" s="331">
        <v>2436274152</v>
      </c>
      <c r="H49" s="331">
        <v>4908215050</v>
      </c>
      <c r="I49" s="331">
        <v>-10615220</v>
      </c>
      <c r="J49" s="319" t="s">
        <v>219</v>
      </c>
      <c r="K49" s="319" t="s">
        <v>771</v>
      </c>
      <c r="L49" s="319" t="s">
        <v>171</v>
      </c>
      <c r="M49" s="319" t="s">
        <v>154</v>
      </c>
      <c r="N49" s="2"/>
      <c r="O49" s="4"/>
    </row>
    <row r="50" spans="1:15" ht="15" x14ac:dyDescent="0.25">
      <c r="A50" s="320">
        <v>391482</v>
      </c>
      <c r="B50" s="319" t="s">
        <v>238</v>
      </c>
      <c r="C50" s="331">
        <v>38646</v>
      </c>
      <c r="D50" s="331">
        <v>35451</v>
      </c>
      <c r="E50" s="331">
        <v>74097</v>
      </c>
      <c r="F50" s="331">
        <v>1293178957</v>
      </c>
      <c r="G50" s="331">
        <v>1513960491</v>
      </c>
      <c r="H50" s="331">
        <v>2807139448</v>
      </c>
      <c r="I50" s="331">
        <v>-19114310</v>
      </c>
      <c r="J50" s="319" t="s">
        <v>159</v>
      </c>
      <c r="K50" s="319" t="s">
        <v>765</v>
      </c>
      <c r="L50" s="319" t="s">
        <v>178</v>
      </c>
      <c r="M50" s="319" t="s">
        <v>154</v>
      </c>
      <c r="N50" s="2"/>
      <c r="O50" s="4"/>
    </row>
    <row r="51" spans="1:15" ht="15" x14ac:dyDescent="0.25">
      <c r="A51" s="320">
        <v>229922</v>
      </c>
      <c r="B51" s="319" t="s">
        <v>19</v>
      </c>
      <c r="C51" s="331">
        <v>36138</v>
      </c>
      <c r="D51" s="331">
        <v>36214</v>
      </c>
      <c r="E51" s="331">
        <v>72352</v>
      </c>
      <c r="F51" s="331">
        <v>1924968843</v>
      </c>
      <c r="G51" s="331">
        <v>2357475262</v>
      </c>
      <c r="H51" s="331">
        <v>4282444105</v>
      </c>
      <c r="I51" s="331">
        <v>-22431618</v>
      </c>
      <c r="J51" s="319" t="s">
        <v>1051</v>
      </c>
      <c r="K51" s="319" t="s">
        <v>771</v>
      </c>
      <c r="L51" s="319" t="s">
        <v>209</v>
      </c>
      <c r="M51" s="319" t="s">
        <v>154</v>
      </c>
      <c r="N51" s="2"/>
      <c r="O51" s="4"/>
    </row>
    <row r="52" spans="1:15" ht="15" x14ac:dyDescent="0.25">
      <c r="A52" s="320">
        <v>978981</v>
      </c>
      <c r="B52" s="319" t="s">
        <v>857</v>
      </c>
      <c r="C52" s="331">
        <v>32067</v>
      </c>
      <c r="D52" s="331">
        <v>39886</v>
      </c>
      <c r="E52" s="331">
        <v>71953</v>
      </c>
      <c r="F52" s="331">
        <v>1461584689</v>
      </c>
      <c r="G52" s="331">
        <v>2365374675</v>
      </c>
      <c r="H52" s="331">
        <v>3826959364</v>
      </c>
      <c r="I52" s="331">
        <v>34470936</v>
      </c>
      <c r="J52" s="319" t="s">
        <v>1048</v>
      </c>
      <c r="K52" s="319" t="s">
        <v>771</v>
      </c>
      <c r="L52" s="319" t="s">
        <v>171</v>
      </c>
      <c r="M52" s="319" t="s">
        <v>154</v>
      </c>
      <c r="N52" s="2"/>
      <c r="O52" s="4"/>
    </row>
    <row r="53" spans="1:15" s="141" customFormat="1" ht="15" x14ac:dyDescent="0.25">
      <c r="A53" s="399">
        <v>430975</v>
      </c>
      <c r="B53" s="400" t="s">
        <v>245</v>
      </c>
      <c r="C53" s="401">
        <v>40773</v>
      </c>
      <c r="D53" s="401">
        <v>30083</v>
      </c>
      <c r="E53" s="401">
        <v>70856</v>
      </c>
      <c r="F53" s="401">
        <v>6677040965</v>
      </c>
      <c r="G53" s="401">
        <v>5655745405</v>
      </c>
      <c r="H53" s="401">
        <v>12332786370</v>
      </c>
      <c r="I53" s="401">
        <v>-13705854</v>
      </c>
      <c r="J53" s="400" t="s">
        <v>159</v>
      </c>
      <c r="K53" s="400" t="s">
        <v>765</v>
      </c>
      <c r="L53" s="400" t="s">
        <v>191</v>
      </c>
      <c r="M53" s="400" t="s">
        <v>154</v>
      </c>
      <c r="N53" s="20"/>
    </row>
    <row r="54" spans="1:15" ht="15" x14ac:dyDescent="0.25">
      <c r="A54" s="320">
        <v>740274</v>
      </c>
      <c r="B54" s="319" t="s">
        <v>1092</v>
      </c>
      <c r="C54" s="331">
        <v>32467</v>
      </c>
      <c r="D54" s="331">
        <v>35433</v>
      </c>
      <c r="E54" s="331">
        <v>67900</v>
      </c>
      <c r="F54" s="331">
        <v>4451884678</v>
      </c>
      <c r="G54" s="331">
        <v>5625410654</v>
      </c>
      <c r="H54" s="331">
        <v>10077295331</v>
      </c>
      <c r="I54" s="331">
        <v>46121765</v>
      </c>
      <c r="J54" s="319" t="s">
        <v>181</v>
      </c>
      <c r="K54" s="319" t="s">
        <v>771</v>
      </c>
      <c r="L54" s="319" t="s">
        <v>323</v>
      </c>
      <c r="M54" s="319" t="s">
        <v>68</v>
      </c>
      <c r="N54" s="2"/>
      <c r="O54" s="4"/>
    </row>
    <row r="55" spans="1:15" ht="15" x14ac:dyDescent="0.25">
      <c r="A55" s="320">
        <v>498972</v>
      </c>
      <c r="B55" s="319" t="s">
        <v>241</v>
      </c>
      <c r="C55" s="331">
        <v>39143</v>
      </c>
      <c r="D55" s="331">
        <v>28183</v>
      </c>
      <c r="E55" s="331">
        <v>67326</v>
      </c>
      <c r="F55" s="331">
        <v>3721311520</v>
      </c>
      <c r="G55" s="331">
        <v>3158112230</v>
      </c>
      <c r="H55" s="331">
        <v>6879423750</v>
      </c>
      <c r="I55" s="331">
        <v>-13304093</v>
      </c>
      <c r="J55" s="319" t="s">
        <v>1022</v>
      </c>
      <c r="K55" s="319" t="s">
        <v>765</v>
      </c>
      <c r="L55" s="319" t="s">
        <v>178</v>
      </c>
      <c r="M55" s="319" t="s">
        <v>154</v>
      </c>
      <c r="N55" s="2"/>
      <c r="O55" s="4"/>
    </row>
    <row r="56" spans="1:15" ht="15" x14ac:dyDescent="0.25">
      <c r="A56" s="320">
        <v>984187</v>
      </c>
      <c r="B56" s="319" t="s">
        <v>358</v>
      </c>
      <c r="C56" s="331">
        <v>32441</v>
      </c>
      <c r="D56" s="331">
        <v>34700</v>
      </c>
      <c r="E56" s="331">
        <v>67141</v>
      </c>
      <c r="F56" s="331">
        <v>1762942660</v>
      </c>
      <c r="G56" s="331">
        <v>2264522535</v>
      </c>
      <c r="H56" s="331">
        <v>4027465194</v>
      </c>
      <c r="I56" s="331">
        <v>-31617777</v>
      </c>
      <c r="J56" s="319" t="s">
        <v>181</v>
      </c>
      <c r="K56" s="319" t="s">
        <v>771</v>
      </c>
      <c r="L56" s="319" t="s">
        <v>176</v>
      </c>
      <c r="M56" s="319" t="s">
        <v>68</v>
      </c>
      <c r="N56" s="2"/>
      <c r="O56" s="4"/>
    </row>
    <row r="57" spans="1:15" ht="15" x14ac:dyDescent="0.25">
      <c r="A57" s="320">
        <v>140673</v>
      </c>
      <c r="B57" s="319" t="s">
        <v>199</v>
      </c>
      <c r="C57" s="331">
        <v>31682</v>
      </c>
      <c r="D57" s="331">
        <v>31889</v>
      </c>
      <c r="E57" s="331">
        <v>63571</v>
      </c>
      <c r="F57" s="331">
        <v>1155355790</v>
      </c>
      <c r="G57" s="331">
        <v>1401483910</v>
      </c>
      <c r="H57" s="331">
        <v>2556839700</v>
      </c>
      <c r="I57" s="331">
        <v>-6188410</v>
      </c>
      <c r="J57" s="319" t="s">
        <v>215</v>
      </c>
      <c r="K57" s="319" t="s">
        <v>771</v>
      </c>
      <c r="L57" s="319" t="s">
        <v>178</v>
      </c>
      <c r="M57" s="319" t="s">
        <v>154</v>
      </c>
      <c r="N57" s="2"/>
      <c r="O57" s="4"/>
    </row>
    <row r="58" spans="1:15" ht="15" x14ac:dyDescent="0.25">
      <c r="A58" s="320">
        <v>215996</v>
      </c>
      <c r="B58" s="319" t="s">
        <v>249</v>
      </c>
      <c r="C58" s="331">
        <v>32115</v>
      </c>
      <c r="D58" s="331">
        <v>28897</v>
      </c>
      <c r="E58" s="331">
        <v>61012</v>
      </c>
      <c r="F58" s="331">
        <v>2938076258</v>
      </c>
      <c r="G58" s="331">
        <v>3217710346</v>
      </c>
      <c r="H58" s="331">
        <v>6155786604</v>
      </c>
      <c r="I58" s="331">
        <v>16715083</v>
      </c>
      <c r="J58" s="319" t="s">
        <v>1022</v>
      </c>
      <c r="K58" s="319" t="s">
        <v>765</v>
      </c>
      <c r="L58" s="319" t="s">
        <v>191</v>
      </c>
      <c r="M58" s="319" t="s">
        <v>154</v>
      </c>
      <c r="N58" s="2"/>
      <c r="O58" s="4"/>
    </row>
    <row r="59" spans="1:15" ht="15" x14ac:dyDescent="0.25">
      <c r="A59" s="320">
        <v>501981</v>
      </c>
      <c r="B59" s="319" t="s">
        <v>505</v>
      </c>
      <c r="C59" s="331">
        <v>27696</v>
      </c>
      <c r="D59" s="331">
        <v>32760</v>
      </c>
      <c r="E59" s="331">
        <v>60456</v>
      </c>
      <c r="F59" s="331">
        <v>1214688532</v>
      </c>
      <c r="G59" s="331">
        <v>1789422811</v>
      </c>
      <c r="H59" s="331">
        <v>3004111342</v>
      </c>
      <c r="I59" s="331">
        <v>-24306578</v>
      </c>
      <c r="J59" s="319" t="s">
        <v>295</v>
      </c>
      <c r="K59" s="319" t="s">
        <v>771</v>
      </c>
      <c r="L59" s="319" t="s">
        <v>176</v>
      </c>
      <c r="M59" s="319" t="s">
        <v>68</v>
      </c>
      <c r="N59" s="2"/>
      <c r="O59" s="4"/>
    </row>
    <row r="60" spans="1:15" ht="15" x14ac:dyDescent="0.25">
      <c r="A60" s="320">
        <v>248161</v>
      </c>
      <c r="B60" s="319" t="s">
        <v>205</v>
      </c>
      <c r="C60" s="331">
        <v>26033</v>
      </c>
      <c r="D60" s="331">
        <v>34323</v>
      </c>
      <c r="E60" s="331">
        <v>60356</v>
      </c>
      <c r="F60" s="331">
        <v>1471187164</v>
      </c>
      <c r="G60" s="331">
        <v>2302369776</v>
      </c>
      <c r="H60" s="331">
        <v>3773556940</v>
      </c>
      <c r="I60" s="331">
        <v>14539655</v>
      </c>
      <c r="J60" s="319" t="s">
        <v>1047</v>
      </c>
      <c r="K60" s="319" t="s">
        <v>771</v>
      </c>
      <c r="L60" s="319" t="s">
        <v>178</v>
      </c>
      <c r="M60" s="319" t="s">
        <v>154</v>
      </c>
      <c r="N60" s="2"/>
      <c r="O60" s="4"/>
    </row>
    <row r="61" spans="1:15" ht="15" x14ac:dyDescent="0.25">
      <c r="A61" s="320">
        <v>896761</v>
      </c>
      <c r="B61" s="319" t="s">
        <v>316</v>
      </c>
      <c r="C61" s="331">
        <v>29487</v>
      </c>
      <c r="D61" s="331">
        <v>29356</v>
      </c>
      <c r="E61" s="331">
        <v>58843</v>
      </c>
      <c r="F61" s="331">
        <v>1536053132</v>
      </c>
      <c r="G61" s="331">
        <v>1891795394</v>
      </c>
      <c r="H61" s="331">
        <v>3427848526</v>
      </c>
      <c r="I61" s="331">
        <v>21218870</v>
      </c>
      <c r="J61" s="319" t="s">
        <v>1046</v>
      </c>
      <c r="K61" s="319" t="s">
        <v>771</v>
      </c>
      <c r="L61" s="319" t="s">
        <v>171</v>
      </c>
      <c r="M61" s="319" t="s">
        <v>154</v>
      </c>
      <c r="N61" s="2"/>
      <c r="O61" s="4"/>
    </row>
    <row r="62" spans="1:15" ht="15" x14ac:dyDescent="0.25">
      <c r="A62" s="320">
        <v>224493</v>
      </c>
      <c r="B62" s="319" t="s">
        <v>221</v>
      </c>
      <c r="C62" s="331">
        <v>37171</v>
      </c>
      <c r="D62" s="331">
        <v>21480</v>
      </c>
      <c r="E62" s="331">
        <v>58651</v>
      </c>
      <c r="F62" s="331">
        <v>2179037241</v>
      </c>
      <c r="G62" s="331">
        <v>1362376816</v>
      </c>
      <c r="H62" s="331">
        <v>3541414056</v>
      </c>
      <c r="I62" s="331">
        <v>-10471743</v>
      </c>
      <c r="J62" s="319" t="s">
        <v>1023</v>
      </c>
      <c r="K62" s="319" t="s">
        <v>768</v>
      </c>
      <c r="L62" s="319" t="s">
        <v>171</v>
      </c>
      <c r="M62" s="319" t="s">
        <v>154</v>
      </c>
      <c r="N62" s="2"/>
      <c r="O62" s="4"/>
    </row>
    <row r="63" spans="1:15" ht="15" customHeight="1" x14ac:dyDescent="0.25">
      <c r="A63" s="320">
        <v>964171</v>
      </c>
      <c r="B63" s="319" t="s">
        <v>242</v>
      </c>
      <c r="C63" s="331">
        <v>29816</v>
      </c>
      <c r="D63" s="331">
        <v>28427</v>
      </c>
      <c r="E63" s="331">
        <v>58243</v>
      </c>
      <c r="F63" s="331">
        <v>1194230667</v>
      </c>
      <c r="G63" s="331">
        <v>1370019391</v>
      </c>
      <c r="H63" s="331">
        <v>2564250058</v>
      </c>
      <c r="I63" s="331">
        <v>9026090</v>
      </c>
      <c r="J63" s="319" t="s">
        <v>215</v>
      </c>
      <c r="K63" s="319" t="s">
        <v>771</v>
      </c>
      <c r="L63" s="319" t="s">
        <v>171</v>
      </c>
      <c r="M63" s="319" t="s">
        <v>154</v>
      </c>
      <c r="N63" s="2"/>
      <c r="O63" s="4"/>
    </row>
    <row r="64" spans="1:15" ht="15" x14ac:dyDescent="0.25">
      <c r="A64" s="320">
        <v>140491</v>
      </c>
      <c r="B64" s="319" t="s">
        <v>99</v>
      </c>
      <c r="C64" s="331">
        <v>23205</v>
      </c>
      <c r="D64" s="331">
        <v>35020</v>
      </c>
      <c r="E64" s="331">
        <v>58225</v>
      </c>
      <c r="F64" s="331">
        <v>1870849944</v>
      </c>
      <c r="G64" s="331">
        <v>3203139268</v>
      </c>
      <c r="H64" s="331">
        <v>5073989211</v>
      </c>
      <c r="I64" s="331">
        <v>2437214</v>
      </c>
      <c r="J64" s="319" t="s">
        <v>318</v>
      </c>
      <c r="K64" s="319" t="s">
        <v>771</v>
      </c>
      <c r="L64" s="319" t="s">
        <v>339</v>
      </c>
      <c r="M64" s="319" t="s">
        <v>154</v>
      </c>
      <c r="N64" s="2"/>
      <c r="O64" s="4"/>
    </row>
    <row r="65" spans="1:15" ht="15" x14ac:dyDescent="0.25">
      <c r="A65" s="320">
        <v>819557</v>
      </c>
      <c r="B65" s="319" t="s">
        <v>303</v>
      </c>
      <c r="C65" s="331">
        <v>34853</v>
      </c>
      <c r="D65" s="331">
        <v>22979</v>
      </c>
      <c r="E65" s="331">
        <v>57832</v>
      </c>
      <c r="F65" s="331">
        <v>4517208803</v>
      </c>
      <c r="G65" s="331">
        <v>3456445590</v>
      </c>
      <c r="H65" s="331">
        <v>7973654393</v>
      </c>
      <c r="I65" s="331">
        <v>22090823</v>
      </c>
      <c r="J65" s="319" t="s">
        <v>1022</v>
      </c>
      <c r="K65" s="319" t="s">
        <v>765</v>
      </c>
      <c r="L65" s="319" t="s">
        <v>171</v>
      </c>
      <c r="M65" s="319" t="s">
        <v>154</v>
      </c>
      <c r="N65" s="2"/>
      <c r="O65" s="4"/>
    </row>
    <row r="66" spans="1:15" ht="15" x14ac:dyDescent="0.25">
      <c r="A66" s="320">
        <v>384818</v>
      </c>
      <c r="B66" s="319" t="s">
        <v>1037</v>
      </c>
      <c r="C66" s="331">
        <v>30010</v>
      </c>
      <c r="D66" s="331">
        <v>27781</v>
      </c>
      <c r="E66" s="331">
        <v>57791</v>
      </c>
      <c r="F66" s="331">
        <v>1709502951</v>
      </c>
      <c r="G66" s="331">
        <v>1818920964</v>
      </c>
      <c r="H66" s="331">
        <v>3528423916</v>
      </c>
      <c r="I66" s="331">
        <v>-14723103</v>
      </c>
      <c r="J66" s="319" t="s">
        <v>181</v>
      </c>
      <c r="K66" s="319" t="s">
        <v>771</v>
      </c>
      <c r="L66" s="319" t="s">
        <v>1062</v>
      </c>
      <c r="M66" s="319" t="s">
        <v>68</v>
      </c>
      <c r="N66" s="2"/>
      <c r="O66" s="4"/>
    </row>
    <row r="67" spans="1:15" ht="15" x14ac:dyDescent="0.25">
      <c r="A67" s="320">
        <v>574293</v>
      </c>
      <c r="B67" s="319" t="s">
        <v>170</v>
      </c>
      <c r="C67" s="331">
        <v>28275</v>
      </c>
      <c r="D67" s="331">
        <v>26909</v>
      </c>
      <c r="E67" s="331">
        <v>55184</v>
      </c>
      <c r="F67" s="331">
        <v>1448989341</v>
      </c>
      <c r="G67" s="331">
        <v>1770897936</v>
      </c>
      <c r="H67" s="331">
        <v>3219887277</v>
      </c>
      <c r="I67" s="331">
        <v>-43585894</v>
      </c>
      <c r="J67" s="319" t="s">
        <v>1040</v>
      </c>
      <c r="K67" s="319" t="s">
        <v>772</v>
      </c>
      <c r="L67" s="319" t="s">
        <v>168</v>
      </c>
      <c r="M67" s="319" t="s">
        <v>154</v>
      </c>
      <c r="N67" s="2"/>
      <c r="O67" s="4"/>
    </row>
    <row r="68" spans="1:15" ht="15" x14ac:dyDescent="0.25">
      <c r="A68" s="320">
        <v>749192</v>
      </c>
      <c r="B68" s="319" t="s">
        <v>213</v>
      </c>
      <c r="C68" s="331">
        <v>32175</v>
      </c>
      <c r="D68" s="331">
        <v>22263</v>
      </c>
      <c r="E68" s="331">
        <v>54438</v>
      </c>
      <c r="F68" s="331">
        <v>1597061441</v>
      </c>
      <c r="G68" s="331">
        <v>1355828385</v>
      </c>
      <c r="H68" s="331">
        <v>2952889826</v>
      </c>
      <c r="I68" s="331">
        <v>-7777492</v>
      </c>
      <c r="J68" s="319" t="s">
        <v>1024</v>
      </c>
      <c r="K68" s="319" t="s">
        <v>768</v>
      </c>
      <c r="L68" s="319" t="s">
        <v>171</v>
      </c>
      <c r="M68" s="319" t="s">
        <v>154</v>
      </c>
      <c r="N68" s="2"/>
      <c r="O68" s="4"/>
    </row>
    <row r="69" spans="1:15" ht="15" x14ac:dyDescent="0.25">
      <c r="A69" s="320">
        <v>439471</v>
      </c>
      <c r="B69" s="319" t="s">
        <v>439</v>
      </c>
      <c r="C69" s="331">
        <v>24548</v>
      </c>
      <c r="D69" s="331">
        <v>27858</v>
      </c>
      <c r="E69" s="331">
        <v>52406</v>
      </c>
      <c r="F69" s="331">
        <v>1105998741</v>
      </c>
      <c r="G69" s="331">
        <v>1605095785</v>
      </c>
      <c r="H69" s="331">
        <v>2711094526</v>
      </c>
      <c r="I69" s="331">
        <v>17536936</v>
      </c>
      <c r="J69" s="319" t="s">
        <v>253</v>
      </c>
      <c r="K69" s="319" t="s">
        <v>771</v>
      </c>
      <c r="L69" s="319" t="s">
        <v>226</v>
      </c>
      <c r="M69" s="319" t="s">
        <v>154</v>
      </c>
      <c r="N69" s="2"/>
      <c r="O69" s="4"/>
    </row>
    <row r="70" spans="1:15" ht="15" x14ac:dyDescent="0.25">
      <c r="A70" s="320">
        <v>825109</v>
      </c>
      <c r="B70" s="319" t="s">
        <v>320</v>
      </c>
      <c r="C70" s="331">
        <v>23230</v>
      </c>
      <c r="D70" s="331">
        <v>28580</v>
      </c>
      <c r="E70" s="331">
        <v>51810</v>
      </c>
      <c r="F70" s="331">
        <v>687123172</v>
      </c>
      <c r="G70" s="331">
        <v>1101426648</v>
      </c>
      <c r="H70" s="331">
        <v>1788549820</v>
      </c>
      <c r="I70" s="331">
        <v>-10702303</v>
      </c>
      <c r="J70" s="319" t="s">
        <v>321</v>
      </c>
      <c r="K70" s="319" t="s">
        <v>771</v>
      </c>
      <c r="L70" s="319" t="s">
        <v>171</v>
      </c>
      <c r="M70" s="319" t="s">
        <v>154</v>
      </c>
      <c r="N70" s="2"/>
      <c r="O70" s="4"/>
    </row>
    <row r="71" spans="1:15" ht="15" x14ac:dyDescent="0.25">
      <c r="A71" s="320">
        <v>842690</v>
      </c>
      <c r="B71" s="319" t="s">
        <v>461</v>
      </c>
      <c r="C71" s="331">
        <v>23066</v>
      </c>
      <c r="D71" s="331">
        <v>27115</v>
      </c>
      <c r="E71" s="331">
        <v>50181</v>
      </c>
      <c r="F71" s="331">
        <v>1986427205</v>
      </c>
      <c r="G71" s="331">
        <v>2838425932</v>
      </c>
      <c r="H71" s="331">
        <v>4824853137</v>
      </c>
      <c r="I71" s="331">
        <v>-18072644</v>
      </c>
      <c r="J71" s="319" t="s">
        <v>258</v>
      </c>
      <c r="K71" s="319" t="s">
        <v>771</v>
      </c>
      <c r="L71" s="319" t="s">
        <v>196</v>
      </c>
      <c r="M71" s="319" t="s">
        <v>154</v>
      </c>
      <c r="N71" s="2"/>
      <c r="O71" s="4"/>
    </row>
    <row r="72" spans="1:15" ht="15" x14ac:dyDescent="0.25">
      <c r="A72" s="320">
        <v>856682</v>
      </c>
      <c r="B72" s="319" t="s">
        <v>319</v>
      </c>
      <c r="C72" s="331">
        <v>22264</v>
      </c>
      <c r="D72" s="331">
        <v>27794</v>
      </c>
      <c r="E72" s="331">
        <v>50058</v>
      </c>
      <c r="F72" s="331">
        <v>1750851171</v>
      </c>
      <c r="G72" s="331">
        <v>2720987511</v>
      </c>
      <c r="H72" s="331">
        <v>4471838682</v>
      </c>
      <c r="I72" s="331">
        <v>-19560978</v>
      </c>
      <c r="J72" s="319" t="s">
        <v>258</v>
      </c>
      <c r="K72" s="319" t="s">
        <v>771</v>
      </c>
      <c r="L72" s="319" t="s">
        <v>171</v>
      </c>
      <c r="M72" s="319" t="s">
        <v>154</v>
      </c>
      <c r="N72" s="2"/>
      <c r="O72" s="4"/>
    </row>
    <row r="73" spans="1:15" ht="15" x14ac:dyDescent="0.25">
      <c r="A73" s="320">
        <v>952010</v>
      </c>
      <c r="B73" s="319" t="s">
        <v>378</v>
      </c>
      <c r="C73" s="331">
        <v>22524</v>
      </c>
      <c r="D73" s="331">
        <v>27472</v>
      </c>
      <c r="E73" s="331">
        <v>49996</v>
      </c>
      <c r="F73" s="331">
        <v>2121595638</v>
      </c>
      <c r="G73" s="331">
        <v>3146952978</v>
      </c>
      <c r="H73" s="331">
        <v>5268548616</v>
      </c>
      <c r="I73" s="331">
        <v>-21597748</v>
      </c>
      <c r="J73" s="319" t="s">
        <v>258</v>
      </c>
      <c r="K73" s="319" t="s">
        <v>771</v>
      </c>
      <c r="L73" s="319" t="s">
        <v>194</v>
      </c>
      <c r="M73" s="319" t="s">
        <v>154</v>
      </c>
      <c r="N73" s="2"/>
      <c r="O73" s="4"/>
    </row>
    <row r="74" spans="1:15" ht="15" x14ac:dyDescent="0.25">
      <c r="A74" s="320">
        <v>150649</v>
      </c>
      <c r="B74" s="319" t="s">
        <v>863</v>
      </c>
      <c r="C74" s="331">
        <v>22448</v>
      </c>
      <c r="D74" s="331">
        <v>26560</v>
      </c>
      <c r="E74" s="331">
        <v>49008</v>
      </c>
      <c r="F74" s="331">
        <v>1147334974</v>
      </c>
      <c r="G74" s="331">
        <v>1663193011</v>
      </c>
      <c r="H74" s="331">
        <v>2810527985</v>
      </c>
      <c r="I74" s="331">
        <v>-17445696</v>
      </c>
      <c r="J74" s="319" t="s">
        <v>1047</v>
      </c>
      <c r="K74" s="319" t="s">
        <v>771</v>
      </c>
      <c r="L74" s="319" t="s">
        <v>171</v>
      </c>
      <c r="M74" s="319" t="s">
        <v>154</v>
      </c>
      <c r="N74" s="2"/>
      <c r="O74" s="4"/>
    </row>
    <row r="75" spans="1:15" ht="15" x14ac:dyDescent="0.25">
      <c r="A75" s="320">
        <v>564849</v>
      </c>
      <c r="B75" s="319" t="s">
        <v>348</v>
      </c>
      <c r="C75" s="331">
        <v>24369</v>
      </c>
      <c r="D75" s="331">
        <v>24176</v>
      </c>
      <c r="E75" s="331">
        <v>48545</v>
      </c>
      <c r="F75" s="331">
        <v>873332123</v>
      </c>
      <c r="G75" s="331">
        <v>1048123449</v>
      </c>
      <c r="H75" s="331">
        <v>1921455572</v>
      </c>
      <c r="I75" s="331">
        <v>-3982702</v>
      </c>
      <c r="J75" s="319" t="s">
        <v>215</v>
      </c>
      <c r="K75" s="319" t="s">
        <v>771</v>
      </c>
      <c r="L75" s="319" t="s">
        <v>191</v>
      </c>
      <c r="M75" s="319" t="s">
        <v>68</v>
      </c>
      <c r="N75" s="2"/>
      <c r="O75" s="4"/>
    </row>
    <row r="76" spans="1:15" ht="15" x14ac:dyDescent="0.25">
      <c r="A76" s="320">
        <v>286294</v>
      </c>
      <c r="B76" s="319" t="s">
        <v>349</v>
      </c>
      <c r="C76" s="331">
        <v>22342</v>
      </c>
      <c r="D76" s="331">
        <v>24065</v>
      </c>
      <c r="E76" s="331">
        <v>46407</v>
      </c>
      <c r="F76" s="331">
        <v>1474472047</v>
      </c>
      <c r="G76" s="331">
        <v>1957646465</v>
      </c>
      <c r="H76" s="331">
        <v>3432118512</v>
      </c>
      <c r="I76" s="331">
        <v>1723232</v>
      </c>
      <c r="J76" s="319" t="s">
        <v>318</v>
      </c>
      <c r="K76" s="319" t="s">
        <v>771</v>
      </c>
      <c r="L76" s="319" t="s">
        <v>191</v>
      </c>
      <c r="M76" s="319" t="s">
        <v>68</v>
      </c>
      <c r="N76" s="2"/>
      <c r="O76" s="4"/>
    </row>
    <row r="77" spans="1:15" ht="15" x14ac:dyDescent="0.25">
      <c r="A77" s="320">
        <v>538462</v>
      </c>
      <c r="B77" s="319" t="s">
        <v>214</v>
      </c>
      <c r="C77" s="331">
        <v>19931</v>
      </c>
      <c r="D77" s="331">
        <v>26035</v>
      </c>
      <c r="E77" s="331">
        <v>45966</v>
      </c>
      <c r="F77" s="331">
        <v>866804737</v>
      </c>
      <c r="G77" s="331">
        <v>1404425132</v>
      </c>
      <c r="H77" s="331">
        <v>2271229870</v>
      </c>
      <c r="I77" s="331">
        <v>-15113016</v>
      </c>
      <c r="J77" s="319" t="s">
        <v>215</v>
      </c>
      <c r="K77" s="319" t="s">
        <v>771</v>
      </c>
      <c r="L77" s="319" t="s">
        <v>168</v>
      </c>
      <c r="M77" s="319" t="s">
        <v>154</v>
      </c>
      <c r="N77" s="2"/>
      <c r="O77" s="4"/>
    </row>
    <row r="78" spans="1:15" ht="15" x14ac:dyDescent="0.25">
      <c r="A78" s="320">
        <v>428250</v>
      </c>
      <c r="B78" s="319" t="s">
        <v>874</v>
      </c>
      <c r="C78" s="331">
        <v>22286</v>
      </c>
      <c r="D78" s="331">
        <v>23366</v>
      </c>
      <c r="E78" s="331">
        <v>45652</v>
      </c>
      <c r="F78" s="331">
        <v>5042327495</v>
      </c>
      <c r="G78" s="331">
        <v>6436585975</v>
      </c>
      <c r="H78" s="331">
        <v>11478913470</v>
      </c>
      <c r="I78" s="331">
        <v>-72594314</v>
      </c>
      <c r="J78" s="319" t="s">
        <v>181</v>
      </c>
      <c r="K78" s="319" t="s">
        <v>771</v>
      </c>
      <c r="L78" s="319" t="s">
        <v>247</v>
      </c>
      <c r="M78" s="319" t="s">
        <v>154</v>
      </c>
      <c r="N78" s="2"/>
      <c r="O78" s="4"/>
    </row>
    <row r="79" spans="1:15" ht="15" customHeight="1" x14ac:dyDescent="0.25">
      <c r="A79" s="320">
        <v>717611</v>
      </c>
      <c r="B79" s="319" t="s">
        <v>190</v>
      </c>
      <c r="C79" s="331">
        <v>25163</v>
      </c>
      <c r="D79" s="331">
        <v>19613</v>
      </c>
      <c r="E79" s="331">
        <v>44776</v>
      </c>
      <c r="F79" s="331">
        <v>914613140</v>
      </c>
      <c r="G79" s="331">
        <v>931379460</v>
      </c>
      <c r="H79" s="331">
        <v>1845992600</v>
      </c>
      <c r="I79" s="331">
        <v>-611925544</v>
      </c>
      <c r="J79" s="319" t="s">
        <v>1031</v>
      </c>
      <c r="K79" s="319" t="s">
        <v>772</v>
      </c>
      <c r="L79" s="319" t="s">
        <v>171</v>
      </c>
      <c r="M79" s="319" t="s">
        <v>154</v>
      </c>
      <c r="N79" s="2"/>
      <c r="O79" s="4"/>
    </row>
    <row r="80" spans="1:15" ht="15" x14ac:dyDescent="0.25">
      <c r="A80" s="320">
        <v>269357</v>
      </c>
      <c r="B80" s="319" t="s">
        <v>257</v>
      </c>
      <c r="C80" s="331">
        <v>19325</v>
      </c>
      <c r="D80" s="331">
        <v>25401</v>
      </c>
      <c r="E80" s="331">
        <v>44726</v>
      </c>
      <c r="F80" s="331">
        <v>1515461184</v>
      </c>
      <c r="G80" s="331">
        <v>2463877370</v>
      </c>
      <c r="H80" s="331">
        <v>3979338554</v>
      </c>
      <c r="I80" s="331">
        <v>-30088276</v>
      </c>
      <c r="J80" s="319" t="s">
        <v>258</v>
      </c>
      <c r="K80" s="319" t="s">
        <v>771</v>
      </c>
      <c r="L80" s="319" t="s">
        <v>168</v>
      </c>
      <c r="M80" s="319" t="s">
        <v>154</v>
      </c>
      <c r="N80" s="2"/>
      <c r="O80" s="4"/>
    </row>
    <row r="81" spans="1:15" ht="15" x14ac:dyDescent="0.25">
      <c r="A81" s="320">
        <v>749788</v>
      </c>
      <c r="B81" s="319" t="s">
        <v>478</v>
      </c>
      <c r="C81" s="331">
        <v>23467</v>
      </c>
      <c r="D81" s="331">
        <v>20632</v>
      </c>
      <c r="E81" s="331">
        <v>44099</v>
      </c>
      <c r="F81" s="331">
        <v>1211052586</v>
      </c>
      <c r="G81" s="331">
        <v>1281403402</v>
      </c>
      <c r="H81" s="331">
        <v>2492455989</v>
      </c>
      <c r="I81" s="331">
        <v>-9272205</v>
      </c>
      <c r="J81" s="319" t="s">
        <v>1051</v>
      </c>
      <c r="K81" s="319" t="s">
        <v>771</v>
      </c>
      <c r="L81" s="319" t="s">
        <v>166</v>
      </c>
      <c r="M81" s="319" t="s">
        <v>154</v>
      </c>
      <c r="N81" s="2"/>
      <c r="O81" s="4"/>
    </row>
    <row r="82" spans="1:15" ht="15" x14ac:dyDescent="0.25">
      <c r="A82" s="320">
        <v>874032</v>
      </c>
      <c r="B82" s="319" t="s">
        <v>649</v>
      </c>
      <c r="C82" s="331">
        <v>22013</v>
      </c>
      <c r="D82" s="331">
        <v>21756</v>
      </c>
      <c r="E82" s="331">
        <v>43769</v>
      </c>
      <c r="F82" s="331">
        <v>2022562553</v>
      </c>
      <c r="G82" s="331">
        <v>2485439783</v>
      </c>
      <c r="H82" s="331">
        <v>4508002336</v>
      </c>
      <c r="I82" s="331">
        <v>-55949392</v>
      </c>
      <c r="J82" s="319" t="s">
        <v>181</v>
      </c>
      <c r="K82" s="319" t="s">
        <v>771</v>
      </c>
      <c r="L82" s="319" t="s">
        <v>650</v>
      </c>
      <c r="M82" s="319" t="s">
        <v>154</v>
      </c>
      <c r="N82" s="2"/>
      <c r="O82" s="4"/>
    </row>
    <row r="83" spans="1:15" ht="15" customHeight="1" x14ac:dyDescent="0.25">
      <c r="A83" s="320">
        <v>249995</v>
      </c>
      <c r="B83" s="319" t="s">
        <v>497</v>
      </c>
      <c r="C83" s="331">
        <v>16463</v>
      </c>
      <c r="D83" s="331">
        <v>25088</v>
      </c>
      <c r="E83" s="331">
        <v>41551</v>
      </c>
      <c r="F83" s="331">
        <v>844222950</v>
      </c>
      <c r="G83" s="331">
        <v>1709156503</v>
      </c>
      <c r="H83" s="331">
        <v>2553379452</v>
      </c>
      <c r="I83" s="331">
        <v>-24425986</v>
      </c>
      <c r="J83" s="319" t="s">
        <v>373</v>
      </c>
      <c r="K83" s="319" t="s">
        <v>771</v>
      </c>
      <c r="L83" s="319" t="s">
        <v>188</v>
      </c>
      <c r="M83" s="319" t="s">
        <v>154</v>
      </c>
      <c r="N83" s="2"/>
      <c r="O83" s="4"/>
    </row>
    <row r="84" spans="1:15" ht="15" x14ac:dyDescent="0.25">
      <c r="A84" s="320">
        <v>752204</v>
      </c>
      <c r="B84" s="319" t="s">
        <v>390</v>
      </c>
      <c r="C84" s="331">
        <v>17647</v>
      </c>
      <c r="D84" s="331">
        <v>22795</v>
      </c>
      <c r="E84" s="331">
        <v>40442</v>
      </c>
      <c r="F84" s="331">
        <v>642203568</v>
      </c>
      <c r="G84" s="331">
        <v>1124942479</v>
      </c>
      <c r="H84" s="331">
        <v>1767146047</v>
      </c>
      <c r="I84" s="331">
        <v>-13504981</v>
      </c>
      <c r="J84" s="319" t="s">
        <v>373</v>
      </c>
      <c r="K84" s="319" t="s">
        <v>771</v>
      </c>
      <c r="L84" s="319" t="s">
        <v>171</v>
      </c>
      <c r="M84" s="319" t="s">
        <v>154</v>
      </c>
      <c r="N84" s="2"/>
      <c r="O84" s="4"/>
    </row>
    <row r="85" spans="1:15" ht="15" x14ac:dyDescent="0.25">
      <c r="A85" s="320">
        <v>502633</v>
      </c>
      <c r="B85" s="319" t="s">
        <v>254</v>
      </c>
      <c r="C85" s="331">
        <v>23081</v>
      </c>
      <c r="D85" s="331">
        <v>16651</v>
      </c>
      <c r="E85" s="331">
        <v>39732</v>
      </c>
      <c r="F85" s="331">
        <v>1104113083</v>
      </c>
      <c r="G85" s="331">
        <v>939180871</v>
      </c>
      <c r="H85" s="331">
        <v>2043293954</v>
      </c>
      <c r="I85" s="331">
        <v>-15730206</v>
      </c>
      <c r="J85" s="319" t="s">
        <v>159</v>
      </c>
      <c r="K85" s="319" t="s">
        <v>765</v>
      </c>
      <c r="L85" s="319" t="s">
        <v>191</v>
      </c>
      <c r="M85" s="319" t="s">
        <v>154</v>
      </c>
      <c r="N85" s="2"/>
      <c r="O85" s="4"/>
    </row>
    <row r="86" spans="1:15" ht="15" x14ac:dyDescent="0.25">
      <c r="A86" s="320">
        <v>364158</v>
      </c>
      <c r="B86" s="319" t="s">
        <v>133</v>
      </c>
      <c r="C86" s="331">
        <v>16104</v>
      </c>
      <c r="D86" s="331">
        <v>23479</v>
      </c>
      <c r="E86" s="331">
        <v>39583</v>
      </c>
      <c r="F86" s="331">
        <v>996892087</v>
      </c>
      <c r="G86" s="331">
        <v>1747444003</v>
      </c>
      <c r="H86" s="331">
        <v>2744336091</v>
      </c>
      <c r="I86" s="331">
        <v>-25561591</v>
      </c>
      <c r="J86" s="319" t="s">
        <v>1051</v>
      </c>
      <c r="K86" s="319" t="s">
        <v>771</v>
      </c>
      <c r="L86" s="319" t="s">
        <v>751</v>
      </c>
      <c r="M86" s="319" t="s">
        <v>68</v>
      </c>
      <c r="N86" s="2"/>
      <c r="O86" s="4"/>
    </row>
    <row r="87" spans="1:15" ht="15" x14ac:dyDescent="0.25">
      <c r="A87" s="320">
        <v>282517</v>
      </c>
      <c r="B87" s="319" t="s">
        <v>296</v>
      </c>
      <c r="C87" s="331">
        <v>19903</v>
      </c>
      <c r="D87" s="331">
        <v>19656</v>
      </c>
      <c r="E87" s="331">
        <v>39559</v>
      </c>
      <c r="F87" s="331">
        <v>866443154</v>
      </c>
      <c r="G87" s="331">
        <v>1033540222</v>
      </c>
      <c r="H87" s="331">
        <v>1899983376</v>
      </c>
      <c r="I87" s="331">
        <v>-3302855</v>
      </c>
      <c r="J87" s="319" t="s">
        <v>181</v>
      </c>
      <c r="K87" s="319" t="s">
        <v>771</v>
      </c>
      <c r="L87" s="319" t="s">
        <v>191</v>
      </c>
      <c r="M87" s="319" t="s">
        <v>68</v>
      </c>
      <c r="N87" s="2"/>
      <c r="O87" s="4"/>
    </row>
    <row r="88" spans="1:15" ht="15" x14ac:dyDescent="0.25">
      <c r="A88" s="320">
        <v>855387</v>
      </c>
      <c r="B88" s="319" t="s">
        <v>302</v>
      </c>
      <c r="C88" s="331">
        <v>23902</v>
      </c>
      <c r="D88" s="331">
        <v>14610</v>
      </c>
      <c r="E88" s="331">
        <v>38512</v>
      </c>
      <c r="F88" s="331">
        <v>2444711061</v>
      </c>
      <c r="G88" s="331">
        <v>1706164639</v>
      </c>
      <c r="H88" s="331">
        <v>4150875701</v>
      </c>
      <c r="I88" s="331">
        <v>3789023</v>
      </c>
      <c r="J88" s="319" t="s">
        <v>159</v>
      </c>
      <c r="K88" s="319" t="s">
        <v>765</v>
      </c>
      <c r="L88" s="319" t="s">
        <v>171</v>
      </c>
      <c r="M88" s="319" t="s">
        <v>154</v>
      </c>
      <c r="N88" s="2"/>
      <c r="O88" s="4"/>
    </row>
    <row r="89" spans="1:15" ht="15" x14ac:dyDescent="0.25">
      <c r="A89" s="320">
        <v>584912</v>
      </c>
      <c r="B89" s="319" t="s">
        <v>401</v>
      </c>
      <c r="C89" s="331">
        <v>17740</v>
      </c>
      <c r="D89" s="331">
        <v>20045</v>
      </c>
      <c r="E89" s="331">
        <v>37785</v>
      </c>
      <c r="F89" s="331">
        <v>597873294</v>
      </c>
      <c r="G89" s="331">
        <v>877496487</v>
      </c>
      <c r="H89" s="331">
        <v>1475369781</v>
      </c>
      <c r="I89" s="331">
        <v>-19003680</v>
      </c>
      <c r="J89" s="319" t="s">
        <v>258</v>
      </c>
      <c r="K89" s="319" t="s">
        <v>771</v>
      </c>
      <c r="L89" s="319" t="s">
        <v>188</v>
      </c>
      <c r="M89" s="319" t="s">
        <v>154</v>
      </c>
      <c r="N89" s="2"/>
      <c r="O89" s="4"/>
    </row>
    <row r="90" spans="1:15" ht="15" customHeight="1" x14ac:dyDescent="0.25">
      <c r="A90" s="320">
        <v>114819</v>
      </c>
      <c r="B90" s="319" t="s">
        <v>871</v>
      </c>
      <c r="C90" s="331">
        <v>22254</v>
      </c>
      <c r="D90" s="331">
        <v>15329</v>
      </c>
      <c r="E90" s="331">
        <v>37583</v>
      </c>
      <c r="F90" s="331">
        <v>1591443364</v>
      </c>
      <c r="G90" s="331">
        <v>1233748637</v>
      </c>
      <c r="H90" s="331">
        <v>2825192001</v>
      </c>
      <c r="I90" s="331">
        <v>-9741883</v>
      </c>
      <c r="J90" s="319" t="s">
        <v>181</v>
      </c>
      <c r="K90" s="319" t="s">
        <v>771</v>
      </c>
      <c r="L90" s="319" t="s">
        <v>171</v>
      </c>
      <c r="M90" s="319" t="s">
        <v>154</v>
      </c>
      <c r="N90" s="2"/>
      <c r="O90" s="4"/>
    </row>
    <row r="91" spans="1:15" ht="15" x14ac:dyDescent="0.25">
      <c r="A91" s="320">
        <v>465914</v>
      </c>
      <c r="B91" s="319" t="s">
        <v>236</v>
      </c>
      <c r="C91" s="331">
        <v>18035</v>
      </c>
      <c r="D91" s="331">
        <v>17947</v>
      </c>
      <c r="E91" s="331">
        <v>35982</v>
      </c>
      <c r="F91" s="331">
        <v>1132631634</v>
      </c>
      <c r="G91" s="331">
        <v>1388950499</v>
      </c>
      <c r="H91" s="331">
        <v>2521582133</v>
      </c>
      <c r="I91" s="331">
        <v>-1402055</v>
      </c>
      <c r="J91" s="319" t="s">
        <v>219</v>
      </c>
      <c r="K91" s="319" t="s">
        <v>771</v>
      </c>
      <c r="L91" s="319" t="s">
        <v>888</v>
      </c>
      <c r="M91" s="319" t="s">
        <v>154</v>
      </c>
      <c r="N91" s="2"/>
      <c r="O91" s="4"/>
    </row>
    <row r="92" spans="1:15" ht="15" x14ac:dyDescent="0.25">
      <c r="A92" s="320">
        <v>194092</v>
      </c>
      <c r="B92" s="319" t="s">
        <v>397</v>
      </c>
      <c r="C92" s="331">
        <v>16697</v>
      </c>
      <c r="D92" s="331">
        <v>19152</v>
      </c>
      <c r="E92" s="331">
        <v>35849</v>
      </c>
      <c r="F92" s="331">
        <v>1005142078</v>
      </c>
      <c r="G92" s="331">
        <v>1475884334</v>
      </c>
      <c r="H92" s="331">
        <v>2481026412</v>
      </c>
      <c r="I92" s="331">
        <v>7974758</v>
      </c>
      <c r="J92" s="319" t="s">
        <v>253</v>
      </c>
      <c r="K92" s="319" t="s">
        <v>771</v>
      </c>
      <c r="L92" s="319" t="s">
        <v>209</v>
      </c>
      <c r="M92" s="319" t="s">
        <v>154</v>
      </c>
      <c r="N92" s="2"/>
      <c r="O92" s="4"/>
    </row>
    <row r="93" spans="1:15" ht="15" x14ac:dyDescent="0.25">
      <c r="A93" s="320">
        <v>755504</v>
      </c>
      <c r="B93" s="319" t="s">
        <v>861</v>
      </c>
      <c r="C93" s="331">
        <v>18295</v>
      </c>
      <c r="D93" s="331">
        <v>16569</v>
      </c>
      <c r="E93" s="331">
        <v>34864</v>
      </c>
      <c r="F93" s="331">
        <v>708838155</v>
      </c>
      <c r="G93" s="331">
        <v>769156815</v>
      </c>
      <c r="H93" s="331">
        <v>1477994970</v>
      </c>
      <c r="I93" s="331">
        <v>-3781272</v>
      </c>
      <c r="J93" s="319" t="s">
        <v>215</v>
      </c>
      <c r="K93" s="319" t="s">
        <v>771</v>
      </c>
      <c r="L93" s="319" t="s">
        <v>171</v>
      </c>
      <c r="M93" s="319" t="s">
        <v>154</v>
      </c>
      <c r="N93" s="2"/>
      <c r="O93" s="4"/>
    </row>
    <row r="94" spans="1:15" ht="15" x14ac:dyDescent="0.25">
      <c r="A94" s="320">
        <v>987842</v>
      </c>
      <c r="B94" s="319" t="s">
        <v>907</v>
      </c>
      <c r="C94" s="331">
        <v>15902</v>
      </c>
      <c r="D94" s="331">
        <v>18800</v>
      </c>
      <c r="E94" s="331">
        <v>34702</v>
      </c>
      <c r="F94" s="331">
        <v>784775482</v>
      </c>
      <c r="G94" s="331">
        <v>1144043979</v>
      </c>
      <c r="H94" s="331">
        <v>1928819462</v>
      </c>
      <c r="I94" s="331">
        <v>14230884</v>
      </c>
      <c r="J94" s="319" t="s">
        <v>295</v>
      </c>
      <c r="K94" s="319" t="s">
        <v>771</v>
      </c>
      <c r="L94" s="319" t="s">
        <v>194</v>
      </c>
      <c r="M94" s="319" t="s">
        <v>154</v>
      </c>
      <c r="N94" s="2"/>
      <c r="O94" s="4"/>
    </row>
    <row r="95" spans="1:15" ht="15" x14ac:dyDescent="0.25">
      <c r="A95" s="320">
        <v>820852</v>
      </c>
      <c r="B95" s="319" t="s">
        <v>329</v>
      </c>
      <c r="C95" s="331">
        <v>16491</v>
      </c>
      <c r="D95" s="331">
        <v>18022</v>
      </c>
      <c r="E95" s="331">
        <v>34513</v>
      </c>
      <c r="F95" s="331">
        <v>803300880</v>
      </c>
      <c r="G95" s="331">
        <v>1072000070</v>
      </c>
      <c r="H95" s="331">
        <v>1875300950</v>
      </c>
      <c r="I95" s="331">
        <v>-5489590</v>
      </c>
      <c r="J95" s="319" t="s">
        <v>318</v>
      </c>
      <c r="K95" s="319" t="s">
        <v>771</v>
      </c>
      <c r="L95" s="319" t="s">
        <v>171</v>
      </c>
      <c r="M95" s="319" t="s">
        <v>154</v>
      </c>
      <c r="N95" s="2"/>
      <c r="O95" s="4"/>
    </row>
    <row r="96" spans="1:15" ht="15" x14ac:dyDescent="0.25">
      <c r="A96" s="320">
        <v>334409</v>
      </c>
      <c r="B96" s="319" t="s">
        <v>535</v>
      </c>
      <c r="C96" s="331">
        <v>13793</v>
      </c>
      <c r="D96" s="331">
        <v>19644</v>
      </c>
      <c r="E96" s="331">
        <v>33437</v>
      </c>
      <c r="F96" s="331">
        <v>809777393</v>
      </c>
      <c r="G96" s="331">
        <v>1455031116</v>
      </c>
      <c r="H96" s="331">
        <v>2264808509</v>
      </c>
      <c r="I96" s="331">
        <v>-3548063</v>
      </c>
      <c r="J96" s="319" t="s">
        <v>342</v>
      </c>
      <c r="K96" s="319" t="s">
        <v>771</v>
      </c>
      <c r="L96" s="319" t="s">
        <v>425</v>
      </c>
      <c r="M96" s="319" t="s">
        <v>68</v>
      </c>
      <c r="N96" s="2"/>
      <c r="O96" s="4"/>
    </row>
    <row r="97" spans="1:15" ht="15" x14ac:dyDescent="0.25">
      <c r="A97" s="320">
        <v>860932</v>
      </c>
      <c r="B97" s="319" t="s">
        <v>317</v>
      </c>
      <c r="C97" s="331">
        <v>16352</v>
      </c>
      <c r="D97" s="331">
        <v>16298</v>
      </c>
      <c r="E97" s="331">
        <v>32650</v>
      </c>
      <c r="F97" s="331">
        <v>967480909</v>
      </c>
      <c r="G97" s="331">
        <v>1186599580</v>
      </c>
      <c r="H97" s="331">
        <v>2154080489</v>
      </c>
      <c r="I97" s="331">
        <v>-3285212</v>
      </c>
      <c r="J97" s="319" t="s">
        <v>318</v>
      </c>
      <c r="K97" s="319" t="s">
        <v>771</v>
      </c>
      <c r="L97" s="319" t="s">
        <v>171</v>
      </c>
      <c r="M97" s="319" t="s">
        <v>154</v>
      </c>
      <c r="N97" s="2"/>
      <c r="O97" s="4"/>
    </row>
    <row r="98" spans="1:15" ht="15" x14ac:dyDescent="0.25">
      <c r="A98" s="320">
        <v>850602</v>
      </c>
      <c r="B98" s="319" t="s">
        <v>255</v>
      </c>
      <c r="C98" s="331">
        <v>15344</v>
      </c>
      <c r="D98" s="331">
        <v>16886</v>
      </c>
      <c r="E98" s="331">
        <v>32230</v>
      </c>
      <c r="F98" s="331">
        <v>447290127</v>
      </c>
      <c r="G98" s="331">
        <v>623445997</v>
      </c>
      <c r="H98" s="331">
        <v>1070736124</v>
      </c>
      <c r="I98" s="331">
        <v>-6875072</v>
      </c>
      <c r="J98" s="319" t="s">
        <v>159</v>
      </c>
      <c r="K98" s="319" t="s">
        <v>765</v>
      </c>
      <c r="L98" s="319" t="s">
        <v>173</v>
      </c>
      <c r="M98" s="319" t="s">
        <v>154</v>
      </c>
      <c r="N98" s="2"/>
      <c r="O98" s="4"/>
    </row>
    <row r="99" spans="1:15" ht="15" x14ac:dyDescent="0.25">
      <c r="A99" s="320">
        <v>119776</v>
      </c>
      <c r="B99" s="319" t="s">
        <v>410</v>
      </c>
      <c r="C99" s="331">
        <v>17036</v>
      </c>
      <c r="D99" s="331">
        <v>14771</v>
      </c>
      <c r="E99" s="331">
        <v>31807</v>
      </c>
      <c r="F99" s="331">
        <v>2658465612</v>
      </c>
      <c r="G99" s="331">
        <v>2671897381</v>
      </c>
      <c r="H99" s="331">
        <v>5330362993</v>
      </c>
      <c r="I99" s="331">
        <v>-33791701</v>
      </c>
      <c r="J99" s="319" t="s">
        <v>1041</v>
      </c>
      <c r="K99" s="319" t="s">
        <v>768</v>
      </c>
      <c r="L99" s="319" t="s">
        <v>942</v>
      </c>
      <c r="M99" s="319" t="s">
        <v>68</v>
      </c>
      <c r="N99" s="2"/>
      <c r="O99" s="4"/>
    </row>
    <row r="100" spans="1:15" ht="15" x14ac:dyDescent="0.25">
      <c r="A100" s="320">
        <v>511139</v>
      </c>
      <c r="B100" s="319" t="s">
        <v>431</v>
      </c>
      <c r="C100" s="331">
        <v>14043</v>
      </c>
      <c r="D100" s="331">
        <v>17679</v>
      </c>
      <c r="E100" s="331">
        <v>31722</v>
      </c>
      <c r="F100" s="331">
        <v>704460619</v>
      </c>
      <c r="G100" s="331">
        <v>1031362587</v>
      </c>
      <c r="H100" s="331">
        <v>1735823206</v>
      </c>
      <c r="I100" s="331">
        <v>-6934866</v>
      </c>
      <c r="J100" s="319" t="s">
        <v>1047</v>
      </c>
      <c r="K100" s="319" t="s">
        <v>771</v>
      </c>
      <c r="L100" s="319" t="s">
        <v>226</v>
      </c>
      <c r="M100" s="319" t="s">
        <v>154</v>
      </c>
      <c r="N100" s="2"/>
      <c r="O100" s="4"/>
    </row>
    <row r="101" spans="1:15" ht="15" x14ac:dyDescent="0.25">
      <c r="A101" s="320">
        <v>785618</v>
      </c>
      <c r="B101" s="319" t="s">
        <v>524</v>
      </c>
      <c r="C101" s="331">
        <v>15170</v>
      </c>
      <c r="D101" s="331">
        <v>16459</v>
      </c>
      <c r="E101" s="331">
        <v>31629</v>
      </c>
      <c r="F101" s="331">
        <v>787954639</v>
      </c>
      <c r="G101" s="331">
        <v>1048311731</v>
      </c>
      <c r="H101" s="331">
        <v>1836266370</v>
      </c>
      <c r="I101" s="331">
        <v>-2190010</v>
      </c>
      <c r="J101" s="319" t="s">
        <v>253</v>
      </c>
      <c r="K101" s="319" t="s">
        <v>771</v>
      </c>
      <c r="L101" s="319" t="s">
        <v>166</v>
      </c>
      <c r="M101" s="319" t="s">
        <v>154</v>
      </c>
      <c r="N101" s="2"/>
      <c r="O101" s="4"/>
    </row>
    <row r="102" spans="1:15" ht="15" x14ac:dyDescent="0.25">
      <c r="A102" s="320">
        <v>475301</v>
      </c>
      <c r="B102" s="319" t="s">
        <v>438</v>
      </c>
      <c r="C102" s="331">
        <v>17393</v>
      </c>
      <c r="D102" s="331">
        <v>14116</v>
      </c>
      <c r="E102" s="331">
        <v>31509</v>
      </c>
      <c r="F102" s="331">
        <v>801922513</v>
      </c>
      <c r="G102" s="331">
        <v>743780324</v>
      </c>
      <c r="H102" s="331">
        <v>1545702837</v>
      </c>
      <c r="I102" s="331">
        <v>-5634536</v>
      </c>
      <c r="J102" s="319" t="s">
        <v>181</v>
      </c>
      <c r="K102" s="319" t="s">
        <v>771</v>
      </c>
      <c r="L102" s="319" t="s">
        <v>226</v>
      </c>
      <c r="M102" s="319" t="s">
        <v>154</v>
      </c>
      <c r="N102" s="2"/>
      <c r="O102" s="4"/>
    </row>
    <row r="103" spans="1:15" ht="15" x14ac:dyDescent="0.25">
      <c r="A103" s="320">
        <v>492306</v>
      </c>
      <c r="B103" s="319" t="s">
        <v>389</v>
      </c>
      <c r="C103" s="331">
        <v>15229</v>
      </c>
      <c r="D103" s="331">
        <v>15807</v>
      </c>
      <c r="E103" s="331">
        <v>31036</v>
      </c>
      <c r="F103" s="331">
        <v>614963438</v>
      </c>
      <c r="G103" s="331">
        <v>726017561</v>
      </c>
      <c r="H103" s="331">
        <v>1340980999</v>
      </c>
      <c r="I103" s="331">
        <v>-4385162</v>
      </c>
      <c r="J103" s="319" t="s">
        <v>215</v>
      </c>
      <c r="K103" s="319" t="s">
        <v>771</v>
      </c>
      <c r="L103" s="319" t="s">
        <v>173</v>
      </c>
      <c r="M103" s="319" t="s">
        <v>154</v>
      </c>
      <c r="N103" s="2"/>
      <c r="O103" s="4"/>
    </row>
    <row r="104" spans="1:15" ht="15" customHeight="1" x14ac:dyDescent="0.25">
      <c r="A104" s="320">
        <v>834788</v>
      </c>
      <c r="B104" s="319" t="s">
        <v>1006</v>
      </c>
      <c r="C104" s="331">
        <v>13567</v>
      </c>
      <c r="D104" s="331">
        <v>17240</v>
      </c>
      <c r="E104" s="331">
        <v>30807</v>
      </c>
      <c r="F104" s="331">
        <v>531021778</v>
      </c>
      <c r="G104" s="331">
        <v>867307690</v>
      </c>
      <c r="H104" s="331">
        <v>1398329468</v>
      </c>
      <c r="I104" s="331">
        <v>-19859404</v>
      </c>
      <c r="J104" s="319" t="s">
        <v>373</v>
      </c>
      <c r="K104" s="319" t="s">
        <v>771</v>
      </c>
      <c r="L104" s="319" t="s">
        <v>608</v>
      </c>
      <c r="M104" s="319" t="s">
        <v>154</v>
      </c>
      <c r="N104" s="2"/>
      <c r="O104" s="4"/>
    </row>
    <row r="105" spans="1:15" ht="15" x14ac:dyDescent="0.25">
      <c r="A105" s="320">
        <v>341362</v>
      </c>
      <c r="B105" s="319" t="s">
        <v>659</v>
      </c>
      <c r="C105" s="331">
        <v>14925</v>
      </c>
      <c r="D105" s="331">
        <v>15231</v>
      </c>
      <c r="E105" s="331">
        <v>30156</v>
      </c>
      <c r="F105" s="331">
        <v>363746330</v>
      </c>
      <c r="G105" s="331">
        <v>467252080</v>
      </c>
      <c r="H105" s="331">
        <v>830998410</v>
      </c>
      <c r="I105" s="331">
        <v>-2856294</v>
      </c>
      <c r="J105" s="319" t="s">
        <v>181</v>
      </c>
      <c r="K105" s="319" t="s">
        <v>771</v>
      </c>
      <c r="L105" s="319" t="s">
        <v>660</v>
      </c>
      <c r="M105" s="319" t="s">
        <v>154</v>
      </c>
      <c r="N105" s="2"/>
      <c r="O105" s="4"/>
    </row>
    <row r="106" spans="1:15" ht="15" x14ac:dyDescent="0.25">
      <c r="A106" s="320">
        <v>357483</v>
      </c>
      <c r="B106" s="319" t="s">
        <v>380</v>
      </c>
      <c r="C106" s="331">
        <v>13424</v>
      </c>
      <c r="D106" s="331">
        <v>16138</v>
      </c>
      <c r="E106" s="331">
        <v>29562</v>
      </c>
      <c r="F106" s="331">
        <v>805180798</v>
      </c>
      <c r="G106" s="331">
        <v>1176539006</v>
      </c>
      <c r="H106" s="331">
        <v>1981719804</v>
      </c>
      <c r="I106" s="331">
        <v>-2300339</v>
      </c>
      <c r="J106" s="319" t="s">
        <v>1024</v>
      </c>
      <c r="K106" s="319" t="s">
        <v>768</v>
      </c>
      <c r="L106" s="319" t="s">
        <v>188</v>
      </c>
      <c r="M106" s="319" t="s">
        <v>154</v>
      </c>
      <c r="N106" s="2"/>
      <c r="O106" s="4"/>
    </row>
    <row r="107" spans="1:15" ht="15" x14ac:dyDescent="0.25">
      <c r="A107" s="320">
        <v>528133</v>
      </c>
      <c r="B107" s="319" t="s">
        <v>347</v>
      </c>
      <c r="C107" s="331">
        <v>13994</v>
      </c>
      <c r="D107" s="331">
        <v>14861</v>
      </c>
      <c r="E107" s="331">
        <v>28855</v>
      </c>
      <c r="F107" s="331">
        <v>944227691</v>
      </c>
      <c r="G107" s="331">
        <v>1213096102</v>
      </c>
      <c r="H107" s="331">
        <v>2157323793</v>
      </c>
      <c r="I107" s="331">
        <v>-1176188</v>
      </c>
      <c r="J107" s="319" t="s">
        <v>219</v>
      </c>
      <c r="K107" s="319" t="s">
        <v>771</v>
      </c>
      <c r="L107" s="319" t="s">
        <v>173</v>
      </c>
      <c r="M107" s="319" t="s">
        <v>154</v>
      </c>
      <c r="N107" s="2"/>
      <c r="O107" s="4"/>
    </row>
    <row r="108" spans="1:15" ht="15" x14ac:dyDescent="0.25">
      <c r="A108" s="320">
        <v>290072</v>
      </c>
      <c r="B108" s="319" t="s">
        <v>243</v>
      </c>
      <c r="C108" s="331">
        <v>12342</v>
      </c>
      <c r="D108" s="331">
        <v>16230</v>
      </c>
      <c r="E108" s="331">
        <v>28572</v>
      </c>
      <c r="F108" s="331">
        <v>739838369</v>
      </c>
      <c r="G108" s="331">
        <v>1191031800</v>
      </c>
      <c r="H108" s="331">
        <v>1930870169</v>
      </c>
      <c r="I108" s="331">
        <v>-5590902</v>
      </c>
      <c r="J108" s="319" t="s">
        <v>219</v>
      </c>
      <c r="K108" s="319" t="s">
        <v>771</v>
      </c>
      <c r="L108" s="319" t="s">
        <v>244</v>
      </c>
      <c r="M108" s="319" t="s">
        <v>154</v>
      </c>
      <c r="N108" s="2"/>
      <c r="O108" s="4"/>
    </row>
    <row r="109" spans="1:15" ht="15" x14ac:dyDescent="0.25">
      <c r="A109" s="320">
        <v>912287</v>
      </c>
      <c r="B109" s="319" t="s">
        <v>473</v>
      </c>
      <c r="C109" s="331">
        <v>13037</v>
      </c>
      <c r="D109" s="331">
        <v>15152</v>
      </c>
      <c r="E109" s="331">
        <v>28189</v>
      </c>
      <c r="F109" s="331">
        <v>2289796484</v>
      </c>
      <c r="G109" s="331">
        <v>3198573453</v>
      </c>
      <c r="H109" s="331">
        <v>5488369937</v>
      </c>
      <c r="I109" s="331">
        <v>-34202468</v>
      </c>
      <c r="J109" s="319" t="s">
        <v>1023</v>
      </c>
      <c r="K109" s="319" t="s">
        <v>768</v>
      </c>
      <c r="L109" s="319" t="s">
        <v>942</v>
      </c>
      <c r="M109" s="319" t="s">
        <v>68</v>
      </c>
      <c r="N109" s="2"/>
      <c r="O109" s="4"/>
    </row>
    <row r="110" spans="1:15" ht="15" x14ac:dyDescent="0.25">
      <c r="A110" s="320">
        <v>869438</v>
      </c>
      <c r="B110" s="319" t="s">
        <v>174</v>
      </c>
      <c r="C110" s="331">
        <v>14081</v>
      </c>
      <c r="D110" s="331">
        <v>13129</v>
      </c>
      <c r="E110" s="331">
        <v>27210</v>
      </c>
      <c r="F110" s="331">
        <v>455048107</v>
      </c>
      <c r="G110" s="331">
        <v>518006356</v>
      </c>
      <c r="H110" s="331">
        <v>973054463</v>
      </c>
      <c r="I110" s="331">
        <v>-6423543</v>
      </c>
      <c r="J110" s="319" t="s">
        <v>1040</v>
      </c>
      <c r="K110" s="319" t="s">
        <v>772</v>
      </c>
      <c r="L110" s="319" t="s">
        <v>171</v>
      </c>
      <c r="M110" s="319" t="s">
        <v>154</v>
      </c>
      <c r="N110" s="2"/>
      <c r="O110" s="4"/>
    </row>
    <row r="111" spans="1:15" ht="15" x14ac:dyDescent="0.25">
      <c r="A111" s="320">
        <v>203067</v>
      </c>
      <c r="B111" s="319" t="s">
        <v>345</v>
      </c>
      <c r="C111" s="331">
        <v>13543</v>
      </c>
      <c r="D111" s="331">
        <v>13664</v>
      </c>
      <c r="E111" s="331">
        <v>27207</v>
      </c>
      <c r="F111" s="331">
        <v>687735217</v>
      </c>
      <c r="G111" s="331">
        <v>828332741</v>
      </c>
      <c r="H111" s="331">
        <v>1516067958</v>
      </c>
      <c r="I111" s="331">
        <v>2381057</v>
      </c>
      <c r="J111" s="319" t="s">
        <v>219</v>
      </c>
      <c r="K111" s="319" t="s">
        <v>771</v>
      </c>
      <c r="L111" s="319" t="s">
        <v>191</v>
      </c>
      <c r="M111" s="319" t="s">
        <v>154</v>
      </c>
      <c r="N111" s="2"/>
      <c r="O111" s="4"/>
    </row>
    <row r="112" spans="1:15" ht="15" x14ac:dyDescent="0.25">
      <c r="A112" s="320">
        <v>393314</v>
      </c>
      <c r="B112" s="319" t="s">
        <v>366</v>
      </c>
      <c r="C112" s="331">
        <v>12114</v>
      </c>
      <c r="D112" s="331">
        <v>15004</v>
      </c>
      <c r="E112" s="331">
        <v>27118</v>
      </c>
      <c r="F112" s="331">
        <v>752400666</v>
      </c>
      <c r="G112" s="331">
        <v>1112083056</v>
      </c>
      <c r="H112" s="331">
        <v>1864483722</v>
      </c>
      <c r="I112" s="331">
        <v>-3196066</v>
      </c>
      <c r="J112" s="319" t="s">
        <v>219</v>
      </c>
      <c r="K112" s="319" t="s">
        <v>771</v>
      </c>
      <c r="L112" s="319" t="s">
        <v>188</v>
      </c>
      <c r="M112" s="319" t="s">
        <v>154</v>
      </c>
      <c r="N112" s="2"/>
      <c r="O112" s="4"/>
    </row>
    <row r="113" spans="1:15" ht="15" x14ac:dyDescent="0.25">
      <c r="A113" s="320">
        <v>906677</v>
      </c>
      <c r="B113" s="319" t="s">
        <v>1113</v>
      </c>
      <c r="C113" s="331">
        <v>11807</v>
      </c>
      <c r="D113" s="331">
        <v>13134</v>
      </c>
      <c r="E113" s="331">
        <v>24941</v>
      </c>
      <c r="F113" s="331">
        <v>338366683</v>
      </c>
      <c r="G113" s="331">
        <v>433347159</v>
      </c>
      <c r="H113" s="331">
        <v>771713841</v>
      </c>
      <c r="I113" s="331">
        <v>5676339</v>
      </c>
      <c r="J113" s="319" t="s">
        <v>1038</v>
      </c>
      <c r="K113" s="319" t="s">
        <v>772</v>
      </c>
      <c r="L113" s="319" t="s">
        <v>323</v>
      </c>
      <c r="M113" s="319" t="s">
        <v>68</v>
      </c>
      <c r="N113" s="2"/>
      <c r="O113" s="4"/>
    </row>
    <row r="114" spans="1:15" ht="15" x14ac:dyDescent="0.25">
      <c r="A114" s="320">
        <v>123679</v>
      </c>
      <c r="B114" s="264" t="s">
        <v>1123</v>
      </c>
      <c r="C114" s="299">
        <v>12684</v>
      </c>
      <c r="D114" s="299">
        <v>12146</v>
      </c>
      <c r="E114" s="299">
        <v>24830</v>
      </c>
      <c r="F114" s="298">
        <v>650484573</v>
      </c>
      <c r="G114" s="298">
        <v>723037892</v>
      </c>
      <c r="H114" s="298">
        <v>1373522465</v>
      </c>
      <c r="I114" s="298">
        <v>3389</v>
      </c>
      <c r="J114" s="264" t="s">
        <v>181</v>
      </c>
      <c r="K114" s="264" t="s">
        <v>771</v>
      </c>
      <c r="L114" s="264" t="s">
        <v>194</v>
      </c>
      <c r="M114" s="264" t="s">
        <v>154</v>
      </c>
      <c r="N114" s="2"/>
      <c r="O114" s="4"/>
    </row>
    <row r="115" spans="1:15" ht="15" x14ac:dyDescent="0.25">
      <c r="A115" s="320">
        <v>771030</v>
      </c>
      <c r="B115" s="319" t="s">
        <v>463</v>
      </c>
      <c r="C115" s="331">
        <v>11216</v>
      </c>
      <c r="D115" s="331">
        <v>13536</v>
      </c>
      <c r="E115" s="331">
        <v>24752</v>
      </c>
      <c r="F115" s="331">
        <v>689016572</v>
      </c>
      <c r="G115" s="331">
        <v>990567461</v>
      </c>
      <c r="H115" s="331">
        <v>1679584033</v>
      </c>
      <c r="I115" s="331">
        <v>537204</v>
      </c>
      <c r="J115" s="319" t="s">
        <v>181</v>
      </c>
      <c r="K115" s="319" t="s">
        <v>771</v>
      </c>
      <c r="L115" s="319" t="s">
        <v>196</v>
      </c>
      <c r="M115" s="319" t="s">
        <v>154</v>
      </c>
      <c r="N115" s="2"/>
      <c r="O115" s="4"/>
    </row>
    <row r="116" spans="1:15" ht="15" x14ac:dyDescent="0.25">
      <c r="A116" s="320">
        <v>296152</v>
      </c>
      <c r="B116" s="319" t="s">
        <v>220</v>
      </c>
      <c r="C116" s="331">
        <v>16872</v>
      </c>
      <c r="D116" s="331">
        <v>7861</v>
      </c>
      <c r="E116" s="331">
        <v>24733</v>
      </c>
      <c r="F116" s="331">
        <v>1127480725</v>
      </c>
      <c r="G116" s="331">
        <v>604905950</v>
      </c>
      <c r="H116" s="331">
        <v>1732386675</v>
      </c>
      <c r="I116" s="331">
        <v>-3661729</v>
      </c>
      <c r="J116" s="319" t="s">
        <v>1026</v>
      </c>
      <c r="K116" s="319" t="s">
        <v>771</v>
      </c>
      <c r="L116" s="319" t="s">
        <v>171</v>
      </c>
      <c r="M116" s="319" t="s">
        <v>154</v>
      </c>
      <c r="N116" s="2"/>
      <c r="O116" s="4"/>
    </row>
    <row r="117" spans="1:15" ht="15" x14ac:dyDescent="0.25">
      <c r="A117" s="320">
        <v>305185</v>
      </c>
      <c r="B117" s="319" t="s">
        <v>167</v>
      </c>
      <c r="C117" s="331">
        <v>11614</v>
      </c>
      <c r="D117" s="331">
        <v>12029</v>
      </c>
      <c r="E117" s="331">
        <v>23643</v>
      </c>
      <c r="F117" s="331">
        <v>683599678</v>
      </c>
      <c r="G117" s="331">
        <v>966840411</v>
      </c>
      <c r="H117" s="331">
        <v>1650440088</v>
      </c>
      <c r="I117" s="331">
        <v>-614459344</v>
      </c>
      <c r="J117" s="319" t="s">
        <v>1031</v>
      </c>
      <c r="K117" s="319" t="s">
        <v>772</v>
      </c>
      <c r="L117" s="319" t="s">
        <v>168</v>
      </c>
      <c r="M117" s="319" t="s">
        <v>154</v>
      </c>
      <c r="N117" s="2"/>
      <c r="O117" s="4"/>
    </row>
    <row r="118" spans="1:15" ht="15" x14ac:dyDescent="0.25">
      <c r="A118" s="320">
        <v>338590</v>
      </c>
      <c r="B118" s="319" t="s">
        <v>802</v>
      </c>
      <c r="C118" s="331">
        <v>9775</v>
      </c>
      <c r="D118" s="331">
        <v>13617</v>
      </c>
      <c r="E118" s="331">
        <v>23392</v>
      </c>
      <c r="F118" s="331">
        <v>304043966</v>
      </c>
      <c r="G118" s="331">
        <v>632832851</v>
      </c>
      <c r="H118" s="331">
        <v>936876817</v>
      </c>
      <c r="I118" s="331">
        <v>-38276783</v>
      </c>
      <c r="J118" s="319" t="s">
        <v>1045</v>
      </c>
      <c r="K118" s="319" t="s">
        <v>771</v>
      </c>
      <c r="L118" s="319" t="s">
        <v>540</v>
      </c>
      <c r="M118" s="319" t="s">
        <v>68</v>
      </c>
      <c r="N118" s="2"/>
      <c r="O118" s="4"/>
    </row>
    <row r="119" spans="1:15" ht="15" x14ac:dyDescent="0.25">
      <c r="A119" s="320">
        <v>505586</v>
      </c>
      <c r="B119" s="319" t="s">
        <v>465</v>
      </c>
      <c r="C119" s="331">
        <v>8454</v>
      </c>
      <c r="D119" s="331">
        <v>14689</v>
      </c>
      <c r="E119" s="331">
        <v>23143</v>
      </c>
      <c r="F119" s="331">
        <v>497631370</v>
      </c>
      <c r="G119" s="331">
        <v>1075950806</v>
      </c>
      <c r="H119" s="331">
        <v>1573582176</v>
      </c>
      <c r="I119" s="331">
        <v>-55450740</v>
      </c>
      <c r="J119" s="319" t="s">
        <v>1057</v>
      </c>
      <c r="K119" s="319" t="s">
        <v>771</v>
      </c>
      <c r="L119" s="319" t="s">
        <v>188</v>
      </c>
      <c r="M119" s="319" t="s">
        <v>154</v>
      </c>
      <c r="N119" s="2"/>
      <c r="O119" s="4"/>
    </row>
    <row r="120" spans="1:15" ht="15" x14ac:dyDescent="0.25">
      <c r="A120" s="320">
        <v>704502</v>
      </c>
      <c r="B120" s="319" t="s">
        <v>829</v>
      </c>
      <c r="C120" s="331">
        <v>11487</v>
      </c>
      <c r="D120" s="331">
        <v>11129</v>
      </c>
      <c r="E120" s="331">
        <v>22616</v>
      </c>
      <c r="F120" s="331">
        <v>483228463</v>
      </c>
      <c r="G120" s="331">
        <v>523451943</v>
      </c>
      <c r="H120" s="331">
        <v>1006680406</v>
      </c>
      <c r="I120" s="331">
        <v>-5367212</v>
      </c>
      <c r="J120" s="319" t="s">
        <v>181</v>
      </c>
      <c r="K120" s="319" t="s">
        <v>771</v>
      </c>
      <c r="L120" s="319" t="s">
        <v>749</v>
      </c>
      <c r="M120" s="319" t="s">
        <v>68</v>
      </c>
      <c r="N120" s="2"/>
      <c r="O120" s="4"/>
    </row>
    <row r="121" spans="1:15" ht="15" x14ac:dyDescent="0.25">
      <c r="A121" s="320">
        <v>563965</v>
      </c>
      <c r="B121" s="319" t="s">
        <v>958</v>
      </c>
      <c r="C121" s="331">
        <v>11049</v>
      </c>
      <c r="D121" s="331">
        <v>10750</v>
      </c>
      <c r="E121" s="331">
        <v>21799</v>
      </c>
      <c r="F121" s="331">
        <v>494820892</v>
      </c>
      <c r="G121" s="331">
        <v>561041040</v>
      </c>
      <c r="H121" s="331">
        <v>1055861932</v>
      </c>
      <c r="I121" s="331">
        <v>-11904702</v>
      </c>
      <c r="J121" s="319" t="s">
        <v>181</v>
      </c>
      <c r="K121" s="319" t="s">
        <v>771</v>
      </c>
      <c r="L121" s="319" t="s">
        <v>173</v>
      </c>
      <c r="M121" s="319" t="s">
        <v>154</v>
      </c>
      <c r="N121" s="2"/>
      <c r="O121" s="4"/>
    </row>
    <row r="122" spans="1:15" ht="15" x14ac:dyDescent="0.25">
      <c r="A122" s="320">
        <v>814772</v>
      </c>
      <c r="B122" s="319" t="s">
        <v>263</v>
      </c>
      <c r="C122" s="331">
        <v>10830</v>
      </c>
      <c r="D122" s="331">
        <v>10637</v>
      </c>
      <c r="E122" s="331">
        <v>21467</v>
      </c>
      <c r="F122" s="331">
        <v>786921052</v>
      </c>
      <c r="G122" s="331">
        <v>910999955</v>
      </c>
      <c r="H122" s="331">
        <v>1697921008</v>
      </c>
      <c r="I122" s="331">
        <v>-9808210</v>
      </c>
      <c r="J122" s="319" t="s">
        <v>159</v>
      </c>
      <c r="K122" s="319" t="s">
        <v>765</v>
      </c>
      <c r="L122" s="319" t="s">
        <v>173</v>
      </c>
      <c r="M122" s="319" t="s">
        <v>154</v>
      </c>
      <c r="N122" s="2"/>
      <c r="O122" s="4"/>
    </row>
    <row r="123" spans="1:15" ht="15" x14ac:dyDescent="0.25">
      <c r="A123" s="320">
        <v>916189</v>
      </c>
      <c r="B123" s="319" t="s">
        <v>362</v>
      </c>
      <c r="C123" s="331">
        <v>9660</v>
      </c>
      <c r="D123" s="331">
        <v>11545</v>
      </c>
      <c r="E123" s="331">
        <v>21205</v>
      </c>
      <c r="F123" s="331">
        <v>626693161</v>
      </c>
      <c r="G123" s="331">
        <v>906568799</v>
      </c>
      <c r="H123" s="331">
        <v>1533261960</v>
      </c>
      <c r="I123" s="331">
        <v>-4559123</v>
      </c>
      <c r="J123" s="319" t="s">
        <v>219</v>
      </c>
      <c r="K123" s="319" t="s">
        <v>771</v>
      </c>
      <c r="L123" s="319" t="s">
        <v>194</v>
      </c>
      <c r="M123" s="319" t="s">
        <v>154</v>
      </c>
      <c r="N123" s="2"/>
      <c r="O123" s="4"/>
    </row>
    <row r="124" spans="1:15" ht="15" x14ac:dyDescent="0.25">
      <c r="A124" s="320">
        <v>995571</v>
      </c>
      <c r="B124" s="319" t="s">
        <v>393</v>
      </c>
      <c r="C124" s="331">
        <v>9771</v>
      </c>
      <c r="D124" s="331">
        <v>10995</v>
      </c>
      <c r="E124" s="331">
        <v>20766</v>
      </c>
      <c r="F124" s="331">
        <v>309039292</v>
      </c>
      <c r="G124" s="331">
        <v>432311240</v>
      </c>
      <c r="H124" s="331">
        <v>741350531</v>
      </c>
      <c r="I124" s="331">
        <v>1358149</v>
      </c>
      <c r="J124" s="319" t="s">
        <v>295</v>
      </c>
      <c r="K124" s="319" t="s">
        <v>771</v>
      </c>
      <c r="L124" s="319" t="s">
        <v>191</v>
      </c>
      <c r="M124" s="319" t="s">
        <v>68</v>
      </c>
      <c r="N124" s="2"/>
      <c r="O124" s="4"/>
    </row>
    <row r="125" spans="1:15" ht="15" x14ac:dyDescent="0.25">
      <c r="A125" s="320">
        <v>176503</v>
      </c>
      <c r="B125" s="319" t="s">
        <v>200</v>
      </c>
      <c r="C125" s="331">
        <v>8279</v>
      </c>
      <c r="D125" s="331">
        <v>12077</v>
      </c>
      <c r="E125" s="331">
        <v>20356</v>
      </c>
      <c r="F125" s="331">
        <v>231834309</v>
      </c>
      <c r="G125" s="331">
        <v>409789551</v>
      </c>
      <c r="H125" s="331">
        <v>641623861</v>
      </c>
      <c r="I125" s="331">
        <v>7929277</v>
      </c>
      <c r="J125" s="319" t="s">
        <v>201</v>
      </c>
      <c r="K125" s="319" t="s">
        <v>771</v>
      </c>
      <c r="L125" s="319" t="s">
        <v>178</v>
      </c>
      <c r="M125" s="319" t="s">
        <v>154</v>
      </c>
      <c r="N125" s="2"/>
      <c r="O125" s="4"/>
    </row>
    <row r="126" spans="1:15" ht="15" customHeight="1" x14ac:dyDescent="0.25">
      <c r="A126" s="320">
        <v>972497</v>
      </c>
      <c r="B126" s="319" t="s">
        <v>163</v>
      </c>
      <c r="C126" s="331">
        <v>8071</v>
      </c>
      <c r="D126" s="331">
        <v>12244</v>
      </c>
      <c r="E126" s="331">
        <v>20315</v>
      </c>
      <c r="F126" s="331">
        <v>544323279</v>
      </c>
      <c r="G126" s="331">
        <v>1065485126</v>
      </c>
      <c r="H126" s="331">
        <v>1609808405</v>
      </c>
      <c r="I126" s="331">
        <v>-37063976</v>
      </c>
      <c r="J126" s="319" t="s">
        <v>1031</v>
      </c>
      <c r="K126" s="319" t="s">
        <v>772</v>
      </c>
      <c r="L126" s="319" t="s">
        <v>164</v>
      </c>
      <c r="M126" s="319" t="s">
        <v>154</v>
      </c>
      <c r="N126" s="2"/>
      <c r="O126" s="4"/>
    </row>
    <row r="127" spans="1:15" ht="15" x14ac:dyDescent="0.25">
      <c r="A127" s="320">
        <v>629543</v>
      </c>
      <c r="B127" s="319" t="s">
        <v>750</v>
      </c>
      <c r="C127" s="331">
        <v>9988</v>
      </c>
      <c r="D127" s="331">
        <v>10282</v>
      </c>
      <c r="E127" s="331">
        <v>20270</v>
      </c>
      <c r="F127" s="331">
        <v>407479335</v>
      </c>
      <c r="G127" s="331">
        <v>508104068</v>
      </c>
      <c r="H127" s="331">
        <v>915583403</v>
      </c>
      <c r="I127" s="331">
        <v>-117639</v>
      </c>
      <c r="J127" s="319" t="s">
        <v>215</v>
      </c>
      <c r="K127" s="319" t="s">
        <v>771</v>
      </c>
      <c r="L127" s="319" t="s">
        <v>888</v>
      </c>
      <c r="M127" s="319" t="s">
        <v>154</v>
      </c>
      <c r="N127" s="2"/>
      <c r="O127" s="4"/>
    </row>
    <row r="128" spans="1:15" ht="15" x14ac:dyDescent="0.25">
      <c r="A128" s="320">
        <v>835074</v>
      </c>
      <c r="B128" s="319" t="s">
        <v>756</v>
      </c>
      <c r="C128" s="331">
        <v>8533</v>
      </c>
      <c r="D128" s="331">
        <v>11397</v>
      </c>
      <c r="E128" s="331">
        <v>19930</v>
      </c>
      <c r="F128" s="331">
        <v>340839669</v>
      </c>
      <c r="G128" s="331">
        <v>544458307</v>
      </c>
      <c r="H128" s="331">
        <v>885297976</v>
      </c>
      <c r="I128" s="331">
        <v>-169712</v>
      </c>
      <c r="J128" s="319" t="s">
        <v>219</v>
      </c>
      <c r="K128" s="319" t="s">
        <v>771</v>
      </c>
      <c r="L128" s="319" t="s">
        <v>323</v>
      </c>
      <c r="M128" s="319" t="s">
        <v>68</v>
      </c>
      <c r="N128" s="2"/>
      <c r="O128" s="4"/>
    </row>
    <row r="129" spans="1:15" ht="15" customHeight="1" x14ac:dyDescent="0.25">
      <c r="A129" s="320">
        <v>545541</v>
      </c>
      <c r="B129" s="319" t="s">
        <v>160</v>
      </c>
      <c r="C129" s="331">
        <v>8945</v>
      </c>
      <c r="D129" s="331">
        <v>10669</v>
      </c>
      <c r="E129" s="331">
        <v>19614</v>
      </c>
      <c r="F129" s="331">
        <v>464639916</v>
      </c>
      <c r="G129" s="331">
        <v>730985732</v>
      </c>
      <c r="H129" s="331">
        <v>1195625648</v>
      </c>
      <c r="I129" s="331">
        <v>-426243595</v>
      </c>
      <c r="J129" s="319" t="s">
        <v>1040</v>
      </c>
      <c r="K129" s="319" t="s">
        <v>772</v>
      </c>
      <c r="L129" s="319" t="s">
        <v>161</v>
      </c>
      <c r="M129" s="319" t="s">
        <v>154</v>
      </c>
      <c r="N129" s="2"/>
      <c r="O129" s="4"/>
    </row>
    <row r="130" spans="1:15" ht="15" x14ac:dyDescent="0.25">
      <c r="A130" s="320">
        <v>968420</v>
      </c>
      <c r="B130" s="319" t="s">
        <v>315</v>
      </c>
      <c r="C130" s="331">
        <v>9651</v>
      </c>
      <c r="D130" s="331">
        <v>9931</v>
      </c>
      <c r="E130" s="331">
        <v>19582</v>
      </c>
      <c r="F130" s="331">
        <v>562200508</v>
      </c>
      <c r="G130" s="331">
        <v>706332477</v>
      </c>
      <c r="H130" s="331">
        <v>1268532985</v>
      </c>
      <c r="I130" s="331">
        <v>-8005280</v>
      </c>
      <c r="J130" s="319" t="s">
        <v>1049</v>
      </c>
      <c r="K130" s="319" t="s">
        <v>771</v>
      </c>
      <c r="L130" s="319" t="s">
        <v>171</v>
      </c>
      <c r="M130" s="319" t="s">
        <v>154</v>
      </c>
      <c r="N130" s="2"/>
      <c r="O130" s="4"/>
    </row>
    <row r="131" spans="1:15" ht="15" x14ac:dyDescent="0.25">
      <c r="A131" s="320">
        <v>585216</v>
      </c>
      <c r="B131" s="319" t="s">
        <v>336</v>
      </c>
      <c r="C131" s="331">
        <v>9469</v>
      </c>
      <c r="D131" s="331">
        <v>9414</v>
      </c>
      <c r="E131" s="331">
        <v>18883</v>
      </c>
      <c r="F131" s="331">
        <v>609624430</v>
      </c>
      <c r="G131" s="331">
        <v>769004399</v>
      </c>
      <c r="H131" s="331">
        <v>1378628829</v>
      </c>
      <c r="I131" s="331">
        <v>-3968067</v>
      </c>
      <c r="J131" s="319" t="s">
        <v>219</v>
      </c>
      <c r="K131" s="319" t="s">
        <v>771</v>
      </c>
      <c r="L131" s="319" t="s">
        <v>942</v>
      </c>
      <c r="M131" s="319" t="s">
        <v>68</v>
      </c>
      <c r="N131" s="2"/>
      <c r="O131" s="4"/>
    </row>
    <row r="132" spans="1:15" ht="15" x14ac:dyDescent="0.25">
      <c r="A132" s="320">
        <v>407775</v>
      </c>
      <c r="B132" s="319" t="s">
        <v>566</v>
      </c>
      <c r="C132" s="331">
        <v>9556</v>
      </c>
      <c r="D132" s="331">
        <v>8891</v>
      </c>
      <c r="E132" s="331">
        <v>18447</v>
      </c>
      <c r="F132" s="331">
        <v>293409882</v>
      </c>
      <c r="G132" s="331">
        <v>346830123</v>
      </c>
      <c r="H132" s="331">
        <v>640240005</v>
      </c>
      <c r="I132" s="331">
        <v>-5652498</v>
      </c>
      <c r="J132" s="319" t="s">
        <v>1047</v>
      </c>
      <c r="K132" s="319" t="s">
        <v>771</v>
      </c>
      <c r="L132" s="319" t="s">
        <v>408</v>
      </c>
      <c r="M132" s="319" t="s">
        <v>68</v>
      </c>
      <c r="N132" s="2"/>
      <c r="O132" s="4"/>
    </row>
    <row r="133" spans="1:15" ht="15" x14ac:dyDescent="0.25">
      <c r="A133" s="320">
        <v>982116</v>
      </c>
      <c r="B133" s="319" t="s">
        <v>1106</v>
      </c>
      <c r="C133" s="331">
        <v>9455</v>
      </c>
      <c r="D133" s="331">
        <v>8926</v>
      </c>
      <c r="E133" s="331">
        <v>18381</v>
      </c>
      <c r="F133" s="331">
        <v>1741119329</v>
      </c>
      <c r="G133" s="331">
        <v>1983557836</v>
      </c>
      <c r="H133" s="331">
        <v>3724677165</v>
      </c>
      <c r="I133" s="331">
        <v>-18793935</v>
      </c>
      <c r="J133" s="319" t="s">
        <v>1024</v>
      </c>
      <c r="K133" s="319" t="s">
        <v>768</v>
      </c>
      <c r="L133" s="319" t="s">
        <v>657</v>
      </c>
      <c r="M133" s="319" t="s">
        <v>68</v>
      </c>
      <c r="N133" s="2"/>
      <c r="O133" s="4"/>
    </row>
    <row r="134" spans="1:15" ht="15" x14ac:dyDescent="0.25">
      <c r="A134" s="320">
        <v>220244</v>
      </c>
      <c r="B134" s="319" t="s">
        <v>1064</v>
      </c>
      <c r="C134" s="331">
        <v>8864</v>
      </c>
      <c r="D134" s="331">
        <v>9492</v>
      </c>
      <c r="E134" s="331">
        <v>18356</v>
      </c>
      <c r="F134" s="331">
        <v>579396904</v>
      </c>
      <c r="G134" s="331">
        <v>741710415</v>
      </c>
      <c r="H134" s="331">
        <v>1321107319</v>
      </c>
      <c r="I134" s="331">
        <v>-4926694</v>
      </c>
      <c r="J134" s="319" t="s">
        <v>219</v>
      </c>
      <c r="K134" s="319" t="s">
        <v>771</v>
      </c>
      <c r="L134" s="319" t="s">
        <v>327</v>
      </c>
      <c r="M134" s="319" t="s">
        <v>154</v>
      </c>
      <c r="N134" s="2"/>
      <c r="O134" s="4"/>
    </row>
    <row r="135" spans="1:15" ht="15" x14ac:dyDescent="0.25">
      <c r="A135" s="320">
        <v>743112</v>
      </c>
      <c r="B135" s="319" t="s">
        <v>271</v>
      </c>
      <c r="C135" s="331">
        <v>9605</v>
      </c>
      <c r="D135" s="331">
        <v>8571</v>
      </c>
      <c r="E135" s="331">
        <v>18176</v>
      </c>
      <c r="F135" s="331">
        <v>1159089795</v>
      </c>
      <c r="G135" s="331">
        <v>1237791728</v>
      </c>
      <c r="H135" s="331">
        <v>2396881523</v>
      </c>
      <c r="I135" s="331">
        <v>-3500015</v>
      </c>
      <c r="J135" s="319" t="s">
        <v>1022</v>
      </c>
      <c r="K135" s="319" t="s">
        <v>765</v>
      </c>
      <c r="L135" s="319" t="s">
        <v>173</v>
      </c>
      <c r="M135" s="319" t="s">
        <v>154</v>
      </c>
      <c r="N135" s="2"/>
      <c r="O135" s="4"/>
    </row>
    <row r="136" spans="1:15" ht="15" x14ac:dyDescent="0.25">
      <c r="A136" s="320">
        <v>610410</v>
      </c>
      <c r="B136" s="319" t="s">
        <v>291</v>
      </c>
      <c r="C136" s="331">
        <v>8457</v>
      </c>
      <c r="D136" s="331">
        <v>9549</v>
      </c>
      <c r="E136" s="331">
        <v>18006</v>
      </c>
      <c r="F136" s="331">
        <v>491178751</v>
      </c>
      <c r="G136" s="331">
        <v>668356613</v>
      </c>
      <c r="H136" s="331">
        <v>1159535365</v>
      </c>
      <c r="I136" s="331">
        <v>-3986164</v>
      </c>
      <c r="J136" s="319" t="s">
        <v>219</v>
      </c>
      <c r="K136" s="319" t="s">
        <v>771</v>
      </c>
      <c r="L136" s="319" t="s">
        <v>198</v>
      </c>
      <c r="M136" s="319" t="s">
        <v>68</v>
      </c>
      <c r="N136" s="2"/>
      <c r="O136" s="4"/>
    </row>
    <row r="137" spans="1:15" ht="15" x14ac:dyDescent="0.25">
      <c r="A137" s="320">
        <v>983940</v>
      </c>
      <c r="B137" s="319" t="s">
        <v>448</v>
      </c>
      <c r="C137" s="331">
        <v>9591</v>
      </c>
      <c r="D137" s="331">
        <v>7996</v>
      </c>
      <c r="E137" s="331">
        <v>17587</v>
      </c>
      <c r="F137" s="331">
        <v>1567937551</v>
      </c>
      <c r="G137" s="331">
        <v>1603571307</v>
      </c>
      <c r="H137" s="331">
        <v>3171508858</v>
      </c>
      <c r="I137" s="331">
        <v>-14801489</v>
      </c>
      <c r="J137" s="319" t="s">
        <v>1024</v>
      </c>
      <c r="K137" s="319" t="s">
        <v>768</v>
      </c>
      <c r="L137" s="319" t="s">
        <v>942</v>
      </c>
      <c r="M137" s="319" t="s">
        <v>68</v>
      </c>
      <c r="N137" s="2"/>
      <c r="O137" s="4"/>
    </row>
    <row r="138" spans="1:15" ht="15" x14ac:dyDescent="0.25">
      <c r="A138" s="320">
        <v>4</v>
      </c>
      <c r="B138" s="319" t="s">
        <v>770</v>
      </c>
      <c r="C138" s="331">
        <v>6279</v>
      </c>
      <c r="D138" s="331">
        <v>11236</v>
      </c>
      <c r="E138" s="331">
        <v>17515</v>
      </c>
      <c r="F138" s="331">
        <v>1217069810</v>
      </c>
      <c r="G138" s="331">
        <v>2381210454</v>
      </c>
      <c r="H138" s="331">
        <v>3598280264</v>
      </c>
      <c r="I138" s="331"/>
      <c r="J138" s="319" t="s">
        <v>831</v>
      </c>
      <c r="K138" s="319" t="s">
        <v>768</v>
      </c>
      <c r="L138" s="319" t="s">
        <v>766</v>
      </c>
      <c r="M138" s="319" t="s">
        <v>154</v>
      </c>
      <c r="N138" s="2"/>
      <c r="O138" s="4"/>
    </row>
    <row r="139" spans="1:15" ht="15" x14ac:dyDescent="0.25">
      <c r="A139" s="320">
        <v>679837</v>
      </c>
      <c r="B139" s="319" t="s">
        <v>1005</v>
      </c>
      <c r="C139" s="331">
        <v>7248</v>
      </c>
      <c r="D139" s="331">
        <v>10155</v>
      </c>
      <c r="E139" s="331">
        <v>17403</v>
      </c>
      <c r="F139" s="331">
        <v>281546164</v>
      </c>
      <c r="G139" s="331">
        <v>507172773</v>
      </c>
      <c r="H139" s="331">
        <v>788718937</v>
      </c>
      <c r="I139" s="331">
        <v>-19735018</v>
      </c>
      <c r="J139" s="319" t="s">
        <v>361</v>
      </c>
      <c r="K139" s="319" t="s">
        <v>771</v>
      </c>
      <c r="L139" s="319" t="s">
        <v>194</v>
      </c>
      <c r="M139" s="319" t="s">
        <v>154</v>
      </c>
      <c r="N139" s="2"/>
      <c r="O139" s="4"/>
    </row>
    <row r="140" spans="1:15" ht="15" x14ac:dyDescent="0.25">
      <c r="A140" s="320">
        <v>778944</v>
      </c>
      <c r="B140" s="264" t="s">
        <v>264</v>
      </c>
      <c r="C140" s="331">
        <v>8903</v>
      </c>
      <c r="D140" s="331">
        <v>8430</v>
      </c>
      <c r="E140" s="331">
        <v>17333</v>
      </c>
      <c r="F140" s="331">
        <v>1011208355</v>
      </c>
      <c r="G140" s="331">
        <v>1154710656</v>
      </c>
      <c r="H140" s="331">
        <v>2165919011</v>
      </c>
      <c r="I140" s="331">
        <v>-4126802</v>
      </c>
      <c r="J140" s="264" t="s">
        <v>159</v>
      </c>
      <c r="K140" s="264" t="s">
        <v>765</v>
      </c>
      <c r="L140" s="264" t="s">
        <v>173</v>
      </c>
      <c r="M140" s="264" t="s">
        <v>154</v>
      </c>
      <c r="N140" s="2"/>
      <c r="O140" s="4"/>
    </row>
    <row r="141" spans="1:15" ht="15" x14ac:dyDescent="0.25">
      <c r="A141" s="320">
        <v>154302</v>
      </c>
      <c r="B141" s="319" t="s">
        <v>1068</v>
      </c>
      <c r="C141" s="331">
        <v>9153</v>
      </c>
      <c r="D141" s="331">
        <v>8114</v>
      </c>
      <c r="E141" s="331">
        <v>17267</v>
      </c>
      <c r="F141" s="331">
        <v>405941691</v>
      </c>
      <c r="G141" s="331">
        <v>426195012</v>
      </c>
      <c r="H141" s="331">
        <v>832136703</v>
      </c>
      <c r="I141" s="331">
        <v>-1345404</v>
      </c>
      <c r="J141" s="319" t="s">
        <v>1041</v>
      </c>
      <c r="K141" s="319" t="s">
        <v>768</v>
      </c>
      <c r="L141" s="319" t="s">
        <v>194</v>
      </c>
      <c r="M141" s="319" t="s">
        <v>154</v>
      </c>
      <c r="N141" s="2"/>
      <c r="O141" s="4"/>
    </row>
    <row r="142" spans="1:15" ht="15" x14ac:dyDescent="0.25">
      <c r="A142" s="320">
        <v>182287</v>
      </c>
      <c r="B142" s="319" t="s">
        <v>301</v>
      </c>
      <c r="C142" s="331">
        <v>7649</v>
      </c>
      <c r="D142" s="331">
        <v>9332</v>
      </c>
      <c r="E142" s="331">
        <v>16981</v>
      </c>
      <c r="F142" s="331">
        <v>442782109</v>
      </c>
      <c r="G142" s="331">
        <v>652438290</v>
      </c>
      <c r="H142" s="331">
        <v>1095220399</v>
      </c>
      <c r="I142" s="331">
        <v>-333548</v>
      </c>
      <c r="J142" s="319" t="s">
        <v>1047</v>
      </c>
      <c r="K142" s="319" t="s">
        <v>771</v>
      </c>
      <c r="L142" s="319" t="s">
        <v>191</v>
      </c>
      <c r="M142" s="319" t="s">
        <v>68</v>
      </c>
      <c r="N142" s="2"/>
      <c r="O142" s="4"/>
    </row>
    <row r="143" spans="1:15" ht="15" x14ac:dyDescent="0.25">
      <c r="A143" s="320">
        <v>3</v>
      </c>
      <c r="B143" s="319" t="s">
        <v>769</v>
      </c>
      <c r="C143" s="331">
        <v>8117</v>
      </c>
      <c r="D143" s="331">
        <v>8851</v>
      </c>
      <c r="E143" s="331">
        <v>16968</v>
      </c>
      <c r="F143" s="331">
        <v>1468383268</v>
      </c>
      <c r="G143" s="331">
        <v>1790966044</v>
      </c>
      <c r="H143" s="331">
        <v>3259349312</v>
      </c>
      <c r="I143" s="331"/>
      <c r="J143" s="319" t="s">
        <v>831</v>
      </c>
      <c r="K143" s="319" t="s">
        <v>768</v>
      </c>
      <c r="L143" s="319" t="s">
        <v>766</v>
      </c>
      <c r="M143" s="319" t="s">
        <v>154</v>
      </c>
      <c r="N143" s="2"/>
      <c r="O143" s="4"/>
    </row>
    <row r="144" spans="1:15" ht="15" x14ac:dyDescent="0.25">
      <c r="A144" s="320">
        <v>829358</v>
      </c>
      <c r="B144" s="319" t="s">
        <v>260</v>
      </c>
      <c r="C144" s="331">
        <v>9613</v>
      </c>
      <c r="D144" s="331">
        <v>7310</v>
      </c>
      <c r="E144" s="331">
        <v>16923</v>
      </c>
      <c r="F144" s="331">
        <v>967979604</v>
      </c>
      <c r="G144" s="331">
        <v>861551885</v>
      </c>
      <c r="H144" s="331">
        <v>1829531489</v>
      </c>
      <c r="I144" s="331">
        <v>735313</v>
      </c>
      <c r="J144" s="319" t="s">
        <v>1022</v>
      </c>
      <c r="K144" s="319" t="s">
        <v>765</v>
      </c>
      <c r="L144" s="319" t="s">
        <v>209</v>
      </c>
      <c r="M144" s="319" t="s">
        <v>154</v>
      </c>
      <c r="N144" s="2"/>
      <c r="O144" s="4"/>
    </row>
    <row r="145" spans="1:15" ht="15" x14ac:dyDescent="0.25">
      <c r="A145" s="320">
        <v>901017</v>
      </c>
      <c r="B145" s="319" t="s">
        <v>259</v>
      </c>
      <c r="C145" s="331">
        <v>9070</v>
      </c>
      <c r="D145" s="331">
        <v>7790</v>
      </c>
      <c r="E145" s="331">
        <v>16860</v>
      </c>
      <c r="F145" s="331">
        <v>1052470582</v>
      </c>
      <c r="G145" s="331">
        <v>1055761825</v>
      </c>
      <c r="H145" s="331">
        <v>2108232407</v>
      </c>
      <c r="I145" s="331">
        <v>-1444145</v>
      </c>
      <c r="J145" s="319" t="s">
        <v>1022</v>
      </c>
      <c r="K145" s="319" t="s">
        <v>765</v>
      </c>
      <c r="L145" s="319" t="s">
        <v>209</v>
      </c>
      <c r="M145" s="319" t="s">
        <v>154</v>
      </c>
      <c r="N145" s="2"/>
      <c r="O145" s="4"/>
    </row>
    <row r="146" spans="1:15" ht="15" x14ac:dyDescent="0.25">
      <c r="A146" s="320">
        <v>707281</v>
      </c>
      <c r="B146" s="319" t="s">
        <v>272</v>
      </c>
      <c r="C146" s="331">
        <v>8998</v>
      </c>
      <c r="D146" s="331">
        <v>7704</v>
      </c>
      <c r="E146" s="331">
        <v>16702</v>
      </c>
      <c r="F146" s="331">
        <v>1052076495</v>
      </c>
      <c r="G146" s="331">
        <v>1113911113</v>
      </c>
      <c r="H146" s="331">
        <v>2165987608</v>
      </c>
      <c r="I146" s="331">
        <v>-707429</v>
      </c>
      <c r="J146" s="319" t="s">
        <v>1022</v>
      </c>
      <c r="K146" s="319" t="s">
        <v>765</v>
      </c>
      <c r="L146" s="319" t="s">
        <v>173</v>
      </c>
      <c r="M146" s="319" t="s">
        <v>154</v>
      </c>
      <c r="N146" s="2"/>
      <c r="O146" s="4"/>
    </row>
    <row r="147" spans="1:15" ht="15" x14ac:dyDescent="0.25">
      <c r="A147" s="320">
        <v>362020</v>
      </c>
      <c r="B147" s="319" t="s">
        <v>906</v>
      </c>
      <c r="C147" s="331">
        <v>7414</v>
      </c>
      <c r="D147" s="331">
        <v>9205</v>
      </c>
      <c r="E147" s="331">
        <v>16619</v>
      </c>
      <c r="F147" s="331">
        <v>263832903</v>
      </c>
      <c r="G147" s="331">
        <v>409881586</v>
      </c>
      <c r="H147" s="331">
        <v>673714489</v>
      </c>
      <c r="I147" s="331">
        <v>-2992323</v>
      </c>
      <c r="J147" s="319" t="s">
        <v>215</v>
      </c>
      <c r="K147" s="319" t="s">
        <v>771</v>
      </c>
      <c r="L147" s="319" t="s">
        <v>194</v>
      </c>
      <c r="M147" s="319" t="s">
        <v>154</v>
      </c>
      <c r="N147" s="2"/>
      <c r="O147" s="4"/>
    </row>
    <row r="148" spans="1:15" ht="15" x14ac:dyDescent="0.25">
      <c r="A148" s="320">
        <v>806869</v>
      </c>
      <c r="B148" s="319" t="s">
        <v>462</v>
      </c>
      <c r="C148" s="331">
        <v>6950</v>
      </c>
      <c r="D148" s="331">
        <v>9335</v>
      </c>
      <c r="E148" s="331">
        <v>16285</v>
      </c>
      <c r="F148" s="331">
        <v>411692584</v>
      </c>
      <c r="G148" s="331">
        <v>672721829</v>
      </c>
      <c r="H148" s="331">
        <v>1084414412</v>
      </c>
      <c r="I148" s="331">
        <v>399080443</v>
      </c>
      <c r="J148" s="319" t="s">
        <v>219</v>
      </c>
      <c r="K148" s="319" t="s">
        <v>771</v>
      </c>
      <c r="L148" s="319" t="s">
        <v>196</v>
      </c>
      <c r="M148" s="319" t="s">
        <v>154</v>
      </c>
      <c r="N148" s="2"/>
      <c r="O148" s="4"/>
    </row>
    <row r="149" spans="1:15" ht="15" x14ac:dyDescent="0.25">
      <c r="A149" s="320">
        <v>908277</v>
      </c>
      <c r="B149" s="319" t="s">
        <v>216</v>
      </c>
      <c r="C149" s="331">
        <v>7647</v>
      </c>
      <c r="D149" s="331">
        <v>8491</v>
      </c>
      <c r="E149" s="331">
        <v>16138</v>
      </c>
      <c r="F149" s="331">
        <v>528600626</v>
      </c>
      <c r="G149" s="331">
        <v>691847274</v>
      </c>
      <c r="H149" s="331">
        <v>1220447900</v>
      </c>
      <c r="I149" s="331">
        <v>-11041361</v>
      </c>
      <c r="J149" s="319" t="s">
        <v>181</v>
      </c>
      <c r="K149" s="319" t="s">
        <v>771</v>
      </c>
      <c r="L149" s="319" t="s">
        <v>168</v>
      </c>
      <c r="M149" s="319" t="s">
        <v>154</v>
      </c>
      <c r="N149" s="2"/>
      <c r="O149" s="4"/>
    </row>
    <row r="150" spans="1:15" ht="15" x14ac:dyDescent="0.25">
      <c r="A150" s="320">
        <v>350512</v>
      </c>
      <c r="B150" s="319" t="s">
        <v>1128</v>
      </c>
      <c r="C150" s="331">
        <v>8379</v>
      </c>
      <c r="D150" s="331">
        <v>7469</v>
      </c>
      <c r="E150" s="331">
        <v>15848</v>
      </c>
      <c r="F150" s="331">
        <v>1477430625</v>
      </c>
      <c r="G150" s="331">
        <v>1461578530</v>
      </c>
      <c r="H150" s="331">
        <v>2939009156</v>
      </c>
      <c r="I150" s="331">
        <v>42110158</v>
      </c>
      <c r="J150" s="319" t="s">
        <v>1022</v>
      </c>
      <c r="K150" s="319" t="s">
        <v>765</v>
      </c>
      <c r="L150" s="319" t="s">
        <v>158</v>
      </c>
      <c r="M150" s="319" t="s">
        <v>68</v>
      </c>
      <c r="N150" s="2"/>
      <c r="O150" s="4"/>
    </row>
    <row r="151" spans="1:15" ht="15" x14ac:dyDescent="0.25">
      <c r="A151" s="320">
        <v>260919</v>
      </c>
      <c r="B151" s="319" t="s">
        <v>695</v>
      </c>
      <c r="C151" s="331">
        <v>6715</v>
      </c>
      <c r="D151" s="331">
        <v>8662</v>
      </c>
      <c r="E151" s="331">
        <v>15377</v>
      </c>
      <c r="F151" s="331">
        <v>354109619</v>
      </c>
      <c r="G151" s="331">
        <v>541427276</v>
      </c>
      <c r="H151" s="331">
        <v>895536894</v>
      </c>
      <c r="I151" s="331">
        <v>-7179911</v>
      </c>
      <c r="J151" s="319" t="s">
        <v>1051</v>
      </c>
      <c r="K151" s="319" t="s">
        <v>771</v>
      </c>
      <c r="L151" s="319" t="s">
        <v>955</v>
      </c>
      <c r="M151" s="319" t="s">
        <v>68</v>
      </c>
      <c r="N151" s="2"/>
      <c r="O151" s="4"/>
    </row>
    <row r="152" spans="1:15" ht="15" x14ac:dyDescent="0.25">
      <c r="A152" s="320">
        <v>434274</v>
      </c>
      <c r="B152" s="319" t="s">
        <v>952</v>
      </c>
      <c r="C152" s="331">
        <v>5395</v>
      </c>
      <c r="D152" s="331">
        <v>9975</v>
      </c>
      <c r="E152" s="331">
        <v>15370</v>
      </c>
      <c r="F152" s="331">
        <v>345667881</v>
      </c>
      <c r="G152" s="331">
        <v>748125113</v>
      </c>
      <c r="H152" s="331">
        <v>1093792993</v>
      </c>
      <c r="I152" s="331">
        <v>49901750</v>
      </c>
      <c r="J152" s="319" t="s">
        <v>295</v>
      </c>
      <c r="K152" s="319" t="s">
        <v>771</v>
      </c>
      <c r="L152" s="319" t="s">
        <v>173</v>
      </c>
      <c r="M152" s="319" t="s">
        <v>154</v>
      </c>
      <c r="N152" s="2"/>
      <c r="O152" s="4"/>
    </row>
    <row r="153" spans="1:15" ht="15" x14ac:dyDescent="0.25">
      <c r="A153" s="320">
        <v>362327</v>
      </c>
      <c r="B153" s="319" t="s">
        <v>523</v>
      </c>
      <c r="C153" s="331">
        <v>6601</v>
      </c>
      <c r="D153" s="331">
        <v>8625</v>
      </c>
      <c r="E153" s="331">
        <v>15226</v>
      </c>
      <c r="F153" s="331">
        <v>318774159</v>
      </c>
      <c r="G153" s="331">
        <v>519794779</v>
      </c>
      <c r="H153" s="331">
        <v>838568938</v>
      </c>
      <c r="I153" s="331">
        <v>2677058</v>
      </c>
      <c r="J153" s="319" t="s">
        <v>1048</v>
      </c>
      <c r="K153" s="319" t="s">
        <v>771</v>
      </c>
      <c r="L153" s="319" t="s">
        <v>224</v>
      </c>
      <c r="M153" s="319" t="s">
        <v>68</v>
      </c>
      <c r="N153" s="2"/>
      <c r="O153" s="4"/>
    </row>
    <row r="154" spans="1:15" ht="15" x14ac:dyDescent="0.25">
      <c r="A154" s="320">
        <v>191676</v>
      </c>
      <c r="B154" s="319" t="s">
        <v>992</v>
      </c>
      <c r="C154" s="331">
        <v>5430</v>
      </c>
      <c r="D154" s="331">
        <v>9759</v>
      </c>
      <c r="E154" s="331">
        <v>15189</v>
      </c>
      <c r="F154" s="331">
        <v>397469638</v>
      </c>
      <c r="G154" s="331">
        <v>801594333</v>
      </c>
      <c r="H154" s="331">
        <v>1199063970</v>
      </c>
      <c r="I154" s="331">
        <v>42578398</v>
      </c>
      <c r="J154" s="319" t="s">
        <v>253</v>
      </c>
      <c r="K154" s="319" t="s">
        <v>771</v>
      </c>
      <c r="L154" s="319" t="s">
        <v>455</v>
      </c>
      <c r="M154" s="319" t="s">
        <v>68</v>
      </c>
      <c r="N154" s="2"/>
      <c r="O154" s="4"/>
    </row>
    <row r="155" spans="1:15" ht="15" x14ac:dyDescent="0.25">
      <c r="A155" s="320">
        <v>599795</v>
      </c>
      <c r="B155" s="319" t="s">
        <v>382</v>
      </c>
      <c r="C155" s="331">
        <v>8407</v>
      </c>
      <c r="D155" s="331">
        <v>6751</v>
      </c>
      <c r="E155" s="331">
        <v>15158</v>
      </c>
      <c r="F155" s="331">
        <v>297751597</v>
      </c>
      <c r="G155" s="331">
        <v>281519719</v>
      </c>
      <c r="H155" s="331">
        <v>579271316</v>
      </c>
      <c r="I155" s="331">
        <v>-3243804</v>
      </c>
      <c r="J155" s="319" t="s">
        <v>1041</v>
      </c>
      <c r="K155" s="319" t="s">
        <v>768</v>
      </c>
      <c r="L155" s="319" t="s">
        <v>173</v>
      </c>
      <c r="M155" s="319" t="s">
        <v>154</v>
      </c>
      <c r="N155" s="2"/>
      <c r="O155" s="4"/>
    </row>
    <row r="156" spans="1:15" ht="15" x14ac:dyDescent="0.25">
      <c r="A156" s="320">
        <v>751495</v>
      </c>
      <c r="B156" s="319" t="s">
        <v>1004</v>
      </c>
      <c r="C156" s="331">
        <v>7150</v>
      </c>
      <c r="D156" s="331">
        <v>7859</v>
      </c>
      <c r="E156" s="331">
        <v>15009</v>
      </c>
      <c r="F156" s="331">
        <v>542380817</v>
      </c>
      <c r="G156" s="331">
        <v>705772242</v>
      </c>
      <c r="H156" s="331">
        <v>1248153060</v>
      </c>
      <c r="I156" s="331">
        <v>1676237</v>
      </c>
      <c r="J156" s="319" t="s">
        <v>318</v>
      </c>
      <c r="K156" s="319" t="s">
        <v>771</v>
      </c>
      <c r="L156" s="319" t="s">
        <v>194</v>
      </c>
      <c r="M156" s="319" t="s">
        <v>154</v>
      </c>
      <c r="N156" s="2"/>
      <c r="O156" s="4"/>
    </row>
    <row r="157" spans="1:15" ht="15" x14ac:dyDescent="0.25">
      <c r="A157" s="320">
        <v>844522</v>
      </c>
      <c r="B157" s="319" t="s">
        <v>231</v>
      </c>
      <c r="C157" s="331">
        <v>7876</v>
      </c>
      <c r="D157" s="331">
        <v>7046</v>
      </c>
      <c r="E157" s="331">
        <v>14922</v>
      </c>
      <c r="F157" s="331">
        <v>695244630</v>
      </c>
      <c r="G157" s="331">
        <v>757103057</v>
      </c>
      <c r="H157" s="331">
        <v>1452347687</v>
      </c>
      <c r="I157" s="331">
        <v>-2669235</v>
      </c>
      <c r="J157" s="319" t="s">
        <v>1022</v>
      </c>
      <c r="K157" s="319" t="s">
        <v>765</v>
      </c>
      <c r="L157" s="319" t="s">
        <v>178</v>
      </c>
      <c r="M157" s="319" t="s">
        <v>154</v>
      </c>
      <c r="N157" s="2"/>
      <c r="O157" s="4"/>
    </row>
    <row r="158" spans="1:15" ht="15" x14ac:dyDescent="0.25">
      <c r="A158" s="320">
        <v>252411</v>
      </c>
      <c r="B158" s="319" t="s">
        <v>290</v>
      </c>
      <c r="C158" s="331">
        <v>6478</v>
      </c>
      <c r="D158" s="331">
        <v>8385</v>
      </c>
      <c r="E158" s="331">
        <v>14863</v>
      </c>
      <c r="F158" s="331">
        <v>424996409</v>
      </c>
      <c r="G158" s="331">
        <v>630459896</v>
      </c>
      <c r="H158" s="331">
        <v>1055456305</v>
      </c>
      <c r="I158" s="331">
        <v>-7951569</v>
      </c>
      <c r="J158" s="319" t="s">
        <v>181</v>
      </c>
      <c r="K158" s="319" t="s">
        <v>771</v>
      </c>
      <c r="L158" s="319" t="s">
        <v>207</v>
      </c>
      <c r="M158" s="319" t="s">
        <v>154</v>
      </c>
      <c r="N158" s="2"/>
      <c r="O158" s="4"/>
    </row>
    <row r="159" spans="1:15" ht="15" x14ac:dyDescent="0.25">
      <c r="A159" s="320">
        <v>838383</v>
      </c>
      <c r="B159" s="319" t="s">
        <v>432</v>
      </c>
      <c r="C159" s="331">
        <v>6148</v>
      </c>
      <c r="D159" s="331">
        <v>8642</v>
      </c>
      <c r="E159" s="331">
        <v>14790</v>
      </c>
      <c r="F159" s="331">
        <v>273446520</v>
      </c>
      <c r="G159" s="331">
        <v>480174300</v>
      </c>
      <c r="H159" s="331">
        <v>753620820</v>
      </c>
      <c r="I159" s="331">
        <v>844784</v>
      </c>
      <c r="J159" s="319" t="s">
        <v>1048</v>
      </c>
      <c r="K159" s="319" t="s">
        <v>771</v>
      </c>
      <c r="L159" s="319" t="s">
        <v>188</v>
      </c>
      <c r="M159" s="319" t="s">
        <v>154</v>
      </c>
      <c r="N159" s="2"/>
      <c r="O159" s="4"/>
    </row>
    <row r="160" spans="1:15" ht="15" customHeight="1" x14ac:dyDescent="0.25">
      <c r="A160" s="320">
        <v>464081</v>
      </c>
      <c r="B160" s="319" t="s">
        <v>869</v>
      </c>
      <c r="C160" s="331">
        <v>7774</v>
      </c>
      <c r="D160" s="331">
        <v>6883</v>
      </c>
      <c r="E160" s="331">
        <v>14657</v>
      </c>
      <c r="F160" s="331">
        <v>1363215422</v>
      </c>
      <c r="G160" s="331">
        <v>1455211562</v>
      </c>
      <c r="H160" s="331">
        <v>2818426985</v>
      </c>
      <c r="I160" s="331">
        <v>-16255034</v>
      </c>
      <c r="J160" s="319" t="s">
        <v>1024</v>
      </c>
      <c r="K160" s="319" t="s">
        <v>768</v>
      </c>
      <c r="L160" s="319" t="s">
        <v>247</v>
      </c>
      <c r="M160" s="319" t="s">
        <v>154</v>
      </c>
      <c r="N160" s="2"/>
      <c r="O160" s="4"/>
    </row>
    <row r="161" spans="1:15" ht="15" x14ac:dyDescent="0.25">
      <c r="A161" s="320">
        <v>534800</v>
      </c>
      <c r="B161" s="319" t="s">
        <v>177</v>
      </c>
      <c r="C161" s="331">
        <v>8056</v>
      </c>
      <c r="D161" s="331">
        <v>6573</v>
      </c>
      <c r="E161" s="331">
        <v>14629</v>
      </c>
      <c r="F161" s="331">
        <v>301519473</v>
      </c>
      <c r="G161" s="331">
        <v>331036382</v>
      </c>
      <c r="H161" s="331">
        <v>632555855</v>
      </c>
      <c r="I161" s="331">
        <v>-8024327</v>
      </c>
      <c r="J161" s="319" t="s">
        <v>1040</v>
      </c>
      <c r="K161" s="319" t="s">
        <v>772</v>
      </c>
      <c r="L161" s="319" t="s">
        <v>178</v>
      </c>
      <c r="M161" s="319" t="s">
        <v>154</v>
      </c>
      <c r="N161" s="2"/>
      <c r="O161" s="4"/>
    </row>
    <row r="162" spans="1:15" ht="15" x14ac:dyDescent="0.25">
      <c r="A162" s="320">
        <v>158261</v>
      </c>
      <c r="B162" s="319" t="s">
        <v>909</v>
      </c>
      <c r="C162" s="331">
        <v>7247</v>
      </c>
      <c r="D162" s="331">
        <v>7051</v>
      </c>
      <c r="E162" s="331">
        <v>14298</v>
      </c>
      <c r="F162" s="331">
        <v>479015307</v>
      </c>
      <c r="G162" s="331">
        <v>579515943</v>
      </c>
      <c r="H162" s="331">
        <v>1058531249</v>
      </c>
      <c r="I162" s="331">
        <v>-4195097</v>
      </c>
      <c r="J162" s="319" t="s">
        <v>219</v>
      </c>
      <c r="K162" s="319" t="s">
        <v>771</v>
      </c>
      <c r="L162" s="319" t="s">
        <v>209</v>
      </c>
      <c r="M162" s="319" t="s">
        <v>154</v>
      </c>
      <c r="N162" s="2"/>
      <c r="O162" s="4"/>
    </row>
    <row r="163" spans="1:15" ht="15" x14ac:dyDescent="0.25">
      <c r="A163" s="320">
        <v>450981</v>
      </c>
      <c r="B163" s="319" t="s">
        <v>591</v>
      </c>
      <c r="C163" s="331">
        <v>6522</v>
      </c>
      <c r="D163" s="331">
        <v>7646</v>
      </c>
      <c r="E163" s="331">
        <v>14168</v>
      </c>
      <c r="F163" s="331">
        <v>520814039</v>
      </c>
      <c r="G163" s="331">
        <v>748785943</v>
      </c>
      <c r="H163" s="331">
        <v>1269599982</v>
      </c>
      <c r="I163" s="331">
        <v>748164</v>
      </c>
      <c r="J163" s="319" t="s">
        <v>219</v>
      </c>
      <c r="K163" s="319" t="s">
        <v>771</v>
      </c>
      <c r="L163" s="319" t="s">
        <v>584</v>
      </c>
      <c r="M163" s="319" t="s">
        <v>68</v>
      </c>
      <c r="N163" s="2"/>
      <c r="O163" s="4"/>
    </row>
    <row r="164" spans="1:15" ht="15" x14ac:dyDescent="0.25">
      <c r="A164" s="320">
        <v>972679</v>
      </c>
      <c r="B164" s="319" t="s">
        <v>261</v>
      </c>
      <c r="C164" s="331">
        <v>7408</v>
      </c>
      <c r="D164" s="331">
        <v>6492</v>
      </c>
      <c r="E164" s="331">
        <v>13900</v>
      </c>
      <c r="F164" s="331">
        <v>592546876</v>
      </c>
      <c r="G164" s="331">
        <v>592227909</v>
      </c>
      <c r="H164" s="331">
        <v>1184774785</v>
      </c>
      <c r="I164" s="331">
        <v>-4687832</v>
      </c>
      <c r="J164" s="319" t="s">
        <v>159</v>
      </c>
      <c r="K164" s="319" t="s">
        <v>765</v>
      </c>
      <c r="L164" s="319" t="s">
        <v>209</v>
      </c>
      <c r="M164" s="319" t="s">
        <v>154</v>
      </c>
      <c r="N164" s="2"/>
      <c r="O164" s="4"/>
    </row>
    <row r="165" spans="1:15" ht="15" x14ac:dyDescent="0.25">
      <c r="A165" s="320">
        <v>904904</v>
      </c>
      <c r="B165" s="319" t="s">
        <v>892</v>
      </c>
      <c r="C165" s="331">
        <v>6838</v>
      </c>
      <c r="D165" s="331">
        <v>7038</v>
      </c>
      <c r="E165" s="331">
        <v>13876</v>
      </c>
      <c r="F165" s="331">
        <v>377344141</v>
      </c>
      <c r="G165" s="331">
        <v>449265750</v>
      </c>
      <c r="H165" s="331">
        <v>826609891</v>
      </c>
      <c r="I165" s="331">
        <v>-4131952</v>
      </c>
      <c r="J165" s="319" t="s">
        <v>219</v>
      </c>
      <c r="K165" s="319" t="s">
        <v>771</v>
      </c>
      <c r="L165" s="319" t="s">
        <v>166</v>
      </c>
      <c r="M165" s="319" t="s">
        <v>154</v>
      </c>
      <c r="N165" s="2"/>
      <c r="O165" s="4"/>
    </row>
    <row r="166" spans="1:15" ht="15" x14ac:dyDescent="0.25">
      <c r="A166" s="320">
        <v>840090</v>
      </c>
      <c r="B166" s="319" t="s">
        <v>222</v>
      </c>
      <c r="C166" s="331">
        <v>8132</v>
      </c>
      <c r="D166" s="331">
        <v>5660</v>
      </c>
      <c r="E166" s="331">
        <v>13792</v>
      </c>
      <c r="F166" s="331">
        <v>645890633</v>
      </c>
      <c r="G166" s="331">
        <v>498794287</v>
      </c>
      <c r="H166" s="331">
        <v>1144684919</v>
      </c>
      <c r="I166" s="331">
        <v>16441021</v>
      </c>
      <c r="J166" s="319" t="s">
        <v>1033</v>
      </c>
      <c r="K166" s="319" t="s">
        <v>772</v>
      </c>
      <c r="L166" s="319" t="s">
        <v>191</v>
      </c>
      <c r="M166" s="319" t="s">
        <v>68</v>
      </c>
      <c r="N166" s="2"/>
      <c r="O166" s="4"/>
    </row>
    <row r="167" spans="1:15" ht="15" x14ac:dyDescent="0.25">
      <c r="A167" s="320">
        <v>943159</v>
      </c>
      <c r="B167" s="319" t="s">
        <v>872</v>
      </c>
      <c r="C167" s="331">
        <v>6193</v>
      </c>
      <c r="D167" s="331">
        <v>7591</v>
      </c>
      <c r="E167" s="331">
        <v>13784</v>
      </c>
      <c r="F167" s="331">
        <v>184776608</v>
      </c>
      <c r="G167" s="331">
        <v>288749247</v>
      </c>
      <c r="H167" s="331">
        <v>473525855</v>
      </c>
      <c r="I167" s="331">
        <v>2091454</v>
      </c>
      <c r="J167" s="319" t="s">
        <v>201</v>
      </c>
      <c r="K167" s="319" t="s">
        <v>771</v>
      </c>
      <c r="L167" s="319" t="s">
        <v>171</v>
      </c>
      <c r="M167" s="319" t="s">
        <v>154</v>
      </c>
      <c r="N167" s="2"/>
      <c r="O167" s="4"/>
    </row>
    <row r="168" spans="1:15" ht="15" x14ac:dyDescent="0.25">
      <c r="A168" s="320">
        <v>278853</v>
      </c>
      <c r="B168" s="319" t="s">
        <v>1126</v>
      </c>
      <c r="C168" s="331">
        <v>7040</v>
      </c>
      <c r="D168" s="331">
        <v>6675</v>
      </c>
      <c r="E168" s="331">
        <v>13715</v>
      </c>
      <c r="F168" s="331">
        <v>1149389416</v>
      </c>
      <c r="G168" s="331">
        <v>1188237177</v>
      </c>
      <c r="H168" s="331">
        <v>2337626593</v>
      </c>
      <c r="I168" s="331">
        <v>33600980</v>
      </c>
      <c r="J168" s="319" t="s">
        <v>1022</v>
      </c>
      <c r="K168" s="319" t="s">
        <v>765</v>
      </c>
      <c r="L168" s="319" t="s">
        <v>158</v>
      </c>
      <c r="M168" s="319" t="s">
        <v>68</v>
      </c>
      <c r="N168" s="2"/>
      <c r="O168" s="4"/>
    </row>
    <row r="169" spans="1:15" ht="15" x14ac:dyDescent="0.25">
      <c r="A169" s="320">
        <v>705806</v>
      </c>
      <c r="B169" s="319" t="s">
        <v>754</v>
      </c>
      <c r="C169" s="331">
        <v>6301</v>
      </c>
      <c r="D169" s="331">
        <v>7365</v>
      </c>
      <c r="E169" s="331">
        <v>13666</v>
      </c>
      <c r="F169" s="331">
        <v>95835491</v>
      </c>
      <c r="G169" s="331">
        <v>167576251</v>
      </c>
      <c r="H169" s="331">
        <v>263411742</v>
      </c>
      <c r="I169" s="331">
        <v>719737</v>
      </c>
      <c r="J169" s="319" t="s">
        <v>298</v>
      </c>
      <c r="K169" s="319" t="s">
        <v>771</v>
      </c>
      <c r="L169" s="319" t="s">
        <v>686</v>
      </c>
      <c r="M169" s="319" t="s">
        <v>154</v>
      </c>
      <c r="N169" s="2"/>
      <c r="O169" s="4"/>
    </row>
    <row r="170" spans="1:15" ht="15" x14ac:dyDescent="0.25">
      <c r="A170" s="320">
        <v>117002</v>
      </c>
      <c r="B170" s="319" t="s">
        <v>307</v>
      </c>
      <c r="C170" s="331">
        <v>9301</v>
      </c>
      <c r="D170" s="331">
        <v>4119</v>
      </c>
      <c r="E170" s="331">
        <v>13420</v>
      </c>
      <c r="F170" s="331">
        <v>637112983</v>
      </c>
      <c r="G170" s="331">
        <v>265594580</v>
      </c>
      <c r="H170" s="331">
        <v>902707563</v>
      </c>
      <c r="I170" s="331">
        <v>-3697346</v>
      </c>
      <c r="J170" s="319" t="s">
        <v>1024</v>
      </c>
      <c r="K170" s="319" t="s">
        <v>768</v>
      </c>
      <c r="L170" s="319" t="s">
        <v>166</v>
      </c>
      <c r="M170" s="319" t="s">
        <v>154</v>
      </c>
      <c r="N170" s="2"/>
      <c r="O170" s="4"/>
    </row>
    <row r="171" spans="1:15" ht="15" x14ac:dyDescent="0.25">
      <c r="A171" s="320">
        <v>152835</v>
      </c>
      <c r="B171" s="319" t="s">
        <v>306</v>
      </c>
      <c r="C171" s="331">
        <v>9534</v>
      </c>
      <c r="D171" s="331">
        <v>3761</v>
      </c>
      <c r="E171" s="331">
        <v>13295</v>
      </c>
      <c r="F171" s="331">
        <v>977516470</v>
      </c>
      <c r="G171" s="331">
        <v>427723472</v>
      </c>
      <c r="H171" s="331">
        <v>1405239942</v>
      </c>
      <c r="I171" s="331">
        <v>-4096065</v>
      </c>
      <c r="J171" s="319" t="s">
        <v>1026</v>
      </c>
      <c r="K171" s="319" t="s">
        <v>771</v>
      </c>
      <c r="L171" s="319" t="s">
        <v>166</v>
      </c>
      <c r="M171" s="319" t="s">
        <v>154</v>
      </c>
      <c r="N171" s="2"/>
      <c r="O171" s="4"/>
    </row>
    <row r="172" spans="1:15" ht="15" x14ac:dyDescent="0.25">
      <c r="A172" s="320">
        <v>504100</v>
      </c>
      <c r="B172" s="319" t="s">
        <v>1053</v>
      </c>
      <c r="C172" s="331">
        <v>5316</v>
      </c>
      <c r="D172" s="331">
        <v>7876</v>
      </c>
      <c r="E172" s="331">
        <v>13192</v>
      </c>
      <c r="F172" s="331">
        <v>276556657</v>
      </c>
      <c r="G172" s="331">
        <v>519625712</v>
      </c>
      <c r="H172" s="331">
        <v>796182369</v>
      </c>
      <c r="I172" s="331">
        <v>34094653</v>
      </c>
      <c r="J172" s="319" t="s">
        <v>1048</v>
      </c>
      <c r="K172" s="319" t="s">
        <v>771</v>
      </c>
      <c r="L172" s="319" t="s">
        <v>194</v>
      </c>
      <c r="M172" s="319" t="s">
        <v>154</v>
      </c>
      <c r="N172" s="2"/>
      <c r="O172" s="4"/>
    </row>
    <row r="173" spans="1:15" ht="15" x14ac:dyDescent="0.25">
      <c r="A173" s="320">
        <v>671453</v>
      </c>
      <c r="B173" s="319" t="s">
        <v>280</v>
      </c>
      <c r="C173" s="331">
        <v>7328</v>
      </c>
      <c r="D173" s="331">
        <v>5826</v>
      </c>
      <c r="E173" s="331">
        <v>13154</v>
      </c>
      <c r="F173" s="331">
        <v>794881404</v>
      </c>
      <c r="G173" s="331">
        <v>785455258</v>
      </c>
      <c r="H173" s="331">
        <v>1580336662</v>
      </c>
      <c r="I173" s="331">
        <v>792603</v>
      </c>
      <c r="J173" s="319" t="s">
        <v>1022</v>
      </c>
      <c r="K173" s="319" t="s">
        <v>765</v>
      </c>
      <c r="L173" s="319" t="s">
        <v>173</v>
      </c>
      <c r="M173" s="319" t="s">
        <v>154</v>
      </c>
      <c r="N173" s="2"/>
      <c r="O173" s="4"/>
    </row>
    <row r="174" spans="1:15" ht="15" x14ac:dyDescent="0.25">
      <c r="A174" s="320">
        <v>305243</v>
      </c>
      <c r="B174" s="319" t="s">
        <v>820</v>
      </c>
      <c r="C174" s="331">
        <v>6183</v>
      </c>
      <c r="D174" s="331">
        <v>6944</v>
      </c>
      <c r="E174" s="331">
        <v>13127</v>
      </c>
      <c r="F174" s="331">
        <v>224798122</v>
      </c>
      <c r="G174" s="331">
        <v>324820161</v>
      </c>
      <c r="H174" s="331">
        <v>549618283</v>
      </c>
      <c r="I174" s="331">
        <v>-467127</v>
      </c>
      <c r="J174" s="319" t="s">
        <v>295</v>
      </c>
      <c r="K174" s="319" t="s">
        <v>771</v>
      </c>
      <c r="L174" s="319" t="s">
        <v>563</v>
      </c>
      <c r="M174" s="319" t="s">
        <v>68</v>
      </c>
      <c r="N174" s="2"/>
      <c r="O174" s="4"/>
    </row>
    <row r="175" spans="1:15" ht="15" x14ac:dyDescent="0.25">
      <c r="A175" s="320">
        <v>122432</v>
      </c>
      <c r="B175" s="319" t="s">
        <v>385</v>
      </c>
      <c r="C175" s="331">
        <v>6675</v>
      </c>
      <c r="D175" s="331">
        <v>6224</v>
      </c>
      <c r="E175" s="331">
        <v>12899</v>
      </c>
      <c r="F175" s="331">
        <v>265001719</v>
      </c>
      <c r="G175" s="331">
        <v>296915654</v>
      </c>
      <c r="H175" s="331">
        <v>561917372</v>
      </c>
      <c r="I175" s="331">
        <v>-728259</v>
      </c>
      <c r="J175" s="319" t="s">
        <v>215</v>
      </c>
      <c r="K175" s="319" t="s">
        <v>771</v>
      </c>
      <c r="L175" s="319" t="s">
        <v>209</v>
      </c>
      <c r="M175" s="319" t="s">
        <v>154</v>
      </c>
      <c r="N175" s="2"/>
      <c r="O175" s="4"/>
    </row>
    <row r="176" spans="1:15" ht="15" x14ac:dyDescent="0.25">
      <c r="A176" s="320">
        <v>420646</v>
      </c>
      <c r="B176" s="319" t="s">
        <v>172</v>
      </c>
      <c r="C176" s="331">
        <v>6737</v>
      </c>
      <c r="D176" s="331">
        <v>6092</v>
      </c>
      <c r="E176" s="331">
        <v>12829</v>
      </c>
      <c r="F176" s="331">
        <v>221181278</v>
      </c>
      <c r="G176" s="331">
        <v>251364111</v>
      </c>
      <c r="H176" s="331">
        <v>472545389</v>
      </c>
      <c r="I176" s="331">
        <v>-5766566</v>
      </c>
      <c r="J176" s="319" t="s">
        <v>1031</v>
      </c>
      <c r="K176" s="319" t="s">
        <v>772</v>
      </c>
      <c r="L176" s="319" t="s">
        <v>173</v>
      </c>
      <c r="M176" s="319" t="s">
        <v>154</v>
      </c>
      <c r="N176" s="2"/>
      <c r="O176" s="4"/>
    </row>
    <row r="177" spans="1:15" ht="15" x14ac:dyDescent="0.25">
      <c r="A177" s="320">
        <v>929224</v>
      </c>
      <c r="B177" s="319" t="s">
        <v>1093</v>
      </c>
      <c r="C177" s="331">
        <v>5587</v>
      </c>
      <c r="D177" s="331">
        <v>7180</v>
      </c>
      <c r="E177" s="331">
        <v>12767</v>
      </c>
      <c r="F177" s="331">
        <v>253237081</v>
      </c>
      <c r="G177" s="331">
        <v>402498462</v>
      </c>
      <c r="H177" s="331">
        <v>655735543</v>
      </c>
      <c r="I177" s="331">
        <v>-4157495</v>
      </c>
      <c r="J177" s="319" t="s">
        <v>1047</v>
      </c>
      <c r="K177" s="319" t="s">
        <v>771</v>
      </c>
      <c r="L177" s="319" t="s">
        <v>888</v>
      </c>
      <c r="M177" s="319" t="s">
        <v>154</v>
      </c>
      <c r="N177" s="2"/>
      <c r="O177" s="4"/>
    </row>
    <row r="178" spans="1:15" ht="15" x14ac:dyDescent="0.25">
      <c r="A178" s="320">
        <v>950774</v>
      </c>
      <c r="B178" s="319" t="s">
        <v>421</v>
      </c>
      <c r="C178" s="331">
        <v>5830</v>
      </c>
      <c r="D178" s="331">
        <v>6815</v>
      </c>
      <c r="E178" s="331">
        <v>12645</v>
      </c>
      <c r="F178" s="331">
        <v>228380595</v>
      </c>
      <c r="G178" s="331">
        <v>358511181</v>
      </c>
      <c r="H178" s="331">
        <v>586891776</v>
      </c>
      <c r="I178" s="331">
        <v>2121908</v>
      </c>
      <c r="J178" s="319" t="s">
        <v>295</v>
      </c>
      <c r="K178" s="319" t="s">
        <v>771</v>
      </c>
      <c r="L178" s="319" t="s">
        <v>209</v>
      </c>
      <c r="M178" s="319" t="s">
        <v>154</v>
      </c>
      <c r="N178" s="2"/>
      <c r="O178" s="4"/>
    </row>
    <row r="179" spans="1:15" ht="15" x14ac:dyDescent="0.25">
      <c r="A179" s="320">
        <v>618629</v>
      </c>
      <c r="B179" s="319" t="s">
        <v>477</v>
      </c>
      <c r="C179" s="331">
        <v>5179</v>
      </c>
      <c r="D179" s="331">
        <v>7318</v>
      </c>
      <c r="E179" s="331">
        <v>12497</v>
      </c>
      <c r="F179" s="331">
        <v>249959599</v>
      </c>
      <c r="G179" s="331">
        <v>434430444</v>
      </c>
      <c r="H179" s="331">
        <v>684390043</v>
      </c>
      <c r="I179" s="331">
        <v>146383199</v>
      </c>
      <c r="J179" s="319" t="s">
        <v>1048</v>
      </c>
      <c r="K179" s="319" t="s">
        <v>771</v>
      </c>
      <c r="L179" s="319" t="s">
        <v>226</v>
      </c>
      <c r="M179" s="319" t="s">
        <v>154</v>
      </c>
      <c r="N179" s="2"/>
      <c r="O179" s="4"/>
    </row>
    <row r="180" spans="1:15" ht="15" x14ac:dyDescent="0.25">
      <c r="A180" s="320">
        <v>469692</v>
      </c>
      <c r="B180" s="319" t="s">
        <v>404</v>
      </c>
      <c r="C180" s="331">
        <v>4742</v>
      </c>
      <c r="D180" s="331">
        <v>7702</v>
      </c>
      <c r="E180" s="331">
        <v>12444</v>
      </c>
      <c r="F180" s="331">
        <v>212813289</v>
      </c>
      <c r="G180" s="331">
        <v>474379486</v>
      </c>
      <c r="H180" s="331">
        <v>687192775</v>
      </c>
      <c r="I180" s="331">
        <v>-9003556</v>
      </c>
      <c r="J180" s="319" t="s">
        <v>1057</v>
      </c>
      <c r="K180" s="319" t="s">
        <v>771</v>
      </c>
      <c r="L180" s="319" t="s">
        <v>191</v>
      </c>
      <c r="M180" s="319" t="s">
        <v>68</v>
      </c>
      <c r="N180" s="2"/>
      <c r="O180" s="4"/>
    </row>
    <row r="181" spans="1:15" ht="15" x14ac:dyDescent="0.25">
      <c r="A181" s="320">
        <v>690289</v>
      </c>
      <c r="B181" s="319" t="s">
        <v>430</v>
      </c>
      <c r="C181" s="331">
        <v>5946</v>
      </c>
      <c r="D181" s="331">
        <v>6435</v>
      </c>
      <c r="E181" s="331">
        <v>12381</v>
      </c>
      <c r="F181" s="331">
        <v>362462409</v>
      </c>
      <c r="G181" s="331">
        <v>471543234</v>
      </c>
      <c r="H181" s="331">
        <v>834005643</v>
      </c>
      <c r="I181" s="331">
        <v>-2384671</v>
      </c>
      <c r="J181" s="319" t="s">
        <v>219</v>
      </c>
      <c r="K181" s="319" t="s">
        <v>771</v>
      </c>
      <c r="L181" s="319" t="s">
        <v>226</v>
      </c>
      <c r="M181" s="319" t="s">
        <v>154</v>
      </c>
      <c r="N181" s="2"/>
      <c r="O181" s="4"/>
    </row>
    <row r="182" spans="1:15" ht="15" x14ac:dyDescent="0.25">
      <c r="A182" s="320">
        <v>479550</v>
      </c>
      <c r="B182" s="319" t="s">
        <v>338</v>
      </c>
      <c r="C182" s="331">
        <v>6197</v>
      </c>
      <c r="D182" s="331">
        <v>6090</v>
      </c>
      <c r="E182" s="331">
        <v>12287</v>
      </c>
      <c r="F182" s="331">
        <v>372779430</v>
      </c>
      <c r="G182" s="331">
        <v>430628939</v>
      </c>
      <c r="H182" s="331">
        <v>803408369</v>
      </c>
      <c r="I182" s="331">
        <v>-3168797</v>
      </c>
      <c r="J182" s="319" t="s">
        <v>181</v>
      </c>
      <c r="K182" s="319" t="s">
        <v>771</v>
      </c>
      <c r="L182" s="319" t="s">
        <v>204</v>
      </c>
      <c r="M182" s="319" t="s">
        <v>68</v>
      </c>
      <c r="N182" s="2"/>
      <c r="O182" s="4"/>
    </row>
    <row r="183" spans="1:15" ht="15" x14ac:dyDescent="0.25">
      <c r="A183" s="320">
        <v>762880</v>
      </c>
      <c r="B183" s="319" t="s">
        <v>411</v>
      </c>
      <c r="C183" s="331">
        <v>6230</v>
      </c>
      <c r="D183" s="331">
        <v>5873</v>
      </c>
      <c r="E183" s="331">
        <v>12103</v>
      </c>
      <c r="F183" s="331">
        <v>458265929</v>
      </c>
      <c r="G183" s="331">
        <v>563831614</v>
      </c>
      <c r="H183" s="331">
        <v>1022097543</v>
      </c>
      <c r="I183" s="331">
        <v>-5574319</v>
      </c>
      <c r="J183" s="319" t="s">
        <v>295</v>
      </c>
      <c r="K183" s="319" t="s">
        <v>771</v>
      </c>
      <c r="L183" s="319" t="s">
        <v>942</v>
      </c>
      <c r="M183" s="319" t="s">
        <v>68</v>
      </c>
      <c r="N183" s="2"/>
      <c r="O183" s="4"/>
    </row>
    <row r="184" spans="1:15" ht="15" x14ac:dyDescent="0.25">
      <c r="A184" s="320">
        <v>442483</v>
      </c>
      <c r="B184" s="319" t="s">
        <v>1001</v>
      </c>
      <c r="C184" s="331">
        <v>5738</v>
      </c>
      <c r="D184" s="331">
        <v>6259</v>
      </c>
      <c r="E184" s="331">
        <v>11997</v>
      </c>
      <c r="F184" s="331">
        <v>174903650</v>
      </c>
      <c r="G184" s="331">
        <v>230062772</v>
      </c>
      <c r="H184" s="331">
        <v>404966422</v>
      </c>
      <c r="I184" s="331">
        <v>-3865176</v>
      </c>
      <c r="J184" s="319" t="s">
        <v>321</v>
      </c>
      <c r="K184" s="319" t="s">
        <v>771</v>
      </c>
      <c r="L184" s="319" t="s">
        <v>608</v>
      </c>
      <c r="M184" s="319" t="s">
        <v>154</v>
      </c>
      <c r="N184" s="2"/>
      <c r="O184" s="4"/>
    </row>
    <row r="185" spans="1:15" ht="15" x14ac:dyDescent="0.25">
      <c r="A185" s="320">
        <v>541235</v>
      </c>
      <c r="B185" s="319" t="s">
        <v>377</v>
      </c>
      <c r="C185" s="331">
        <v>4691</v>
      </c>
      <c r="D185" s="331">
        <v>7294</v>
      </c>
      <c r="E185" s="331">
        <v>11985</v>
      </c>
      <c r="F185" s="331">
        <v>322437658</v>
      </c>
      <c r="G185" s="331">
        <v>569458551</v>
      </c>
      <c r="H185" s="331">
        <v>891896209</v>
      </c>
      <c r="I185" s="331">
        <v>32823377</v>
      </c>
      <c r="J185" s="319" t="s">
        <v>181</v>
      </c>
      <c r="K185" s="319" t="s">
        <v>771</v>
      </c>
      <c r="L185" s="319" t="s">
        <v>339</v>
      </c>
      <c r="M185" s="319" t="s">
        <v>154</v>
      </c>
      <c r="N185" s="2"/>
      <c r="O185" s="4"/>
    </row>
    <row r="186" spans="1:15" ht="15" x14ac:dyDescent="0.25">
      <c r="A186" s="320">
        <v>546960</v>
      </c>
      <c r="B186" s="319" t="s">
        <v>427</v>
      </c>
      <c r="C186" s="331">
        <v>6502</v>
      </c>
      <c r="D186" s="331">
        <v>5398</v>
      </c>
      <c r="E186" s="331">
        <v>11900</v>
      </c>
      <c r="F186" s="331">
        <v>284344895</v>
      </c>
      <c r="G186" s="331">
        <v>282067238</v>
      </c>
      <c r="H186" s="331">
        <v>566412133</v>
      </c>
      <c r="I186" s="331">
        <v>1162149</v>
      </c>
      <c r="J186" s="319" t="s">
        <v>1041</v>
      </c>
      <c r="K186" s="319" t="s">
        <v>768</v>
      </c>
      <c r="L186" s="319" t="s">
        <v>226</v>
      </c>
      <c r="M186" s="319" t="s">
        <v>154</v>
      </c>
      <c r="N186" s="2"/>
      <c r="O186" s="4"/>
    </row>
    <row r="187" spans="1:15" ht="15" x14ac:dyDescent="0.25">
      <c r="A187" s="320">
        <v>905265</v>
      </c>
      <c r="B187" s="319" t="s">
        <v>223</v>
      </c>
      <c r="C187" s="331">
        <v>5504</v>
      </c>
      <c r="D187" s="331">
        <v>6317</v>
      </c>
      <c r="E187" s="331">
        <v>11821</v>
      </c>
      <c r="F187" s="331">
        <v>392333400</v>
      </c>
      <c r="G187" s="331">
        <v>567817808</v>
      </c>
      <c r="H187" s="331">
        <v>960151208</v>
      </c>
      <c r="I187" s="331">
        <v>943415</v>
      </c>
      <c r="J187" s="319" t="s">
        <v>219</v>
      </c>
      <c r="K187" s="319" t="s">
        <v>771</v>
      </c>
      <c r="L187" s="319" t="s">
        <v>171</v>
      </c>
      <c r="M187" s="319" t="s">
        <v>154</v>
      </c>
      <c r="N187" s="2"/>
      <c r="O187" s="4"/>
    </row>
    <row r="188" spans="1:15" ht="15" x14ac:dyDescent="0.25">
      <c r="A188" s="320">
        <v>191080</v>
      </c>
      <c r="B188" s="319" t="s">
        <v>583</v>
      </c>
      <c r="C188" s="331">
        <v>5948</v>
      </c>
      <c r="D188" s="331">
        <v>5843</v>
      </c>
      <c r="E188" s="331">
        <v>11791</v>
      </c>
      <c r="F188" s="331">
        <v>158770628</v>
      </c>
      <c r="G188" s="331">
        <v>211862781</v>
      </c>
      <c r="H188" s="331">
        <v>370633409</v>
      </c>
      <c r="I188" s="331">
        <v>851369</v>
      </c>
      <c r="J188" s="319" t="s">
        <v>295</v>
      </c>
      <c r="K188" s="319" t="s">
        <v>771</v>
      </c>
      <c r="L188" s="319" t="s">
        <v>425</v>
      </c>
      <c r="M188" s="319" t="s">
        <v>68</v>
      </c>
      <c r="N188" s="2"/>
      <c r="O188" s="4"/>
    </row>
    <row r="189" spans="1:15" ht="15" x14ac:dyDescent="0.25">
      <c r="A189" s="320">
        <v>878520</v>
      </c>
      <c r="B189" s="319" t="s">
        <v>460</v>
      </c>
      <c r="C189" s="331">
        <v>5653</v>
      </c>
      <c r="D189" s="331">
        <v>5845</v>
      </c>
      <c r="E189" s="331">
        <v>11498</v>
      </c>
      <c r="F189" s="331">
        <v>367386094</v>
      </c>
      <c r="G189" s="331">
        <v>475663122</v>
      </c>
      <c r="H189" s="331">
        <v>843049216</v>
      </c>
      <c r="I189" s="331">
        <v>-2696054</v>
      </c>
      <c r="J189" s="319" t="s">
        <v>1024</v>
      </c>
      <c r="K189" s="319" t="s">
        <v>768</v>
      </c>
      <c r="L189" s="319" t="s">
        <v>196</v>
      </c>
      <c r="M189" s="319" t="s">
        <v>154</v>
      </c>
      <c r="N189" s="2"/>
      <c r="O189" s="4"/>
    </row>
    <row r="190" spans="1:15" ht="15" x14ac:dyDescent="0.25">
      <c r="A190" s="320">
        <v>206250</v>
      </c>
      <c r="B190" s="319" t="s">
        <v>409</v>
      </c>
      <c r="C190" s="331">
        <v>5368</v>
      </c>
      <c r="D190" s="331">
        <v>5936</v>
      </c>
      <c r="E190" s="331">
        <v>11304</v>
      </c>
      <c r="F190" s="331">
        <v>165787895</v>
      </c>
      <c r="G190" s="331">
        <v>233227298</v>
      </c>
      <c r="H190" s="331">
        <v>399015193</v>
      </c>
      <c r="I190" s="331">
        <v>3893944</v>
      </c>
      <c r="J190" s="319" t="s">
        <v>295</v>
      </c>
      <c r="K190" s="319" t="s">
        <v>771</v>
      </c>
      <c r="L190" s="319" t="s">
        <v>173</v>
      </c>
      <c r="M190" s="319" t="s">
        <v>154</v>
      </c>
      <c r="N190" s="2"/>
      <c r="O190" s="4"/>
    </row>
    <row r="191" spans="1:15" ht="15" x14ac:dyDescent="0.25">
      <c r="A191" s="320">
        <v>666495</v>
      </c>
      <c r="B191" s="319" t="s">
        <v>598</v>
      </c>
      <c r="C191" s="331">
        <v>5655</v>
      </c>
      <c r="D191" s="331">
        <v>5453</v>
      </c>
      <c r="E191" s="331">
        <v>11108</v>
      </c>
      <c r="F191" s="331">
        <v>161978535</v>
      </c>
      <c r="G191" s="331">
        <v>198036216</v>
      </c>
      <c r="H191" s="331">
        <v>360014751</v>
      </c>
      <c r="I191" s="331">
        <v>-2004874</v>
      </c>
      <c r="J191" s="319" t="s">
        <v>215</v>
      </c>
      <c r="K191" s="319" t="s">
        <v>771</v>
      </c>
      <c r="L191" s="319" t="s">
        <v>530</v>
      </c>
      <c r="M191" s="319" t="s">
        <v>68</v>
      </c>
      <c r="N191" s="2"/>
      <c r="O191" s="4"/>
    </row>
    <row r="192" spans="1:15" ht="15" x14ac:dyDescent="0.25">
      <c r="A192" s="320">
        <v>722983</v>
      </c>
      <c r="B192" s="319" t="s">
        <v>622</v>
      </c>
      <c r="C192" s="331">
        <v>4672</v>
      </c>
      <c r="D192" s="331">
        <v>6409</v>
      </c>
      <c r="E192" s="331">
        <v>11081</v>
      </c>
      <c r="F192" s="331">
        <v>223247525</v>
      </c>
      <c r="G192" s="331">
        <v>393052476</v>
      </c>
      <c r="H192" s="331">
        <v>616300001</v>
      </c>
      <c r="I192" s="331">
        <v>-7316977</v>
      </c>
      <c r="J192" s="319" t="s">
        <v>1057</v>
      </c>
      <c r="K192" s="319" t="s">
        <v>771</v>
      </c>
      <c r="L192" s="319" t="s">
        <v>184</v>
      </c>
      <c r="M192" s="319" t="s">
        <v>154</v>
      </c>
      <c r="N192" s="2"/>
      <c r="O192" s="4"/>
    </row>
    <row r="193" spans="1:15" ht="15" x14ac:dyDescent="0.25">
      <c r="A193" s="320">
        <v>520692</v>
      </c>
      <c r="B193" s="319" t="s">
        <v>218</v>
      </c>
      <c r="C193" s="331">
        <v>4321</v>
      </c>
      <c r="D193" s="331">
        <v>6705</v>
      </c>
      <c r="E193" s="331">
        <v>11026</v>
      </c>
      <c r="F193" s="331">
        <v>243704101</v>
      </c>
      <c r="G193" s="331">
        <v>461621368</v>
      </c>
      <c r="H193" s="331">
        <v>705325469</v>
      </c>
      <c r="I193" s="331">
        <v>-19462539</v>
      </c>
      <c r="J193" s="319" t="s">
        <v>1047</v>
      </c>
      <c r="K193" s="319" t="s">
        <v>771</v>
      </c>
      <c r="L193" s="319" t="s">
        <v>168</v>
      </c>
      <c r="M193" s="319" t="s">
        <v>154</v>
      </c>
      <c r="N193" s="2"/>
      <c r="O193" s="4"/>
    </row>
    <row r="194" spans="1:15" ht="15" x14ac:dyDescent="0.25">
      <c r="A194" s="320">
        <v>456475</v>
      </c>
      <c r="B194" s="319" t="s">
        <v>383</v>
      </c>
      <c r="C194" s="331">
        <v>4909</v>
      </c>
      <c r="D194" s="331">
        <v>6104</v>
      </c>
      <c r="E194" s="331">
        <v>11013</v>
      </c>
      <c r="F194" s="331">
        <v>225728028</v>
      </c>
      <c r="G194" s="331">
        <v>341944778</v>
      </c>
      <c r="H194" s="331">
        <v>567672807</v>
      </c>
      <c r="I194" s="331">
        <v>-4628490</v>
      </c>
      <c r="J194" s="319" t="s">
        <v>1047</v>
      </c>
      <c r="K194" s="319" t="s">
        <v>771</v>
      </c>
      <c r="L194" s="319" t="s">
        <v>173</v>
      </c>
      <c r="M194" s="319" t="s">
        <v>154</v>
      </c>
      <c r="N194" s="2"/>
      <c r="O194" s="4"/>
    </row>
    <row r="195" spans="1:15" ht="15" customHeight="1" x14ac:dyDescent="0.25">
      <c r="A195" s="320">
        <v>635623</v>
      </c>
      <c r="B195" s="264" t="s">
        <v>274</v>
      </c>
      <c r="C195" s="331">
        <v>6034</v>
      </c>
      <c r="D195" s="331">
        <v>4965</v>
      </c>
      <c r="E195" s="331">
        <v>10999</v>
      </c>
      <c r="F195" s="331">
        <v>598562248</v>
      </c>
      <c r="G195" s="331">
        <v>608465539</v>
      </c>
      <c r="H195" s="331">
        <v>1207027787</v>
      </c>
      <c r="I195" s="331">
        <v>763220</v>
      </c>
      <c r="J195" s="264" t="s">
        <v>1022</v>
      </c>
      <c r="K195" s="264" t="s">
        <v>765</v>
      </c>
      <c r="L195" s="264" t="s">
        <v>173</v>
      </c>
      <c r="M195" s="264" t="s">
        <v>154</v>
      </c>
      <c r="N195" s="2"/>
      <c r="O195" s="4"/>
    </row>
    <row r="196" spans="1:15" ht="15" x14ac:dyDescent="0.25">
      <c r="A196" s="320">
        <v>840033</v>
      </c>
      <c r="B196" s="319" t="s">
        <v>905</v>
      </c>
      <c r="C196" s="331">
        <v>4655</v>
      </c>
      <c r="D196" s="331">
        <v>6061</v>
      </c>
      <c r="E196" s="331">
        <v>10716</v>
      </c>
      <c r="F196" s="331">
        <v>247469193</v>
      </c>
      <c r="G196" s="331">
        <v>392007692</v>
      </c>
      <c r="H196" s="331">
        <v>639476885</v>
      </c>
      <c r="I196" s="331">
        <v>-3394032</v>
      </c>
      <c r="J196" s="319" t="s">
        <v>1047</v>
      </c>
      <c r="K196" s="319" t="s">
        <v>771</v>
      </c>
      <c r="L196" s="319" t="s">
        <v>194</v>
      </c>
      <c r="M196" s="319" t="s">
        <v>154</v>
      </c>
      <c r="N196" s="2"/>
      <c r="O196" s="4"/>
    </row>
    <row r="197" spans="1:15" ht="15" x14ac:dyDescent="0.25">
      <c r="A197" s="320">
        <v>552984</v>
      </c>
      <c r="B197" s="319" t="s">
        <v>998</v>
      </c>
      <c r="C197" s="331">
        <v>4943</v>
      </c>
      <c r="D197" s="331">
        <v>5668</v>
      </c>
      <c r="E197" s="331">
        <v>10611</v>
      </c>
      <c r="F197" s="331">
        <v>206613412</v>
      </c>
      <c r="G197" s="331">
        <v>286660929</v>
      </c>
      <c r="H197" s="331">
        <v>493274342</v>
      </c>
      <c r="I197" s="331">
        <v>-4462697</v>
      </c>
      <c r="J197" s="319" t="s">
        <v>321</v>
      </c>
      <c r="K197" s="319" t="s">
        <v>771</v>
      </c>
      <c r="L197" s="319" t="s">
        <v>608</v>
      </c>
      <c r="M197" s="319" t="s">
        <v>154</v>
      </c>
      <c r="N197" s="2"/>
      <c r="O197" s="4"/>
    </row>
    <row r="198" spans="1:15" ht="15" x14ac:dyDescent="0.25">
      <c r="A198" s="320">
        <v>879114</v>
      </c>
      <c r="B198" s="319" t="s">
        <v>363</v>
      </c>
      <c r="C198" s="331">
        <v>5840</v>
      </c>
      <c r="D198" s="331">
        <v>4751</v>
      </c>
      <c r="E198" s="331">
        <v>10591</v>
      </c>
      <c r="F198" s="331">
        <v>376753383</v>
      </c>
      <c r="G198" s="331">
        <v>356369762</v>
      </c>
      <c r="H198" s="331">
        <v>733123145</v>
      </c>
      <c r="I198" s="331">
        <v>-3162651</v>
      </c>
      <c r="J198" s="319" t="s">
        <v>1023</v>
      </c>
      <c r="K198" s="319" t="s">
        <v>768</v>
      </c>
      <c r="L198" s="319" t="s">
        <v>209</v>
      </c>
      <c r="M198" s="319" t="s">
        <v>154</v>
      </c>
      <c r="N198" s="2"/>
      <c r="O198" s="4"/>
    </row>
    <row r="199" spans="1:15" ht="15" x14ac:dyDescent="0.25">
      <c r="A199" s="320">
        <v>617670</v>
      </c>
      <c r="B199" s="319" t="s">
        <v>417</v>
      </c>
      <c r="C199" s="331">
        <v>3603</v>
      </c>
      <c r="D199" s="331">
        <v>6890</v>
      </c>
      <c r="E199" s="331">
        <v>10493</v>
      </c>
      <c r="F199" s="331">
        <v>250387928</v>
      </c>
      <c r="G199" s="331">
        <v>602828872</v>
      </c>
      <c r="H199" s="331">
        <v>853216800</v>
      </c>
      <c r="I199" s="331">
        <v>113945873</v>
      </c>
      <c r="J199" s="319" t="s">
        <v>342</v>
      </c>
      <c r="K199" s="319" t="s">
        <v>771</v>
      </c>
      <c r="L199" s="319" t="s">
        <v>194</v>
      </c>
      <c r="M199" s="319" t="s">
        <v>154</v>
      </c>
      <c r="N199" s="2"/>
      <c r="O199" s="4"/>
    </row>
    <row r="200" spans="1:15" ht="15" x14ac:dyDescent="0.25">
      <c r="A200" s="320">
        <v>838441</v>
      </c>
      <c r="B200" s="319" t="s">
        <v>328</v>
      </c>
      <c r="C200" s="331">
        <v>5941</v>
      </c>
      <c r="D200" s="331">
        <v>4516</v>
      </c>
      <c r="E200" s="331">
        <v>10457</v>
      </c>
      <c r="F200" s="331">
        <v>368537694</v>
      </c>
      <c r="G200" s="331">
        <v>343039522</v>
      </c>
      <c r="H200" s="331">
        <v>711577216</v>
      </c>
      <c r="I200" s="331">
        <v>-3009101</v>
      </c>
      <c r="J200" s="319" t="s">
        <v>219</v>
      </c>
      <c r="K200" s="319" t="s">
        <v>771</v>
      </c>
      <c r="L200" s="319" t="s">
        <v>327</v>
      </c>
      <c r="M200" s="319" t="s">
        <v>154</v>
      </c>
      <c r="N200" s="2"/>
      <c r="O200" s="4"/>
    </row>
    <row r="201" spans="1:15" ht="15" x14ac:dyDescent="0.25">
      <c r="A201" s="320">
        <v>314682</v>
      </c>
      <c r="B201" s="319" t="s">
        <v>1137</v>
      </c>
      <c r="C201" s="331">
        <v>5888</v>
      </c>
      <c r="D201" s="331">
        <v>4526</v>
      </c>
      <c r="E201" s="331">
        <v>10414</v>
      </c>
      <c r="F201" s="331">
        <v>931307002</v>
      </c>
      <c r="G201" s="331">
        <v>820165456</v>
      </c>
      <c r="H201" s="331">
        <v>1751472458</v>
      </c>
      <c r="I201" s="331">
        <v>21579042</v>
      </c>
      <c r="J201" s="319" t="s">
        <v>159</v>
      </c>
      <c r="K201" s="319" t="s">
        <v>765</v>
      </c>
      <c r="L201" s="319" t="s">
        <v>158</v>
      </c>
      <c r="M201" s="319" t="s">
        <v>68</v>
      </c>
      <c r="N201" s="2"/>
      <c r="O201" s="4"/>
    </row>
    <row r="202" spans="1:15" ht="15" x14ac:dyDescent="0.25">
      <c r="A202" s="320">
        <v>367813</v>
      </c>
      <c r="B202" s="319" t="s">
        <v>428</v>
      </c>
      <c r="C202" s="331">
        <v>5268</v>
      </c>
      <c r="D202" s="331">
        <v>5125</v>
      </c>
      <c r="E202" s="331">
        <v>10393</v>
      </c>
      <c r="F202" s="331">
        <v>296694878</v>
      </c>
      <c r="G202" s="331">
        <v>357736337</v>
      </c>
      <c r="H202" s="331">
        <v>654431215</v>
      </c>
      <c r="I202" s="331">
        <v>-1342528</v>
      </c>
      <c r="J202" s="319" t="s">
        <v>1024</v>
      </c>
      <c r="K202" s="319" t="s">
        <v>768</v>
      </c>
      <c r="L202" s="319" t="s">
        <v>226</v>
      </c>
      <c r="M202" s="319" t="s">
        <v>154</v>
      </c>
      <c r="N202" s="2"/>
      <c r="O202" s="4"/>
    </row>
    <row r="203" spans="1:15" ht="15" x14ac:dyDescent="0.25">
      <c r="A203" s="320">
        <v>726117</v>
      </c>
      <c r="B203" s="319" t="s">
        <v>277</v>
      </c>
      <c r="C203" s="331">
        <v>5544</v>
      </c>
      <c r="D203" s="331">
        <v>4781</v>
      </c>
      <c r="E203" s="331">
        <v>10325</v>
      </c>
      <c r="F203" s="331">
        <v>184330754</v>
      </c>
      <c r="G203" s="331">
        <v>191526523</v>
      </c>
      <c r="H203" s="331">
        <v>375857277</v>
      </c>
      <c r="I203" s="331">
        <v>-2651742</v>
      </c>
      <c r="J203" s="319" t="s">
        <v>1040</v>
      </c>
      <c r="K203" s="319" t="s">
        <v>772</v>
      </c>
      <c r="L203" s="319" t="s">
        <v>226</v>
      </c>
      <c r="M203" s="319" t="s">
        <v>154</v>
      </c>
      <c r="N203" s="2"/>
      <c r="O203" s="4"/>
    </row>
    <row r="204" spans="1:15" ht="15" x14ac:dyDescent="0.25">
      <c r="A204" s="320">
        <v>191437</v>
      </c>
      <c r="B204" s="319" t="s">
        <v>286</v>
      </c>
      <c r="C204" s="331">
        <v>5685</v>
      </c>
      <c r="D204" s="331">
        <v>4593</v>
      </c>
      <c r="E204" s="331">
        <v>10278</v>
      </c>
      <c r="F204" s="331">
        <v>187743015</v>
      </c>
      <c r="G204" s="331">
        <v>184561581</v>
      </c>
      <c r="H204" s="331">
        <v>372304596</v>
      </c>
      <c r="I204" s="331">
        <v>-1571529</v>
      </c>
      <c r="J204" s="319" t="s">
        <v>1038</v>
      </c>
      <c r="K204" s="319" t="s">
        <v>772</v>
      </c>
      <c r="L204" s="319" t="s">
        <v>942</v>
      </c>
      <c r="M204" s="319" t="s">
        <v>68</v>
      </c>
      <c r="N204" s="2"/>
      <c r="O204" s="4"/>
    </row>
    <row r="205" spans="1:15" ht="15" x14ac:dyDescent="0.25">
      <c r="A205" s="320">
        <v>891507</v>
      </c>
      <c r="B205" s="319" t="s">
        <v>976</v>
      </c>
      <c r="C205" s="331">
        <v>3613</v>
      </c>
      <c r="D205" s="331">
        <v>6579</v>
      </c>
      <c r="E205" s="331">
        <v>10192</v>
      </c>
      <c r="F205" s="331">
        <v>210530647</v>
      </c>
      <c r="G205" s="331">
        <v>480079558</v>
      </c>
      <c r="H205" s="331">
        <v>690610204</v>
      </c>
      <c r="I205" s="331">
        <v>112837872</v>
      </c>
      <c r="J205" s="319" t="s">
        <v>1046</v>
      </c>
      <c r="K205" s="319" t="s">
        <v>771</v>
      </c>
      <c r="L205" s="319" t="s">
        <v>196</v>
      </c>
      <c r="M205" s="319" t="s">
        <v>154</v>
      </c>
      <c r="N205" s="2"/>
      <c r="O205" s="4"/>
    </row>
    <row r="206" spans="1:15" ht="15" x14ac:dyDescent="0.25">
      <c r="A206" s="320">
        <v>799247</v>
      </c>
      <c r="B206" s="319" t="s">
        <v>757</v>
      </c>
      <c r="C206" s="331">
        <v>4032</v>
      </c>
      <c r="D206" s="331">
        <v>6149</v>
      </c>
      <c r="E206" s="331">
        <v>10181</v>
      </c>
      <c r="F206" s="331">
        <v>184229634</v>
      </c>
      <c r="G206" s="331">
        <v>349974820</v>
      </c>
      <c r="H206" s="331">
        <v>534204453</v>
      </c>
      <c r="I206" s="331">
        <v>-1907243</v>
      </c>
      <c r="J206" s="319" t="s">
        <v>342</v>
      </c>
      <c r="K206" s="319" t="s">
        <v>771</v>
      </c>
      <c r="L206" s="319" t="s">
        <v>323</v>
      </c>
      <c r="M206" s="319" t="s">
        <v>68</v>
      </c>
      <c r="N206" s="2"/>
      <c r="O206" s="4"/>
    </row>
    <row r="207" spans="1:15" ht="15" x14ac:dyDescent="0.25">
      <c r="A207" s="320">
        <v>348987</v>
      </c>
      <c r="B207" s="319" t="s">
        <v>1036</v>
      </c>
      <c r="C207" s="331">
        <v>5052</v>
      </c>
      <c r="D207" s="331">
        <v>4935</v>
      </c>
      <c r="E207" s="331">
        <v>9987</v>
      </c>
      <c r="F207" s="331">
        <v>254322920</v>
      </c>
      <c r="G207" s="331">
        <v>292033935</v>
      </c>
      <c r="H207" s="331">
        <v>546356855</v>
      </c>
      <c r="I207" s="331">
        <v>-1970066</v>
      </c>
      <c r="J207" s="319" t="s">
        <v>318</v>
      </c>
      <c r="K207" s="319" t="s">
        <v>771</v>
      </c>
      <c r="L207" s="319" t="s">
        <v>1062</v>
      </c>
      <c r="M207" s="319" t="s">
        <v>68</v>
      </c>
      <c r="N207" s="2"/>
      <c r="O207" s="4"/>
    </row>
    <row r="208" spans="1:15" s="141" customFormat="1" ht="15" x14ac:dyDescent="0.25">
      <c r="A208" s="399">
        <v>2</v>
      </c>
      <c r="B208" s="402" t="s">
        <v>767</v>
      </c>
      <c r="C208" s="401">
        <v>4949</v>
      </c>
      <c r="D208" s="401">
        <v>4911</v>
      </c>
      <c r="E208" s="401">
        <v>9860</v>
      </c>
      <c r="F208" s="401">
        <v>787507048</v>
      </c>
      <c r="G208" s="401">
        <v>903126112</v>
      </c>
      <c r="H208" s="401">
        <v>1690633160</v>
      </c>
      <c r="I208" s="401"/>
      <c r="J208" s="402" t="s">
        <v>831</v>
      </c>
      <c r="K208" s="402" t="s">
        <v>768</v>
      </c>
      <c r="L208" s="402" t="s">
        <v>766</v>
      </c>
      <c r="M208" s="402" t="s">
        <v>154</v>
      </c>
      <c r="N208" s="20"/>
    </row>
    <row r="209" spans="1:15" ht="15" x14ac:dyDescent="0.25">
      <c r="A209" s="320">
        <v>336826</v>
      </c>
      <c r="B209" s="319" t="s">
        <v>441</v>
      </c>
      <c r="C209" s="331">
        <v>4570</v>
      </c>
      <c r="D209" s="331">
        <v>5288</v>
      </c>
      <c r="E209" s="331">
        <v>9858</v>
      </c>
      <c r="F209" s="331">
        <v>220114103</v>
      </c>
      <c r="G209" s="331">
        <v>298259893</v>
      </c>
      <c r="H209" s="331">
        <v>518373996</v>
      </c>
      <c r="I209" s="331">
        <v>-1994989</v>
      </c>
      <c r="J209" s="319" t="s">
        <v>215</v>
      </c>
      <c r="K209" s="319" t="s">
        <v>771</v>
      </c>
      <c r="L209" s="319" t="s">
        <v>331</v>
      </c>
      <c r="M209" s="319" t="s">
        <v>68</v>
      </c>
      <c r="N209" s="2"/>
      <c r="O209" s="4"/>
    </row>
    <row r="210" spans="1:15" ht="15" x14ac:dyDescent="0.25">
      <c r="A210" s="320">
        <v>908806</v>
      </c>
      <c r="B210" s="319" t="s">
        <v>616</v>
      </c>
      <c r="C210" s="331">
        <v>3426</v>
      </c>
      <c r="D210" s="331">
        <v>6412</v>
      </c>
      <c r="E210" s="331">
        <v>9838</v>
      </c>
      <c r="F210" s="331">
        <v>197307478</v>
      </c>
      <c r="G210" s="331">
        <v>459180752</v>
      </c>
      <c r="H210" s="331">
        <v>656488229</v>
      </c>
      <c r="I210" s="331">
        <v>461479131</v>
      </c>
      <c r="J210" s="319" t="s">
        <v>342</v>
      </c>
      <c r="K210" s="319" t="s">
        <v>771</v>
      </c>
      <c r="L210" s="319" t="s">
        <v>751</v>
      </c>
      <c r="M210" s="319" t="s">
        <v>68</v>
      </c>
      <c r="N210" s="2"/>
      <c r="O210" s="4"/>
    </row>
    <row r="211" spans="1:15" ht="15" x14ac:dyDescent="0.25">
      <c r="A211" s="320">
        <v>556589</v>
      </c>
      <c r="B211" s="319" t="s">
        <v>422</v>
      </c>
      <c r="C211" s="331">
        <v>3998</v>
      </c>
      <c r="D211" s="331">
        <v>5533</v>
      </c>
      <c r="E211" s="331">
        <v>9531</v>
      </c>
      <c r="F211" s="331">
        <v>248328021</v>
      </c>
      <c r="G211" s="331">
        <v>398839237</v>
      </c>
      <c r="H211" s="331">
        <v>647167257</v>
      </c>
      <c r="I211" s="331">
        <v>14053563</v>
      </c>
      <c r="J211" s="319" t="s">
        <v>1046</v>
      </c>
      <c r="K211" s="319" t="s">
        <v>771</v>
      </c>
      <c r="L211" s="319" t="s">
        <v>209</v>
      </c>
      <c r="M211" s="319" t="s">
        <v>154</v>
      </c>
      <c r="N211" s="2"/>
      <c r="O211" s="4"/>
    </row>
    <row r="212" spans="1:15" ht="15" x14ac:dyDescent="0.25">
      <c r="A212" s="320">
        <v>301580</v>
      </c>
      <c r="B212" s="319" t="s">
        <v>384</v>
      </c>
      <c r="C212" s="331">
        <v>4829</v>
      </c>
      <c r="D212" s="331">
        <v>4677</v>
      </c>
      <c r="E212" s="331">
        <v>9506</v>
      </c>
      <c r="F212" s="331">
        <v>382720546</v>
      </c>
      <c r="G212" s="331">
        <v>434313367</v>
      </c>
      <c r="H212" s="331">
        <v>817033913</v>
      </c>
      <c r="I212" s="331">
        <v>-3850843</v>
      </c>
      <c r="J212" s="319" t="s">
        <v>181</v>
      </c>
      <c r="K212" s="319" t="s">
        <v>771</v>
      </c>
      <c r="L212" s="319" t="s">
        <v>209</v>
      </c>
      <c r="M212" s="319" t="s">
        <v>154</v>
      </c>
      <c r="N212" s="2"/>
      <c r="O212" s="4"/>
    </row>
    <row r="213" spans="1:15" ht="15" customHeight="1" x14ac:dyDescent="0.25">
      <c r="A213" s="320">
        <v>811117</v>
      </c>
      <c r="B213" s="319" t="s">
        <v>852</v>
      </c>
      <c r="C213" s="331">
        <v>4868</v>
      </c>
      <c r="D213" s="331">
        <v>4551</v>
      </c>
      <c r="E213" s="331">
        <v>9419</v>
      </c>
      <c r="F213" s="331">
        <v>310548259</v>
      </c>
      <c r="G213" s="331">
        <v>343134302</v>
      </c>
      <c r="H213" s="331">
        <v>653682561</v>
      </c>
      <c r="I213" s="331">
        <v>28431</v>
      </c>
      <c r="J213" s="319" t="s">
        <v>318</v>
      </c>
      <c r="K213" s="319" t="s">
        <v>771</v>
      </c>
      <c r="L213" s="319" t="s">
        <v>194</v>
      </c>
      <c r="M213" s="319" t="s">
        <v>154</v>
      </c>
      <c r="N213" s="2"/>
      <c r="O213" s="4"/>
    </row>
    <row r="214" spans="1:15" ht="15" x14ac:dyDescent="0.25">
      <c r="A214" s="320">
        <v>243022</v>
      </c>
      <c r="B214" s="319" t="s">
        <v>1125</v>
      </c>
      <c r="C214" s="331">
        <v>4732</v>
      </c>
      <c r="D214" s="331">
        <v>4684</v>
      </c>
      <c r="E214" s="331">
        <v>9416</v>
      </c>
      <c r="F214" s="331">
        <v>448815532</v>
      </c>
      <c r="G214" s="331">
        <v>510838911</v>
      </c>
      <c r="H214" s="331">
        <v>959654442</v>
      </c>
      <c r="I214" s="331">
        <v>8522920</v>
      </c>
      <c r="J214" s="319" t="s">
        <v>1022</v>
      </c>
      <c r="K214" s="319" t="s">
        <v>765</v>
      </c>
      <c r="L214" s="319" t="s">
        <v>158</v>
      </c>
      <c r="M214" s="319" t="s">
        <v>68</v>
      </c>
      <c r="N214" s="2"/>
      <c r="O214" s="4"/>
    </row>
    <row r="215" spans="1:15" ht="15" x14ac:dyDescent="0.25">
      <c r="A215" s="320">
        <v>848069</v>
      </c>
      <c r="B215" s="319" t="s">
        <v>613</v>
      </c>
      <c r="C215" s="331">
        <v>3622</v>
      </c>
      <c r="D215" s="331">
        <v>5663</v>
      </c>
      <c r="E215" s="331">
        <v>9285</v>
      </c>
      <c r="F215" s="331">
        <v>166054113</v>
      </c>
      <c r="G215" s="331">
        <v>308701546</v>
      </c>
      <c r="H215" s="331">
        <v>474755659</v>
      </c>
      <c r="I215" s="331">
        <v>-338350</v>
      </c>
      <c r="J215" s="319" t="s">
        <v>253</v>
      </c>
      <c r="K215" s="319" t="s">
        <v>771</v>
      </c>
      <c r="L215" s="319" t="s">
        <v>408</v>
      </c>
      <c r="M215" s="319" t="s">
        <v>68</v>
      </c>
      <c r="N215" s="2"/>
      <c r="O215" s="4"/>
    </row>
    <row r="216" spans="1:15" ht="15" x14ac:dyDescent="0.25">
      <c r="A216" s="320">
        <v>379024</v>
      </c>
      <c r="B216" s="319" t="s">
        <v>1052</v>
      </c>
      <c r="C216" s="331">
        <v>3182</v>
      </c>
      <c r="D216" s="331">
        <v>5872</v>
      </c>
      <c r="E216" s="331">
        <v>9054</v>
      </c>
      <c r="F216" s="331">
        <v>275444927</v>
      </c>
      <c r="G216" s="331">
        <v>596068223</v>
      </c>
      <c r="H216" s="331">
        <v>871513150</v>
      </c>
      <c r="I216" s="331">
        <v>133398171</v>
      </c>
      <c r="J216" s="319" t="s">
        <v>1048</v>
      </c>
      <c r="K216" s="319" t="s">
        <v>771</v>
      </c>
      <c r="L216" s="319" t="s">
        <v>1062</v>
      </c>
      <c r="M216" s="319" t="s">
        <v>68</v>
      </c>
      <c r="N216" s="2"/>
      <c r="O216" s="4"/>
    </row>
    <row r="217" spans="1:15" ht="15" x14ac:dyDescent="0.25">
      <c r="A217" s="320">
        <v>806091</v>
      </c>
      <c r="B217" s="319" t="s">
        <v>617</v>
      </c>
      <c r="C217" s="331">
        <v>3049</v>
      </c>
      <c r="D217" s="331">
        <v>5949</v>
      </c>
      <c r="E217" s="331">
        <v>8998</v>
      </c>
      <c r="F217" s="331">
        <v>197761845</v>
      </c>
      <c r="G217" s="331">
        <v>482124021</v>
      </c>
      <c r="H217" s="331">
        <v>679885866</v>
      </c>
      <c r="I217" s="331">
        <v>523330079</v>
      </c>
      <c r="J217" s="319" t="s">
        <v>298</v>
      </c>
      <c r="K217" s="319" t="s">
        <v>771</v>
      </c>
      <c r="L217" s="319" t="s">
        <v>751</v>
      </c>
      <c r="M217" s="319" t="s">
        <v>68</v>
      </c>
      <c r="N217" s="2"/>
      <c r="O217" s="4"/>
    </row>
    <row r="218" spans="1:15" ht="15" x14ac:dyDescent="0.25">
      <c r="A218" s="320">
        <v>272898</v>
      </c>
      <c r="B218" s="319" t="s">
        <v>516</v>
      </c>
      <c r="C218" s="331">
        <v>3291</v>
      </c>
      <c r="D218" s="331">
        <v>5679</v>
      </c>
      <c r="E218" s="331">
        <v>8970</v>
      </c>
      <c r="F218" s="331">
        <v>202159191</v>
      </c>
      <c r="G218" s="331">
        <v>398375389</v>
      </c>
      <c r="H218" s="331">
        <v>600534580</v>
      </c>
      <c r="I218" s="331">
        <v>-17551583</v>
      </c>
      <c r="J218" s="319" t="s">
        <v>219</v>
      </c>
      <c r="K218" s="319" t="s">
        <v>771</v>
      </c>
      <c r="L218" s="319" t="s">
        <v>164</v>
      </c>
      <c r="M218" s="319" t="s">
        <v>154</v>
      </c>
      <c r="N218" s="2"/>
      <c r="O218" s="4"/>
    </row>
    <row r="219" spans="1:15" ht="15" x14ac:dyDescent="0.25">
      <c r="A219" s="320">
        <v>433862</v>
      </c>
      <c r="B219" s="319" t="s">
        <v>372</v>
      </c>
      <c r="C219" s="331">
        <v>3615</v>
      </c>
      <c r="D219" s="331">
        <v>5319</v>
      </c>
      <c r="E219" s="331">
        <v>8934</v>
      </c>
      <c r="F219" s="331">
        <v>97851409</v>
      </c>
      <c r="G219" s="331">
        <v>204777460</v>
      </c>
      <c r="H219" s="331">
        <v>302628869</v>
      </c>
      <c r="I219" s="331">
        <v>-4583503</v>
      </c>
      <c r="J219" s="319" t="s">
        <v>373</v>
      </c>
      <c r="K219" s="319" t="s">
        <v>771</v>
      </c>
      <c r="L219" s="319" t="s">
        <v>191</v>
      </c>
      <c r="M219" s="319" t="s">
        <v>68</v>
      </c>
      <c r="N219" s="2"/>
      <c r="O219" s="4"/>
    </row>
    <row r="220" spans="1:15" ht="15" x14ac:dyDescent="0.25">
      <c r="A220" s="320">
        <v>416982</v>
      </c>
      <c r="B220" s="319" t="s">
        <v>18</v>
      </c>
      <c r="C220" s="331">
        <v>3998</v>
      </c>
      <c r="D220" s="331">
        <v>4770</v>
      </c>
      <c r="E220" s="331">
        <v>8768</v>
      </c>
      <c r="F220" s="331">
        <v>192322617</v>
      </c>
      <c r="G220" s="331">
        <v>262844826</v>
      </c>
      <c r="H220" s="331">
        <v>455167443</v>
      </c>
      <c r="I220" s="331">
        <v>-9079892</v>
      </c>
      <c r="J220" s="319" t="s">
        <v>1051</v>
      </c>
      <c r="K220" s="319" t="s">
        <v>771</v>
      </c>
      <c r="L220" s="319" t="s">
        <v>204</v>
      </c>
      <c r="M220" s="319" t="s">
        <v>68</v>
      </c>
      <c r="N220" s="2"/>
      <c r="O220" s="4"/>
    </row>
    <row r="221" spans="1:15" ht="15" x14ac:dyDescent="0.25">
      <c r="A221" s="320">
        <v>598557</v>
      </c>
      <c r="B221" s="319" t="s">
        <v>589</v>
      </c>
      <c r="C221" s="331">
        <v>4398</v>
      </c>
      <c r="D221" s="331">
        <v>4361</v>
      </c>
      <c r="E221" s="331">
        <v>8759</v>
      </c>
      <c r="F221" s="331">
        <v>217333881</v>
      </c>
      <c r="G221" s="331">
        <v>253757804</v>
      </c>
      <c r="H221" s="331">
        <v>471091685</v>
      </c>
      <c r="I221" s="331">
        <v>-2813506</v>
      </c>
      <c r="J221" s="319" t="s">
        <v>318</v>
      </c>
      <c r="K221" s="319" t="s">
        <v>771</v>
      </c>
      <c r="L221" s="319" t="s">
        <v>584</v>
      </c>
      <c r="M221" s="319" t="s">
        <v>68</v>
      </c>
      <c r="N221" s="2"/>
      <c r="O221" s="4"/>
    </row>
    <row r="222" spans="1:15" ht="15" x14ac:dyDescent="0.25">
      <c r="A222" s="320">
        <v>392423</v>
      </c>
      <c r="B222" s="319" t="s">
        <v>870</v>
      </c>
      <c r="C222" s="331">
        <v>3499</v>
      </c>
      <c r="D222" s="331">
        <v>5212</v>
      </c>
      <c r="E222" s="331">
        <v>8711</v>
      </c>
      <c r="F222" s="331">
        <v>876520608</v>
      </c>
      <c r="G222" s="331">
        <v>1585861611</v>
      </c>
      <c r="H222" s="331">
        <v>2462382220</v>
      </c>
      <c r="I222" s="331">
        <v>-15126183</v>
      </c>
      <c r="J222" s="319" t="s">
        <v>181</v>
      </c>
      <c r="K222" s="319" t="s">
        <v>771</v>
      </c>
      <c r="L222" s="319" t="s">
        <v>247</v>
      </c>
      <c r="M222" s="319" t="s">
        <v>154</v>
      </c>
      <c r="N222" s="2"/>
      <c r="O222" s="4"/>
    </row>
    <row r="223" spans="1:15" ht="15" x14ac:dyDescent="0.25">
      <c r="A223" s="320">
        <v>233585</v>
      </c>
      <c r="B223" s="319" t="s">
        <v>818</v>
      </c>
      <c r="C223" s="331">
        <v>3409</v>
      </c>
      <c r="D223" s="331">
        <v>5213</v>
      </c>
      <c r="E223" s="331">
        <v>8622</v>
      </c>
      <c r="F223" s="331">
        <v>190928557</v>
      </c>
      <c r="G223" s="331">
        <v>374808889</v>
      </c>
      <c r="H223" s="331">
        <v>565737446</v>
      </c>
      <c r="I223" s="331">
        <v>39937229</v>
      </c>
      <c r="J223" s="319" t="s">
        <v>342</v>
      </c>
      <c r="K223" s="319" t="s">
        <v>771</v>
      </c>
      <c r="L223" s="319" t="s">
        <v>563</v>
      </c>
      <c r="M223" s="319" t="s">
        <v>68</v>
      </c>
      <c r="N223" s="2"/>
      <c r="O223" s="4"/>
    </row>
    <row r="224" spans="1:15" ht="15" x14ac:dyDescent="0.25">
      <c r="A224" s="320">
        <v>358309</v>
      </c>
      <c r="B224" s="319" t="s">
        <v>981</v>
      </c>
      <c r="C224" s="331">
        <v>2438</v>
      </c>
      <c r="D224" s="331">
        <v>6138</v>
      </c>
      <c r="E224" s="331">
        <v>8576</v>
      </c>
      <c r="F224" s="331">
        <v>116954899</v>
      </c>
      <c r="G224" s="331">
        <v>320336575</v>
      </c>
      <c r="H224" s="331">
        <v>437291474</v>
      </c>
      <c r="I224" s="331">
        <v>5654902</v>
      </c>
      <c r="J224" s="319" t="s">
        <v>181</v>
      </c>
      <c r="K224" s="319" t="s">
        <v>771</v>
      </c>
      <c r="L224" s="319" t="s">
        <v>164</v>
      </c>
      <c r="M224" s="319" t="s">
        <v>154</v>
      </c>
      <c r="N224" s="2"/>
      <c r="O224" s="4"/>
    </row>
    <row r="225" spans="1:15" ht="15" x14ac:dyDescent="0.25">
      <c r="A225" s="320">
        <v>478313</v>
      </c>
      <c r="B225" s="319" t="s">
        <v>195</v>
      </c>
      <c r="C225" s="331">
        <v>4097</v>
      </c>
      <c r="D225" s="331">
        <v>4351</v>
      </c>
      <c r="E225" s="331">
        <v>8448</v>
      </c>
      <c r="F225" s="331">
        <v>180494092</v>
      </c>
      <c r="G225" s="331">
        <v>238197298</v>
      </c>
      <c r="H225" s="331">
        <v>418691390</v>
      </c>
      <c r="I225" s="331">
        <v>-2675738</v>
      </c>
      <c r="J225" s="319" t="s">
        <v>1031</v>
      </c>
      <c r="K225" s="319" t="s">
        <v>772</v>
      </c>
      <c r="L225" s="319" t="s">
        <v>196</v>
      </c>
      <c r="M225" s="319" t="s">
        <v>154</v>
      </c>
      <c r="N225" s="2"/>
      <c r="O225" s="4"/>
    </row>
    <row r="226" spans="1:15" ht="15" x14ac:dyDescent="0.25">
      <c r="A226" s="320">
        <v>494427</v>
      </c>
      <c r="B226" s="319" t="s">
        <v>351</v>
      </c>
      <c r="C226" s="331">
        <v>3946</v>
      </c>
      <c r="D226" s="331">
        <v>4483</v>
      </c>
      <c r="E226" s="331">
        <v>8429</v>
      </c>
      <c r="F226" s="331">
        <v>172275664</v>
      </c>
      <c r="G226" s="331">
        <v>261604288</v>
      </c>
      <c r="H226" s="331">
        <v>433879952</v>
      </c>
      <c r="I226" s="331">
        <v>5346081</v>
      </c>
      <c r="J226" s="319" t="s">
        <v>1048</v>
      </c>
      <c r="K226" s="319" t="s">
        <v>771</v>
      </c>
      <c r="L226" s="319" t="s">
        <v>191</v>
      </c>
      <c r="M226" s="319" t="s">
        <v>68</v>
      </c>
      <c r="N226" s="2"/>
      <c r="O226" s="4"/>
    </row>
    <row r="227" spans="1:15" ht="15" x14ac:dyDescent="0.25">
      <c r="A227" s="320">
        <v>823096</v>
      </c>
      <c r="B227" s="319" t="s">
        <v>251</v>
      </c>
      <c r="C227" s="331">
        <v>2964</v>
      </c>
      <c r="D227" s="331">
        <v>5356</v>
      </c>
      <c r="E227" s="331">
        <v>8320</v>
      </c>
      <c r="F227" s="331">
        <v>117936425</v>
      </c>
      <c r="G227" s="331">
        <v>254406207</v>
      </c>
      <c r="H227" s="331">
        <v>372342632</v>
      </c>
      <c r="I227" s="331">
        <v>6827129</v>
      </c>
      <c r="J227" s="319" t="s">
        <v>1048</v>
      </c>
      <c r="K227" s="319" t="s">
        <v>771</v>
      </c>
      <c r="L227" s="319" t="s">
        <v>168</v>
      </c>
      <c r="M227" s="319" t="s">
        <v>154</v>
      </c>
      <c r="N227" s="2"/>
      <c r="O227" s="4"/>
    </row>
    <row r="228" spans="1:15" ht="15" x14ac:dyDescent="0.25">
      <c r="A228" s="320">
        <v>768317</v>
      </c>
      <c r="B228" s="319" t="s">
        <v>415</v>
      </c>
      <c r="C228" s="331">
        <v>3852</v>
      </c>
      <c r="D228" s="331">
        <v>4416</v>
      </c>
      <c r="E228" s="331">
        <v>8268</v>
      </c>
      <c r="F228" s="331">
        <v>169903042</v>
      </c>
      <c r="G228" s="331">
        <v>235246448</v>
      </c>
      <c r="H228" s="331">
        <v>405149490</v>
      </c>
      <c r="I228" s="331">
        <v>-1628694</v>
      </c>
      <c r="J228" s="319" t="s">
        <v>1024</v>
      </c>
      <c r="K228" s="319" t="s">
        <v>768</v>
      </c>
      <c r="L228" s="319" t="s">
        <v>287</v>
      </c>
      <c r="M228" s="319" t="s">
        <v>68</v>
      </c>
      <c r="N228" s="2"/>
      <c r="O228" s="4"/>
    </row>
    <row r="229" spans="1:15" ht="15" x14ac:dyDescent="0.25">
      <c r="A229" s="320">
        <v>964767</v>
      </c>
      <c r="B229" s="319" t="s">
        <v>1078</v>
      </c>
      <c r="C229" s="331">
        <v>4433</v>
      </c>
      <c r="D229" s="331">
        <v>3711</v>
      </c>
      <c r="E229" s="331">
        <v>8144</v>
      </c>
      <c r="F229" s="331">
        <v>249726680</v>
      </c>
      <c r="G229" s="331">
        <v>243211362</v>
      </c>
      <c r="H229" s="331">
        <v>492938042</v>
      </c>
      <c r="I229" s="331">
        <v>-1815164</v>
      </c>
      <c r="J229" s="319" t="s">
        <v>181</v>
      </c>
      <c r="K229" s="319" t="s">
        <v>771</v>
      </c>
      <c r="L229" s="319" t="s">
        <v>166</v>
      </c>
      <c r="M229" s="319" t="s">
        <v>154</v>
      </c>
      <c r="N229" s="2"/>
      <c r="O229" s="4"/>
    </row>
    <row r="230" spans="1:15" ht="15" customHeight="1" x14ac:dyDescent="0.25">
      <c r="A230" s="320">
        <v>123901</v>
      </c>
      <c r="B230" s="319" t="s">
        <v>967</v>
      </c>
      <c r="C230" s="331">
        <v>4351</v>
      </c>
      <c r="D230" s="331">
        <v>3766</v>
      </c>
      <c r="E230" s="331">
        <v>8117</v>
      </c>
      <c r="F230" s="331">
        <v>555599949</v>
      </c>
      <c r="G230" s="331">
        <v>540651209</v>
      </c>
      <c r="H230" s="331">
        <v>1096251158</v>
      </c>
      <c r="I230" s="331">
        <v>861375</v>
      </c>
      <c r="J230" s="319" t="s">
        <v>1041</v>
      </c>
      <c r="K230" s="319" t="s">
        <v>768</v>
      </c>
      <c r="L230" s="319" t="s">
        <v>323</v>
      </c>
      <c r="M230" s="319" t="s">
        <v>68</v>
      </c>
      <c r="N230" s="2"/>
      <c r="O230" s="4"/>
    </row>
    <row r="231" spans="1:15" ht="15" x14ac:dyDescent="0.25">
      <c r="A231" s="320">
        <v>653097</v>
      </c>
      <c r="B231" s="319" t="s">
        <v>370</v>
      </c>
      <c r="C231" s="331">
        <v>3302</v>
      </c>
      <c r="D231" s="331">
        <v>4764</v>
      </c>
      <c r="E231" s="331">
        <v>8066</v>
      </c>
      <c r="F231" s="331">
        <v>122116876</v>
      </c>
      <c r="G231" s="331">
        <v>243089616</v>
      </c>
      <c r="H231" s="331">
        <v>365206492</v>
      </c>
      <c r="I231" s="331">
        <v>12996973</v>
      </c>
      <c r="J231" s="319" t="s">
        <v>342</v>
      </c>
      <c r="K231" s="319" t="s">
        <v>771</v>
      </c>
      <c r="L231" s="319" t="s">
        <v>191</v>
      </c>
      <c r="M231" s="319" t="s">
        <v>68</v>
      </c>
      <c r="N231" s="2"/>
      <c r="O231" s="4"/>
    </row>
    <row r="232" spans="1:15" ht="15" x14ac:dyDescent="0.25">
      <c r="A232" s="320">
        <v>914945</v>
      </c>
      <c r="B232" s="319" t="s">
        <v>420</v>
      </c>
      <c r="C232" s="331">
        <v>3515</v>
      </c>
      <c r="D232" s="331">
        <v>4550</v>
      </c>
      <c r="E232" s="331">
        <v>8065</v>
      </c>
      <c r="F232" s="331">
        <v>164805508</v>
      </c>
      <c r="G232" s="331">
        <v>267968118</v>
      </c>
      <c r="H232" s="331">
        <v>432773626</v>
      </c>
      <c r="I232" s="331">
        <v>4021421</v>
      </c>
      <c r="J232" s="319" t="s">
        <v>1048</v>
      </c>
      <c r="K232" s="319" t="s">
        <v>771</v>
      </c>
      <c r="L232" s="319" t="s">
        <v>209</v>
      </c>
      <c r="M232" s="319" t="s">
        <v>154</v>
      </c>
      <c r="N232" s="2"/>
      <c r="O232" s="4"/>
    </row>
    <row r="233" spans="1:15" ht="15" x14ac:dyDescent="0.25">
      <c r="A233" s="320">
        <v>614966</v>
      </c>
      <c r="B233" s="319" t="s">
        <v>569</v>
      </c>
      <c r="C233" s="331">
        <v>3003</v>
      </c>
      <c r="D233" s="331">
        <v>5031</v>
      </c>
      <c r="E233" s="331">
        <v>8034</v>
      </c>
      <c r="F233" s="331">
        <v>175018657</v>
      </c>
      <c r="G233" s="331">
        <v>354495513</v>
      </c>
      <c r="H233" s="331">
        <v>529514170</v>
      </c>
      <c r="I233" s="331">
        <v>8590102</v>
      </c>
      <c r="J233" s="319" t="s">
        <v>253</v>
      </c>
      <c r="K233" s="319" t="s">
        <v>771</v>
      </c>
      <c r="L233" s="319" t="s">
        <v>751</v>
      </c>
      <c r="M233" s="319" t="s">
        <v>68</v>
      </c>
      <c r="N233" s="2"/>
      <c r="O233" s="4"/>
    </row>
    <row r="234" spans="1:15" ht="15" x14ac:dyDescent="0.25">
      <c r="A234" s="320">
        <v>469817</v>
      </c>
      <c r="B234" s="319" t="s">
        <v>278</v>
      </c>
      <c r="C234" s="331">
        <v>4142</v>
      </c>
      <c r="D234" s="331">
        <v>3887</v>
      </c>
      <c r="E234" s="331">
        <v>8029</v>
      </c>
      <c r="F234" s="331">
        <v>152509517</v>
      </c>
      <c r="G234" s="331">
        <v>174601279</v>
      </c>
      <c r="H234" s="331">
        <v>327110796</v>
      </c>
      <c r="I234" s="331">
        <v>-6767448</v>
      </c>
      <c r="J234" s="319" t="s">
        <v>1040</v>
      </c>
      <c r="K234" s="319" t="s">
        <v>772</v>
      </c>
      <c r="L234" s="319" t="s">
        <v>226</v>
      </c>
      <c r="M234" s="319" t="s">
        <v>154</v>
      </c>
      <c r="N234" s="2"/>
      <c r="O234" s="4"/>
    </row>
    <row r="235" spans="1:15" ht="15" x14ac:dyDescent="0.25">
      <c r="A235" s="320">
        <v>648964</v>
      </c>
      <c r="B235" s="319" t="s">
        <v>233</v>
      </c>
      <c r="C235" s="331">
        <v>4212</v>
      </c>
      <c r="D235" s="331">
        <v>3580</v>
      </c>
      <c r="E235" s="331">
        <v>7792</v>
      </c>
      <c r="F235" s="331">
        <v>171465123</v>
      </c>
      <c r="G235" s="331">
        <v>173642578</v>
      </c>
      <c r="H235" s="331">
        <v>345107701</v>
      </c>
      <c r="I235" s="331">
        <v>-5541301</v>
      </c>
      <c r="J235" s="319" t="s">
        <v>1040</v>
      </c>
      <c r="K235" s="319" t="s">
        <v>772</v>
      </c>
      <c r="L235" s="319" t="s">
        <v>191</v>
      </c>
      <c r="M235" s="319" t="s">
        <v>154</v>
      </c>
      <c r="N235" s="2"/>
      <c r="O235" s="4"/>
    </row>
    <row r="236" spans="1:15" ht="15" x14ac:dyDescent="0.25">
      <c r="A236" s="320">
        <v>891036</v>
      </c>
      <c r="B236" s="319" t="s">
        <v>500</v>
      </c>
      <c r="C236" s="331">
        <v>3160</v>
      </c>
      <c r="D236" s="331">
        <v>4589</v>
      </c>
      <c r="E236" s="331">
        <v>7749</v>
      </c>
      <c r="F236" s="331">
        <v>188123194</v>
      </c>
      <c r="G236" s="331">
        <v>312373589</v>
      </c>
      <c r="H236" s="331">
        <v>500496784</v>
      </c>
      <c r="I236" s="331">
        <v>-1859178</v>
      </c>
      <c r="J236" s="319" t="s">
        <v>1046</v>
      </c>
      <c r="K236" s="319" t="s">
        <v>771</v>
      </c>
      <c r="L236" s="319" t="s">
        <v>375</v>
      </c>
      <c r="M236" s="319" t="s">
        <v>68</v>
      </c>
      <c r="N236" s="2"/>
      <c r="O236" s="4"/>
    </row>
    <row r="237" spans="1:15" ht="15" x14ac:dyDescent="0.25">
      <c r="A237" s="320">
        <v>416867</v>
      </c>
      <c r="B237" s="319" t="s">
        <v>891</v>
      </c>
      <c r="C237" s="331">
        <v>3082</v>
      </c>
      <c r="D237" s="331">
        <v>4642</v>
      </c>
      <c r="E237" s="331">
        <v>7724</v>
      </c>
      <c r="F237" s="331">
        <v>213750880</v>
      </c>
      <c r="G237" s="331">
        <v>362150349</v>
      </c>
      <c r="H237" s="331">
        <v>575901229</v>
      </c>
      <c r="I237" s="331">
        <v>853654</v>
      </c>
      <c r="J237" s="319" t="s">
        <v>258</v>
      </c>
      <c r="K237" s="319" t="s">
        <v>771</v>
      </c>
      <c r="L237" s="319" t="s">
        <v>166</v>
      </c>
      <c r="M237" s="319" t="s">
        <v>154</v>
      </c>
      <c r="N237" s="2"/>
      <c r="O237" s="4"/>
    </row>
    <row r="238" spans="1:15" ht="15" x14ac:dyDescent="0.25">
      <c r="A238" s="320">
        <v>658997</v>
      </c>
      <c r="B238" s="319" t="s">
        <v>951</v>
      </c>
      <c r="C238" s="331">
        <v>2966</v>
      </c>
      <c r="D238" s="331">
        <v>4642</v>
      </c>
      <c r="E238" s="331">
        <v>7608</v>
      </c>
      <c r="F238" s="331">
        <v>177136143</v>
      </c>
      <c r="G238" s="331">
        <v>306527505</v>
      </c>
      <c r="H238" s="331">
        <v>483663647</v>
      </c>
      <c r="I238" s="331">
        <v>9804641</v>
      </c>
      <c r="J238" s="319" t="s">
        <v>181</v>
      </c>
      <c r="K238" s="319" t="s">
        <v>771</v>
      </c>
      <c r="L238" s="319" t="s">
        <v>173</v>
      </c>
      <c r="M238" s="319" t="s">
        <v>154</v>
      </c>
      <c r="N238" s="2"/>
      <c r="O238" s="4"/>
    </row>
    <row r="239" spans="1:15" ht="15" x14ac:dyDescent="0.25">
      <c r="A239" s="320">
        <v>983593</v>
      </c>
      <c r="B239" s="319" t="s">
        <v>580</v>
      </c>
      <c r="C239" s="331">
        <v>3018</v>
      </c>
      <c r="D239" s="331">
        <v>4545</v>
      </c>
      <c r="E239" s="331">
        <v>7563</v>
      </c>
      <c r="F239" s="331">
        <v>108533970</v>
      </c>
      <c r="G239" s="331">
        <v>208690609</v>
      </c>
      <c r="H239" s="331">
        <v>317224580</v>
      </c>
      <c r="I239" s="331">
        <v>-2495873</v>
      </c>
      <c r="J239" s="319" t="s">
        <v>321</v>
      </c>
      <c r="K239" s="319" t="s">
        <v>771</v>
      </c>
      <c r="L239" s="319" t="s">
        <v>425</v>
      </c>
      <c r="M239" s="319" t="s">
        <v>68</v>
      </c>
      <c r="N239" s="2"/>
      <c r="O239" s="4"/>
    </row>
    <row r="240" spans="1:15" ht="15" x14ac:dyDescent="0.25">
      <c r="A240" s="320">
        <v>946285</v>
      </c>
      <c r="B240" s="319" t="s">
        <v>1103</v>
      </c>
      <c r="C240" s="331">
        <v>2619</v>
      </c>
      <c r="D240" s="331">
        <v>4884</v>
      </c>
      <c r="E240" s="331">
        <v>7503</v>
      </c>
      <c r="F240" s="331">
        <v>591595332</v>
      </c>
      <c r="G240" s="331">
        <v>1317331367</v>
      </c>
      <c r="H240" s="331">
        <v>1908926698</v>
      </c>
      <c r="I240" s="331">
        <v>-2828927</v>
      </c>
      <c r="J240" s="319" t="s">
        <v>1024</v>
      </c>
      <c r="K240" s="319" t="s">
        <v>768</v>
      </c>
      <c r="L240" s="319" t="s">
        <v>657</v>
      </c>
      <c r="M240" s="319" t="s">
        <v>68</v>
      </c>
      <c r="N240" s="2"/>
      <c r="O240" s="4"/>
    </row>
    <row r="241" spans="1:15" ht="15" x14ac:dyDescent="0.25">
      <c r="A241" s="320">
        <v>152181</v>
      </c>
      <c r="B241" s="319" t="s">
        <v>512</v>
      </c>
      <c r="C241" s="331">
        <v>2733</v>
      </c>
      <c r="D241" s="331">
        <v>4647</v>
      </c>
      <c r="E241" s="331">
        <v>7380</v>
      </c>
      <c r="F241" s="331">
        <v>223054513</v>
      </c>
      <c r="G241" s="331">
        <v>396904945</v>
      </c>
      <c r="H241" s="331">
        <v>619959458</v>
      </c>
      <c r="I241" s="331">
        <v>-3971109</v>
      </c>
      <c r="J241" s="319" t="s">
        <v>219</v>
      </c>
      <c r="K241" s="319" t="s">
        <v>771</v>
      </c>
      <c r="L241" s="319" t="s">
        <v>164</v>
      </c>
      <c r="M241" s="319" t="s">
        <v>154</v>
      </c>
      <c r="N241" s="2"/>
      <c r="O241" s="4"/>
    </row>
    <row r="242" spans="1:15" ht="15" x14ac:dyDescent="0.25">
      <c r="A242" s="320">
        <v>644005</v>
      </c>
      <c r="B242" s="319" t="s">
        <v>1000</v>
      </c>
      <c r="C242" s="331">
        <v>2951</v>
      </c>
      <c r="D242" s="331">
        <v>4332</v>
      </c>
      <c r="E242" s="331">
        <v>7283</v>
      </c>
      <c r="F242" s="331">
        <v>165768674</v>
      </c>
      <c r="G242" s="331">
        <v>286245533</v>
      </c>
      <c r="H242" s="331">
        <v>452014207</v>
      </c>
      <c r="I242" s="331">
        <v>1379733</v>
      </c>
      <c r="J242" s="319" t="s">
        <v>1051</v>
      </c>
      <c r="K242" s="319" t="s">
        <v>771</v>
      </c>
      <c r="L242" s="319" t="s">
        <v>194</v>
      </c>
      <c r="M242" s="319" t="s">
        <v>154</v>
      </c>
      <c r="N242" s="2"/>
      <c r="O242" s="4"/>
    </row>
    <row r="243" spans="1:15" ht="15" customHeight="1" x14ac:dyDescent="0.25">
      <c r="A243" s="320">
        <v>520759</v>
      </c>
      <c r="B243" s="319" t="s">
        <v>726</v>
      </c>
      <c r="C243" s="331">
        <v>3740</v>
      </c>
      <c r="D243" s="331">
        <v>3340</v>
      </c>
      <c r="E243" s="331">
        <v>7080</v>
      </c>
      <c r="F243" s="331">
        <v>290513875</v>
      </c>
      <c r="G243" s="331">
        <v>320170896</v>
      </c>
      <c r="H243" s="331">
        <v>610684771</v>
      </c>
      <c r="I243" s="331">
        <v>9183256</v>
      </c>
      <c r="J243" s="319" t="s">
        <v>181</v>
      </c>
      <c r="K243" s="319" t="s">
        <v>771</v>
      </c>
      <c r="L243" s="319" t="s">
        <v>209</v>
      </c>
      <c r="M243" s="319" t="s">
        <v>154</v>
      </c>
      <c r="N243" s="2"/>
      <c r="O243" s="4"/>
    </row>
    <row r="244" spans="1:15" ht="15" x14ac:dyDescent="0.25">
      <c r="A244" s="320">
        <v>407064</v>
      </c>
      <c r="B244" s="319" t="s">
        <v>212</v>
      </c>
      <c r="C244" s="331">
        <v>3027</v>
      </c>
      <c r="D244" s="331">
        <v>4043</v>
      </c>
      <c r="E244" s="331">
        <v>7070</v>
      </c>
      <c r="F244" s="331">
        <v>167459272</v>
      </c>
      <c r="G244" s="331">
        <v>243339695</v>
      </c>
      <c r="H244" s="331">
        <v>410798967</v>
      </c>
      <c r="I244" s="331">
        <v>256823</v>
      </c>
      <c r="J244" s="319" t="s">
        <v>181</v>
      </c>
      <c r="K244" s="319" t="s">
        <v>771</v>
      </c>
      <c r="L244" s="319" t="s">
        <v>178</v>
      </c>
      <c r="M244" s="319" t="s">
        <v>154</v>
      </c>
      <c r="N244" s="2"/>
      <c r="O244" s="4"/>
    </row>
    <row r="245" spans="1:15" ht="15" x14ac:dyDescent="0.25">
      <c r="A245" s="320">
        <v>388298</v>
      </c>
      <c r="B245" s="319" t="s">
        <v>391</v>
      </c>
      <c r="C245" s="331">
        <v>2784</v>
      </c>
      <c r="D245" s="331">
        <v>4243</v>
      </c>
      <c r="E245" s="331">
        <v>7027</v>
      </c>
      <c r="F245" s="331">
        <v>179408744</v>
      </c>
      <c r="G245" s="331">
        <v>300941890</v>
      </c>
      <c r="H245" s="331">
        <v>480350634</v>
      </c>
      <c r="I245" s="331">
        <v>-2454529</v>
      </c>
      <c r="J245" s="319" t="s">
        <v>318</v>
      </c>
      <c r="K245" s="319" t="s">
        <v>771</v>
      </c>
      <c r="L245" s="319" t="s">
        <v>774</v>
      </c>
      <c r="M245" s="319" t="s">
        <v>68</v>
      </c>
      <c r="N245" s="2"/>
      <c r="O245" s="4"/>
    </row>
    <row r="246" spans="1:15" ht="15" x14ac:dyDescent="0.25">
      <c r="A246" s="320">
        <v>694539</v>
      </c>
      <c r="B246" s="319" t="s">
        <v>884</v>
      </c>
      <c r="C246" s="331">
        <v>3314</v>
      </c>
      <c r="D246" s="331">
        <v>3672</v>
      </c>
      <c r="E246" s="331">
        <v>6986</v>
      </c>
      <c r="F246" s="331">
        <v>258570231</v>
      </c>
      <c r="G246" s="331">
        <v>345671361</v>
      </c>
      <c r="H246" s="331">
        <v>604241592</v>
      </c>
      <c r="I246" s="331">
        <v>-3296745</v>
      </c>
      <c r="J246" s="319" t="s">
        <v>258</v>
      </c>
      <c r="K246" s="319" t="s">
        <v>771</v>
      </c>
      <c r="L246" s="319" t="s">
        <v>166</v>
      </c>
      <c r="M246" s="319" t="s">
        <v>154</v>
      </c>
      <c r="N246" s="2"/>
      <c r="O246" s="4"/>
    </row>
    <row r="247" spans="1:15" ht="15" x14ac:dyDescent="0.25">
      <c r="A247" s="320">
        <v>155606</v>
      </c>
      <c r="B247" s="319" t="s">
        <v>1142</v>
      </c>
      <c r="C247" s="331">
        <v>3950</v>
      </c>
      <c r="D247" s="331">
        <v>2876</v>
      </c>
      <c r="E247" s="331">
        <v>6826</v>
      </c>
      <c r="F247" s="331">
        <v>472685016</v>
      </c>
      <c r="G247" s="331">
        <v>389799469</v>
      </c>
      <c r="H247" s="331">
        <v>862484484</v>
      </c>
      <c r="I247" s="331">
        <v>-7664497</v>
      </c>
      <c r="J247" s="319" t="s">
        <v>1035</v>
      </c>
      <c r="K247" s="319" t="s">
        <v>768</v>
      </c>
      <c r="L247" s="319" t="s">
        <v>942</v>
      </c>
      <c r="M247" s="319" t="s">
        <v>68</v>
      </c>
      <c r="N247" s="2"/>
      <c r="O247" s="4"/>
    </row>
    <row r="248" spans="1:15" ht="15" x14ac:dyDescent="0.25">
      <c r="A248" s="320">
        <v>721035</v>
      </c>
      <c r="B248" s="319" t="s">
        <v>1027</v>
      </c>
      <c r="C248" s="331">
        <v>2387</v>
      </c>
      <c r="D248" s="331">
        <v>4354</v>
      </c>
      <c r="E248" s="331">
        <v>6741</v>
      </c>
      <c r="F248" s="331">
        <v>141010014</v>
      </c>
      <c r="G248" s="331">
        <v>313407892</v>
      </c>
      <c r="H248" s="331">
        <v>454417906</v>
      </c>
      <c r="I248" s="331">
        <v>6091547</v>
      </c>
      <c r="J248" s="319" t="s">
        <v>258</v>
      </c>
      <c r="K248" s="319" t="s">
        <v>771</v>
      </c>
      <c r="L248" s="319" t="s">
        <v>1062</v>
      </c>
      <c r="M248" s="319" t="s">
        <v>68</v>
      </c>
      <c r="N248" s="2"/>
      <c r="O248" s="4"/>
    </row>
    <row r="249" spans="1:15" ht="15" x14ac:dyDescent="0.25">
      <c r="A249" s="320">
        <v>344739</v>
      </c>
      <c r="B249" s="319" t="s">
        <v>509</v>
      </c>
      <c r="C249" s="331">
        <v>3568</v>
      </c>
      <c r="D249" s="331">
        <v>3146</v>
      </c>
      <c r="E249" s="331">
        <v>6714</v>
      </c>
      <c r="F249" s="331">
        <v>228020871</v>
      </c>
      <c r="G249" s="331">
        <v>230129528</v>
      </c>
      <c r="H249" s="331">
        <v>458150399</v>
      </c>
      <c r="I249" s="331">
        <v>-2236472</v>
      </c>
      <c r="J249" s="319" t="s">
        <v>219</v>
      </c>
      <c r="K249" s="319" t="s">
        <v>771</v>
      </c>
      <c r="L249" s="319" t="s">
        <v>313</v>
      </c>
      <c r="M249" s="319" t="s">
        <v>154</v>
      </c>
      <c r="N249" s="2"/>
      <c r="O249" s="4"/>
    </row>
    <row r="250" spans="1:15" ht="15" x14ac:dyDescent="0.25">
      <c r="A250" s="320">
        <v>328021</v>
      </c>
      <c r="B250" s="319" t="s">
        <v>413</v>
      </c>
      <c r="C250" s="331">
        <v>2829</v>
      </c>
      <c r="D250" s="331">
        <v>3881</v>
      </c>
      <c r="E250" s="331">
        <v>6710</v>
      </c>
      <c r="F250" s="331">
        <v>120723534</v>
      </c>
      <c r="G250" s="331">
        <v>211003755</v>
      </c>
      <c r="H250" s="331">
        <v>331727289</v>
      </c>
      <c r="I250" s="331">
        <v>1577371</v>
      </c>
      <c r="J250" s="319" t="s">
        <v>219</v>
      </c>
      <c r="K250" s="319" t="s">
        <v>771</v>
      </c>
      <c r="L250" s="319" t="s">
        <v>414</v>
      </c>
      <c r="M250" s="319" t="s">
        <v>154</v>
      </c>
      <c r="N250" s="2"/>
      <c r="O250" s="4"/>
    </row>
    <row r="251" spans="1:15" ht="15" x14ac:dyDescent="0.25">
      <c r="A251" s="320">
        <v>339184</v>
      </c>
      <c r="B251" s="319" t="s">
        <v>511</v>
      </c>
      <c r="C251" s="331">
        <v>2683</v>
      </c>
      <c r="D251" s="331">
        <v>3965</v>
      </c>
      <c r="E251" s="331">
        <v>6648</v>
      </c>
      <c r="F251" s="331">
        <v>184269766</v>
      </c>
      <c r="G251" s="331">
        <v>307392976</v>
      </c>
      <c r="H251" s="331">
        <v>491662742</v>
      </c>
      <c r="I251" s="331">
        <v>12696482</v>
      </c>
      <c r="J251" s="319" t="s">
        <v>219</v>
      </c>
      <c r="K251" s="319" t="s">
        <v>771</v>
      </c>
      <c r="L251" s="319" t="s">
        <v>164</v>
      </c>
      <c r="M251" s="319" t="s">
        <v>154</v>
      </c>
      <c r="N251" s="2"/>
      <c r="O251" s="4"/>
    </row>
    <row r="252" spans="1:15" ht="15" x14ac:dyDescent="0.25">
      <c r="A252" s="320">
        <v>536276</v>
      </c>
      <c r="B252" s="319" t="s">
        <v>1149</v>
      </c>
      <c r="C252" s="331">
        <v>2837</v>
      </c>
      <c r="D252" s="331">
        <v>3757</v>
      </c>
      <c r="E252" s="331">
        <v>6594</v>
      </c>
      <c r="F252" s="331">
        <v>321167219</v>
      </c>
      <c r="G252" s="331">
        <v>420770378</v>
      </c>
      <c r="H252" s="331">
        <v>741937597</v>
      </c>
      <c r="I252" s="331">
        <v>-15231186</v>
      </c>
      <c r="J252" s="319" t="s">
        <v>1041</v>
      </c>
      <c r="K252" s="319" t="s">
        <v>768</v>
      </c>
      <c r="L252" s="319" t="s">
        <v>826</v>
      </c>
      <c r="M252" s="319" t="s">
        <v>154</v>
      </c>
      <c r="N252" s="2"/>
      <c r="O252" s="4"/>
    </row>
    <row r="253" spans="1:15" ht="15" x14ac:dyDescent="0.25">
      <c r="A253" s="320">
        <v>654459</v>
      </c>
      <c r="B253" s="319" t="s">
        <v>266</v>
      </c>
      <c r="C253" s="331">
        <v>3075</v>
      </c>
      <c r="D253" s="331">
        <v>3493</v>
      </c>
      <c r="E253" s="331">
        <v>6568</v>
      </c>
      <c r="F253" s="331">
        <v>128049602</v>
      </c>
      <c r="G253" s="331">
        <v>166215692</v>
      </c>
      <c r="H253" s="331">
        <v>294265294</v>
      </c>
      <c r="I253" s="331">
        <v>-756147</v>
      </c>
      <c r="J253" s="319" t="s">
        <v>215</v>
      </c>
      <c r="K253" s="319" t="s">
        <v>771</v>
      </c>
      <c r="L253" s="319" t="s">
        <v>226</v>
      </c>
      <c r="M253" s="319" t="s">
        <v>154</v>
      </c>
      <c r="N253" s="2"/>
      <c r="O253" s="4"/>
    </row>
    <row r="254" spans="1:15" ht="15" x14ac:dyDescent="0.25">
      <c r="A254" s="320">
        <v>615310</v>
      </c>
      <c r="B254" s="319" t="s">
        <v>637</v>
      </c>
      <c r="C254" s="331">
        <v>3323</v>
      </c>
      <c r="D254" s="331">
        <v>3219</v>
      </c>
      <c r="E254" s="331">
        <v>6542</v>
      </c>
      <c r="F254" s="331">
        <v>503259455</v>
      </c>
      <c r="G254" s="331">
        <v>558910354</v>
      </c>
      <c r="H254" s="331">
        <v>1062169810</v>
      </c>
      <c r="I254" s="331">
        <v>-1755618</v>
      </c>
      <c r="J254" s="319" t="s">
        <v>1024</v>
      </c>
      <c r="K254" s="319" t="s">
        <v>768</v>
      </c>
      <c r="L254" s="319" t="s">
        <v>867</v>
      </c>
      <c r="M254" s="319" t="s">
        <v>154</v>
      </c>
      <c r="N254" s="2"/>
      <c r="O254" s="4"/>
    </row>
    <row r="255" spans="1:15" ht="15" x14ac:dyDescent="0.25">
      <c r="A255" s="320">
        <v>937433</v>
      </c>
      <c r="B255" s="319" t="s">
        <v>476</v>
      </c>
      <c r="C255" s="331">
        <v>3280</v>
      </c>
      <c r="D255" s="331">
        <v>3158</v>
      </c>
      <c r="E255" s="331">
        <v>6438</v>
      </c>
      <c r="F255" s="331">
        <v>211798523</v>
      </c>
      <c r="G255" s="331">
        <v>244667057</v>
      </c>
      <c r="H255" s="331">
        <v>456465579</v>
      </c>
      <c r="I255" s="331">
        <v>-2235335</v>
      </c>
      <c r="J255" s="319" t="s">
        <v>298</v>
      </c>
      <c r="K255" s="319" t="s">
        <v>771</v>
      </c>
      <c r="L255" s="319" t="s">
        <v>207</v>
      </c>
      <c r="M255" s="319" t="s">
        <v>154</v>
      </c>
      <c r="N255" s="2"/>
      <c r="O255" s="4"/>
    </row>
    <row r="256" spans="1:15" ht="15" x14ac:dyDescent="0.25">
      <c r="A256" s="320">
        <v>537639</v>
      </c>
      <c r="B256" s="319" t="s">
        <v>325</v>
      </c>
      <c r="C256" s="331">
        <v>2795</v>
      </c>
      <c r="D256" s="331">
        <v>3572</v>
      </c>
      <c r="E256" s="331">
        <v>6367</v>
      </c>
      <c r="F256" s="331">
        <v>171071721</v>
      </c>
      <c r="G256" s="331">
        <v>278272226</v>
      </c>
      <c r="H256" s="331">
        <v>449343947</v>
      </c>
      <c r="I256" s="331">
        <v>-35390148</v>
      </c>
      <c r="J256" s="319" t="s">
        <v>1044</v>
      </c>
      <c r="K256" s="319" t="s">
        <v>772</v>
      </c>
      <c r="L256" s="319" t="s">
        <v>188</v>
      </c>
      <c r="M256" s="319" t="s">
        <v>68</v>
      </c>
      <c r="N256" s="2"/>
      <c r="O256" s="4"/>
    </row>
    <row r="257" spans="1:15" ht="15" customHeight="1" x14ac:dyDescent="0.25">
      <c r="A257" s="320">
        <v>208439</v>
      </c>
      <c r="B257" s="319" t="s">
        <v>625</v>
      </c>
      <c r="C257" s="331">
        <v>2886</v>
      </c>
      <c r="D257" s="331">
        <v>3477</v>
      </c>
      <c r="E257" s="331">
        <v>6363</v>
      </c>
      <c r="F257" s="331">
        <v>144148834</v>
      </c>
      <c r="G257" s="331">
        <v>223753756</v>
      </c>
      <c r="H257" s="331">
        <v>367902590</v>
      </c>
      <c r="I257" s="331">
        <v>-5561849</v>
      </c>
      <c r="J257" s="319" t="s">
        <v>181</v>
      </c>
      <c r="K257" s="319" t="s">
        <v>771</v>
      </c>
      <c r="L257" s="319" t="s">
        <v>155</v>
      </c>
      <c r="M257" s="319" t="s">
        <v>154</v>
      </c>
      <c r="N257" s="2"/>
      <c r="O257" s="4"/>
    </row>
    <row r="258" spans="1:15" ht="15" x14ac:dyDescent="0.25">
      <c r="A258" s="320">
        <v>551507</v>
      </c>
      <c r="B258" s="319" t="s">
        <v>956</v>
      </c>
      <c r="C258" s="331">
        <v>2233</v>
      </c>
      <c r="D258" s="331">
        <v>4092</v>
      </c>
      <c r="E258" s="331">
        <v>6325</v>
      </c>
      <c r="F258" s="331">
        <v>107774636</v>
      </c>
      <c r="G258" s="331">
        <v>231517701</v>
      </c>
      <c r="H258" s="331">
        <v>339292336</v>
      </c>
      <c r="I258" s="331">
        <v>-7836399</v>
      </c>
      <c r="J258" s="319" t="s">
        <v>1047</v>
      </c>
      <c r="K258" s="319" t="s">
        <v>771</v>
      </c>
      <c r="L258" s="319" t="s">
        <v>173</v>
      </c>
      <c r="M258" s="319" t="s">
        <v>154</v>
      </c>
      <c r="N258" s="2"/>
      <c r="O258" s="4"/>
    </row>
    <row r="259" spans="1:15" ht="15" customHeight="1" x14ac:dyDescent="0.25">
      <c r="A259" s="320">
        <v>986604</v>
      </c>
      <c r="B259" s="319" t="s">
        <v>403</v>
      </c>
      <c r="C259" s="331">
        <v>2800</v>
      </c>
      <c r="D259" s="331">
        <v>3491</v>
      </c>
      <c r="E259" s="331">
        <v>6291</v>
      </c>
      <c r="F259" s="331">
        <v>132563570</v>
      </c>
      <c r="G259" s="331">
        <v>204836540</v>
      </c>
      <c r="H259" s="331">
        <v>337400109</v>
      </c>
      <c r="I259" s="331">
        <v>-6800433</v>
      </c>
      <c r="J259" s="319" t="s">
        <v>1047</v>
      </c>
      <c r="K259" s="319" t="s">
        <v>771</v>
      </c>
      <c r="L259" s="319" t="s">
        <v>209</v>
      </c>
      <c r="M259" s="319" t="s">
        <v>154</v>
      </c>
      <c r="N259" s="2"/>
      <c r="O259" s="4"/>
    </row>
    <row r="260" spans="1:15" ht="15" x14ac:dyDescent="0.25">
      <c r="A260" s="320">
        <v>872382</v>
      </c>
      <c r="B260" s="264" t="s">
        <v>1003</v>
      </c>
      <c r="C260" s="331">
        <v>2876</v>
      </c>
      <c r="D260" s="331">
        <v>3389</v>
      </c>
      <c r="E260" s="331">
        <v>6265</v>
      </c>
      <c r="F260" s="331">
        <v>90092201</v>
      </c>
      <c r="G260" s="331">
        <v>129680529</v>
      </c>
      <c r="H260" s="331">
        <v>219772729</v>
      </c>
      <c r="I260" s="331">
        <v>-13410089</v>
      </c>
      <c r="J260" s="264" t="s">
        <v>321</v>
      </c>
      <c r="K260" s="264" t="s">
        <v>771</v>
      </c>
      <c r="L260" s="264" t="s">
        <v>608</v>
      </c>
      <c r="M260" s="264" t="s">
        <v>154</v>
      </c>
      <c r="N260" s="2"/>
      <c r="O260" s="4"/>
    </row>
    <row r="261" spans="1:15" ht="15" x14ac:dyDescent="0.25">
      <c r="A261" s="320">
        <v>183178</v>
      </c>
      <c r="B261" s="319" t="s">
        <v>440</v>
      </c>
      <c r="C261" s="331">
        <v>2897</v>
      </c>
      <c r="D261" s="331">
        <v>3364</v>
      </c>
      <c r="E261" s="331">
        <v>6261</v>
      </c>
      <c r="F261" s="331">
        <v>166950569</v>
      </c>
      <c r="G261" s="331">
        <v>236965208</v>
      </c>
      <c r="H261" s="331">
        <v>403915778</v>
      </c>
      <c r="I261" s="331">
        <v>4558156</v>
      </c>
      <c r="J261" s="319" t="s">
        <v>298</v>
      </c>
      <c r="K261" s="319" t="s">
        <v>771</v>
      </c>
      <c r="L261" s="319" t="s">
        <v>294</v>
      </c>
      <c r="M261" s="319" t="s">
        <v>68</v>
      </c>
      <c r="N261" s="2"/>
      <c r="O261" s="4"/>
    </row>
    <row r="262" spans="1:15" ht="15" x14ac:dyDescent="0.25">
      <c r="A262" s="320">
        <v>829945</v>
      </c>
      <c r="B262" s="319" t="s">
        <v>433</v>
      </c>
      <c r="C262" s="331">
        <v>3272</v>
      </c>
      <c r="D262" s="331">
        <v>2988</v>
      </c>
      <c r="E262" s="331">
        <v>6260</v>
      </c>
      <c r="F262" s="331">
        <v>177559434</v>
      </c>
      <c r="G262" s="331">
        <v>191233733</v>
      </c>
      <c r="H262" s="331">
        <v>368793167</v>
      </c>
      <c r="I262" s="331">
        <v>1066922</v>
      </c>
      <c r="J262" s="319" t="s">
        <v>1041</v>
      </c>
      <c r="K262" s="319" t="s">
        <v>768</v>
      </c>
      <c r="L262" s="319" t="s">
        <v>207</v>
      </c>
      <c r="M262" s="319" t="s">
        <v>154</v>
      </c>
      <c r="N262" s="2"/>
      <c r="O262" s="4"/>
    </row>
    <row r="263" spans="1:15" ht="15" customHeight="1" x14ac:dyDescent="0.25">
      <c r="A263" s="320">
        <v>405704</v>
      </c>
      <c r="B263" s="319" t="s">
        <v>853</v>
      </c>
      <c r="C263" s="331">
        <v>3508</v>
      </c>
      <c r="D263" s="331">
        <v>2745</v>
      </c>
      <c r="E263" s="331">
        <v>6253</v>
      </c>
      <c r="F263" s="331">
        <v>144457445</v>
      </c>
      <c r="G263" s="331">
        <v>140965357</v>
      </c>
      <c r="H263" s="331">
        <v>285422802</v>
      </c>
      <c r="I263" s="331">
        <v>-3054086</v>
      </c>
      <c r="J263" s="319" t="s">
        <v>1038</v>
      </c>
      <c r="K263" s="319" t="s">
        <v>772</v>
      </c>
      <c r="L263" s="319" t="s">
        <v>209</v>
      </c>
      <c r="M263" s="319" t="s">
        <v>68</v>
      </c>
      <c r="N263" s="2"/>
      <c r="O263" s="4"/>
    </row>
    <row r="264" spans="1:15" ht="15" x14ac:dyDescent="0.25">
      <c r="A264" s="320">
        <v>626291</v>
      </c>
      <c r="B264" s="275" t="s">
        <v>437</v>
      </c>
      <c r="C264" s="331">
        <v>2880</v>
      </c>
      <c r="D264" s="331">
        <v>3292</v>
      </c>
      <c r="E264" s="331">
        <v>6172</v>
      </c>
      <c r="F264" s="331">
        <v>130181167</v>
      </c>
      <c r="G264" s="331">
        <v>173674462</v>
      </c>
      <c r="H264" s="331">
        <v>303855629</v>
      </c>
      <c r="I264" s="331">
        <v>-1610724</v>
      </c>
      <c r="J264" s="275" t="s">
        <v>1024</v>
      </c>
      <c r="K264" s="275" t="s">
        <v>768</v>
      </c>
      <c r="L264" s="275" t="s">
        <v>155</v>
      </c>
      <c r="M264" s="275" t="s">
        <v>154</v>
      </c>
      <c r="N264" s="2"/>
      <c r="O264" s="4"/>
    </row>
    <row r="265" spans="1:15" ht="15" x14ac:dyDescent="0.25">
      <c r="A265" s="320">
        <v>728824</v>
      </c>
      <c r="B265" s="319" t="s">
        <v>837</v>
      </c>
      <c r="C265" s="331">
        <v>2951</v>
      </c>
      <c r="D265" s="331">
        <v>3192</v>
      </c>
      <c r="E265" s="331">
        <v>6143</v>
      </c>
      <c r="F265" s="331">
        <v>103931132</v>
      </c>
      <c r="G265" s="331">
        <v>123846146</v>
      </c>
      <c r="H265" s="331">
        <v>227777278</v>
      </c>
      <c r="I265" s="331">
        <v>-1186120</v>
      </c>
      <c r="J265" s="319" t="s">
        <v>181</v>
      </c>
      <c r="K265" s="319" t="s">
        <v>771</v>
      </c>
      <c r="L265" s="319" t="s">
        <v>749</v>
      </c>
      <c r="M265" s="319" t="s">
        <v>68</v>
      </c>
      <c r="N265" s="2"/>
      <c r="O265" s="4"/>
    </row>
    <row r="266" spans="1:15" ht="15" x14ac:dyDescent="0.25">
      <c r="A266" s="320">
        <v>174490</v>
      </c>
      <c r="B266" s="319" t="s">
        <v>605</v>
      </c>
      <c r="C266" s="331">
        <v>2670</v>
      </c>
      <c r="D266" s="331">
        <v>3423</v>
      </c>
      <c r="E266" s="331">
        <v>6093</v>
      </c>
      <c r="F266" s="331">
        <v>73738191</v>
      </c>
      <c r="G266" s="331">
        <v>122512071</v>
      </c>
      <c r="H266" s="331">
        <v>196250262</v>
      </c>
      <c r="I266" s="331">
        <v>-676240</v>
      </c>
      <c r="J266" s="319" t="s">
        <v>201</v>
      </c>
      <c r="K266" s="319" t="s">
        <v>771</v>
      </c>
      <c r="L266" s="319" t="s">
        <v>749</v>
      </c>
      <c r="M266" s="319" t="s">
        <v>68</v>
      </c>
      <c r="N266" s="2"/>
      <c r="O266" s="4"/>
    </row>
    <row r="267" spans="1:15" ht="15" x14ac:dyDescent="0.25">
      <c r="A267" s="320">
        <v>333690</v>
      </c>
      <c r="B267" s="264" t="s">
        <v>999</v>
      </c>
      <c r="C267" s="331">
        <v>2410</v>
      </c>
      <c r="D267" s="331">
        <v>3625</v>
      </c>
      <c r="E267" s="331">
        <v>6035</v>
      </c>
      <c r="F267" s="331">
        <v>84388363</v>
      </c>
      <c r="G267" s="331">
        <v>173561344</v>
      </c>
      <c r="H267" s="331">
        <v>257949707</v>
      </c>
      <c r="I267" s="331">
        <v>-21628097</v>
      </c>
      <c r="J267" s="264" t="s">
        <v>298</v>
      </c>
      <c r="K267" s="264" t="s">
        <v>771</v>
      </c>
      <c r="L267" s="264" t="s">
        <v>608</v>
      </c>
      <c r="M267" s="264" t="s">
        <v>154</v>
      </c>
      <c r="N267" s="2"/>
      <c r="O267" s="4"/>
    </row>
    <row r="268" spans="1:15" ht="15" x14ac:dyDescent="0.25">
      <c r="A268" s="320">
        <v>651141</v>
      </c>
      <c r="B268" s="319" t="s">
        <v>761</v>
      </c>
      <c r="C268" s="331">
        <v>2686</v>
      </c>
      <c r="D268" s="331">
        <v>3342</v>
      </c>
      <c r="E268" s="331">
        <v>6028</v>
      </c>
      <c r="F268" s="331">
        <v>437363741</v>
      </c>
      <c r="G268" s="331">
        <v>621045685</v>
      </c>
      <c r="H268" s="331">
        <v>1058409425</v>
      </c>
      <c r="I268" s="331">
        <v>-9391717</v>
      </c>
      <c r="J268" s="319" t="s">
        <v>298</v>
      </c>
      <c r="K268" s="319" t="s">
        <v>771</v>
      </c>
      <c r="L268" s="319" t="s">
        <v>155</v>
      </c>
      <c r="M268" s="319" t="s">
        <v>154</v>
      </c>
      <c r="N268" s="2"/>
      <c r="O268" s="4"/>
    </row>
    <row r="269" spans="1:15" ht="15" customHeight="1" x14ac:dyDescent="0.25">
      <c r="A269" s="320">
        <v>596429</v>
      </c>
      <c r="B269" s="319" t="s">
        <v>250</v>
      </c>
      <c r="C269" s="331">
        <v>3147</v>
      </c>
      <c r="D269" s="331">
        <v>2871</v>
      </c>
      <c r="E269" s="331">
        <v>6018</v>
      </c>
      <c r="F269" s="331">
        <v>93346826</v>
      </c>
      <c r="G269" s="331">
        <v>112051612</v>
      </c>
      <c r="H269" s="331">
        <v>205398438</v>
      </c>
      <c r="I269" s="331">
        <v>5059040</v>
      </c>
      <c r="J269" s="319" t="s">
        <v>1022</v>
      </c>
      <c r="K269" s="319" t="s">
        <v>765</v>
      </c>
      <c r="L269" s="319" t="s">
        <v>191</v>
      </c>
      <c r="M269" s="319" t="s">
        <v>154</v>
      </c>
      <c r="N269" s="2"/>
      <c r="O269" s="4"/>
    </row>
    <row r="270" spans="1:15" ht="15" x14ac:dyDescent="0.25">
      <c r="A270" s="320">
        <v>997403</v>
      </c>
      <c r="B270" s="319" t="s">
        <v>376</v>
      </c>
      <c r="C270" s="331">
        <v>3391</v>
      </c>
      <c r="D270" s="331">
        <v>2491</v>
      </c>
      <c r="E270" s="331">
        <v>5882</v>
      </c>
      <c r="F270" s="331">
        <v>528843092</v>
      </c>
      <c r="G270" s="331">
        <v>435965223</v>
      </c>
      <c r="H270" s="331">
        <v>964808314</v>
      </c>
      <c r="I270" s="331">
        <v>8976860</v>
      </c>
      <c r="J270" s="319" t="s">
        <v>1041</v>
      </c>
      <c r="K270" s="319" t="s">
        <v>768</v>
      </c>
      <c r="L270" s="319" t="s">
        <v>209</v>
      </c>
      <c r="M270" s="319" t="s">
        <v>68</v>
      </c>
      <c r="N270" s="2"/>
      <c r="O270" s="4"/>
    </row>
    <row r="271" spans="1:15" ht="15" x14ac:dyDescent="0.25">
      <c r="A271" s="320">
        <v>481911</v>
      </c>
      <c r="B271" s="319" t="s">
        <v>803</v>
      </c>
      <c r="C271" s="331">
        <v>2238</v>
      </c>
      <c r="D271" s="331">
        <v>3641</v>
      </c>
      <c r="E271" s="331">
        <v>5879</v>
      </c>
      <c r="F271" s="331">
        <v>69998161</v>
      </c>
      <c r="G271" s="331">
        <v>158770738</v>
      </c>
      <c r="H271" s="331">
        <v>228768898</v>
      </c>
      <c r="I271" s="331">
        <v>-50787990</v>
      </c>
      <c r="J271" s="319" t="s">
        <v>1045</v>
      </c>
      <c r="K271" s="319" t="s">
        <v>771</v>
      </c>
      <c r="L271" s="319" t="s">
        <v>540</v>
      </c>
      <c r="M271" s="319" t="s">
        <v>68</v>
      </c>
      <c r="N271" s="2"/>
      <c r="O271" s="4"/>
    </row>
    <row r="272" spans="1:15" ht="15" customHeight="1" x14ac:dyDescent="0.25">
      <c r="A272" s="320">
        <v>718205</v>
      </c>
      <c r="B272" s="319" t="s">
        <v>1146</v>
      </c>
      <c r="C272" s="331">
        <v>3236</v>
      </c>
      <c r="D272" s="331">
        <v>2572</v>
      </c>
      <c r="E272" s="331">
        <v>5808</v>
      </c>
      <c r="F272" s="331">
        <v>138909470</v>
      </c>
      <c r="G272" s="331">
        <v>154742904</v>
      </c>
      <c r="H272" s="331">
        <v>293652373</v>
      </c>
      <c r="I272" s="331">
        <v>-3178078</v>
      </c>
      <c r="J272" s="319" t="s">
        <v>1031</v>
      </c>
      <c r="K272" s="319" t="s">
        <v>772</v>
      </c>
      <c r="L272" s="319" t="s">
        <v>158</v>
      </c>
      <c r="M272" s="319" t="s">
        <v>68</v>
      </c>
      <c r="N272" s="2"/>
      <c r="O272" s="4"/>
    </row>
    <row r="273" spans="1:15" ht="15" customHeight="1" x14ac:dyDescent="0.25">
      <c r="A273" s="320">
        <v>613133</v>
      </c>
      <c r="B273" s="319" t="s">
        <v>1032</v>
      </c>
      <c r="C273" s="331">
        <v>3161</v>
      </c>
      <c r="D273" s="331">
        <v>2494</v>
      </c>
      <c r="E273" s="331">
        <v>5655</v>
      </c>
      <c r="F273" s="331">
        <v>142029948</v>
      </c>
      <c r="G273" s="331">
        <v>136033106</v>
      </c>
      <c r="H273" s="331">
        <v>278063055</v>
      </c>
      <c r="I273" s="331">
        <v>-4152672</v>
      </c>
      <c r="J273" s="319" t="s">
        <v>1031</v>
      </c>
      <c r="K273" s="319" t="s">
        <v>772</v>
      </c>
      <c r="L273" s="319" t="s">
        <v>191</v>
      </c>
      <c r="M273" s="319" t="s">
        <v>154</v>
      </c>
      <c r="N273" s="2"/>
      <c r="O273" s="4"/>
    </row>
    <row r="274" spans="1:15" ht="15" x14ac:dyDescent="0.25">
      <c r="A274" s="320">
        <v>661066</v>
      </c>
      <c r="B274" s="319" t="s">
        <v>799</v>
      </c>
      <c r="C274" s="331">
        <v>2521</v>
      </c>
      <c r="D274" s="331">
        <v>3113</v>
      </c>
      <c r="E274" s="331">
        <v>5634</v>
      </c>
      <c r="F274" s="331">
        <v>76664608</v>
      </c>
      <c r="G274" s="331">
        <v>122191598</v>
      </c>
      <c r="H274" s="331">
        <v>198856205</v>
      </c>
      <c r="I274" s="331">
        <v>-4347097</v>
      </c>
      <c r="J274" s="319" t="s">
        <v>361</v>
      </c>
      <c r="K274" s="319" t="s">
        <v>771</v>
      </c>
      <c r="L274" s="319" t="s">
        <v>540</v>
      </c>
      <c r="M274" s="319" t="s">
        <v>68</v>
      </c>
      <c r="N274" s="2"/>
      <c r="O274" s="4"/>
    </row>
    <row r="275" spans="1:15" ht="15" x14ac:dyDescent="0.25">
      <c r="A275" s="320">
        <v>276493</v>
      </c>
      <c r="B275" s="319" t="s">
        <v>662</v>
      </c>
      <c r="C275" s="331">
        <v>3022</v>
      </c>
      <c r="D275" s="331">
        <v>2582</v>
      </c>
      <c r="E275" s="331">
        <v>5604</v>
      </c>
      <c r="F275" s="331">
        <v>179509477</v>
      </c>
      <c r="G275" s="331">
        <v>177211942</v>
      </c>
      <c r="H275" s="331">
        <v>356721419</v>
      </c>
      <c r="I275" s="331">
        <v>-1318724</v>
      </c>
      <c r="J275" s="319" t="s">
        <v>1024</v>
      </c>
      <c r="K275" s="319" t="s">
        <v>768</v>
      </c>
      <c r="L275" s="319" t="s">
        <v>663</v>
      </c>
      <c r="M275" s="319" t="s">
        <v>68</v>
      </c>
      <c r="N275" s="2"/>
      <c r="O275" s="4"/>
    </row>
    <row r="276" spans="1:15" ht="15" x14ac:dyDescent="0.25">
      <c r="A276" s="320">
        <v>538108</v>
      </c>
      <c r="B276" s="319" t="s">
        <v>1061</v>
      </c>
      <c r="C276" s="331">
        <v>1787</v>
      </c>
      <c r="D276" s="331">
        <v>3782</v>
      </c>
      <c r="E276" s="331">
        <v>5569</v>
      </c>
      <c r="F276" s="331">
        <v>115279799</v>
      </c>
      <c r="G276" s="331">
        <v>271231289</v>
      </c>
      <c r="H276" s="331">
        <v>386511088</v>
      </c>
      <c r="I276" s="331">
        <v>-84489937</v>
      </c>
      <c r="J276" s="319" t="s">
        <v>1051</v>
      </c>
      <c r="K276" s="319" t="s">
        <v>771</v>
      </c>
      <c r="L276" s="319" t="s">
        <v>1062</v>
      </c>
      <c r="M276" s="319" t="s">
        <v>68</v>
      </c>
      <c r="N276" s="2"/>
      <c r="O276" s="4"/>
    </row>
    <row r="277" spans="1:15" ht="15" customHeight="1" x14ac:dyDescent="0.25">
      <c r="A277" s="320">
        <v>727057</v>
      </c>
      <c r="B277" s="319" t="s">
        <v>647</v>
      </c>
      <c r="C277" s="331">
        <v>2353</v>
      </c>
      <c r="D277" s="331">
        <v>3166</v>
      </c>
      <c r="E277" s="331">
        <v>5519</v>
      </c>
      <c r="F277" s="331">
        <v>428687448</v>
      </c>
      <c r="G277" s="331">
        <v>695322130</v>
      </c>
      <c r="H277" s="331">
        <v>1124009578</v>
      </c>
      <c r="I277" s="331">
        <v>-6323959</v>
      </c>
      <c r="J277" s="319" t="s">
        <v>181</v>
      </c>
      <c r="K277" s="319" t="s">
        <v>771</v>
      </c>
      <c r="L277" s="319" t="s">
        <v>867</v>
      </c>
      <c r="M277" s="319" t="s">
        <v>154</v>
      </c>
      <c r="N277" s="2"/>
      <c r="O277" s="4"/>
    </row>
    <row r="278" spans="1:15" ht="15" x14ac:dyDescent="0.25">
      <c r="A278" s="320">
        <v>403642</v>
      </c>
      <c r="B278" s="319" t="s">
        <v>350</v>
      </c>
      <c r="C278" s="331">
        <v>3274</v>
      </c>
      <c r="D278" s="331">
        <v>2222</v>
      </c>
      <c r="E278" s="331">
        <v>5496</v>
      </c>
      <c r="F278" s="331">
        <v>107733701</v>
      </c>
      <c r="G278" s="331">
        <v>92451974</v>
      </c>
      <c r="H278" s="331">
        <v>200185675</v>
      </c>
      <c r="I278" s="331">
        <v>-1219066</v>
      </c>
      <c r="J278" s="319" t="s">
        <v>1035</v>
      </c>
      <c r="K278" s="319" t="s">
        <v>768</v>
      </c>
      <c r="L278" s="319" t="s">
        <v>226</v>
      </c>
      <c r="M278" s="319" t="s">
        <v>154</v>
      </c>
      <c r="N278" s="2"/>
      <c r="O278" s="4"/>
    </row>
    <row r="279" spans="1:15" ht="15" x14ac:dyDescent="0.25">
      <c r="A279" s="320">
        <v>861229</v>
      </c>
      <c r="B279" s="319" t="s">
        <v>685</v>
      </c>
      <c r="C279" s="331">
        <v>2468</v>
      </c>
      <c r="D279" s="331">
        <v>3004</v>
      </c>
      <c r="E279" s="331">
        <v>5472</v>
      </c>
      <c r="F279" s="331">
        <v>61229077</v>
      </c>
      <c r="G279" s="331">
        <v>104633610</v>
      </c>
      <c r="H279" s="331">
        <v>165862687</v>
      </c>
      <c r="I279" s="331">
        <v>-2376246</v>
      </c>
      <c r="J279" s="319" t="s">
        <v>295</v>
      </c>
      <c r="K279" s="319" t="s">
        <v>771</v>
      </c>
      <c r="L279" s="319" t="s">
        <v>686</v>
      </c>
      <c r="M279" s="319" t="s">
        <v>154</v>
      </c>
      <c r="N279" s="2"/>
      <c r="O279" s="4"/>
    </row>
    <row r="280" spans="1:15" ht="15" x14ac:dyDescent="0.25">
      <c r="A280" s="320">
        <v>188664</v>
      </c>
      <c r="B280" s="319" t="s">
        <v>186</v>
      </c>
      <c r="C280" s="331">
        <v>3809</v>
      </c>
      <c r="D280" s="331">
        <v>1653</v>
      </c>
      <c r="E280" s="331">
        <v>5462</v>
      </c>
      <c r="F280" s="331">
        <v>114219546</v>
      </c>
      <c r="G280" s="331">
        <v>71680283</v>
      </c>
      <c r="H280" s="331">
        <v>185899830</v>
      </c>
      <c r="I280" s="331">
        <v>-1376432</v>
      </c>
      <c r="J280" s="319" t="s">
        <v>1031</v>
      </c>
      <c r="K280" s="319" t="s">
        <v>772</v>
      </c>
      <c r="L280" s="319" t="s">
        <v>171</v>
      </c>
      <c r="M280" s="319" t="s">
        <v>154</v>
      </c>
      <c r="N280" s="2"/>
      <c r="O280" s="4"/>
    </row>
    <row r="281" spans="1:15" ht="15" x14ac:dyDescent="0.25">
      <c r="A281" s="320">
        <v>490292</v>
      </c>
      <c r="B281" s="319" t="s">
        <v>842</v>
      </c>
      <c r="C281" s="331">
        <v>2388</v>
      </c>
      <c r="D281" s="331">
        <v>3057</v>
      </c>
      <c r="E281" s="331">
        <v>5445</v>
      </c>
      <c r="F281" s="331">
        <v>150870651</v>
      </c>
      <c r="G281" s="331">
        <v>234114721</v>
      </c>
      <c r="H281" s="331">
        <v>384985372</v>
      </c>
      <c r="I281" s="331">
        <v>4068785</v>
      </c>
      <c r="J281" s="319" t="s">
        <v>219</v>
      </c>
      <c r="K281" s="319" t="s">
        <v>771</v>
      </c>
      <c r="L281" s="319" t="s">
        <v>196</v>
      </c>
      <c r="M281" s="319" t="s">
        <v>154</v>
      </c>
      <c r="N281" s="2"/>
      <c r="O281" s="4"/>
    </row>
    <row r="282" spans="1:15" ht="15" x14ac:dyDescent="0.25">
      <c r="A282" s="320">
        <v>167239</v>
      </c>
      <c r="B282" s="319" t="s">
        <v>371</v>
      </c>
      <c r="C282" s="331">
        <v>2293</v>
      </c>
      <c r="D282" s="331">
        <v>3149</v>
      </c>
      <c r="E282" s="331">
        <v>5442</v>
      </c>
      <c r="F282" s="331">
        <v>53175989</v>
      </c>
      <c r="G282" s="331">
        <v>91262394</v>
      </c>
      <c r="H282" s="331">
        <v>144438383</v>
      </c>
      <c r="I282" s="331">
        <v>-4508930</v>
      </c>
      <c r="J282" s="319" t="s">
        <v>295</v>
      </c>
      <c r="K282" s="319" t="s">
        <v>771</v>
      </c>
      <c r="L282" s="319" t="s">
        <v>191</v>
      </c>
      <c r="M282" s="319" t="s">
        <v>68</v>
      </c>
      <c r="N282" s="2"/>
      <c r="O282" s="4"/>
    </row>
    <row r="283" spans="1:15" ht="15" customHeight="1" x14ac:dyDescent="0.25">
      <c r="A283" s="320">
        <v>104786</v>
      </c>
      <c r="B283" s="319" t="s">
        <v>364</v>
      </c>
      <c r="C283" s="331">
        <v>2594</v>
      </c>
      <c r="D283" s="331">
        <v>2828</v>
      </c>
      <c r="E283" s="331">
        <v>5422</v>
      </c>
      <c r="F283" s="331">
        <v>118455421</v>
      </c>
      <c r="G283" s="331">
        <v>157914438</v>
      </c>
      <c r="H283" s="331">
        <v>276369859</v>
      </c>
      <c r="I283" s="331">
        <v>-83893</v>
      </c>
      <c r="J283" s="319" t="s">
        <v>1044</v>
      </c>
      <c r="K283" s="319" t="s">
        <v>772</v>
      </c>
      <c r="L283" s="319" t="s">
        <v>166</v>
      </c>
      <c r="M283" s="319" t="s">
        <v>154</v>
      </c>
      <c r="N283" s="2"/>
      <c r="O283" s="4"/>
    </row>
    <row r="284" spans="1:15" ht="15" x14ac:dyDescent="0.25">
      <c r="A284" s="320">
        <v>750075</v>
      </c>
      <c r="B284" s="319" t="s">
        <v>305</v>
      </c>
      <c r="C284" s="331">
        <v>1864</v>
      </c>
      <c r="D284" s="331">
        <v>3527</v>
      </c>
      <c r="E284" s="331">
        <v>5391</v>
      </c>
      <c r="F284" s="331">
        <v>72550843</v>
      </c>
      <c r="G284" s="331">
        <v>160651608</v>
      </c>
      <c r="H284" s="331">
        <v>233202450</v>
      </c>
      <c r="I284" s="331">
        <v>12194509</v>
      </c>
      <c r="J284" s="319" t="s">
        <v>295</v>
      </c>
      <c r="K284" s="319" t="s">
        <v>771</v>
      </c>
      <c r="L284" s="319" t="s">
        <v>158</v>
      </c>
      <c r="M284" s="319" t="s">
        <v>68</v>
      </c>
      <c r="N284" s="2"/>
      <c r="O284" s="4"/>
    </row>
    <row r="285" spans="1:15" ht="15" x14ac:dyDescent="0.25">
      <c r="A285" s="320">
        <v>300996</v>
      </c>
      <c r="B285" s="319" t="s">
        <v>447</v>
      </c>
      <c r="C285" s="331">
        <v>2355</v>
      </c>
      <c r="D285" s="331">
        <v>3028</v>
      </c>
      <c r="E285" s="331">
        <v>5383</v>
      </c>
      <c r="F285" s="331">
        <v>127677834</v>
      </c>
      <c r="G285" s="331">
        <v>190875789</v>
      </c>
      <c r="H285" s="331">
        <v>318553622</v>
      </c>
      <c r="I285" s="331">
        <v>-1788830</v>
      </c>
      <c r="J285" s="319" t="s">
        <v>1047</v>
      </c>
      <c r="K285" s="319" t="s">
        <v>771</v>
      </c>
      <c r="L285" s="319" t="s">
        <v>331</v>
      </c>
      <c r="M285" s="319" t="s">
        <v>68</v>
      </c>
      <c r="N285" s="2"/>
      <c r="O285" s="4"/>
    </row>
    <row r="286" spans="1:15" ht="15" x14ac:dyDescent="0.25">
      <c r="A286" s="320">
        <v>588699</v>
      </c>
      <c r="B286" s="319" t="s">
        <v>360</v>
      </c>
      <c r="C286" s="331">
        <v>2265</v>
      </c>
      <c r="D286" s="331">
        <v>3044</v>
      </c>
      <c r="E286" s="331">
        <v>5309</v>
      </c>
      <c r="F286" s="331">
        <v>62986468</v>
      </c>
      <c r="G286" s="331">
        <v>108490541</v>
      </c>
      <c r="H286" s="331">
        <v>171477009</v>
      </c>
      <c r="I286" s="331">
        <v>-9129941</v>
      </c>
      <c r="J286" s="319" t="s">
        <v>361</v>
      </c>
      <c r="K286" s="319" t="s">
        <v>771</v>
      </c>
      <c r="L286" s="319" t="s">
        <v>191</v>
      </c>
      <c r="M286" s="319" t="s">
        <v>154</v>
      </c>
      <c r="N286" s="2"/>
      <c r="O286" s="4"/>
    </row>
    <row r="287" spans="1:15" ht="15" x14ac:dyDescent="0.25">
      <c r="A287" s="320">
        <v>123968</v>
      </c>
      <c r="B287" s="319" t="s">
        <v>957</v>
      </c>
      <c r="C287" s="331">
        <v>1889</v>
      </c>
      <c r="D287" s="331">
        <v>3377</v>
      </c>
      <c r="E287" s="331">
        <v>5266</v>
      </c>
      <c r="F287" s="331">
        <v>168315198</v>
      </c>
      <c r="G287" s="331">
        <v>406428047</v>
      </c>
      <c r="H287" s="331">
        <v>574743245</v>
      </c>
      <c r="I287" s="331">
        <v>-13066276</v>
      </c>
      <c r="J287" s="319" t="s">
        <v>181</v>
      </c>
      <c r="K287" s="319" t="s">
        <v>771</v>
      </c>
      <c r="L287" s="319" t="s">
        <v>755</v>
      </c>
      <c r="M287" s="319" t="s">
        <v>154</v>
      </c>
      <c r="N287" s="2"/>
      <c r="O287" s="4"/>
    </row>
    <row r="288" spans="1:15" ht="15" x14ac:dyDescent="0.25">
      <c r="A288" s="320">
        <v>325902</v>
      </c>
      <c r="B288" s="319" t="s">
        <v>335</v>
      </c>
      <c r="C288" s="331">
        <v>2746</v>
      </c>
      <c r="D288" s="331">
        <v>2477</v>
      </c>
      <c r="E288" s="331">
        <v>5223</v>
      </c>
      <c r="F288" s="331">
        <v>82042745</v>
      </c>
      <c r="G288" s="331">
        <v>89856090</v>
      </c>
      <c r="H288" s="331">
        <v>171898836</v>
      </c>
      <c r="I288" s="331">
        <v>-960661</v>
      </c>
      <c r="J288" s="319" t="s">
        <v>1033</v>
      </c>
      <c r="K288" s="319" t="s">
        <v>772</v>
      </c>
      <c r="L288" s="319" t="s">
        <v>229</v>
      </c>
      <c r="M288" s="319" t="s">
        <v>154</v>
      </c>
      <c r="N288" s="2"/>
      <c r="O288" s="4"/>
    </row>
    <row r="289" spans="1:15" ht="15" x14ac:dyDescent="0.25">
      <c r="A289" s="320">
        <v>449090</v>
      </c>
      <c r="B289" s="264" t="s">
        <v>423</v>
      </c>
      <c r="C289" s="298">
        <v>2385</v>
      </c>
      <c r="D289" s="298">
        <v>2807</v>
      </c>
      <c r="E289" s="298">
        <v>5192</v>
      </c>
      <c r="F289" s="298">
        <v>75266832</v>
      </c>
      <c r="G289" s="298">
        <v>114941834</v>
      </c>
      <c r="H289" s="298">
        <v>190208665</v>
      </c>
      <c r="I289" s="298">
        <v>-3820539</v>
      </c>
      <c r="J289" s="264" t="s">
        <v>321</v>
      </c>
      <c r="K289" s="264" t="s">
        <v>771</v>
      </c>
      <c r="L289" s="264" t="s">
        <v>209</v>
      </c>
      <c r="M289" s="264" t="s">
        <v>154</v>
      </c>
      <c r="N289" s="2"/>
      <c r="O289" s="4"/>
    </row>
    <row r="290" spans="1:15" ht="15" x14ac:dyDescent="0.25">
      <c r="A290" s="320">
        <v>582791</v>
      </c>
      <c r="B290" s="319" t="s">
        <v>268</v>
      </c>
      <c r="C290" s="331">
        <v>2185</v>
      </c>
      <c r="D290" s="331">
        <v>2988</v>
      </c>
      <c r="E290" s="331">
        <v>5173</v>
      </c>
      <c r="F290" s="331">
        <v>61754094</v>
      </c>
      <c r="G290" s="331">
        <v>100967756</v>
      </c>
      <c r="H290" s="331">
        <v>162721851</v>
      </c>
      <c r="I290" s="331">
        <v>40817593</v>
      </c>
      <c r="J290" s="319" t="s">
        <v>201</v>
      </c>
      <c r="K290" s="319" t="s">
        <v>771</v>
      </c>
      <c r="L290" s="319" t="s">
        <v>226</v>
      </c>
      <c r="M290" s="319" t="s">
        <v>154</v>
      </c>
      <c r="N290" s="2"/>
      <c r="O290" s="4"/>
    </row>
    <row r="291" spans="1:15" ht="15" x14ac:dyDescent="0.25">
      <c r="A291" s="320">
        <v>305003</v>
      </c>
      <c r="B291" s="319" t="s">
        <v>1054</v>
      </c>
      <c r="C291" s="331">
        <v>1780</v>
      </c>
      <c r="D291" s="331">
        <v>3371</v>
      </c>
      <c r="E291" s="331">
        <v>5151</v>
      </c>
      <c r="F291" s="331">
        <v>71965308</v>
      </c>
      <c r="G291" s="331">
        <v>184974991</v>
      </c>
      <c r="H291" s="331">
        <v>256940298</v>
      </c>
      <c r="I291" s="331">
        <v>-16185766</v>
      </c>
      <c r="J291" s="319" t="s">
        <v>1045</v>
      </c>
      <c r="K291" s="319" t="s">
        <v>771</v>
      </c>
      <c r="L291" s="319" t="s">
        <v>749</v>
      </c>
      <c r="M291" s="319" t="s">
        <v>68</v>
      </c>
      <c r="N291" s="2"/>
      <c r="O291" s="4"/>
    </row>
    <row r="292" spans="1:15" ht="15" x14ac:dyDescent="0.25">
      <c r="A292" s="320">
        <v>320358</v>
      </c>
      <c r="B292" s="319" t="s">
        <v>450</v>
      </c>
      <c r="C292" s="331">
        <v>2235</v>
      </c>
      <c r="D292" s="331">
        <v>2887</v>
      </c>
      <c r="E292" s="331">
        <v>5122</v>
      </c>
      <c r="F292" s="331">
        <v>142949615</v>
      </c>
      <c r="G292" s="331">
        <v>229836147</v>
      </c>
      <c r="H292" s="331">
        <v>372785762</v>
      </c>
      <c r="I292" s="331">
        <v>-3507752</v>
      </c>
      <c r="J292" s="319" t="s">
        <v>181</v>
      </c>
      <c r="K292" s="319" t="s">
        <v>771</v>
      </c>
      <c r="L292" s="319" t="s">
        <v>331</v>
      </c>
      <c r="M292" s="319" t="s">
        <v>68</v>
      </c>
      <c r="N292" s="2"/>
      <c r="O292" s="4"/>
    </row>
    <row r="293" spans="1:15" ht="15" x14ac:dyDescent="0.25">
      <c r="A293" s="320">
        <v>579136</v>
      </c>
      <c r="B293" s="319" t="s">
        <v>571</v>
      </c>
      <c r="C293" s="331">
        <v>2408</v>
      </c>
      <c r="D293" s="331">
        <v>2674</v>
      </c>
      <c r="E293" s="331">
        <v>5082</v>
      </c>
      <c r="F293" s="331">
        <v>115379214</v>
      </c>
      <c r="G293" s="331">
        <v>155198981</v>
      </c>
      <c r="H293" s="331">
        <v>270578194</v>
      </c>
      <c r="I293" s="331">
        <v>-2752059</v>
      </c>
      <c r="J293" s="319" t="s">
        <v>1051</v>
      </c>
      <c r="K293" s="319" t="s">
        <v>771</v>
      </c>
      <c r="L293" s="319" t="s">
        <v>751</v>
      </c>
      <c r="M293" s="319" t="s">
        <v>68</v>
      </c>
      <c r="N293" s="2"/>
      <c r="O293" s="4"/>
    </row>
    <row r="294" spans="1:15" ht="15" x14ac:dyDescent="0.25">
      <c r="A294" s="320">
        <v>153833</v>
      </c>
      <c r="B294" s="319" t="s">
        <v>467</v>
      </c>
      <c r="C294" s="331">
        <v>1719</v>
      </c>
      <c r="D294" s="331">
        <v>3346</v>
      </c>
      <c r="E294" s="331">
        <v>5065</v>
      </c>
      <c r="F294" s="331">
        <v>54141822</v>
      </c>
      <c r="G294" s="331">
        <v>122911776</v>
      </c>
      <c r="H294" s="331">
        <v>177053598</v>
      </c>
      <c r="I294" s="331">
        <v>-3181338</v>
      </c>
      <c r="J294" s="319" t="s">
        <v>1023</v>
      </c>
      <c r="K294" s="319" t="s">
        <v>768</v>
      </c>
      <c r="L294" s="319" t="s">
        <v>331</v>
      </c>
      <c r="M294" s="319" t="s">
        <v>68</v>
      </c>
      <c r="N294" s="2"/>
      <c r="O294" s="4"/>
    </row>
    <row r="295" spans="1:15" ht="15" x14ac:dyDescent="0.25">
      <c r="A295" s="320">
        <v>320762</v>
      </c>
      <c r="B295" s="319" t="s">
        <v>304</v>
      </c>
      <c r="C295" s="331">
        <v>2494</v>
      </c>
      <c r="D295" s="331">
        <v>2524</v>
      </c>
      <c r="E295" s="331">
        <v>5018</v>
      </c>
      <c r="F295" s="331">
        <v>222932530</v>
      </c>
      <c r="G295" s="331">
        <v>284642832</v>
      </c>
      <c r="H295" s="331">
        <v>507575363</v>
      </c>
      <c r="I295" s="331">
        <v>6985352</v>
      </c>
      <c r="J295" s="319" t="s">
        <v>1022</v>
      </c>
      <c r="K295" s="319" t="s">
        <v>765</v>
      </c>
      <c r="L295" s="319" t="s">
        <v>171</v>
      </c>
      <c r="M295" s="319" t="s">
        <v>154</v>
      </c>
      <c r="N295" s="2"/>
      <c r="O295" s="4"/>
    </row>
    <row r="296" spans="1:15" ht="15" customHeight="1" x14ac:dyDescent="0.25">
      <c r="A296" s="320">
        <v>671982</v>
      </c>
      <c r="B296" s="319" t="s">
        <v>677</v>
      </c>
      <c r="C296" s="331">
        <v>1976</v>
      </c>
      <c r="D296" s="331">
        <v>3010</v>
      </c>
      <c r="E296" s="331">
        <v>4986</v>
      </c>
      <c r="F296" s="331">
        <v>78694761</v>
      </c>
      <c r="G296" s="331">
        <v>150484831</v>
      </c>
      <c r="H296" s="331">
        <v>229179592</v>
      </c>
      <c r="I296" s="331">
        <v>-3653637</v>
      </c>
      <c r="J296" s="319" t="s">
        <v>373</v>
      </c>
      <c r="K296" s="319" t="s">
        <v>771</v>
      </c>
      <c r="L296" s="319" t="s">
        <v>229</v>
      </c>
      <c r="M296" s="319" t="s">
        <v>154</v>
      </c>
      <c r="N296" s="2"/>
      <c r="O296" s="4"/>
    </row>
    <row r="297" spans="1:15" ht="15" x14ac:dyDescent="0.25">
      <c r="A297" s="320">
        <v>639633</v>
      </c>
      <c r="B297" s="319" t="s">
        <v>352</v>
      </c>
      <c r="C297" s="331">
        <v>2301</v>
      </c>
      <c r="D297" s="331">
        <v>2672</v>
      </c>
      <c r="E297" s="331">
        <v>4973</v>
      </c>
      <c r="F297" s="331">
        <v>70661294</v>
      </c>
      <c r="G297" s="331">
        <v>99450170</v>
      </c>
      <c r="H297" s="331">
        <v>170111464</v>
      </c>
      <c r="I297" s="331">
        <v>-3573228</v>
      </c>
      <c r="J297" s="319" t="s">
        <v>1024</v>
      </c>
      <c r="K297" s="319" t="s">
        <v>768</v>
      </c>
      <c r="L297" s="319" t="s">
        <v>209</v>
      </c>
      <c r="M297" s="319" t="s">
        <v>68</v>
      </c>
      <c r="N297" s="2"/>
      <c r="O297" s="4"/>
    </row>
    <row r="298" spans="1:15" ht="15" x14ac:dyDescent="0.25">
      <c r="A298" s="320">
        <v>184291</v>
      </c>
      <c r="B298" s="319" t="s">
        <v>513</v>
      </c>
      <c r="C298" s="331">
        <v>1590</v>
      </c>
      <c r="D298" s="331">
        <v>3379</v>
      </c>
      <c r="E298" s="331">
        <v>4969</v>
      </c>
      <c r="F298" s="331">
        <v>43224743</v>
      </c>
      <c r="G298" s="331">
        <v>118662846</v>
      </c>
      <c r="H298" s="331">
        <v>161887589</v>
      </c>
      <c r="I298" s="331">
        <v>-3157147</v>
      </c>
      <c r="J298" s="319" t="s">
        <v>295</v>
      </c>
      <c r="K298" s="319" t="s">
        <v>771</v>
      </c>
      <c r="L298" s="319" t="s">
        <v>188</v>
      </c>
      <c r="M298" s="319" t="s">
        <v>154</v>
      </c>
      <c r="N298" s="2"/>
      <c r="O298" s="4"/>
    </row>
    <row r="299" spans="1:15" ht="15" x14ac:dyDescent="0.25">
      <c r="A299" s="320">
        <v>174086</v>
      </c>
      <c r="B299" s="319" t="s">
        <v>482</v>
      </c>
      <c r="C299" s="331">
        <v>1958</v>
      </c>
      <c r="D299" s="331">
        <v>2956</v>
      </c>
      <c r="E299" s="331">
        <v>4914</v>
      </c>
      <c r="F299" s="331">
        <v>120227396</v>
      </c>
      <c r="G299" s="331">
        <v>220476689</v>
      </c>
      <c r="H299" s="331">
        <v>340704085</v>
      </c>
      <c r="I299" s="331">
        <v>225994</v>
      </c>
      <c r="J299" s="319" t="s">
        <v>1047</v>
      </c>
      <c r="K299" s="319" t="s">
        <v>771</v>
      </c>
      <c r="L299" s="319" t="s">
        <v>453</v>
      </c>
      <c r="M299" s="319" t="s">
        <v>68</v>
      </c>
      <c r="N299" s="2"/>
      <c r="O299" s="4"/>
    </row>
    <row r="300" spans="1:15" ht="15" x14ac:dyDescent="0.25">
      <c r="A300" s="320">
        <v>413021</v>
      </c>
      <c r="B300" s="275" t="s">
        <v>846</v>
      </c>
      <c r="C300" s="331">
        <v>2091</v>
      </c>
      <c r="D300" s="331">
        <v>2817</v>
      </c>
      <c r="E300" s="331">
        <v>4908</v>
      </c>
      <c r="F300" s="331">
        <v>36484225</v>
      </c>
      <c r="G300" s="331">
        <v>60418120</v>
      </c>
      <c r="H300" s="331">
        <v>96902345</v>
      </c>
      <c r="I300" s="331">
        <v>-1615171</v>
      </c>
      <c r="J300" s="275" t="s">
        <v>295</v>
      </c>
      <c r="K300" s="275" t="s">
        <v>771</v>
      </c>
      <c r="L300" s="275" t="s">
        <v>542</v>
      </c>
      <c r="M300" s="275" t="s">
        <v>68</v>
      </c>
      <c r="N300" s="2"/>
      <c r="O300" s="4"/>
    </row>
    <row r="301" spans="1:15" ht="15" x14ac:dyDescent="0.25">
      <c r="A301" s="320">
        <v>768556</v>
      </c>
      <c r="B301" s="319" t="s">
        <v>784</v>
      </c>
      <c r="C301" s="331">
        <v>2495</v>
      </c>
      <c r="D301" s="331">
        <v>2395</v>
      </c>
      <c r="E301" s="331">
        <v>4890</v>
      </c>
      <c r="F301" s="331">
        <v>82498181</v>
      </c>
      <c r="G301" s="331">
        <v>97808277</v>
      </c>
      <c r="H301" s="331">
        <v>180306458</v>
      </c>
      <c r="I301" s="331">
        <v>-1590604</v>
      </c>
      <c r="J301" s="319" t="s">
        <v>1047</v>
      </c>
      <c r="K301" s="319" t="s">
        <v>771</v>
      </c>
      <c r="L301" s="319" t="s">
        <v>540</v>
      </c>
      <c r="M301" s="319" t="s">
        <v>68</v>
      </c>
      <c r="N301" s="2"/>
      <c r="O301" s="4"/>
    </row>
    <row r="302" spans="1:15" ht="15" x14ac:dyDescent="0.25">
      <c r="A302" s="320">
        <v>700310</v>
      </c>
      <c r="B302" s="319" t="s">
        <v>356</v>
      </c>
      <c r="C302" s="331">
        <v>2341</v>
      </c>
      <c r="D302" s="331">
        <v>2493</v>
      </c>
      <c r="E302" s="331">
        <v>4834</v>
      </c>
      <c r="F302" s="331">
        <v>78860217</v>
      </c>
      <c r="G302" s="331">
        <v>110301099</v>
      </c>
      <c r="H302" s="331">
        <v>189161316</v>
      </c>
      <c r="I302" s="331">
        <v>-7336330</v>
      </c>
      <c r="J302" s="319" t="s">
        <v>1043</v>
      </c>
      <c r="K302" s="319" t="s">
        <v>772</v>
      </c>
      <c r="L302" s="319" t="s">
        <v>198</v>
      </c>
      <c r="M302" s="319" t="s">
        <v>68</v>
      </c>
      <c r="N302" s="2"/>
      <c r="O302" s="4"/>
    </row>
    <row r="303" spans="1:15" ht="15" x14ac:dyDescent="0.25">
      <c r="A303" s="320">
        <v>484923</v>
      </c>
      <c r="B303" s="319" t="s">
        <v>368</v>
      </c>
      <c r="C303" s="331">
        <v>2414</v>
      </c>
      <c r="D303" s="331">
        <v>2388</v>
      </c>
      <c r="E303" s="331">
        <v>4802</v>
      </c>
      <c r="F303" s="331">
        <v>141426669</v>
      </c>
      <c r="G303" s="331">
        <v>174739210</v>
      </c>
      <c r="H303" s="331">
        <v>316165879</v>
      </c>
      <c r="I303" s="331">
        <v>3347239</v>
      </c>
      <c r="J303" s="319" t="s">
        <v>318</v>
      </c>
      <c r="K303" s="319" t="s">
        <v>771</v>
      </c>
      <c r="L303" s="319" t="s">
        <v>209</v>
      </c>
      <c r="M303" s="319" t="s">
        <v>154</v>
      </c>
      <c r="N303" s="2"/>
      <c r="O303" s="4"/>
    </row>
    <row r="304" spans="1:15" ht="15" customHeight="1" x14ac:dyDescent="0.25">
      <c r="A304" s="320">
        <v>147348</v>
      </c>
      <c r="B304" s="319" t="s">
        <v>501</v>
      </c>
      <c r="C304" s="331">
        <v>1972</v>
      </c>
      <c r="D304" s="331">
        <v>2812</v>
      </c>
      <c r="E304" s="331">
        <v>4784</v>
      </c>
      <c r="F304" s="331">
        <v>121871409</v>
      </c>
      <c r="G304" s="331">
        <v>215095569</v>
      </c>
      <c r="H304" s="331">
        <v>336966978</v>
      </c>
      <c r="I304" s="331">
        <v>1520768</v>
      </c>
      <c r="J304" s="319" t="s">
        <v>298</v>
      </c>
      <c r="K304" s="319" t="s">
        <v>771</v>
      </c>
      <c r="L304" s="319" t="s">
        <v>294</v>
      </c>
      <c r="M304" s="319" t="s">
        <v>68</v>
      </c>
      <c r="N304" s="2"/>
      <c r="O304" s="4"/>
    </row>
    <row r="305" spans="1:15" ht="15" customHeight="1" x14ac:dyDescent="0.25">
      <c r="A305" s="320">
        <v>331983</v>
      </c>
      <c r="B305" s="319" t="s">
        <v>225</v>
      </c>
      <c r="C305" s="331">
        <v>2819</v>
      </c>
      <c r="D305" s="331">
        <v>1963</v>
      </c>
      <c r="E305" s="331">
        <v>4782</v>
      </c>
      <c r="F305" s="331">
        <v>71046755</v>
      </c>
      <c r="G305" s="331">
        <v>69265372</v>
      </c>
      <c r="H305" s="331">
        <v>140312127</v>
      </c>
      <c r="I305" s="331">
        <v>-2275929</v>
      </c>
      <c r="J305" s="319" t="s">
        <v>1031</v>
      </c>
      <c r="K305" s="319" t="s">
        <v>772</v>
      </c>
      <c r="L305" s="319" t="s">
        <v>226</v>
      </c>
      <c r="M305" s="319" t="s">
        <v>154</v>
      </c>
      <c r="N305" s="2"/>
      <c r="O305" s="4"/>
    </row>
    <row r="306" spans="1:15" ht="15" customHeight="1" x14ac:dyDescent="0.25">
      <c r="A306" s="320">
        <v>668269</v>
      </c>
      <c r="B306" s="319" t="s">
        <v>499</v>
      </c>
      <c r="C306" s="331">
        <v>2039</v>
      </c>
      <c r="D306" s="331">
        <v>2739</v>
      </c>
      <c r="E306" s="331">
        <v>4778</v>
      </c>
      <c r="F306" s="331">
        <v>86966686</v>
      </c>
      <c r="G306" s="331">
        <v>147477738</v>
      </c>
      <c r="H306" s="331">
        <v>234444424</v>
      </c>
      <c r="I306" s="331">
        <v>-1159442</v>
      </c>
      <c r="J306" s="319" t="s">
        <v>318</v>
      </c>
      <c r="K306" s="319" t="s">
        <v>771</v>
      </c>
      <c r="L306" s="319" t="s">
        <v>198</v>
      </c>
      <c r="M306" s="319" t="s">
        <v>68</v>
      </c>
      <c r="N306" s="2"/>
      <c r="O306" s="4"/>
    </row>
    <row r="307" spans="1:15" ht="15" x14ac:dyDescent="0.25">
      <c r="A307" s="320">
        <v>242081</v>
      </c>
      <c r="B307" s="319" t="s">
        <v>211</v>
      </c>
      <c r="C307" s="331">
        <v>2583</v>
      </c>
      <c r="D307" s="331">
        <v>2192</v>
      </c>
      <c r="E307" s="331">
        <v>4775</v>
      </c>
      <c r="F307" s="331">
        <v>95655279</v>
      </c>
      <c r="G307" s="331">
        <v>109317276</v>
      </c>
      <c r="H307" s="331">
        <v>204972555</v>
      </c>
      <c r="I307" s="331">
        <v>-10888878</v>
      </c>
      <c r="J307" s="319" t="s">
        <v>1040</v>
      </c>
      <c r="K307" s="319" t="s">
        <v>772</v>
      </c>
      <c r="L307" s="319" t="s">
        <v>173</v>
      </c>
      <c r="M307" s="319" t="s">
        <v>154</v>
      </c>
      <c r="N307" s="2"/>
      <c r="O307" s="4"/>
    </row>
    <row r="308" spans="1:15" ht="15" x14ac:dyDescent="0.25">
      <c r="A308" s="320">
        <v>110098</v>
      </c>
      <c r="B308" s="319" t="s">
        <v>288</v>
      </c>
      <c r="C308" s="331">
        <v>2025</v>
      </c>
      <c r="D308" s="331">
        <v>2747</v>
      </c>
      <c r="E308" s="331">
        <v>4772</v>
      </c>
      <c r="F308" s="331">
        <v>50666534</v>
      </c>
      <c r="G308" s="331">
        <v>104392217</v>
      </c>
      <c r="H308" s="331">
        <v>155058750</v>
      </c>
      <c r="I308" s="331">
        <v>-3277755</v>
      </c>
      <c r="J308" s="319" t="s">
        <v>1045</v>
      </c>
      <c r="K308" s="319" t="s">
        <v>771</v>
      </c>
      <c r="L308" s="319" t="s">
        <v>158</v>
      </c>
      <c r="M308" s="319" t="s">
        <v>68</v>
      </c>
      <c r="N308" s="2"/>
      <c r="O308" s="4"/>
    </row>
    <row r="309" spans="1:15" ht="15" x14ac:dyDescent="0.25">
      <c r="A309" s="320">
        <v>534156</v>
      </c>
      <c r="B309" s="319" t="s">
        <v>688</v>
      </c>
      <c r="C309" s="331">
        <v>2208</v>
      </c>
      <c r="D309" s="331">
        <v>2559</v>
      </c>
      <c r="E309" s="331">
        <v>4767</v>
      </c>
      <c r="F309" s="331">
        <v>60961571</v>
      </c>
      <c r="G309" s="331">
        <v>83375332</v>
      </c>
      <c r="H309" s="331">
        <v>144336903</v>
      </c>
      <c r="I309" s="331">
        <v>-7974928</v>
      </c>
      <c r="J309" s="319" t="s">
        <v>321</v>
      </c>
      <c r="K309" s="319" t="s">
        <v>771</v>
      </c>
      <c r="L309" s="319" t="s">
        <v>826</v>
      </c>
      <c r="M309" s="319" t="s">
        <v>154</v>
      </c>
      <c r="N309" s="2"/>
      <c r="O309" s="4"/>
    </row>
    <row r="310" spans="1:15" ht="15" x14ac:dyDescent="0.25">
      <c r="A310" s="320">
        <v>861757</v>
      </c>
      <c r="B310" s="319" t="s">
        <v>969</v>
      </c>
      <c r="C310" s="331">
        <v>2268</v>
      </c>
      <c r="D310" s="331">
        <v>2407</v>
      </c>
      <c r="E310" s="331">
        <v>4675</v>
      </c>
      <c r="F310" s="331">
        <v>100422620</v>
      </c>
      <c r="G310" s="331">
        <v>130977643</v>
      </c>
      <c r="H310" s="331">
        <v>231400263</v>
      </c>
      <c r="I310" s="331">
        <v>-1336990</v>
      </c>
      <c r="J310" s="319" t="s">
        <v>318</v>
      </c>
      <c r="K310" s="319" t="s">
        <v>771</v>
      </c>
      <c r="L310" s="319" t="s">
        <v>191</v>
      </c>
      <c r="M310" s="319" t="s">
        <v>68</v>
      </c>
      <c r="N310" s="2"/>
      <c r="O310" s="4"/>
    </row>
    <row r="311" spans="1:15" ht="15" x14ac:dyDescent="0.25">
      <c r="A311" s="320">
        <v>280867</v>
      </c>
      <c r="B311" s="319" t="s">
        <v>586</v>
      </c>
      <c r="C311" s="331">
        <v>2226</v>
      </c>
      <c r="D311" s="331">
        <v>2424</v>
      </c>
      <c r="E311" s="331">
        <v>4650</v>
      </c>
      <c r="F311" s="331">
        <v>114414519</v>
      </c>
      <c r="G311" s="331">
        <v>144987003</v>
      </c>
      <c r="H311" s="331">
        <v>259401522</v>
      </c>
      <c r="I311" s="331">
        <v>-2320843</v>
      </c>
      <c r="J311" s="319" t="s">
        <v>215</v>
      </c>
      <c r="K311" s="319" t="s">
        <v>771</v>
      </c>
      <c r="L311" s="319" t="s">
        <v>584</v>
      </c>
      <c r="M311" s="319" t="s">
        <v>68</v>
      </c>
      <c r="N311" s="2"/>
      <c r="O311" s="4"/>
    </row>
    <row r="312" spans="1:15" ht="15" x14ac:dyDescent="0.25">
      <c r="A312" s="320">
        <v>843284</v>
      </c>
      <c r="B312" s="319" t="s">
        <v>208</v>
      </c>
      <c r="C312" s="331">
        <v>2432</v>
      </c>
      <c r="D312" s="331">
        <v>2150</v>
      </c>
      <c r="E312" s="331">
        <v>4582</v>
      </c>
      <c r="F312" s="331">
        <v>95756560</v>
      </c>
      <c r="G312" s="331">
        <v>119156061</v>
      </c>
      <c r="H312" s="331">
        <v>214912622</v>
      </c>
      <c r="I312" s="331">
        <v>-2573505</v>
      </c>
      <c r="J312" s="319" t="s">
        <v>1031</v>
      </c>
      <c r="K312" s="319" t="s">
        <v>772</v>
      </c>
      <c r="L312" s="319" t="s">
        <v>209</v>
      </c>
      <c r="M312" s="319" t="s">
        <v>154</v>
      </c>
      <c r="N312" s="2"/>
      <c r="O312" s="4"/>
    </row>
    <row r="313" spans="1:15" ht="15" customHeight="1" x14ac:dyDescent="0.25">
      <c r="A313" s="320">
        <v>819029</v>
      </c>
      <c r="B313" s="319" t="s">
        <v>2035</v>
      </c>
      <c r="C313" s="331">
        <v>1815</v>
      </c>
      <c r="D313" s="331">
        <v>2693</v>
      </c>
      <c r="E313" s="331">
        <v>4508</v>
      </c>
      <c r="F313" s="331">
        <v>77654552</v>
      </c>
      <c r="G313" s="331">
        <v>140938356</v>
      </c>
      <c r="H313" s="331">
        <v>218592907</v>
      </c>
      <c r="I313" s="331">
        <v>-751051</v>
      </c>
      <c r="J313" s="319" t="s">
        <v>295</v>
      </c>
      <c r="K313" s="319" t="s">
        <v>771</v>
      </c>
      <c r="L313" s="319" t="s">
        <v>224</v>
      </c>
      <c r="M313" s="319" t="s">
        <v>68</v>
      </c>
      <c r="N313" s="2"/>
      <c r="O313" s="4"/>
    </row>
    <row r="314" spans="1:15" ht="15" x14ac:dyDescent="0.25">
      <c r="A314" s="320">
        <v>570044</v>
      </c>
      <c r="B314" s="319" t="s">
        <v>581</v>
      </c>
      <c r="C314" s="331">
        <v>1965</v>
      </c>
      <c r="D314" s="331">
        <v>2435</v>
      </c>
      <c r="E314" s="331">
        <v>4400</v>
      </c>
      <c r="F314" s="331">
        <v>90027206</v>
      </c>
      <c r="G314" s="331">
        <v>131711260</v>
      </c>
      <c r="H314" s="331">
        <v>221738466</v>
      </c>
      <c r="I314" s="331">
        <v>-1639650</v>
      </c>
      <c r="J314" s="319" t="s">
        <v>298</v>
      </c>
      <c r="K314" s="319" t="s">
        <v>771</v>
      </c>
      <c r="L314" s="319" t="s">
        <v>198</v>
      </c>
      <c r="M314" s="319" t="s">
        <v>68</v>
      </c>
      <c r="N314" s="2"/>
      <c r="O314" s="4"/>
    </row>
    <row r="315" spans="1:15" ht="15" x14ac:dyDescent="0.25">
      <c r="A315" s="320">
        <v>562728</v>
      </c>
      <c r="B315" s="275" t="s">
        <v>590</v>
      </c>
      <c r="C315" s="331">
        <v>2071</v>
      </c>
      <c r="D315" s="331">
        <v>2328</v>
      </c>
      <c r="E315" s="331">
        <v>4399</v>
      </c>
      <c r="F315" s="331">
        <v>89078062</v>
      </c>
      <c r="G315" s="331">
        <v>116411350</v>
      </c>
      <c r="H315" s="331">
        <v>205489412</v>
      </c>
      <c r="I315" s="331">
        <v>-3601982</v>
      </c>
      <c r="J315" s="275" t="s">
        <v>298</v>
      </c>
      <c r="K315" s="275" t="s">
        <v>771</v>
      </c>
      <c r="L315" s="275" t="s">
        <v>584</v>
      </c>
      <c r="M315" s="275" t="s">
        <v>68</v>
      </c>
      <c r="N315" s="2"/>
      <c r="O315" s="4"/>
    </row>
    <row r="316" spans="1:15" ht="15" x14ac:dyDescent="0.25">
      <c r="A316" s="320">
        <v>620807</v>
      </c>
      <c r="B316" s="319" t="s">
        <v>941</v>
      </c>
      <c r="C316" s="331">
        <v>2106</v>
      </c>
      <c r="D316" s="331">
        <v>2291</v>
      </c>
      <c r="E316" s="331">
        <v>4397</v>
      </c>
      <c r="F316" s="331">
        <v>96422505</v>
      </c>
      <c r="G316" s="331">
        <v>138019157</v>
      </c>
      <c r="H316" s="331">
        <v>234441662</v>
      </c>
      <c r="I316" s="331">
        <v>-5911498</v>
      </c>
      <c r="J316" s="319" t="s">
        <v>342</v>
      </c>
      <c r="K316" s="319" t="s">
        <v>771</v>
      </c>
      <c r="L316" s="319" t="s">
        <v>479</v>
      </c>
      <c r="M316" s="319" t="s">
        <v>154</v>
      </c>
      <c r="N316" s="2"/>
      <c r="O316" s="4"/>
    </row>
    <row r="317" spans="1:15" ht="15" x14ac:dyDescent="0.25">
      <c r="A317" s="320">
        <v>642298</v>
      </c>
      <c r="B317" s="319" t="s">
        <v>333</v>
      </c>
      <c r="C317" s="331">
        <v>2326</v>
      </c>
      <c r="D317" s="331">
        <v>2046</v>
      </c>
      <c r="E317" s="331">
        <v>4372</v>
      </c>
      <c r="F317" s="331">
        <v>101770004</v>
      </c>
      <c r="G317" s="331">
        <v>104507748</v>
      </c>
      <c r="H317" s="331">
        <v>206277752</v>
      </c>
      <c r="I317" s="331">
        <v>-1011664</v>
      </c>
      <c r="J317" s="319" t="s">
        <v>1048</v>
      </c>
      <c r="K317" s="319" t="s">
        <v>771</v>
      </c>
      <c r="L317" s="319" t="s">
        <v>166</v>
      </c>
      <c r="M317" s="319" t="s">
        <v>154</v>
      </c>
      <c r="N317" s="2"/>
      <c r="O317" s="4"/>
    </row>
    <row r="318" spans="1:15" ht="15" x14ac:dyDescent="0.25">
      <c r="A318" s="320">
        <v>572107</v>
      </c>
      <c r="B318" s="319" t="s">
        <v>841</v>
      </c>
      <c r="C318" s="331">
        <v>1695</v>
      </c>
      <c r="D318" s="331">
        <v>2668</v>
      </c>
      <c r="E318" s="331">
        <v>4363</v>
      </c>
      <c r="F318" s="331">
        <v>83818938</v>
      </c>
      <c r="G318" s="331">
        <v>162586299</v>
      </c>
      <c r="H318" s="331">
        <v>246405237</v>
      </c>
      <c r="I318" s="331">
        <v>-7965252</v>
      </c>
      <c r="J318" s="319" t="s">
        <v>181</v>
      </c>
      <c r="K318" s="319" t="s">
        <v>771</v>
      </c>
      <c r="L318" s="319" t="s">
        <v>826</v>
      </c>
      <c r="M318" s="319" t="s">
        <v>154</v>
      </c>
      <c r="N318" s="2"/>
      <c r="O318" s="4"/>
    </row>
    <row r="319" spans="1:15" ht="15" x14ac:dyDescent="0.25">
      <c r="A319" s="320">
        <v>738500</v>
      </c>
      <c r="B319" s="319" t="s">
        <v>1156</v>
      </c>
      <c r="C319" s="331">
        <v>2057</v>
      </c>
      <c r="D319" s="331">
        <v>2260</v>
      </c>
      <c r="E319" s="331">
        <v>4317</v>
      </c>
      <c r="F319" s="331">
        <v>425018316</v>
      </c>
      <c r="G319" s="331">
        <v>519389452</v>
      </c>
      <c r="H319" s="331">
        <v>944407768</v>
      </c>
      <c r="I319" s="331">
        <v>-15161982</v>
      </c>
      <c r="J319" s="319" t="s">
        <v>181</v>
      </c>
      <c r="K319" s="319" t="s">
        <v>771</v>
      </c>
      <c r="L319" s="319" t="s">
        <v>284</v>
      </c>
      <c r="M319" s="319" t="s">
        <v>154</v>
      </c>
      <c r="N319" s="2"/>
      <c r="O319" s="4"/>
    </row>
    <row r="320" spans="1:15" ht="15" x14ac:dyDescent="0.25">
      <c r="A320" s="320">
        <v>390062</v>
      </c>
      <c r="B320" s="319" t="s">
        <v>474</v>
      </c>
      <c r="C320" s="331">
        <v>1524</v>
      </c>
      <c r="D320" s="331">
        <v>2784</v>
      </c>
      <c r="E320" s="331">
        <v>4308</v>
      </c>
      <c r="F320" s="331">
        <v>67987716</v>
      </c>
      <c r="G320" s="331">
        <v>163725109</v>
      </c>
      <c r="H320" s="331">
        <v>231712825</v>
      </c>
      <c r="I320" s="331">
        <v>-15358598</v>
      </c>
      <c r="J320" s="319" t="s">
        <v>373</v>
      </c>
      <c r="K320" s="319" t="s">
        <v>771</v>
      </c>
      <c r="L320" s="319" t="s">
        <v>158</v>
      </c>
      <c r="M320" s="319" t="s">
        <v>68</v>
      </c>
      <c r="N320" s="2"/>
      <c r="O320" s="4"/>
    </row>
    <row r="321" spans="1:15" ht="15" x14ac:dyDescent="0.25">
      <c r="A321" s="320">
        <v>717496</v>
      </c>
      <c r="B321" s="319" t="s">
        <v>607</v>
      </c>
      <c r="C321" s="331">
        <v>1671</v>
      </c>
      <c r="D321" s="331">
        <v>2600</v>
      </c>
      <c r="E321" s="331">
        <v>4271</v>
      </c>
      <c r="F321" s="331">
        <v>63411711</v>
      </c>
      <c r="G321" s="331">
        <v>119023384</v>
      </c>
      <c r="H321" s="331">
        <v>182435095</v>
      </c>
      <c r="I321" s="331">
        <v>-1947620</v>
      </c>
      <c r="J321" s="319" t="s">
        <v>181</v>
      </c>
      <c r="K321" s="319" t="s">
        <v>771</v>
      </c>
      <c r="L321" s="319" t="s">
        <v>530</v>
      </c>
      <c r="M321" s="319" t="s">
        <v>68</v>
      </c>
      <c r="N321" s="2"/>
      <c r="O321" s="4"/>
    </row>
    <row r="322" spans="1:15" ht="15" x14ac:dyDescent="0.25">
      <c r="A322" s="320">
        <v>156315</v>
      </c>
      <c r="B322" s="319" t="s">
        <v>682</v>
      </c>
      <c r="C322" s="331">
        <v>1963</v>
      </c>
      <c r="D322" s="331">
        <v>2285</v>
      </c>
      <c r="E322" s="331">
        <v>4248</v>
      </c>
      <c r="F322" s="331">
        <v>246721063</v>
      </c>
      <c r="G322" s="331">
        <v>335372899</v>
      </c>
      <c r="H322" s="331">
        <v>582093962</v>
      </c>
      <c r="I322" s="331">
        <v>-2564653</v>
      </c>
      <c r="J322" s="319" t="s">
        <v>1024</v>
      </c>
      <c r="K322" s="319" t="s">
        <v>768</v>
      </c>
      <c r="L322" s="319" t="s">
        <v>479</v>
      </c>
      <c r="M322" s="319" t="s">
        <v>154</v>
      </c>
      <c r="N322" s="2"/>
      <c r="O322" s="4"/>
    </row>
    <row r="323" spans="1:15" ht="15" x14ac:dyDescent="0.25">
      <c r="A323" s="320">
        <v>978452</v>
      </c>
      <c r="B323" s="319" t="s">
        <v>707</v>
      </c>
      <c r="C323" s="331">
        <v>1726</v>
      </c>
      <c r="D323" s="331">
        <v>2500</v>
      </c>
      <c r="E323" s="331">
        <v>4226</v>
      </c>
      <c r="F323" s="331">
        <v>95237476</v>
      </c>
      <c r="G323" s="331">
        <v>167560836</v>
      </c>
      <c r="H323" s="331">
        <v>262798313</v>
      </c>
      <c r="I323" s="331">
        <v>5137061</v>
      </c>
      <c r="J323" s="319" t="s">
        <v>295</v>
      </c>
      <c r="K323" s="319" t="s">
        <v>771</v>
      </c>
      <c r="L323" s="319" t="s">
        <v>538</v>
      </c>
      <c r="M323" s="319" t="s">
        <v>68</v>
      </c>
      <c r="N323" s="2"/>
      <c r="O323" s="4"/>
    </row>
    <row r="324" spans="1:15" ht="15" x14ac:dyDescent="0.25">
      <c r="A324" s="320">
        <v>499913</v>
      </c>
      <c r="B324" s="319" t="s">
        <v>873</v>
      </c>
      <c r="C324" s="331">
        <v>2309</v>
      </c>
      <c r="D324" s="331">
        <v>1914</v>
      </c>
      <c r="E324" s="331">
        <v>4223</v>
      </c>
      <c r="F324" s="331">
        <v>343583267</v>
      </c>
      <c r="G324" s="331">
        <v>338691871</v>
      </c>
      <c r="H324" s="331">
        <v>682275139</v>
      </c>
      <c r="I324" s="331">
        <v>-3248158</v>
      </c>
      <c r="J324" s="319" t="s">
        <v>1024</v>
      </c>
      <c r="K324" s="319" t="s">
        <v>768</v>
      </c>
      <c r="L324" s="319" t="s">
        <v>247</v>
      </c>
      <c r="M324" s="319" t="s">
        <v>154</v>
      </c>
      <c r="N324" s="2"/>
      <c r="O324" s="4"/>
    </row>
    <row r="325" spans="1:15" ht="15" customHeight="1" x14ac:dyDescent="0.25">
      <c r="A325" s="320">
        <v>778589</v>
      </c>
      <c r="B325" s="319" t="s">
        <v>814</v>
      </c>
      <c r="C325" s="331">
        <v>1625</v>
      </c>
      <c r="D325" s="331">
        <v>2579</v>
      </c>
      <c r="E325" s="331">
        <v>4204</v>
      </c>
      <c r="F325" s="331">
        <v>93519221</v>
      </c>
      <c r="G325" s="331">
        <v>175088741</v>
      </c>
      <c r="H325" s="331">
        <v>268607962</v>
      </c>
      <c r="I325" s="331">
        <v>-3702064</v>
      </c>
      <c r="J325" s="319" t="s">
        <v>181</v>
      </c>
      <c r="K325" s="319" t="s">
        <v>771</v>
      </c>
      <c r="L325" s="319" t="s">
        <v>755</v>
      </c>
      <c r="M325" s="319" t="s">
        <v>154</v>
      </c>
      <c r="N325" s="2"/>
      <c r="O325" s="4"/>
    </row>
    <row r="326" spans="1:15" ht="15" x14ac:dyDescent="0.25">
      <c r="A326" s="320">
        <v>302760</v>
      </c>
      <c r="B326" s="319" t="s">
        <v>778</v>
      </c>
      <c r="C326" s="331">
        <v>1984</v>
      </c>
      <c r="D326" s="331">
        <v>2177</v>
      </c>
      <c r="E326" s="331">
        <v>4161</v>
      </c>
      <c r="F326" s="331">
        <v>62151153</v>
      </c>
      <c r="G326" s="331">
        <v>74350618</v>
      </c>
      <c r="H326" s="331">
        <v>136501771</v>
      </c>
      <c r="I326" s="331">
        <v>-1498837</v>
      </c>
      <c r="J326" s="319" t="s">
        <v>1024</v>
      </c>
      <c r="K326" s="319" t="s">
        <v>768</v>
      </c>
      <c r="L326" s="319" t="s">
        <v>540</v>
      </c>
      <c r="M326" s="319" t="s">
        <v>68</v>
      </c>
      <c r="N326" s="2"/>
      <c r="O326" s="4"/>
    </row>
    <row r="327" spans="1:15" ht="15" x14ac:dyDescent="0.25">
      <c r="A327" s="320">
        <v>956268</v>
      </c>
      <c r="B327" s="319" t="s">
        <v>923</v>
      </c>
      <c r="C327" s="331">
        <v>1576</v>
      </c>
      <c r="D327" s="331">
        <v>2555</v>
      </c>
      <c r="E327" s="331">
        <v>4131</v>
      </c>
      <c r="F327" s="331">
        <v>49579618</v>
      </c>
      <c r="G327" s="331">
        <v>98352593</v>
      </c>
      <c r="H327" s="331">
        <v>147932211</v>
      </c>
      <c r="I327" s="331">
        <v>-905351</v>
      </c>
      <c r="J327" s="319" t="s">
        <v>361</v>
      </c>
      <c r="K327" s="319" t="s">
        <v>771</v>
      </c>
      <c r="L327" s="319" t="s">
        <v>773</v>
      </c>
      <c r="M327" s="319" t="s">
        <v>68</v>
      </c>
      <c r="N327" s="2"/>
      <c r="O327" s="4"/>
    </row>
    <row r="328" spans="1:15" ht="15" x14ac:dyDescent="0.25">
      <c r="A328" s="320">
        <v>981175</v>
      </c>
      <c r="B328" s="319" t="s">
        <v>308</v>
      </c>
      <c r="C328" s="331">
        <v>2791</v>
      </c>
      <c r="D328" s="331">
        <v>1304</v>
      </c>
      <c r="E328" s="331">
        <v>4095</v>
      </c>
      <c r="F328" s="331">
        <v>81876412</v>
      </c>
      <c r="G328" s="331">
        <v>32057420</v>
      </c>
      <c r="H328" s="331">
        <v>113933832</v>
      </c>
      <c r="I328" s="331">
        <v>-379297</v>
      </c>
      <c r="J328" s="319" t="s">
        <v>1024</v>
      </c>
      <c r="K328" s="319" t="s">
        <v>768</v>
      </c>
      <c r="L328" s="319" t="s">
        <v>166</v>
      </c>
      <c r="M328" s="319" t="s">
        <v>154</v>
      </c>
      <c r="N328" s="2"/>
      <c r="O328" s="4"/>
    </row>
    <row r="329" spans="1:15" ht="15" customHeight="1" x14ac:dyDescent="0.25">
      <c r="A329" s="320">
        <v>451393</v>
      </c>
      <c r="B329" s="319" t="s">
        <v>669</v>
      </c>
      <c r="C329" s="331">
        <v>2168</v>
      </c>
      <c r="D329" s="331">
        <v>1911</v>
      </c>
      <c r="E329" s="331">
        <v>4079</v>
      </c>
      <c r="F329" s="331">
        <v>274691867</v>
      </c>
      <c r="G329" s="331">
        <v>266026585</v>
      </c>
      <c r="H329" s="331">
        <v>540718452</v>
      </c>
      <c r="I329" s="331">
        <v>-2075299</v>
      </c>
      <c r="J329" s="319" t="s">
        <v>181</v>
      </c>
      <c r="K329" s="319" t="s">
        <v>771</v>
      </c>
      <c r="L329" s="319" t="s">
        <v>596</v>
      </c>
      <c r="M329" s="319" t="s">
        <v>68</v>
      </c>
      <c r="N329" s="2"/>
      <c r="O329" s="4"/>
    </row>
    <row r="330" spans="1:15" ht="15" x14ac:dyDescent="0.25">
      <c r="A330" s="320">
        <v>891804</v>
      </c>
      <c r="B330" s="319" t="s">
        <v>507</v>
      </c>
      <c r="C330" s="331">
        <v>2100</v>
      </c>
      <c r="D330" s="331">
        <v>1964</v>
      </c>
      <c r="E330" s="331">
        <v>4064</v>
      </c>
      <c r="F330" s="331">
        <v>332451081</v>
      </c>
      <c r="G330" s="331">
        <v>335793060</v>
      </c>
      <c r="H330" s="331">
        <v>668244141</v>
      </c>
      <c r="I330" s="331">
        <v>-2328047</v>
      </c>
      <c r="J330" s="319" t="s">
        <v>1026</v>
      </c>
      <c r="K330" s="319" t="s">
        <v>771</v>
      </c>
      <c r="L330" s="319" t="s">
        <v>207</v>
      </c>
      <c r="M330" s="319" t="s">
        <v>154</v>
      </c>
      <c r="N330" s="2"/>
      <c r="O330" s="4"/>
    </row>
    <row r="331" spans="1:15" ht="15" x14ac:dyDescent="0.25">
      <c r="A331" s="320">
        <v>354704</v>
      </c>
      <c r="B331" s="319" t="s">
        <v>865</v>
      </c>
      <c r="C331" s="331">
        <v>1832</v>
      </c>
      <c r="D331" s="331">
        <v>2220</v>
      </c>
      <c r="E331" s="331">
        <v>4052</v>
      </c>
      <c r="F331" s="331">
        <v>182570897</v>
      </c>
      <c r="G331" s="331">
        <v>253338862</v>
      </c>
      <c r="H331" s="331">
        <v>435909759</v>
      </c>
      <c r="I331" s="331">
        <v>-162501</v>
      </c>
      <c r="J331" s="319" t="s">
        <v>219</v>
      </c>
      <c r="K331" s="319" t="s">
        <v>771</v>
      </c>
      <c r="L331" s="319" t="s">
        <v>826</v>
      </c>
      <c r="M331" s="319" t="s">
        <v>154</v>
      </c>
      <c r="N331" s="2"/>
      <c r="O331" s="4"/>
    </row>
    <row r="332" spans="1:15" ht="15" x14ac:dyDescent="0.25">
      <c r="A332" s="320">
        <v>865774</v>
      </c>
      <c r="B332" s="319" t="s">
        <v>206</v>
      </c>
      <c r="C332" s="331">
        <v>2008</v>
      </c>
      <c r="D332" s="331">
        <v>1933</v>
      </c>
      <c r="E332" s="331">
        <v>3941</v>
      </c>
      <c r="F332" s="331">
        <v>75174225</v>
      </c>
      <c r="G332" s="331">
        <v>97805588</v>
      </c>
      <c r="H332" s="331">
        <v>172979813</v>
      </c>
      <c r="I332" s="331">
        <v>-2673236</v>
      </c>
      <c r="J332" s="319" t="s">
        <v>1031</v>
      </c>
      <c r="K332" s="319" t="s">
        <v>772</v>
      </c>
      <c r="L332" s="319" t="s">
        <v>207</v>
      </c>
      <c r="M332" s="319" t="s">
        <v>154</v>
      </c>
      <c r="N332" s="2"/>
      <c r="O332" s="4"/>
    </row>
    <row r="333" spans="1:15" ht="15" x14ac:dyDescent="0.25">
      <c r="A333" s="320">
        <v>374835</v>
      </c>
      <c r="B333" s="319" t="s">
        <v>1017</v>
      </c>
      <c r="C333" s="331">
        <v>1263</v>
      </c>
      <c r="D333" s="331">
        <v>2674</v>
      </c>
      <c r="E333" s="331">
        <v>3937</v>
      </c>
      <c r="F333" s="331">
        <v>336839278</v>
      </c>
      <c r="G333" s="331">
        <v>797442452</v>
      </c>
      <c r="H333" s="331">
        <v>1134281731</v>
      </c>
      <c r="I333" s="331">
        <v>-4641918</v>
      </c>
      <c r="J333" s="319" t="s">
        <v>1026</v>
      </c>
      <c r="K333" s="319" t="s">
        <v>771</v>
      </c>
      <c r="L333" s="319" t="s">
        <v>615</v>
      </c>
      <c r="M333" s="319" t="s">
        <v>154</v>
      </c>
      <c r="N333" s="2"/>
      <c r="O333" s="4"/>
    </row>
    <row r="334" spans="1:15" ht="15" customHeight="1" x14ac:dyDescent="0.25">
      <c r="A334" s="320">
        <v>524702</v>
      </c>
      <c r="B334" s="319" t="s">
        <v>913</v>
      </c>
      <c r="C334" s="331">
        <v>2082</v>
      </c>
      <c r="D334" s="331">
        <v>1854</v>
      </c>
      <c r="E334" s="331">
        <v>3936</v>
      </c>
      <c r="F334" s="331">
        <v>85880816</v>
      </c>
      <c r="G334" s="331">
        <v>94605722</v>
      </c>
      <c r="H334" s="331">
        <v>180486538</v>
      </c>
      <c r="I334" s="331">
        <v>-3276331</v>
      </c>
      <c r="J334" s="319" t="s">
        <v>1040</v>
      </c>
      <c r="K334" s="319" t="s">
        <v>772</v>
      </c>
      <c r="L334" s="319" t="s">
        <v>194</v>
      </c>
      <c r="M334" s="319" t="s">
        <v>154</v>
      </c>
      <c r="N334" s="2"/>
      <c r="O334" s="4"/>
    </row>
    <row r="335" spans="1:15" ht="15" x14ac:dyDescent="0.25">
      <c r="A335" s="320">
        <v>131409</v>
      </c>
      <c r="B335" s="319" t="s">
        <v>234</v>
      </c>
      <c r="C335" s="331">
        <v>2015</v>
      </c>
      <c r="D335" s="331">
        <v>1818</v>
      </c>
      <c r="E335" s="331">
        <v>3833</v>
      </c>
      <c r="F335" s="331">
        <v>93543634</v>
      </c>
      <c r="G335" s="331">
        <v>101977166</v>
      </c>
      <c r="H335" s="331">
        <v>195520800</v>
      </c>
      <c r="I335" s="331">
        <v>-4070494</v>
      </c>
      <c r="J335" s="319" t="s">
        <v>1040</v>
      </c>
      <c r="K335" s="319" t="s">
        <v>772</v>
      </c>
      <c r="L335" s="319" t="s">
        <v>191</v>
      </c>
      <c r="M335" s="319" t="s">
        <v>68</v>
      </c>
      <c r="N335" s="2"/>
      <c r="O335" s="4"/>
    </row>
    <row r="336" spans="1:15" ht="15" customHeight="1" x14ac:dyDescent="0.25">
      <c r="A336" s="320">
        <v>928937</v>
      </c>
      <c r="B336" s="319" t="s">
        <v>1058</v>
      </c>
      <c r="C336" s="331">
        <v>1918</v>
      </c>
      <c r="D336" s="331">
        <v>1899</v>
      </c>
      <c r="E336" s="331">
        <v>3817</v>
      </c>
      <c r="F336" s="331">
        <v>123473348</v>
      </c>
      <c r="G336" s="331">
        <v>135724759</v>
      </c>
      <c r="H336" s="331">
        <v>259198107</v>
      </c>
      <c r="I336" s="331">
        <v>-778712</v>
      </c>
      <c r="J336" s="319" t="s">
        <v>219</v>
      </c>
      <c r="K336" s="319" t="s">
        <v>771</v>
      </c>
      <c r="L336" s="319" t="s">
        <v>166</v>
      </c>
      <c r="M336" s="319" t="s">
        <v>154</v>
      </c>
      <c r="N336" s="2"/>
      <c r="O336" s="4"/>
    </row>
    <row r="337" spans="1:15" ht="15" x14ac:dyDescent="0.25">
      <c r="A337" s="320">
        <v>120014</v>
      </c>
      <c r="B337" s="319" t="s">
        <v>355</v>
      </c>
      <c r="C337" s="331">
        <v>1721</v>
      </c>
      <c r="D337" s="331">
        <v>2084</v>
      </c>
      <c r="E337" s="331">
        <v>3805</v>
      </c>
      <c r="F337" s="331">
        <v>77475019</v>
      </c>
      <c r="G337" s="331">
        <v>111655220</v>
      </c>
      <c r="H337" s="331">
        <v>189130239</v>
      </c>
      <c r="I337" s="331">
        <v>-1387849</v>
      </c>
      <c r="J337" s="319" t="s">
        <v>1026</v>
      </c>
      <c r="K337" s="319" t="s">
        <v>771</v>
      </c>
      <c r="L337" s="319" t="s">
        <v>176</v>
      </c>
      <c r="M337" s="319" t="s">
        <v>68</v>
      </c>
      <c r="N337" s="2"/>
      <c r="O337" s="4"/>
    </row>
    <row r="338" spans="1:15" ht="15" x14ac:dyDescent="0.25">
      <c r="A338" s="320">
        <v>167114</v>
      </c>
      <c r="B338" s="319" t="s">
        <v>1141</v>
      </c>
      <c r="C338" s="331">
        <v>2108</v>
      </c>
      <c r="D338" s="331">
        <v>1665</v>
      </c>
      <c r="E338" s="331">
        <v>3773</v>
      </c>
      <c r="F338" s="331">
        <v>185294003</v>
      </c>
      <c r="G338" s="331">
        <v>165163054</v>
      </c>
      <c r="H338" s="331">
        <v>350457057</v>
      </c>
      <c r="I338" s="331">
        <v>3483790</v>
      </c>
      <c r="J338" s="319" t="s">
        <v>159</v>
      </c>
      <c r="K338" s="319" t="s">
        <v>765</v>
      </c>
      <c r="L338" s="319" t="s">
        <v>158</v>
      </c>
      <c r="M338" s="319" t="s">
        <v>68</v>
      </c>
      <c r="N338" s="2"/>
      <c r="O338" s="4"/>
    </row>
    <row r="339" spans="1:15" ht="15" x14ac:dyDescent="0.25">
      <c r="A339" s="320">
        <v>170894</v>
      </c>
      <c r="B339" s="319" t="s">
        <v>614</v>
      </c>
      <c r="C339" s="331">
        <v>1358</v>
      </c>
      <c r="D339" s="331">
        <v>2392</v>
      </c>
      <c r="E339" s="331">
        <v>3750</v>
      </c>
      <c r="F339" s="331">
        <v>63543699</v>
      </c>
      <c r="G339" s="331">
        <v>145667397</v>
      </c>
      <c r="H339" s="331">
        <v>209211096</v>
      </c>
      <c r="I339" s="331">
        <v>-8294717</v>
      </c>
      <c r="J339" s="319" t="s">
        <v>1057</v>
      </c>
      <c r="K339" s="319" t="s">
        <v>771</v>
      </c>
      <c r="L339" s="319" t="s">
        <v>530</v>
      </c>
      <c r="M339" s="319" t="s">
        <v>68</v>
      </c>
      <c r="N339" s="2"/>
      <c r="O339" s="4"/>
    </row>
    <row r="340" spans="1:15" ht="15" x14ac:dyDescent="0.25">
      <c r="A340" s="320">
        <v>218115</v>
      </c>
      <c r="B340" s="319" t="s">
        <v>297</v>
      </c>
      <c r="C340" s="331">
        <v>1535</v>
      </c>
      <c r="D340" s="331">
        <v>2185</v>
      </c>
      <c r="E340" s="331">
        <v>3720</v>
      </c>
      <c r="F340" s="331">
        <v>31820866</v>
      </c>
      <c r="G340" s="331">
        <v>56170996</v>
      </c>
      <c r="H340" s="331">
        <v>87991862</v>
      </c>
      <c r="I340" s="331">
        <v>4010043</v>
      </c>
      <c r="J340" s="319" t="s">
        <v>201</v>
      </c>
      <c r="K340" s="319" t="s">
        <v>771</v>
      </c>
      <c r="L340" s="319" t="s">
        <v>191</v>
      </c>
      <c r="M340" s="319" t="s">
        <v>68</v>
      </c>
      <c r="N340" s="2"/>
      <c r="O340" s="4"/>
    </row>
    <row r="341" spans="1:15" ht="15" x14ac:dyDescent="0.25">
      <c r="A341" s="320">
        <v>551804</v>
      </c>
      <c r="B341" s="319" t="s">
        <v>343</v>
      </c>
      <c r="C341" s="331">
        <v>1792</v>
      </c>
      <c r="D341" s="331">
        <v>1916</v>
      </c>
      <c r="E341" s="331">
        <v>3708</v>
      </c>
      <c r="F341" s="331">
        <v>56755708</v>
      </c>
      <c r="G341" s="331">
        <v>73990021</v>
      </c>
      <c r="H341" s="331">
        <v>130745730</v>
      </c>
      <c r="I341" s="331">
        <v>-1583352</v>
      </c>
      <c r="J341" s="319" t="s">
        <v>1033</v>
      </c>
      <c r="K341" s="319" t="s">
        <v>772</v>
      </c>
      <c r="L341" s="319" t="s">
        <v>331</v>
      </c>
      <c r="M341" s="319" t="s">
        <v>68</v>
      </c>
      <c r="N341" s="2"/>
      <c r="O341" s="4"/>
    </row>
    <row r="342" spans="1:15" ht="15" x14ac:dyDescent="0.25">
      <c r="A342" s="320">
        <v>111518</v>
      </c>
      <c r="B342" s="319" t="s">
        <v>292</v>
      </c>
      <c r="C342" s="331">
        <v>1868</v>
      </c>
      <c r="D342" s="331">
        <v>1745</v>
      </c>
      <c r="E342" s="331">
        <v>3613</v>
      </c>
      <c r="F342" s="331">
        <v>57671533</v>
      </c>
      <c r="G342" s="331">
        <v>66050420</v>
      </c>
      <c r="H342" s="331">
        <v>123721953</v>
      </c>
      <c r="I342" s="331">
        <v>-499842</v>
      </c>
      <c r="J342" s="319" t="s">
        <v>1044</v>
      </c>
      <c r="K342" s="319" t="s">
        <v>772</v>
      </c>
      <c r="L342" s="319" t="s">
        <v>294</v>
      </c>
      <c r="M342" s="319" t="s">
        <v>68</v>
      </c>
      <c r="N342" s="2"/>
      <c r="O342" s="4"/>
    </row>
    <row r="343" spans="1:15" ht="15" x14ac:dyDescent="0.25">
      <c r="A343" s="320">
        <v>768499</v>
      </c>
      <c r="B343" s="319" t="s">
        <v>796</v>
      </c>
      <c r="C343" s="331">
        <v>1288</v>
      </c>
      <c r="D343" s="331">
        <v>2235</v>
      </c>
      <c r="E343" s="331">
        <v>3523</v>
      </c>
      <c r="F343" s="331">
        <v>72464911</v>
      </c>
      <c r="G343" s="331">
        <v>149062911</v>
      </c>
      <c r="H343" s="331">
        <v>221527823</v>
      </c>
      <c r="I343" s="331">
        <v>-4411493</v>
      </c>
      <c r="J343" s="319" t="s">
        <v>1057</v>
      </c>
      <c r="K343" s="319" t="s">
        <v>771</v>
      </c>
      <c r="L343" s="319" t="s">
        <v>540</v>
      </c>
      <c r="M343" s="319" t="s">
        <v>68</v>
      </c>
      <c r="N343" s="2"/>
      <c r="O343" s="4"/>
    </row>
    <row r="344" spans="1:15" ht="15" x14ac:dyDescent="0.25">
      <c r="A344" s="320">
        <v>634386</v>
      </c>
      <c r="B344" s="319" t="s">
        <v>587</v>
      </c>
      <c r="C344" s="331">
        <v>1716</v>
      </c>
      <c r="D344" s="331">
        <v>1697</v>
      </c>
      <c r="E344" s="331">
        <v>3413</v>
      </c>
      <c r="F344" s="331">
        <v>87169900</v>
      </c>
      <c r="G344" s="331">
        <v>96556912</v>
      </c>
      <c r="H344" s="331">
        <v>183726812</v>
      </c>
      <c r="I344" s="331">
        <v>-1217334</v>
      </c>
      <c r="J344" s="319" t="s">
        <v>298</v>
      </c>
      <c r="K344" s="319" t="s">
        <v>771</v>
      </c>
      <c r="L344" s="319" t="s">
        <v>584</v>
      </c>
      <c r="M344" s="319" t="s">
        <v>68</v>
      </c>
      <c r="N344" s="2"/>
      <c r="O344" s="4"/>
    </row>
    <row r="345" spans="1:15" ht="15" x14ac:dyDescent="0.25">
      <c r="A345" s="320">
        <v>396325</v>
      </c>
      <c r="B345" s="319" t="s">
        <v>664</v>
      </c>
      <c r="C345" s="331">
        <v>1452</v>
      </c>
      <c r="D345" s="331">
        <v>1946</v>
      </c>
      <c r="E345" s="331">
        <v>3398</v>
      </c>
      <c r="F345" s="331">
        <v>46631577</v>
      </c>
      <c r="G345" s="331">
        <v>74635230</v>
      </c>
      <c r="H345" s="331">
        <v>121266807</v>
      </c>
      <c r="I345" s="331">
        <v>-2791941</v>
      </c>
      <c r="J345" s="319" t="s">
        <v>373</v>
      </c>
      <c r="K345" s="319" t="s">
        <v>771</v>
      </c>
      <c r="L345" s="319" t="s">
        <v>542</v>
      </c>
      <c r="M345" s="319" t="s">
        <v>68</v>
      </c>
      <c r="N345" s="2"/>
      <c r="O345" s="4"/>
    </row>
    <row r="346" spans="1:15" ht="15" customHeight="1" x14ac:dyDescent="0.25">
      <c r="A346" s="320">
        <v>948117</v>
      </c>
      <c r="B346" s="319" t="s">
        <v>1011</v>
      </c>
      <c r="C346" s="331">
        <v>1223</v>
      </c>
      <c r="D346" s="331">
        <v>2157</v>
      </c>
      <c r="E346" s="331">
        <v>3380</v>
      </c>
      <c r="F346" s="331">
        <v>146619547</v>
      </c>
      <c r="G346" s="331">
        <v>333452653</v>
      </c>
      <c r="H346" s="331">
        <v>480072199</v>
      </c>
      <c r="I346" s="331">
        <v>-2048792</v>
      </c>
      <c r="J346" s="319" t="s">
        <v>295</v>
      </c>
      <c r="K346" s="319" t="s">
        <v>771</v>
      </c>
      <c r="L346" s="319" t="s">
        <v>942</v>
      </c>
      <c r="M346" s="319" t="s">
        <v>68</v>
      </c>
      <c r="N346" s="2"/>
      <c r="O346" s="4"/>
    </row>
    <row r="347" spans="1:15" ht="15" x14ac:dyDescent="0.25">
      <c r="A347" s="320">
        <v>973263</v>
      </c>
      <c r="B347" s="319" t="s">
        <v>442</v>
      </c>
      <c r="C347" s="331">
        <v>1603</v>
      </c>
      <c r="D347" s="331">
        <v>1755</v>
      </c>
      <c r="E347" s="331">
        <v>3358</v>
      </c>
      <c r="F347" s="331">
        <v>98081561</v>
      </c>
      <c r="G347" s="331">
        <v>127832261</v>
      </c>
      <c r="H347" s="331">
        <v>225913822</v>
      </c>
      <c r="I347" s="331">
        <v>-533741</v>
      </c>
      <c r="J347" s="319" t="s">
        <v>219</v>
      </c>
      <c r="K347" s="319" t="s">
        <v>771</v>
      </c>
      <c r="L347" s="319" t="s">
        <v>207</v>
      </c>
      <c r="M347" s="319" t="s">
        <v>154</v>
      </c>
      <c r="N347" s="2"/>
      <c r="O347" s="4"/>
    </row>
    <row r="348" spans="1:15" ht="15" x14ac:dyDescent="0.25">
      <c r="A348" s="320">
        <v>534099</v>
      </c>
      <c r="B348" s="319" t="s">
        <v>626</v>
      </c>
      <c r="C348" s="331">
        <v>1198</v>
      </c>
      <c r="D348" s="331">
        <v>2149</v>
      </c>
      <c r="E348" s="331">
        <v>3347</v>
      </c>
      <c r="F348" s="331">
        <v>34302671</v>
      </c>
      <c r="G348" s="331">
        <v>81453169</v>
      </c>
      <c r="H348" s="331">
        <v>115755840</v>
      </c>
      <c r="I348" s="331">
        <v>-2277874</v>
      </c>
      <c r="J348" s="319" t="s">
        <v>295</v>
      </c>
      <c r="K348" s="319" t="s">
        <v>771</v>
      </c>
      <c r="L348" s="319" t="s">
        <v>184</v>
      </c>
      <c r="M348" s="319" t="s">
        <v>154</v>
      </c>
      <c r="N348" s="2"/>
      <c r="O348" s="4"/>
    </row>
    <row r="349" spans="1:15" ht="15" x14ac:dyDescent="0.25">
      <c r="A349" s="320">
        <v>408484</v>
      </c>
      <c r="B349" s="319" t="s">
        <v>449</v>
      </c>
      <c r="C349" s="331">
        <v>1743</v>
      </c>
      <c r="D349" s="331">
        <v>1594</v>
      </c>
      <c r="E349" s="331">
        <v>3337</v>
      </c>
      <c r="F349" s="331">
        <v>63885128</v>
      </c>
      <c r="G349" s="331">
        <v>69997997</v>
      </c>
      <c r="H349" s="331">
        <v>133883125</v>
      </c>
      <c r="I349" s="331">
        <v>-454211</v>
      </c>
      <c r="J349" s="319" t="s">
        <v>1023</v>
      </c>
      <c r="K349" s="319" t="s">
        <v>768</v>
      </c>
      <c r="L349" s="319" t="s">
        <v>331</v>
      </c>
      <c r="M349" s="319" t="s">
        <v>68</v>
      </c>
      <c r="N349" s="2"/>
      <c r="O349" s="4"/>
    </row>
    <row r="350" spans="1:15" ht="15" x14ac:dyDescent="0.25">
      <c r="A350" s="320">
        <v>587337</v>
      </c>
      <c r="B350" s="319" t="s">
        <v>1124</v>
      </c>
      <c r="C350" s="331">
        <v>1376</v>
      </c>
      <c r="D350" s="331">
        <v>1946</v>
      </c>
      <c r="E350" s="331">
        <v>3322</v>
      </c>
      <c r="F350" s="331">
        <v>72947387</v>
      </c>
      <c r="G350" s="331">
        <v>132864433</v>
      </c>
      <c r="H350" s="331">
        <v>205811820</v>
      </c>
      <c r="I350" s="331">
        <v>4407119</v>
      </c>
      <c r="J350" s="319" t="s">
        <v>219</v>
      </c>
      <c r="K350" s="319" t="s">
        <v>771</v>
      </c>
      <c r="L350" s="319" t="s">
        <v>173</v>
      </c>
      <c r="M350" s="319" t="s">
        <v>154</v>
      </c>
      <c r="N350" s="2"/>
      <c r="O350" s="4"/>
    </row>
    <row r="351" spans="1:15" ht="15" x14ac:dyDescent="0.25">
      <c r="A351" s="320">
        <v>762823</v>
      </c>
      <c r="B351" s="319" t="s">
        <v>687</v>
      </c>
      <c r="C351" s="331">
        <v>838</v>
      </c>
      <c r="D351" s="331">
        <v>2465</v>
      </c>
      <c r="E351" s="331">
        <v>3303</v>
      </c>
      <c r="F351" s="331">
        <v>36682772</v>
      </c>
      <c r="G351" s="331">
        <v>132095816</v>
      </c>
      <c r="H351" s="331">
        <v>168778588</v>
      </c>
      <c r="I351" s="331">
        <v>-3581647</v>
      </c>
      <c r="J351" s="319" t="s">
        <v>298</v>
      </c>
      <c r="K351" s="319" t="s">
        <v>771</v>
      </c>
      <c r="L351" s="319" t="s">
        <v>686</v>
      </c>
      <c r="M351" s="319" t="s">
        <v>154</v>
      </c>
      <c r="N351" s="2"/>
      <c r="O351" s="4"/>
    </row>
    <row r="352" spans="1:15" ht="15" x14ac:dyDescent="0.25">
      <c r="A352" s="320">
        <v>569988</v>
      </c>
      <c r="B352" s="319" t="s">
        <v>531</v>
      </c>
      <c r="C352" s="331">
        <v>1572</v>
      </c>
      <c r="D352" s="331">
        <v>1729</v>
      </c>
      <c r="E352" s="331">
        <v>3301</v>
      </c>
      <c r="F352" s="331">
        <v>107797760</v>
      </c>
      <c r="G352" s="331">
        <v>141674265</v>
      </c>
      <c r="H352" s="331">
        <v>249472025</v>
      </c>
      <c r="I352" s="331">
        <v>-438681</v>
      </c>
      <c r="J352" s="319" t="s">
        <v>219</v>
      </c>
      <c r="K352" s="319" t="s">
        <v>771</v>
      </c>
      <c r="L352" s="319" t="s">
        <v>826</v>
      </c>
      <c r="M352" s="319" t="s">
        <v>154</v>
      </c>
      <c r="N352" s="2"/>
      <c r="O352" s="4"/>
    </row>
    <row r="353" spans="1:15" ht="15" x14ac:dyDescent="0.25">
      <c r="A353" s="320">
        <v>851725</v>
      </c>
      <c r="B353" s="319" t="s">
        <v>1028</v>
      </c>
      <c r="C353" s="331">
        <v>1145</v>
      </c>
      <c r="D353" s="331">
        <v>2087</v>
      </c>
      <c r="E353" s="331">
        <v>3232</v>
      </c>
      <c r="F353" s="331">
        <v>45890207</v>
      </c>
      <c r="G353" s="331">
        <v>94755867</v>
      </c>
      <c r="H353" s="331">
        <v>140646074</v>
      </c>
      <c r="I353" s="331">
        <v>5940819</v>
      </c>
      <c r="J353" s="319" t="s">
        <v>295</v>
      </c>
      <c r="K353" s="319" t="s">
        <v>771</v>
      </c>
      <c r="L353" s="319" t="s">
        <v>1062</v>
      </c>
      <c r="M353" s="319" t="s">
        <v>68</v>
      </c>
      <c r="N353" s="2"/>
      <c r="O353" s="4"/>
    </row>
    <row r="354" spans="1:15" ht="15" x14ac:dyDescent="0.25">
      <c r="A354" s="320">
        <v>376319</v>
      </c>
      <c r="B354" s="319" t="s">
        <v>522</v>
      </c>
      <c r="C354" s="331">
        <v>1250</v>
      </c>
      <c r="D354" s="331">
        <v>1961</v>
      </c>
      <c r="E354" s="331">
        <v>3211</v>
      </c>
      <c r="F354" s="331">
        <v>40872979</v>
      </c>
      <c r="G354" s="331">
        <v>81021311</v>
      </c>
      <c r="H354" s="331">
        <v>121894290</v>
      </c>
      <c r="I354" s="331">
        <v>-772551</v>
      </c>
      <c r="J354" s="319" t="s">
        <v>321</v>
      </c>
      <c r="K354" s="319" t="s">
        <v>771</v>
      </c>
      <c r="L354" s="319" t="s">
        <v>375</v>
      </c>
      <c r="M354" s="319" t="s">
        <v>68</v>
      </c>
      <c r="N354" s="2"/>
      <c r="O354" s="4"/>
    </row>
    <row r="355" spans="1:15" ht="15" customHeight="1" x14ac:dyDescent="0.25">
      <c r="A355" s="320">
        <v>721746</v>
      </c>
      <c r="B355" s="319" t="s">
        <v>536</v>
      </c>
      <c r="C355" s="331">
        <v>1378</v>
      </c>
      <c r="D355" s="331">
        <v>1828</v>
      </c>
      <c r="E355" s="331">
        <v>3206</v>
      </c>
      <c r="F355" s="331">
        <v>64105971</v>
      </c>
      <c r="G355" s="331">
        <v>101551638</v>
      </c>
      <c r="H355" s="331">
        <v>165657609</v>
      </c>
      <c r="I355" s="331">
        <v>-8767690</v>
      </c>
      <c r="J355" s="319" t="s">
        <v>1034</v>
      </c>
      <c r="K355" s="319" t="s">
        <v>772</v>
      </c>
      <c r="L355" s="319" t="s">
        <v>408</v>
      </c>
      <c r="M355" s="319" t="s">
        <v>68</v>
      </c>
      <c r="N355" s="2"/>
      <c r="O355" s="4"/>
    </row>
    <row r="356" spans="1:15" ht="15" x14ac:dyDescent="0.25">
      <c r="A356" s="320">
        <v>241497</v>
      </c>
      <c r="B356" s="319" t="s">
        <v>1029</v>
      </c>
      <c r="C356" s="331">
        <v>1485</v>
      </c>
      <c r="D356" s="331">
        <v>1628</v>
      </c>
      <c r="E356" s="331">
        <v>3113</v>
      </c>
      <c r="F356" s="331">
        <v>60633283</v>
      </c>
      <c r="G356" s="331">
        <v>76811343</v>
      </c>
      <c r="H356" s="331">
        <v>137444626</v>
      </c>
      <c r="I356" s="331">
        <v>-1111936</v>
      </c>
      <c r="J356" s="319" t="s">
        <v>181</v>
      </c>
      <c r="K356" s="319" t="s">
        <v>771</v>
      </c>
      <c r="L356" s="319" t="s">
        <v>1062</v>
      </c>
      <c r="M356" s="319" t="s">
        <v>68</v>
      </c>
      <c r="N356" s="2"/>
      <c r="O356" s="4"/>
    </row>
    <row r="357" spans="1:15" ht="15" x14ac:dyDescent="0.25">
      <c r="A357" s="320">
        <v>275495</v>
      </c>
      <c r="B357" s="319" t="s">
        <v>819</v>
      </c>
      <c r="C357" s="331">
        <v>1455</v>
      </c>
      <c r="D357" s="331">
        <v>1649</v>
      </c>
      <c r="E357" s="331">
        <v>3104</v>
      </c>
      <c r="F357" s="331">
        <v>40897644</v>
      </c>
      <c r="G357" s="331">
        <v>58650445</v>
      </c>
      <c r="H357" s="331">
        <v>99548089</v>
      </c>
      <c r="I357" s="331">
        <v>-284646</v>
      </c>
      <c r="J357" s="319" t="s">
        <v>201</v>
      </c>
      <c r="K357" s="319" t="s">
        <v>771</v>
      </c>
      <c r="L357" s="319" t="s">
        <v>563</v>
      </c>
      <c r="M357" s="319" t="s">
        <v>68</v>
      </c>
      <c r="N357" s="2"/>
      <c r="O357" s="4"/>
    </row>
    <row r="358" spans="1:15" ht="15" x14ac:dyDescent="0.25">
      <c r="A358" s="320">
        <v>192146</v>
      </c>
      <c r="B358" s="319" t="s">
        <v>557</v>
      </c>
      <c r="C358" s="331">
        <v>1240</v>
      </c>
      <c r="D358" s="331">
        <v>1859</v>
      </c>
      <c r="E358" s="331">
        <v>3099</v>
      </c>
      <c r="F358" s="331">
        <v>56228019</v>
      </c>
      <c r="G358" s="331">
        <v>107413034</v>
      </c>
      <c r="H358" s="331">
        <v>163641053</v>
      </c>
      <c r="I358" s="331">
        <v>-1038248</v>
      </c>
      <c r="J358" s="319" t="s">
        <v>201</v>
      </c>
      <c r="K358" s="319" t="s">
        <v>771</v>
      </c>
      <c r="L358" s="319" t="s">
        <v>408</v>
      </c>
      <c r="M358" s="319" t="s">
        <v>68</v>
      </c>
      <c r="N358" s="2"/>
      <c r="O358" s="4"/>
    </row>
    <row r="359" spans="1:15" ht="15" customHeight="1" x14ac:dyDescent="0.25">
      <c r="A359" s="320">
        <v>802900</v>
      </c>
      <c r="B359" s="319" t="s">
        <v>471</v>
      </c>
      <c r="C359" s="331">
        <v>1255</v>
      </c>
      <c r="D359" s="331">
        <v>1815</v>
      </c>
      <c r="E359" s="331">
        <v>3070</v>
      </c>
      <c r="F359" s="331">
        <v>61310004</v>
      </c>
      <c r="G359" s="331">
        <v>111353162</v>
      </c>
      <c r="H359" s="331">
        <v>172663166</v>
      </c>
      <c r="I359" s="331">
        <v>111229081</v>
      </c>
      <c r="J359" s="319" t="s">
        <v>295</v>
      </c>
      <c r="K359" s="319" t="s">
        <v>771</v>
      </c>
      <c r="L359" s="319" t="s">
        <v>226</v>
      </c>
      <c r="M359" s="319" t="s">
        <v>154</v>
      </c>
      <c r="N359" s="2"/>
      <c r="O359" s="4"/>
    </row>
    <row r="360" spans="1:15" ht="15" customHeight="1" x14ac:dyDescent="0.25">
      <c r="A360" s="320">
        <v>384107</v>
      </c>
      <c r="B360" s="319" t="s">
        <v>602</v>
      </c>
      <c r="C360" s="331">
        <v>1409</v>
      </c>
      <c r="D360" s="331">
        <v>1653</v>
      </c>
      <c r="E360" s="331">
        <v>3062</v>
      </c>
      <c r="F360" s="331">
        <v>64201576</v>
      </c>
      <c r="G360" s="331">
        <v>90966548</v>
      </c>
      <c r="H360" s="331">
        <v>155168123</v>
      </c>
      <c r="I360" s="331">
        <v>-1534774</v>
      </c>
      <c r="J360" s="319" t="s">
        <v>1047</v>
      </c>
      <c r="K360" s="319" t="s">
        <v>771</v>
      </c>
      <c r="L360" s="319" t="s">
        <v>530</v>
      </c>
      <c r="M360" s="319" t="s">
        <v>68</v>
      </c>
      <c r="N360" s="2"/>
      <c r="O360" s="4"/>
    </row>
    <row r="361" spans="1:15" ht="15" x14ac:dyDescent="0.25">
      <c r="A361" s="320">
        <v>103606</v>
      </c>
      <c r="B361" s="319" t="s">
        <v>435</v>
      </c>
      <c r="C361" s="331">
        <v>1284</v>
      </c>
      <c r="D361" s="331">
        <v>1727</v>
      </c>
      <c r="E361" s="331">
        <v>3011</v>
      </c>
      <c r="F361" s="331">
        <v>92325984</v>
      </c>
      <c r="G361" s="331">
        <v>145736964</v>
      </c>
      <c r="H361" s="331">
        <v>238062948</v>
      </c>
      <c r="I361" s="331">
        <v>-544851</v>
      </c>
      <c r="J361" s="319" t="s">
        <v>258</v>
      </c>
      <c r="K361" s="319" t="s">
        <v>771</v>
      </c>
      <c r="L361" s="319" t="s">
        <v>226</v>
      </c>
      <c r="M361" s="319" t="s">
        <v>154</v>
      </c>
      <c r="N361" s="2"/>
      <c r="O361" s="4"/>
    </row>
    <row r="362" spans="1:15" ht="15" x14ac:dyDescent="0.25">
      <c r="A362" s="320">
        <v>195628</v>
      </c>
      <c r="B362" s="319" t="s">
        <v>691</v>
      </c>
      <c r="C362" s="331">
        <v>1251</v>
      </c>
      <c r="D362" s="331">
        <v>1758</v>
      </c>
      <c r="E362" s="331">
        <v>3009</v>
      </c>
      <c r="F362" s="331">
        <v>162669755</v>
      </c>
      <c r="G362" s="331">
        <v>253081232</v>
      </c>
      <c r="H362" s="331">
        <v>415750987</v>
      </c>
      <c r="I362" s="331">
        <v>-5222290</v>
      </c>
      <c r="J362" s="319" t="s">
        <v>1041</v>
      </c>
      <c r="K362" s="319" t="s">
        <v>768</v>
      </c>
      <c r="L362" s="319" t="s">
        <v>755</v>
      </c>
      <c r="M362" s="319" t="s">
        <v>154</v>
      </c>
      <c r="N362" s="2"/>
      <c r="O362" s="4"/>
    </row>
    <row r="363" spans="1:15" ht="15" x14ac:dyDescent="0.25">
      <c r="A363" s="320">
        <v>715664</v>
      </c>
      <c r="B363" s="319" t="s">
        <v>997</v>
      </c>
      <c r="C363" s="331">
        <v>1291</v>
      </c>
      <c r="D363" s="331">
        <v>1704</v>
      </c>
      <c r="E363" s="331">
        <v>2995</v>
      </c>
      <c r="F363" s="331">
        <v>40342490</v>
      </c>
      <c r="G363" s="331">
        <v>65862670</v>
      </c>
      <c r="H363" s="331">
        <v>106205159</v>
      </c>
      <c r="I363" s="331">
        <v>-1704137</v>
      </c>
      <c r="J363" s="319" t="s">
        <v>321</v>
      </c>
      <c r="K363" s="319" t="s">
        <v>771</v>
      </c>
      <c r="L363" s="319" t="s">
        <v>194</v>
      </c>
      <c r="M363" s="319" t="s">
        <v>154</v>
      </c>
      <c r="N363" s="2"/>
      <c r="O363" s="4"/>
    </row>
    <row r="364" spans="1:15" ht="15" x14ac:dyDescent="0.25">
      <c r="A364" s="320">
        <v>184416</v>
      </c>
      <c r="B364" s="319" t="s">
        <v>854</v>
      </c>
      <c r="C364" s="331">
        <v>1434</v>
      </c>
      <c r="D364" s="331">
        <v>1549</v>
      </c>
      <c r="E364" s="331">
        <v>2983</v>
      </c>
      <c r="F364" s="331">
        <v>100354787</v>
      </c>
      <c r="G364" s="331">
        <v>136965338</v>
      </c>
      <c r="H364" s="331">
        <v>237320124</v>
      </c>
      <c r="I364" s="331">
        <v>-2630664</v>
      </c>
      <c r="J364" s="319" t="s">
        <v>258</v>
      </c>
      <c r="K364" s="319" t="s">
        <v>771</v>
      </c>
      <c r="L364" s="319" t="s">
        <v>327</v>
      </c>
      <c r="M364" s="319" t="s">
        <v>154</v>
      </c>
      <c r="N364" s="2"/>
      <c r="O364" s="4"/>
    </row>
    <row r="365" spans="1:15" ht="15" x14ac:dyDescent="0.25">
      <c r="A365" s="320">
        <v>479840</v>
      </c>
      <c r="B365" s="319" t="s">
        <v>1131</v>
      </c>
      <c r="C365" s="331">
        <v>1087</v>
      </c>
      <c r="D365" s="331">
        <v>1875</v>
      </c>
      <c r="E365" s="331">
        <v>2962</v>
      </c>
      <c r="F365" s="331">
        <v>49249725</v>
      </c>
      <c r="G365" s="331">
        <v>98854406</v>
      </c>
      <c r="H365" s="331">
        <v>148104130</v>
      </c>
      <c r="I365" s="331">
        <v>4107135</v>
      </c>
      <c r="J365" s="319" t="s">
        <v>215</v>
      </c>
      <c r="K365" s="319" t="s">
        <v>771</v>
      </c>
      <c r="L365" s="319" t="s">
        <v>173</v>
      </c>
      <c r="M365" s="319" t="s">
        <v>154</v>
      </c>
      <c r="N365" s="2"/>
      <c r="O365" s="4"/>
    </row>
    <row r="366" spans="1:15" ht="15" x14ac:dyDescent="0.25">
      <c r="A366" s="320">
        <v>374421</v>
      </c>
      <c r="B366" s="319" t="s">
        <v>792</v>
      </c>
      <c r="C366" s="331">
        <v>1181</v>
      </c>
      <c r="D366" s="331">
        <v>1773</v>
      </c>
      <c r="E366" s="331">
        <v>2954</v>
      </c>
      <c r="F366" s="331">
        <v>63067448</v>
      </c>
      <c r="G366" s="331">
        <v>109149480</v>
      </c>
      <c r="H366" s="331">
        <v>172216928</v>
      </c>
      <c r="I366" s="331">
        <v>-3261663</v>
      </c>
      <c r="J366" s="319" t="s">
        <v>1051</v>
      </c>
      <c r="K366" s="319" t="s">
        <v>771</v>
      </c>
      <c r="L366" s="319" t="s">
        <v>540</v>
      </c>
      <c r="M366" s="319" t="s">
        <v>68</v>
      </c>
      <c r="N366" s="2"/>
      <c r="O366" s="4"/>
    </row>
    <row r="367" spans="1:15" ht="15" x14ac:dyDescent="0.25">
      <c r="A367" s="320">
        <v>560599</v>
      </c>
      <c r="B367" s="319" t="s">
        <v>337</v>
      </c>
      <c r="C367" s="331">
        <v>993</v>
      </c>
      <c r="D367" s="331">
        <v>1934</v>
      </c>
      <c r="E367" s="331">
        <v>2927</v>
      </c>
      <c r="F367" s="331">
        <v>82947877</v>
      </c>
      <c r="G367" s="331">
        <v>199456761</v>
      </c>
      <c r="H367" s="331">
        <v>282404638</v>
      </c>
      <c r="I367" s="331">
        <v>-33996596</v>
      </c>
      <c r="J367" s="319" t="s">
        <v>1044</v>
      </c>
      <c r="K367" s="319" t="s">
        <v>772</v>
      </c>
      <c r="L367" s="319" t="s">
        <v>164</v>
      </c>
      <c r="M367" s="319" t="s">
        <v>154</v>
      </c>
      <c r="N367" s="2"/>
      <c r="O367" s="4"/>
    </row>
    <row r="368" spans="1:15" ht="15" x14ac:dyDescent="0.25">
      <c r="A368" s="320">
        <v>855973</v>
      </c>
      <c r="B368" s="319" t="s">
        <v>559</v>
      </c>
      <c r="C368" s="331">
        <v>1404</v>
      </c>
      <c r="D368" s="331">
        <v>1487</v>
      </c>
      <c r="E368" s="331">
        <v>2891</v>
      </c>
      <c r="F368" s="331">
        <v>74208650</v>
      </c>
      <c r="G368" s="331">
        <v>99331177</v>
      </c>
      <c r="H368" s="331">
        <v>173539827</v>
      </c>
      <c r="I368" s="331">
        <v>-896570</v>
      </c>
      <c r="J368" s="319" t="s">
        <v>1024</v>
      </c>
      <c r="K368" s="319" t="s">
        <v>768</v>
      </c>
      <c r="L368" s="319" t="s">
        <v>284</v>
      </c>
      <c r="M368" s="319" t="s">
        <v>154</v>
      </c>
      <c r="N368" s="2"/>
      <c r="O368" s="4"/>
    </row>
    <row r="369" spans="1:15" ht="15" x14ac:dyDescent="0.25">
      <c r="A369" s="320">
        <v>339002</v>
      </c>
      <c r="B369" s="319" t="s">
        <v>1009</v>
      </c>
      <c r="C369" s="331">
        <v>1082</v>
      </c>
      <c r="D369" s="331">
        <v>1795</v>
      </c>
      <c r="E369" s="331">
        <v>2877</v>
      </c>
      <c r="F369" s="331">
        <v>303896810</v>
      </c>
      <c r="G369" s="331">
        <v>557998139</v>
      </c>
      <c r="H369" s="331">
        <v>861894949</v>
      </c>
      <c r="I369" s="331">
        <v>-5693334</v>
      </c>
      <c r="J369" s="319" t="s">
        <v>1026</v>
      </c>
      <c r="K369" s="319" t="s">
        <v>771</v>
      </c>
      <c r="L369" s="319" t="s">
        <v>615</v>
      </c>
      <c r="M369" s="319" t="s">
        <v>154</v>
      </c>
      <c r="N369" s="2"/>
      <c r="O369" s="4"/>
    </row>
    <row r="370" spans="1:15" ht="15" x14ac:dyDescent="0.25">
      <c r="A370" s="320">
        <v>385401</v>
      </c>
      <c r="B370" s="319" t="s">
        <v>394</v>
      </c>
      <c r="C370" s="331">
        <v>1233</v>
      </c>
      <c r="D370" s="331">
        <v>1643</v>
      </c>
      <c r="E370" s="331">
        <v>2876</v>
      </c>
      <c r="F370" s="331">
        <v>58863549</v>
      </c>
      <c r="G370" s="331">
        <v>96504904</v>
      </c>
      <c r="H370" s="331">
        <v>155368453</v>
      </c>
      <c r="I370" s="331">
        <v>189273</v>
      </c>
      <c r="J370" s="319" t="s">
        <v>1048</v>
      </c>
      <c r="K370" s="319" t="s">
        <v>771</v>
      </c>
      <c r="L370" s="319" t="s">
        <v>173</v>
      </c>
      <c r="M370" s="319" t="s">
        <v>154</v>
      </c>
      <c r="N370" s="2"/>
      <c r="O370" s="4"/>
    </row>
    <row r="371" spans="1:15" ht="15" x14ac:dyDescent="0.25">
      <c r="A371" s="320">
        <v>605634</v>
      </c>
      <c r="B371" s="319" t="s">
        <v>388</v>
      </c>
      <c r="C371" s="331">
        <v>1510</v>
      </c>
      <c r="D371" s="331">
        <v>1348</v>
      </c>
      <c r="E371" s="331">
        <v>2858</v>
      </c>
      <c r="F371" s="331">
        <v>56272840</v>
      </c>
      <c r="G371" s="331">
        <v>59101765</v>
      </c>
      <c r="H371" s="331">
        <v>115374605</v>
      </c>
      <c r="I371" s="331">
        <v>74355</v>
      </c>
      <c r="J371" s="319" t="s">
        <v>219</v>
      </c>
      <c r="K371" s="319" t="s">
        <v>771</v>
      </c>
      <c r="L371" s="319" t="s">
        <v>247</v>
      </c>
      <c r="M371" s="319" t="s">
        <v>154</v>
      </c>
      <c r="N371" s="2"/>
      <c r="O371" s="4"/>
    </row>
    <row r="372" spans="1:15" ht="15" customHeight="1" x14ac:dyDescent="0.25">
      <c r="A372" s="320">
        <v>418699</v>
      </c>
      <c r="B372" s="319" t="s">
        <v>183</v>
      </c>
      <c r="C372" s="331">
        <v>1469</v>
      </c>
      <c r="D372" s="331">
        <v>1369</v>
      </c>
      <c r="E372" s="331">
        <v>2838</v>
      </c>
      <c r="F372" s="331">
        <v>75803851</v>
      </c>
      <c r="G372" s="331">
        <v>96434925</v>
      </c>
      <c r="H372" s="331">
        <v>172238775</v>
      </c>
      <c r="I372" s="331">
        <v>-2113969</v>
      </c>
      <c r="J372" s="319" t="s">
        <v>1040</v>
      </c>
      <c r="K372" s="319" t="s">
        <v>772</v>
      </c>
      <c r="L372" s="319" t="s">
        <v>184</v>
      </c>
      <c r="M372" s="319" t="s">
        <v>154</v>
      </c>
      <c r="N372" s="2"/>
      <c r="O372" s="4"/>
    </row>
    <row r="373" spans="1:15" ht="15" x14ac:dyDescent="0.25">
      <c r="A373" s="320">
        <v>262741</v>
      </c>
      <c r="B373" s="319" t="s">
        <v>576</v>
      </c>
      <c r="C373" s="331">
        <v>1190</v>
      </c>
      <c r="D373" s="331">
        <v>1643</v>
      </c>
      <c r="E373" s="331">
        <v>2833</v>
      </c>
      <c r="F373" s="331">
        <v>31119803</v>
      </c>
      <c r="G373" s="331">
        <v>51896792</v>
      </c>
      <c r="H373" s="331">
        <v>83016595</v>
      </c>
      <c r="I373" s="331">
        <v>-679785</v>
      </c>
      <c r="J373" s="319" t="s">
        <v>1045</v>
      </c>
      <c r="K373" s="319" t="s">
        <v>771</v>
      </c>
      <c r="L373" s="319" t="s">
        <v>425</v>
      </c>
      <c r="M373" s="319" t="s">
        <v>68</v>
      </c>
      <c r="N373" s="2"/>
      <c r="O373" s="4"/>
    </row>
    <row r="374" spans="1:15" ht="15" x14ac:dyDescent="0.25">
      <c r="A374" s="320">
        <v>553578</v>
      </c>
      <c r="B374" s="319" t="s">
        <v>801</v>
      </c>
      <c r="C374" s="331">
        <v>1102</v>
      </c>
      <c r="D374" s="331">
        <v>1685</v>
      </c>
      <c r="E374" s="331">
        <v>2787</v>
      </c>
      <c r="F374" s="331">
        <v>37593830</v>
      </c>
      <c r="G374" s="331">
        <v>74784523</v>
      </c>
      <c r="H374" s="331">
        <v>112378353</v>
      </c>
      <c r="I374" s="331">
        <v>-265807</v>
      </c>
      <c r="J374" s="319" t="s">
        <v>1045</v>
      </c>
      <c r="K374" s="319" t="s">
        <v>771</v>
      </c>
      <c r="L374" s="319" t="s">
        <v>540</v>
      </c>
      <c r="M374" s="319" t="s">
        <v>68</v>
      </c>
      <c r="N374" s="2"/>
      <c r="O374" s="4"/>
    </row>
    <row r="375" spans="1:15" ht="15" x14ac:dyDescent="0.25">
      <c r="A375" s="320">
        <v>361733</v>
      </c>
      <c r="B375" s="319" t="s">
        <v>961</v>
      </c>
      <c r="C375" s="331">
        <v>1490</v>
      </c>
      <c r="D375" s="331">
        <v>1257</v>
      </c>
      <c r="E375" s="331">
        <v>2747</v>
      </c>
      <c r="F375" s="331">
        <v>38374378</v>
      </c>
      <c r="G375" s="331">
        <v>45571443</v>
      </c>
      <c r="H375" s="331">
        <v>83945821</v>
      </c>
      <c r="I375" s="331">
        <v>-1019797</v>
      </c>
      <c r="J375" s="319" t="s">
        <v>1031</v>
      </c>
      <c r="K375" s="319" t="s">
        <v>772</v>
      </c>
      <c r="L375" s="319" t="s">
        <v>229</v>
      </c>
      <c r="M375" s="319" t="s">
        <v>154</v>
      </c>
      <c r="N375" s="2"/>
      <c r="O375" s="4"/>
    </row>
    <row r="376" spans="1:15" ht="15" x14ac:dyDescent="0.25">
      <c r="A376" s="320">
        <v>656637</v>
      </c>
      <c r="B376" s="319" t="s">
        <v>573</v>
      </c>
      <c r="C376" s="331">
        <v>1265</v>
      </c>
      <c r="D376" s="331">
        <v>1481</v>
      </c>
      <c r="E376" s="331">
        <v>2746</v>
      </c>
      <c r="F376" s="331">
        <v>72776494</v>
      </c>
      <c r="G376" s="331">
        <v>112065465</v>
      </c>
      <c r="H376" s="331">
        <v>184841959</v>
      </c>
      <c r="I376" s="331">
        <v>278156</v>
      </c>
      <c r="J376" s="319" t="s">
        <v>258</v>
      </c>
      <c r="K376" s="319" t="s">
        <v>771</v>
      </c>
      <c r="L376" s="319" t="s">
        <v>479</v>
      </c>
      <c r="M376" s="319" t="s">
        <v>154</v>
      </c>
      <c r="N376" s="2"/>
      <c r="O376" s="4"/>
    </row>
    <row r="377" spans="1:15" ht="15" x14ac:dyDescent="0.25">
      <c r="A377" s="320">
        <v>515676</v>
      </c>
      <c r="B377" s="319" t="s">
        <v>387</v>
      </c>
      <c r="C377" s="331">
        <v>1046</v>
      </c>
      <c r="D377" s="331">
        <v>1674</v>
      </c>
      <c r="E377" s="331">
        <v>2720</v>
      </c>
      <c r="F377" s="331">
        <v>65227092</v>
      </c>
      <c r="G377" s="331">
        <v>128464506</v>
      </c>
      <c r="H377" s="331">
        <v>193691597</v>
      </c>
      <c r="I377" s="331">
        <v>-1497436</v>
      </c>
      <c r="J377" s="319" t="s">
        <v>258</v>
      </c>
      <c r="K377" s="319" t="s">
        <v>771</v>
      </c>
      <c r="L377" s="319" t="s">
        <v>173</v>
      </c>
      <c r="M377" s="319" t="s">
        <v>154</v>
      </c>
      <c r="N377" s="2"/>
      <c r="O377" s="4"/>
    </row>
    <row r="378" spans="1:15" ht="15" customHeight="1" x14ac:dyDescent="0.25">
      <c r="A378" s="320">
        <v>488932</v>
      </c>
      <c r="B378" s="319" t="s">
        <v>570</v>
      </c>
      <c r="C378" s="331">
        <v>1452</v>
      </c>
      <c r="D378" s="331">
        <v>1231</v>
      </c>
      <c r="E378" s="331">
        <v>2683</v>
      </c>
      <c r="F378" s="331">
        <v>58777873</v>
      </c>
      <c r="G378" s="331">
        <v>61413941</v>
      </c>
      <c r="H378" s="331">
        <v>120191814</v>
      </c>
      <c r="I378" s="331">
        <v>-76160</v>
      </c>
      <c r="J378" s="319" t="s">
        <v>181</v>
      </c>
      <c r="K378" s="319" t="s">
        <v>771</v>
      </c>
      <c r="L378" s="319" t="s">
        <v>751</v>
      </c>
      <c r="M378" s="319" t="s">
        <v>68</v>
      </c>
      <c r="N378" s="2"/>
      <c r="O378" s="4"/>
    </row>
    <row r="379" spans="1:15" ht="15" x14ac:dyDescent="0.25">
      <c r="A379" s="320">
        <v>295857</v>
      </c>
      <c r="B379" s="319" t="s">
        <v>1133</v>
      </c>
      <c r="C379" s="331">
        <v>1005</v>
      </c>
      <c r="D379" s="331">
        <v>1663</v>
      </c>
      <c r="E379" s="331">
        <v>2668</v>
      </c>
      <c r="F379" s="331">
        <v>54452509</v>
      </c>
      <c r="G379" s="331">
        <v>108739617</v>
      </c>
      <c r="H379" s="331">
        <v>163192126</v>
      </c>
      <c r="I379" s="331">
        <v>20321435</v>
      </c>
      <c r="J379" s="319" t="s">
        <v>295</v>
      </c>
      <c r="K379" s="319" t="s">
        <v>771</v>
      </c>
      <c r="L379" s="319" t="s">
        <v>166</v>
      </c>
      <c r="M379" s="319" t="s">
        <v>154</v>
      </c>
      <c r="N379" s="2"/>
      <c r="O379" s="4"/>
    </row>
    <row r="380" spans="1:15" ht="15" customHeight="1" x14ac:dyDescent="0.25">
      <c r="A380" s="320">
        <v>112755</v>
      </c>
      <c r="B380" s="319" t="s">
        <v>326</v>
      </c>
      <c r="C380" s="331">
        <v>1350</v>
      </c>
      <c r="D380" s="331">
        <v>1308</v>
      </c>
      <c r="E380" s="331">
        <v>2658</v>
      </c>
      <c r="F380" s="331">
        <v>59948167</v>
      </c>
      <c r="G380" s="331">
        <v>78134242</v>
      </c>
      <c r="H380" s="331">
        <v>138082409</v>
      </c>
      <c r="I380" s="331">
        <v>-2587042</v>
      </c>
      <c r="J380" s="319" t="s">
        <v>1033</v>
      </c>
      <c r="K380" s="319" t="s">
        <v>772</v>
      </c>
      <c r="L380" s="319" t="s">
        <v>327</v>
      </c>
      <c r="M380" s="319" t="s">
        <v>154</v>
      </c>
      <c r="N380" s="2"/>
      <c r="O380" s="4"/>
    </row>
    <row r="381" spans="1:15" ht="15" x14ac:dyDescent="0.25">
      <c r="A381" s="320">
        <v>496497</v>
      </c>
      <c r="B381" s="319" t="s">
        <v>235</v>
      </c>
      <c r="C381" s="331">
        <v>1269</v>
      </c>
      <c r="D381" s="331">
        <v>1379</v>
      </c>
      <c r="E381" s="331">
        <v>2648</v>
      </c>
      <c r="F381" s="331">
        <v>57858814</v>
      </c>
      <c r="G381" s="331">
        <v>74764249</v>
      </c>
      <c r="H381" s="331">
        <v>132623064</v>
      </c>
      <c r="I381" s="331">
        <v>-2647440</v>
      </c>
      <c r="J381" s="319" t="s">
        <v>1040</v>
      </c>
      <c r="K381" s="319" t="s">
        <v>772</v>
      </c>
      <c r="L381" s="319" t="s">
        <v>209</v>
      </c>
      <c r="M381" s="319" t="s">
        <v>68</v>
      </c>
      <c r="N381" s="2"/>
      <c r="O381" s="4"/>
    </row>
    <row r="382" spans="1:15" ht="15" customHeight="1" x14ac:dyDescent="0.25">
      <c r="A382" s="320">
        <v>333518</v>
      </c>
      <c r="B382" s="319" t="s">
        <v>636</v>
      </c>
      <c r="C382" s="331">
        <v>1255</v>
      </c>
      <c r="D382" s="331">
        <v>1383</v>
      </c>
      <c r="E382" s="331">
        <v>2638</v>
      </c>
      <c r="F382" s="331">
        <v>221120196</v>
      </c>
      <c r="G382" s="331">
        <v>276788145</v>
      </c>
      <c r="H382" s="331">
        <v>497908341</v>
      </c>
      <c r="I382" s="331">
        <v>-4726282</v>
      </c>
      <c r="J382" s="319" t="s">
        <v>181</v>
      </c>
      <c r="K382" s="319" t="s">
        <v>771</v>
      </c>
      <c r="L382" s="319" t="s">
        <v>399</v>
      </c>
      <c r="M382" s="319" t="s">
        <v>154</v>
      </c>
      <c r="N382" s="2"/>
      <c r="O382" s="4"/>
    </row>
    <row r="383" spans="1:15" ht="15" x14ac:dyDescent="0.25">
      <c r="A383" s="320">
        <v>390898</v>
      </c>
      <c r="B383" s="319" t="s">
        <v>341</v>
      </c>
      <c r="C383" s="331">
        <v>1130</v>
      </c>
      <c r="D383" s="331">
        <v>1505</v>
      </c>
      <c r="E383" s="331">
        <v>2635</v>
      </c>
      <c r="F383" s="331">
        <v>42480428</v>
      </c>
      <c r="G383" s="331">
        <v>60927041</v>
      </c>
      <c r="H383" s="331">
        <v>103407469</v>
      </c>
      <c r="I383" s="331">
        <v>-1009634</v>
      </c>
      <c r="J383" s="319" t="s">
        <v>1043</v>
      </c>
      <c r="K383" s="319" t="s">
        <v>772</v>
      </c>
      <c r="L383" s="319" t="s">
        <v>198</v>
      </c>
      <c r="M383" s="319" t="s">
        <v>68</v>
      </c>
      <c r="N383" s="2"/>
      <c r="O383" s="4"/>
    </row>
    <row r="384" spans="1:15" ht="15" x14ac:dyDescent="0.25">
      <c r="A384" s="320">
        <v>821736</v>
      </c>
      <c r="B384" s="319" t="s">
        <v>386</v>
      </c>
      <c r="C384" s="331">
        <v>938</v>
      </c>
      <c r="D384" s="331">
        <v>1676</v>
      </c>
      <c r="E384" s="331">
        <v>2614</v>
      </c>
      <c r="F384" s="331">
        <v>51829515</v>
      </c>
      <c r="G384" s="331">
        <v>110481903</v>
      </c>
      <c r="H384" s="331">
        <v>162311417</v>
      </c>
      <c r="I384" s="331">
        <v>10004988</v>
      </c>
      <c r="J384" s="319" t="s">
        <v>1047</v>
      </c>
      <c r="K384" s="319" t="s">
        <v>771</v>
      </c>
      <c r="L384" s="319" t="s">
        <v>158</v>
      </c>
      <c r="M384" s="319" t="s">
        <v>68</v>
      </c>
      <c r="N384" s="2"/>
      <c r="O384" s="4"/>
    </row>
    <row r="385" spans="1:15" ht="15" customHeight="1" x14ac:dyDescent="0.25">
      <c r="A385" s="320">
        <v>517748</v>
      </c>
      <c r="B385" s="319" t="s">
        <v>800</v>
      </c>
      <c r="C385" s="331">
        <v>1106</v>
      </c>
      <c r="D385" s="331">
        <v>1479</v>
      </c>
      <c r="E385" s="331">
        <v>2585</v>
      </c>
      <c r="F385" s="331">
        <v>25506737</v>
      </c>
      <c r="G385" s="331">
        <v>51484088</v>
      </c>
      <c r="H385" s="331">
        <v>76990824</v>
      </c>
      <c r="I385" s="331">
        <v>-19390849</v>
      </c>
      <c r="J385" s="319" t="s">
        <v>1045</v>
      </c>
      <c r="K385" s="319" t="s">
        <v>771</v>
      </c>
      <c r="L385" s="319" t="s">
        <v>540</v>
      </c>
      <c r="M385" s="319" t="s">
        <v>68</v>
      </c>
      <c r="N385" s="2"/>
      <c r="O385" s="4"/>
    </row>
    <row r="386" spans="1:15" ht="15" x14ac:dyDescent="0.25">
      <c r="A386" s="320">
        <v>308908</v>
      </c>
      <c r="B386" s="319" t="s">
        <v>312</v>
      </c>
      <c r="C386" s="331">
        <v>1365</v>
      </c>
      <c r="D386" s="331">
        <v>1211</v>
      </c>
      <c r="E386" s="331">
        <v>2576</v>
      </c>
      <c r="F386" s="331">
        <v>42058454</v>
      </c>
      <c r="G386" s="331">
        <v>55445412</v>
      </c>
      <c r="H386" s="331">
        <v>97503866</v>
      </c>
      <c r="I386" s="331">
        <v>-1234076</v>
      </c>
      <c r="J386" s="319" t="s">
        <v>1031</v>
      </c>
      <c r="K386" s="319" t="s">
        <v>772</v>
      </c>
      <c r="L386" s="319" t="s">
        <v>313</v>
      </c>
      <c r="M386" s="319" t="s">
        <v>154</v>
      </c>
      <c r="N386" s="2"/>
      <c r="O386" s="4"/>
    </row>
    <row r="387" spans="1:15" ht="15" x14ac:dyDescent="0.25">
      <c r="A387" s="320">
        <v>649491</v>
      </c>
      <c r="B387" s="319" t="s">
        <v>667</v>
      </c>
      <c r="C387" s="331">
        <v>1082</v>
      </c>
      <c r="D387" s="331">
        <v>1482</v>
      </c>
      <c r="E387" s="331">
        <v>2564</v>
      </c>
      <c r="F387" s="331">
        <v>35147221</v>
      </c>
      <c r="G387" s="331">
        <v>60884256</v>
      </c>
      <c r="H387" s="331">
        <v>96031477</v>
      </c>
      <c r="I387" s="331">
        <v>-5657749</v>
      </c>
      <c r="J387" s="319" t="s">
        <v>373</v>
      </c>
      <c r="K387" s="319" t="s">
        <v>771</v>
      </c>
      <c r="L387" s="319" t="s">
        <v>826</v>
      </c>
      <c r="M387" s="319" t="s">
        <v>154</v>
      </c>
      <c r="N387" s="2"/>
      <c r="O387" s="4"/>
    </row>
    <row r="388" spans="1:15" ht="15" customHeight="1" x14ac:dyDescent="0.25">
      <c r="A388" s="320">
        <v>229682</v>
      </c>
      <c r="B388" s="319" t="s">
        <v>217</v>
      </c>
      <c r="C388" s="331">
        <v>1141</v>
      </c>
      <c r="D388" s="331">
        <v>1381</v>
      </c>
      <c r="E388" s="331">
        <v>2522</v>
      </c>
      <c r="F388" s="331">
        <v>65028341</v>
      </c>
      <c r="G388" s="331">
        <v>99881891</v>
      </c>
      <c r="H388" s="331">
        <v>164910232</v>
      </c>
      <c r="I388" s="331">
        <v>431709</v>
      </c>
      <c r="J388" s="319" t="s">
        <v>1026</v>
      </c>
      <c r="K388" s="319" t="s">
        <v>771</v>
      </c>
      <c r="L388" s="319" t="s">
        <v>168</v>
      </c>
      <c r="M388" s="319" t="s">
        <v>154</v>
      </c>
      <c r="N388" s="2"/>
      <c r="O388" s="4"/>
    </row>
    <row r="389" spans="1:15" ht="15" customHeight="1" x14ac:dyDescent="0.25">
      <c r="A389" s="320">
        <v>745828</v>
      </c>
      <c r="B389" s="319" t="s">
        <v>665</v>
      </c>
      <c r="C389" s="331">
        <v>1001</v>
      </c>
      <c r="D389" s="331">
        <v>1512</v>
      </c>
      <c r="E389" s="331">
        <v>2513</v>
      </c>
      <c r="F389" s="331">
        <v>46122241</v>
      </c>
      <c r="G389" s="331">
        <v>84087259</v>
      </c>
      <c r="H389" s="331">
        <v>130209500</v>
      </c>
      <c r="I389" s="331">
        <v>-930844</v>
      </c>
      <c r="J389" s="319" t="s">
        <v>295</v>
      </c>
      <c r="K389" s="319" t="s">
        <v>771</v>
      </c>
      <c r="L389" s="319" t="s">
        <v>542</v>
      </c>
      <c r="M389" s="319" t="s">
        <v>68</v>
      </c>
      <c r="N389" s="2"/>
      <c r="O389" s="4"/>
    </row>
    <row r="390" spans="1:15" ht="15" customHeight="1" x14ac:dyDescent="0.25">
      <c r="A390" s="320">
        <v>484980</v>
      </c>
      <c r="B390" s="319" t="s">
        <v>554</v>
      </c>
      <c r="C390" s="331">
        <v>1174</v>
      </c>
      <c r="D390" s="331">
        <v>1336</v>
      </c>
      <c r="E390" s="331">
        <v>2510</v>
      </c>
      <c r="F390" s="331">
        <v>78157477</v>
      </c>
      <c r="G390" s="331">
        <v>114614497</v>
      </c>
      <c r="H390" s="331">
        <v>192771975</v>
      </c>
      <c r="I390" s="331">
        <v>-899760</v>
      </c>
      <c r="J390" s="319" t="s">
        <v>318</v>
      </c>
      <c r="K390" s="319" t="s">
        <v>771</v>
      </c>
      <c r="L390" s="319" t="s">
        <v>184</v>
      </c>
      <c r="M390" s="319" t="s">
        <v>154</v>
      </c>
      <c r="N390" s="2"/>
      <c r="O390" s="4"/>
    </row>
    <row r="391" spans="1:15" ht="15" customHeight="1" x14ac:dyDescent="0.25">
      <c r="A391" s="320">
        <v>178624</v>
      </c>
      <c r="B391" s="319" t="s">
        <v>983</v>
      </c>
      <c r="C391" s="331">
        <v>964</v>
      </c>
      <c r="D391" s="331">
        <v>1522</v>
      </c>
      <c r="E391" s="331">
        <v>2486</v>
      </c>
      <c r="F391" s="331">
        <v>49863599</v>
      </c>
      <c r="G391" s="331">
        <v>96351232</v>
      </c>
      <c r="H391" s="331">
        <v>146214831</v>
      </c>
      <c r="I391" s="331">
        <v>657383</v>
      </c>
      <c r="J391" s="319" t="s">
        <v>1048</v>
      </c>
      <c r="K391" s="319" t="s">
        <v>771</v>
      </c>
      <c r="L391" s="319" t="s">
        <v>608</v>
      </c>
      <c r="M391" s="319" t="s">
        <v>68</v>
      </c>
      <c r="N391" s="2"/>
      <c r="O391" s="4"/>
    </row>
    <row r="392" spans="1:15" ht="15" x14ac:dyDescent="0.25">
      <c r="A392" s="320">
        <v>874271</v>
      </c>
      <c r="B392" s="319" t="s">
        <v>713</v>
      </c>
      <c r="C392" s="331">
        <v>1023</v>
      </c>
      <c r="D392" s="331">
        <v>1457</v>
      </c>
      <c r="E392" s="331">
        <v>2480</v>
      </c>
      <c r="F392" s="331">
        <v>51043363</v>
      </c>
      <c r="G392" s="331">
        <v>95096270</v>
      </c>
      <c r="H392" s="331">
        <v>146139633</v>
      </c>
      <c r="I392" s="331">
        <v>-1143397</v>
      </c>
      <c r="J392" s="319" t="s">
        <v>1057</v>
      </c>
      <c r="K392" s="319" t="s">
        <v>771</v>
      </c>
      <c r="L392" s="319" t="s">
        <v>955</v>
      </c>
      <c r="M392" s="319" t="s">
        <v>68</v>
      </c>
      <c r="N392" s="2"/>
      <c r="O392" s="4"/>
    </row>
    <row r="393" spans="1:15" ht="15" customHeight="1" x14ac:dyDescent="0.25">
      <c r="A393" s="320">
        <v>832360</v>
      </c>
      <c r="B393" s="319" t="s">
        <v>275</v>
      </c>
      <c r="C393" s="331">
        <v>1291</v>
      </c>
      <c r="D393" s="331">
        <v>1189</v>
      </c>
      <c r="E393" s="331">
        <v>2480</v>
      </c>
      <c r="F393" s="331">
        <v>97248636</v>
      </c>
      <c r="G393" s="331">
        <v>108671289</v>
      </c>
      <c r="H393" s="331">
        <v>205919926</v>
      </c>
      <c r="I393" s="331">
        <v>1553017</v>
      </c>
      <c r="J393" s="319" t="s">
        <v>1022</v>
      </c>
      <c r="K393" s="319" t="s">
        <v>765</v>
      </c>
      <c r="L393" s="319" t="s">
        <v>173</v>
      </c>
      <c r="M393" s="319" t="s">
        <v>154</v>
      </c>
      <c r="N393" s="2"/>
      <c r="O393" s="4"/>
    </row>
    <row r="394" spans="1:15" ht="15" customHeight="1" x14ac:dyDescent="0.25">
      <c r="A394" s="320">
        <v>320176</v>
      </c>
      <c r="B394" s="319" t="s">
        <v>553</v>
      </c>
      <c r="C394" s="331">
        <v>968</v>
      </c>
      <c r="D394" s="331">
        <v>1487</v>
      </c>
      <c r="E394" s="331">
        <v>2455</v>
      </c>
      <c r="F394" s="331">
        <v>57285541</v>
      </c>
      <c r="G394" s="331">
        <v>102957700</v>
      </c>
      <c r="H394" s="331">
        <v>160243241</v>
      </c>
      <c r="I394" s="331">
        <v>-4285746</v>
      </c>
      <c r="J394" s="319" t="s">
        <v>1049</v>
      </c>
      <c r="K394" s="319" t="s">
        <v>771</v>
      </c>
      <c r="L394" s="319" t="s">
        <v>229</v>
      </c>
      <c r="M394" s="319" t="s">
        <v>154</v>
      </c>
      <c r="N394" s="2"/>
      <c r="O394" s="4"/>
    </row>
    <row r="395" spans="1:15" ht="15" x14ac:dyDescent="0.25">
      <c r="A395" s="320">
        <v>294918</v>
      </c>
      <c r="B395" s="319" t="s">
        <v>165</v>
      </c>
      <c r="C395" s="331">
        <v>1048</v>
      </c>
      <c r="D395" s="331">
        <v>1398</v>
      </c>
      <c r="E395" s="331">
        <v>2446</v>
      </c>
      <c r="F395" s="331">
        <v>53772133</v>
      </c>
      <c r="G395" s="331">
        <v>94164377</v>
      </c>
      <c r="H395" s="331">
        <v>147936509</v>
      </c>
      <c r="I395" s="331">
        <v>-2021532</v>
      </c>
      <c r="J395" s="319" t="s">
        <v>1031</v>
      </c>
      <c r="K395" s="319" t="s">
        <v>772</v>
      </c>
      <c r="L395" s="319" t="s">
        <v>166</v>
      </c>
      <c r="M395" s="319" t="s">
        <v>154</v>
      </c>
      <c r="N395" s="2"/>
      <c r="O395" s="4"/>
    </row>
    <row r="396" spans="1:15" ht="15" x14ac:dyDescent="0.25">
      <c r="A396" s="320">
        <v>182584</v>
      </c>
      <c r="B396" s="319" t="s">
        <v>603</v>
      </c>
      <c r="C396" s="331">
        <v>1124</v>
      </c>
      <c r="D396" s="331">
        <v>1310</v>
      </c>
      <c r="E396" s="331">
        <v>2434</v>
      </c>
      <c r="F396" s="331">
        <v>66927443</v>
      </c>
      <c r="G396" s="331">
        <v>89894667</v>
      </c>
      <c r="H396" s="331">
        <v>156822110</v>
      </c>
      <c r="I396" s="331">
        <v>-1820965</v>
      </c>
      <c r="J396" s="319" t="s">
        <v>318</v>
      </c>
      <c r="K396" s="319" t="s">
        <v>771</v>
      </c>
      <c r="L396" s="319" t="s">
        <v>604</v>
      </c>
      <c r="M396" s="319" t="s">
        <v>68</v>
      </c>
      <c r="N396" s="2"/>
      <c r="O396" s="4"/>
    </row>
    <row r="397" spans="1:15" ht="15" x14ac:dyDescent="0.25">
      <c r="A397" s="320">
        <v>787382</v>
      </c>
      <c r="B397" s="319" t="s">
        <v>193</v>
      </c>
      <c r="C397" s="331">
        <v>1190</v>
      </c>
      <c r="D397" s="331">
        <v>1189</v>
      </c>
      <c r="E397" s="331">
        <v>2379</v>
      </c>
      <c r="F397" s="331">
        <v>42886624</v>
      </c>
      <c r="G397" s="331">
        <v>60060848</v>
      </c>
      <c r="H397" s="331">
        <v>102947472</v>
      </c>
      <c r="I397" s="331">
        <v>-2026092</v>
      </c>
      <c r="J397" s="319" t="s">
        <v>1040</v>
      </c>
      <c r="K397" s="319" t="s">
        <v>772</v>
      </c>
      <c r="L397" s="319" t="s">
        <v>166</v>
      </c>
      <c r="M397" s="319" t="s">
        <v>154</v>
      </c>
      <c r="N397" s="2"/>
      <c r="O397" s="4"/>
    </row>
    <row r="398" spans="1:15" ht="15" x14ac:dyDescent="0.25">
      <c r="A398" s="320">
        <v>900894</v>
      </c>
      <c r="B398" s="319" t="s">
        <v>1135</v>
      </c>
      <c r="C398" s="331">
        <v>1002</v>
      </c>
      <c r="D398" s="331">
        <v>1367</v>
      </c>
      <c r="E398" s="331">
        <v>2369</v>
      </c>
      <c r="F398" s="331">
        <v>52622594</v>
      </c>
      <c r="G398" s="331">
        <v>81703941</v>
      </c>
      <c r="H398" s="331">
        <v>134326536</v>
      </c>
      <c r="I398" s="331">
        <v>-3107301</v>
      </c>
      <c r="J398" s="319" t="s">
        <v>1043</v>
      </c>
      <c r="K398" s="319" t="s">
        <v>772</v>
      </c>
      <c r="L398" s="319" t="s">
        <v>408</v>
      </c>
      <c r="M398" s="319" t="s">
        <v>68</v>
      </c>
      <c r="N398" s="2"/>
      <c r="O398" s="4"/>
    </row>
    <row r="399" spans="1:15" ht="15" x14ac:dyDescent="0.25">
      <c r="A399" s="320">
        <v>678128</v>
      </c>
      <c r="B399" s="319" t="s">
        <v>324</v>
      </c>
      <c r="C399" s="331">
        <v>1174</v>
      </c>
      <c r="D399" s="331">
        <v>1179</v>
      </c>
      <c r="E399" s="331">
        <v>2353</v>
      </c>
      <c r="F399" s="331">
        <v>64485899</v>
      </c>
      <c r="G399" s="331">
        <v>75497531</v>
      </c>
      <c r="H399" s="331">
        <v>139983430</v>
      </c>
      <c r="I399" s="331">
        <v>-2644427</v>
      </c>
      <c r="J399" s="319" t="s">
        <v>1047</v>
      </c>
      <c r="K399" s="319" t="s">
        <v>771</v>
      </c>
      <c r="L399" s="319" t="s">
        <v>166</v>
      </c>
      <c r="M399" s="319" t="s">
        <v>154</v>
      </c>
      <c r="N399" s="2"/>
      <c r="O399" s="4"/>
    </row>
    <row r="400" spans="1:15" ht="15" x14ac:dyDescent="0.25">
      <c r="A400" s="320">
        <v>235291</v>
      </c>
      <c r="B400" s="319" t="s">
        <v>565</v>
      </c>
      <c r="C400" s="331">
        <v>1035</v>
      </c>
      <c r="D400" s="331">
        <v>1312</v>
      </c>
      <c r="E400" s="331">
        <v>2347</v>
      </c>
      <c r="F400" s="331">
        <v>27472742</v>
      </c>
      <c r="G400" s="331">
        <v>44718307</v>
      </c>
      <c r="H400" s="331">
        <v>72191049</v>
      </c>
      <c r="I400" s="331">
        <v>-1353724</v>
      </c>
      <c r="J400" s="319" t="s">
        <v>361</v>
      </c>
      <c r="K400" s="319" t="s">
        <v>771</v>
      </c>
      <c r="L400" s="319" t="s">
        <v>425</v>
      </c>
      <c r="M400" s="319" t="s">
        <v>68</v>
      </c>
      <c r="N400" s="2"/>
      <c r="O400" s="4"/>
    </row>
    <row r="401" spans="1:15" ht="15" x14ac:dyDescent="0.25">
      <c r="A401" s="320">
        <v>691220</v>
      </c>
      <c r="B401" s="319" t="s">
        <v>661</v>
      </c>
      <c r="C401" s="331">
        <v>912</v>
      </c>
      <c r="D401" s="331">
        <v>1426</v>
      </c>
      <c r="E401" s="331">
        <v>2338</v>
      </c>
      <c r="F401" s="331">
        <v>80785526</v>
      </c>
      <c r="G401" s="331">
        <v>173177850</v>
      </c>
      <c r="H401" s="331">
        <v>253963377</v>
      </c>
      <c r="I401" s="331">
        <v>-1408375</v>
      </c>
      <c r="J401" s="319" t="s">
        <v>295</v>
      </c>
      <c r="K401" s="319" t="s">
        <v>771</v>
      </c>
      <c r="L401" s="319" t="s">
        <v>867</v>
      </c>
      <c r="M401" s="319" t="s">
        <v>154</v>
      </c>
      <c r="N401" s="2"/>
      <c r="O401" s="4"/>
    </row>
    <row r="402" spans="1:15" ht="15" x14ac:dyDescent="0.25">
      <c r="A402" s="320">
        <v>178335</v>
      </c>
      <c r="B402" s="319" t="s">
        <v>192</v>
      </c>
      <c r="C402" s="331">
        <v>1178</v>
      </c>
      <c r="D402" s="331">
        <v>1152</v>
      </c>
      <c r="E402" s="331">
        <v>2330</v>
      </c>
      <c r="F402" s="331">
        <v>39134360</v>
      </c>
      <c r="G402" s="331">
        <v>48999901</v>
      </c>
      <c r="H402" s="331">
        <v>88134261</v>
      </c>
      <c r="I402" s="331">
        <v>-1214244</v>
      </c>
      <c r="J402" s="319" t="s">
        <v>1040</v>
      </c>
      <c r="K402" s="319" t="s">
        <v>772</v>
      </c>
      <c r="L402" s="319" t="s">
        <v>188</v>
      </c>
      <c r="M402" s="319" t="s">
        <v>154</v>
      </c>
      <c r="N402" s="2"/>
      <c r="O402" s="4"/>
    </row>
    <row r="403" spans="1:15" ht="15" x14ac:dyDescent="0.25">
      <c r="A403" s="320">
        <v>481671</v>
      </c>
      <c r="B403" s="319" t="s">
        <v>506</v>
      </c>
      <c r="C403" s="331">
        <v>740</v>
      </c>
      <c r="D403" s="331">
        <v>1582</v>
      </c>
      <c r="E403" s="331">
        <v>2322</v>
      </c>
      <c r="F403" s="331">
        <v>44397213</v>
      </c>
      <c r="G403" s="331">
        <v>117728289</v>
      </c>
      <c r="H403" s="331">
        <v>162125502</v>
      </c>
      <c r="I403" s="331">
        <v>-9036248</v>
      </c>
      <c r="J403" s="319" t="s">
        <v>1057</v>
      </c>
      <c r="K403" s="319" t="s">
        <v>771</v>
      </c>
      <c r="L403" s="319" t="s">
        <v>224</v>
      </c>
      <c r="M403" s="319" t="s">
        <v>68</v>
      </c>
      <c r="N403" s="2"/>
      <c r="O403" s="4"/>
    </row>
    <row r="404" spans="1:15" ht="15" x14ac:dyDescent="0.25">
      <c r="A404" s="320">
        <v>252296</v>
      </c>
      <c r="B404" s="319" t="s">
        <v>300</v>
      </c>
      <c r="C404" s="331">
        <v>1167</v>
      </c>
      <c r="D404" s="331">
        <v>1154</v>
      </c>
      <c r="E404" s="331">
        <v>2321</v>
      </c>
      <c r="F404" s="331">
        <v>43656479</v>
      </c>
      <c r="G404" s="331">
        <v>51856650</v>
      </c>
      <c r="H404" s="331">
        <v>95513128</v>
      </c>
      <c r="I404" s="331">
        <v>-1666794</v>
      </c>
      <c r="J404" s="319" t="s">
        <v>1038</v>
      </c>
      <c r="K404" s="319" t="s">
        <v>772</v>
      </c>
      <c r="L404" s="319" t="s">
        <v>176</v>
      </c>
      <c r="M404" s="319" t="s">
        <v>68</v>
      </c>
      <c r="N404" s="2"/>
      <c r="O404" s="4"/>
    </row>
    <row r="405" spans="1:15" ht="15" x14ac:dyDescent="0.25">
      <c r="A405" s="320">
        <v>446088</v>
      </c>
      <c r="B405" s="319" t="s">
        <v>794</v>
      </c>
      <c r="C405" s="331">
        <v>739</v>
      </c>
      <c r="D405" s="331">
        <v>1565</v>
      </c>
      <c r="E405" s="331">
        <v>2304</v>
      </c>
      <c r="F405" s="331">
        <v>45249583</v>
      </c>
      <c r="G405" s="331">
        <v>122561438</v>
      </c>
      <c r="H405" s="331">
        <v>167811022</v>
      </c>
      <c r="I405" s="331">
        <v>69192341</v>
      </c>
      <c r="J405" s="319" t="s">
        <v>253</v>
      </c>
      <c r="K405" s="319" t="s">
        <v>771</v>
      </c>
      <c r="L405" s="319" t="s">
        <v>540</v>
      </c>
      <c r="M405" s="319" t="s">
        <v>68</v>
      </c>
      <c r="N405" s="2"/>
      <c r="O405" s="4"/>
    </row>
    <row r="406" spans="1:15" ht="15" x14ac:dyDescent="0.25">
      <c r="A406" s="320">
        <v>341305</v>
      </c>
      <c r="B406" s="319" t="s">
        <v>973</v>
      </c>
      <c r="C406" s="331">
        <v>670</v>
      </c>
      <c r="D406" s="331">
        <v>1634</v>
      </c>
      <c r="E406" s="331">
        <v>2304</v>
      </c>
      <c r="F406" s="331">
        <v>32355967</v>
      </c>
      <c r="G406" s="331">
        <v>83484384</v>
      </c>
      <c r="H406" s="331">
        <v>115840351</v>
      </c>
      <c r="I406" s="331">
        <v>8667252</v>
      </c>
      <c r="J406" s="319" t="s">
        <v>1047</v>
      </c>
      <c r="K406" s="319" t="s">
        <v>771</v>
      </c>
      <c r="L406" s="319" t="s">
        <v>339</v>
      </c>
      <c r="M406" s="319" t="s">
        <v>154</v>
      </c>
      <c r="N406" s="2"/>
      <c r="O406" s="4"/>
    </row>
    <row r="407" spans="1:15" ht="15" customHeight="1" x14ac:dyDescent="0.25">
      <c r="A407" s="320">
        <v>795054</v>
      </c>
      <c r="B407" s="319" t="s">
        <v>702</v>
      </c>
      <c r="C407" s="331">
        <v>853</v>
      </c>
      <c r="D407" s="331">
        <v>1427</v>
      </c>
      <c r="E407" s="331">
        <v>2280</v>
      </c>
      <c r="F407" s="331">
        <v>37072518</v>
      </c>
      <c r="G407" s="331">
        <v>76185666</v>
      </c>
      <c r="H407" s="331">
        <v>113258184</v>
      </c>
      <c r="I407" s="331">
        <v>647818</v>
      </c>
      <c r="J407" s="319" t="s">
        <v>1048</v>
      </c>
      <c r="K407" s="319" t="s">
        <v>771</v>
      </c>
      <c r="L407" s="319" t="s">
        <v>538</v>
      </c>
      <c r="M407" s="319" t="s">
        <v>68</v>
      </c>
      <c r="N407" s="2"/>
      <c r="O407" s="4"/>
    </row>
    <row r="408" spans="1:15" ht="15" customHeight="1" x14ac:dyDescent="0.25">
      <c r="A408" s="320">
        <v>836908</v>
      </c>
      <c r="B408" s="319" t="s">
        <v>635</v>
      </c>
      <c r="C408" s="331">
        <v>1166</v>
      </c>
      <c r="D408" s="331">
        <v>1108</v>
      </c>
      <c r="E408" s="331">
        <v>2274</v>
      </c>
      <c r="F408" s="331">
        <v>104536263</v>
      </c>
      <c r="G408" s="331">
        <v>117781556</v>
      </c>
      <c r="H408" s="331">
        <v>222317818</v>
      </c>
      <c r="I408" s="331">
        <v>2090478</v>
      </c>
      <c r="J408" s="319" t="s">
        <v>1024</v>
      </c>
      <c r="K408" s="319" t="s">
        <v>768</v>
      </c>
      <c r="L408" s="319" t="s">
        <v>479</v>
      </c>
      <c r="M408" s="319" t="s">
        <v>154</v>
      </c>
      <c r="N408" s="2"/>
      <c r="O408" s="4"/>
    </row>
    <row r="409" spans="1:15" ht="15" x14ac:dyDescent="0.25">
      <c r="A409" s="320">
        <v>724690</v>
      </c>
      <c r="B409" s="319" t="s">
        <v>546</v>
      </c>
      <c r="C409" s="331">
        <v>680</v>
      </c>
      <c r="D409" s="331">
        <v>1579</v>
      </c>
      <c r="E409" s="331">
        <v>2259</v>
      </c>
      <c r="F409" s="331">
        <v>32163505</v>
      </c>
      <c r="G409" s="331">
        <v>90499569</v>
      </c>
      <c r="H409" s="331">
        <v>122663074</v>
      </c>
      <c r="I409" s="331">
        <v>-7042879</v>
      </c>
      <c r="J409" s="319" t="s">
        <v>1049</v>
      </c>
      <c r="K409" s="319" t="s">
        <v>771</v>
      </c>
      <c r="L409" s="319" t="s">
        <v>547</v>
      </c>
      <c r="M409" s="319" t="s">
        <v>68</v>
      </c>
      <c r="N409" s="2"/>
      <c r="O409" s="4"/>
    </row>
    <row r="410" spans="1:15" ht="15" x14ac:dyDescent="0.25">
      <c r="A410" s="320">
        <v>477729</v>
      </c>
      <c r="B410" s="319" t="s">
        <v>564</v>
      </c>
      <c r="C410" s="331">
        <v>889</v>
      </c>
      <c r="D410" s="331">
        <v>1364</v>
      </c>
      <c r="E410" s="331">
        <v>2253</v>
      </c>
      <c r="F410" s="331">
        <v>44987001</v>
      </c>
      <c r="G410" s="331">
        <v>86040566</v>
      </c>
      <c r="H410" s="331">
        <v>131027567</v>
      </c>
      <c r="I410" s="331">
        <v>26122581</v>
      </c>
      <c r="J410" s="319" t="s">
        <v>1048</v>
      </c>
      <c r="K410" s="319" t="s">
        <v>771</v>
      </c>
      <c r="L410" s="319" t="s">
        <v>425</v>
      </c>
      <c r="M410" s="319" t="s">
        <v>68</v>
      </c>
      <c r="N410" s="2"/>
      <c r="O410" s="4"/>
    </row>
    <row r="411" spans="1:15" ht="15" customHeight="1" x14ac:dyDescent="0.25">
      <c r="A411" s="320">
        <v>259903</v>
      </c>
      <c r="B411" s="319" t="s">
        <v>1143</v>
      </c>
      <c r="C411" s="331">
        <v>831</v>
      </c>
      <c r="D411" s="331">
        <v>1336</v>
      </c>
      <c r="E411" s="331">
        <v>2167</v>
      </c>
      <c r="F411" s="331">
        <v>35124547</v>
      </c>
      <c r="G411" s="331">
        <v>81306310</v>
      </c>
      <c r="H411" s="331">
        <v>116430857</v>
      </c>
      <c r="I411" s="331">
        <v>-4802807</v>
      </c>
      <c r="J411" s="319" t="s">
        <v>373</v>
      </c>
      <c r="K411" s="319" t="s">
        <v>771</v>
      </c>
      <c r="L411" s="319" t="s">
        <v>209</v>
      </c>
      <c r="M411" s="319" t="s">
        <v>68</v>
      </c>
      <c r="N411" s="2"/>
      <c r="O411" s="4"/>
    </row>
    <row r="412" spans="1:15" ht="15" customHeight="1" x14ac:dyDescent="0.25">
      <c r="A412" s="320">
        <v>184119</v>
      </c>
      <c r="B412" s="319" t="s">
        <v>273</v>
      </c>
      <c r="C412" s="331">
        <v>908</v>
      </c>
      <c r="D412" s="331">
        <v>1245</v>
      </c>
      <c r="E412" s="331">
        <v>2153</v>
      </c>
      <c r="F412" s="331">
        <v>56724542</v>
      </c>
      <c r="G412" s="331">
        <v>91679436</v>
      </c>
      <c r="H412" s="331">
        <v>148403978</v>
      </c>
      <c r="I412" s="331">
        <v>9540081</v>
      </c>
      <c r="J412" s="319" t="s">
        <v>181</v>
      </c>
      <c r="K412" s="319" t="s">
        <v>771</v>
      </c>
      <c r="L412" s="319" t="s">
        <v>178</v>
      </c>
      <c r="M412" s="319" t="s">
        <v>154</v>
      </c>
      <c r="N412" s="2"/>
      <c r="O412" s="4"/>
    </row>
    <row r="413" spans="1:15" ht="15" x14ac:dyDescent="0.25">
      <c r="A413" s="320">
        <v>832899</v>
      </c>
      <c r="B413" s="319" t="s">
        <v>475</v>
      </c>
      <c r="C413" s="331">
        <v>1029</v>
      </c>
      <c r="D413" s="331">
        <v>1058</v>
      </c>
      <c r="E413" s="331">
        <v>2087</v>
      </c>
      <c r="F413" s="331">
        <v>48936647</v>
      </c>
      <c r="G413" s="331">
        <v>58607491</v>
      </c>
      <c r="H413" s="331">
        <v>107544137</v>
      </c>
      <c r="I413" s="331">
        <v>-1015433</v>
      </c>
      <c r="J413" s="319" t="s">
        <v>219</v>
      </c>
      <c r="K413" s="319" t="s">
        <v>771</v>
      </c>
      <c r="L413" s="319" t="s">
        <v>207</v>
      </c>
      <c r="M413" s="319" t="s">
        <v>154</v>
      </c>
      <c r="N413" s="2"/>
      <c r="O413" s="4"/>
    </row>
    <row r="414" spans="1:15" ht="15" x14ac:dyDescent="0.25">
      <c r="A414" s="320">
        <v>529016</v>
      </c>
      <c r="B414" s="319" t="s">
        <v>568</v>
      </c>
      <c r="C414" s="331">
        <v>922</v>
      </c>
      <c r="D414" s="331">
        <v>1148</v>
      </c>
      <c r="E414" s="331">
        <v>2070</v>
      </c>
      <c r="F414" s="331">
        <v>34970313</v>
      </c>
      <c r="G414" s="331">
        <v>50055629</v>
      </c>
      <c r="H414" s="331">
        <v>85025942</v>
      </c>
      <c r="I414" s="331">
        <v>-328193</v>
      </c>
      <c r="J414" s="319" t="s">
        <v>215</v>
      </c>
      <c r="K414" s="319" t="s">
        <v>771</v>
      </c>
      <c r="L414" s="319" t="s">
        <v>751</v>
      </c>
      <c r="M414" s="319" t="s">
        <v>68</v>
      </c>
      <c r="N414" s="2"/>
      <c r="O414" s="4"/>
    </row>
    <row r="415" spans="1:15" ht="15" x14ac:dyDescent="0.25">
      <c r="A415" s="320">
        <v>764951</v>
      </c>
      <c r="B415" s="319" t="s">
        <v>498</v>
      </c>
      <c r="C415" s="331">
        <v>914</v>
      </c>
      <c r="D415" s="331">
        <v>1122</v>
      </c>
      <c r="E415" s="331">
        <v>2036</v>
      </c>
      <c r="F415" s="331">
        <v>40391855</v>
      </c>
      <c r="G415" s="331">
        <v>59435668</v>
      </c>
      <c r="H415" s="331">
        <v>99827523</v>
      </c>
      <c r="I415" s="331">
        <v>-1339418</v>
      </c>
      <c r="J415" s="319" t="s">
        <v>215</v>
      </c>
      <c r="K415" s="319" t="s">
        <v>771</v>
      </c>
      <c r="L415" s="319" t="s">
        <v>198</v>
      </c>
      <c r="M415" s="319" t="s">
        <v>68</v>
      </c>
      <c r="N415" s="2"/>
      <c r="O415" s="4"/>
    </row>
    <row r="416" spans="1:15" ht="15" x14ac:dyDescent="0.25">
      <c r="A416" s="320">
        <v>917716</v>
      </c>
      <c r="B416" s="319" t="s">
        <v>668</v>
      </c>
      <c r="C416" s="331">
        <v>859</v>
      </c>
      <c r="D416" s="331">
        <v>1175</v>
      </c>
      <c r="E416" s="331">
        <v>2034</v>
      </c>
      <c r="F416" s="331">
        <v>59863501</v>
      </c>
      <c r="G416" s="331">
        <v>88981997</v>
      </c>
      <c r="H416" s="331">
        <v>148845498</v>
      </c>
      <c r="I416" s="331">
        <v>798550</v>
      </c>
      <c r="J416" s="319" t="s">
        <v>298</v>
      </c>
      <c r="K416" s="319" t="s">
        <v>771</v>
      </c>
      <c r="L416" s="319" t="s">
        <v>596</v>
      </c>
      <c r="M416" s="319" t="s">
        <v>68</v>
      </c>
      <c r="N416" s="2"/>
      <c r="O416" s="4"/>
    </row>
    <row r="417" spans="1:15" ht="15" x14ac:dyDescent="0.25">
      <c r="A417" s="320">
        <v>899120</v>
      </c>
      <c r="B417" s="319" t="s">
        <v>548</v>
      </c>
      <c r="C417" s="331">
        <v>821</v>
      </c>
      <c r="D417" s="331">
        <v>1182</v>
      </c>
      <c r="E417" s="331">
        <v>2003</v>
      </c>
      <c r="F417" s="331">
        <v>20313060</v>
      </c>
      <c r="G417" s="331">
        <v>37739995</v>
      </c>
      <c r="H417" s="331">
        <v>58053055</v>
      </c>
      <c r="I417" s="331">
        <v>-2606578</v>
      </c>
      <c r="J417" s="319" t="s">
        <v>1045</v>
      </c>
      <c r="K417" s="319" t="s">
        <v>771</v>
      </c>
      <c r="L417" s="319" t="s">
        <v>547</v>
      </c>
      <c r="M417" s="319" t="s">
        <v>68</v>
      </c>
      <c r="N417" s="2"/>
      <c r="O417" s="4"/>
    </row>
    <row r="418" spans="1:15" ht="15" x14ac:dyDescent="0.25">
      <c r="A418" s="320">
        <v>870493</v>
      </c>
      <c r="B418" s="319" t="s">
        <v>175</v>
      </c>
      <c r="C418" s="331">
        <v>971</v>
      </c>
      <c r="D418" s="331">
        <v>1023</v>
      </c>
      <c r="E418" s="331">
        <v>1994</v>
      </c>
      <c r="F418" s="331">
        <v>62528457</v>
      </c>
      <c r="G418" s="331">
        <v>79006567</v>
      </c>
      <c r="H418" s="331">
        <v>141535024</v>
      </c>
      <c r="I418" s="331">
        <v>-2300399</v>
      </c>
      <c r="J418" s="319" t="s">
        <v>1031</v>
      </c>
      <c r="K418" s="319" t="s">
        <v>772</v>
      </c>
      <c r="L418" s="319" t="s">
        <v>176</v>
      </c>
      <c r="M418" s="319" t="s">
        <v>68</v>
      </c>
      <c r="N418" s="2"/>
      <c r="O418" s="4"/>
    </row>
    <row r="419" spans="1:15" ht="15" x14ac:dyDescent="0.25">
      <c r="A419" s="320">
        <v>503573</v>
      </c>
      <c r="B419" s="319" t="s">
        <v>2034</v>
      </c>
      <c r="C419" s="331">
        <v>879</v>
      </c>
      <c r="D419" s="331">
        <v>1109</v>
      </c>
      <c r="E419" s="331">
        <v>1988</v>
      </c>
      <c r="F419" s="331">
        <v>33475805</v>
      </c>
      <c r="G419" s="331">
        <v>54053743</v>
      </c>
      <c r="H419" s="331">
        <v>87529547</v>
      </c>
      <c r="I419" s="331">
        <v>-1082546</v>
      </c>
      <c r="J419" s="319" t="s">
        <v>181</v>
      </c>
      <c r="K419" s="319" t="s">
        <v>771</v>
      </c>
      <c r="L419" s="319" t="s">
        <v>224</v>
      </c>
      <c r="M419" s="319" t="s">
        <v>68</v>
      </c>
      <c r="N419" s="2"/>
      <c r="O419" s="4"/>
    </row>
    <row r="420" spans="1:15" ht="15" x14ac:dyDescent="0.25">
      <c r="A420" s="320">
        <v>396028</v>
      </c>
      <c r="B420" s="319" t="s">
        <v>137</v>
      </c>
      <c r="C420" s="331">
        <v>955</v>
      </c>
      <c r="D420" s="331">
        <v>1033</v>
      </c>
      <c r="E420" s="331">
        <v>1988</v>
      </c>
      <c r="F420" s="331">
        <v>36438801</v>
      </c>
      <c r="G420" s="331">
        <v>52823479</v>
      </c>
      <c r="H420" s="331">
        <v>89262280</v>
      </c>
      <c r="I420" s="331">
        <v>-1794733</v>
      </c>
      <c r="J420" s="319" t="s">
        <v>1051</v>
      </c>
      <c r="K420" s="319" t="s">
        <v>771</v>
      </c>
      <c r="L420" s="319" t="s">
        <v>416</v>
      </c>
      <c r="M420" s="319" t="s">
        <v>154</v>
      </c>
      <c r="N420" s="2"/>
      <c r="O420" s="4"/>
    </row>
    <row r="421" spans="1:15" ht="15" customHeight="1" x14ac:dyDescent="0.25">
      <c r="A421" s="320">
        <v>118000</v>
      </c>
      <c r="B421" s="319" t="s">
        <v>451</v>
      </c>
      <c r="C421" s="331">
        <v>523</v>
      </c>
      <c r="D421" s="331">
        <v>1446</v>
      </c>
      <c r="E421" s="331">
        <v>1969</v>
      </c>
      <c r="F421" s="331">
        <v>12688655</v>
      </c>
      <c r="G421" s="331">
        <v>38477848</v>
      </c>
      <c r="H421" s="331">
        <v>51166503</v>
      </c>
      <c r="I421" s="331">
        <v>-752467</v>
      </c>
      <c r="J421" s="319" t="s">
        <v>181</v>
      </c>
      <c r="K421" s="319" t="s">
        <v>771</v>
      </c>
      <c r="L421" s="319" t="s">
        <v>331</v>
      </c>
      <c r="M421" s="319" t="s">
        <v>68</v>
      </c>
      <c r="N421" s="2"/>
      <c r="O421" s="4"/>
    </row>
    <row r="422" spans="1:15" ht="15" x14ac:dyDescent="0.25">
      <c r="A422" s="320">
        <v>996348</v>
      </c>
      <c r="B422" s="319" t="s">
        <v>813</v>
      </c>
      <c r="C422" s="331">
        <v>1024</v>
      </c>
      <c r="D422" s="331">
        <v>936</v>
      </c>
      <c r="E422" s="331">
        <v>1960</v>
      </c>
      <c r="F422" s="331">
        <v>34292326</v>
      </c>
      <c r="G422" s="331">
        <v>37636461</v>
      </c>
      <c r="H422" s="331">
        <v>71928787</v>
      </c>
      <c r="I422" s="331">
        <v>-153828</v>
      </c>
      <c r="J422" s="319" t="s">
        <v>1024</v>
      </c>
      <c r="K422" s="319" t="s">
        <v>768</v>
      </c>
      <c r="L422" s="319" t="s">
        <v>563</v>
      </c>
      <c r="M422" s="319" t="s">
        <v>68</v>
      </c>
      <c r="N422" s="2"/>
      <c r="O422" s="4"/>
    </row>
    <row r="423" spans="1:15" ht="15" x14ac:dyDescent="0.25">
      <c r="A423" s="320">
        <v>459891</v>
      </c>
      <c r="B423" s="319" t="s">
        <v>309</v>
      </c>
      <c r="C423" s="331">
        <v>719</v>
      </c>
      <c r="D423" s="331">
        <v>1220</v>
      </c>
      <c r="E423" s="331">
        <v>1939</v>
      </c>
      <c r="F423" s="331">
        <v>32499559</v>
      </c>
      <c r="G423" s="331">
        <v>56865236</v>
      </c>
      <c r="H423" s="331">
        <v>89364795</v>
      </c>
      <c r="I423" s="331">
        <v>5980797</v>
      </c>
      <c r="J423" s="319" t="s">
        <v>295</v>
      </c>
      <c r="K423" s="319" t="s">
        <v>771</v>
      </c>
      <c r="L423" s="319" t="s">
        <v>178</v>
      </c>
      <c r="M423" s="319" t="s">
        <v>154</v>
      </c>
      <c r="N423" s="2"/>
      <c r="O423" s="4"/>
    </row>
    <row r="424" spans="1:15" ht="15" x14ac:dyDescent="0.25">
      <c r="A424" s="320">
        <v>889204</v>
      </c>
      <c r="B424" s="319" t="s">
        <v>252</v>
      </c>
      <c r="C424" s="331">
        <v>977</v>
      </c>
      <c r="D424" s="331">
        <v>960</v>
      </c>
      <c r="E424" s="331">
        <v>1937</v>
      </c>
      <c r="F424" s="331">
        <v>33338871</v>
      </c>
      <c r="G424" s="331">
        <v>45490537</v>
      </c>
      <c r="H424" s="331">
        <v>78829408</v>
      </c>
      <c r="I424" s="331">
        <v>318024</v>
      </c>
      <c r="J424" s="319" t="s">
        <v>1024</v>
      </c>
      <c r="K424" s="319" t="s">
        <v>768</v>
      </c>
      <c r="L424" s="319" t="s">
        <v>247</v>
      </c>
      <c r="M424" s="319" t="s">
        <v>154</v>
      </c>
      <c r="N424" s="2"/>
      <c r="O424" s="4"/>
    </row>
    <row r="425" spans="1:15" ht="15" x14ac:dyDescent="0.25">
      <c r="A425" s="320">
        <v>265512</v>
      </c>
      <c r="B425" s="319" t="s">
        <v>182</v>
      </c>
      <c r="C425" s="331">
        <v>850</v>
      </c>
      <c r="D425" s="331">
        <v>1085</v>
      </c>
      <c r="E425" s="331">
        <v>1935</v>
      </c>
      <c r="F425" s="331">
        <v>57206326</v>
      </c>
      <c r="G425" s="331">
        <v>92989136</v>
      </c>
      <c r="H425" s="331">
        <v>150195463</v>
      </c>
      <c r="I425" s="331">
        <v>-6067533</v>
      </c>
      <c r="J425" s="319" t="s">
        <v>1040</v>
      </c>
      <c r="K425" s="319" t="s">
        <v>772</v>
      </c>
      <c r="L425" s="319" t="s">
        <v>168</v>
      </c>
      <c r="M425" s="319" t="s">
        <v>154</v>
      </c>
      <c r="N425" s="2"/>
      <c r="O425" s="4"/>
    </row>
    <row r="426" spans="1:15" ht="15" x14ac:dyDescent="0.25">
      <c r="A426" s="320">
        <v>985895</v>
      </c>
      <c r="B426" s="319" t="s">
        <v>485</v>
      </c>
      <c r="C426" s="331">
        <v>887</v>
      </c>
      <c r="D426" s="331">
        <v>1027</v>
      </c>
      <c r="E426" s="331">
        <v>1914</v>
      </c>
      <c r="F426" s="331">
        <v>36544881</v>
      </c>
      <c r="G426" s="331">
        <v>49695075</v>
      </c>
      <c r="H426" s="331">
        <v>86239956</v>
      </c>
      <c r="I426" s="331">
        <v>-766589</v>
      </c>
      <c r="J426" s="319" t="s">
        <v>1023</v>
      </c>
      <c r="K426" s="319" t="s">
        <v>768</v>
      </c>
      <c r="L426" s="319" t="s">
        <v>331</v>
      </c>
      <c r="M426" s="319" t="s">
        <v>68</v>
      </c>
      <c r="N426" s="2"/>
      <c r="O426" s="4"/>
    </row>
    <row r="427" spans="1:15" ht="15" x14ac:dyDescent="0.25">
      <c r="A427" s="320">
        <v>102897</v>
      </c>
      <c r="B427" s="319" t="s">
        <v>1081</v>
      </c>
      <c r="C427" s="331">
        <v>974</v>
      </c>
      <c r="D427" s="331">
        <v>931</v>
      </c>
      <c r="E427" s="331">
        <v>1905</v>
      </c>
      <c r="F427" s="331">
        <v>20414088</v>
      </c>
      <c r="G427" s="331">
        <v>27625095</v>
      </c>
      <c r="H427" s="331">
        <v>48039183</v>
      </c>
      <c r="I427" s="331">
        <v>-454746</v>
      </c>
      <c r="J427" s="319" t="s">
        <v>215</v>
      </c>
      <c r="K427" s="319" t="s">
        <v>771</v>
      </c>
      <c r="L427" s="319" t="s">
        <v>525</v>
      </c>
      <c r="M427" s="319" t="s">
        <v>154</v>
      </c>
      <c r="N427" s="2"/>
      <c r="O427" s="4"/>
    </row>
    <row r="428" spans="1:15" ht="15" x14ac:dyDescent="0.25">
      <c r="A428" s="320">
        <v>240663</v>
      </c>
      <c r="B428" s="319" t="s">
        <v>676</v>
      </c>
      <c r="C428" s="331">
        <v>977</v>
      </c>
      <c r="D428" s="331">
        <v>924</v>
      </c>
      <c r="E428" s="331">
        <v>1901</v>
      </c>
      <c r="F428" s="331">
        <v>38509734</v>
      </c>
      <c r="G428" s="331">
        <v>46420956</v>
      </c>
      <c r="H428" s="331">
        <v>84930690</v>
      </c>
      <c r="I428" s="331">
        <v>-528696</v>
      </c>
      <c r="J428" s="319" t="s">
        <v>1024</v>
      </c>
      <c r="K428" s="319" t="s">
        <v>768</v>
      </c>
      <c r="L428" s="319" t="s">
        <v>663</v>
      </c>
      <c r="M428" s="319" t="s">
        <v>68</v>
      </c>
      <c r="N428" s="2"/>
      <c r="O428" s="4"/>
    </row>
    <row r="429" spans="1:15" ht="15" x14ac:dyDescent="0.25">
      <c r="A429" s="320">
        <v>563254</v>
      </c>
      <c r="B429" s="319" t="s">
        <v>529</v>
      </c>
      <c r="C429" s="331">
        <v>917</v>
      </c>
      <c r="D429" s="331">
        <v>963</v>
      </c>
      <c r="E429" s="331">
        <v>1880</v>
      </c>
      <c r="F429" s="331">
        <v>34060322</v>
      </c>
      <c r="G429" s="331">
        <v>44065607</v>
      </c>
      <c r="H429" s="331">
        <v>78125929</v>
      </c>
      <c r="I429" s="331">
        <v>-1527876</v>
      </c>
      <c r="J429" s="319" t="s">
        <v>1047</v>
      </c>
      <c r="K429" s="319" t="s">
        <v>771</v>
      </c>
      <c r="L429" s="319" t="s">
        <v>530</v>
      </c>
      <c r="M429" s="319" t="s">
        <v>68</v>
      </c>
      <c r="N429" s="2"/>
      <c r="O429" s="4"/>
    </row>
    <row r="430" spans="1:15" ht="15" x14ac:dyDescent="0.25">
      <c r="A430" s="320">
        <v>204891</v>
      </c>
      <c r="B430" s="319" t="s">
        <v>648</v>
      </c>
      <c r="C430" s="331">
        <v>766</v>
      </c>
      <c r="D430" s="331">
        <v>1114</v>
      </c>
      <c r="E430" s="331">
        <v>1880</v>
      </c>
      <c r="F430" s="331">
        <v>20261875</v>
      </c>
      <c r="G430" s="331">
        <v>37392610</v>
      </c>
      <c r="H430" s="331">
        <v>57654485</v>
      </c>
      <c r="I430" s="331">
        <v>-2153864</v>
      </c>
      <c r="J430" s="319" t="s">
        <v>361</v>
      </c>
      <c r="K430" s="319" t="s">
        <v>771</v>
      </c>
      <c r="L430" s="319" t="s">
        <v>749</v>
      </c>
      <c r="M430" s="319" t="s">
        <v>68</v>
      </c>
      <c r="N430" s="2"/>
      <c r="O430" s="4"/>
    </row>
    <row r="431" spans="1:15" ht="15" x14ac:dyDescent="0.25">
      <c r="A431" s="320">
        <v>587634</v>
      </c>
      <c r="B431" s="319" t="s">
        <v>330</v>
      </c>
      <c r="C431" s="331">
        <v>912</v>
      </c>
      <c r="D431" s="331">
        <v>954</v>
      </c>
      <c r="E431" s="331">
        <v>1866</v>
      </c>
      <c r="F431" s="331">
        <v>24078736</v>
      </c>
      <c r="G431" s="331">
        <v>30871321</v>
      </c>
      <c r="H431" s="331">
        <v>54950058</v>
      </c>
      <c r="I431" s="331">
        <v>-154759</v>
      </c>
      <c r="J431" s="319" t="s">
        <v>1043</v>
      </c>
      <c r="K431" s="319" t="s">
        <v>772</v>
      </c>
      <c r="L431" s="319" t="s">
        <v>331</v>
      </c>
      <c r="M431" s="319" t="s">
        <v>68</v>
      </c>
      <c r="N431" s="2"/>
      <c r="O431" s="4"/>
    </row>
    <row r="432" spans="1:15" ht="15" x14ac:dyDescent="0.25">
      <c r="A432" s="320">
        <v>443721</v>
      </c>
      <c r="B432" s="319" t="s">
        <v>202</v>
      </c>
      <c r="C432" s="331">
        <v>914</v>
      </c>
      <c r="D432" s="331">
        <v>946</v>
      </c>
      <c r="E432" s="331">
        <v>1860</v>
      </c>
      <c r="F432" s="331">
        <v>37088876</v>
      </c>
      <c r="G432" s="331">
        <v>46791649</v>
      </c>
      <c r="H432" s="331">
        <v>83880525</v>
      </c>
      <c r="I432" s="331">
        <v>-870939</v>
      </c>
      <c r="J432" s="319" t="s">
        <v>1043</v>
      </c>
      <c r="K432" s="319" t="s">
        <v>772</v>
      </c>
      <c r="L432" s="319" t="s">
        <v>204</v>
      </c>
      <c r="M432" s="319" t="s">
        <v>68</v>
      </c>
      <c r="N432" s="2"/>
      <c r="O432" s="4"/>
    </row>
    <row r="433" spans="1:15" ht="15" x14ac:dyDescent="0.25">
      <c r="A433" s="320">
        <v>889386</v>
      </c>
      <c r="B433" s="319" t="s">
        <v>684</v>
      </c>
      <c r="C433" s="331">
        <v>781</v>
      </c>
      <c r="D433" s="331">
        <v>1070</v>
      </c>
      <c r="E433" s="331">
        <v>1851</v>
      </c>
      <c r="F433" s="331">
        <v>25018164</v>
      </c>
      <c r="G433" s="331">
        <v>45561431</v>
      </c>
      <c r="H433" s="331">
        <v>70579595</v>
      </c>
      <c r="I433" s="331">
        <v>-6896739</v>
      </c>
      <c r="J433" s="319" t="s">
        <v>373</v>
      </c>
      <c r="K433" s="319" t="s">
        <v>771</v>
      </c>
      <c r="L433" s="319" t="s">
        <v>198</v>
      </c>
      <c r="M433" s="319" t="s">
        <v>68</v>
      </c>
      <c r="N433" s="2"/>
      <c r="O433" s="4"/>
    </row>
    <row r="434" spans="1:15" ht="15" customHeight="1" x14ac:dyDescent="0.25">
      <c r="A434" s="320">
        <v>232991</v>
      </c>
      <c r="B434" s="319" t="s">
        <v>560</v>
      </c>
      <c r="C434" s="331">
        <v>745</v>
      </c>
      <c r="D434" s="331">
        <v>1105</v>
      </c>
      <c r="E434" s="331">
        <v>1850</v>
      </c>
      <c r="F434" s="331">
        <v>30147945</v>
      </c>
      <c r="G434" s="331">
        <v>53605908</v>
      </c>
      <c r="H434" s="331">
        <v>83753853</v>
      </c>
      <c r="I434" s="331">
        <v>-29879</v>
      </c>
      <c r="J434" s="319" t="s">
        <v>295</v>
      </c>
      <c r="K434" s="319" t="s">
        <v>771</v>
      </c>
      <c r="L434" s="319" t="s">
        <v>375</v>
      </c>
      <c r="M434" s="319" t="s">
        <v>68</v>
      </c>
      <c r="N434" s="2"/>
      <c r="O434" s="4"/>
    </row>
    <row r="435" spans="1:15" ht="15" x14ac:dyDescent="0.25">
      <c r="A435" s="320">
        <v>570630</v>
      </c>
      <c r="B435" s="319" t="s">
        <v>334</v>
      </c>
      <c r="C435" s="331">
        <v>1111</v>
      </c>
      <c r="D435" s="331">
        <v>738</v>
      </c>
      <c r="E435" s="331">
        <v>1849</v>
      </c>
      <c r="F435" s="331">
        <v>42827923</v>
      </c>
      <c r="G435" s="331">
        <v>34613764</v>
      </c>
      <c r="H435" s="331">
        <v>77441687</v>
      </c>
      <c r="I435" s="331">
        <v>36565</v>
      </c>
      <c r="J435" s="319" t="s">
        <v>215</v>
      </c>
      <c r="K435" s="319" t="s">
        <v>771</v>
      </c>
      <c r="L435" s="319" t="s">
        <v>166</v>
      </c>
      <c r="M435" s="319" t="s">
        <v>154</v>
      </c>
      <c r="N435" s="2"/>
      <c r="O435" s="4"/>
    </row>
    <row r="436" spans="1:15" ht="15" x14ac:dyDescent="0.25">
      <c r="A436" s="320">
        <v>882530</v>
      </c>
      <c r="B436" s="319" t="s">
        <v>1077</v>
      </c>
      <c r="C436" s="331">
        <v>709</v>
      </c>
      <c r="D436" s="331">
        <v>1114</v>
      </c>
      <c r="E436" s="331">
        <v>1823</v>
      </c>
      <c r="F436" s="331">
        <v>28255492</v>
      </c>
      <c r="G436" s="331">
        <v>52154179</v>
      </c>
      <c r="H436" s="331">
        <v>80409671</v>
      </c>
      <c r="I436" s="331">
        <v>-522667</v>
      </c>
      <c r="J436" s="319" t="s">
        <v>1047</v>
      </c>
      <c r="K436" s="319" t="s">
        <v>771</v>
      </c>
      <c r="L436" s="319" t="s">
        <v>749</v>
      </c>
      <c r="M436" s="319" t="s">
        <v>68</v>
      </c>
      <c r="N436" s="2"/>
      <c r="O436" s="4"/>
    </row>
    <row r="437" spans="1:15" ht="15" x14ac:dyDescent="0.25">
      <c r="A437" s="320">
        <v>577833</v>
      </c>
      <c r="B437" s="319" t="s">
        <v>285</v>
      </c>
      <c r="C437" s="331">
        <v>795</v>
      </c>
      <c r="D437" s="331">
        <v>1021</v>
      </c>
      <c r="E437" s="331">
        <v>1816</v>
      </c>
      <c r="F437" s="331">
        <v>44687155</v>
      </c>
      <c r="G437" s="331">
        <v>64669297</v>
      </c>
      <c r="H437" s="331">
        <v>109356452</v>
      </c>
      <c r="I437" s="331">
        <v>221738</v>
      </c>
      <c r="J437" s="319" t="s">
        <v>219</v>
      </c>
      <c r="K437" s="319" t="s">
        <v>771</v>
      </c>
      <c r="L437" s="319" t="s">
        <v>166</v>
      </c>
      <c r="M437" s="319" t="s">
        <v>154</v>
      </c>
      <c r="N437" s="2"/>
      <c r="O437" s="4"/>
    </row>
    <row r="438" spans="1:15" ht="15" x14ac:dyDescent="0.25">
      <c r="A438" s="320">
        <v>571695</v>
      </c>
      <c r="B438" s="319" t="s">
        <v>395</v>
      </c>
      <c r="C438" s="331">
        <v>959</v>
      </c>
      <c r="D438" s="331">
        <v>816</v>
      </c>
      <c r="E438" s="331">
        <v>1775</v>
      </c>
      <c r="F438" s="331">
        <v>34720188</v>
      </c>
      <c r="G438" s="331">
        <v>36044097</v>
      </c>
      <c r="H438" s="331">
        <v>70764286</v>
      </c>
      <c r="I438" s="331">
        <v>-303065</v>
      </c>
      <c r="J438" s="319" t="s">
        <v>215</v>
      </c>
      <c r="K438" s="319" t="s">
        <v>771</v>
      </c>
      <c r="L438" s="319" t="s">
        <v>774</v>
      </c>
      <c r="M438" s="319" t="s">
        <v>68</v>
      </c>
      <c r="N438" s="2"/>
      <c r="O438" s="4"/>
    </row>
    <row r="439" spans="1:15" ht="15" x14ac:dyDescent="0.25">
      <c r="A439" s="320">
        <v>233460</v>
      </c>
      <c r="B439" s="319" t="s">
        <v>1119</v>
      </c>
      <c r="C439" s="331">
        <v>671</v>
      </c>
      <c r="D439" s="331">
        <v>1096</v>
      </c>
      <c r="E439" s="331">
        <v>1767</v>
      </c>
      <c r="F439" s="331">
        <v>38036547</v>
      </c>
      <c r="G439" s="331">
        <v>76801550</v>
      </c>
      <c r="H439" s="331">
        <v>114838097</v>
      </c>
      <c r="I439" s="331">
        <v>-4675692</v>
      </c>
      <c r="J439" s="319" t="s">
        <v>1057</v>
      </c>
      <c r="K439" s="319" t="s">
        <v>771</v>
      </c>
      <c r="L439" s="319" t="s">
        <v>749</v>
      </c>
      <c r="M439" s="319" t="s">
        <v>68</v>
      </c>
      <c r="N439" s="2"/>
      <c r="O439" s="4"/>
    </row>
    <row r="440" spans="1:15" ht="15" x14ac:dyDescent="0.25">
      <c r="A440" s="320">
        <v>125856</v>
      </c>
      <c r="B440" s="319" t="s">
        <v>1130</v>
      </c>
      <c r="C440" s="331">
        <v>667</v>
      </c>
      <c r="D440" s="331">
        <v>1085</v>
      </c>
      <c r="E440" s="331">
        <v>1752</v>
      </c>
      <c r="F440" s="331">
        <v>21370289</v>
      </c>
      <c r="G440" s="331">
        <v>41603438</v>
      </c>
      <c r="H440" s="331">
        <v>62973728</v>
      </c>
      <c r="I440" s="331">
        <v>-166300</v>
      </c>
      <c r="J440" s="319" t="s">
        <v>215</v>
      </c>
      <c r="K440" s="319" t="s">
        <v>771</v>
      </c>
      <c r="L440" s="319" t="s">
        <v>749</v>
      </c>
      <c r="M440" s="319" t="s">
        <v>68</v>
      </c>
      <c r="N440" s="2"/>
      <c r="O440" s="4"/>
    </row>
    <row r="441" spans="1:15" ht="15" customHeight="1" x14ac:dyDescent="0.25">
      <c r="A441" s="320">
        <v>197632</v>
      </c>
      <c r="B441" s="319" t="s">
        <v>645</v>
      </c>
      <c r="C441" s="331">
        <v>626</v>
      </c>
      <c r="D441" s="331">
        <v>1120</v>
      </c>
      <c r="E441" s="331">
        <v>1746</v>
      </c>
      <c r="F441" s="331">
        <v>31041366</v>
      </c>
      <c r="G441" s="331">
        <v>72192289</v>
      </c>
      <c r="H441" s="331">
        <v>103233654</v>
      </c>
      <c r="I441" s="331">
        <v>-586</v>
      </c>
      <c r="J441" s="319" t="s">
        <v>342</v>
      </c>
      <c r="K441" s="319" t="s">
        <v>771</v>
      </c>
      <c r="L441" s="319" t="s">
        <v>749</v>
      </c>
      <c r="M441" s="319" t="s">
        <v>68</v>
      </c>
      <c r="N441" s="2"/>
      <c r="O441" s="4"/>
    </row>
    <row r="442" spans="1:15" ht="15" x14ac:dyDescent="0.25">
      <c r="A442" s="320">
        <v>927632</v>
      </c>
      <c r="B442" s="319" t="s">
        <v>434</v>
      </c>
      <c r="C442" s="331">
        <v>925</v>
      </c>
      <c r="D442" s="331">
        <v>808</v>
      </c>
      <c r="E442" s="331">
        <v>1733</v>
      </c>
      <c r="F442" s="331">
        <v>98836880</v>
      </c>
      <c r="G442" s="331">
        <v>91827334</v>
      </c>
      <c r="H442" s="331">
        <v>190664214</v>
      </c>
      <c r="I442" s="331">
        <v>-401137</v>
      </c>
      <c r="J442" s="319" t="s">
        <v>1041</v>
      </c>
      <c r="K442" s="319" t="s">
        <v>768</v>
      </c>
      <c r="L442" s="319" t="s">
        <v>207</v>
      </c>
      <c r="M442" s="319" t="s">
        <v>154</v>
      </c>
      <c r="N442" s="2"/>
      <c r="O442" s="4"/>
    </row>
    <row r="443" spans="1:15" ht="15" x14ac:dyDescent="0.25">
      <c r="A443" s="320">
        <v>410258</v>
      </c>
      <c r="B443" s="319" t="s">
        <v>791</v>
      </c>
      <c r="C443" s="331">
        <v>510</v>
      </c>
      <c r="D443" s="331">
        <v>1210</v>
      </c>
      <c r="E443" s="331">
        <v>1720</v>
      </c>
      <c r="F443" s="331">
        <v>28889596</v>
      </c>
      <c r="G443" s="331">
        <v>87280631</v>
      </c>
      <c r="H443" s="331">
        <v>116170227</v>
      </c>
      <c r="I443" s="331">
        <v>13035526</v>
      </c>
      <c r="J443" s="319" t="s">
        <v>289</v>
      </c>
      <c r="K443" s="319" t="s">
        <v>771</v>
      </c>
      <c r="L443" s="319" t="s">
        <v>540</v>
      </c>
      <c r="M443" s="319" t="s">
        <v>68</v>
      </c>
      <c r="N443" s="2"/>
      <c r="O443" s="4"/>
    </row>
    <row r="444" spans="1:15" ht="15" x14ac:dyDescent="0.25">
      <c r="A444" s="320">
        <v>938498</v>
      </c>
      <c r="B444" s="319" t="s">
        <v>825</v>
      </c>
      <c r="C444" s="331">
        <v>698</v>
      </c>
      <c r="D444" s="331">
        <v>1004</v>
      </c>
      <c r="E444" s="331">
        <v>1702</v>
      </c>
      <c r="F444" s="331">
        <v>16272851</v>
      </c>
      <c r="G444" s="331">
        <v>32328396</v>
      </c>
      <c r="H444" s="331">
        <v>48601248</v>
      </c>
      <c r="I444" s="331">
        <v>-1157361</v>
      </c>
      <c r="J444" s="319" t="s">
        <v>1045</v>
      </c>
      <c r="K444" s="319" t="s">
        <v>771</v>
      </c>
      <c r="L444" s="319" t="s">
        <v>563</v>
      </c>
      <c r="M444" s="319" t="s">
        <v>68</v>
      </c>
      <c r="N444" s="2"/>
      <c r="O444" s="4"/>
    </row>
    <row r="445" spans="1:15" ht="15" x14ac:dyDescent="0.25">
      <c r="A445" s="320">
        <v>517508</v>
      </c>
      <c r="B445" s="319" t="s">
        <v>466</v>
      </c>
      <c r="C445" s="331">
        <v>615</v>
      </c>
      <c r="D445" s="331">
        <v>1075</v>
      </c>
      <c r="E445" s="331">
        <v>1690</v>
      </c>
      <c r="F445" s="331">
        <v>26727400</v>
      </c>
      <c r="G445" s="331">
        <v>57869768</v>
      </c>
      <c r="H445" s="331">
        <v>84597168</v>
      </c>
      <c r="I445" s="331">
        <v>-1287673</v>
      </c>
      <c r="J445" s="319" t="s">
        <v>1051</v>
      </c>
      <c r="K445" s="319" t="s">
        <v>771</v>
      </c>
      <c r="L445" s="319" t="s">
        <v>455</v>
      </c>
      <c r="M445" s="319" t="s">
        <v>68</v>
      </c>
      <c r="N445" s="2"/>
      <c r="O445" s="4"/>
    </row>
    <row r="446" spans="1:15" ht="15" x14ac:dyDescent="0.25">
      <c r="A446" s="320">
        <v>670091</v>
      </c>
      <c r="B446" s="319" t="s">
        <v>1136</v>
      </c>
      <c r="C446" s="331">
        <v>715</v>
      </c>
      <c r="D446" s="331">
        <v>972</v>
      </c>
      <c r="E446" s="331">
        <v>1687</v>
      </c>
      <c r="F446" s="331">
        <v>25962188</v>
      </c>
      <c r="G446" s="331">
        <v>44662566</v>
      </c>
      <c r="H446" s="331">
        <v>70624754</v>
      </c>
      <c r="I446" s="331">
        <v>113162</v>
      </c>
      <c r="J446" s="319" t="s">
        <v>295</v>
      </c>
      <c r="K446" s="319" t="s">
        <v>771</v>
      </c>
      <c r="L446" s="319" t="s">
        <v>542</v>
      </c>
      <c r="M446" s="319" t="s">
        <v>68</v>
      </c>
      <c r="N446" s="2"/>
      <c r="O446" s="4"/>
    </row>
    <row r="447" spans="1:15" ht="15" x14ac:dyDescent="0.25">
      <c r="A447" s="320">
        <v>794115</v>
      </c>
      <c r="B447" s="319" t="s">
        <v>519</v>
      </c>
      <c r="C447" s="331">
        <v>809</v>
      </c>
      <c r="D447" s="331">
        <v>859</v>
      </c>
      <c r="E447" s="331">
        <v>1668</v>
      </c>
      <c r="F447" s="331">
        <v>28903121</v>
      </c>
      <c r="G447" s="331">
        <v>36192890</v>
      </c>
      <c r="H447" s="331">
        <v>65096011</v>
      </c>
      <c r="I447" s="331">
        <v>-128562</v>
      </c>
      <c r="J447" s="319" t="s">
        <v>1023</v>
      </c>
      <c r="K447" s="319" t="s">
        <v>768</v>
      </c>
      <c r="L447" s="319" t="s">
        <v>751</v>
      </c>
      <c r="M447" s="319" t="s">
        <v>68</v>
      </c>
      <c r="N447" s="2"/>
      <c r="O447" s="4"/>
    </row>
    <row r="448" spans="1:15" ht="15" x14ac:dyDescent="0.25">
      <c r="A448" s="320">
        <v>687509</v>
      </c>
      <c r="B448" s="319" t="s">
        <v>741</v>
      </c>
      <c r="C448" s="331">
        <v>498</v>
      </c>
      <c r="D448" s="331">
        <v>1161</v>
      </c>
      <c r="E448" s="331">
        <v>1659</v>
      </c>
      <c r="F448" s="331">
        <v>24805413</v>
      </c>
      <c r="G448" s="331">
        <v>72783406</v>
      </c>
      <c r="H448" s="331">
        <v>97588819</v>
      </c>
      <c r="I448" s="331">
        <v>16878282</v>
      </c>
      <c r="J448" s="319" t="s">
        <v>1045</v>
      </c>
      <c r="K448" s="319" t="s">
        <v>771</v>
      </c>
      <c r="L448" s="319" t="s">
        <v>194</v>
      </c>
      <c r="M448" s="319" t="s">
        <v>154</v>
      </c>
      <c r="N448" s="2"/>
      <c r="O448" s="4"/>
    </row>
    <row r="449" spans="1:15" ht="15" x14ac:dyDescent="0.25">
      <c r="A449" s="320">
        <v>333633</v>
      </c>
      <c r="B449" s="319" t="s">
        <v>822</v>
      </c>
      <c r="C449" s="331">
        <v>730</v>
      </c>
      <c r="D449" s="331">
        <v>914</v>
      </c>
      <c r="E449" s="331">
        <v>1644</v>
      </c>
      <c r="F449" s="331">
        <v>25122320</v>
      </c>
      <c r="G449" s="331">
        <v>42527776</v>
      </c>
      <c r="H449" s="331">
        <v>67650096</v>
      </c>
      <c r="I449" s="331">
        <v>-795371</v>
      </c>
      <c r="J449" s="319" t="s">
        <v>1057</v>
      </c>
      <c r="K449" s="319" t="s">
        <v>771</v>
      </c>
      <c r="L449" s="319" t="s">
        <v>563</v>
      </c>
      <c r="M449" s="319" t="s">
        <v>68</v>
      </c>
      <c r="N449" s="2"/>
      <c r="O449" s="4"/>
    </row>
    <row r="450" spans="1:15" ht="15" x14ac:dyDescent="0.25">
      <c r="A450" s="320">
        <v>214163</v>
      </c>
      <c r="B450" s="319" t="s">
        <v>187</v>
      </c>
      <c r="C450" s="331">
        <v>781</v>
      </c>
      <c r="D450" s="331">
        <v>860</v>
      </c>
      <c r="E450" s="331">
        <v>1641</v>
      </c>
      <c r="F450" s="331">
        <v>45138838</v>
      </c>
      <c r="G450" s="331">
        <v>68567102</v>
      </c>
      <c r="H450" s="331">
        <v>113705940</v>
      </c>
      <c r="I450" s="331">
        <v>-4000851</v>
      </c>
      <c r="J450" s="319" t="s">
        <v>1031</v>
      </c>
      <c r="K450" s="319" t="s">
        <v>772</v>
      </c>
      <c r="L450" s="319" t="s">
        <v>188</v>
      </c>
      <c r="M450" s="319" t="s">
        <v>154</v>
      </c>
      <c r="N450" s="2"/>
      <c r="O450" s="4"/>
    </row>
    <row r="451" spans="1:15" ht="15" x14ac:dyDescent="0.25">
      <c r="A451" s="320">
        <v>401810</v>
      </c>
      <c r="B451" s="319" t="s">
        <v>835</v>
      </c>
      <c r="C451" s="331">
        <v>669</v>
      </c>
      <c r="D451" s="331">
        <v>966</v>
      </c>
      <c r="E451" s="331">
        <v>1635</v>
      </c>
      <c r="F451" s="331">
        <v>29228303</v>
      </c>
      <c r="G451" s="331">
        <v>51918639</v>
      </c>
      <c r="H451" s="331">
        <v>81146942</v>
      </c>
      <c r="I451" s="331">
        <v>-480353</v>
      </c>
      <c r="J451" s="319" t="s">
        <v>1048</v>
      </c>
      <c r="K451" s="319" t="s">
        <v>771</v>
      </c>
      <c r="L451" s="319" t="s">
        <v>493</v>
      </c>
      <c r="M451" s="319" t="s">
        <v>68</v>
      </c>
      <c r="N451" s="2"/>
      <c r="O451" s="4"/>
    </row>
    <row r="452" spans="1:15" ht="15" x14ac:dyDescent="0.25">
      <c r="A452" s="320">
        <v>420463</v>
      </c>
      <c r="B452" s="319" t="s">
        <v>129</v>
      </c>
      <c r="C452" s="331">
        <v>699</v>
      </c>
      <c r="D452" s="331">
        <v>928</v>
      </c>
      <c r="E452" s="331">
        <v>1627</v>
      </c>
      <c r="F452" s="331">
        <v>44792849</v>
      </c>
      <c r="G452" s="331">
        <v>67137881</v>
      </c>
      <c r="H452" s="331">
        <v>111930730</v>
      </c>
      <c r="I452" s="331">
        <v>-452310</v>
      </c>
      <c r="J452" s="319" t="s">
        <v>258</v>
      </c>
      <c r="K452" s="319" t="s">
        <v>771</v>
      </c>
      <c r="L452" s="319" t="s">
        <v>198</v>
      </c>
      <c r="M452" s="319" t="s">
        <v>68</v>
      </c>
      <c r="N452" s="2"/>
      <c r="O452" s="4"/>
    </row>
    <row r="453" spans="1:15" ht="15" customHeight="1" x14ac:dyDescent="0.25">
      <c r="A453" s="320">
        <v>391896</v>
      </c>
      <c r="B453" s="319" t="s">
        <v>790</v>
      </c>
      <c r="C453" s="331">
        <v>518</v>
      </c>
      <c r="D453" s="331">
        <v>1072</v>
      </c>
      <c r="E453" s="331">
        <v>1590</v>
      </c>
      <c r="F453" s="331">
        <v>29187224</v>
      </c>
      <c r="G453" s="331">
        <v>70462363</v>
      </c>
      <c r="H453" s="331">
        <v>99649587</v>
      </c>
      <c r="I453" s="331">
        <v>1792160</v>
      </c>
      <c r="J453" s="319" t="s">
        <v>342</v>
      </c>
      <c r="K453" s="319" t="s">
        <v>771</v>
      </c>
      <c r="L453" s="319" t="s">
        <v>540</v>
      </c>
      <c r="M453" s="319" t="s">
        <v>68</v>
      </c>
      <c r="N453" s="2"/>
      <c r="O453" s="4"/>
    </row>
    <row r="454" spans="1:15" ht="15" x14ac:dyDescent="0.25">
      <c r="A454" s="320">
        <v>330746</v>
      </c>
      <c r="B454" s="319" t="s">
        <v>169</v>
      </c>
      <c r="C454" s="331">
        <v>800</v>
      </c>
      <c r="D454" s="331">
        <v>768</v>
      </c>
      <c r="E454" s="331">
        <v>1568</v>
      </c>
      <c r="F454" s="331">
        <v>29356700</v>
      </c>
      <c r="G454" s="331">
        <v>40713110</v>
      </c>
      <c r="H454" s="331">
        <v>70069810</v>
      </c>
      <c r="I454" s="331">
        <v>-1032520</v>
      </c>
      <c r="J454" s="319" t="s">
        <v>1040</v>
      </c>
      <c r="K454" s="319" t="s">
        <v>772</v>
      </c>
      <c r="L454" s="319" t="s">
        <v>166</v>
      </c>
      <c r="M454" s="319" t="s">
        <v>154</v>
      </c>
      <c r="N454" s="2"/>
      <c r="O454" s="4"/>
    </row>
    <row r="455" spans="1:15" ht="15" x14ac:dyDescent="0.25">
      <c r="A455" s="320">
        <v>195271</v>
      </c>
      <c r="B455" s="319" t="s">
        <v>787</v>
      </c>
      <c r="C455" s="331">
        <v>616</v>
      </c>
      <c r="D455" s="331">
        <v>934</v>
      </c>
      <c r="E455" s="331">
        <v>1550</v>
      </c>
      <c r="F455" s="331">
        <v>19566009</v>
      </c>
      <c r="G455" s="331">
        <v>30957580</v>
      </c>
      <c r="H455" s="331">
        <v>50523590</v>
      </c>
      <c r="I455" s="331">
        <v>423040</v>
      </c>
      <c r="J455" s="319" t="s">
        <v>181</v>
      </c>
      <c r="K455" s="319" t="s">
        <v>771</v>
      </c>
      <c r="L455" s="319" t="s">
        <v>540</v>
      </c>
      <c r="M455" s="319" t="s">
        <v>68</v>
      </c>
      <c r="N455" s="2"/>
      <c r="O455" s="4"/>
    </row>
    <row r="456" spans="1:15" ht="15" x14ac:dyDescent="0.25">
      <c r="A456" s="320">
        <v>352468</v>
      </c>
      <c r="B456" s="319" t="s">
        <v>396</v>
      </c>
      <c r="C456" s="331">
        <v>717</v>
      </c>
      <c r="D456" s="331">
        <v>775</v>
      </c>
      <c r="E456" s="331">
        <v>1492</v>
      </c>
      <c r="F456" s="331">
        <v>34681090</v>
      </c>
      <c r="G456" s="331">
        <v>42220688</v>
      </c>
      <c r="H456" s="331">
        <v>76901778</v>
      </c>
      <c r="I456" s="331">
        <v>-708569</v>
      </c>
      <c r="J456" s="319" t="s">
        <v>181</v>
      </c>
      <c r="K456" s="319" t="s">
        <v>771</v>
      </c>
      <c r="L456" s="319" t="s">
        <v>774</v>
      </c>
      <c r="M456" s="319" t="s">
        <v>68</v>
      </c>
      <c r="N456" s="2"/>
      <c r="O456" s="4"/>
    </row>
    <row r="457" spans="1:15" ht="15" x14ac:dyDescent="0.25">
      <c r="A457" s="320">
        <v>708107</v>
      </c>
      <c r="B457" s="319" t="s">
        <v>1154</v>
      </c>
      <c r="C457" s="331">
        <v>761</v>
      </c>
      <c r="D457" s="331">
        <v>730</v>
      </c>
      <c r="E457" s="331">
        <v>1491</v>
      </c>
      <c r="F457" s="331">
        <v>124272440</v>
      </c>
      <c r="G457" s="331">
        <v>135079186</v>
      </c>
      <c r="H457" s="331">
        <v>259351626</v>
      </c>
      <c r="I457" s="331">
        <v>-2120827</v>
      </c>
      <c r="J457" s="319" t="s">
        <v>181</v>
      </c>
      <c r="K457" s="319" t="s">
        <v>771</v>
      </c>
      <c r="L457" s="319" t="s">
        <v>287</v>
      </c>
      <c r="M457" s="319" t="s">
        <v>68</v>
      </c>
      <c r="N457" s="2"/>
      <c r="O457" s="4"/>
    </row>
    <row r="458" spans="1:15" ht="15" x14ac:dyDescent="0.25">
      <c r="A458" s="320">
        <v>532325</v>
      </c>
      <c r="B458" s="319" t="s">
        <v>621</v>
      </c>
      <c r="C458" s="331">
        <v>694</v>
      </c>
      <c r="D458" s="331">
        <v>796</v>
      </c>
      <c r="E458" s="331">
        <v>1490</v>
      </c>
      <c r="F458" s="331">
        <v>29750162</v>
      </c>
      <c r="G458" s="331">
        <v>41902286</v>
      </c>
      <c r="H458" s="331">
        <v>71652448</v>
      </c>
      <c r="I458" s="331">
        <v>-1895110</v>
      </c>
      <c r="J458" s="319" t="s">
        <v>181</v>
      </c>
      <c r="K458" s="319" t="s">
        <v>771</v>
      </c>
      <c r="L458" s="319" t="s">
        <v>620</v>
      </c>
      <c r="M458" s="319" t="s">
        <v>68</v>
      </c>
      <c r="N458" s="2"/>
      <c r="O458" s="4"/>
    </row>
    <row r="459" spans="1:15" ht="15" x14ac:dyDescent="0.25">
      <c r="A459" s="320">
        <v>539585</v>
      </c>
      <c r="B459" s="319" t="s">
        <v>1020</v>
      </c>
      <c r="C459" s="331">
        <v>627</v>
      </c>
      <c r="D459" s="331">
        <v>862</v>
      </c>
      <c r="E459" s="331">
        <v>1489</v>
      </c>
      <c r="F459" s="331">
        <v>22925640</v>
      </c>
      <c r="G459" s="331">
        <v>39125536</v>
      </c>
      <c r="H459" s="331">
        <v>62051176</v>
      </c>
      <c r="I459" s="331">
        <v>-3359694</v>
      </c>
      <c r="J459" s="319" t="s">
        <v>321</v>
      </c>
      <c r="K459" s="319" t="s">
        <v>771</v>
      </c>
      <c r="L459" s="319" t="s">
        <v>381</v>
      </c>
      <c r="M459" s="319" t="s">
        <v>68</v>
      </c>
      <c r="N459" s="2"/>
      <c r="O459" s="4"/>
    </row>
    <row r="460" spans="1:15" ht="15" customHeight="1" x14ac:dyDescent="0.25">
      <c r="A460" s="320">
        <v>189258</v>
      </c>
      <c r="B460" s="319" t="s">
        <v>692</v>
      </c>
      <c r="C460" s="331">
        <v>633</v>
      </c>
      <c r="D460" s="331">
        <v>855</v>
      </c>
      <c r="E460" s="331">
        <v>1488</v>
      </c>
      <c r="F460" s="331">
        <v>26569077</v>
      </c>
      <c r="G460" s="331">
        <v>45470100</v>
      </c>
      <c r="H460" s="331">
        <v>72039176</v>
      </c>
      <c r="I460" s="331">
        <v>160939</v>
      </c>
      <c r="J460" s="319" t="s">
        <v>1045</v>
      </c>
      <c r="K460" s="319" t="s">
        <v>771</v>
      </c>
      <c r="L460" s="319" t="s">
        <v>955</v>
      </c>
      <c r="M460" s="319" t="s">
        <v>68</v>
      </c>
      <c r="N460" s="2"/>
      <c r="O460" s="4"/>
    </row>
    <row r="461" spans="1:15" ht="15" x14ac:dyDescent="0.25">
      <c r="A461" s="320">
        <v>989491</v>
      </c>
      <c r="B461" s="319" t="s">
        <v>599</v>
      </c>
      <c r="C461" s="331">
        <v>688</v>
      </c>
      <c r="D461" s="331">
        <v>798</v>
      </c>
      <c r="E461" s="331">
        <v>1486</v>
      </c>
      <c r="F461" s="331">
        <v>24292312</v>
      </c>
      <c r="G461" s="331">
        <v>31719596</v>
      </c>
      <c r="H461" s="331">
        <v>56011909</v>
      </c>
      <c r="I461" s="331">
        <v>-638783</v>
      </c>
      <c r="J461" s="319" t="s">
        <v>181</v>
      </c>
      <c r="K461" s="319" t="s">
        <v>771</v>
      </c>
      <c r="L461" s="319" t="s">
        <v>542</v>
      </c>
      <c r="M461" s="319" t="s">
        <v>68</v>
      </c>
      <c r="N461" s="2"/>
      <c r="O461" s="4"/>
    </row>
    <row r="462" spans="1:15" ht="15" x14ac:dyDescent="0.25">
      <c r="A462" s="320">
        <v>742106</v>
      </c>
      <c r="B462" s="319" t="s">
        <v>1056</v>
      </c>
      <c r="C462" s="331">
        <v>575</v>
      </c>
      <c r="D462" s="331">
        <v>907</v>
      </c>
      <c r="E462" s="331">
        <v>1482</v>
      </c>
      <c r="F462" s="331">
        <v>32294552</v>
      </c>
      <c r="G462" s="331">
        <v>61457483</v>
      </c>
      <c r="H462" s="331">
        <v>93752034</v>
      </c>
      <c r="I462" s="331">
        <v>10313311</v>
      </c>
      <c r="J462" s="319" t="s">
        <v>295</v>
      </c>
      <c r="K462" s="319" t="s">
        <v>771</v>
      </c>
      <c r="L462" s="319" t="s">
        <v>171</v>
      </c>
      <c r="M462" s="319" t="s">
        <v>154</v>
      </c>
      <c r="N462" s="2"/>
      <c r="O462" s="4"/>
    </row>
    <row r="463" spans="1:15" s="141" customFormat="1" ht="15" x14ac:dyDescent="0.25">
      <c r="A463" s="399">
        <v>537696</v>
      </c>
      <c r="B463" s="402" t="s">
        <v>269</v>
      </c>
      <c r="C463" s="401">
        <v>788</v>
      </c>
      <c r="D463" s="401">
        <v>667</v>
      </c>
      <c r="E463" s="401">
        <v>1455</v>
      </c>
      <c r="F463" s="401">
        <v>67054765</v>
      </c>
      <c r="G463" s="401">
        <v>62973379</v>
      </c>
      <c r="H463" s="401">
        <v>130028144</v>
      </c>
      <c r="I463" s="401">
        <v>2663614</v>
      </c>
      <c r="J463" s="402" t="s">
        <v>1022</v>
      </c>
      <c r="K463" s="402" t="s">
        <v>765</v>
      </c>
      <c r="L463" s="402" t="s">
        <v>209</v>
      </c>
      <c r="M463" s="402" t="s">
        <v>68</v>
      </c>
      <c r="N463" s="20"/>
    </row>
    <row r="464" spans="1:15" ht="15" x14ac:dyDescent="0.25">
      <c r="A464" s="320">
        <v>170423</v>
      </c>
      <c r="B464" s="319" t="s">
        <v>575</v>
      </c>
      <c r="C464" s="331">
        <v>639</v>
      </c>
      <c r="D464" s="331">
        <v>786</v>
      </c>
      <c r="E464" s="331">
        <v>1425</v>
      </c>
      <c r="F464" s="331">
        <v>38559651</v>
      </c>
      <c r="G464" s="331">
        <v>56132651</v>
      </c>
      <c r="H464" s="331">
        <v>94692302</v>
      </c>
      <c r="I464" s="331">
        <v>-987326</v>
      </c>
      <c r="J464" s="319" t="s">
        <v>219</v>
      </c>
      <c r="K464" s="319" t="s">
        <v>771</v>
      </c>
      <c r="L464" s="319" t="s">
        <v>237</v>
      </c>
      <c r="M464" s="319" t="s">
        <v>154</v>
      </c>
      <c r="N464" s="2"/>
      <c r="O464" s="4"/>
    </row>
    <row r="465" spans="1:15" ht="15" x14ac:dyDescent="0.25">
      <c r="A465" s="320">
        <v>722454</v>
      </c>
      <c r="B465" s="275" t="s">
        <v>490</v>
      </c>
      <c r="C465" s="331">
        <v>715</v>
      </c>
      <c r="D465" s="331">
        <v>695</v>
      </c>
      <c r="E465" s="331">
        <v>1410</v>
      </c>
      <c r="F465" s="331">
        <v>21994722</v>
      </c>
      <c r="G465" s="331">
        <v>25600974</v>
      </c>
      <c r="H465" s="331">
        <v>47595696</v>
      </c>
      <c r="I465" s="331">
        <v>-518444</v>
      </c>
      <c r="J465" s="275" t="s">
        <v>1041</v>
      </c>
      <c r="K465" s="275" t="s">
        <v>768</v>
      </c>
      <c r="L465" s="275" t="s">
        <v>751</v>
      </c>
      <c r="M465" s="275" t="s">
        <v>68</v>
      </c>
      <c r="N465" s="2"/>
      <c r="O465" s="4"/>
    </row>
    <row r="466" spans="1:15" ht="15" customHeight="1" x14ac:dyDescent="0.25">
      <c r="A466" s="320">
        <v>309492</v>
      </c>
      <c r="B466" s="319" t="s">
        <v>681</v>
      </c>
      <c r="C466" s="331">
        <v>571</v>
      </c>
      <c r="D466" s="331">
        <v>816</v>
      </c>
      <c r="E466" s="331">
        <v>1387</v>
      </c>
      <c r="F466" s="331">
        <v>22283536</v>
      </c>
      <c r="G466" s="331">
        <v>40460648</v>
      </c>
      <c r="H466" s="331">
        <v>62744185</v>
      </c>
      <c r="I466" s="331">
        <v>-2842480</v>
      </c>
      <c r="J466" s="319" t="s">
        <v>215</v>
      </c>
      <c r="K466" s="319" t="s">
        <v>771</v>
      </c>
      <c r="L466" s="319" t="s">
        <v>840</v>
      </c>
      <c r="M466" s="319" t="s">
        <v>68</v>
      </c>
      <c r="N466" s="2"/>
      <c r="O466" s="4"/>
    </row>
    <row r="467" spans="1:15" ht="15" x14ac:dyDescent="0.25">
      <c r="A467" s="320">
        <v>789032</v>
      </c>
      <c r="B467" s="319" t="s">
        <v>666</v>
      </c>
      <c r="C467" s="331">
        <v>416</v>
      </c>
      <c r="D467" s="331">
        <v>970</v>
      </c>
      <c r="E467" s="331">
        <v>1386</v>
      </c>
      <c r="F467" s="331">
        <v>23327862</v>
      </c>
      <c r="G467" s="331">
        <v>69064517</v>
      </c>
      <c r="H467" s="331">
        <v>92392379</v>
      </c>
      <c r="I467" s="331">
        <v>-51333666</v>
      </c>
      <c r="J467" s="319" t="s">
        <v>321</v>
      </c>
      <c r="K467" s="319" t="s">
        <v>771</v>
      </c>
      <c r="L467" s="319" t="s">
        <v>971</v>
      </c>
      <c r="M467" s="319" t="s">
        <v>68</v>
      </c>
      <c r="N467" s="2"/>
      <c r="O467" s="4"/>
    </row>
    <row r="468" spans="1:15" ht="15" x14ac:dyDescent="0.25">
      <c r="A468" s="320">
        <v>992099</v>
      </c>
      <c r="B468" s="319" t="s">
        <v>928</v>
      </c>
      <c r="C468" s="331">
        <v>597</v>
      </c>
      <c r="D468" s="331">
        <v>787</v>
      </c>
      <c r="E468" s="331">
        <v>1384</v>
      </c>
      <c r="F468" s="331">
        <v>25341307</v>
      </c>
      <c r="G468" s="331">
        <v>42810142</v>
      </c>
      <c r="H468" s="331">
        <v>68151449</v>
      </c>
      <c r="I468" s="331">
        <v>-284920</v>
      </c>
      <c r="J468" s="319" t="s">
        <v>1048</v>
      </c>
      <c r="K468" s="319" t="s">
        <v>771</v>
      </c>
      <c r="L468" s="319" t="s">
        <v>773</v>
      </c>
      <c r="M468" s="319" t="s">
        <v>68</v>
      </c>
      <c r="N468" s="2"/>
      <c r="O468" s="4"/>
    </row>
    <row r="469" spans="1:15" ht="15" x14ac:dyDescent="0.25">
      <c r="A469" s="320">
        <v>707638</v>
      </c>
      <c r="B469" s="319" t="s">
        <v>830</v>
      </c>
      <c r="C469" s="331">
        <v>677</v>
      </c>
      <c r="D469" s="331">
        <v>690</v>
      </c>
      <c r="E469" s="331">
        <v>1367</v>
      </c>
      <c r="F469" s="331">
        <v>20728997</v>
      </c>
      <c r="G469" s="331">
        <v>24539922</v>
      </c>
      <c r="H469" s="331">
        <v>45268919</v>
      </c>
      <c r="I469" s="331">
        <v>-93626</v>
      </c>
      <c r="J469" s="319" t="s">
        <v>215</v>
      </c>
      <c r="K469" s="319" t="s">
        <v>771</v>
      </c>
      <c r="L469" s="319" t="s">
        <v>749</v>
      </c>
      <c r="M469" s="319" t="s">
        <v>68</v>
      </c>
      <c r="N469" s="2"/>
      <c r="O469" s="4"/>
    </row>
    <row r="470" spans="1:15" ht="15" x14ac:dyDescent="0.25">
      <c r="A470" s="320">
        <v>159798</v>
      </c>
      <c r="B470" s="319" t="s">
        <v>712</v>
      </c>
      <c r="C470" s="331">
        <v>493</v>
      </c>
      <c r="D470" s="331">
        <v>869</v>
      </c>
      <c r="E470" s="331">
        <v>1362</v>
      </c>
      <c r="F470" s="331">
        <v>80321955</v>
      </c>
      <c r="G470" s="331">
        <v>167272900</v>
      </c>
      <c r="H470" s="331">
        <v>247594855</v>
      </c>
      <c r="I470" s="331">
        <v>-3279700</v>
      </c>
      <c r="J470" s="319" t="s">
        <v>1023</v>
      </c>
      <c r="K470" s="319" t="s">
        <v>768</v>
      </c>
      <c r="L470" s="319" t="s">
        <v>755</v>
      </c>
      <c r="M470" s="319" t="s">
        <v>154</v>
      </c>
      <c r="N470" s="2"/>
      <c r="O470" s="4"/>
    </row>
    <row r="471" spans="1:15" ht="15" customHeight="1" x14ac:dyDescent="0.25">
      <c r="A471" s="320">
        <v>623108</v>
      </c>
      <c r="B471" s="319" t="s">
        <v>895</v>
      </c>
      <c r="C471" s="331">
        <v>778</v>
      </c>
      <c r="D471" s="331">
        <v>568</v>
      </c>
      <c r="E471" s="331">
        <v>1346</v>
      </c>
      <c r="F471" s="331">
        <v>136080488</v>
      </c>
      <c r="G471" s="331">
        <v>108892000</v>
      </c>
      <c r="H471" s="331">
        <v>244972488</v>
      </c>
      <c r="I471" s="331">
        <v>-7766153</v>
      </c>
      <c r="J471" s="319" t="s">
        <v>181</v>
      </c>
      <c r="K471" s="319" t="s">
        <v>771</v>
      </c>
      <c r="L471" s="319" t="s">
        <v>807</v>
      </c>
      <c r="M471" s="319" t="s">
        <v>68</v>
      </c>
      <c r="N471" s="2"/>
      <c r="O471" s="4"/>
    </row>
    <row r="472" spans="1:15" ht="15" x14ac:dyDescent="0.25">
      <c r="A472" s="320">
        <v>647487</v>
      </c>
      <c r="B472" s="319" t="s">
        <v>545</v>
      </c>
      <c r="C472" s="331">
        <v>528</v>
      </c>
      <c r="D472" s="331">
        <v>815</v>
      </c>
      <c r="E472" s="331">
        <v>1343</v>
      </c>
      <c r="F472" s="331">
        <v>33272857</v>
      </c>
      <c r="G472" s="331">
        <v>60259061</v>
      </c>
      <c r="H472" s="331">
        <v>93531918</v>
      </c>
      <c r="I472" s="331">
        <v>-1116353</v>
      </c>
      <c r="J472" s="319" t="s">
        <v>219</v>
      </c>
      <c r="K472" s="319" t="s">
        <v>771</v>
      </c>
      <c r="L472" s="319" t="s">
        <v>229</v>
      </c>
      <c r="M472" s="319" t="s">
        <v>154</v>
      </c>
      <c r="N472" s="2"/>
      <c r="O472" s="4"/>
    </row>
    <row r="473" spans="1:15" ht="15" x14ac:dyDescent="0.25">
      <c r="A473" s="320">
        <v>785907</v>
      </c>
      <c r="B473" s="319" t="s">
        <v>281</v>
      </c>
      <c r="C473" s="331">
        <v>694</v>
      </c>
      <c r="D473" s="331">
        <v>647</v>
      </c>
      <c r="E473" s="331">
        <v>1341</v>
      </c>
      <c r="F473" s="331">
        <v>43300183</v>
      </c>
      <c r="G473" s="331">
        <v>49953665</v>
      </c>
      <c r="H473" s="331">
        <v>93253848</v>
      </c>
      <c r="I473" s="331">
        <v>-1405263</v>
      </c>
      <c r="J473" s="319" t="s">
        <v>181</v>
      </c>
      <c r="K473" s="319" t="s">
        <v>771</v>
      </c>
      <c r="L473" s="319" t="s">
        <v>158</v>
      </c>
      <c r="M473" s="319" t="s">
        <v>68</v>
      </c>
      <c r="N473" s="2"/>
      <c r="O473" s="4"/>
    </row>
    <row r="474" spans="1:15" ht="15" x14ac:dyDescent="0.25">
      <c r="A474" s="320">
        <v>447086</v>
      </c>
      <c r="B474" s="319" t="s">
        <v>487</v>
      </c>
      <c r="C474" s="331">
        <v>649</v>
      </c>
      <c r="D474" s="331">
        <v>673</v>
      </c>
      <c r="E474" s="331">
        <v>1322</v>
      </c>
      <c r="F474" s="331">
        <v>50985201</v>
      </c>
      <c r="G474" s="331">
        <v>49968821</v>
      </c>
      <c r="H474" s="331">
        <v>100954022</v>
      </c>
      <c r="I474" s="331">
        <v>51490</v>
      </c>
      <c r="J474" s="319" t="s">
        <v>1035</v>
      </c>
      <c r="K474" s="319" t="s">
        <v>768</v>
      </c>
      <c r="L474" s="319" t="s">
        <v>867</v>
      </c>
      <c r="M474" s="319" t="s">
        <v>154</v>
      </c>
      <c r="N474" s="2"/>
      <c r="O474" s="4"/>
    </row>
    <row r="475" spans="1:15" ht="15" x14ac:dyDescent="0.25">
      <c r="A475" s="320">
        <v>426726</v>
      </c>
      <c r="B475" s="319" t="s">
        <v>299</v>
      </c>
      <c r="C475" s="331">
        <v>670</v>
      </c>
      <c r="D475" s="331">
        <v>651</v>
      </c>
      <c r="E475" s="331">
        <v>1321</v>
      </c>
      <c r="F475" s="331">
        <v>20907036</v>
      </c>
      <c r="G475" s="331">
        <v>25464672</v>
      </c>
      <c r="H475" s="331">
        <v>46371708</v>
      </c>
      <c r="I475" s="331">
        <v>-822133</v>
      </c>
      <c r="J475" s="319" t="s">
        <v>1043</v>
      </c>
      <c r="K475" s="319" t="s">
        <v>772</v>
      </c>
      <c r="L475" s="319" t="s">
        <v>198</v>
      </c>
      <c r="M475" s="319" t="s">
        <v>68</v>
      </c>
      <c r="N475" s="2"/>
      <c r="O475" s="4"/>
    </row>
    <row r="476" spans="1:15" ht="15" x14ac:dyDescent="0.25">
      <c r="A476" s="320">
        <v>874503</v>
      </c>
      <c r="B476" s="319" t="s">
        <v>972</v>
      </c>
      <c r="C476" s="331">
        <v>367</v>
      </c>
      <c r="D476" s="331">
        <v>952</v>
      </c>
      <c r="E476" s="331">
        <v>1319</v>
      </c>
      <c r="F476" s="331">
        <v>17797699</v>
      </c>
      <c r="G476" s="331">
        <v>57111941</v>
      </c>
      <c r="H476" s="331">
        <v>74909640</v>
      </c>
      <c r="I476" s="331">
        <v>2730351</v>
      </c>
      <c r="J476" s="319" t="s">
        <v>219</v>
      </c>
      <c r="K476" s="319" t="s">
        <v>771</v>
      </c>
      <c r="L476" s="319" t="s">
        <v>244</v>
      </c>
      <c r="M476" s="319" t="s">
        <v>154</v>
      </c>
      <c r="N476" s="2"/>
      <c r="O476" s="4"/>
    </row>
    <row r="477" spans="1:15" ht="15" x14ac:dyDescent="0.25">
      <c r="A477" s="320">
        <v>119891</v>
      </c>
      <c r="B477" s="319" t="s">
        <v>526</v>
      </c>
      <c r="C477" s="331">
        <v>497</v>
      </c>
      <c r="D477" s="331">
        <v>813</v>
      </c>
      <c r="E477" s="331">
        <v>1310</v>
      </c>
      <c r="F477" s="331">
        <v>29250754</v>
      </c>
      <c r="G477" s="331">
        <v>55173919</v>
      </c>
      <c r="H477" s="331">
        <v>84424673</v>
      </c>
      <c r="I477" s="331">
        <v>7260900</v>
      </c>
      <c r="J477" s="319" t="s">
        <v>219</v>
      </c>
      <c r="K477" s="319" t="s">
        <v>771</v>
      </c>
      <c r="L477" s="319" t="s">
        <v>164</v>
      </c>
      <c r="M477" s="319" t="s">
        <v>154</v>
      </c>
      <c r="N477" s="2"/>
      <c r="O477" s="4"/>
    </row>
    <row r="478" spans="1:15" ht="15" x14ac:dyDescent="0.25">
      <c r="A478" s="320">
        <v>673699</v>
      </c>
      <c r="B478" s="319" t="s">
        <v>984</v>
      </c>
      <c r="C478" s="331">
        <v>448</v>
      </c>
      <c r="D478" s="331">
        <v>848</v>
      </c>
      <c r="E478" s="331">
        <v>1296</v>
      </c>
      <c r="F478" s="331">
        <v>19552834</v>
      </c>
      <c r="G478" s="331">
        <v>49803973</v>
      </c>
      <c r="H478" s="331">
        <v>69356808</v>
      </c>
      <c r="I478" s="331">
        <v>15412404</v>
      </c>
      <c r="J478" s="319" t="s">
        <v>342</v>
      </c>
      <c r="K478" s="319" t="s">
        <v>771</v>
      </c>
      <c r="L478" s="319" t="s">
        <v>608</v>
      </c>
      <c r="M478" s="319" t="s">
        <v>68</v>
      </c>
      <c r="N478" s="2"/>
      <c r="O478" s="4"/>
    </row>
    <row r="479" spans="1:15" ht="15" x14ac:dyDescent="0.25">
      <c r="A479" s="320">
        <v>197517</v>
      </c>
      <c r="B479" s="319" t="s">
        <v>623</v>
      </c>
      <c r="C479" s="331">
        <v>673</v>
      </c>
      <c r="D479" s="331">
        <v>620</v>
      </c>
      <c r="E479" s="331">
        <v>1293</v>
      </c>
      <c r="F479" s="331">
        <v>38490513</v>
      </c>
      <c r="G479" s="331">
        <v>42581933</v>
      </c>
      <c r="H479" s="331">
        <v>81072446</v>
      </c>
      <c r="I479" s="331">
        <v>-289631</v>
      </c>
      <c r="J479" s="319" t="s">
        <v>1047</v>
      </c>
      <c r="K479" s="319" t="s">
        <v>771</v>
      </c>
      <c r="L479" s="319" t="s">
        <v>749</v>
      </c>
      <c r="M479" s="319" t="s">
        <v>68</v>
      </c>
      <c r="N479" s="2"/>
      <c r="O479" s="4"/>
    </row>
    <row r="480" spans="1:15" ht="15" x14ac:dyDescent="0.25">
      <c r="A480" s="320">
        <v>293498</v>
      </c>
      <c r="B480" s="319" t="s">
        <v>673</v>
      </c>
      <c r="C480" s="331">
        <v>583</v>
      </c>
      <c r="D480" s="331">
        <v>707</v>
      </c>
      <c r="E480" s="331">
        <v>1290</v>
      </c>
      <c r="F480" s="331">
        <v>10508220</v>
      </c>
      <c r="G480" s="331">
        <v>21872847</v>
      </c>
      <c r="H480" s="331">
        <v>32381067</v>
      </c>
      <c r="I480" s="331">
        <v>-6271855</v>
      </c>
      <c r="J480" s="319" t="s">
        <v>1048</v>
      </c>
      <c r="K480" s="319" t="s">
        <v>771</v>
      </c>
      <c r="L480" s="319" t="s">
        <v>826</v>
      </c>
      <c r="M480" s="319" t="s">
        <v>154</v>
      </c>
      <c r="N480" s="2"/>
      <c r="O480" s="4"/>
    </row>
    <row r="481" spans="1:15" ht="15" x14ac:dyDescent="0.25">
      <c r="A481" s="320">
        <v>186478</v>
      </c>
      <c r="B481" s="319" t="s">
        <v>859</v>
      </c>
      <c r="C481" s="331">
        <v>318</v>
      </c>
      <c r="D481" s="331">
        <v>956</v>
      </c>
      <c r="E481" s="331">
        <v>1274</v>
      </c>
      <c r="F481" s="331">
        <v>15936841</v>
      </c>
      <c r="G481" s="331">
        <v>76662965</v>
      </c>
      <c r="H481" s="331">
        <v>92599806</v>
      </c>
      <c r="I481" s="331">
        <v>-14086857</v>
      </c>
      <c r="J481" s="319" t="s">
        <v>289</v>
      </c>
      <c r="K481" s="319" t="s">
        <v>771</v>
      </c>
      <c r="L481" s="319" t="s">
        <v>229</v>
      </c>
      <c r="M481" s="319" t="s">
        <v>154</v>
      </c>
      <c r="N481" s="2"/>
      <c r="O481" s="4"/>
    </row>
    <row r="482" spans="1:15" ht="15" x14ac:dyDescent="0.25">
      <c r="A482" s="320">
        <v>322479</v>
      </c>
      <c r="B482" s="319" t="s">
        <v>1150</v>
      </c>
      <c r="C482" s="331">
        <v>531</v>
      </c>
      <c r="D482" s="331">
        <v>729</v>
      </c>
      <c r="E482" s="331">
        <v>1260</v>
      </c>
      <c r="F482" s="331">
        <v>16788696</v>
      </c>
      <c r="G482" s="331">
        <v>28083262</v>
      </c>
      <c r="H482" s="331">
        <v>44871958</v>
      </c>
      <c r="I482" s="331">
        <v>-140185</v>
      </c>
      <c r="J482" s="319" t="s">
        <v>215</v>
      </c>
      <c r="K482" s="319" t="s">
        <v>771</v>
      </c>
      <c r="L482" s="319" t="s">
        <v>751</v>
      </c>
      <c r="M482" s="319" t="s">
        <v>68</v>
      </c>
      <c r="N482" s="2"/>
      <c r="O482" s="4"/>
    </row>
    <row r="483" spans="1:15" ht="15" x14ac:dyDescent="0.25">
      <c r="A483" s="320">
        <v>574582</v>
      </c>
      <c r="B483" s="319" t="s">
        <v>197</v>
      </c>
      <c r="C483" s="331">
        <v>656</v>
      </c>
      <c r="D483" s="331">
        <v>596</v>
      </c>
      <c r="E483" s="331">
        <v>1252</v>
      </c>
      <c r="F483" s="331">
        <v>16569507</v>
      </c>
      <c r="G483" s="331">
        <v>21037668</v>
      </c>
      <c r="H483" s="331">
        <v>37607176</v>
      </c>
      <c r="I483" s="331">
        <v>-174912</v>
      </c>
      <c r="J483" s="319" t="s">
        <v>1044</v>
      </c>
      <c r="K483" s="319" t="s">
        <v>772</v>
      </c>
      <c r="L483" s="319" t="s">
        <v>198</v>
      </c>
      <c r="M483" s="319" t="s">
        <v>68</v>
      </c>
      <c r="N483" s="2"/>
      <c r="O483" s="4"/>
    </row>
    <row r="484" spans="1:15" ht="15" x14ac:dyDescent="0.25">
      <c r="A484" s="320">
        <v>203182</v>
      </c>
      <c r="B484" s="319" t="s">
        <v>1039</v>
      </c>
      <c r="C484" s="331">
        <v>526</v>
      </c>
      <c r="D484" s="331">
        <v>725</v>
      </c>
      <c r="E484" s="331">
        <v>1251</v>
      </c>
      <c r="F484" s="331">
        <v>22997263</v>
      </c>
      <c r="G484" s="331">
        <v>40862569</v>
      </c>
      <c r="H484" s="331">
        <v>63859832</v>
      </c>
      <c r="I484" s="331">
        <v>8315943</v>
      </c>
      <c r="J484" s="319" t="s">
        <v>201</v>
      </c>
      <c r="K484" s="319" t="s">
        <v>771</v>
      </c>
      <c r="L484" s="319" t="s">
        <v>194</v>
      </c>
      <c r="M484" s="319" t="s">
        <v>154</v>
      </c>
      <c r="N484" s="2"/>
      <c r="O484" s="4"/>
    </row>
    <row r="485" spans="1:15" ht="15" x14ac:dyDescent="0.25">
      <c r="A485" s="320">
        <v>625236</v>
      </c>
      <c r="B485" s="319" t="s">
        <v>782</v>
      </c>
      <c r="C485" s="331">
        <v>480</v>
      </c>
      <c r="D485" s="331">
        <v>766</v>
      </c>
      <c r="E485" s="331">
        <v>1246</v>
      </c>
      <c r="F485" s="331">
        <v>19779086</v>
      </c>
      <c r="G485" s="331">
        <v>41861539</v>
      </c>
      <c r="H485" s="331">
        <v>61640625</v>
      </c>
      <c r="I485" s="331">
        <v>-2038828</v>
      </c>
      <c r="J485" s="319" t="s">
        <v>1047</v>
      </c>
      <c r="K485" s="319" t="s">
        <v>771</v>
      </c>
      <c r="L485" s="319" t="s">
        <v>540</v>
      </c>
      <c r="M485" s="319" t="s">
        <v>68</v>
      </c>
      <c r="N485" s="2"/>
      <c r="O485" s="4"/>
    </row>
    <row r="486" spans="1:15" ht="15" x14ac:dyDescent="0.25">
      <c r="A486" s="320">
        <v>172601</v>
      </c>
      <c r="B486" s="319" t="s">
        <v>1140</v>
      </c>
      <c r="C486" s="331">
        <v>505</v>
      </c>
      <c r="D486" s="331">
        <v>727</v>
      </c>
      <c r="E486" s="331">
        <v>1232</v>
      </c>
      <c r="F486" s="331">
        <v>105682028</v>
      </c>
      <c r="G486" s="331">
        <v>164721968</v>
      </c>
      <c r="H486" s="331">
        <v>270403995</v>
      </c>
      <c r="I486" s="331">
        <v>-2338951</v>
      </c>
      <c r="J486" s="319" t="s">
        <v>1041</v>
      </c>
      <c r="K486" s="319" t="s">
        <v>768</v>
      </c>
      <c r="L486" s="319" t="s">
        <v>615</v>
      </c>
      <c r="M486" s="319" t="s">
        <v>154</v>
      </c>
      <c r="N486" s="2"/>
      <c r="O486" s="4"/>
    </row>
    <row r="487" spans="1:15" ht="15" x14ac:dyDescent="0.25">
      <c r="A487" s="320">
        <v>972901</v>
      </c>
      <c r="B487" s="319" t="s">
        <v>882</v>
      </c>
      <c r="C487" s="331">
        <v>604</v>
      </c>
      <c r="D487" s="331">
        <v>588</v>
      </c>
      <c r="E487" s="331">
        <v>1192</v>
      </c>
      <c r="F487" s="331">
        <v>28972048</v>
      </c>
      <c r="G487" s="331">
        <v>34631934</v>
      </c>
      <c r="H487" s="331">
        <v>63603983</v>
      </c>
      <c r="I487" s="331">
        <v>-108602</v>
      </c>
      <c r="J487" s="319" t="s">
        <v>219</v>
      </c>
      <c r="K487" s="319" t="s">
        <v>771</v>
      </c>
      <c r="L487" s="319" t="s">
        <v>284</v>
      </c>
      <c r="M487" s="319" t="s">
        <v>154</v>
      </c>
      <c r="N487" s="2"/>
      <c r="O487" s="4"/>
    </row>
    <row r="488" spans="1:15" ht="15" x14ac:dyDescent="0.25">
      <c r="A488" s="320">
        <v>401695</v>
      </c>
      <c r="B488" s="319" t="s">
        <v>921</v>
      </c>
      <c r="C488" s="331">
        <v>481</v>
      </c>
      <c r="D488" s="331">
        <v>711</v>
      </c>
      <c r="E488" s="331">
        <v>1192</v>
      </c>
      <c r="F488" s="331">
        <v>26199126</v>
      </c>
      <c r="G488" s="331">
        <v>45413206</v>
      </c>
      <c r="H488" s="331">
        <v>71612332</v>
      </c>
      <c r="I488" s="331">
        <v>315883</v>
      </c>
      <c r="J488" s="319" t="s">
        <v>253</v>
      </c>
      <c r="K488" s="319" t="s">
        <v>771</v>
      </c>
      <c r="L488" s="319" t="s">
        <v>773</v>
      </c>
      <c r="M488" s="319" t="s">
        <v>68</v>
      </c>
      <c r="N488" s="2"/>
      <c r="O488" s="4"/>
    </row>
    <row r="489" spans="1:15" ht="15" customHeight="1" x14ac:dyDescent="0.25">
      <c r="A489" s="320">
        <v>549972</v>
      </c>
      <c r="B489" s="319" t="s">
        <v>359</v>
      </c>
      <c r="C489" s="331">
        <v>472</v>
      </c>
      <c r="D489" s="331">
        <v>709</v>
      </c>
      <c r="E489" s="331">
        <v>1181</v>
      </c>
      <c r="F489" s="331">
        <v>28636090</v>
      </c>
      <c r="G489" s="331">
        <v>49076854</v>
      </c>
      <c r="H489" s="331">
        <v>77712943</v>
      </c>
      <c r="I489" s="331">
        <v>-588289</v>
      </c>
      <c r="J489" s="319" t="s">
        <v>1043</v>
      </c>
      <c r="K489" s="319" t="s">
        <v>772</v>
      </c>
      <c r="L489" s="319" t="s">
        <v>198</v>
      </c>
      <c r="M489" s="319" t="s">
        <v>68</v>
      </c>
      <c r="N489" s="2"/>
      <c r="O489" s="4"/>
    </row>
    <row r="490" spans="1:15" ht="15" customHeight="1" x14ac:dyDescent="0.25">
      <c r="A490" s="320">
        <v>780007</v>
      </c>
      <c r="B490" s="319" t="s">
        <v>495</v>
      </c>
      <c r="C490" s="331">
        <v>429</v>
      </c>
      <c r="D490" s="331">
        <v>749</v>
      </c>
      <c r="E490" s="331">
        <v>1178</v>
      </c>
      <c r="F490" s="331">
        <v>24091400</v>
      </c>
      <c r="G490" s="331">
        <v>49305163</v>
      </c>
      <c r="H490" s="331">
        <v>73396563</v>
      </c>
      <c r="I490" s="331">
        <v>-4063398</v>
      </c>
      <c r="J490" s="319" t="s">
        <v>1057</v>
      </c>
      <c r="K490" s="319" t="s">
        <v>771</v>
      </c>
      <c r="L490" s="319" t="s">
        <v>453</v>
      </c>
      <c r="M490" s="319" t="s">
        <v>68</v>
      </c>
      <c r="N490" s="2"/>
      <c r="O490" s="4"/>
    </row>
    <row r="491" spans="1:15" ht="15" customHeight="1" x14ac:dyDescent="0.25">
      <c r="A491" s="320">
        <v>686972</v>
      </c>
      <c r="B491" s="319" t="s">
        <v>763</v>
      </c>
      <c r="C491" s="331">
        <v>449</v>
      </c>
      <c r="D491" s="331">
        <v>726</v>
      </c>
      <c r="E491" s="331">
        <v>1175</v>
      </c>
      <c r="F491" s="331">
        <v>33950607</v>
      </c>
      <c r="G491" s="331">
        <v>75307147</v>
      </c>
      <c r="H491" s="331">
        <v>109257754</v>
      </c>
      <c r="I491" s="331">
        <v>752756</v>
      </c>
      <c r="J491" s="319" t="s">
        <v>295</v>
      </c>
      <c r="K491" s="319" t="s">
        <v>771</v>
      </c>
      <c r="L491" s="319" t="s">
        <v>155</v>
      </c>
      <c r="M491" s="319" t="s">
        <v>154</v>
      </c>
      <c r="N491" s="2"/>
      <c r="O491" s="4"/>
    </row>
    <row r="492" spans="1:15" ht="15" x14ac:dyDescent="0.25">
      <c r="A492" s="320">
        <v>901603</v>
      </c>
      <c r="B492" s="319" t="s">
        <v>743</v>
      </c>
      <c r="C492" s="331">
        <v>635</v>
      </c>
      <c r="D492" s="331">
        <v>537</v>
      </c>
      <c r="E492" s="331">
        <v>1172</v>
      </c>
      <c r="F492" s="331">
        <v>21127778</v>
      </c>
      <c r="G492" s="331">
        <v>23769898</v>
      </c>
      <c r="H492" s="331">
        <v>44897675</v>
      </c>
      <c r="I492" s="331">
        <v>-942313</v>
      </c>
      <c r="J492" s="319" t="s">
        <v>1040</v>
      </c>
      <c r="K492" s="319" t="s">
        <v>772</v>
      </c>
      <c r="L492" s="319" t="s">
        <v>207</v>
      </c>
      <c r="M492" s="319" t="s">
        <v>154</v>
      </c>
      <c r="N492" s="2"/>
      <c r="O492" s="4"/>
    </row>
    <row r="493" spans="1:15" ht="15" x14ac:dyDescent="0.25">
      <c r="A493" s="320">
        <v>356592</v>
      </c>
      <c r="B493" s="319" t="s">
        <v>1127</v>
      </c>
      <c r="C493" s="331">
        <v>759</v>
      </c>
      <c r="D493" s="331">
        <v>402</v>
      </c>
      <c r="E493" s="331">
        <v>1161</v>
      </c>
      <c r="F493" s="331">
        <v>165002857</v>
      </c>
      <c r="G493" s="331">
        <v>95082553</v>
      </c>
      <c r="H493" s="331">
        <v>260085409</v>
      </c>
      <c r="I493" s="331">
        <v>-1300585</v>
      </c>
      <c r="J493" s="319" t="s">
        <v>181</v>
      </c>
      <c r="K493" s="319" t="s">
        <v>771</v>
      </c>
      <c r="L493" s="319" t="s">
        <v>247</v>
      </c>
      <c r="M493" s="319" t="s">
        <v>154</v>
      </c>
      <c r="N493" s="2"/>
      <c r="O493" s="4"/>
    </row>
    <row r="494" spans="1:15" ht="15" x14ac:dyDescent="0.25">
      <c r="A494" s="320">
        <v>442897</v>
      </c>
      <c r="B494" s="319" t="s">
        <v>179</v>
      </c>
      <c r="C494" s="331">
        <v>527</v>
      </c>
      <c r="D494" s="331">
        <v>630</v>
      </c>
      <c r="E494" s="331">
        <v>1157</v>
      </c>
      <c r="F494" s="331">
        <v>30824673</v>
      </c>
      <c r="G494" s="331">
        <v>53486421</v>
      </c>
      <c r="H494" s="331">
        <v>84311094</v>
      </c>
      <c r="I494" s="331">
        <v>693526</v>
      </c>
      <c r="J494" s="319" t="s">
        <v>1031</v>
      </c>
      <c r="K494" s="319" t="s">
        <v>772</v>
      </c>
      <c r="L494" s="319" t="s">
        <v>178</v>
      </c>
      <c r="M494" s="319" t="s">
        <v>154</v>
      </c>
      <c r="N494" s="2"/>
      <c r="O494" s="4"/>
    </row>
    <row r="495" spans="1:15" ht="15" x14ac:dyDescent="0.25">
      <c r="A495" s="320">
        <v>590463</v>
      </c>
      <c r="B495" s="319" t="s">
        <v>760</v>
      </c>
      <c r="C495" s="331">
        <v>582</v>
      </c>
      <c r="D495" s="331">
        <v>537</v>
      </c>
      <c r="E495" s="331">
        <v>1119</v>
      </c>
      <c r="F495" s="331">
        <v>62549641</v>
      </c>
      <c r="G495" s="331">
        <v>64239371</v>
      </c>
      <c r="H495" s="331">
        <v>126789012</v>
      </c>
      <c r="I495" s="331">
        <v>-1536744</v>
      </c>
      <c r="J495" s="319" t="s">
        <v>1024</v>
      </c>
      <c r="K495" s="319" t="s">
        <v>768</v>
      </c>
      <c r="L495" s="319" t="s">
        <v>155</v>
      </c>
      <c r="M495" s="319" t="s">
        <v>154</v>
      </c>
      <c r="N495" s="2"/>
      <c r="O495" s="4"/>
    </row>
    <row r="496" spans="1:15" ht="15" x14ac:dyDescent="0.25">
      <c r="A496" s="320">
        <v>188300</v>
      </c>
      <c r="B496" s="319" t="s">
        <v>817</v>
      </c>
      <c r="C496" s="331">
        <v>509</v>
      </c>
      <c r="D496" s="331">
        <v>609</v>
      </c>
      <c r="E496" s="331">
        <v>1118</v>
      </c>
      <c r="F496" s="331">
        <v>13076582</v>
      </c>
      <c r="G496" s="331">
        <v>18605931</v>
      </c>
      <c r="H496" s="331">
        <v>31682512</v>
      </c>
      <c r="I496" s="331">
        <v>-267860</v>
      </c>
      <c r="J496" s="319" t="s">
        <v>215</v>
      </c>
      <c r="K496" s="319" t="s">
        <v>771</v>
      </c>
      <c r="L496" s="319" t="s">
        <v>184</v>
      </c>
      <c r="M496" s="319" t="s">
        <v>154</v>
      </c>
      <c r="N496" s="2"/>
      <c r="O496" s="4"/>
    </row>
    <row r="497" spans="1:15" ht="15" x14ac:dyDescent="0.25">
      <c r="A497" s="320">
        <v>144923</v>
      </c>
      <c r="B497" s="319" t="s">
        <v>488</v>
      </c>
      <c r="C497" s="331">
        <v>535</v>
      </c>
      <c r="D497" s="331">
        <v>583</v>
      </c>
      <c r="E497" s="331">
        <v>1118</v>
      </c>
      <c r="F497" s="331">
        <v>23750379</v>
      </c>
      <c r="G497" s="331">
        <v>29037323</v>
      </c>
      <c r="H497" s="331">
        <v>52787703</v>
      </c>
      <c r="I497" s="331">
        <v>-698584</v>
      </c>
      <c r="J497" s="319" t="s">
        <v>215</v>
      </c>
      <c r="K497" s="319" t="s">
        <v>771</v>
      </c>
      <c r="L497" s="319" t="s">
        <v>207</v>
      </c>
      <c r="M497" s="319" t="s">
        <v>154</v>
      </c>
      <c r="N497" s="2"/>
      <c r="O497" s="4"/>
    </row>
    <row r="498" spans="1:15" ht="15" x14ac:dyDescent="0.25">
      <c r="A498" s="320">
        <v>785493</v>
      </c>
      <c r="B498" s="319" t="s">
        <v>633</v>
      </c>
      <c r="C498" s="331">
        <v>476</v>
      </c>
      <c r="D498" s="331">
        <v>638</v>
      </c>
      <c r="E498" s="331">
        <v>1114</v>
      </c>
      <c r="F498" s="331">
        <v>25867178</v>
      </c>
      <c r="G498" s="331">
        <v>43497125</v>
      </c>
      <c r="H498" s="331">
        <v>69364303</v>
      </c>
      <c r="I498" s="331">
        <v>-875900</v>
      </c>
      <c r="J498" s="319" t="s">
        <v>318</v>
      </c>
      <c r="K498" s="319" t="s">
        <v>771</v>
      </c>
      <c r="L498" s="319" t="s">
        <v>629</v>
      </c>
      <c r="M498" s="319" t="s">
        <v>68</v>
      </c>
      <c r="N498" s="2"/>
      <c r="O498" s="4"/>
    </row>
    <row r="499" spans="1:15" ht="15" x14ac:dyDescent="0.25">
      <c r="A499" s="320">
        <v>772038</v>
      </c>
      <c r="B499" s="319" t="s">
        <v>900</v>
      </c>
      <c r="C499" s="331">
        <v>340</v>
      </c>
      <c r="D499" s="331">
        <v>774</v>
      </c>
      <c r="E499" s="331">
        <v>1114</v>
      </c>
      <c r="F499" s="331">
        <v>20579236</v>
      </c>
      <c r="G499" s="331">
        <v>61138905</v>
      </c>
      <c r="H499" s="331">
        <v>81718141</v>
      </c>
      <c r="I499" s="331">
        <v>-34579823</v>
      </c>
      <c r="J499" s="319" t="s">
        <v>321</v>
      </c>
      <c r="K499" s="319" t="s">
        <v>771</v>
      </c>
      <c r="L499" s="319" t="s">
        <v>875</v>
      </c>
      <c r="M499" s="319" t="s">
        <v>68</v>
      </c>
      <c r="N499" s="2"/>
      <c r="O499" s="4"/>
    </row>
    <row r="500" spans="1:15" ht="15" x14ac:dyDescent="0.25">
      <c r="A500" s="320">
        <v>515973</v>
      </c>
      <c r="B500" s="319" t="s">
        <v>1163</v>
      </c>
      <c r="C500" s="331">
        <v>570</v>
      </c>
      <c r="D500" s="331">
        <v>542</v>
      </c>
      <c r="E500" s="331">
        <v>1112</v>
      </c>
      <c r="F500" s="331">
        <v>17365371</v>
      </c>
      <c r="G500" s="331">
        <v>18553754</v>
      </c>
      <c r="H500" s="331">
        <v>35919124</v>
      </c>
      <c r="I500" s="331">
        <v>-643905</v>
      </c>
      <c r="J500" s="319" t="s">
        <v>1038</v>
      </c>
      <c r="K500" s="319" t="s">
        <v>772</v>
      </c>
      <c r="L500" s="319" t="s">
        <v>331</v>
      </c>
      <c r="M500" s="319" t="s">
        <v>68</v>
      </c>
      <c r="N500" s="2"/>
      <c r="O500" s="4"/>
    </row>
    <row r="501" spans="1:15" ht="15" x14ac:dyDescent="0.25">
      <c r="A501" s="320">
        <v>288183</v>
      </c>
      <c r="B501" s="319" t="s">
        <v>683</v>
      </c>
      <c r="C501" s="331">
        <v>506</v>
      </c>
      <c r="D501" s="331">
        <v>606</v>
      </c>
      <c r="E501" s="331">
        <v>1112</v>
      </c>
      <c r="F501" s="331">
        <v>16426547</v>
      </c>
      <c r="G501" s="331">
        <v>23961874</v>
      </c>
      <c r="H501" s="331">
        <v>40388421</v>
      </c>
      <c r="I501" s="331">
        <v>-544572</v>
      </c>
      <c r="J501" s="319" t="s">
        <v>321</v>
      </c>
      <c r="K501" s="319" t="s">
        <v>771</v>
      </c>
      <c r="L501" s="319" t="s">
        <v>504</v>
      </c>
      <c r="M501" s="319" t="s">
        <v>68</v>
      </c>
      <c r="N501" s="2"/>
      <c r="O501" s="4"/>
    </row>
    <row r="502" spans="1:15" ht="15" x14ac:dyDescent="0.25">
      <c r="A502" s="320">
        <v>955435</v>
      </c>
      <c r="B502" s="319" t="s">
        <v>392</v>
      </c>
      <c r="C502" s="331">
        <v>480</v>
      </c>
      <c r="D502" s="331">
        <v>614</v>
      </c>
      <c r="E502" s="331">
        <v>1094</v>
      </c>
      <c r="F502" s="331">
        <v>24506367</v>
      </c>
      <c r="G502" s="331">
        <v>37808590</v>
      </c>
      <c r="H502" s="331">
        <v>62314957</v>
      </c>
      <c r="I502" s="331">
        <v>625039</v>
      </c>
      <c r="J502" s="319" t="s">
        <v>1043</v>
      </c>
      <c r="K502" s="319" t="s">
        <v>772</v>
      </c>
      <c r="L502" s="319" t="s">
        <v>323</v>
      </c>
      <c r="M502" s="319" t="s">
        <v>68</v>
      </c>
      <c r="N502" s="2"/>
      <c r="O502" s="4"/>
    </row>
    <row r="503" spans="1:15" ht="15" x14ac:dyDescent="0.25">
      <c r="A503" s="320">
        <v>516914</v>
      </c>
      <c r="B503" s="319" t="s">
        <v>678</v>
      </c>
      <c r="C503" s="331">
        <v>326</v>
      </c>
      <c r="D503" s="331">
        <v>737</v>
      </c>
      <c r="E503" s="331">
        <v>1063</v>
      </c>
      <c r="F503" s="331">
        <v>17896682</v>
      </c>
      <c r="G503" s="331">
        <v>51141189</v>
      </c>
      <c r="H503" s="331">
        <v>69037870</v>
      </c>
      <c r="I503" s="331">
        <v>623892</v>
      </c>
      <c r="J503" s="319" t="s">
        <v>373</v>
      </c>
      <c r="K503" s="319" t="s">
        <v>771</v>
      </c>
      <c r="L503" s="319" t="s">
        <v>971</v>
      </c>
      <c r="M503" s="319" t="s">
        <v>68</v>
      </c>
      <c r="N503" s="2"/>
      <c r="O503" s="4"/>
    </row>
    <row r="504" spans="1:15" ht="15" x14ac:dyDescent="0.25">
      <c r="A504" s="320">
        <v>273078</v>
      </c>
      <c r="B504" s="319" t="s">
        <v>520</v>
      </c>
      <c r="C504" s="331">
        <v>578</v>
      </c>
      <c r="D504" s="331">
        <v>476</v>
      </c>
      <c r="E504" s="331">
        <v>1054</v>
      </c>
      <c r="F504" s="331">
        <v>23058821</v>
      </c>
      <c r="G504" s="331">
        <v>23163319</v>
      </c>
      <c r="H504" s="331">
        <v>46222140</v>
      </c>
      <c r="I504" s="331">
        <v>105405</v>
      </c>
      <c r="J504" s="319" t="s">
        <v>215</v>
      </c>
      <c r="K504" s="319" t="s">
        <v>771</v>
      </c>
      <c r="L504" s="319" t="s">
        <v>313</v>
      </c>
      <c r="M504" s="319" t="s">
        <v>154</v>
      </c>
      <c r="N504" s="2"/>
      <c r="O504" s="4"/>
    </row>
    <row r="505" spans="1:15" ht="15" x14ac:dyDescent="0.25">
      <c r="A505" s="320">
        <v>893396</v>
      </c>
      <c r="B505" s="319" t="s">
        <v>270</v>
      </c>
      <c r="C505" s="331">
        <v>517</v>
      </c>
      <c r="D505" s="331">
        <v>528</v>
      </c>
      <c r="E505" s="331">
        <v>1045</v>
      </c>
      <c r="F505" s="331">
        <v>29578414</v>
      </c>
      <c r="G505" s="331">
        <v>36746699</v>
      </c>
      <c r="H505" s="331">
        <v>66325113</v>
      </c>
      <c r="I505" s="331">
        <v>-707965</v>
      </c>
      <c r="J505" s="319" t="s">
        <v>219</v>
      </c>
      <c r="K505" s="319" t="s">
        <v>771</v>
      </c>
      <c r="L505" s="319" t="s">
        <v>888</v>
      </c>
      <c r="M505" s="319" t="s">
        <v>154</v>
      </c>
      <c r="N505" s="2"/>
      <c r="O505" s="4"/>
    </row>
    <row r="506" spans="1:15" ht="15" x14ac:dyDescent="0.25">
      <c r="A506" s="320">
        <v>444315</v>
      </c>
      <c r="B506" s="319" t="s">
        <v>443</v>
      </c>
      <c r="C506" s="331">
        <v>594</v>
      </c>
      <c r="D506" s="331">
        <v>450</v>
      </c>
      <c r="E506" s="331">
        <v>1044</v>
      </c>
      <c r="F506" s="331">
        <v>19151755</v>
      </c>
      <c r="G506" s="331">
        <v>17736871</v>
      </c>
      <c r="H506" s="331">
        <v>36888626</v>
      </c>
      <c r="I506" s="331">
        <v>-128707</v>
      </c>
      <c r="J506" s="319" t="s">
        <v>1041</v>
      </c>
      <c r="K506" s="319" t="s">
        <v>768</v>
      </c>
      <c r="L506" s="319" t="s">
        <v>331</v>
      </c>
      <c r="M506" s="319" t="s">
        <v>68</v>
      </c>
      <c r="N506" s="2"/>
      <c r="O506" s="4"/>
    </row>
    <row r="507" spans="1:15" ht="15" customHeight="1" x14ac:dyDescent="0.25">
      <c r="A507" s="320">
        <v>205302</v>
      </c>
      <c r="B507" s="319" t="s">
        <v>844</v>
      </c>
      <c r="C507" s="331">
        <v>426</v>
      </c>
      <c r="D507" s="331">
        <v>616</v>
      </c>
      <c r="E507" s="331">
        <v>1042</v>
      </c>
      <c r="F507" s="331">
        <v>15903690</v>
      </c>
      <c r="G507" s="331">
        <v>26320472</v>
      </c>
      <c r="H507" s="331">
        <v>42224162</v>
      </c>
      <c r="I507" s="331">
        <v>1587838</v>
      </c>
      <c r="J507" s="319" t="s">
        <v>219</v>
      </c>
      <c r="K507" s="319" t="s">
        <v>771</v>
      </c>
      <c r="L507" s="319" t="s">
        <v>845</v>
      </c>
      <c r="M507" s="319" t="s">
        <v>154</v>
      </c>
      <c r="N507" s="2"/>
      <c r="O507" s="4"/>
    </row>
    <row r="508" spans="1:15" ht="15" x14ac:dyDescent="0.25">
      <c r="A508" s="320">
        <v>909333</v>
      </c>
      <c r="B508" s="319" t="s">
        <v>729</v>
      </c>
      <c r="C508" s="331">
        <v>418</v>
      </c>
      <c r="D508" s="331">
        <v>623</v>
      </c>
      <c r="E508" s="331">
        <v>1041</v>
      </c>
      <c r="F508" s="331">
        <v>18889486</v>
      </c>
      <c r="G508" s="331">
        <v>32860262</v>
      </c>
      <c r="H508" s="331">
        <v>51749748</v>
      </c>
      <c r="I508" s="331">
        <v>-1989547</v>
      </c>
      <c r="J508" s="319" t="s">
        <v>1034</v>
      </c>
      <c r="K508" s="319" t="s">
        <v>772</v>
      </c>
      <c r="L508" s="319" t="s">
        <v>464</v>
      </c>
      <c r="M508" s="319" t="s">
        <v>68</v>
      </c>
      <c r="N508" s="2"/>
      <c r="O508" s="4"/>
    </row>
    <row r="509" spans="1:15" ht="15" x14ac:dyDescent="0.25">
      <c r="A509" s="320">
        <v>815837</v>
      </c>
      <c r="B509" s="319" t="s">
        <v>472</v>
      </c>
      <c r="C509" s="331">
        <v>413</v>
      </c>
      <c r="D509" s="331">
        <v>624</v>
      </c>
      <c r="E509" s="331">
        <v>1037</v>
      </c>
      <c r="F509" s="331">
        <v>27306462</v>
      </c>
      <c r="G509" s="331">
        <v>51496173</v>
      </c>
      <c r="H509" s="331">
        <v>78802635</v>
      </c>
      <c r="I509" s="331">
        <v>-463075</v>
      </c>
      <c r="J509" s="319" t="s">
        <v>1047</v>
      </c>
      <c r="K509" s="319" t="s">
        <v>771</v>
      </c>
      <c r="L509" s="319" t="s">
        <v>453</v>
      </c>
      <c r="M509" s="319" t="s">
        <v>68</v>
      </c>
      <c r="N509" s="2"/>
      <c r="O509" s="4"/>
    </row>
    <row r="510" spans="1:15" ht="15" customHeight="1" x14ac:dyDescent="0.25">
      <c r="A510" s="320">
        <v>456236</v>
      </c>
      <c r="B510" s="319" t="s">
        <v>577</v>
      </c>
      <c r="C510" s="331">
        <v>350</v>
      </c>
      <c r="D510" s="331">
        <v>683</v>
      </c>
      <c r="E510" s="331">
        <v>1033</v>
      </c>
      <c r="F510" s="331">
        <v>21700850</v>
      </c>
      <c r="G510" s="331">
        <v>47783887</v>
      </c>
      <c r="H510" s="331">
        <v>69484736</v>
      </c>
      <c r="I510" s="331">
        <v>-30815231</v>
      </c>
      <c r="J510" s="319" t="s">
        <v>289</v>
      </c>
      <c r="K510" s="319" t="s">
        <v>771</v>
      </c>
      <c r="L510" s="319" t="s">
        <v>826</v>
      </c>
      <c r="M510" s="319" t="s">
        <v>154</v>
      </c>
      <c r="N510" s="2"/>
      <c r="O510" s="4"/>
    </row>
    <row r="511" spans="1:15" ht="15" x14ac:dyDescent="0.25">
      <c r="A511" s="320">
        <v>626945</v>
      </c>
      <c r="B511" s="319" t="s">
        <v>574</v>
      </c>
      <c r="C511" s="331">
        <v>433</v>
      </c>
      <c r="D511" s="331">
        <v>597</v>
      </c>
      <c r="E511" s="331">
        <v>1030</v>
      </c>
      <c r="F511" s="331">
        <v>24762881</v>
      </c>
      <c r="G511" s="331">
        <v>41253284</v>
      </c>
      <c r="H511" s="331">
        <v>66016165</v>
      </c>
      <c r="I511" s="331">
        <v>-361102</v>
      </c>
      <c r="J511" s="319" t="s">
        <v>1047</v>
      </c>
      <c r="K511" s="319" t="s">
        <v>771</v>
      </c>
      <c r="L511" s="319" t="s">
        <v>751</v>
      </c>
      <c r="M511" s="319" t="s">
        <v>68</v>
      </c>
      <c r="N511" s="2"/>
      <c r="O511" s="4"/>
    </row>
    <row r="512" spans="1:15" ht="15" x14ac:dyDescent="0.25">
      <c r="A512" s="320">
        <v>554691</v>
      </c>
      <c r="B512" s="319" t="s">
        <v>960</v>
      </c>
      <c r="C512" s="331">
        <v>481</v>
      </c>
      <c r="D512" s="331">
        <v>535</v>
      </c>
      <c r="E512" s="331">
        <v>1016</v>
      </c>
      <c r="F512" s="331">
        <v>20063286</v>
      </c>
      <c r="G512" s="331">
        <v>31460992</v>
      </c>
      <c r="H512" s="331">
        <v>51524279</v>
      </c>
      <c r="I512" s="331">
        <v>-2019843</v>
      </c>
      <c r="J512" s="319" t="s">
        <v>1040</v>
      </c>
      <c r="K512" s="319" t="s">
        <v>772</v>
      </c>
      <c r="L512" s="319" t="s">
        <v>229</v>
      </c>
      <c r="M512" s="319" t="s">
        <v>154</v>
      </c>
      <c r="N512" s="2"/>
      <c r="O512" s="4"/>
    </row>
    <row r="513" spans="1:15" ht="15" x14ac:dyDescent="0.25">
      <c r="A513" s="320">
        <v>759225</v>
      </c>
      <c r="B513" s="319" t="s">
        <v>706</v>
      </c>
      <c r="C513" s="331">
        <v>406</v>
      </c>
      <c r="D513" s="331">
        <v>605</v>
      </c>
      <c r="E513" s="331">
        <v>1011</v>
      </c>
      <c r="F513" s="331">
        <v>17594787</v>
      </c>
      <c r="G513" s="331">
        <v>36731640</v>
      </c>
      <c r="H513" s="331">
        <v>54326427</v>
      </c>
      <c r="I513" s="331">
        <v>2870177</v>
      </c>
      <c r="J513" s="319" t="s">
        <v>342</v>
      </c>
      <c r="K513" s="319" t="s">
        <v>771</v>
      </c>
      <c r="L513" s="319" t="s">
        <v>538</v>
      </c>
      <c r="M513" s="319" t="s">
        <v>68</v>
      </c>
      <c r="N513" s="2"/>
      <c r="O513" s="4"/>
    </row>
    <row r="514" spans="1:15" ht="15" x14ac:dyDescent="0.25">
      <c r="A514" s="320">
        <v>377432</v>
      </c>
      <c r="B514" s="319" t="s">
        <v>405</v>
      </c>
      <c r="C514" s="331">
        <v>389</v>
      </c>
      <c r="D514" s="331">
        <v>621</v>
      </c>
      <c r="E514" s="331">
        <v>1010</v>
      </c>
      <c r="F514" s="331">
        <v>16252409</v>
      </c>
      <c r="G514" s="331">
        <v>32974709</v>
      </c>
      <c r="H514" s="331">
        <v>49227118</v>
      </c>
      <c r="I514" s="331">
        <v>-333162</v>
      </c>
      <c r="J514" s="319" t="s">
        <v>201</v>
      </c>
      <c r="K514" s="319" t="s">
        <v>771</v>
      </c>
      <c r="L514" s="319" t="s">
        <v>209</v>
      </c>
      <c r="M514" s="319" t="s">
        <v>154</v>
      </c>
      <c r="N514" s="2"/>
      <c r="O514" s="4"/>
    </row>
    <row r="515" spans="1:15" ht="15" x14ac:dyDescent="0.25">
      <c r="A515" s="320">
        <v>688986</v>
      </c>
      <c r="B515" s="319" t="s">
        <v>805</v>
      </c>
      <c r="C515" s="331">
        <v>445</v>
      </c>
      <c r="D515" s="331">
        <v>554</v>
      </c>
      <c r="E515" s="331">
        <v>999</v>
      </c>
      <c r="F515" s="331">
        <v>17832731</v>
      </c>
      <c r="G515" s="331">
        <v>25351163</v>
      </c>
      <c r="H515" s="331">
        <v>43183894</v>
      </c>
      <c r="I515" s="331">
        <v>-597730</v>
      </c>
      <c r="J515" s="319" t="s">
        <v>1051</v>
      </c>
      <c r="K515" s="319" t="s">
        <v>771</v>
      </c>
      <c r="L515" s="319" t="s">
        <v>955</v>
      </c>
      <c r="M515" s="319" t="s">
        <v>68</v>
      </c>
      <c r="N515" s="2"/>
      <c r="O515" s="4"/>
    </row>
    <row r="516" spans="1:15" ht="15" customHeight="1" x14ac:dyDescent="0.25">
      <c r="A516" s="320">
        <v>353235</v>
      </c>
      <c r="B516" s="319" t="s">
        <v>508</v>
      </c>
      <c r="C516" s="331">
        <v>432</v>
      </c>
      <c r="D516" s="331">
        <v>564</v>
      </c>
      <c r="E516" s="331">
        <v>996</v>
      </c>
      <c r="F516" s="331">
        <v>15383008</v>
      </c>
      <c r="G516" s="331">
        <v>25709423</v>
      </c>
      <c r="H516" s="331">
        <v>41092431</v>
      </c>
      <c r="I516" s="331">
        <v>-453892</v>
      </c>
      <c r="J516" s="319" t="s">
        <v>1049</v>
      </c>
      <c r="K516" s="319" t="s">
        <v>771</v>
      </c>
      <c r="L516" s="319" t="s">
        <v>453</v>
      </c>
      <c r="M516" s="319" t="s">
        <v>68</v>
      </c>
      <c r="N516" s="2"/>
      <c r="O516" s="4"/>
    </row>
    <row r="517" spans="1:15" ht="15" customHeight="1" x14ac:dyDescent="0.25">
      <c r="A517" s="320">
        <v>502922</v>
      </c>
      <c r="B517" s="319" t="s">
        <v>610</v>
      </c>
      <c r="C517" s="331">
        <v>266</v>
      </c>
      <c r="D517" s="331">
        <v>728</v>
      </c>
      <c r="E517" s="331">
        <v>994</v>
      </c>
      <c r="F517" s="331">
        <v>13887072</v>
      </c>
      <c r="G517" s="331">
        <v>43426217</v>
      </c>
      <c r="H517" s="331">
        <v>57313288</v>
      </c>
      <c r="I517" s="331">
        <v>-1579421</v>
      </c>
      <c r="J517" s="319" t="s">
        <v>1045</v>
      </c>
      <c r="K517" s="319" t="s">
        <v>771</v>
      </c>
      <c r="L517" s="319" t="s">
        <v>742</v>
      </c>
      <c r="M517" s="319" t="s">
        <v>68</v>
      </c>
      <c r="N517" s="2"/>
      <c r="O517" s="4"/>
    </row>
    <row r="518" spans="1:15" ht="15" x14ac:dyDescent="0.25">
      <c r="A518" s="320">
        <v>480145</v>
      </c>
      <c r="B518" s="319" t="s">
        <v>445</v>
      </c>
      <c r="C518" s="331">
        <v>526</v>
      </c>
      <c r="D518" s="331">
        <v>462</v>
      </c>
      <c r="E518" s="331">
        <v>988</v>
      </c>
      <c r="F518" s="331">
        <v>14377282</v>
      </c>
      <c r="G518" s="331">
        <v>14034527</v>
      </c>
      <c r="H518" s="331">
        <v>28411810</v>
      </c>
      <c r="I518" s="331">
        <v>-370243</v>
      </c>
      <c r="J518" s="319" t="s">
        <v>1035</v>
      </c>
      <c r="K518" s="319" t="s">
        <v>768</v>
      </c>
      <c r="L518" s="319" t="s">
        <v>331</v>
      </c>
      <c r="M518" s="319" t="s">
        <v>68</v>
      </c>
      <c r="N518" s="2"/>
      <c r="O518" s="4"/>
    </row>
    <row r="519" spans="1:15" ht="15" x14ac:dyDescent="0.25">
      <c r="A519" s="320">
        <v>652628</v>
      </c>
      <c r="B519" s="319" t="s">
        <v>838</v>
      </c>
      <c r="C519" s="331">
        <v>414</v>
      </c>
      <c r="D519" s="331">
        <v>569</v>
      </c>
      <c r="E519" s="331">
        <v>983</v>
      </c>
      <c r="F519" s="331">
        <v>18585386</v>
      </c>
      <c r="G519" s="331">
        <v>32783306</v>
      </c>
      <c r="H519" s="331">
        <v>51368691</v>
      </c>
      <c r="I519" s="331">
        <v>1226910</v>
      </c>
      <c r="J519" s="319" t="s">
        <v>201</v>
      </c>
      <c r="K519" s="319" t="s">
        <v>771</v>
      </c>
      <c r="L519" s="319" t="s">
        <v>493</v>
      </c>
      <c r="M519" s="319" t="s">
        <v>68</v>
      </c>
      <c r="N519" s="2"/>
      <c r="O519" s="4"/>
    </row>
    <row r="520" spans="1:15" ht="15" x14ac:dyDescent="0.25">
      <c r="A520" s="320">
        <v>337709</v>
      </c>
      <c r="B520" s="319" t="s">
        <v>1155</v>
      </c>
      <c r="C520" s="331">
        <v>473</v>
      </c>
      <c r="D520" s="331">
        <v>505</v>
      </c>
      <c r="E520" s="331">
        <v>978</v>
      </c>
      <c r="F520" s="331">
        <v>14611613</v>
      </c>
      <c r="G520" s="331">
        <v>20398590</v>
      </c>
      <c r="H520" s="331">
        <v>35010203</v>
      </c>
      <c r="I520" s="331">
        <v>1916182</v>
      </c>
      <c r="J520" s="319" t="s">
        <v>1022</v>
      </c>
      <c r="K520" s="319" t="s">
        <v>765</v>
      </c>
      <c r="L520" s="319" t="s">
        <v>158</v>
      </c>
      <c r="M520" s="319" t="s">
        <v>68</v>
      </c>
      <c r="N520" s="2"/>
      <c r="O520" s="4"/>
    </row>
    <row r="521" spans="1:15" ht="15" x14ac:dyDescent="0.25">
      <c r="A521" s="320">
        <v>159442</v>
      </c>
      <c r="B521" s="264" t="s">
        <v>786</v>
      </c>
      <c r="C521" s="331">
        <v>414</v>
      </c>
      <c r="D521" s="331">
        <v>560</v>
      </c>
      <c r="E521" s="331">
        <v>974</v>
      </c>
      <c r="F521" s="331">
        <v>20011008</v>
      </c>
      <c r="G521" s="331">
        <v>35971338</v>
      </c>
      <c r="H521" s="331">
        <v>55982346</v>
      </c>
      <c r="I521" s="331">
        <v>4237295</v>
      </c>
      <c r="J521" s="264" t="s">
        <v>201</v>
      </c>
      <c r="K521" s="264" t="s">
        <v>771</v>
      </c>
      <c r="L521" s="264" t="s">
        <v>540</v>
      </c>
      <c r="M521" s="264" t="s">
        <v>68</v>
      </c>
      <c r="N521" s="2"/>
      <c r="O521" s="4"/>
    </row>
    <row r="522" spans="1:15" ht="15" x14ac:dyDescent="0.25">
      <c r="A522" s="320">
        <v>961573</v>
      </c>
      <c r="B522" s="319" t="s">
        <v>595</v>
      </c>
      <c r="C522" s="331">
        <v>638</v>
      </c>
      <c r="D522" s="331">
        <v>335</v>
      </c>
      <c r="E522" s="331">
        <v>973</v>
      </c>
      <c r="F522" s="331">
        <v>68492240</v>
      </c>
      <c r="G522" s="331">
        <v>38983675</v>
      </c>
      <c r="H522" s="331">
        <v>107475915</v>
      </c>
      <c r="I522" s="331">
        <v>-1102558</v>
      </c>
      <c r="J522" s="319" t="s">
        <v>1041</v>
      </c>
      <c r="K522" s="319" t="s">
        <v>768</v>
      </c>
      <c r="L522" s="319" t="s">
        <v>596</v>
      </c>
      <c r="M522" s="319" t="s">
        <v>68</v>
      </c>
      <c r="N522" s="2"/>
      <c r="O522" s="4"/>
    </row>
    <row r="523" spans="1:15" ht="15" x14ac:dyDescent="0.25">
      <c r="A523" s="320">
        <v>318873</v>
      </c>
      <c r="B523" s="319" t="s">
        <v>1083</v>
      </c>
      <c r="C523" s="331">
        <v>401</v>
      </c>
      <c r="D523" s="331">
        <v>571</v>
      </c>
      <c r="E523" s="331">
        <v>972</v>
      </c>
      <c r="F523" s="331">
        <v>17004028</v>
      </c>
      <c r="G523" s="331">
        <v>29834949</v>
      </c>
      <c r="H523" s="331">
        <v>46838976</v>
      </c>
      <c r="I523" s="331">
        <v>2979025</v>
      </c>
      <c r="J523" s="319" t="s">
        <v>181</v>
      </c>
      <c r="K523" s="319" t="s">
        <v>771</v>
      </c>
      <c r="L523" s="319" t="s">
        <v>953</v>
      </c>
      <c r="M523" s="319" t="s">
        <v>154</v>
      </c>
      <c r="N523" s="2"/>
      <c r="O523" s="4"/>
    </row>
    <row r="524" spans="1:15" ht="15" x14ac:dyDescent="0.25">
      <c r="A524" s="320">
        <v>368407</v>
      </c>
      <c r="B524" s="319" t="s">
        <v>910</v>
      </c>
      <c r="C524" s="331">
        <v>416</v>
      </c>
      <c r="D524" s="331">
        <v>552</v>
      </c>
      <c r="E524" s="331">
        <v>968</v>
      </c>
      <c r="F524" s="331">
        <v>14379636</v>
      </c>
      <c r="G524" s="331">
        <v>22724476</v>
      </c>
      <c r="H524" s="331">
        <v>37104113</v>
      </c>
      <c r="I524" s="331">
        <v>-1653434</v>
      </c>
      <c r="J524" s="319" t="s">
        <v>321</v>
      </c>
      <c r="K524" s="319" t="s">
        <v>771</v>
      </c>
      <c r="L524" s="319" t="s">
        <v>955</v>
      </c>
      <c r="M524" s="319" t="s">
        <v>68</v>
      </c>
      <c r="N524" s="2"/>
      <c r="O524" s="4"/>
    </row>
    <row r="525" spans="1:15" ht="15" x14ac:dyDescent="0.25">
      <c r="A525" s="320">
        <v>553271</v>
      </c>
      <c r="B525" s="319" t="s">
        <v>866</v>
      </c>
      <c r="C525" s="331">
        <v>484</v>
      </c>
      <c r="D525" s="331">
        <v>476</v>
      </c>
      <c r="E525" s="331">
        <v>960</v>
      </c>
      <c r="F525" s="331">
        <v>9420510</v>
      </c>
      <c r="G525" s="331">
        <v>13105519</v>
      </c>
      <c r="H525" s="331">
        <v>22526029</v>
      </c>
      <c r="I525" s="331">
        <v>-59034</v>
      </c>
      <c r="J525" s="319" t="s">
        <v>1031</v>
      </c>
      <c r="K525" s="319" t="s">
        <v>772</v>
      </c>
      <c r="L525" s="319" t="s">
        <v>323</v>
      </c>
      <c r="M525" s="319" t="s">
        <v>68</v>
      </c>
      <c r="N525" s="2"/>
      <c r="O525" s="4"/>
    </row>
    <row r="526" spans="1:15" ht="15" x14ac:dyDescent="0.25">
      <c r="A526" s="320">
        <v>134593</v>
      </c>
      <c r="B526" s="319" t="s">
        <v>1002</v>
      </c>
      <c r="C526" s="331">
        <v>463</v>
      </c>
      <c r="D526" s="331">
        <v>496</v>
      </c>
      <c r="E526" s="331">
        <v>959</v>
      </c>
      <c r="F526" s="331">
        <v>19672541</v>
      </c>
      <c r="G526" s="331">
        <v>26837178</v>
      </c>
      <c r="H526" s="331">
        <v>46509719</v>
      </c>
      <c r="I526" s="331">
        <v>-972721</v>
      </c>
      <c r="J526" s="319" t="s">
        <v>1031</v>
      </c>
      <c r="K526" s="319" t="s">
        <v>772</v>
      </c>
      <c r="L526" s="319" t="s">
        <v>237</v>
      </c>
      <c r="M526" s="319" t="s">
        <v>154</v>
      </c>
      <c r="N526" s="2"/>
      <c r="O526" s="4"/>
    </row>
    <row r="527" spans="1:15" ht="15" x14ac:dyDescent="0.25">
      <c r="A527" s="320">
        <v>987784</v>
      </c>
      <c r="B527" s="319" t="s">
        <v>804</v>
      </c>
      <c r="C527" s="331">
        <v>422</v>
      </c>
      <c r="D527" s="331">
        <v>524</v>
      </c>
      <c r="E527" s="331">
        <v>946</v>
      </c>
      <c r="F527" s="331">
        <v>13485044</v>
      </c>
      <c r="G527" s="331">
        <v>21430604</v>
      </c>
      <c r="H527" s="331">
        <v>34915647</v>
      </c>
      <c r="I527" s="331">
        <v>-63755</v>
      </c>
      <c r="J527" s="319" t="s">
        <v>321</v>
      </c>
      <c r="K527" s="319" t="s">
        <v>771</v>
      </c>
      <c r="L527" s="319" t="s">
        <v>540</v>
      </c>
      <c r="M527" s="319" t="s">
        <v>68</v>
      </c>
      <c r="N527" s="2"/>
      <c r="O527" s="4"/>
    </row>
    <row r="528" spans="1:15" ht="15" customHeight="1" x14ac:dyDescent="0.25">
      <c r="A528" s="320">
        <v>237834</v>
      </c>
      <c r="B528" s="319" t="s">
        <v>634</v>
      </c>
      <c r="C528" s="331">
        <v>404</v>
      </c>
      <c r="D528" s="331">
        <v>527</v>
      </c>
      <c r="E528" s="331">
        <v>931</v>
      </c>
      <c r="F528" s="331">
        <v>23113569</v>
      </c>
      <c r="G528" s="331">
        <v>37347939</v>
      </c>
      <c r="H528" s="331">
        <v>60461508</v>
      </c>
      <c r="I528" s="331">
        <v>-721165</v>
      </c>
      <c r="J528" s="319" t="s">
        <v>318</v>
      </c>
      <c r="K528" s="319" t="s">
        <v>771</v>
      </c>
      <c r="L528" s="319" t="s">
        <v>629</v>
      </c>
      <c r="M528" s="319" t="s">
        <v>68</v>
      </c>
      <c r="N528" s="2"/>
      <c r="O528" s="4"/>
    </row>
    <row r="529" spans="1:15" ht="15" customHeight="1" x14ac:dyDescent="0.25">
      <c r="A529" s="320">
        <v>789503</v>
      </c>
      <c r="B529" s="319" t="s">
        <v>889</v>
      </c>
      <c r="C529" s="331">
        <v>389</v>
      </c>
      <c r="D529" s="331">
        <v>541</v>
      </c>
      <c r="E529" s="331">
        <v>930</v>
      </c>
      <c r="F529" s="331">
        <v>14969481</v>
      </c>
      <c r="G529" s="331">
        <v>22885241</v>
      </c>
      <c r="H529" s="331">
        <v>37854722</v>
      </c>
      <c r="I529" s="331">
        <v>1702791</v>
      </c>
      <c r="J529" s="319" t="s">
        <v>1024</v>
      </c>
      <c r="K529" s="319" t="s">
        <v>768</v>
      </c>
      <c r="L529" s="319" t="s">
        <v>890</v>
      </c>
      <c r="M529" s="319" t="s">
        <v>154</v>
      </c>
      <c r="N529" s="2"/>
      <c r="O529" s="4"/>
    </row>
    <row r="530" spans="1:15" ht="15" x14ac:dyDescent="0.25">
      <c r="A530" s="320">
        <v>963462</v>
      </c>
      <c r="B530" s="319" t="s">
        <v>402</v>
      </c>
      <c r="C530" s="331">
        <v>431</v>
      </c>
      <c r="D530" s="331">
        <v>483</v>
      </c>
      <c r="E530" s="331">
        <v>914</v>
      </c>
      <c r="F530" s="331">
        <v>33039803</v>
      </c>
      <c r="G530" s="331">
        <v>39515051</v>
      </c>
      <c r="H530" s="331">
        <v>72554855</v>
      </c>
      <c r="I530" s="331">
        <v>-392645</v>
      </c>
      <c r="J530" s="319" t="s">
        <v>1035</v>
      </c>
      <c r="K530" s="319" t="s">
        <v>768</v>
      </c>
      <c r="L530" s="319" t="s">
        <v>207</v>
      </c>
      <c r="M530" s="319" t="s">
        <v>154</v>
      </c>
      <c r="N530" s="2"/>
      <c r="O530" s="4"/>
    </row>
    <row r="531" spans="1:15" ht="15" x14ac:dyDescent="0.25">
      <c r="A531" s="320">
        <v>231100</v>
      </c>
      <c r="B531" s="319" t="s">
        <v>785</v>
      </c>
      <c r="C531" s="331">
        <v>362</v>
      </c>
      <c r="D531" s="331">
        <v>548</v>
      </c>
      <c r="E531" s="331">
        <v>910</v>
      </c>
      <c r="F531" s="331">
        <v>14496834</v>
      </c>
      <c r="G531" s="331">
        <v>27795833</v>
      </c>
      <c r="H531" s="331">
        <v>42292667</v>
      </c>
      <c r="I531" s="331">
        <v>-270798</v>
      </c>
      <c r="J531" s="319" t="s">
        <v>295</v>
      </c>
      <c r="K531" s="319" t="s">
        <v>771</v>
      </c>
      <c r="L531" s="319" t="s">
        <v>540</v>
      </c>
      <c r="M531" s="319" t="s">
        <v>68</v>
      </c>
      <c r="N531" s="2"/>
      <c r="O531" s="4"/>
    </row>
    <row r="532" spans="1:15" ht="15" x14ac:dyDescent="0.25">
      <c r="A532" s="320">
        <v>312850</v>
      </c>
      <c r="B532" s="319" t="s">
        <v>1160</v>
      </c>
      <c r="C532" s="331">
        <v>254</v>
      </c>
      <c r="D532" s="331">
        <v>649</v>
      </c>
      <c r="E532" s="331">
        <v>903</v>
      </c>
      <c r="F532" s="331">
        <v>12030339</v>
      </c>
      <c r="G532" s="331">
        <v>40459660</v>
      </c>
      <c r="H532" s="331">
        <v>52489999</v>
      </c>
      <c r="I532" s="331">
        <v>-2141690</v>
      </c>
      <c r="J532" s="319" t="s">
        <v>1045</v>
      </c>
      <c r="K532" s="319" t="s">
        <v>771</v>
      </c>
      <c r="L532" s="319" t="s">
        <v>826</v>
      </c>
      <c r="M532" s="319" t="s">
        <v>154</v>
      </c>
      <c r="N532" s="2"/>
      <c r="O532" s="4"/>
    </row>
    <row r="533" spans="1:15" ht="15" x14ac:dyDescent="0.25">
      <c r="A533" s="320">
        <v>889261</v>
      </c>
      <c r="B533" s="319" t="s">
        <v>534</v>
      </c>
      <c r="C533" s="331">
        <v>426</v>
      </c>
      <c r="D533" s="331">
        <v>472</v>
      </c>
      <c r="E533" s="331">
        <v>898</v>
      </c>
      <c r="F533" s="331">
        <v>14766331</v>
      </c>
      <c r="G533" s="331">
        <v>24009033</v>
      </c>
      <c r="H533" s="331">
        <v>38775364</v>
      </c>
      <c r="I533" s="331">
        <v>984457</v>
      </c>
      <c r="J533" s="319" t="s">
        <v>1047</v>
      </c>
      <c r="K533" s="319" t="s">
        <v>771</v>
      </c>
      <c r="L533" s="319" t="s">
        <v>751</v>
      </c>
      <c r="M533" s="319" t="s">
        <v>68</v>
      </c>
      <c r="N533" s="2"/>
      <c r="O533" s="4"/>
    </row>
    <row r="534" spans="1:15" ht="15" x14ac:dyDescent="0.25">
      <c r="A534" s="320">
        <v>169060</v>
      </c>
      <c r="B534" s="319" t="s">
        <v>644</v>
      </c>
      <c r="C534" s="331">
        <v>381</v>
      </c>
      <c r="D534" s="331">
        <v>511</v>
      </c>
      <c r="E534" s="331">
        <v>892</v>
      </c>
      <c r="F534" s="331">
        <v>12385887</v>
      </c>
      <c r="G534" s="331">
        <v>20807016</v>
      </c>
      <c r="H534" s="331">
        <v>33192903</v>
      </c>
      <c r="I534" s="331">
        <v>-257108</v>
      </c>
      <c r="J534" s="319" t="s">
        <v>1048</v>
      </c>
      <c r="K534" s="319" t="s">
        <v>771</v>
      </c>
      <c r="L534" s="319" t="s">
        <v>749</v>
      </c>
      <c r="M534" s="319" t="s">
        <v>68</v>
      </c>
      <c r="N534" s="2"/>
      <c r="O534" s="4"/>
    </row>
    <row r="535" spans="1:15" ht="15" x14ac:dyDescent="0.25">
      <c r="A535" s="320">
        <v>150110</v>
      </c>
      <c r="B535" s="319" t="s">
        <v>708</v>
      </c>
      <c r="C535" s="331">
        <v>298</v>
      </c>
      <c r="D535" s="331">
        <v>594</v>
      </c>
      <c r="E535" s="331">
        <v>892</v>
      </c>
      <c r="F535" s="331">
        <v>12884347</v>
      </c>
      <c r="G535" s="331">
        <v>30702446</v>
      </c>
      <c r="H535" s="331">
        <v>43586793</v>
      </c>
      <c r="I535" s="331">
        <v>391302</v>
      </c>
      <c r="J535" s="319" t="s">
        <v>295</v>
      </c>
      <c r="K535" s="319" t="s">
        <v>771</v>
      </c>
      <c r="L535" s="319" t="s">
        <v>538</v>
      </c>
      <c r="M535" s="319" t="s">
        <v>68</v>
      </c>
      <c r="N535" s="2"/>
      <c r="O535" s="4"/>
    </row>
    <row r="536" spans="1:15" ht="15" x14ac:dyDescent="0.25">
      <c r="A536" s="320">
        <v>483800</v>
      </c>
      <c r="B536" s="319" t="s">
        <v>374</v>
      </c>
      <c r="C536" s="331">
        <v>421</v>
      </c>
      <c r="D536" s="331">
        <v>455</v>
      </c>
      <c r="E536" s="331">
        <v>876</v>
      </c>
      <c r="F536" s="331">
        <v>12469432</v>
      </c>
      <c r="G536" s="331">
        <v>18430895</v>
      </c>
      <c r="H536" s="331">
        <v>30900327</v>
      </c>
      <c r="I536" s="331">
        <v>-713047</v>
      </c>
      <c r="J536" s="319" t="s">
        <v>1038</v>
      </c>
      <c r="K536" s="319" t="s">
        <v>772</v>
      </c>
      <c r="L536" s="319" t="s">
        <v>375</v>
      </c>
      <c r="M536" s="319" t="s">
        <v>68</v>
      </c>
      <c r="N536" s="2"/>
      <c r="O536" s="4"/>
    </row>
    <row r="537" spans="1:15" ht="15" x14ac:dyDescent="0.25">
      <c r="A537" s="320">
        <v>219006</v>
      </c>
      <c r="B537" s="319" t="s">
        <v>502</v>
      </c>
      <c r="C537" s="331">
        <v>392</v>
      </c>
      <c r="D537" s="331">
        <v>483</v>
      </c>
      <c r="E537" s="331">
        <v>875</v>
      </c>
      <c r="F537" s="331">
        <v>18785613</v>
      </c>
      <c r="G537" s="331">
        <v>26727552</v>
      </c>
      <c r="H537" s="331">
        <v>45513165</v>
      </c>
      <c r="I537" s="331">
        <v>136782</v>
      </c>
      <c r="J537" s="319" t="s">
        <v>318</v>
      </c>
      <c r="K537" s="319" t="s">
        <v>771</v>
      </c>
      <c r="L537" s="319" t="s">
        <v>294</v>
      </c>
      <c r="M537" s="319" t="s">
        <v>68</v>
      </c>
      <c r="N537" s="2"/>
      <c r="O537" s="4"/>
    </row>
    <row r="538" spans="1:15" ht="15" x14ac:dyDescent="0.25">
      <c r="A538" s="320">
        <v>408898</v>
      </c>
      <c r="B538" s="319" t="s">
        <v>1042</v>
      </c>
      <c r="C538" s="331">
        <v>395</v>
      </c>
      <c r="D538" s="331">
        <v>478</v>
      </c>
      <c r="E538" s="331">
        <v>873</v>
      </c>
      <c r="F538" s="331">
        <v>18756968</v>
      </c>
      <c r="G538" s="331">
        <v>27003527</v>
      </c>
      <c r="H538" s="331">
        <v>45760495</v>
      </c>
      <c r="I538" s="331">
        <v>-1762944</v>
      </c>
      <c r="J538" s="319" t="s">
        <v>1038</v>
      </c>
      <c r="K538" s="319" t="s">
        <v>772</v>
      </c>
      <c r="L538" s="319" t="s">
        <v>381</v>
      </c>
      <c r="M538" s="319" t="s">
        <v>68</v>
      </c>
      <c r="N538" s="2"/>
      <c r="O538" s="4"/>
    </row>
    <row r="539" spans="1:15" ht="15" x14ac:dyDescent="0.25">
      <c r="A539" s="320">
        <v>173435</v>
      </c>
      <c r="B539" s="319" t="s">
        <v>592</v>
      </c>
      <c r="C539" s="331">
        <v>403</v>
      </c>
      <c r="D539" s="331">
        <v>470</v>
      </c>
      <c r="E539" s="331">
        <v>873</v>
      </c>
      <c r="F539" s="331">
        <v>15351995</v>
      </c>
      <c r="G539" s="331">
        <v>22877280</v>
      </c>
      <c r="H539" s="331">
        <v>38229275</v>
      </c>
      <c r="I539" s="331">
        <v>-1103243</v>
      </c>
      <c r="J539" s="319" t="s">
        <v>1034</v>
      </c>
      <c r="K539" s="319" t="s">
        <v>772</v>
      </c>
      <c r="L539" s="319" t="s">
        <v>955</v>
      </c>
      <c r="M539" s="319" t="s">
        <v>68</v>
      </c>
      <c r="N539" s="2"/>
      <c r="O539" s="4"/>
    </row>
    <row r="540" spans="1:15" ht="15" x14ac:dyDescent="0.25">
      <c r="A540" s="320">
        <v>603985</v>
      </c>
      <c r="B540" s="319" t="s">
        <v>619</v>
      </c>
      <c r="C540" s="331">
        <v>396</v>
      </c>
      <c r="D540" s="331">
        <v>473</v>
      </c>
      <c r="E540" s="331">
        <v>869</v>
      </c>
      <c r="F540" s="331">
        <v>11752476</v>
      </c>
      <c r="G540" s="331">
        <v>17978817</v>
      </c>
      <c r="H540" s="331">
        <v>29731294</v>
      </c>
      <c r="I540" s="331">
        <v>-437665</v>
      </c>
      <c r="J540" s="319" t="s">
        <v>201</v>
      </c>
      <c r="K540" s="319" t="s">
        <v>771</v>
      </c>
      <c r="L540" s="319" t="s">
        <v>620</v>
      </c>
      <c r="M540" s="319" t="s">
        <v>68</v>
      </c>
      <c r="N540" s="2"/>
      <c r="O540" s="4"/>
    </row>
    <row r="541" spans="1:15" ht="15" customHeight="1" x14ac:dyDescent="0.25">
      <c r="A541" s="320">
        <v>907329</v>
      </c>
      <c r="B541" s="319" t="s">
        <v>1085</v>
      </c>
      <c r="C541" s="331">
        <v>422</v>
      </c>
      <c r="D541" s="331">
        <v>440</v>
      </c>
      <c r="E541" s="331">
        <v>862</v>
      </c>
      <c r="F541" s="331">
        <v>13713997</v>
      </c>
      <c r="G541" s="331">
        <v>17289717</v>
      </c>
      <c r="H541" s="331">
        <v>31003714</v>
      </c>
      <c r="I541" s="331">
        <v>-472291</v>
      </c>
      <c r="J541" s="319" t="s">
        <v>1038</v>
      </c>
      <c r="K541" s="319" t="s">
        <v>772</v>
      </c>
      <c r="L541" s="319" t="s">
        <v>379</v>
      </c>
      <c r="M541" s="319" t="s">
        <v>68</v>
      </c>
      <c r="N541" s="2"/>
      <c r="O541" s="4"/>
    </row>
    <row r="542" spans="1:15" ht="15" customHeight="1" x14ac:dyDescent="0.25">
      <c r="A542" s="320">
        <v>606467</v>
      </c>
      <c r="B542" s="319" t="s">
        <v>332</v>
      </c>
      <c r="C542" s="331">
        <v>445</v>
      </c>
      <c r="D542" s="331">
        <v>405</v>
      </c>
      <c r="E542" s="331">
        <v>850</v>
      </c>
      <c r="F542" s="331">
        <v>14597912</v>
      </c>
      <c r="G542" s="331">
        <v>15457789</v>
      </c>
      <c r="H542" s="331">
        <v>30055701</v>
      </c>
      <c r="I542" s="331">
        <v>-685901</v>
      </c>
      <c r="J542" s="319" t="s">
        <v>201</v>
      </c>
      <c r="K542" s="319" t="s">
        <v>771</v>
      </c>
      <c r="L542" s="319" t="s">
        <v>166</v>
      </c>
      <c r="M542" s="319" t="s">
        <v>154</v>
      </c>
      <c r="N542" s="2"/>
      <c r="O542" s="4"/>
    </row>
    <row r="543" spans="1:15" ht="15" x14ac:dyDescent="0.25">
      <c r="A543" s="320">
        <v>266049</v>
      </c>
      <c r="B543" s="319" t="s">
        <v>1134</v>
      </c>
      <c r="C543" s="331">
        <v>355</v>
      </c>
      <c r="D543" s="331">
        <v>492</v>
      </c>
      <c r="E543" s="331">
        <v>847</v>
      </c>
      <c r="F543" s="331">
        <v>9902939</v>
      </c>
      <c r="G543" s="331">
        <v>19188574</v>
      </c>
      <c r="H543" s="331">
        <v>29091513</v>
      </c>
      <c r="I543" s="331">
        <v>-1147144</v>
      </c>
      <c r="J543" s="319" t="s">
        <v>295</v>
      </c>
      <c r="K543" s="319" t="s">
        <v>771</v>
      </c>
      <c r="L543" s="319" t="s">
        <v>807</v>
      </c>
      <c r="M543" s="319" t="s">
        <v>68</v>
      </c>
      <c r="N543" s="2"/>
      <c r="O543" s="4"/>
    </row>
    <row r="544" spans="1:15" ht="15" x14ac:dyDescent="0.25">
      <c r="A544" s="320">
        <v>819904</v>
      </c>
      <c r="B544" s="319" t="s">
        <v>832</v>
      </c>
      <c r="C544" s="331">
        <v>352</v>
      </c>
      <c r="D544" s="331">
        <v>479</v>
      </c>
      <c r="E544" s="331">
        <v>831</v>
      </c>
      <c r="F544" s="331">
        <v>9181612</v>
      </c>
      <c r="G544" s="331">
        <v>15383067</v>
      </c>
      <c r="H544" s="331">
        <v>24564679</v>
      </c>
      <c r="I544" s="331">
        <v>-59526</v>
      </c>
      <c r="J544" s="319" t="s">
        <v>295</v>
      </c>
      <c r="K544" s="319" t="s">
        <v>771</v>
      </c>
      <c r="L544" s="319" t="s">
        <v>749</v>
      </c>
      <c r="M544" s="319" t="s">
        <v>68</v>
      </c>
      <c r="N544" s="2"/>
      <c r="O544" s="4"/>
    </row>
    <row r="545" spans="1:15" ht="15" x14ac:dyDescent="0.25">
      <c r="A545" s="320">
        <v>772509</v>
      </c>
      <c r="B545" s="319" t="s">
        <v>868</v>
      </c>
      <c r="C545" s="331">
        <v>386</v>
      </c>
      <c r="D545" s="331">
        <v>444</v>
      </c>
      <c r="E545" s="331">
        <v>830</v>
      </c>
      <c r="F545" s="331">
        <v>12640980</v>
      </c>
      <c r="G545" s="331">
        <v>17898990</v>
      </c>
      <c r="H545" s="331">
        <v>30539970</v>
      </c>
      <c r="I545" s="331">
        <v>-100841</v>
      </c>
      <c r="J545" s="319" t="s">
        <v>181</v>
      </c>
      <c r="K545" s="319" t="s">
        <v>771</v>
      </c>
      <c r="L545" s="319" t="s">
        <v>751</v>
      </c>
      <c r="M545" s="319" t="s">
        <v>68</v>
      </c>
      <c r="N545" s="2"/>
      <c r="O545" s="4"/>
    </row>
    <row r="546" spans="1:15" ht="15" x14ac:dyDescent="0.25">
      <c r="A546" s="320">
        <v>259499</v>
      </c>
      <c r="B546" s="319" t="s">
        <v>1066</v>
      </c>
      <c r="C546" s="331">
        <v>421</v>
      </c>
      <c r="D546" s="331">
        <v>401</v>
      </c>
      <c r="E546" s="331">
        <v>822</v>
      </c>
      <c r="F546" s="331">
        <v>15891365</v>
      </c>
      <c r="G546" s="331">
        <v>18042432</v>
      </c>
      <c r="H546" s="331">
        <v>33933797</v>
      </c>
      <c r="I546" s="331">
        <v>-310691</v>
      </c>
      <c r="J546" s="319" t="s">
        <v>1038</v>
      </c>
      <c r="K546" s="319" t="s">
        <v>772</v>
      </c>
      <c r="L546" s="319" t="s">
        <v>751</v>
      </c>
      <c r="M546" s="319" t="s">
        <v>68</v>
      </c>
      <c r="N546" s="2"/>
      <c r="O546" s="4"/>
    </row>
    <row r="547" spans="1:15" ht="15" x14ac:dyDescent="0.25">
      <c r="A547" s="320">
        <v>303701</v>
      </c>
      <c r="B547" s="319" t="s">
        <v>739</v>
      </c>
      <c r="C547" s="331">
        <v>308</v>
      </c>
      <c r="D547" s="331">
        <v>509</v>
      </c>
      <c r="E547" s="331">
        <v>817</v>
      </c>
      <c r="F547" s="331">
        <v>16349402</v>
      </c>
      <c r="G547" s="331">
        <v>34880431</v>
      </c>
      <c r="H547" s="331">
        <v>51229833</v>
      </c>
      <c r="I547" s="331">
        <v>-107024</v>
      </c>
      <c r="J547" s="319" t="s">
        <v>1024</v>
      </c>
      <c r="K547" s="319" t="s">
        <v>768</v>
      </c>
      <c r="L547" s="319" t="s">
        <v>740</v>
      </c>
      <c r="M547" s="319" t="s">
        <v>154</v>
      </c>
      <c r="N547" s="2"/>
      <c r="O547" s="4"/>
    </row>
    <row r="548" spans="1:15" ht="15" x14ac:dyDescent="0.25">
      <c r="A548" s="320">
        <v>106492</v>
      </c>
      <c r="B548" s="319" t="s">
        <v>1030</v>
      </c>
      <c r="C548" s="331">
        <v>412</v>
      </c>
      <c r="D548" s="331">
        <v>398</v>
      </c>
      <c r="E548" s="331">
        <v>810</v>
      </c>
      <c r="F548" s="331">
        <v>21234610</v>
      </c>
      <c r="G548" s="331">
        <v>22552095</v>
      </c>
      <c r="H548" s="331">
        <v>43786705</v>
      </c>
      <c r="I548" s="331">
        <v>113566</v>
      </c>
      <c r="J548" s="319" t="s">
        <v>181</v>
      </c>
      <c r="K548" s="319" t="s">
        <v>771</v>
      </c>
      <c r="L548" s="319" t="s">
        <v>1062</v>
      </c>
      <c r="M548" s="319" t="s">
        <v>68</v>
      </c>
      <c r="N548" s="2"/>
      <c r="O548" s="4"/>
    </row>
    <row r="549" spans="1:15" ht="15" x14ac:dyDescent="0.25">
      <c r="A549" s="320">
        <v>439703</v>
      </c>
      <c r="B549" s="319" t="s">
        <v>991</v>
      </c>
      <c r="C549" s="331">
        <v>425</v>
      </c>
      <c r="D549" s="331">
        <v>381</v>
      </c>
      <c r="E549" s="331">
        <v>806</v>
      </c>
      <c r="F549" s="331">
        <v>13126906</v>
      </c>
      <c r="G549" s="331">
        <v>13397993</v>
      </c>
      <c r="H549" s="331">
        <v>26524899</v>
      </c>
      <c r="I549" s="331">
        <v>-197388</v>
      </c>
      <c r="J549" s="319" t="s">
        <v>1040</v>
      </c>
      <c r="K549" s="319" t="s">
        <v>772</v>
      </c>
      <c r="L549" s="319" t="s">
        <v>166</v>
      </c>
      <c r="M549" s="319" t="s">
        <v>154</v>
      </c>
      <c r="N549" s="2"/>
      <c r="O549" s="4"/>
    </row>
    <row r="550" spans="1:15" ht="15" x14ac:dyDescent="0.25">
      <c r="A550" s="320">
        <v>823039</v>
      </c>
      <c r="B550" s="319" t="s">
        <v>429</v>
      </c>
      <c r="C550" s="331">
        <v>293</v>
      </c>
      <c r="D550" s="331">
        <v>512</v>
      </c>
      <c r="E550" s="331">
        <v>805</v>
      </c>
      <c r="F550" s="331">
        <v>13210892</v>
      </c>
      <c r="G550" s="331">
        <v>31335242</v>
      </c>
      <c r="H550" s="331">
        <v>44546134</v>
      </c>
      <c r="I550" s="331">
        <v>-1305475</v>
      </c>
      <c r="J550" s="319" t="s">
        <v>361</v>
      </c>
      <c r="K550" s="319" t="s">
        <v>771</v>
      </c>
      <c r="L550" s="319" t="s">
        <v>209</v>
      </c>
      <c r="M550" s="319" t="s">
        <v>154</v>
      </c>
      <c r="N550" s="2"/>
      <c r="O550" s="4"/>
    </row>
    <row r="551" spans="1:15" ht="15" x14ac:dyDescent="0.25">
      <c r="A551" s="320">
        <v>666313</v>
      </c>
      <c r="B551" s="319" t="s">
        <v>674</v>
      </c>
      <c r="C551" s="331">
        <v>310</v>
      </c>
      <c r="D551" s="331">
        <v>491</v>
      </c>
      <c r="E551" s="331">
        <v>801</v>
      </c>
      <c r="F551" s="331">
        <v>8408499</v>
      </c>
      <c r="G551" s="331">
        <v>15856589</v>
      </c>
      <c r="H551" s="331">
        <v>24265088</v>
      </c>
      <c r="I551" s="331">
        <v>1111962</v>
      </c>
      <c r="J551" s="319" t="s">
        <v>321</v>
      </c>
      <c r="K551" s="319" t="s">
        <v>771</v>
      </c>
      <c r="L551" s="319" t="s">
        <v>806</v>
      </c>
      <c r="M551" s="319" t="s">
        <v>68</v>
      </c>
      <c r="N551" s="2"/>
      <c r="O551" s="4"/>
    </row>
    <row r="552" spans="1:15" ht="15" customHeight="1" x14ac:dyDescent="0.25">
      <c r="A552" s="320">
        <v>155259</v>
      </c>
      <c r="B552" s="319" t="s">
        <v>552</v>
      </c>
      <c r="C552" s="331">
        <v>346</v>
      </c>
      <c r="D552" s="331">
        <v>445</v>
      </c>
      <c r="E552" s="331">
        <v>791</v>
      </c>
      <c r="F552" s="331">
        <v>14180531</v>
      </c>
      <c r="G552" s="331">
        <v>21211775</v>
      </c>
      <c r="H552" s="331">
        <v>35392306</v>
      </c>
      <c r="I552" s="331">
        <v>283359</v>
      </c>
      <c r="J552" s="319" t="s">
        <v>215</v>
      </c>
      <c r="K552" s="319" t="s">
        <v>771</v>
      </c>
      <c r="L552" s="319" t="s">
        <v>425</v>
      </c>
      <c r="M552" s="319" t="s">
        <v>68</v>
      </c>
      <c r="N552" s="2"/>
      <c r="O552" s="4"/>
    </row>
    <row r="553" spans="1:15" ht="15" x14ac:dyDescent="0.25">
      <c r="A553" s="320">
        <v>384750</v>
      </c>
      <c r="B553" s="319" t="s">
        <v>283</v>
      </c>
      <c r="C553" s="331">
        <v>358</v>
      </c>
      <c r="D553" s="331">
        <v>426</v>
      </c>
      <c r="E553" s="331">
        <v>784</v>
      </c>
      <c r="F553" s="331">
        <v>17641175</v>
      </c>
      <c r="G553" s="331">
        <v>26134254</v>
      </c>
      <c r="H553" s="331">
        <v>43775428</v>
      </c>
      <c r="I553" s="331">
        <v>51630</v>
      </c>
      <c r="J553" s="319" t="s">
        <v>1040</v>
      </c>
      <c r="K553" s="319" t="s">
        <v>772</v>
      </c>
      <c r="L553" s="319" t="s">
        <v>284</v>
      </c>
      <c r="M553" s="319" t="s">
        <v>154</v>
      </c>
      <c r="N553" s="2"/>
      <c r="O553" s="4"/>
    </row>
    <row r="554" spans="1:15" ht="15" customHeight="1" x14ac:dyDescent="0.25">
      <c r="A554" s="320">
        <v>294322</v>
      </c>
      <c r="B554" s="319" t="s">
        <v>827</v>
      </c>
      <c r="C554" s="331">
        <v>388</v>
      </c>
      <c r="D554" s="331">
        <v>394</v>
      </c>
      <c r="E554" s="331">
        <v>782</v>
      </c>
      <c r="F554" s="331">
        <v>14988893</v>
      </c>
      <c r="G554" s="331">
        <v>20148449</v>
      </c>
      <c r="H554" s="331">
        <v>35137343</v>
      </c>
      <c r="I554" s="331">
        <v>-144003</v>
      </c>
      <c r="J554" s="319" t="s">
        <v>181</v>
      </c>
      <c r="K554" s="319" t="s">
        <v>771</v>
      </c>
      <c r="L554" s="319" t="s">
        <v>493</v>
      </c>
      <c r="M554" s="319" t="s">
        <v>68</v>
      </c>
      <c r="N554" s="2"/>
      <c r="O554" s="4"/>
    </row>
    <row r="555" spans="1:15" ht="15" x14ac:dyDescent="0.25">
      <c r="A555" s="320">
        <v>482919</v>
      </c>
      <c r="B555" s="319" t="s">
        <v>652</v>
      </c>
      <c r="C555" s="331">
        <v>300</v>
      </c>
      <c r="D555" s="331">
        <v>479</v>
      </c>
      <c r="E555" s="331">
        <v>779</v>
      </c>
      <c r="F555" s="331">
        <v>42129677</v>
      </c>
      <c r="G555" s="331">
        <v>71877780</v>
      </c>
      <c r="H555" s="331">
        <v>114007457</v>
      </c>
      <c r="I555" s="331">
        <v>1648886</v>
      </c>
      <c r="J555" s="319" t="s">
        <v>181</v>
      </c>
      <c r="K555" s="319" t="s">
        <v>771</v>
      </c>
      <c r="L555" s="319" t="s">
        <v>867</v>
      </c>
      <c r="M555" s="319" t="s">
        <v>154</v>
      </c>
      <c r="N555" s="2"/>
      <c r="O555" s="4"/>
    </row>
    <row r="556" spans="1:15" ht="15" x14ac:dyDescent="0.25">
      <c r="A556" s="320">
        <v>222307</v>
      </c>
      <c r="B556" s="319" t="s">
        <v>850</v>
      </c>
      <c r="C556" s="331">
        <v>223</v>
      </c>
      <c r="D556" s="331">
        <v>544</v>
      </c>
      <c r="E556" s="331">
        <v>767</v>
      </c>
      <c r="F556" s="331">
        <v>16128019</v>
      </c>
      <c r="G556" s="331">
        <v>48323025</v>
      </c>
      <c r="H556" s="331">
        <v>64451043</v>
      </c>
      <c r="I556" s="331">
        <v>13288394</v>
      </c>
      <c r="J556" s="319" t="s">
        <v>219</v>
      </c>
      <c r="K556" s="319" t="s">
        <v>771</v>
      </c>
      <c r="L556" s="319" t="s">
        <v>229</v>
      </c>
      <c r="M556" s="319" t="s">
        <v>154</v>
      </c>
      <c r="N556" s="2"/>
      <c r="O556" s="4"/>
    </row>
    <row r="557" spans="1:15" ht="15" x14ac:dyDescent="0.25">
      <c r="A557" s="320">
        <v>297689</v>
      </c>
      <c r="B557" s="319" t="s">
        <v>480</v>
      </c>
      <c r="C557" s="331">
        <v>243</v>
      </c>
      <c r="D557" s="331">
        <v>523</v>
      </c>
      <c r="E557" s="331">
        <v>766</v>
      </c>
      <c r="F557" s="331">
        <v>14130049</v>
      </c>
      <c r="G557" s="331">
        <v>34799539</v>
      </c>
      <c r="H557" s="331">
        <v>48929589</v>
      </c>
      <c r="I557" s="331">
        <v>-1044508</v>
      </c>
      <c r="J557" s="319" t="s">
        <v>1047</v>
      </c>
      <c r="K557" s="319" t="s">
        <v>771</v>
      </c>
      <c r="L557" s="319" t="s">
        <v>399</v>
      </c>
      <c r="M557" s="319" t="s">
        <v>154</v>
      </c>
      <c r="N557" s="2"/>
      <c r="O557" s="4"/>
    </row>
    <row r="558" spans="1:15" ht="15" x14ac:dyDescent="0.25">
      <c r="A558" s="320">
        <v>395434</v>
      </c>
      <c r="B558" s="319" t="s">
        <v>132</v>
      </c>
      <c r="C558" s="331">
        <v>242</v>
      </c>
      <c r="D558" s="331">
        <v>519</v>
      </c>
      <c r="E558" s="331">
        <v>761</v>
      </c>
      <c r="F558" s="331">
        <v>9019506</v>
      </c>
      <c r="G558" s="331">
        <v>28957522</v>
      </c>
      <c r="H558" s="331">
        <v>37977028</v>
      </c>
      <c r="I558" s="331">
        <v>2417760</v>
      </c>
      <c r="J558" s="319" t="s">
        <v>298</v>
      </c>
      <c r="K558" s="319" t="s">
        <v>771</v>
      </c>
      <c r="L558" s="319" t="s">
        <v>742</v>
      </c>
      <c r="M558" s="319" t="s">
        <v>68</v>
      </c>
      <c r="N558" s="2"/>
      <c r="O558" s="4"/>
    </row>
    <row r="559" spans="1:15" ht="15" x14ac:dyDescent="0.25">
      <c r="A559" s="320">
        <v>116822</v>
      </c>
      <c r="B559" s="319" t="s">
        <v>736</v>
      </c>
      <c r="C559" s="331">
        <v>311</v>
      </c>
      <c r="D559" s="331">
        <v>441</v>
      </c>
      <c r="E559" s="331">
        <v>752</v>
      </c>
      <c r="F559" s="331">
        <v>16814022</v>
      </c>
      <c r="G559" s="331">
        <v>28406821</v>
      </c>
      <c r="H559" s="331">
        <v>45220843</v>
      </c>
      <c r="I559" s="331">
        <v>-1207819</v>
      </c>
      <c r="J559" s="319" t="s">
        <v>1047</v>
      </c>
      <c r="K559" s="319" t="s">
        <v>771</v>
      </c>
      <c r="L559" s="319" t="s">
        <v>464</v>
      </c>
      <c r="M559" s="319" t="s">
        <v>68</v>
      </c>
      <c r="N559" s="2"/>
      <c r="O559" s="4"/>
    </row>
    <row r="560" spans="1:15" ht="15" x14ac:dyDescent="0.25">
      <c r="A560" s="320">
        <v>296749</v>
      </c>
      <c r="B560" s="319" t="s">
        <v>970</v>
      </c>
      <c r="C560" s="331">
        <v>300</v>
      </c>
      <c r="D560" s="331">
        <v>451</v>
      </c>
      <c r="E560" s="331">
        <v>751</v>
      </c>
      <c r="F560" s="331">
        <v>16698284</v>
      </c>
      <c r="G560" s="331">
        <v>31005882</v>
      </c>
      <c r="H560" s="331">
        <v>47704165</v>
      </c>
      <c r="I560" s="331">
        <v>-20696</v>
      </c>
      <c r="J560" s="319" t="s">
        <v>253</v>
      </c>
      <c r="K560" s="319" t="s">
        <v>771</v>
      </c>
      <c r="L560" s="319" t="s">
        <v>955</v>
      </c>
      <c r="M560" s="319" t="s">
        <v>68</v>
      </c>
      <c r="N560" s="2"/>
      <c r="O560" s="4"/>
    </row>
    <row r="561" spans="1:15" ht="15" x14ac:dyDescent="0.25">
      <c r="A561" s="320">
        <v>804385</v>
      </c>
      <c r="B561" s="319" t="s">
        <v>783</v>
      </c>
      <c r="C561" s="331">
        <v>307</v>
      </c>
      <c r="D561" s="331">
        <v>439</v>
      </c>
      <c r="E561" s="331">
        <v>746</v>
      </c>
      <c r="F561" s="331">
        <v>14301800</v>
      </c>
      <c r="G561" s="331">
        <v>24009704</v>
      </c>
      <c r="H561" s="331">
        <v>38311503</v>
      </c>
      <c r="I561" s="331">
        <v>-176396</v>
      </c>
      <c r="J561" s="319" t="s">
        <v>1047</v>
      </c>
      <c r="K561" s="319" t="s">
        <v>771</v>
      </c>
      <c r="L561" s="319" t="s">
        <v>540</v>
      </c>
      <c r="M561" s="319" t="s">
        <v>68</v>
      </c>
      <c r="N561" s="2"/>
      <c r="O561" s="4"/>
    </row>
    <row r="562" spans="1:15" ht="15" x14ac:dyDescent="0.25">
      <c r="A562" s="320">
        <v>870907</v>
      </c>
      <c r="B562" s="319" t="s">
        <v>985</v>
      </c>
      <c r="C562" s="331">
        <v>209</v>
      </c>
      <c r="D562" s="331">
        <v>530</v>
      </c>
      <c r="E562" s="331">
        <v>739</v>
      </c>
      <c r="F562" s="331">
        <v>8153987</v>
      </c>
      <c r="G562" s="331">
        <v>25476558</v>
      </c>
      <c r="H562" s="331">
        <v>33630544</v>
      </c>
      <c r="I562" s="331">
        <v>832702</v>
      </c>
      <c r="J562" s="319" t="s">
        <v>295</v>
      </c>
      <c r="K562" s="319" t="s">
        <v>771</v>
      </c>
      <c r="L562" s="319" t="s">
        <v>608</v>
      </c>
      <c r="M562" s="319" t="s">
        <v>68</v>
      </c>
      <c r="N562" s="2"/>
      <c r="O562" s="4"/>
    </row>
    <row r="563" spans="1:15" ht="15" x14ac:dyDescent="0.25">
      <c r="A563" s="320">
        <v>587279</v>
      </c>
      <c r="B563" s="319" t="s">
        <v>896</v>
      </c>
      <c r="C563" s="331">
        <v>432</v>
      </c>
      <c r="D563" s="331">
        <v>299</v>
      </c>
      <c r="E563" s="331">
        <v>731</v>
      </c>
      <c r="F563" s="331">
        <v>32279672</v>
      </c>
      <c r="G563" s="331">
        <v>24178485</v>
      </c>
      <c r="H563" s="331">
        <v>56458157</v>
      </c>
      <c r="I563" s="331">
        <v>-1810286</v>
      </c>
      <c r="J563" s="319" t="s">
        <v>219</v>
      </c>
      <c r="K563" s="319" t="s">
        <v>771</v>
      </c>
      <c r="L563" s="319" t="s">
        <v>807</v>
      </c>
      <c r="M563" s="319" t="s">
        <v>68</v>
      </c>
      <c r="N563" s="2"/>
      <c r="O563" s="4"/>
    </row>
    <row r="564" spans="1:15" ht="15" customHeight="1" x14ac:dyDescent="0.25">
      <c r="A564" s="320">
        <v>356063</v>
      </c>
      <c r="B564" s="319" t="s">
        <v>631</v>
      </c>
      <c r="C564" s="331">
        <v>288</v>
      </c>
      <c r="D564" s="331">
        <v>442</v>
      </c>
      <c r="E564" s="331">
        <v>730</v>
      </c>
      <c r="F564" s="331">
        <v>16008246</v>
      </c>
      <c r="G564" s="331">
        <v>29761444</v>
      </c>
      <c r="H564" s="331">
        <v>45769690</v>
      </c>
      <c r="I564" s="331">
        <v>-2204700</v>
      </c>
      <c r="J564" s="319" t="s">
        <v>1046</v>
      </c>
      <c r="K564" s="319" t="s">
        <v>771</v>
      </c>
      <c r="L564" s="319" t="s">
        <v>629</v>
      </c>
      <c r="M564" s="319" t="s">
        <v>68</v>
      </c>
      <c r="N564" s="2"/>
      <c r="O564" s="4"/>
    </row>
    <row r="565" spans="1:15" ht="15" customHeight="1" x14ac:dyDescent="0.25">
      <c r="A565" s="320">
        <v>440065</v>
      </c>
      <c r="B565" s="319" t="s">
        <v>701</v>
      </c>
      <c r="C565" s="331">
        <v>324</v>
      </c>
      <c r="D565" s="331">
        <v>405</v>
      </c>
      <c r="E565" s="331">
        <v>729</v>
      </c>
      <c r="F565" s="331">
        <v>17372485</v>
      </c>
      <c r="G565" s="331">
        <v>25600175</v>
      </c>
      <c r="H565" s="331">
        <v>42972661</v>
      </c>
      <c r="I565" s="331">
        <v>-148658</v>
      </c>
      <c r="J565" s="319" t="s">
        <v>1046</v>
      </c>
      <c r="K565" s="319" t="s">
        <v>771</v>
      </c>
      <c r="L565" s="319" t="s">
        <v>955</v>
      </c>
      <c r="M565" s="319" t="s">
        <v>68</v>
      </c>
      <c r="N565" s="2"/>
      <c r="O565" s="4"/>
    </row>
    <row r="566" spans="1:15" ht="15" x14ac:dyDescent="0.25">
      <c r="A566" s="320">
        <v>993097</v>
      </c>
      <c r="B566" s="319" t="s">
        <v>690</v>
      </c>
      <c r="C566" s="331">
        <v>407</v>
      </c>
      <c r="D566" s="331">
        <v>316</v>
      </c>
      <c r="E566" s="331">
        <v>723</v>
      </c>
      <c r="F566" s="331">
        <v>38541611</v>
      </c>
      <c r="G566" s="331">
        <v>35305375</v>
      </c>
      <c r="H566" s="331">
        <v>73846987</v>
      </c>
      <c r="I566" s="331">
        <v>-408035</v>
      </c>
      <c r="J566" s="319" t="s">
        <v>181</v>
      </c>
      <c r="K566" s="319" t="s">
        <v>771</v>
      </c>
      <c r="L566" s="319" t="s">
        <v>826</v>
      </c>
      <c r="M566" s="319" t="s">
        <v>154</v>
      </c>
      <c r="N566" s="2"/>
      <c r="O566" s="4"/>
    </row>
    <row r="567" spans="1:15" ht="15" x14ac:dyDescent="0.25">
      <c r="A567" s="320">
        <v>336115</v>
      </c>
      <c r="B567" s="319" t="s">
        <v>446</v>
      </c>
      <c r="C567" s="331">
        <v>289</v>
      </c>
      <c r="D567" s="331">
        <v>425</v>
      </c>
      <c r="E567" s="331">
        <v>714</v>
      </c>
      <c r="F567" s="331">
        <v>9620984</v>
      </c>
      <c r="G567" s="331">
        <v>17127691</v>
      </c>
      <c r="H567" s="331">
        <v>26748675</v>
      </c>
      <c r="I567" s="331">
        <v>-1102282</v>
      </c>
      <c r="J567" s="319" t="s">
        <v>1034</v>
      </c>
      <c r="K567" s="319" t="s">
        <v>772</v>
      </c>
      <c r="L567" s="319" t="s">
        <v>408</v>
      </c>
      <c r="M567" s="319" t="s">
        <v>68</v>
      </c>
      <c r="N567" s="2"/>
      <c r="O567" s="4"/>
    </row>
    <row r="568" spans="1:15" ht="15" x14ac:dyDescent="0.25">
      <c r="A568" s="320">
        <v>174672</v>
      </c>
      <c r="B568" s="319" t="s">
        <v>496</v>
      </c>
      <c r="C568" s="331">
        <v>301</v>
      </c>
      <c r="D568" s="331">
        <v>411</v>
      </c>
      <c r="E568" s="331">
        <v>712</v>
      </c>
      <c r="F568" s="331">
        <v>9295371</v>
      </c>
      <c r="G568" s="331">
        <v>16129360</v>
      </c>
      <c r="H568" s="331">
        <v>25424731</v>
      </c>
      <c r="I568" s="331">
        <v>-394638</v>
      </c>
      <c r="J568" s="319" t="s">
        <v>361</v>
      </c>
      <c r="K568" s="319" t="s">
        <v>771</v>
      </c>
      <c r="L568" s="319" t="s">
        <v>453</v>
      </c>
      <c r="M568" s="319" t="s">
        <v>68</v>
      </c>
      <c r="N568" s="2"/>
      <c r="O568" s="4"/>
    </row>
    <row r="569" spans="1:15" ht="15" x14ac:dyDescent="0.25">
      <c r="A569" s="320">
        <v>317404</v>
      </c>
      <c r="B569" s="319" t="s">
        <v>481</v>
      </c>
      <c r="C569" s="331">
        <v>365</v>
      </c>
      <c r="D569" s="331">
        <v>343</v>
      </c>
      <c r="E569" s="331">
        <v>708</v>
      </c>
      <c r="F569" s="331">
        <v>12140905</v>
      </c>
      <c r="G569" s="331">
        <v>13486671</v>
      </c>
      <c r="H569" s="331">
        <v>25627577</v>
      </c>
      <c r="I569" s="331">
        <v>-189935</v>
      </c>
      <c r="J569" s="319" t="s">
        <v>215</v>
      </c>
      <c r="K569" s="319" t="s">
        <v>771</v>
      </c>
      <c r="L569" s="319" t="s">
        <v>453</v>
      </c>
      <c r="M569" s="319" t="s">
        <v>68</v>
      </c>
      <c r="N569" s="2"/>
      <c r="O569" s="4"/>
    </row>
    <row r="570" spans="1:15" ht="15" customHeight="1" x14ac:dyDescent="0.25">
      <c r="A570" s="320">
        <v>290668</v>
      </c>
      <c r="B570" s="319" t="s">
        <v>521</v>
      </c>
      <c r="C570" s="331">
        <v>323</v>
      </c>
      <c r="D570" s="331">
        <v>385</v>
      </c>
      <c r="E570" s="331">
        <v>708</v>
      </c>
      <c r="F570" s="331">
        <v>12748575</v>
      </c>
      <c r="G570" s="331">
        <v>17975942</v>
      </c>
      <c r="H570" s="331">
        <v>30724517</v>
      </c>
      <c r="I570" s="331">
        <v>-133995</v>
      </c>
      <c r="J570" s="319" t="s">
        <v>181</v>
      </c>
      <c r="K570" s="319" t="s">
        <v>771</v>
      </c>
      <c r="L570" s="319" t="s">
        <v>294</v>
      </c>
      <c r="M570" s="319" t="s">
        <v>68</v>
      </c>
      <c r="N570" s="2"/>
      <c r="O570" s="4"/>
    </row>
    <row r="571" spans="1:15" ht="15" x14ac:dyDescent="0.25">
      <c r="A571" s="320">
        <v>242495</v>
      </c>
      <c r="B571" s="319" t="s">
        <v>2036</v>
      </c>
      <c r="C571" s="331">
        <v>299</v>
      </c>
      <c r="D571" s="331">
        <v>407</v>
      </c>
      <c r="E571" s="331">
        <v>706</v>
      </c>
      <c r="F571" s="331">
        <v>15889188</v>
      </c>
      <c r="G571" s="331">
        <v>25009171</v>
      </c>
      <c r="H571" s="331">
        <v>40898359</v>
      </c>
      <c r="I571" s="331">
        <v>-257957</v>
      </c>
      <c r="J571" s="319" t="s">
        <v>318</v>
      </c>
      <c r="K571" s="319" t="s">
        <v>771</v>
      </c>
      <c r="L571" s="319" t="s">
        <v>224</v>
      </c>
      <c r="M571" s="319" t="s">
        <v>68</v>
      </c>
      <c r="N571" s="2"/>
      <c r="O571" s="4"/>
    </row>
    <row r="572" spans="1:15" ht="15" x14ac:dyDescent="0.25">
      <c r="A572" s="320">
        <v>682070</v>
      </c>
      <c r="B572" s="319" t="s">
        <v>611</v>
      </c>
      <c r="C572" s="331">
        <v>227</v>
      </c>
      <c r="D572" s="331">
        <v>470</v>
      </c>
      <c r="E572" s="331">
        <v>697</v>
      </c>
      <c r="F572" s="331">
        <v>10770284</v>
      </c>
      <c r="G572" s="331">
        <v>25788503</v>
      </c>
      <c r="H572" s="331">
        <v>36558787</v>
      </c>
      <c r="I572" s="331">
        <v>-211441</v>
      </c>
      <c r="J572" s="319" t="s">
        <v>215</v>
      </c>
      <c r="K572" s="319" t="s">
        <v>771</v>
      </c>
      <c r="L572" s="319" t="s">
        <v>742</v>
      </c>
      <c r="M572" s="319" t="s">
        <v>68</v>
      </c>
      <c r="N572" s="2"/>
      <c r="O572" s="4"/>
    </row>
    <row r="573" spans="1:15" ht="15" x14ac:dyDescent="0.25">
      <c r="A573" s="320">
        <v>757575</v>
      </c>
      <c r="B573" s="319" t="s">
        <v>556</v>
      </c>
      <c r="C573" s="331">
        <v>259</v>
      </c>
      <c r="D573" s="331">
        <v>434</v>
      </c>
      <c r="E573" s="331">
        <v>693</v>
      </c>
      <c r="F573" s="331">
        <v>13472241</v>
      </c>
      <c r="G573" s="331">
        <v>26409842</v>
      </c>
      <c r="H573" s="331">
        <v>39882083</v>
      </c>
      <c r="I573" s="331">
        <v>-628030</v>
      </c>
      <c r="J573" s="319" t="s">
        <v>201</v>
      </c>
      <c r="K573" s="319" t="s">
        <v>771</v>
      </c>
      <c r="L573" s="319" t="s">
        <v>408</v>
      </c>
      <c r="M573" s="319" t="s">
        <v>68</v>
      </c>
      <c r="N573" s="2"/>
      <c r="O573" s="4"/>
    </row>
    <row r="574" spans="1:15" ht="15" x14ac:dyDescent="0.25">
      <c r="A574" s="320">
        <v>925099</v>
      </c>
      <c r="B574" s="319" t="s">
        <v>709</v>
      </c>
      <c r="C574" s="331">
        <v>258</v>
      </c>
      <c r="D574" s="331">
        <v>430</v>
      </c>
      <c r="E574" s="331">
        <v>688</v>
      </c>
      <c r="F574" s="331">
        <v>11105830</v>
      </c>
      <c r="G574" s="331">
        <v>25921361</v>
      </c>
      <c r="H574" s="331">
        <v>37027192</v>
      </c>
      <c r="I574" s="331">
        <v>-2081778</v>
      </c>
      <c r="J574" s="319" t="s">
        <v>373</v>
      </c>
      <c r="K574" s="319" t="s">
        <v>771</v>
      </c>
      <c r="L574" s="319" t="s">
        <v>955</v>
      </c>
      <c r="M574" s="319" t="s">
        <v>68</v>
      </c>
      <c r="N574" s="2"/>
      <c r="O574" s="4"/>
    </row>
    <row r="575" spans="1:15" ht="15" x14ac:dyDescent="0.25">
      <c r="A575" s="320">
        <v>971077</v>
      </c>
      <c r="B575" s="319" t="s">
        <v>945</v>
      </c>
      <c r="C575" s="331">
        <v>239</v>
      </c>
      <c r="D575" s="331">
        <v>441</v>
      </c>
      <c r="E575" s="331">
        <v>680</v>
      </c>
      <c r="F575" s="331">
        <v>11388056</v>
      </c>
      <c r="G575" s="331">
        <v>24955110</v>
      </c>
      <c r="H575" s="331">
        <v>36343165</v>
      </c>
      <c r="I575" s="331">
        <v>2117895</v>
      </c>
      <c r="J575" s="319" t="s">
        <v>295</v>
      </c>
      <c r="K575" s="319" t="s">
        <v>771</v>
      </c>
      <c r="L575" s="319" t="s">
        <v>178</v>
      </c>
      <c r="M575" s="319" t="s">
        <v>154</v>
      </c>
      <c r="N575" s="2"/>
      <c r="O575" s="4"/>
    </row>
    <row r="576" spans="1:15" ht="15" customHeight="1" x14ac:dyDescent="0.25">
      <c r="A576" s="320">
        <v>946228</v>
      </c>
      <c r="B576" s="319" t="s">
        <v>764</v>
      </c>
      <c r="C576" s="331">
        <v>212</v>
      </c>
      <c r="D576" s="331">
        <v>468</v>
      </c>
      <c r="E576" s="331">
        <v>680</v>
      </c>
      <c r="F576" s="331">
        <v>6426947</v>
      </c>
      <c r="G576" s="331">
        <v>17906026</v>
      </c>
      <c r="H576" s="331">
        <v>24332973</v>
      </c>
      <c r="I576" s="331">
        <v>-746675</v>
      </c>
      <c r="J576" s="319" t="s">
        <v>298</v>
      </c>
      <c r="K576" s="319" t="s">
        <v>771</v>
      </c>
      <c r="L576" s="319" t="s">
        <v>155</v>
      </c>
      <c r="M576" s="319" t="s">
        <v>154</v>
      </c>
      <c r="N576" s="2"/>
      <c r="O576" s="4"/>
    </row>
    <row r="577" spans="1:15" ht="15" x14ac:dyDescent="0.25">
      <c r="A577" s="320">
        <v>602094</v>
      </c>
      <c r="B577" s="319" t="s">
        <v>642</v>
      </c>
      <c r="C577" s="331">
        <v>294</v>
      </c>
      <c r="D577" s="331">
        <v>371</v>
      </c>
      <c r="E577" s="331">
        <v>665</v>
      </c>
      <c r="F577" s="331">
        <v>10201716</v>
      </c>
      <c r="G577" s="331">
        <v>16131953</v>
      </c>
      <c r="H577" s="331">
        <v>26333669</v>
      </c>
      <c r="I577" s="331">
        <v>-132473</v>
      </c>
      <c r="J577" s="319" t="s">
        <v>1048</v>
      </c>
      <c r="K577" s="319" t="s">
        <v>771</v>
      </c>
      <c r="L577" s="319" t="s">
        <v>184</v>
      </c>
      <c r="M577" s="319" t="s">
        <v>154</v>
      </c>
      <c r="N577" s="2"/>
      <c r="O577" s="4"/>
    </row>
    <row r="578" spans="1:15" ht="15" x14ac:dyDescent="0.25">
      <c r="A578" s="320">
        <v>490706</v>
      </c>
      <c r="B578" s="319" t="s">
        <v>1158</v>
      </c>
      <c r="C578" s="331">
        <v>365</v>
      </c>
      <c r="D578" s="331">
        <v>296</v>
      </c>
      <c r="E578" s="331">
        <v>661</v>
      </c>
      <c r="F578" s="331">
        <v>14919328</v>
      </c>
      <c r="G578" s="331">
        <v>14531216</v>
      </c>
      <c r="H578" s="331">
        <v>29450544</v>
      </c>
      <c r="I578" s="331">
        <v>-349718</v>
      </c>
      <c r="J578" s="319" t="s">
        <v>1024</v>
      </c>
      <c r="K578" s="319" t="s">
        <v>768</v>
      </c>
      <c r="L578" s="319" t="s">
        <v>237</v>
      </c>
      <c r="M578" s="319" t="s">
        <v>154</v>
      </c>
      <c r="N578" s="2"/>
      <c r="O578" s="4"/>
    </row>
    <row r="579" spans="1:15" ht="15" x14ac:dyDescent="0.25">
      <c r="A579" s="320">
        <v>920439</v>
      </c>
      <c r="B579" s="319" t="s">
        <v>922</v>
      </c>
      <c r="C579" s="331">
        <v>279</v>
      </c>
      <c r="D579" s="331">
        <v>381</v>
      </c>
      <c r="E579" s="331">
        <v>660</v>
      </c>
      <c r="F579" s="331">
        <v>7944613</v>
      </c>
      <c r="G579" s="331">
        <v>14829467</v>
      </c>
      <c r="H579" s="331">
        <v>22774079</v>
      </c>
      <c r="I579" s="331">
        <v>93955</v>
      </c>
      <c r="J579" s="319" t="s">
        <v>201</v>
      </c>
      <c r="K579" s="319" t="s">
        <v>771</v>
      </c>
      <c r="L579" s="319" t="s">
        <v>773</v>
      </c>
      <c r="M579" s="319" t="s">
        <v>68</v>
      </c>
      <c r="N579" s="2"/>
      <c r="O579" s="4"/>
    </row>
    <row r="580" spans="1:15" ht="15" x14ac:dyDescent="0.25">
      <c r="A580" s="320">
        <v>318469</v>
      </c>
      <c r="B580" s="319" t="s">
        <v>533</v>
      </c>
      <c r="C580" s="331">
        <v>250</v>
      </c>
      <c r="D580" s="331">
        <v>404</v>
      </c>
      <c r="E580" s="331">
        <v>654</v>
      </c>
      <c r="F580" s="331">
        <v>10719713</v>
      </c>
      <c r="G580" s="331">
        <v>24073405</v>
      </c>
      <c r="H580" s="331">
        <v>34793118</v>
      </c>
      <c r="I580" s="331">
        <v>-1061141</v>
      </c>
      <c r="J580" s="319" t="s">
        <v>298</v>
      </c>
      <c r="K580" s="319" t="s">
        <v>771</v>
      </c>
      <c r="L580" s="319" t="s">
        <v>354</v>
      </c>
      <c r="M580" s="319" t="s">
        <v>68</v>
      </c>
      <c r="N580" s="2"/>
      <c r="O580" s="4"/>
    </row>
    <row r="581" spans="1:15" ht="15" x14ac:dyDescent="0.25">
      <c r="A581" s="320">
        <v>331686</v>
      </c>
      <c r="B581" s="319" t="s">
        <v>189</v>
      </c>
      <c r="C581" s="331">
        <v>271</v>
      </c>
      <c r="D581" s="331">
        <v>370</v>
      </c>
      <c r="E581" s="331">
        <v>641</v>
      </c>
      <c r="F581" s="331">
        <v>16968359</v>
      </c>
      <c r="G581" s="331">
        <v>32541333</v>
      </c>
      <c r="H581" s="331">
        <v>49509692</v>
      </c>
      <c r="I581" s="331">
        <v>-1085340</v>
      </c>
      <c r="J581" s="319" t="s">
        <v>1044</v>
      </c>
      <c r="K581" s="319" t="s">
        <v>772</v>
      </c>
      <c r="L581" s="319" t="s">
        <v>178</v>
      </c>
      <c r="M581" s="319" t="s">
        <v>154</v>
      </c>
      <c r="N581" s="2"/>
      <c r="O581" s="4"/>
    </row>
    <row r="582" spans="1:15" ht="15" x14ac:dyDescent="0.25">
      <c r="A582" s="320">
        <v>316752</v>
      </c>
      <c r="B582" s="319" t="s">
        <v>346</v>
      </c>
      <c r="C582" s="331">
        <v>317</v>
      </c>
      <c r="D582" s="331">
        <v>318</v>
      </c>
      <c r="E582" s="331">
        <v>635</v>
      </c>
      <c r="F582" s="331">
        <v>10940501</v>
      </c>
      <c r="G582" s="331">
        <v>13744125</v>
      </c>
      <c r="H582" s="331">
        <v>24684626</v>
      </c>
      <c r="I582" s="331">
        <v>-790885</v>
      </c>
      <c r="J582" s="319" t="s">
        <v>1038</v>
      </c>
      <c r="K582" s="319" t="s">
        <v>772</v>
      </c>
      <c r="L582" s="319" t="s">
        <v>955</v>
      </c>
      <c r="M582" s="319" t="s">
        <v>68</v>
      </c>
      <c r="N582" s="2"/>
      <c r="O582" s="4"/>
    </row>
    <row r="583" spans="1:15" ht="15" x14ac:dyDescent="0.25">
      <c r="A583" s="320">
        <v>912220</v>
      </c>
      <c r="B583" s="319" t="s">
        <v>279</v>
      </c>
      <c r="C583" s="331">
        <v>271</v>
      </c>
      <c r="D583" s="331">
        <v>354</v>
      </c>
      <c r="E583" s="331">
        <v>625</v>
      </c>
      <c r="F583" s="331">
        <v>12138106</v>
      </c>
      <c r="G583" s="331">
        <v>20237720</v>
      </c>
      <c r="H583" s="331">
        <v>32375826</v>
      </c>
      <c r="I583" s="331">
        <v>-1910221</v>
      </c>
      <c r="J583" s="319" t="s">
        <v>181</v>
      </c>
      <c r="K583" s="319" t="s">
        <v>771</v>
      </c>
      <c r="L583" s="319" t="s">
        <v>178</v>
      </c>
      <c r="M583" s="319" t="s">
        <v>154</v>
      </c>
      <c r="N583" s="2"/>
      <c r="O583" s="4"/>
    </row>
    <row r="584" spans="1:15" ht="15" customHeight="1" x14ac:dyDescent="0.25">
      <c r="A584" s="320">
        <v>691105</v>
      </c>
      <c r="B584" s="319" t="s">
        <v>979</v>
      </c>
      <c r="C584" s="331">
        <v>304</v>
      </c>
      <c r="D584" s="331">
        <v>321</v>
      </c>
      <c r="E584" s="331">
        <v>625</v>
      </c>
      <c r="F584" s="331">
        <v>39016477</v>
      </c>
      <c r="G584" s="331">
        <v>48994896</v>
      </c>
      <c r="H584" s="331">
        <v>88011373</v>
      </c>
      <c r="I584" s="331">
        <v>9533460</v>
      </c>
      <c r="J584" s="319" t="s">
        <v>1024</v>
      </c>
      <c r="K584" s="319" t="s">
        <v>768</v>
      </c>
      <c r="L584" s="319" t="s">
        <v>171</v>
      </c>
      <c r="M584" s="319" t="s">
        <v>154</v>
      </c>
      <c r="N584" s="2"/>
      <c r="O584" s="4"/>
    </row>
    <row r="585" spans="1:15" ht="15" x14ac:dyDescent="0.25">
      <c r="A585" s="320">
        <v>487108</v>
      </c>
      <c r="B585" s="319" t="s">
        <v>728</v>
      </c>
      <c r="C585" s="331">
        <v>206</v>
      </c>
      <c r="D585" s="331">
        <v>416</v>
      </c>
      <c r="E585" s="331">
        <v>622</v>
      </c>
      <c r="F585" s="331">
        <v>11981277</v>
      </c>
      <c r="G585" s="331">
        <v>29837695</v>
      </c>
      <c r="H585" s="331">
        <v>41818972</v>
      </c>
      <c r="I585" s="331">
        <v>1934504</v>
      </c>
      <c r="J585" s="319" t="s">
        <v>1026</v>
      </c>
      <c r="K585" s="319" t="s">
        <v>771</v>
      </c>
      <c r="L585" s="319" t="s">
        <v>414</v>
      </c>
      <c r="M585" s="319" t="s">
        <v>154</v>
      </c>
      <c r="N585" s="2"/>
      <c r="O585" s="4"/>
    </row>
    <row r="586" spans="1:15" ht="15" x14ac:dyDescent="0.25">
      <c r="A586" s="320">
        <v>878223</v>
      </c>
      <c r="B586" s="319" t="s">
        <v>1082</v>
      </c>
      <c r="C586" s="331">
        <v>158</v>
      </c>
      <c r="D586" s="331">
        <v>463</v>
      </c>
      <c r="E586" s="331">
        <v>621</v>
      </c>
      <c r="F586" s="331">
        <v>5757091</v>
      </c>
      <c r="G586" s="331">
        <v>26122585</v>
      </c>
      <c r="H586" s="331">
        <v>31879675</v>
      </c>
      <c r="I586" s="331">
        <v>1420113</v>
      </c>
      <c r="J586" s="319" t="s">
        <v>295</v>
      </c>
      <c r="K586" s="319" t="s">
        <v>771</v>
      </c>
      <c r="L586" s="319" t="s">
        <v>686</v>
      </c>
      <c r="M586" s="319" t="s">
        <v>154</v>
      </c>
      <c r="N586" s="2"/>
      <c r="O586" s="4"/>
    </row>
    <row r="587" spans="1:15" ht="15" x14ac:dyDescent="0.25">
      <c r="A587" s="320">
        <v>303230</v>
      </c>
      <c r="B587" s="319" t="s">
        <v>515</v>
      </c>
      <c r="C587" s="331">
        <v>251</v>
      </c>
      <c r="D587" s="331">
        <v>363</v>
      </c>
      <c r="E587" s="331">
        <v>614</v>
      </c>
      <c r="F587" s="331">
        <v>7965687</v>
      </c>
      <c r="G587" s="331">
        <v>15478423</v>
      </c>
      <c r="H587" s="331">
        <v>23444110</v>
      </c>
      <c r="I587" s="331">
        <v>476656</v>
      </c>
      <c r="J587" s="319" t="s">
        <v>1024</v>
      </c>
      <c r="K587" s="319" t="s">
        <v>768</v>
      </c>
      <c r="L587" s="319" t="s">
        <v>749</v>
      </c>
      <c r="M587" s="319" t="s">
        <v>68</v>
      </c>
      <c r="N587" s="2"/>
      <c r="O587" s="4"/>
    </row>
    <row r="588" spans="1:15" ht="15" customHeight="1" x14ac:dyDescent="0.25">
      <c r="A588" s="320">
        <v>304659</v>
      </c>
      <c r="B588" s="319" t="s">
        <v>489</v>
      </c>
      <c r="C588" s="331">
        <v>239</v>
      </c>
      <c r="D588" s="331">
        <v>373</v>
      </c>
      <c r="E588" s="331">
        <v>612</v>
      </c>
      <c r="F588" s="331">
        <v>11391535</v>
      </c>
      <c r="G588" s="331">
        <v>22576150</v>
      </c>
      <c r="H588" s="331">
        <v>33967684</v>
      </c>
      <c r="I588" s="331">
        <v>-173115</v>
      </c>
      <c r="J588" s="319" t="s">
        <v>1047</v>
      </c>
      <c r="K588" s="319" t="s">
        <v>771</v>
      </c>
      <c r="L588" s="319" t="s">
        <v>375</v>
      </c>
      <c r="M588" s="319" t="s">
        <v>68</v>
      </c>
      <c r="N588" s="2"/>
      <c r="O588" s="4"/>
    </row>
    <row r="589" spans="1:15" ht="15" x14ac:dyDescent="0.25">
      <c r="A589" s="320">
        <v>613729</v>
      </c>
      <c r="B589" s="319" t="s">
        <v>310</v>
      </c>
      <c r="C589" s="331">
        <v>315</v>
      </c>
      <c r="D589" s="331">
        <v>288</v>
      </c>
      <c r="E589" s="331">
        <v>603</v>
      </c>
      <c r="F589" s="331">
        <v>18559139</v>
      </c>
      <c r="G589" s="331">
        <v>19763232</v>
      </c>
      <c r="H589" s="331">
        <v>38322371</v>
      </c>
      <c r="I589" s="331">
        <v>398689</v>
      </c>
      <c r="J589" s="319" t="s">
        <v>181</v>
      </c>
      <c r="K589" s="319" t="s">
        <v>771</v>
      </c>
      <c r="L589" s="319" t="s">
        <v>207</v>
      </c>
      <c r="M589" s="319" t="s">
        <v>154</v>
      </c>
      <c r="N589" s="2"/>
      <c r="O589" s="4"/>
    </row>
    <row r="590" spans="1:15" ht="15" x14ac:dyDescent="0.25">
      <c r="A590" s="320">
        <v>787671</v>
      </c>
      <c r="B590" s="319" t="s">
        <v>982</v>
      </c>
      <c r="C590" s="331">
        <v>301</v>
      </c>
      <c r="D590" s="331">
        <v>299</v>
      </c>
      <c r="E590" s="331">
        <v>600</v>
      </c>
      <c r="F590" s="331">
        <v>70677247</v>
      </c>
      <c r="G590" s="331">
        <v>83985186</v>
      </c>
      <c r="H590" s="331">
        <v>154662433</v>
      </c>
      <c r="I590" s="331">
        <v>293072</v>
      </c>
      <c r="J590" s="319" t="s">
        <v>1024</v>
      </c>
      <c r="K590" s="319" t="s">
        <v>768</v>
      </c>
      <c r="L590" s="319" t="s">
        <v>975</v>
      </c>
      <c r="M590" s="319" t="s">
        <v>154</v>
      </c>
      <c r="N590" s="2"/>
      <c r="O590" s="4"/>
    </row>
    <row r="591" spans="1:15" ht="15" x14ac:dyDescent="0.25">
      <c r="A591" s="320">
        <v>521104</v>
      </c>
      <c r="B591" s="319" t="s">
        <v>779</v>
      </c>
      <c r="C591" s="331">
        <v>279</v>
      </c>
      <c r="D591" s="331">
        <v>315</v>
      </c>
      <c r="E591" s="331">
        <v>594</v>
      </c>
      <c r="F591" s="331">
        <v>10408581</v>
      </c>
      <c r="G591" s="331">
        <v>17812376</v>
      </c>
      <c r="H591" s="331">
        <v>28220957</v>
      </c>
      <c r="I591" s="331">
        <v>5808248</v>
      </c>
      <c r="J591" s="319" t="s">
        <v>318</v>
      </c>
      <c r="K591" s="319" t="s">
        <v>771</v>
      </c>
      <c r="L591" s="319" t="s">
        <v>323</v>
      </c>
      <c r="M591" s="319" t="s">
        <v>68</v>
      </c>
      <c r="N591" s="2"/>
      <c r="O591" s="4"/>
    </row>
    <row r="592" spans="1:15" ht="15" x14ac:dyDescent="0.25">
      <c r="A592" s="320">
        <v>887497</v>
      </c>
      <c r="B592" s="319" t="s">
        <v>696</v>
      </c>
      <c r="C592" s="331">
        <v>191</v>
      </c>
      <c r="D592" s="331">
        <v>401</v>
      </c>
      <c r="E592" s="331">
        <v>592</v>
      </c>
      <c r="F592" s="331">
        <v>6481145</v>
      </c>
      <c r="G592" s="331">
        <v>17344139</v>
      </c>
      <c r="H592" s="331">
        <v>23825284</v>
      </c>
      <c r="I592" s="331">
        <v>7326</v>
      </c>
      <c r="J592" s="319" t="s">
        <v>1045</v>
      </c>
      <c r="K592" s="319" t="s">
        <v>771</v>
      </c>
      <c r="L592" s="319" t="s">
        <v>955</v>
      </c>
      <c r="M592" s="319" t="s">
        <v>68</v>
      </c>
      <c r="N592" s="2"/>
      <c r="O592" s="4"/>
    </row>
    <row r="593" spans="1:15" ht="15" x14ac:dyDescent="0.25">
      <c r="A593" s="320">
        <v>250878</v>
      </c>
      <c r="B593" s="319" t="s">
        <v>738</v>
      </c>
      <c r="C593" s="331">
        <v>198</v>
      </c>
      <c r="D593" s="331">
        <v>393</v>
      </c>
      <c r="E593" s="331">
        <v>591</v>
      </c>
      <c r="F593" s="331">
        <v>7732829</v>
      </c>
      <c r="G593" s="331">
        <v>18696543</v>
      </c>
      <c r="H593" s="331">
        <v>26429371</v>
      </c>
      <c r="I593" s="331">
        <v>135300</v>
      </c>
      <c r="J593" s="319" t="s">
        <v>1048</v>
      </c>
      <c r="K593" s="319" t="s">
        <v>771</v>
      </c>
      <c r="L593" s="319" t="s">
        <v>742</v>
      </c>
      <c r="M593" s="319" t="s">
        <v>68</v>
      </c>
      <c r="N593" s="2"/>
      <c r="O593" s="4"/>
    </row>
    <row r="594" spans="1:15" ht="15" x14ac:dyDescent="0.25">
      <c r="A594" s="320">
        <v>154369</v>
      </c>
      <c r="B594" s="319" t="s">
        <v>549</v>
      </c>
      <c r="C594" s="331">
        <v>236</v>
      </c>
      <c r="D594" s="331">
        <v>355</v>
      </c>
      <c r="E594" s="331">
        <v>591</v>
      </c>
      <c r="F594" s="331">
        <v>9040911</v>
      </c>
      <c r="G594" s="331">
        <v>15671192</v>
      </c>
      <c r="H594" s="331">
        <v>24712103</v>
      </c>
      <c r="I594" s="331">
        <v>-396892</v>
      </c>
      <c r="J594" s="319" t="s">
        <v>298</v>
      </c>
      <c r="K594" s="319" t="s">
        <v>771</v>
      </c>
      <c r="L594" s="319" t="s">
        <v>399</v>
      </c>
      <c r="M594" s="319" t="s">
        <v>154</v>
      </c>
      <c r="N594" s="2"/>
      <c r="O594" s="4"/>
    </row>
    <row r="595" spans="1:15" ht="15" x14ac:dyDescent="0.25">
      <c r="A595" s="320">
        <v>103010</v>
      </c>
      <c r="B595" s="319" t="s">
        <v>456</v>
      </c>
      <c r="C595" s="331">
        <v>256</v>
      </c>
      <c r="D595" s="331">
        <v>331</v>
      </c>
      <c r="E595" s="331">
        <v>587</v>
      </c>
      <c r="F595" s="331">
        <v>9369555</v>
      </c>
      <c r="G595" s="331">
        <v>14178888</v>
      </c>
      <c r="H595" s="331">
        <v>23548443</v>
      </c>
      <c r="I595" s="331">
        <v>-382187</v>
      </c>
      <c r="J595" s="319" t="s">
        <v>1034</v>
      </c>
      <c r="K595" s="319" t="s">
        <v>772</v>
      </c>
      <c r="L595" s="319" t="s">
        <v>453</v>
      </c>
      <c r="M595" s="319" t="s">
        <v>68</v>
      </c>
      <c r="N595" s="2"/>
      <c r="O595" s="4"/>
    </row>
    <row r="596" spans="1:15" ht="15" x14ac:dyDescent="0.25">
      <c r="A596" s="320">
        <v>107201</v>
      </c>
      <c r="B596" s="319" t="s">
        <v>747</v>
      </c>
      <c r="C596" s="331">
        <v>234</v>
      </c>
      <c r="D596" s="331">
        <v>349</v>
      </c>
      <c r="E596" s="331">
        <v>583</v>
      </c>
      <c r="F596" s="331">
        <v>10099512</v>
      </c>
      <c r="G596" s="331">
        <v>18201430</v>
      </c>
      <c r="H596" s="331">
        <v>28300942</v>
      </c>
      <c r="I596" s="331">
        <v>-203266</v>
      </c>
      <c r="J596" s="319" t="s">
        <v>1047</v>
      </c>
      <c r="K596" s="319" t="s">
        <v>771</v>
      </c>
      <c r="L596" s="319" t="s">
        <v>730</v>
      </c>
      <c r="M596" s="319" t="s">
        <v>68</v>
      </c>
      <c r="N596" s="2"/>
      <c r="O596" s="4"/>
    </row>
    <row r="597" spans="1:15" ht="15" x14ac:dyDescent="0.25">
      <c r="A597" s="320">
        <v>353821</v>
      </c>
      <c r="B597" s="319" t="s">
        <v>514</v>
      </c>
      <c r="C597" s="331">
        <v>211</v>
      </c>
      <c r="D597" s="331">
        <v>371</v>
      </c>
      <c r="E597" s="331">
        <v>582</v>
      </c>
      <c r="F597" s="331">
        <v>6586757</v>
      </c>
      <c r="G597" s="331">
        <v>15020910</v>
      </c>
      <c r="H597" s="331">
        <v>21607668</v>
      </c>
      <c r="I597" s="331">
        <v>160264</v>
      </c>
      <c r="J597" s="319" t="s">
        <v>295</v>
      </c>
      <c r="K597" s="319" t="s">
        <v>771</v>
      </c>
      <c r="L597" s="319" t="s">
        <v>453</v>
      </c>
      <c r="M597" s="319" t="s">
        <v>68</v>
      </c>
      <c r="N597" s="2"/>
      <c r="O597" s="4"/>
    </row>
    <row r="598" spans="1:15" ht="15" x14ac:dyDescent="0.25">
      <c r="A598" s="320">
        <v>657460</v>
      </c>
      <c r="B598" s="319" t="s">
        <v>539</v>
      </c>
      <c r="C598" s="331">
        <v>300</v>
      </c>
      <c r="D598" s="331">
        <v>277</v>
      </c>
      <c r="E598" s="331">
        <v>577</v>
      </c>
      <c r="F598" s="331">
        <v>10798924</v>
      </c>
      <c r="G598" s="331">
        <v>12741855</v>
      </c>
      <c r="H598" s="331">
        <v>23540779</v>
      </c>
      <c r="I598" s="331">
        <v>-209276</v>
      </c>
      <c r="J598" s="319" t="s">
        <v>1024</v>
      </c>
      <c r="K598" s="319" t="s">
        <v>768</v>
      </c>
      <c r="L598" s="319" t="s">
        <v>198</v>
      </c>
      <c r="M598" s="319" t="s">
        <v>68</v>
      </c>
      <c r="N598" s="2"/>
      <c r="O598" s="4"/>
    </row>
    <row r="599" spans="1:15" ht="15" x14ac:dyDescent="0.25">
      <c r="A599" s="320">
        <v>136895</v>
      </c>
      <c r="B599" s="319" t="s">
        <v>486</v>
      </c>
      <c r="C599" s="331">
        <v>262</v>
      </c>
      <c r="D599" s="331">
        <v>312</v>
      </c>
      <c r="E599" s="331">
        <v>574</v>
      </c>
      <c r="F599" s="331">
        <v>8454655</v>
      </c>
      <c r="G599" s="331">
        <v>12693765</v>
      </c>
      <c r="H599" s="331">
        <v>21148419</v>
      </c>
      <c r="I599" s="331">
        <v>-337371</v>
      </c>
      <c r="J599" s="319" t="s">
        <v>1049</v>
      </c>
      <c r="K599" s="319" t="s">
        <v>771</v>
      </c>
      <c r="L599" s="319" t="s">
        <v>453</v>
      </c>
      <c r="M599" s="319" t="s">
        <v>68</v>
      </c>
      <c r="N599" s="2"/>
      <c r="O599" s="4"/>
    </row>
    <row r="600" spans="1:15" ht="15" x14ac:dyDescent="0.25">
      <c r="A600" s="320">
        <v>354290</v>
      </c>
      <c r="B600" s="319" t="s">
        <v>532</v>
      </c>
      <c r="C600" s="331">
        <v>271</v>
      </c>
      <c r="D600" s="331">
        <v>301</v>
      </c>
      <c r="E600" s="331">
        <v>572</v>
      </c>
      <c r="F600" s="331">
        <v>12756716</v>
      </c>
      <c r="G600" s="331">
        <v>16735775</v>
      </c>
      <c r="H600" s="331">
        <v>29492491</v>
      </c>
      <c r="I600" s="331">
        <v>-645197</v>
      </c>
      <c r="J600" s="319" t="s">
        <v>318</v>
      </c>
      <c r="K600" s="319" t="s">
        <v>771</v>
      </c>
      <c r="L600" s="319" t="s">
        <v>354</v>
      </c>
      <c r="M600" s="319" t="s">
        <v>68</v>
      </c>
      <c r="N600" s="2"/>
      <c r="O600" s="4"/>
    </row>
    <row r="601" spans="1:15" ht="15" x14ac:dyDescent="0.25">
      <c r="A601" s="320">
        <v>807867</v>
      </c>
      <c r="B601" s="319" t="s">
        <v>562</v>
      </c>
      <c r="C601" s="331">
        <v>335</v>
      </c>
      <c r="D601" s="331">
        <v>230</v>
      </c>
      <c r="E601" s="331">
        <v>565</v>
      </c>
      <c r="F601" s="331">
        <v>8427418</v>
      </c>
      <c r="G601" s="331">
        <v>7431942</v>
      </c>
      <c r="H601" s="331">
        <v>15859360</v>
      </c>
      <c r="I601" s="331">
        <v>-85885</v>
      </c>
      <c r="J601" s="319" t="s">
        <v>295</v>
      </c>
      <c r="K601" s="319" t="s">
        <v>771</v>
      </c>
      <c r="L601" s="319" t="s">
        <v>751</v>
      </c>
      <c r="M601" s="319" t="s">
        <v>68</v>
      </c>
      <c r="N601" s="2"/>
      <c r="O601" s="4"/>
    </row>
    <row r="602" spans="1:15" ht="15" customHeight="1" x14ac:dyDescent="0.25">
      <c r="A602" s="320">
        <v>335463</v>
      </c>
      <c r="B602" s="319" t="s">
        <v>1076</v>
      </c>
      <c r="C602" s="331">
        <v>280</v>
      </c>
      <c r="D602" s="331">
        <v>279</v>
      </c>
      <c r="E602" s="331">
        <v>559</v>
      </c>
      <c r="F602" s="331">
        <v>10683305</v>
      </c>
      <c r="G602" s="331">
        <v>14773814</v>
      </c>
      <c r="H602" s="331">
        <v>25457119</v>
      </c>
      <c r="I602" s="331">
        <v>-1082246</v>
      </c>
      <c r="J602" s="319" t="s">
        <v>1033</v>
      </c>
      <c r="K602" s="319" t="s">
        <v>772</v>
      </c>
      <c r="L602" s="319" t="s">
        <v>379</v>
      </c>
      <c r="M602" s="319" t="s">
        <v>68</v>
      </c>
      <c r="N602" s="2"/>
      <c r="O602" s="4"/>
    </row>
    <row r="603" spans="1:15" ht="15" x14ac:dyDescent="0.25">
      <c r="A603" s="320">
        <v>475897</v>
      </c>
      <c r="B603" s="319" t="s">
        <v>638</v>
      </c>
      <c r="C603" s="331">
        <v>265</v>
      </c>
      <c r="D603" s="331">
        <v>293</v>
      </c>
      <c r="E603" s="331">
        <v>558</v>
      </c>
      <c r="F603" s="331">
        <v>8146141</v>
      </c>
      <c r="G603" s="331">
        <v>11972000</v>
      </c>
      <c r="H603" s="331">
        <v>20118141</v>
      </c>
      <c r="I603" s="331">
        <v>-124900</v>
      </c>
      <c r="J603" s="319" t="s">
        <v>215</v>
      </c>
      <c r="K603" s="319" t="s">
        <v>771</v>
      </c>
      <c r="L603" s="319" t="s">
        <v>955</v>
      </c>
      <c r="M603" s="319" t="s">
        <v>68</v>
      </c>
      <c r="N603" s="2"/>
      <c r="O603" s="4"/>
    </row>
    <row r="604" spans="1:15" ht="15" x14ac:dyDescent="0.25">
      <c r="A604" s="320">
        <v>857037</v>
      </c>
      <c r="B604" s="319" t="s">
        <v>929</v>
      </c>
      <c r="C604" s="331">
        <v>318</v>
      </c>
      <c r="D604" s="331">
        <v>239</v>
      </c>
      <c r="E604" s="331">
        <v>557</v>
      </c>
      <c r="F604" s="331">
        <v>7837835</v>
      </c>
      <c r="G604" s="331">
        <v>7171025</v>
      </c>
      <c r="H604" s="331">
        <v>15008861</v>
      </c>
      <c r="I604" s="331">
        <v>-146237</v>
      </c>
      <c r="J604" s="319" t="s">
        <v>1024</v>
      </c>
      <c r="K604" s="319" t="s">
        <v>768</v>
      </c>
      <c r="L604" s="319" t="s">
        <v>773</v>
      </c>
      <c r="M604" s="319" t="s">
        <v>68</v>
      </c>
      <c r="N604" s="2"/>
      <c r="O604" s="4"/>
    </row>
    <row r="605" spans="1:15" ht="15" x14ac:dyDescent="0.25">
      <c r="A605" s="320">
        <v>311027</v>
      </c>
      <c r="B605" s="319" t="s">
        <v>424</v>
      </c>
      <c r="C605" s="331">
        <v>204</v>
      </c>
      <c r="D605" s="331">
        <v>338</v>
      </c>
      <c r="E605" s="331">
        <v>542</v>
      </c>
      <c r="F605" s="331">
        <v>8757719</v>
      </c>
      <c r="G605" s="331">
        <v>16846273</v>
      </c>
      <c r="H605" s="331">
        <v>25603992</v>
      </c>
      <c r="I605" s="331">
        <v>-698067</v>
      </c>
      <c r="J605" s="319" t="s">
        <v>1049</v>
      </c>
      <c r="K605" s="319" t="s">
        <v>771</v>
      </c>
      <c r="L605" s="319" t="s">
        <v>176</v>
      </c>
      <c r="M605" s="319" t="s">
        <v>68</v>
      </c>
      <c r="N605" s="2"/>
      <c r="O605" s="4"/>
    </row>
    <row r="606" spans="1:15" ht="15" x14ac:dyDescent="0.25">
      <c r="A606" s="320">
        <v>157438</v>
      </c>
      <c r="B606" s="319" t="s">
        <v>518</v>
      </c>
      <c r="C606" s="331">
        <v>172</v>
      </c>
      <c r="D606" s="331">
        <v>369</v>
      </c>
      <c r="E606" s="331">
        <v>541</v>
      </c>
      <c r="F606" s="331">
        <v>10570675</v>
      </c>
      <c r="G606" s="331">
        <v>26271032</v>
      </c>
      <c r="H606" s="331">
        <v>36841708</v>
      </c>
      <c r="I606" s="331">
        <v>-4292356</v>
      </c>
      <c r="J606" s="319" t="s">
        <v>298</v>
      </c>
      <c r="K606" s="319" t="s">
        <v>771</v>
      </c>
      <c r="L606" s="319" t="s">
        <v>1117</v>
      </c>
      <c r="M606" s="319" t="s">
        <v>68</v>
      </c>
      <c r="N606" s="2"/>
      <c r="O606" s="4"/>
    </row>
    <row r="607" spans="1:15" ht="15" x14ac:dyDescent="0.25">
      <c r="A607" s="320">
        <v>882126</v>
      </c>
      <c r="B607" s="319" t="s">
        <v>699</v>
      </c>
      <c r="C607" s="331">
        <v>188</v>
      </c>
      <c r="D607" s="331">
        <v>345</v>
      </c>
      <c r="E607" s="331">
        <v>533</v>
      </c>
      <c r="F607" s="331">
        <v>9944263</v>
      </c>
      <c r="G607" s="331">
        <v>24234635</v>
      </c>
      <c r="H607" s="331">
        <v>34178898</v>
      </c>
      <c r="I607" s="331">
        <v>-153534</v>
      </c>
      <c r="J607" s="319" t="s">
        <v>342</v>
      </c>
      <c r="K607" s="319" t="s">
        <v>771</v>
      </c>
      <c r="L607" s="319" t="s">
        <v>955</v>
      </c>
      <c r="M607" s="319" t="s">
        <v>68</v>
      </c>
      <c r="N607" s="2"/>
      <c r="O607" s="4"/>
    </row>
    <row r="608" spans="1:15" ht="15" x14ac:dyDescent="0.25">
      <c r="A608" s="320">
        <v>324665</v>
      </c>
      <c r="B608" s="319" t="s">
        <v>551</v>
      </c>
      <c r="C608" s="331">
        <v>246</v>
      </c>
      <c r="D608" s="331">
        <v>287</v>
      </c>
      <c r="E608" s="331">
        <v>533</v>
      </c>
      <c r="F608" s="331">
        <v>12384038</v>
      </c>
      <c r="G608" s="331">
        <v>15521785</v>
      </c>
      <c r="H608" s="331">
        <v>27905822</v>
      </c>
      <c r="I608" s="331">
        <v>-198235</v>
      </c>
      <c r="J608" s="319" t="s">
        <v>298</v>
      </c>
      <c r="K608" s="319" t="s">
        <v>771</v>
      </c>
      <c r="L608" s="319" t="s">
        <v>542</v>
      </c>
      <c r="M608" s="319" t="s">
        <v>68</v>
      </c>
      <c r="N608" s="2"/>
      <c r="O608" s="4"/>
    </row>
    <row r="609" spans="1:15" ht="15" x14ac:dyDescent="0.25">
      <c r="A609" s="320">
        <v>942623</v>
      </c>
      <c r="B609" s="319" t="s">
        <v>705</v>
      </c>
      <c r="C609" s="331">
        <v>204</v>
      </c>
      <c r="D609" s="331">
        <v>327</v>
      </c>
      <c r="E609" s="331">
        <v>531</v>
      </c>
      <c r="F609" s="331">
        <v>7655320</v>
      </c>
      <c r="G609" s="331">
        <v>14505430</v>
      </c>
      <c r="H609" s="331">
        <v>22160750</v>
      </c>
      <c r="I609" s="331">
        <v>3126668</v>
      </c>
      <c r="J609" s="319" t="s">
        <v>215</v>
      </c>
      <c r="K609" s="319" t="s">
        <v>771</v>
      </c>
      <c r="L609" s="319" t="s">
        <v>538</v>
      </c>
      <c r="M609" s="319" t="s">
        <v>68</v>
      </c>
      <c r="N609" s="2"/>
      <c r="O609" s="4"/>
    </row>
    <row r="610" spans="1:15" ht="15" x14ac:dyDescent="0.25">
      <c r="A610" s="320">
        <v>686626</v>
      </c>
      <c r="B610" s="319" t="s">
        <v>1122</v>
      </c>
      <c r="C610" s="331">
        <v>227</v>
      </c>
      <c r="D610" s="331">
        <v>293</v>
      </c>
      <c r="E610" s="331">
        <v>520</v>
      </c>
      <c r="F610" s="331">
        <v>10549700</v>
      </c>
      <c r="G610" s="331">
        <v>17636004</v>
      </c>
      <c r="H610" s="331">
        <v>28185704</v>
      </c>
      <c r="I610" s="331">
        <v>64972</v>
      </c>
      <c r="J610" s="319" t="s">
        <v>1047</v>
      </c>
      <c r="K610" s="319" t="s">
        <v>771</v>
      </c>
      <c r="L610" s="319" t="s">
        <v>751</v>
      </c>
      <c r="M610" s="319" t="s">
        <v>68</v>
      </c>
      <c r="N610" s="2"/>
      <c r="O610" s="4"/>
    </row>
    <row r="611" spans="1:15" ht="15" x14ac:dyDescent="0.25">
      <c r="A611" s="320">
        <v>152652</v>
      </c>
      <c r="B611" s="319" t="s">
        <v>734</v>
      </c>
      <c r="C611" s="331">
        <v>208</v>
      </c>
      <c r="D611" s="331">
        <v>312</v>
      </c>
      <c r="E611" s="331">
        <v>520</v>
      </c>
      <c r="F611" s="331">
        <v>9521288</v>
      </c>
      <c r="G611" s="331">
        <v>17352229</v>
      </c>
      <c r="H611" s="331">
        <v>26873517</v>
      </c>
      <c r="I611" s="331">
        <v>-106044</v>
      </c>
      <c r="J611" s="319" t="s">
        <v>1046</v>
      </c>
      <c r="K611" s="319" t="s">
        <v>771</v>
      </c>
      <c r="L611" s="319" t="s">
        <v>464</v>
      </c>
      <c r="M611" s="319" t="s">
        <v>68</v>
      </c>
      <c r="N611" s="2"/>
      <c r="O611" s="4"/>
    </row>
    <row r="612" spans="1:15" ht="15" x14ac:dyDescent="0.25">
      <c r="A612" s="320">
        <v>301879</v>
      </c>
      <c r="B612" s="319" t="s">
        <v>1157</v>
      </c>
      <c r="C612" s="331">
        <v>252</v>
      </c>
      <c r="D612" s="331">
        <v>263</v>
      </c>
      <c r="E612" s="331">
        <v>515</v>
      </c>
      <c r="F612" s="331">
        <v>35988111</v>
      </c>
      <c r="G612" s="331">
        <v>37527717</v>
      </c>
      <c r="H612" s="331">
        <v>73515828</v>
      </c>
      <c r="I612" s="331">
        <v>187857</v>
      </c>
      <c r="J612" s="319" t="s">
        <v>1024</v>
      </c>
      <c r="K612" s="319" t="s">
        <v>768</v>
      </c>
      <c r="L612" s="319" t="s">
        <v>721</v>
      </c>
      <c r="M612" s="319" t="s">
        <v>68</v>
      </c>
      <c r="N612" s="2"/>
      <c r="O612" s="4"/>
    </row>
    <row r="613" spans="1:15" ht="15" x14ac:dyDescent="0.25">
      <c r="A613" s="320">
        <v>118067</v>
      </c>
      <c r="B613" s="319" t="s">
        <v>561</v>
      </c>
      <c r="C613" s="331">
        <v>247</v>
      </c>
      <c r="D613" s="331">
        <v>268</v>
      </c>
      <c r="E613" s="331">
        <v>515</v>
      </c>
      <c r="F613" s="331">
        <v>12120005</v>
      </c>
      <c r="G613" s="331">
        <v>14884272</v>
      </c>
      <c r="H613" s="331">
        <v>27004277</v>
      </c>
      <c r="I613" s="331">
        <v>79529</v>
      </c>
      <c r="J613" s="319" t="s">
        <v>181</v>
      </c>
      <c r="K613" s="319" t="s">
        <v>771</v>
      </c>
      <c r="L613" s="319" t="s">
        <v>751</v>
      </c>
      <c r="M613" s="319" t="s">
        <v>68</v>
      </c>
      <c r="N613" s="2"/>
      <c r="O613" s="4"/>
    </row>
    <row r="614" spans="1:15" ht="15" x14ac:dyDescent="0.25">
      <c r="A614" s="320">
        <v>755090</v>
      </c>
      <c r="B614" s="319" t="s">
        <v>601</v>
      </c>
      <c r="C614" s="331">
        <v>243</v>
      </c>
      <c r="D614" s="331">
        <v>268</v>
      </c>
      <c r="E614" s="331">
        <v>511</v>
      </c>
      <c r="F614" s="331">
        <v>10531579</v>
      </c>
      <c r="G614" s="331">
        <v>14628405</v>
      </c>
      <c r="H614" s="331">
        <v>25159985</v>
      </c>
      <c r="I614" s="331">
        <v>-1162526</v>
      </c>
      <c r="J614" s="319" t="s">
        <v>215</v>
      </c>
      <c r="K614" s="319" t="s">
        <v>771</v>
      </c>
      <c r="L614" s="319" t="s">
        <v>542</v>
      </c>
      <c r="M614" s="319" t="s">
        <v>68</v>
      </c>
      <c r="N614" s="2"/>
      <c r="O614" s="4"/>
    </row>
    <row r="615" spans="1:15" ht="15" x14ac:dyDescent="0.25">
      <c r="A615" s="320">
        <v>479436</v>
      </c>
      <c r="B615" s="319" t="s">
        <v>468</v>
      </c>
      <c r="C615" s="331">
        <v>243</v>
      </c>
      <c r="D615" s="331">
        <v>265</v>
      </c>
      <c r="E615" s="331">
        <v>508</v>
      </c>
      <c r="F615" s="331">
        <v>7058356</v>
      </c>
      <c r="G615" s="331">
        <v>10603356</v>
      </c>
      <c r="H615" s="331">
        <v>17661712</v>
      </c>
      <c r="I615" s="331">
        <v>-472182</v>
      </c>
      <c r="J615" s="319" t="s">
        <v>1038</v>
      </c>
      <c r="K615" s="319" t="s">
        <v>772</v>
      </c>
      <c r="L615" s="319" t="s">
        <v>408</v>
      </c>
      <c r="M615" s="319" t="s">
        <v>68</v>
      </c>
      <c r="N615" s="2"/>
      <c r="O615" s="4"/>
    </row>
    <row r="616" spans="1:15" ht="15" x14ac:dyDescent="0.25">
      <c r="A616" s="320">
        <v>116293</v>
      </c>
      <c r="B616" s="319" t="s">
        <v>544</v>
      </c>
      <c r="C616" s="331">
        <v>203</v>
      </c>
      <c r="D616" s="331">
        <v>302</v>
      </c>
      <c r="E616" s="331">
        <v>505</v>
      </c>
      <c r="F616" s="331">
        <v>10794802</v>
      </c>
      <c r="G616" s="331">
        <v>20186482</v>
      </c>
      <c r="H616" s="331">
        <v>30981284</v>
      </c>
      <c r="I616" s="331">
        <v>-1464717</v>
      </c>
      <c r="J616" s="319" t="s">
        <v>1046</v>
      </c>
      <c r="K616" s="319" t="s">
        <v>771</v>
      </c>
      <c r="L616" s="319" t="s">
        <v>751</v>
      </c>
      <c r="M616" s="319" t="s">
        <v>68</v>
      </c>
      <c r="N616" s="2"/>
      <c r="O616" s="4"/>
    </row>
    <row r="617" spans="1:15" ht="15" x14ac:dyDescent="0.25">
      <c r="A617" s="320">
        <v>616797</v>
      </c>
      <c r="B617" s="319" t="s">
        <v>834</v>
      </c>
      <c r="C617" s="331">
        <v>230</v>
      </c>
      <c r="D617" s="331">
        <v>251</v>
      </c>
      <c r="E617" s="331">
        <v>481</v>
      </c>
      <c r="F617" s="331">
        <v>11684960</v>
      </c>
      <c r="G617" s="331">
        <v>14914660</v>
      </c>
      <c r="H617" s="331">
        <v>26599621</v>
      </c>
      <c r="I617" s="331">
        <v>-206279</v>
      </c>
      <c r="J617" s="319" t="s">
        <v>1047</v>
      </c>
      <c r="K617" s="319" t="s">
        <v>771</v>
      </c>
      <c r="L617" s="319" t="s">
        <v>493</v>
      </c>
      <c r="M617" s="319" t="s">
        <v>68</v>
      </c>
      <c r="N617" s="2"/>
      <c r="O617" s="4"/>
    </row>
    <row r="618" spans="1:15" ht="15" x14ac:dyDescent="0.25">
      <c r="A618" s="320">
        <v>269704</v>
      </c>
      <c r="B618" s="319" t="s">
        <v>816</v>
      </c>
      <c r="C618" s="331">
        <v>173</v>
      </c>
      <c r="D618" s="331">
        <v>308</v>
      </c>
      <c r="E618" s="331">
        <v>481</v>
      </c>
      <c r="F618" s="331">
        <v>10436926</v>
      </c>
      <c r="G618" s="331">
        <v>22512230</v>
      </c>
      <c r="H618" s="331">
        <v>32949156</v>
      </c>
      <c r="I618" s="331">
        <v>14317182</v>
      </c>
      <c r="J618" s="319" t="s">
        <v>181</v>
      </c>
      <c r="K618" s="319" t="s">
        <v>771</v>
      </c>
      <c r="L618" s="319" t="s">
        <v>412</v>
      </c>
      <c r="M618" s="319" t="s">
        <v>154</v>
      </c>
      <c r="N618" s="2"/>
      <c r="O618" s="4"/>
    </row>
    <row r="619" spans="1:15" ht="15" x14ac:dyDescent="0.25">
      <c r="A619" s="320">
        <v>369462</v>
      </c>
      <c r="B619" s="319" t="s">
        <v>823</v>
      </c>
      <c r="C619" s="331">
        <v>195</v>
      </c>
      <c r="D619" s="331">
        <v>281</v>
      </c>
      <c r="E619" s="331">
        <v>476</v>
      </c>
      <c r="F619" s="331">
        <v>6447048</v>
      </c>
      <c r="G619" s="331">
        <v>11828160</v>
      </c>
      <c r="H619" s="331">
        <v>18275208</v>
      </c>
      <c r="I619" s="331">
        <v>-955092</v>
      </c>
      <c r="J619" s="319" t="s">
        <v>361</v>
      </c>
      <c r="K619" s="319" t="s">
        <v>771</v>
      </c>
      <c r="L619" s="319" t="s">
        <v>563</v>
      </c>
      <c r="M619" s="319" t="s">
        <v>68</v>
      </c>
      <c r="N619" s="2"/>
      <c r="O619" s="4"/>
    </row>
    <row r="620" spans="1:15" ht="15" x14ac:dyDescent="0.25">
      <c r="A620" s="320">
        <v>653501</v>
      </c>
      <c r="B620" s="319" t="s">
        <v>904</v>
      </c>
      <c r="C620" s="331">
        <v>226</v>
      </c>
      <c r="D620" s="331">
        <v>243</v>
      </c>
      <c r="E620" s="331">
        <v>469</v>
      </c>
      <c r="F620" s="331">
        <v>15465196</v>
      </c>
      <c r="G620" s="331">
        <v>18450237</v>
      </c>
      <c r="H620" s="331">
        <v>33915433</v>
      </c>
      <c r="I620" s="331">
        <v>-1609634</v>
      </c>
      <c r="J620" s="319" t="s">
        <v>1033</v>
      </c>
      <c r="K620" s="319" t="s">
        <v>772</v>
      </c>
      <c r="L620" s="319" t="s">
        <v>194</v>
      </c>
      <c r="M620" s="319" t="s">
        <v>154</v>
      </c>
      <c r="N620" s="2"/>
      <c r="O620" s="4"/>
    </row>
    <row r="621" spans="1:15" ht="15" x14ac:dyDescent="0.25">
      <c r="A621" s="320">
        <v>916122</v>
      </c>
      <c r="B621" s="319" t="s">
        <v>793</v>
      </c>
      <c r="C621" s="331">
        <v>186</v>
      </c>
      <c r="D621" s="331">
        <v>282</v>
      </c>
      <c r="E621" s="331">
        <v>468</v>
      </c>
      <c r="F621" s="331">
        <v>7793311</v>
      </c>
      <c r="G621" s="331">
        <v>15955147</v>
      </c>
      <c r="H621" s="331">
        <v>23748458</v>
      </c>
      <c r="I621" s="331">
        <v>934929</v>
      </c>
      <c r="J621" s="319" t="s">
        <v>215</v>
      </c>
      <c r="K621" s="319" t="s">
        <v>771</v>
      </c>
      <c r="L621" s="319" t="s">
        <v>540</v>
      </c>
      <c r="M621" s="319" t="s">
        <v>68</v>
      </c>
      <c r="N621" s="2"/>
      <c r="O621" s="4"/>
    </row>
    <row r="622" spans="1:15" ht="15" x14ac:dyDescent="0.25">
      <c r="A622" s="320">
        <v>655274</v>
      </c>
      <c r="B622" s="319" t="s">
        <v>1139</v>
      </c>
      <c r="C622" s="331">
        <v>259</v>
      </c>
      <c r="D622" s="331">
        <v>209</v>
      </c>
      <c r="E622" s="331">
        <v>468</v>
      </c>
      <c r="F622" s="331">
        <v>36891155</v>
      </c>
      <c r="G622" s="331">
        <v>32713976</v>
      </c>
      <c r="H622" s="331">
        <v>69605130</v>
      </c>
      <c r="I622" s="331">
        <v>9748932</v>
      </c>
      <c r="J622" s="319" t="s">
        <v>1024</v>
      </c>
      <c r="K622" s="319" t="s">
        <v>768</v>
      </c>
      <c r="L622" s="319" t="s">
        <v>171</v>
      </c>
      <c r="M622" s="319" t="s">
        <v>154</v>
      </c>
      <c r="N622" s="2"/>
      <c r="O622" s="4"/>
    </row>
    <row r="623" spans="1:15" ht="15" x14ac:dyDescent="0.25">
      <c r="A623" s="320">
        <v>843698</v>
      </c>
      <c r="B623" s="319" t="s">
        <v>567</v>
      </c>
      <c r="C623" s="331">
        <v>185</v>
      </c>
      <c r="D623" s="331">
        <v>282</v>
      </c>
      <c r="E623" s="331">
        <v>467</v>
      </c>
      <c r="F623" s="331">
        <v>7404524</v>
      </c>
      <c r="G623" s="331">
        <v>14225539</v>
      </c>
      <c r="H623" s="331">
        <v>21630063</v>
      </c>
      <c r="I623" s="331">
        <v>-54080</v>
      </c>
      <c r="J623" s="319" t="s">
        <v>1048</v>
      </c>
      <c r="K623" s="319" t="s">
        <v>771</v>
      </c>
      <c r="L623" s="319" t="s">
        <v>751</v>
      </c>
      <c r="M623" s="319" t="s">
        <v>68</v>
      </c>
      <c r="N623" s="2"/>
      <c r="O623" s="4"/>
    </row>
    <row r="624" spans="1:15" ht="15" customHeight="1" x14ac:dyDescent="0.25">
      <c r="A624" s="320">
        <v>470104</v>
      </c>
      <c r="B624" s="319" t="s">
        <v>1065</v>
      </c>
      <c r="C624" s="331">
        <v>171</v>
      </c>
      <c r="D624" s="331">
        <v>294</v>
      </c>
      <c r="E624" s="331">
        <v>465</v>
      </c>
      <c r="F624" s="331">
        <v>6952684</v>
      </c>
      <c r="G624" s="331">
        <v>17456845</v>
      </c>
      <c r="H624" s="331">
        <v>24409529</v>
      </c>
      <c r="I624" s="331">
        <v>5450881</v>
      </c>
      <c r="J624" s="319" t="s">
        <v>201</v>
      </c>
      <c r="K624" s="319" t="s">
        <v>771</v>
      </c>
      <c r="L624" s="319" t="s">
        <v>173</v>
      </c>
      <c r="M624" s="319" t="s">
        <v>154</v>
      </c>
      <c r="N624" s="2"/>
      <c r="O624" s="4"/>
    </row>
    <row r="625" spans="1:15" ht="15" customHeight="1" x14ac:dyDescent="0.25">
      <c r="A625" s="320">
        <v>273664</v>
      </c>
      <c r="B625" s="319" t="s">
        <v>630</v>
      </c>
      <c r="C625" s="331">
        <v>199</v>
      </c>
      <c r="D625" s="331">
        <v>262</v>
      </c>
      <c r="E625" s="331">
        <v>461</v>
      </c>
      <c r="F625" s="331">
        <v>10628213</v>
      </c>
      <c r="G625" s="331">
        <v>14938799</v>
      </c>
      <c r="H625" s="331">
        <v>25567011</v>
      </c>
      <c r="I625" s="331">
        <v>-56973</v>
      </c>
      <c r="J625" s="319" t="s">
        <v>298</v>
      </c>
      <c r="K625" s="319" t="s">
        <v>771</v>
      </c>
      <c r="L625" s="319" t="s">
        <v>629</v>
      </c>
      <c r="M625" s="319" t="s">
        <v>68</v>
      </c>
      <c r="N625" s="2"/>
      <c r="O625" s="4"/>
    </row>
    <row r="626" spans="1:15" ht="15" customHeight="1" x14ac:dyDescent="0.25">
      <c r="A626" s="320">
        <v>171306</v>
      </c>
      <c r="B626" s="319" t="s">
        <v>775</v>
      </c>
      <c r="C626" s="331">
        <v>177</v>
      </c>
      <c r="D626" s="331">
        <v>283</v>
      </c>
      <c r="E626" s="331">
        <v>460</v>
      </c>
      <c r="F626" s="331">
        <v>7526562</v>
      </c>
      <c r="G626" s="331">
        <v>14525769</v>
      </c>
      <c r="H626" s="331">
        <v>22052331</v>
      </c>
      <c r="I626" s="331">
        <v>-717859</v>
      </c>
      <c r="J626" s="319" t="s">
        <v>1049</v>
      </c>
      <c r="K626" s="319" t="s">
        <v>771</v>
      </c>
      <c r="L626" s="319" t="s">
        <v>155</v>
      </c>
      <c r="M626" s="319" t="s">
        <v>154</v>
      </c>
      <c r="N626" s="2"/>
      <c r="O626" s="4"/>
    </row>
    <row r="627" spans="1:15" ht="15" x14ac:dyDescent="0.25">
      <c r="A627" s="320">
        <v>555102</v>
      </c>
      <c r="B627" s="319" t="s">
        <v>815</v>
      </c>
      <c r="C627" s="331">
        <v>205</v>
      </c>
      <c r="D627" s="331">
        <v>249</v>
      </c>
      <c r="E627" s="331">
        <v>454</v>
      </c>
      <c r="F627" s="331">
        <v>16014625</v>
      </c>
      <c r="G627" s="331">
        <v>21877226</v>
      </c>
      <c r="H627" s="331">
        <v>37891851</v>
      </c>
      <c r="I627" s="331">
        <v>-101306</v>
      </c>
      <c r="J627" s="319" t="s">
        <v>1024</v>
      </c>
      <c r="K627" s="319" t="s">
        <v>768</v>
      </c>
      <c r="L627" s="319" t="s">
        <v>721</v>
      </c>
      <c r="M627" s="319" t="s">
        <v>68</v>
      </c>
      <c r="N627" s="2"/>
      <c r="O627" s="4"/>
    </row>
    <row r="628" spans="1:15" ht="15" x14ac:dyDescent="0.25">
      <c r="A628" s="320">
        <v>201111</v>
      </c>
      <c r="B628" s="319" t="s">
        <v>282</v>
      </c>
      <c r="C628" s="331">
        <v>232</v>
      </c>
      <c r="D628" s="331">
        <v>218</v>
      </c>
      <c r="E628" s="331">
        <v>450</v>
      </c>
      <c r="F628" s="331">
        <v>13441694</v>
      </c>
      <c r="G628" s="331">
        <v>16152690</v>
      </c>
      <c r="H628" s="331">
        <v>29594385</v>
      </c>
      <c r="I628" s="331">
        <v>107553</v>
      </c>
      <c r="J628" s="319" t="s">
        <v>1026</v>
      </c>
      <c r="K628" s="319" t="s">
        <v>771</v>
      </c>
      <c r="L628" s="319" t="s">
        <v>178</v>
      </c>
      <c r="M628" s="319" t="s">
        <v>154</v>
      </c>
      <c r="N628" s="2"/>
      <c r="O628" s="4"/>
    </row>
    <row r="629" spans="1:15" ht="15" customHeight="1" x14ac:dyDescent="0.25">
      <c r="A629" s="320">
        <v>938902</v>
      </c>
      <c r="B629" s="319" t="s">
        <v>851</v>
      </c>
      <c r="C629" s="331">
        <v>175</v>
      </c>
      <c r="D629" s="331">
        <v>270</v>
      </c>
      <c r="E629" s="331">
        <v>445</v>
      </c>
      <c r="F629" s="331">
        <v>7667035</v>
      </c>
      <c r="G629" s="331">
        <v>15816303</v>
      </c>
      <c r="H629" s="331">
        <v>23483338</v>
      </c>
      <c r="I629" s="331">
        <v>189010</v>
      </c>
      <c r="J629" s="319" t="s">
        <v>201</v>
      </c>
      <c r="K629" s="319" t="s">
        <v>771</v>
      </c>
      <c r="L629" s="319" t="s">
        <v>751</v>
      </c>
      <c r="M629" s="319" t="s">
        <v>68</v>
      </c>
      <c r="N629" s="2"/>
      <c r="O629" s="4"/>
    </row>
    <row r="630" spans="1:15" ht="15" customHeight="1" x14ac:dyDescent="0.25">
      <c r="A630" s="320">
        <v>920371</v>
      </c>
      <c r="B630" s="319" t="s">
        <v>748</v>
      </c>
      <c r="C630" s="331">
        <v>198</v>
      </c>
      <c r="D630" s="331">
        <v>243</v>
      </c>
      <c r="E630" s="331">
        <v>441</v>
      </c>
      <c r="F630" s="331">
        <v>9488111</v>
      </c>
      <c r="G630" s="331">
        <v>13710758</v>
      </c>
      <c r="H630" s="331">
        <v>23198869</v>
      </c>
      <c r="I630" s="331">
        <v>284829</v>
      </c>
      <c r="J630" s="319" t="s">
        <v>1046</v>
      </c>
      <c r="K630" s="319" t="s">
        <v>771</v>
      </c>
      <c r="L630" s="319" t="s">
        <v>730</v>
      </c>
      <c r="M630" s="319" t="s">
        <v>68</v>
      </c>
      <c r="N630" s="2"/>
      <c r="O630" s="4"/>
    </row>
    <row r="631" spans="1:15" ht="15" x14ac:dyDescent="0.25">
      <c r="A631" s="320">
        <v>866715</v>
      </c>
      <c r="B631" s="319" t="s">
        <v>694</v>
      </c>
      <c r="C631" s="331">
        <v>168</v>
      </c>
      <c r="D631" s="331">
        <v>272</v>
      </c>
      <c r="E631" s="331">
        <v>440</v>
      </c>
      <c r="F631" s="331">
        <v>7952691</v>
      </c>
      <c r="G631" s="331">
        <v>14532642</v>
      </c>
      <c r="H631" s="331">
        <v>22485333</v>
      </c>
      <c r="I631" s="331">
        <v>-16362</v>
      </c>
      <c r="J631" s="319" t="s">
        <v>1047</v>
      </c>
      <c r="K631" s="319" t="s">
        <v>771</v>
      </c>
      <c r="L631" s="319" t="s">
        <v>538</v>
      </c>
      <c r="M631" s="319" t="s">
        <v>68</v>
      </c>
      <c r="N631" s="2"/>
      <c r="O631" s="4"/>
    </row>
    <row r="632" spans="1:15" ht="15" x14ac:dyDescent="0.25">
      <c r="A632" s="320">
        <v>917955</v>
      </c>
      <c r="B632" s="319" t="s">
        <v>700</v>
      </c>
      <c r="C632" s="331">
        <v>198</v>
      </c>
      <c r="D632" s="331">
        <v>239</v>
      </c>
      <c r="E632" s="331">
        <v>437</v>
      </c>
      <c r="F632" s="331">
        <v>8872012</v>
      </c>
      <c r="G632" s="331">
        <v>13030901</v>
      </c>
      <c r="H632" s="331">
        <v>21902913</v>
      </c>
      <c r="I632" s="331">
        <v>340128</v>
      </c>
      <c r="J632" s="319" t="s">
        <v>1048</v>
      </c>
      <c r="K632" s="319" t="s">
        <v>771</v>
      </c>
      <c r="L632" s="319" t="s">
        <v>955</v>
      </c>
      <c r="M632" s="319" t="s">
        <v>68</v>
      </c>
      <c r="N632" s="2"/>
      <c r="O632" s="4"/>
    </row>
    <row r="633" spans="1:15" ht="15" x14ac:dyDescent="0.25">
      <c r="A633" s="320">
        <v>770263</v>
      </c>
      <c r="B633" s="319" t="s">
        <v>618</v>
      </c>
      <c r="C633" s="331">
        <v>168</v>
      </c>
      <c r="D633" s="331">
        <v>263</v>
      </c>
      <c r="E633" s="331">
        <v>431</v>
      </c>
      <c r="F633" s="331">
        <v>6350714</v>
      </c>
      <c r="G633" s="331">
        <v>12075609</v>
      </c>
      <c r="H633" s="331">
        <v>18426323</v>
      </c>
      <c r="I633" s="331">
        <v>-2197700</v>
      </c>
      <c r="J633" s="319" t="s">
        <v>373</v>
      </c>
      <c r="K633" s="319" t="s">
        <v>771</v>
      </c>
      <c r="L633" s="319" t="s">
        <v>751</v>
      </c>
      <c r="M633" s="319" t="s">
        <v>68</v>
      </c>
      <c r="N633" s="2"/>
      <c r="O633" s="4"/>
    </row>
    <row r="634" spans="1:15" ht="15" x14ac:dyDescent="0.25">
      <c r="A634" s="320">
        <v>384511</v>
      </c>
      <c r="B634" s="319" t="s">
        <v>582</v>
      </c>
      <c r="C634" s="331">
        <v>164</v>
      </c>
      <c r="D634" s="331">
        <v>265</v>
      </c>
      <c r="E634" s="331">
        <v>429</v>
      </c>
      <c r="F634" s="331">
        <v>6950115</v>
      </c>
      <c r="G634" s="331">
        <v>13486394</v>
      </c>
      <c r="H634" s="331">
        <v>20436509</v>
      </c>
      <c r="I634" s="331">
        <v>-669105</v>
      </c>
      <c r="J634" s="319" t="s">
        <v>215</v>
      </c>
      <c r="K634" s="319" t="s">
        <v>771</v>
      </c>
      <c r="L634" s="319" t="s">
        <v>751</v>
      </c>
      <c r="M634" s="319" t="s">
        <v>68</v>
      </c>
      <c r="N634" s="2"/>
      <c r="O634" s="4"/>
    </row>
    <row r="635" spans="1:15" ht="15" x14ac:dyDescent="0.25">
      <c r="A635" s="320">
        <v>874099</v>
      </c>
      <c r="B635" s="319" t="s">
        <v>457</v>
      </c>
      <c r="C635" s="331">
        <v>218</v>
      </c>
      <c r="D635" s="331">
        <v>204</v>
      </c>
      <c r="E635" s="331">
        <v>422</v>
      </c>
      <c r="F635" s="331">
        <v>4322785</v>
      </c>
      <c r="G635" s="331">
        <v>5210489</v>
      </c>
      <c r="H635" s="331">
        <v>9533274</v>
      </c>
      <c r="I635" s="331">
        <v>-490703</v>
      </c>
      <c r="J635" s="319" t="s">
        <v>1034</v>
      </c>
      <c r="K635" s="319" t="s">
        <v>772</v>
      </c>
      <c r="L635" s="319" t="s">
        <v>453</v>
      </c>
      <c r="M635" s="319" t="s">
        <v>68</v>
      </c>
      <c r="N635" s="2"/>
      <c r="O635" s="4"/>
    </row>
    <row r="636" spans="1:15" ht="15" x14ac:dyDescent="0.25">
      <c r="A636" s="320">
        <v>114280</v>
      </c>
      <c r="B636" s="319" t="s">
        <v>710</v>
      </c>
      <c r="C636" s="331">
        <v>136</v>
      </c>
      <c r="D636" s="331">
        <v>286</v>
      </c>
      <c r="E636" s="331">
        <v>422</v>
      </c>
      <c r="F636" s="331">
        <v>4718599</v>
      </c>
      <c r="G636" s="331">
        <v>11697793</v>
      </c>
      <c r="H636" s="331">
        <v>16416392</v>
      </c>
      <c r="I636" s="331">
        <v>-69902</v>
      </c>
      <c r="J636" s="319" t="s">
        <v>295</v>
      </c>
      <c r="K636" s="319" t="s">
        <v>771</v>
      </c>
      <c r="L636" s="319" t="s">
        <v>538</v>
      </c>
      <c r="M636" s="319" t="s">
        <v>68</v>
      </c>
      <c r="N636" s="2"/>
      <c r="O636" s="4"/>
    </row>
    <row r="637" spans="1:15" ht="15" customHeight="1" x14ac:dyDescent="0.25">
      <c r="A637" s="320">
        <v>288472</v>
      </c>
      <c r="B637" s="319" t="s">
        <v>964</v>
      </c>
      <c r="C637" s="331">
        <v>135</v>
      </c>
      <c r="D637" s="331">
        <v>285</v>
      </c>
      <c r="E637" s="331">
        <v>420</v>
      </c>
      <c r="F637" s="331">
        <v>26603370</v>
      </c>
      <c r="G637" s="331">
        <v>67563643</v>
      </c>
      <c r="H637" s="331">
        <v>94167014</v>
      </c>
      <c r="I637" s="331">
        <v>-209689</v>
      </c>
      <c r="J637" s="319" t="s">
        <v>1022</v>
      </c>
      <c r="K637" s="319" t="s">
        <v>765</v>
      </c>
      <c r="L637" s="319" t="s">
        <v>975</v>
      </c>
      <c r="M637" s="319" t="s">
        <v>154</v>
      </c>
      <c r="N637" s="2"/>
      <c r="O637" s="4"/>
    </row>
    <row r="638" spans="1:15" ht="15" x14ac:dyDescent="0.25">
      <c r="A638" s="320">
        <v>473470</v>
      </c>
      <c r="B638" s="264" t="s">
        <v>833</v>
      </c>
      <c r="C638" s="331">
        <v>170</v>
      </c>
      <c r="D638" s="331">
        <v>247</v>
      </c>
      <c r="E638" s="331">
        <v>417</v>
      </c>
      <c r="F638" s="331">
        <v>5975277</v>
      </c>
      <c r="G638" s="331">
        <v>10262104</v>
      </c>
      <c r="H638" s="331">
        <v>16237380</v>
      </c>
      <c r="I638" s="331">
        <v>27686</v>
      </c>
      <c r="J638" s="264" t="s">
        <v>215</v>
      </c>
      <c r="K638" s="264" t="s">
        <v>771</v>
      </c>
      <c r="L638" s="264" t="s">
        <v>493</v>
      </c>
      <c r="M638" s="264" t="s">
        <v>68</v>
      </c>
      <c r="N638" s="2"/>
      <c r="O638" s="4"/>
    </row>
    <row r="639" spans="1:15" ht="15" customHeight="1" x14ac:dyDescent="0.25">
      <c r="A639" s="320">
        <v>155788</v>
      </c>
      <c r="B639" s="319" t="s">
        <v>510</v>
      </c>
      <c r="C639" s="331">
        <v>177</v>
      </c>
      <c r="D639" s="331">
        <v>235</v>
      </c>
      <c r="E639" s="331">
        <v>412</v>
      </c>
      <c r="F639" s="331">
        <v>7157864</v>
      </c>
      <c r="G639" s="331">
        <v>11205638</v>
      </c>
      <c r="H639" s="331">
        <v>18363502</v>
      </c>
      <c r="I639" s="331">
        <v>-130771</v>
      </c>
      <c r="J639" s="319" t="s">
        <v>215</v>
      </c>
      <c r="K639" s="319" t="s">
        <v>771</v>
      </c>
      <c r="L639" s="319" t="s">
        <v>453</v>
      </c>
      <c r="M639" s="319" t="s">
        <v>68</v>
      </c>
      <c r="N639" s="2"/>
      <c r="O639" s="4"/>
    </row>
    <row r="640" spans="1:15" ht="15" x14ac:dyDescent="0.25">
      <c r="A640" s="320">
        <v>476895</v>
      </c>
      <c r="B640" s="319" t="s">
        <v>398</v>
      </c>
      <c r="C640" s="331">
        <v>139</v>
      </c>
      <c r="D640" s="331">
        <v>261</v>
      </c>
      <c r="E640" s="331">
        <v>400</v>
      </c>
      <c r="F640" s="331">
        <v>7034256</v>
      </c>
      <c r="G640" s="331">
        <v>17041018</v>
      </c>
      <c r="H640" s="331">
        <v>24075274</v>
      </c>
      <c r="I640" s="331">
        <v>-3153815</v>
      </c>
      <c r="J640" s="319" t="s">
        <v>219</v>
      </c>
      <c r="K640" s="319" t="s">
        <v>771</v>
      </c>
      <c r="L640" s="319" t="s">
        <v>399</v>
      </c>
      <c r="M640" s="319" t="s">
        <v>154</v>
      </c>
      <c r="N640" s="2"/>
      <c r="O640" s="4"/>
    </row>
    <row r="641" spans="1:15" ht="15" x14ac:dyDescent="0.25">
      <c r="A641" s="320">
        <v>390187</v>
      </c>
      <c r="B641" s="264" t="s">
        <v>597</v>
      </c>
      <c r="C641" s="331">
        <v>174</v>
      </c>
      <c r="D641" s="331">
        <v>214</v>
      </c>
      <c r="E641" s="331">
        <v>388</v>
      </c>
      <c r="F641" s="331">
        <v>8026086</v>
      </c>
      <c r="G641" s="331">
        <v>11534639</v>
      </c>
      <c r="H641" s="331">
        <v>19560725</v>
      </c>
      <c r="I641" s="331">
        <v>-376244</v>
      </c>
      <c r="J641" s="264" t="s">
        <v>318</v>
      </c>
      <c r="K641" s="264" t="s">
        <v>771</v>
      </c>
      <c r="L641" s="264" t="s">
        <v>542</v>
      </c>
      <c r="M641" s="264" t="s">
        <v>68</v>
      </c>
      <c r="N641" s="2"/>
      <c r="O641" s="4"/>
    </row>
    <row r="642" spans="1:15" ht="15" x14ac:dyDescent="0.25">
      <c r="A642" s="320">
        <v>166173</v>
      </c>
      <c r="B642" s="319" t="s">
        <v>654</v>
      </c>
      <c r="C642" s="331">
        <v>149</v>
      </c>
      <c r="D642" s="331">
        <v>238</v>
      </c>
      <c r="E642" s="331">
        <v>387</v>
      </c>
      <c r="F642" s="331">
        <v>6715871</v>
      </c>
      <c r="G642" s="331">
        <v>13635519</v>
      </c>
      <c r="H642" s="331">
        <v>20351389</v>
      </c>
      <c r="I642" s="331">
        <v>54374</v>
      </c>
      <c r="J642" s="319" t="s">
        <v>1048</v>
      </c>
      <c r="K642" s="319" t="s">
        <v>771</v>
      </c>
      <c r="L642" s="319" t="s">
        <v>749</v>
      </c>
      <c r="M642" s="319" t="s">
        <v>68</v>
      </c>
      <c r="N642" s="2"/>
      <c r="O642" s="4"/>
    </row>
    <row r="643" spans="1:15" ht="15" x14ac:dyDescent="0.25">
      <c r="A643" s="320">
        <v>832717</v>
      </c>
      <c r="B643" s="319" t="s">
        <v>357</v>
      </c>
      <c r="C643" s="331">
        <v>167</v>
      </c>
      <c r="D643" s="331">
        <v>216</v>
      </c>
      <c r="E643" s="331">
        <v>383</v>
      </c>
      <c r="F643" s="331">
        <v>9575129</v>
      </c>
      <c r="G643" s="331">
        <v>16457129</v>
      </c>
      <c r="H643" s="331">
        <v>26032258</v>
      </c>
      <c r="I643" s="331">
        <v>-1588285</v>
      </c>
      <c r="J643" s="319" t="s">
        <v>1044</v>
      </c>
      <c r="K643" s="319" t="s">
        <v>772</v>
      </c>
      <c r="L643" s="319" t="s">
        <v>184</v>
      </c>
      <c r="M643" s="319" t="s">
        <v>154</v>
      </c>
      <c r="N643" s="2"/>
      <c r="O643" s="4"/>
    </row>
    <row r="644" spans="1:15" ht="15" x14ac:dyDescent="0.25">
      <c r="A644" s="320">
        <v>732727</v>
      </c>
      <c r="B644" s="319" t="s">
        <v>788</v>
      </c>
      <c r="C644" s="331">
        <v>167</v>
      </c>
      <c r="D644" s="331">
        <v>216</v>
      </c>
      <c r="E644" s="331">
        <v>383</v>
      </c>
      <c r="F644" s="331">
        <v>6472852</v>
      </c>
      <c r="G644" s="331">
        <v>10255749</v>
      </c>
      <c r="H644" s="331">
        <v>16728600</v>
      </c>
      <c r="I644" s="331">
        <v>106339</v>
      </c>
      <c r="J644" s="319" t="s">
        <v>215</v>
      </c>
      <c r="K644" s="319" t="s">
        <v>771</v>
      </c>
      <c r="L644" s="319" t="s">
        <v>540</v>
      </c>
      <c r="M644" s="319" t="s">
        <v>68</v>
      </c>
      <c r="N644" s="2"/>
      <c r="O644" s="4"/>
    </row>
    <row r="645" spans="1:15" ht="15" x14ac:dyDescent="0.25">
      <c r="A645" s="320">
        <v>792697</v>
      </c>
      <c r="B645" s="319" t="s">
        <v>1025</v>
      </c>
      <c r="C645" s="331">
        <v>145</v>
      </c>
      <c r="D645" s="331">
        <v>230</v>
      </c>
      <c r="E645" s="331">
        <v>375</v>
      </c>
      <c r="F645" s="331">
        <v>8182871</v>
      </c>
      <c r="G645" s="331">
        <v>15135011</v>
      </c>
      <c r="H645" s="331">
        <v>23317881</v>
      </c>
      <c r="I645" s="331">
        <v>1286804</v>
      </c>
      <c r="J645" s="319" t="s">
        <v>219</v>
      </c>
      <c r="K645" s="319" t="s">
        <v>771</v>
      </c>
      <c r="L645" s="319" t="s">
        <v>1062</v>
      </c>
      <c r="M645" s="319" t="s">
        <v>68</v>
      </c>
      <c r="N645" s="2"/>
      <c r="O645" s="4"/>
    </row>
    <row r="646" spans="1:15" ht="15" x14ac:dyDescent="0.25">
      <c r="A646" s="320">
        <v>125799</v>
      </c>
      <c r="B646" s="319" t="s">
        <v>901</v>
      </c>
      <c r="C646" s="331">
        <v>113</v>
      </c>
      <c r="D646" s="331">
        <v>257</v>
      </c>
      <c r="E646" s="331">
        <v>370</v>
      </c>
      <c r="F646" s="331">
        <v>6037234</v>
      </c>
      <c r="G646" s="331">
        <v>15695573</v>
      </c>
      <c r="H646" s="331">
        <v>21732807</v>
      </c>
      <c r="I646" s="331">
        <v>-1236595</v>
      </c>
      <c r="J646" s="319" t="s">
        <v>373</v>
      </c>
      <c r="K646" s="319" t="s">
        <v>771</v>
      </c>
      <c r="L646" s="319" t="s">
        <v>875</v>
      </c>
      <c r="M646" s="319" t="s">
        <v>68</v>
      </c>
      <c r="N646" s="2"/>
      <c r="O646" s="4"/>
    </row>
    <row r="647" spans="1:15" ht="15" x14ac:dyDescent="0.25">
      <c r="A647" s="320">
        <v>696658</v>
      </c>
      <c r="B647" s="319" t="s">
        <v>470</v>
      </c>
      <c r="C647" s="331">
        <v>191</v>
      </c>
      <c r="D647" s="331">
        <v>178</v>
      </c>
      <c r="E647" s="331">
        <v>369</v>
      </c>
      <c r="F647" s="331">
        <v>31481098</v>
      </c>
      <c r="G647" s="331">
        <v>27358255</v>
      </c>
      <c r="H647" s="331">
        <v>58839353</v>
      </c>
      <c r="I647" s="331">
        <v>95973</v>
      </c>
      <c r="J647" s="319" t="s">
        <v>1023</v>
      </c>
      <c r="K647" s="319" t="s">
        <v>768</v>
      </c>
      <c r="L647" s="319" t="s">
        <v>207</v>
      </c>
      <c r="M647" s="319" t="s">
        <v>154</v>
      </c>
      <c r="N647" s="2"/>
      <c r="O647" s="4"/>
    </row>
    <row r="648" spans="1:15" ht="15" x14ac:dyDescent="0.25">
      <c r="A648" s="320">
        <v>717371</v>
      </c>
      <c r="B648" s="319" t="s">
        <v>689</v>
      </c>
      <c r="C648" s="331">
        <v>101</v>
      </c>
      <c r="D648" s="331">
        <v>263</v>
      </c>
      <c r="E648" s="331">
        <v>364</v>
      </c>
      <c r="F648" s="331">
        <v>5127010</v>
      </c>
      <c r="G648" s="331">
        <v>18246819</v>
      </c>
      <c r="H648" s="331">
        <v>23373829</v>
      </c>
      <c r="I648" s="331">
        <v>-8584360</v>
      </c>
      <c r="J648" s="319" t="s">
        <v>321</v>
      </c>
      <c r="K648" s="319" t="s">
        <v>771</v>
      </c>
      <c r="L648" s="319" t="s">
        <v>971</v>
      </c>
      <c r="M648" s="319" t="s">
        <v>68</v>
      </c>
      <c r="N648" s="2"/>
      <c r="O648" s="4"/>
    </row>
    <row r="649" spans="1:15" ht="15" x14ac:dyDescent="0.25">
      <c r="A649" s="320">
        <v>246868</v>
      </c>
      <c r="B649" s="319" t="s">
        <v>679</v>
      </c>
      <c r="C649" s="331">
        <v>141</v>
      </c>
      <c r="D649" s="331">
        <v>221</v>
      </c>
      <c r="E649" s="331">
        <v>362</v>
      </c>
      <c r="F649" s="331">
        <v>5960679</v>
      </c>
      <c r="G649" s="331">
        <v>11667334</v>
      </c>
      <c r="H649" s="331">
        <v>17628013</v>
      </c>
      <c r="I649" s="331">
        <v>32473</v>
      </c>
      <c r="J649" s="319" t="s">
        <v>342</v>
      </c>
      <c r="K649" s="319" t="s">
        <v>771</v>
      </c>
      <c r="L649" s="319" t="s">
        <v>375</v>
      </c>
      <c r="M649" s="319" t="s">
        <v>68</v>
      </c>
      <c r="N649" s="2"/>
      <c r="O649" s="4"/>
    </row>
    <row r="650" spans="1:15" ht="15" x14ac:dyDescent="0.25">
      <c r="A650" s="320">
        <v>621631</v>
      </c>
      <c r="B650" s="319" t="s">
        <v>276</v>
      </c>
      <c r="C650" s="331">
        <v>202</v>
      </c>
      <c r="D650" s="331">
        <v>157</v>
      </c>
      <c r="E650" s="331">
        <v>359</v>
      </c>
      <c r="F650" s="331">
        <v>5581777</v>
      </c>
      <c r="G650" s="331">
        <v>6350417</v>
      </c>
      <c r="H650" s="331">
        <v>11932193</v>
      </c>
      <c r="I650" s="331">
        <v>-100902</v>
      </c>
      <c r="J650" s="319" t="s">
        <v>1043</v>
      </c>
      <c r="K650" s="319" t="s">
        <v>772</v>
      </c>
      <c r="L650" s="319" t="s">
        <v>198</v>
      </c>
      <c r="M650" s="319" t="s">
        <v>68</v>
      </c>
      <c r="N650" s="2"/>
      <c r="O650" s="4"/>
    </row>
    <row r="651" spans="1:15" ht="15" x14ac:dyDescent="0.25">
      <c r="A651" s="320">
        <v>800664</v>
      </c>
      <c r="B651" s="319" t="s">
        <v>558</v>
      </c>
      <c r="C651" s="331">
        <v>148</v>
      </c>
      <c r="D651" s="331">
        <v>208</v>
      </c>
      <c r="E651" s="331">
        <v>356</v>
      </c>
      <c r="F651" s="331">
        <v>5780028</v>
      </c>
      <c r="G651" s="331">
        <v>10327210</v>
      </c>
      <c r="H651" s="331">
        <v>16107238</v>
      </c>
      <c r="I651" s="331">
        <v>-665983</v>
      </c>
      <c r="J651" s="319" t="s">
        <v>1049</v>
      </c>
      <c r="K651" s="319" t="s">
        <v>771</v>
      </c>
      <c r="L651" s="319" t="s">
        <v>547</v>
      </c>
      <c r="M651" s="319" t="s">
        <v>68</v>
      </c>
      <c r="N651" s="2"/>
      <c r="O651" s="4"/>
    </row>
    <row r="652" spans="1:15" ht="15" x14ac:dyDescent="0.25">
      <c r="A652" s="320">
        <v>619445</v>
      </c>
      <c r="B652" s="319" t="s">
        <v>980</v>
      </c>
      <c r="C652" s="331">
        <v>200</v>
      </c>
      <c r="D652" s="331">
        <v>154</v>
      </c>
      <c r="E652" s="331">
        <v>354</v>
      </c>
      <c r="F652" s="331">
        <v>27172068</v>
      </c>
      <c r="G652" s="331">
        <v>21508498</v>
      </c>
      <c r="H652" s="331">
        <v>48680567</v>
      </c>
      <c r="I652" s="331">
        <v>7061574</v>
      </c>
      <c r="J652" s="319" t="s">
        <v>1024</v>
      </c>
      <c r="K652" s="319" t="s">
        <v>768</v>
      </c>
      <c r="L652" s="319" t="s">
        <v>171</v>
      </c>
      <c r="M652" s="319" t="s">
        <v>154</v>
      </c>
      <c r="N652" s="2"/>
      <c r="O652" s="4"/>
    </row>
    <row r="653" spans="1:15" ht="15" x14ac:dyDescent="0.25">
      <c r="A653" s="320">
        <v>872440</v>
      </c>
      <c r="B653" s="319" t="s">
        <v>1132</v>
      </c>
      <c r="C653" s="331">
        <v>186</v>
      </c>
      <c r="D653" s="331">
        <v>164</v>
      </c>
      <c r="E653" s="331">
        <v>350</v>
      </c>
      <c r="F653" s="331">
        <v>8044925</v>
      </c>
      <c r="G653" s="331">
        <v>8237343</v>
      </c>
      <c r="H653" s="331">
        <v>16282268</v>
      </c>
      <c r="I653" s="331">
        <v>25873</v>
      </c>
      <c r="J653" s="319" t="s">
        <v>181</v>
      </c>
      <c r="K653" s="319" t="s">
        <v>771</v>
      </c>
      <c r="L653" s="319" t="s">
        <v>425</v>
      </c>
      <c r="M653" s="319" t="s">
        <v>68</v>
      </c>
      <c r="N653" s="2"/>
      <c r="O653" s="4"/>
    </row>
    <row r="654" spans="1:15" ht="15" x14ac:dyDescent="0.25">
      <c r="A654" s="320">
        <v>923383</v>
      </c>
      <c r="B654" s="319" t="s">
        <v>698</v>
      </c>
      <c r="C654" s="331">
        <v>156</v>
      </c>
      <c r="D654" s="331">
        <v>193</v>
      </c>
      <c r="E654" s="331">
        <v>349</v>
      </c>
      <c r="F654" s="331">
        <v>6159201</v>
      </c>
      <c r="G654" s="331">
        <v>9193675</v>
      </c>
      <c r="H654" s="331">
        <v>15352876</v>
      </c>
      <c r="I654" s="331">
        <v>-137994</v>
      </c>
      <c r="J654" s="319" t="s">
        <v>181</v>
      </c>
      <c r="K654" s="319" t="s">
        <v>771</v>
      </c>
      <c r="L654" s="319" t="s">
        <v>955</v>
      </c>
      <c r="M654" s="319" t="s">
        <v>68</v>
      </c>
      <c r="N654" s="2"/>
      <c r="O654" s="4"/>
    </row>
    <row r="655" spans="1:15" ht="15" x14ac:dyDescent="0.25">
      <c r="A655" s="320">
        <v>392308</v>
      </c>
      <c r="B655" s="319" t="s">
        <v>1095</v>
      </c>
      <c r="C655" s="331">
        <v>104</v>
      </c>
      <c r="D655" s="331">
        <v>244</v>
      </c>
      <c r="E655" s="331">
        <v>348</v>
      </c>
      <c r="F655" s="331">
        <v>5203985</v>
      </c>
      <c r="G655" s="331">
        <v>15025065</v>
      </c>
      <c r="H655" s="331">
        <v>20229050</v>
      </c>
      <c r="I655" s="331">
        <v>5755206</v>
      </c>
      <c r="J655" s="319" t="s">
        <v>215</v>
      </c>
      <c r="K655" s="319" t="s">
        <v>771</v>
      </c>
      <c r="L655" s="319" t="s">
        <v>629</v>
      </c>
      <c r="M655" s="319" t="s">
        <v>68</v>
      </c>
      <c r="N655" s="2"/>
      <c r="O655" s="4"/>
    </row>
    <row r="656" spans="1:15" ht="15" x14ac:dyDescent="0.25">
      <c r="A656" s="320">
        <v>918367</v>
      </c>
      <c r="B656" s="319" t="s">
        <v>1055</v>
      </c>
      <c r="C656" s="331">
        <v>139</v>
      </c>
      <c r="D656" s="331">
        <v>207</v>
      </c>
      <c r="E656" s="331">
        <v>346</v>
      </c>
      <c r="F656" s="331">
        <v>5122232</v>
      </c>
      <c r="G656" s="331">
        <v>9874165</v>
      </c>
      <c r="H656" s="331">
        <v>14996397</v>
      </c>
      <c r="I656" s="331">
        <v>-22832</v>
      </c>
      <c r="J656" s="319" t="s">
        <v>1045</v>
      </c>
      <c r="K656" s="319" t="s">
        <v>771</v>
      </c>
      <c r="L656" s="319" t="s">
        <v>749</v>
      </c>
      <c r="M656" s="319" t="s">
        <v>68</v>
      </c>
      <c r="N656" s="2"/>
      <c r="O656" s="4"/>
    </row>
    <row r="657" spans="1:15" ht="15" x14ac:dyDescent="0.25">
      <c r="A657" s="320">
        <v>942094</v>
      </c>
      <c r="B657" s="319" t="s">
        <v>578</v>
      </c>
      <c r="C657" s="331">
        <v>101</v>
      </c>
      <c r="D657" s="331">
        <v>244</v>
      </c>
      <c r="E657" s="331">
        <v>345</v>
      </c>
      <c r="F657" s="331">
        <v>4295232</v>
      </c>
      <c r="G657" s="331">
        <v>12178788</v>
      </c>
      <c r="H657" s="331">
        <v>16474021</v>
      </c>
      <c r="I657" s="331">
        <v>-72968</v>
      </c>
      <c r="J657" s="319" t="s">
        <v>289</v>
      </c>
      <c r="K657" s="319" t="s">
        <v>771</v>
      </c>
      <c r="L657" s="319" t="s">
        <v>579</v>
      </c>
      <c r="M657" s="319" t="s">
        <v>68</v>
      </c>
      <c r="N657" s="2"/>
      <c r="O657" s="4"/>
    </row>
    <row r="658" spans="1:15" ht="15" x14ac:dyDescent="0.25">
      <c r="A658" s="320">
        <v>545426</v>
      </c>
      <c r="B658" s="319" t="s">
        <v>267</v>
      </c>
      <c r="C658" s="331">
        <v>142</v>
      </c>
      <c r="D658" s="331">
        <v>201</v>
      </c>
      <c r="E658" s="331">
        <v>343</v>
      </c>
      <c r="F658" s="331">
        <v>8709436</v>
      </c>
      <c r="G658" s="331">
        <v>14565046</v>
      </c>
      <c r="H658" s="331">
        <v>23274482</v>
      </c>
      <c r="I658" s="331">
        <v>-460166</v>
      </c>
      <c r="J658" s="319" t="s">
        <v>181</v>
      </c>
      <c r="K658" s="319" t="s">
        <v>771</v>
      </c>
      <c r="L658" s="319" t="s">
        <v>226</v>
      </c>
      <c r="M658" s="319" t="s">
        <v>154</v>
      </c>
      <c r="N658" s="2"/>
      <c r="O658" s="4"/>
    </row>
    <row r="659" spans="1:15" ht="15" x14ac:dyDescent="0.25">
      <c r="A659" s="320">
        <v>910109</v>
      </c>
      <c r="B659" s="319" t="s">
        <v>639</v>
      </c>
      <c r="C659" s="331">
        <v>131</v>
      </c>
      <c r="D659" s="331">
        <v>210</v>
      </c>
      <c r="E659" s="331">
        <v>341</v>
      </c>
      <c r="F659" s="331">
        <v>5097462</v>
      </c>
      <c r="G659" s="331">
        <v>10495129</v>
      </c>
      <c r="H659" s="331">
        <v>15592590</v>
      </c>
      <c r="I659" s="331">
        <v>296641</v>
      </c>
      <c r="J659" s="319" t="s">
        <v>201</v>
      </c>
      <c r="K659" s="319" t="s">
        <v>771</v>
      </c>
      <c r="L659" s="319" t="s">
        <v>955</v>
      </c>
      <c r="M659" s="319" t="s">
        <v>68</v>
      </c>
      <c r="N659" s="2"/>
      <c r="O659" s="4"/>
    </row>
    <row r="660" spans="1:15" ht="15" x14ac:dyDescent="0.25">
      <c r="A660" s="320">
        <v>882068</v>
      </c>
      <c r="B660" s="319" t="s">
        <v>1073</v>
      </c>
      <c r="C660" s="331">
        <v>187</v>
      </c>
      <c r="D660" s="331">
        <v>153</v>
      </c>
      <c r="E660" s="331">
        <v>340</v>
      </c>
      <c r="F660" s="331">
        <v>8224496</v>
      </c>
      <c r="G660" s="331">
        <v>7972943</v>
      </c>
      <c r="H660" s="331">
        <v>16197439</v>
      </c>
      <c r="I660" s="331">
        <v>49837</v>
      </c>
      <c r="J660" s="319" t="s">
        <v>181</v>
      </c>
      <c r="K660" s="319" t="s">
        <v>771</v>
      </c>
      <c r="L660" s="319" t="s">
        <v>379</v>
      </c>
      <c r="M660" s="319" t="s">
        <v>68</v>
      </c>
      <c r="N660" s="2"/>
      <c r="O660" s="4"/>
    </row>
    <row r="661" spans="1:15" ht="15" x14ac:dyDescent="0.25">
      <c r="A661" s="320">
        <v>538751</v>
      </c>
      <c r="B661" s="319" t="s">
        <v>651</v>
      </c>
      <c r="C661" s="331">
        <v>117</v>
      </c>
      <c r="D661" s="331">
        <v>223</v>
      </c>
      <c r="E661" s="331">
        <v>340</v>
      </c>
      <c r="F661" s="331">
        <v>5558568</v>
      </c>
      <c r="G661" s="331">
        <v>11930759</v>
      </c>
      <c r="H661" s="331">
        <v>17489327</v>
      </c>
      <c r="I661" s="331">
        <v>213199</v>
      </c>
      <c r="J661" s="319" t="s">
        <v>1046</v>
      </c>
      <c r="K661" s="319" t="s">
        <v>771</v>
      </c>
      <c r="L661" s="319" t="s">
        <v>742</v>
      </c>
      <c r="M661" s="319" t="s">
        <v>68</v>
      </c>
      <c r="N661" s="2"/>
      <c r="O661" s="4"/>
    </row>
    <row r="662" spans="1:15" ht="15" x14ac:dyDescent="0.25">
      <c r="A662" s="320">
        <v>267815</v>
      </c>
      <c r="B662" s="319" t="s">
        <v>1007</v>
      </c>
      <c r="C662" s="331">
        <v>109</v>
      </c>
      <c r="D662" s="331">
        <v>230</v>
      </c>
      <c r="E662" s="331">
        <v>339</v>
      </c>
      <c r="F662" s="331">
        <v>5102114</v>
      </c>
      <c r="G662" s="331">
        <v>13620563</v>
      </c>
      <c r="H662" s="331">
        <v>18722677</v>
      </c>
      <c r="I662" s="331">
        <v>-4135881</v>
      </c>
      <c r="J662" s="319" t="s">
        <v>318</v>
      </c>
      <c r="K662" s="319" t="s">
        <v>771</v>
      </c>
      <c r="L662" s="319" t="s">
        <v>604</v>
      </c>
      <c r="M662" s="319" t="s">
        <v>68</v>
      </c>
      <c r="N662" s="2"/>
      <c r="O662" s="4"/>
    </row>
    <row r="663" spans="1:15" ht="15" x14ac:dyDescent="0.25">
      <c r="A663" s="320">
        <v>857565</v>
      </c>
      <c r="B663" s="319" t="s">
        <v>311</v>
      </c>
      <c r="C663" s="331">
        <v>144</v>
      </c>
      <c r="D663" s="331">
        <v>189</v>
      </c>
      <c r="E663" s="331">
        <v>333</v>
      </c>
      <c r="F663" s="331">
        <v>6722269</v>
      </c>
      <c r="G663" s="331">
        <v>12176608</v>
      </c>
      <c r="H663" s="331">
        <v>18898877</v>
      </c>
      <c r="I663" s="331">
        <v>-2734948</v>
      </c>
      <c r="J663" s="319" t="s">
        <v>1034</v>
      </c>
      <c r="K663" s="319" t="s">
        <v>772</v>
      </c>
      <c r="L663" s="319" t="s">
        <v>158</v>
      </c>
      <c r="M663" s="319" t="s">
        <v>68</v>
      </c>
      <c r="N663" s="2"/>
      <c r="O663" s="4"/>
    </row>
    <row r="664" spans="1:15" ht="15" x14ac:dyDescent="0.25">
      <c r="A664" s="320">
        <v>467092</v>
      </c>
      <c r="B664" s="319" t="s">
        <v>491</v>
      </c>
      <c r="C664" s="331">
        <v>115</v>
      </c>
      <c r="D664" s="331">
        <v>212</v>
      </c>
      <c r="E664" s="331">
        <v>327</v>
      </c>
      <c r="F664" s="331">
        <v>4643450</v>
      </c>
      <c r="G664" s="331">
        <v>11679398</v>
      </c>
      <c r="H664" s="331">
        <v>16322848</v>
      </c>
      <c r="I664" s="331">
        <v>-1100957</v>
      </c>
      <c r="J664" s="319" t="s">
        <v>1033</v>
      </c>
      <c r="K664" s="319" t="s">
        <v>772</v>
      </c>
      <c r="L664" s="319" t="s">
        <v>742</v>
      </c>
      <c r="M664" s="319" t="s">
        <v>68</v>
      </c>
      <c r="N664" s="2"/>
      <c r="O664" s="4"/>
    </row>
    <row r="665" spans="1:15" ht="15" x14ac:dyDescent="0.25">
      <c r="A665" s="320">
        <v>920074</v>
      </c>
      <c r="B665" s="319" t="s">
        <v>885</v>
      </c>
      <c r="C665" s="331">
        <v>115</v>
      </c>
      <c r="D665" s="331">
        <v>207</v>
      </c>
      <c r="E665" s="331">
        <v>322</v>
      </c>
      <c r="F665" s="331">
        <v>8416694</v>
      </c>
      <c r="G665" s="331">
        <v>15879985</v>
      </c>
      <c r="H665" s="331">
        <v>24296679</v>
      </c>
      <c r="I665" s="331">
        <v>949639</v>
      </c>
      <c r="J665" s="319" t="s">
        <v>1024</v>
      </c>
      <c r="K665" s="319" t="s">
        <v>768</v>
      </c>
      <c r="L665" s="319" t="s">
        <v>886</v>
      </c>
      <c r="M665" s="319" t="s">
        <v>154</v>
      </c>
      <c r="N665" s="2"/>
      <c r="O665" s="4"/>
    </row>
    <row r="666" spans="1:15" ht="15" x14ac:dyDescent="0.25">
      <c r="A666" s="320">
        <v>175265</v>
      </c>
      <c r="B666" s="319" t="s">
        <v>877</v>
      </c>
      <c r="C666" s="331">
        <v>146</v>
      </c>
      <c r="D666" s="331">
        <v>176</v>
      </c>
      <c r="E666" s="331">
        <v>322</v>
      </c>
      <c r="F666" s="331">
        <v>7148609</v>
      </c>
      <c r="G666" s="331">
        <v>9086797</v>
      </c>
      <c r="H666" s="331">
        <v>16235406</v>
      </c>
      <c r="I666" s="331">
        <v>-199824</v>
      </c>
      <c r="J666" s="319" t="s">
        <v>181</v>
      </c>
      <c r="K666" s="319" t="s">
        <v>771</v>
      </c>
      <c r="L666" s="319" t="s">
        <v>547</v>
      </c>
      <c r="M666" s="319" t="s">
        <v>68</v>
      </c>
      <c r="N666" s="2"/>
      <c r="O666" s="4"/>
    </row>
    <row r="667" spans="1:15" ht="15" x14ac:dyDescent="0.25">
      <c r="A667" s="320">
        <v>849711</v>
      </c>
      <c r="B667" s="319" t="s">
        <v>843</v>
      </c>
      <c r="C667" s="331">
        <v>96</v>
      </c>
      <c r="D667" s="331">
        <v>224</v>
      </c>
      <c r="E667" s="331">
        <v>320</v>
      </c>
      <c r="F667" s="331">
        <v>5047570</v>
      </c>
      <c r="G667" s="331">
        <v>14783603</v>
      </c>
      <c r="H667" s="331">
        <v>19831173</v>
      </c>
      <c r="I667" s="331">
        <v>298878</v>
      </c>
      <c r="J667" s="319" t="s">
        <v>298</v>
      </c>
      <c r="K667" s="319" t="s">
        <v>771</v>
      </c>
      <c r="L667" s="319" t="s">
        <v>807</v>
      </c>
      <c r="M667" s="319" t="s">
        <v>68</v>
      </c>
      <c r="N667" s="2"/>
      <c r="O667" s="4"/>
    </row>
    <row r="668" spans="1:15" ht="15" x14ac:dyDescent="0.25">
      <c r="A668" s="320">
        <v>473702</v>
      </c>
      <c r="B668" s="319" t="s">
        <v>944</v>
      </c>
      <c r="C668" s="331">
        <v>136</v>
      </c>
      <c r="D668" s="331">
        <v>184</v>
      </c>
      <c r="E668" s="331">
        <v>320</v>
      </c>
      <c r="F668" s="331">
        <v>7299275</v>
      </c>
      <c r="G668" s="331">
        <v>10880881</v>
      </c>
      <c r="H668" s="331">
        <v>18180156</v>
      </c>
      <c r="I668" s="331">
        <v>655025</v>
      </c>
      <c r="J668" s="319" t="s">
        <v>181</v>
      </c>
      <c r="K668" s="319" t="s">
        <v>771</v>
      </c>
      <c r="L668" s="319" t="s">
        <v>178</v>
      </c>
      <c r="M668" s="319" t="s">
        <v>154</v>
      </c>
      <c r="N668" s="2"/>
      <c r="O668" s="4"/>
    </row>
    <row r="669" spans="1:15" ht="15" x14ac:dyDescent="0.25">
      <c r="A669" s="320">
        <v>934711</v>
      </c>
      <c r="B669" s="319" t="s">
        <v>400</v>
      </c>
      <c r="C669" s="331">
        <v>113</v>
      </c>
      <c r="D669" s="331">
        <v>202</v>
      </c>
      <c r="E669" s="331">
        <v>315</v>
      </c>
      <c r="F669" s="331">
        <v>5861501</v>
      </c>
      <c r="G669" s="331">
        <v>16457066</v>
      </c>
      <c r="H669" s="331">
        <v>22318567</v>
      </c>
      <c r="I669" s="331">
        <v>1530513</v>
      </c>
      <c r="J669" s="319" t="s">
        <v>1038</v>
      </c>
      <c r="K669" s="319" t="s">
        <v>772</v>
      </c>
      <c r="L669" s="319" t="s">
        <v>184</v>
      </c>
      <c r="M669" s="319" t="s">
        <v>154</v>
      </c>
      <c r="N669" s="2"/>
      <c r="O669" s="4"/>
    </row>
    <row r="670" spans="1:15" ht="15" x14ac:dyDescent="0.25">
      <c r="A670" s="320">
        <v>133116</v>
      </c>
      <c r="B670" s="319" t="s">
        <v>715</v>
      </c>
      <c r="C670" s="331">
        <v>115</v>
      </c>
      <c r="D670" s="331">
        <v>199</v>
      </c>
      <c r="E670" s="331">
        <v>314</v>
      </c>
      <c r="F670" s="331">
        <v>6207846</v>
      </c>
      <c r="G670" s="331">
        <v>15538264</v>
      </c>
      <c r="H670" s="331">
        <v>21746110</v>
      </c>
      <c r="I670" s="331">
        <v>-618584</v>
      </c>
      <c r="J670" s="319" t="s">
        <v>1041</v>
      </c>
      <c r="K670" s="319" t="s">
        <v>768</v>
      </c>
      <c r="L670" s="319" t="s">
        <v>287</v>
      </c>
      <c r="M670" s="319" t="s">
        <v>68</v>
      </c>
      <c r="N670" s="2"/>
      <c r="O670" s="4"/>
    </row>
    <row r="671" spans="1:15" ht="15" x14ac:dyDescent="0.25">
      <c r="A671" s="320">
        <v>853374</v>
      </c>
      <c r="B671" s="319" t="s">
        <v>246</v>
      </c>
      <c r="C671" s="331">
        <v>151</v>
      </c>
      <c r="D671" s="331">
        <v>160</v>
      </c>
      <c r="E671" s="331">
        <v>311</v>
      </c>
      <c r="F671" s="331">
        <v>14067768</v>
      </c>
      <c r="G671" s="331">
        <v>15371615</v>
      </c>
      <c r="H671" s="331">
        <v>29439383</v>
      </c>
      <c r="I671" s="331">
        <v>204424</v>
      </c>
      <c r="J671" s="319" t="s">
        <v>1024</v>
      </c>
      <c r="K671" s="319" t="s">
        <v>768</v>
      </c>
      <c r="L671" s="319" t="s">
        <v>247</v>
      </c>
      <c r="M671" s="319" t="s">
        <v>154</v>
      </c>
      <c r="N671" s="2"/>
      <c r="O671" s="4"/>
    </row>
    <row r="672" spans="1:15" ht="15" x14ac:dyDescent="0.25">
      <c r="A672" s="320">
        <v>261859</v>
      </c>
      <c r="B672" s="319" t="s">
        <v>550</v>
      </c>
      <c r="C672" s="331">
        <v>119</v>
      </c>
      <c r="D672" s="331">
        <v>191</v>
      </c>
      <c r="E672" s="331">
        <v>310</v>
      </c>
      <c r="F672" s="331">
        <v>6016474</v>
      </c>
      <c r="G672" s="331">
        <v>11785029</v>
      </c>
      <c r="H672" s="331">
        <v>17801502</v>
      </c>
      <c r="I672" s="331">
        <v>-1993434</v>
      </c>
      <c r="J672" s="319" t="s">
        <v>1047</v>
      </c>
      <c r="K672" s="319" t="s">
        <v>771</v>
      </c>
      <c r="L672" s="319" t="s">
        <v>399</v>
      </c>
      <c r="M672" s="319" t="s">
        <v>154</v>
      </c>
      <c r="N672" s="2"/>
      <c r="O672" s="4"/>
    </row>
    <row r="673" spans="1:15" ht="15" x14ac:dyDescent="0.25">
      <c r="A673" s="320">
        <v>830885</v>
      </c>
      <c r="B673" s="319" t="s">
        <v>537</v>
      </c>
      <c r="C673" s="331">
        <v>114</v>
      </c>
      <c r="D673" s="331">
        <v>189</v>
      </c>
      <c r="E673" s="331">
        <v>303</v>
      </c>
      <c r="F673" s="331">
        <v>5056471</v>
      </c>
      <c r="G673" s="331">
        <v>11064228</v>
      </c>
      <c r="H673" s="331">
        <v>16120699</v>
      </c>
      <c r="I673" s="331">
        <v>185790</v>
      </c>
      <c r="J673" s="319" t="s">
        <v>1043</v>
      </c>
      <c r="K673" s="319" t="s">
        <v>772</v>
      </c>
      <c r="L673" s="319" t="s">
        <v>538</v>
      </c>
      <c r="M673" s="319" t="s">
        <v>68</v>
      </c>
      <c r="N673" s="2"/>
      <c r="O673" s="4"/>
    </row>
    <row r="674" spans="1:15" ht="15" x14ac:dyDescent="0.25">
      <c r="A674" s="320">
        <v>870840</v>
      </c>
      <c r="B674" s="319" t="s">
        <v>1118</v>
      </c>
      <c r="C674" s="331">
        <v>92</v>
      </c>
      <c r="D674" s="331">
        <v>210</v>
      </c>
      <c r="E674" s="331">
        <v>302</v>
      </c>
      <c r="F674" s="331">
        <v>4352597</v>
      </c>
      <c r="G674" s="331">
        <v>13492563</v>
      </c>
      <c r="H674" s="331">
        <v>17845160</v>
      </c>
      <c r="I674" s="331">
        <v>-4925100</v>
      </c>
      <c r="J674" s="319" t="s">
        <v>1051</v>
      </c>
      <c r="K674" s="319" t="s">
        <v>771</v>
      </c>
      <c r="L674" s="319" t="s">
        <v>1062</v>
      </c>
      <c r="M674" s="319" t="s">
        <v>68</v>
      </c>
      <c r="N674" s="2"/>
      <c r="O674" s="4"/>
    </row>
    <row r="675" spans="1:15" ht="15" x14ac:dyDescent="0.25">
      <c r="A675" s="320">
        <v>256362</v>
      </c>
      <c r="B675" s="319" t="s">
        <v>265</v>
      </c>
      <c r="C675" s="331">
        <v>103</v>
      </c>
      <c r="D675" s="331">
        <v>198</v>
      </c>
      <c r="E675" s="331">
        <v>301</v>
      </c>
      <c r="F675" s="331">
        <v>4826714</v>
      </c>
      <c r="G675" s="331">
        <v>12455624</v>
      </c>
      <c r="H675" s="331">
        <v>17282338</v>
      </c>
      <c r="I675" s="331">
        <v>-1088680</v>
      </c>
      <c r="J675" s="319" t="s">
        <v>1047</v>
      </c>
      <c r="K675" s="319" t="s">
        <v>771</v>
      </c>
      <c r="L675" s="319" t="s">
        <v>226</v>
      </c>
      <c r="M675" s="319" t="s">
        <v>154</v>
      </c>
      <c r="N675" s="2"/>
      <c r="O675" s="4"/>
    </row>
    <row r="676" spans="1:15" ht="15" x14ac:dyDescent="0.25">
      <c r="A676" s="320">
        <v>419101</v>
      </c>
      <c r="B676" s="319" t="s">
        <v>585</v>
      </c>
      <c r="C676" s="331">
        <v>95</v>
      </c>
      <c r="D676" s="331">
        <v>198</v>
      </c>
      <c r="E676" s="331">
        <v>293</v>
      </c>
      <c r="F676" s="331">
        <v>3155897</v>
      </c>
      <c r="G676" s="331">
        <v>8120700</v>
      </c>
      <c r="H676" s="331">
        <v>11276597</v>
      </c>
      <c r="I676" s="331">
        <v>-395753</v>
      </c>
      <c r="J676" s="319" t="s">
        <v>295</v>
      </c>
      <c r="K676" s="319" t="s">
        <v>771</v>
      </c>
      <c r="L676" s="319" t="s">
        <v>584</v>
      </c>
      <c r="M676" s="319" t="s">
        <v>68</v>
      </c>
      <c r="N676" s="2"/>
      <c r="O676" s="4"/>
    </row>
    <row r="677" spans="1:15" ht="15" x14ac:dyDescent="0.25">
      <c r="A677" s="320">
        <v>558700</v>
      </c>
      <c r="B677" s="319" t="s">
        <v>1147</v>
      </c>
      <c r="C677" s="331">
        <v>63</v>
      </c>
      <c r="D677" s="331">
        <v>224</v>
      </c>
      <c r="E677" s="331">
        <v>287</v>
      </c>
      <c r="F677" s="331">
        <v>3195828</v>
      </c>
      <c r="G677" s="331">
        <v>15749007</v>
      </c>
      <c r="H677" s="331">
        <v>18944836</v>
      </c>
      <c r="I677" s="331">
        <v>4139335</v>
      </c>
      <c r="J677" s="319" t="s">
        <v>289</v>
      </c>
      <c r="K677" s="319" t="s">
        <v>771</v>
      </c>
      <c r="L677" s="319" t="s">
        <v>955</v>
      </c>
      <c r="M677" s="319" t="s">
        <v>68</v>
      </c>
      <c r="N677" s="2"/>
      <c r="O677" s="4"/>
    </row>
    <row r="678" spans="1:15" ht="15" x14ac:dyDescent="0.25">
      <c r="A678" s="320">
        <v>404236</v>
      </c>
      <c r="B678" s="319" t="s">
        <v>714</v>
      </c>
      <c r="C678" s="331">
        <v>132</v>
      </c>
      <c r="D678" s="331">
        <v>155</v>
      </c>
      <c r="E678" s="331">
        <v>287</v>
      </c>
      <c r="F678" s="331">
        <v>4927579</v>
      </c>
      <c r="G678" s="331">
        <v>6548812</v>
      </c>
      <c r="H678" s="331">
        <v>11476392</v>
      </c>
      <c r="I678" s="331">
        <v>-28225</v>
      </c>
      <c r="J678" s="319" t="s">
        <v>295</v>
      </c>
      <c r="K678" s="319" t="s">
        <v>771</v>
      </c>
      <c r="L678" s="319" t="s">
        <v>955</v>
      </c>
      <c r="M678" s="319" t="s">
        <v>68</v>
      </c>
      <c r="N678" s="2"/>
      <c r="O678" s="4"/>
    </row>
    <row r="679" spans="1:15" ht="15" x14ac:dyDescent="0.25">
      <c r="A679" s="320">
        <v>389650</v>
      </c>
      <c r="B679" s="319" t="s">
        <v>528</v>
      </c>
      <c r="C679" s="331">
        <v>114</v>
      </c>
      <c r="D679" s="331">
        <v>164</v>
      </c>
      <c r="E679" s="331">
        <v>278</v>
      </c>
      <c r="F679" s="331">
        <v>3886582</v>
      </c>
      <c r="G679" s="331">
        <v>7140274</v>
      </c>
      <c r="H679" s="331">
        <v>11026856</v>
      </c>
      <c r="I679" s="331">
        <v>-78611</v>
      </c>
      <c r="J679" s="319" t="s">
        <v>1048</v>
      </c>
      <c r="K679" s="319" t="s">
        <v>771</v>
      </c>
      <c r="L679" s="319" t="s">
        <v>453</v>
      </c>
      <c r="M679" s="319" t="s">
        <v>68</v>
      </c>
      <c r="N679" s="2"/>
      <c r="O679" s="4"/>
    </row>
    <row r="680" spans="1:15" ht="15" x14ac:dyDescent="0.25">
      <c r="A680" s="320">
        <v>252643</v>
      </c>
      <c r="B680" s="319" t="s">
        <v>965</v>
      </c>
      <c r="C680" s="331">
        <v>84</v>
      </c>
      <c r="D680" s="331">
        <v>194</v>
      </c>
      <c r="E680" s="331">
        <v>278</v>
      </c>
      <c r="F680" s="331">
        <v>12855484</v>
      </c>
      <c r="G680" s="331">
        <v>39835063</v>
      </c>
      <c r="H680" s="331">
        <v>52690547</v>
      </c>
      <c r="I680" s="331">
        <v>-431233</v>
      </c>
      <c r="J680" s="319" t="s">
        <v>1022</v>
      </c>
      <c r="K680" s="319" t="s">
        <v>765</v>
      </c>
      <c r="L680" s="319" t="s">
        <v>975</v>
      </c>
      <c r="M680" s="319" t="s">
        <v>154</v>
      </c>
      <c r="N680" s="2"/>
      <c r="O680" s="4"/>
    </row>
    <row r="681" spans="1:15" ht="15" x14ac:dyDescent="0.25">
      <c r="A681" s="320">
        <v>848770</v>
      </c>
      <c r="B681" s="319" t="s">
        <v>920</v>
      </c>
      <c r="C681" s="331">
        <v>118</v>
      </c>
      <c r="D681" s="331">
        <v>158</v>
      </c>
      <c r="E681" s="331">
        <v>276</v>
      </c>
      <c r="F681" s="331">
        <v>3949805</v>
      </c>
      <c r="G681" s="331">
        <v>6481357</v>
      </c>
      <c r="H681" s="331">
        <v>10431162</v>
      </c>
      <c r="I681" s="331">
        <v>-15486</v>
      </c>
      <c r="J681" s="319" t="s">
        <v>215</v>
      </c>
      <c r="K681" s="319" t="s">
        <v>771</v>
      </c>
      <c r="L681" s="319" t="s">
        <v>773</v>
      </c>
      <c r="M681" s="319" t="s">
        <v>68</v>
      </c>
      <c r="N681" s="2"/>
      <c r="O681" s="4"/>
    </row>
    <row r="682" spans="1:15" ht="15" x14ac:dyDescent="0.25">
      <c r="A682" s="320">
        <v>526590</v>
      </c>
      <c r="B682" s="319" t="s">
        <v>893</v>
      </c>
      <c r="C682" s="331">
        <v>61</v>
      </c>
      <c r="D682" s="331">
        <v>215</v>
      </c>
      <c r="E682" s="331">
        <v>276</v>
      </c>
      <c r="F682" s="331">
        <v>2587502</v>
      </c>
      <c r="G682" s="331">
        <v>12140446</v>
      </c>
      <c r="H682" s="331">
        <v>14727948</v>
      </c>
      <c r="I682" s="331">
        <v>-194298</v>
      </c>
      <c r="J682" s="319" t="s">
        <v>1045</v>
      </c>
      <c r="K682" s="319" t="s">
        <v>771</v>
      </c>
      <c r="L682" s="319" t="s">
        <v>584</v>
      </c>
      <c r="M682" s="319" t="s">
        <v>68</v>
      </c>
      <c r="N682" s="2"/>
      <c r="O682" s="4"/>
    </row>
    <row r="683" spans="1:15" ht="15" x14ac:dyDescent="0.25">
      <c r="A683" s="320">
        <v>317990</v>
      </c>
      <c r="B683" s="319" t="s">
        <v>494</v>
      </c>
      <c r="C683" s="331">
        <v>112</v>
      </c>
      <c r="D683" s="331">
        <v>164</v>
      </c>
      <c r="E683" s="331">
        <v>276</v>
      </c>
      <c r="F683" s="331">
        <v>3830995</v>
      </c>
      <c r="G683" s="331">
        <v>7155083</v>
      </c>
      <c r="H683" s="331">
        <v>10986077</v>
      </c>
      <c r="I683" s="331">
        <v>11675</v>
      </c>
      <c r="J683" s="319" t="s">
        <v>295</v>
      </c>
      <c r="K683" s="319" t="s">
        <v>771</v>
      </c>
      <c r="L683" s="319" t="s">
        <v>453</v>
      </c>
      <c r="M683" s="319" t="s">
        <v>68</v>
      </c>
      <c r="N683" s="2"/>
      <c r="O683" s="4"/>
    </row>
    <row r="684" spans="1:15" ht="15" customHeight="1" x14ac:dyDescent="0.25">
      <c r="A684" s="320">
        <v>930768</v>
      </c>
      <c r="B684" s="319" t="s">
        <v>459</v>
      </c>
      <c r="C684" s="331">
        <v>96</v>
      </c>
      <c r="D684" s="331">
        <v>179</v>
      </c>
      <c r="E684" s="331">
        <v>275</v>
      </c>
      <c r="F684" s="331">
        <v>4078815</v>
      </c>
      <c r="G684" s="331">
        <v>8682678</v>
      </c>
      <c r="H684" s="331">
        <v>12761493</v>
      </c>
      <c r="I684" s="331">
        <v>-488963</v>
      </c>
      <c r="J684" s="319" t="s">
        <v>1043</v>
      </c>
      <c r="K684" s="319" t="s">
        <v>772</v>
      </c>
      <c r="L684" s="319" t="s">
        <v>453</v>
      </c>
      <c r="M684" s="319" t="s">
        <v>68</v>
      </c>
      <c r="N684" s="2"/>
      <c r="O684" s="4"/>
    </row>
    <row r="685" spans="1:15" ht="15" customHeight="1" x14ac:dyDescent="0.25">
      <c r="A685" s="320">
        <v>723270</v>
      </c>
      <c r="B685" s="319" t="s">
        <v>1094</v>
      </c>
      <c r="C685" s="331">
        <v>91</v>
      </c>
      <c r="D685" s="331">
        <v>183</v>
      </c>
      <c r="E685" s="331">
        <v>274</v>
      </c>
      <c r="F685" s="331">
        <v>3464420</v>
      </c>
      <c r="G685" s="331">
        <v>8936236</v>
      </c>
      <c r="H685" s="331">
        <v>12400656</v>
      </c>
      <c r="I685" s="331">
        <v>1734831</v>
      </c>
      <c r="J685" s="319" t="s">
        <v>181</v>
      </c>
      <c r="K685" s="319" t="s">
        <v>771</v>
      </c>
      <c r="L685" s="319" t="s">
        <v>455</v>
      </c>
      <c r="M685" s="319" t="s">
        <v>68</v>
      </c>
      <c r="N685" s="2"/>
      <c r="O685" s="4"/>
    </row>
    <row r="686" spans="1:15" ht="15" customHeight="1" x14ac:dyDescent="0.25">
      <c r="A686" s="320">
        <v>696898</v>
      </c>
      <c r="B686" s="319" t="s">
        <v>789</v>
      </c>
      <c r="C686" s="331">
        <v>117</v>
      </c>
      <c r="D686" s="331">
        <v>157</v>
      </c>
      <c r="E686" s="331">
        <v>274</v>
      </c>
      <c r="F686" s="331">
        <v>5624243</v>
      </c>
      <c r="G686" s="331">
        <v>7983704</v>
      </c>
      <c r="H686" s="331">
        <v>13607947</v>
      </c>
      <c r="I686" s="331">
        <v>-954424</v>
      </c>
      <c r="J686" s="319" t="s">
        <v>215</v>
      </c>
      <c r="K686" s="319" t="s">
        <v>771</v>
      </c>
      <c r="L686" s="319" t="s">
        <v>540</v>
      </c>
      <c r="M686" s="319" t="s">
        <v>68</v>
      </c>
      <c r="N686" s="2"/>
      <c r="O686" s="4"/>
    </row>
    <row r="687" spans="1:15" ht="15" x14ac:dyDescent="0.25">
      <c r="A687" s="320">
        <v>579722</v>
      </c>
      <c r="B687" s="319" t="s">
        <v>655</v>
      </c>
      <c r="C687" s="331">
        <v>108</v>
      </c>
      <c r="D687" s="331">
        <v>162</v>
      </c>
      <c r="E687" s="331">
        <v>270</v>
      </c>
      <c r="F687" s="331">
        <v>4390179</v>
      </c>
      <c r="G687" s="331">
        <v>7958788</v>
      </c>
      <c r="H687" s="331">
        <v>12348967</v>
      </c>
      <c r="I687" s="331">
        <v>-260309</v>
      </c>
      <c r="J687" s="319" t="s">
        <v>215</v>
      </c>
      <c r="K687" s="319" t="s">
        <v>771</v>
      </c>
      <c r="L687" s="319" t="s">
        <v>504</v>
      </c>
      <c r="M687" s="319" t="s">
        <v>68</v>
      </c>
      <c r="N687" s="2"/>
      <c r="O687" s="4"/>
    </row>
    <row r="688" spans="1:15" ht="15" x14ac:dyDescent="0.25">
      <c r="A688" s="320">
        <v>174904</v>
      </c>
      <c r="B688" s="319" t="s">
        <v>986</v>
      </c>
      <c r="C688" s="331">
        <v>69</v>
      </c>
      <c r="D688" s="331">
        <v>201</v>
      </c>
      <c r="E688" s="331">
        <v>270</v>
      </c>
      <c r="F688" s="331">
        <v>13870753</v>
      </c>
      <c r="G688" s="331">
        <v>46600509</v>
      </c>
      <c r="H688" s="331">
        <v>60471261</v>
      </c>
      <c r="I688" s="331">
        <v>1564833</v>
      </c>
      <c r="J688" s="319" t="s">
        <v>1024</v>
      </c>
      <c r="K688" s="319" t="s">
        <v>768</v>
      </c>
      <c r="L688" s="319" t="s">
        <v>826</v>
      </c>
      <c r="M688" s="319" t="s">
        <v>154</v>
      </c>
      <c r="N688" s="2"/>
      <c r="O688" s="4"/>
    </row>
    <row r="689" spans="1:15" ht="15" x14ac:dyDescent="0.25">
      <c r="A689" s="320">
        <v>651679</v>
      </c>
      <c r="B689" s="319" t="s">
        <v>723</v>
      </c>
      <c r="C689" s="331">
        <v>165</v>
      </c>
      <c r="D689" s="331">
        <v>102</v>
      </c>
      <c r="E689" s="331">
        <v>267</v>
      </c>
      <c r="F689" s="331">
        <v>12443436</v>
      </c>
      <c r="G689" s="331">
        <v>11080013</v>
      </c>
      <c r="H689" s="331">
        <v>23523449</v>
      </c>
      <c r="I689" s="331">
        <v>137463</v>
      </c>
      <c r="J689" s="319" t="s">
        <v>1044</v>
      </c>
      <c r="K689" s="319" t="s">
        <v>772</v>
      </c>
      <c r="L689" s="319" t="s">
        <v>209</v>
      </c>
      <c r="M689" s="319" t="s">
        <v>68</v>
      </c>
      <c r="N689" s="2"/>
      <c r="O689" s="4"/>
    </row>
    <row r="690" spans="1:15" ht="15" x14ac:dyDescent="0.25">
      <c r="A690" s="320">
        <v>910398</v>
      </c>
      <c r="B690" s="319" t="s">
        <v>762</v>
      </c>
      <c r="C690" s="331">
        <v>98</v>
      </c>
      <c r="D690" s="331">
        <v>168</v>
      </c>
      <c r="E690" s="331">
        <v>266</v>
      </c>
      <c r="F690" s="331">
        <v>3337639</v>
      </c>
      <c r="G690" s="331">
        <v>7555296</v>
      </c>
      <c r="H690" s="331">
        <v>10892935</v>
      </c>
      <c r="I690" s="331">
        <v>2365284</v>
      </c>
      <c r="J690" s="319" t="s">
        <v>1048</v>
      </c>
      <c r="K690" s="319" t="s">
        <v>771</v>
      </c>
      <c r="L690" s="319" t="s">
        <v>155</v>
      </c>
      <c r="M690" s="319" t="s">
        <v>154</v>
      </c>
      <c r="N690" s="2"/>
      <c r="O690" s="4"/>
    </row>
    <row r="691" spans="1:15" ht="15" x14ac:dyDescent="0.25">
      <c r="A691" s="320">
        <v>840504</v>
      </c>
      <c r="B691" s="319" t="s">
        <v>940</v>
      </c>
      <c r="C691" s="331">
        <v>75</v>
      </c>
      <c r="D691" s="331">
        <v>188</v>
      </c>
      <c r="E691" s="331">
        <v>263</v>
      </c>
      <c r="F691" s="331">
        <v>3649656</v>
      </c>
      <c r="G691" s="331">
        <v>9805987</v>
      </c>
      <c r="H691" s="331">
        <v>13455643</v>
      </c>
      <c r="I691" s="331">
        <v>-624389</v>
      </c>
      <c r="J691" s="319" t="s">
        <v>1045</v>
      </c>
      <c r="K691" s="319" t="s">
        <v>771</v>
      </c>
      <c r="L691" s="319" t="s">
        <v>826</v>
      </c>
      <c r="M691" s="319" t="s">
        <v>154</v>
      </c>
      <c r="N691" s="2"/>
      <c r="O691" s="4"/>
    </row>
    <row r="692" spans="1:15" ht="15" x14ac:dyDescent="0.25">
      <c r="A692" s="320">
        <v>804674</v>
      </c>
      <c r="B692" s="319" t="s">
        <v>938</v>
      </c>
      <c r="C692" s="331">
        <v>73</v>
      </c>
      <c r="D692" s="331">
        <v>190</v>
      </c>
      <c r="E692" s="331">
        <v>263</v>
      </c>
      <c r="F692" s="331">
        <v>4801231</v>
      </c>
      <c r="G692" s="331">
        <v>14342997</v>
      </c>
      <c r="H692" s="331">
        <v>19144228</v>
      </c>
      <c r="I692" s="331">
        <v>762697</v>
      </c>
      <c r="J692" s="319" t="s">
        <v>1023</v>
      </c>
      <c r="K692" s="319" t="s">
        <v>768</v>
      </c>
      <c r="L692" s="319" t="s">
        <v>826</v>
      </c>
      <c r="M692" s="319" t="s">
        <v>154</v>
      </c>
      <c r="N692" s="2"/>
      <c r="O692" s="4"/>
    </row>
    <row r="693" spans="1:15" ht="15" x14ac:dyDescent="0.25">
      <c r="A693" s="320">
        <v>836494</v>
      </c>
      <c r="B693" s="319" t="s">
        <v>606</v>
      </c>
      <c r="C693" s="331">
        <v>96</v>
      </c>
      <c r="D693" s="331">
        <v>163</v>
      </c>
      <c r="E693" s="331">
        <v>259</v>
      </c>
      <c r="F693" s="331">
        <v>3357195</v>
      </c>
      <c r="G693" s="331">
        <v>7636576</v>
      </c>
      <c r="H693" s="331">
        <v>10993771</v>
      </c>
      <c r="I693" s="331">
        <v>-158957</v>
      </c>
      <c r="J693" s="319" t="s">
        <v>1049</v>
      </c>
      <c r="K693" s="319" t="s">
        <v>771</v>
      </c>
      <c r="L693" s="319" t="s">
        <v>547</v>
      </c>
      <c r="M693" s="319" t="s">
        <v>68</v>
      </c>
      <c r="N693" s="2"/>
      <c r="O693" s="4"/>
    </row>
    <row r="694" spans="1:15" ht="15" customHeight="1" x14ac:dyDescent="0.25">
      <c r="A694" s="320">
        <v>202002</v>
      </c>
      <c r="B694" s="319" t="s">
        <v>628</v>
      </c>
      <c r="C694" s="331">
        <v>115</v>
      </c>
      <c r="D694" s="331">
        <v>142</v>
      </c>
      <c r="E694" s="331">
        <v>257</v>
      </c>
      <c r="F694" s="331">
        <v>5965687</v>
      </c>
      <c r="G694" s="331">
        <v>8104806</v>
      </c>
      <c r="H694" s="331">
        <v>14070493</v>
      </c>
      <c r="I694" s="331">
        <v>5438</v>
      </c>
      <c r="J694" s="319" t="s">
        <v>181</v>
      </c>
      <c r="K694" s="319" t="s">
        <v>771</v>
      </c>
      <c r="L694" s="319" t="s">
        <v>629</v>
      </c>
      <c r="M694" s="319" t="s">
        <v>68</v>
      </c>
      <c r="N694" s="2"/>
      <c r="O694" s="4"/>
    </row>
    <row r="695" spans="1:15" ht="15" customHeight="1" x14ac:dyDescent="0.25">
      <c r="A695" s="320">
        <v>187898</v>
      </c>
      <c r="B695" s="319" t="s">
        <v>646</v>
      </c>
      <c r="C695" s="331">
        <v>137</v>
      </c>
      <c r="D695" s="331">
        <v>110</v>
      </c>
      <c r="E695" s="331">
        <v>247</v>
      </c>
      <c r="F695" s="331">
        <v>15844217</v>
      </c>
      <c r="G695" s="331">
        <v>13097525</v>
      </c>
      <c r="H695" s="331">
        <v>28941742</v>
      </c>
      <c r="I695" s="331">
        <v>-904242</v>
      </c>
      <c r="J695" s="319" t="s">
        <v>1024</v>
      </c>
      <c r="K695" s="319" t="s">
        <v>768</v>
      </c>
      <c r="L695" s="319" t="s">
        <v>284</v>
      </c>
      <c r="M695" s="319" t="s">
        <v>154</v>
      </c>
      <c r="N695" s="2"/>
      <c r="O695" s="4"/>
    </row>
    <row r="696" spans="1:15" ht="15" x14ac:dyDescent="0.25">
      <c r="A696" s="320">
        <v>899773</v>
      </c>
      <c r="B696" s="319" t="s">
        <v>1063</v>
      </c>
      <c r="C696" s="331">
        <v>118</v>
      </c>
      <c r="D696" s="331">
        <v>125</v>
      </c>
      <c r="E696" s="331">
        <v>243</v>
      </c>
      <c r="F696" s="331">
        <v>3993055</v>
      </c>
      <c r="G696" s="331">
        <v>5763775</v>
      </c>
      <c r="H696" s="331">
        <v>9756831</v>
      </c>
      <c r="I696" s="331"/>
      <c r="J696" s="319" t="s">
        <v>215</v>
      </c>
      <c r="K696" s="319" t="s">
        <v>771</v>
      </c>
      <c r="L696" s="319" t="s">
        <v>773</v>
      </c>
      <c r="M696" s="319" t="s">
        <v>68</v>
      </c>
      <c r="N696" s="2"/>
      <c r="O696" s="4"/>
    </row>
    <row r="697" spans="1:15" ht="15" x14ac:dyDescent="0.25">
      <c r="A697" s="320">
        <v>233346</v>
      </c>
      <c r="B697" s="319" t="s">
        <v>1129</v>
      </c>
      <c r="C697" s="331">
        <v>89</v>
      </c>
      <c r="D697" s="331">
        <v>151</v>
      </c>
      <c r="E697" s="331">
        <v>240</v>
      </c>
      <c r="F697" s="331">
        <v>5157841</v>
      </c>
      <c r="G697" s="331">
        <v>9890269</v>
      </c>
      <c r="H697" s="331">
        <v>15048111</v>
      </c>
      <c r="I697" s="331">
        <v>-97918</v>
      </c>
      <c r="J697" s="319" t="s">
        <v>289</v>
      </c>
      <c r="K697" s="319" t="s">
        <v>771</v>
      </c>
      <c r="L697" s="319" t="s">
        <v>749</v>
      </c>
      <c r="M697" s="319" t="s">
        <v>68</v>
      </c>
      <c r="N697" s="2"/>
      <c r="O697" s="4"/>
    </row>
    <row r="698" spans="1:15" ht="15" x14ac:dyDescent="0.25">
      <c r="A698" s="320">
        <v>453100</v>
      </c>
      <c r="B698" s="319" t="s">
        <v>759</v>
      </c>
      <c r="C698" s="331">
        <v>83</v>
      </c>
      <c r="D698" s="331">
        <v>155</v>
      </c>
      <c r="E698" s="331">
        <v>238</v>
      </c>
      <c r="F698" s="331">
        <v>6172407</v>
      </c>
      <c r="G698" s="331">
        <v>13181400</v>
      </c>
      <c r="H698" s="331">
        <v>19353806</v>
      </c>
      <c r="I698" s="331">
        <v>-1576739</v>
      </c>
      <c r="J698" s="319" t="s">
        <v>1044</v>
      </c>
      <c r="K698" s="319" t="s">
        <v>772</v>
      </c>
      <c r="L698" s="319" t="s">
        <v>155</v>
      </c>
      <c r="M698" s="319" t="s">
        <v>154</v>
      </c>
      <c r="N698" s="2"/>
      <c r="O698" s="4"/>
    </row>
    <row r="699" spans="1:15" ht="15" x14ac:dyDescent="0.25">
      <c r="A699" s="320">
        <v>763474</v>
      </c>
      <c r="B699" s="319" t="s">
        <v>703</v>
      </c>
      <c r="C699" s="331">
        <v>80</v>
      </c>
      <c r="D699" s="331">
        <v>152</v>
      </c>
      <c r="E699" s="331">
        <v>232</v>
      </c>
      <c r="F699" s="331">
        <v>4631665</v>
      </c>
      <c r="G699" s="331">
        <v>8671594</v>
      </c>
      <c r="H699" s="331">
        <v>13303259</v>
      </c>
      <c r="I699" s="331">
        <v>-922705</v>
      </c>
      <c r="J699" s="319" t="s">
        <v>361</v>
      </c>
      <c r="K699" s="319" t="s">
        <v>771</v>
      </c>
      <c r="L699" s="319" t="s">
        <v>538</v>
      </c>
      <c r="M699" s="319" t="s">
        <v>68</v>
      </c>
      <c r="N699" s="2"/>
      <c r="O699" s="4"/>
    </row>
    <row r="700" spans="1:15" ht="15" x14ac:dyDescent="0.25">
      <c r="A700" s="320">
        <v>273300</v>
      </c>
      <c r="B700" s="319" t="s">
        <v>903</v>
      </c>
      <c r="C700" s="331">
        <v>104</v>
      </c>
      <c r="D700" s="331">
        <v>124</v>
      </c>
      <c r="E700" s="331">
        <v>228</v>
      </c>
      <c r="F700" s="331">
        <v>8224659</v>
      </c>
      <c r="G700" s="331">
        <v>15055860</v>
      </c>
      <c r="H700" s="331">
        <v>23280519</v>
      </c>
      <c r="I700" s="331">
        <v>91361</v>
      </c>
      <c r="J700" s="319" t="s">
        <v>1033</v>
      </c>
      <c r="K700" s="319" t="s">
        <v>772</v>
      </c>
      <c r="L700" s="319" t="s">
        <v>171</v>
      </c>
      <c r="M700" s="319" t="s">
        <v>154</v>
      </c>
      <c r="N700" s="2"/>
      <c r="O700" s="4"/>
    </row>
    <row r="701" spans="1:15" ht="15" x14ac:dyDescent="0.25">
      <c r="A701" s="320">
        <v>290304</v>
      </c>
      <c r="B701" s="319" t="s">
        <v>926</v>
      </c>
      <c r="C701" s="331">
        <v>83</v>
      </c>
      <c r="D701" s="331">
        <v>143</v>
      </c>
      <c r="E701" s="331">
        <v>226</v>
      </c>
      <c r="F701" s="331">
        <v>4584529</v>
      </c>
      <c r="G701" s="331">
        <v>8717945</v>
      </c>
      <c r="H701" s="331">
        <v>13302474</v>
      </c>
      <c r="I701" s="331">
        <v>-2105232</v>
      </c>
      <c r="J701" s="319" t="s">
        <v>219</v>
      </c>
      <c r="K701" s="319" t="s">
        <v>771</v>
      </c>
      <c r="L701" s="319" t="s">
        <v>184</v>
      </c>
      <c r="M701" s="319" t="s">
        <v>154</v>
      </c>
      <c r="N701" s="2"/>
      <c r="O701" s="4"/>
    </row>
    <row r="702" spans="1:15" ht="15" x14ac:dyDescent="0.25">
      <c r="A702" s="320">
        <v>660290</v>
      </c>
      <c r="B702" s="264" t="s">
        <v>643</v>
      </c>
      <c r="C702" s="299">
        <v>79</v>
      </c>
      <c r="D702" s="299">
        <v>146</v>
      </c>
      <c r="E702" s="299">
        <v>225</v>
      </c>
      <c r="F702" s="298">
        <v>2920269</v>
      </c>
      <c r="G702" s="298">
        <v>7923557</v>
      </c>
      <c r="H702" s="298">
        <v>10843826</v>
      </c>
      <c r="I702" s="298">
        <v>-141002</v>
      </c>
      <c r="J702" s="264" t="s">
        <v>342</v>
      </c>
      <c r="K702" s="264" t="s">
        <v>771</v>
      </c>
      <c r="L702" s="264" t="s">
        <v>184</v>
      </c>
      <c r="M702" s="264" t="s">
        <v>154</v>
      </c>
      <c r="N702" s="2"/>
      <c r="O702" s="4"/>
    </row>
    <row r="703" spans="1:15" ht="15" x14ac:dyDescent="0.25">
      <c r="A703" s="320">
        <v>966598</v>
      </c>
      <c r="B703" s="319" t="s">
        <v>458</v>
      </c>
      <c r="C703" s="331">
        <v>113</v>
      </c>
      <c r="D703" s="331">
        <v>110</v>
      </c>
      <c r="E703" s="331">
        <v>223</v>
      </c>
      <c r="F703" s="331">
        <v>3192953</v>
      </c>
      <c r="G703" s="331">
        <v>4066762</v>
      </c>
      <c r="H703" s="331">
        <v>7259716</v>
      </c>
      <c r="I703" s="331">
        <v>-16047</v>
      </c>
      <c r="J703" s="319" t="s">
        <v>1043</v>
      </c>
      <c r="K703" s="319" t="s">
        <v>772</v>
      </c>
      <c r="L703" s="319" t="s">
        <v>453</v>
      </c>
      <c r="M703" s="319" t="s">
        <v>68</v>
      </c>
      <c r="N703" s="2"/>
      <c r="O703" s="4"/>
    </row>
    <row r="704" spans="1:15" ht="15" x14ac:dyDescent="0.25">
      <c r="A704" s="320">
        <v>871491</v>
      </c>
      <c r="B704" s="319" t="s">
        <v>1159</v>
      </c>
      <c r="C704" s="331">
        <v>113</v>
      </c>
      <c r="D704" s="331">
        <v>107</v>
      </c>
      <c r="E704" s="331">
        <v>220</v>
      </c>
      <c r="F704" s="331">
        <v>3326677</v>
      </c>
      <c r="G704" s="331">
        <v>4920600</v>
      </c>
      <c r="H704" s="331">
        <v>8247277</v>
      </c>
      <c r="I704" s="331">
        <v>-207305</v>
      </c>
      <c r="J704" s="319" t="s">
        <v>1038</v>
      </c>
      <c r="K704" s="319" t="s">
        <v>772</v>
      </c>
      <c r="L704" s="319" t="s">
        <v>379</v>
      </c>
      <c r="M704" s="319" t="s">
        <v>68</v>
      </c>
      <c r="N704" s="2"/>
      <c r="O704" s="4"/>
    </row>
    <row r="705" spans="1:15" ht="15" x14ac:dyDescent="0.25">
      <c r="A705" s="320">
        <v>324301</v>
      </c>
      <c r="B705" s="319" t="s">
        <v>963</v>
      </c>
      <c r="C705" s="331">
        <v>79</v>
      </c>
      <c r="D705" s="331">
        <v>140</v>
      </c>
      <c r="E705" s="331">
        <v>219</v>
      </c>
      <c r="F705" s="331">
        <v>16814850</v>
      </c>
      <c r="G705" s="331">
        <v>30544707</v>
      </c>
      <c r="H705" s="331">
        <v>47359557</v>
      </c>
      <c r="I705" s="331">
        <v>-1013348</v>
      </c>
      <c r="J705" s="319" t="s">
        <v>159</v>
      </c>
      <c r="K705" s="319" t="s">
        <v>765</v>
      </c>
      <c r="L705" s="319" t="s">
        <v>975</v>
      </c>
      <c r="M705" s="319" t="s">
        <v>154</v>
      </c>
      <c r="N705" s="2"/>
      <c r="O705" s="4"/>
    </row>
    <row r="706" spans="1:15" ht="15" x14ac:dyDescent="0.25">
      <c r="A706" s="320">
        <v>252353</v>
      </c>
      <c r="B706" s="319" t="s">
        <v>653</v>
      </c>
      <c r="C706" s="331">
        <v>102</v>
      </c>
      <c r="D706" s="331">
        <v>117</v>
      </c>
      <c r="E706" s="331">
        <v>219</v>
      </c>
      <c r="F706" s="331">
        <v>4035515</v>
      </c>
      <c r="G706" s="331">
        <v>6289618</v>
      </c>
      <c r="H706" s="331">
        <v>10325132</v>
      </c>
      <c r="I706" s="331">
        <v>-164746</v>
      </c>
      <c r="J706" s="319" t="s">
        <v>1049</v>
      </c>
      <c r="K706" s="319" t="s">
        <v>771</v>
      </c>
      <c r="L706" s="319" t="s">
        <v>504</v>
      </c>
      <c r="M706" s="319" t="s">
        <v>68</v>
      </c>
      <c r="N706" s="2"/>
      <c r="O706" s="4"/>
    </row>
    <row r="707" spans="1:15" ht="15" x14ac:dyDescent="0.25">
      <c r="A707" s="320">
        <v>753731</v>
      </c>
      <c r="B707" s="319" t="s">
        <v>670</v>
      </c>
      <c r="C707" s="331">
        <v>63</v>
      </c>
      <c r="D707" s="331">
        <v>153</v>
      </c>
      <c r="E707" s="331">
        <v>216</v>
      </c>
      <c r="F707" s="331">
        <v>2738952</v>
      </c>
      <c r="G707" s="331">
        <v>8023098</v>
      </c>
      <c r="H707" s="331">
        <v>10762051</v>
      </c>
      <c r="I707" s="331">
        <v>-694655</v>
      </c>
      <c r="J707" s="319" t="s">
        <v>342</v>
      </c>
      <c r="K707" s="319" t="s">
        <v>771</v>
      </c>
      <c r="L707" s="319" t="s">
        <v>742</v>
      </c>
      <c r="M707" s="319" t="s">
        <v>68</v>
      </c>
      <c r="N707" s="2"/>
      <c r="O707" s="4"/>
    </row>
    <row r="708" spans="1:15" ht="15" x14ac:dyDescent="0.25">
      <c r="A708" s="320">
        <v>299693</v>
      </c>
      <c r="B708" s="319" t="s">
        <v>795</v>
      </c>
      <c r="C708" s="331">
        <v>70</v>
      </c>
      <c r="D708" s="331">
        <v>144</v>
      </c>
      <c r="E708" s="331">
        <v>214</v>
      </c>
      <c r="F708" s="331">
        <v>2960279</v>
      </c>
      <c r="G708" s="331">
        <v>8327670</v>
      </c>
      <c r="H708" s="331">
        <v>11287948</v>
      </c>
      <c r="I708" s="331">
        <v>182044</v>
      </c>
      <c r="J708" s="319" t="s">
        <v>201</v>
      </c>
      <c r="K708" s="319" t="s">
        <v>771</v>
      </c>
      <c r="L708" s="319" t="s">
        <v>540</v>
      </c>
      <c r="M708" s="319" t="s">
        <v>68</v>
      </c>
      <c r="N708" s="2"/>
      <c r="O708" s="4"/>
    </row>
    <row r="709" spans="1:15" ht="15" customHeight="1" x14ac:dyDescent="0.25">
      <c r="A709" s="320">
        <v>292193</v>
      </c>
      <c r="B709" s="319" t="s">
        <v>256</v>
      </c>
      <c r="C709" s="331">
        <v>93</v>
      </c>
      <c r="D709" s="331">
        <v>121</v>
      </c>
      <c r="E709" s="331">
        <v>214</v>
      </c>
      <c r="F709" s="331">
        <v>5465717</v>
      </c>
      <c r="G709" s="331">
        <v>9042658</v>
      </c>
      <c r="H709" s="331">
        <v>14508376</v>
      </c>
      <c r="I709" s="331">
        <v>-1120857</v>
      </c>
      <c r="J709" s="319" t="s">
        <v>219</v>
      </c>
      <c r="K709" s="319" t="s">
        <v>771</v>
      </c>
      <c r="L709" s="319" t="s">
        <v>226</v>
      </c>
      <c r="M709" s="319" t="s">
        <v>154</v>
      </c>
      <c r="N709" s="2"/>
      <c r="O709" s="4"/>
    </row>
    <row r="710" spans="1:15" ht="15" customHeight="1" x14ac:dyDescent="0.25">
      <c r="A710" s="320">
        <v>203000</v>
      </c>
      <c r="B710" s="319" t="s">
        <v>322</v>
      </c>
      <c r="C710" s="331">
        <v>96</v>
      </c>
      <c r="D710" s="331">
        <v>118</v>
      </c>
      <c r="E710" s="331">
        <v>214</v>
      </c>
      <c r="F710" s="331">
        <v>4565377</v>
      </c>
      <c r="G710" s="331">
        <v>8409379</v>
      </c>
      <c r="H710" s="331">
        <v>12974756</v>
      </c>
      <c r="I710" s="331">
        <v>261414</v>
      </c>
      <c r="J710" s="319" t="s">
        <v>1043</v>
      </c>
      <c r="K710" s="319" t="s">
        <v>772</v>
      </c>
      <c r="L710" s="319" t="s">
        <v>323</v>
      </c>
      <c r="M710" s="319" t="s">
        <v>68</v>
      </c>
      <c r="N710" s="2"/>
      <c r="O710" s="4"/>
    </row>
    <row r="711" spans="1:15" ht="15" customHeight="1" x14ac:dyDescent="0.25">
      <c r="A711" s="320">
        <v>367698</v>
      </c>
      <c r="B711" s="319" t="s">
        <v>555</v>
      </c>
      <c r="C711" s="331">
        <v>86</v>
      </c>
      <c r="D711" s="331">
        <v>126</v>
      </c>
      <c r="E711" s="331">
        <v>212</v>
      </c>
      <c r="F711" s="331">
        <v>3213278</v>
      </c>
      <c r="G711" s="331">
        <v>5664145</v>
      </c>
      <c r="H711" s="331">
        <v>8877422</v>
      </c>
      <c r="I711" s="331">
        <v>230652</v>
      </c>
      <c r="J711" s="319" t="s">
        <v>215</v>
      </c>
      <c r="K711" s="319" t="s">
        <v>771</v>
      </c>
      <c r="L711" s="319" t="s">
        <v>408</v>
      </c>
      <c r="M711" s="319" t="s">
        <v>68</v>
      </c>
      <c r="N711" s="2"/>
      <c r="O711" s="4"/>
    </row>
    <row r="712" spans="1:15" ht="15" customHeight="1" x14ac:dyDescent="0.25">
      <c r="A712" s="320">
        <v>725101</v>
      </c>
      <c r="B712" s="319" t="s">
        <v>990</v>
      </c>
      <c r="C712" s="331">
        <v>61</v>
      </c>
      <c r="D712" s="331">
        <v>146</v>
      </c>
      <c r="E712" s="331">
        <v>207</v>
      </c>
      <c r="F712" s="331">
        <v>3731955</v>
      </c>
      <c r="G712" s="331">
        <v>9777676</v>
      </c>
      <c r="H712" s="331">
        <v>13509631</v>
      </c>
      <c r="I712" s="331">
        <v>2198772</v>
      </c>
      <c r="J712" s="319" t="s">
        <v>258</v>
      </c>
      <c r="K712" s="319" t="s">
        <v>771</v>
      </c>
      <c r="L712" s="319" t="s">
        <v>886</v>
      </c>
      <c r="M712" s="319" t="s">
        <v>154</v>
      </c>
      <c r="N712" s="2"/>
      <c r="O712" s="4"/>
    </row>
    <row r="713" spans="1:15" ht="15" x14ac:dyDescent="0.25">
      <c r="A713" s="320">
        <v>216812</v>
      </c>
      <c r="B713" s="319" t="s">
        <v>966</v>
      </c>
      <c r="C713" s="331">
        <v>59</v>
      </c>
      <c r="D713" s="331">
        <v>148</v>
      </c>
      <c r="E713" s="331">
        <v>207</v>
      </c>
      <c r="F713" s="331">
        <v>3767057</v>
      </c>
      <c r="G713" s="331">
        <v>11884309</v>
      </c>
      <c r="H713" s="331">
        <v>15651366</v>
      </c>
      <c r="I713" s="331">
        <v>-502226</v>
      </c>
      <c r="J713" s="319" t="s">
        <v>1022</v>
      </c>
      <c r="K713" s="319" t="s">
        <v>765</v>
      </c>
      <c r="L713" s="319" t="s">
        <v>975</v>
      </c>
      <c r="M713" s="319" t="s">
        <v>154</v>
      </c>
      <c r="N713" s="2"/>
      <c r="O713" s="4"/>
    </row>
    <row r="714" spans="1:15" ht="15" x14ac:dyDescent="0.25">
      <c r="A714" s="320">
        <v>229625</v>
      </c>
      <c r="B714" s="319" t="s">
        <v>365</v>
      </c>
      <c r="C714" s="331">
        <v>96</v>
      </c>
      <c r="D714" s="331">
        <v>110</v>
      </c>
      <c r="E714" s="331">
        <v>206</v>
      </c>
      <c r="F714" s="331">
        <v>3296055</v>
      </c>
      <c r="G714" s="331">
        <v>5317915</v>
      </c>
      <c r="H714" s="331">
        <v>8613970</v>
      </c>
      <c r="I714" s="331">
        <v>-65906</v>
      </c>
      <c r="J714" s="319" t="s">
        <v>1034</v>
      </c>
      <c r="K714" s="319" t="s">
        <v>772</v>
      </c>
      <c r="L714" s="319" t="s">
        <v>198</v>
      </c>
      <c r="M714" s="319" t="s">
        <v>68</v>
      </c>
      <c r="N714" s="2"/>
      <c r="O714" s="4"/>
    </row>
    <row r="715" spans="1:15" ht="15" x14ac:dyDescent="0.25">
      <c r="A715" s="320">
        <v>365981</v>
      </c>
      <c r="B715" s="264" t="s">
        <v>828</v>
      </c>
      <c r="C715" s="331">
        <v>83</v>
      </c>
      <c r="D715" s="331">
        <v>122</v>
      </c>
      <c r="E715" s="331">
        <v>205</v>
      </c>
      <c r="F715" s="331">
        <v>3571392</v>
      </c>
      <c r="G715" s="331">
        <v>5912889</v>
      </c>
      <c r="H715" s="331">
        <v>9484281</v>
      </c>
      <c r="I715" s="331">
        <v>667749</v>
      </c>
      <c r="J715" s="264" t="s">
        <v>201</v>
      </c>
      <c r="K715" s="264" t="s">
        <v>771</v>
      </c>
      <c r="L715" s="264" t="s">
        <v>493</v>
      </c>
      <c r="M715" s="264" t="s">
        <v>68</v>
      </c>
      <c r="N715" s="2"/>
      <c r="O715" s="4"/>
    </row>
    <row r="716" spans="1:15" ht="15" x14ac:dyDescent="0.25">
      <c r="A716" s="320">
        <v>422709</v>
      </c>
      <c r="B716" s="319" t="s">
        <v>880</v>
      </c>
      <c r="C716" s="331">
        <v>66</v>
      </c>
      <c r="D716" s="331">
        <v>134</v>
      </c>
      <c r="E716" s="331">
        <v>200</v>
      </c>
      <c r="F716" s="331">
        <v>8094915</v>
      </c>
      <c r="G716" s="331">
        <v>20276181</v>
      </c>
      <c r="H716" s="331">
        <v>28371096</v>
      </c>
      <c r="I716" s="331">
        <v>1514417</v>
      </c>
      <c r="J716" s="319" t="s">
        <v>181</v>
      </c>
      <c r="K716" s="319" t="s">
        <v>771</v>
      </c>
      <c r="L716" s="319" t="s">
        <v>879</v>
      </c>
      <c r="M716" s="319" t="s">
        <v>68</v>
      </c>
      <c r="N716" s="2"/>
      <c r="O716" s="4"/>
    </row>
    <row r="717" spans="1:15" ht="15" x14ac:dyDescent="0.25">
      <c r="A717" s="320">
        <v>127621</v>
      </c>
      <c r="B717" s="319" t="s">
        <v>680</v>
      </c>
      <c r="C717" s="331">
        <v>62</v>
      </c>
      <c r="D717" s="331">
        <v>138</v>
      </c>
      <c r="E717" s="331">
        <v>200</v>
      </c>
      <c r="F717" s="331">
        <v>2513663</v>
      </c>
      <c r="G717" s="331">
        <v>7561259</v>
      </c>
      <c r="H717" s="331">
        <v>10074922</v>
      </c>
      <c r="I717" s="331">
        <v>-8010273</v>
      </c>
      <c r="J717" s="319" t="s">
        <v>298</v>
      </c>
      <c r="K717" s="319" t="s">
        <v>771</v>
      </c>
      <c r="L717" s="319" t="s">
        <v>840</v>
      </c>
      <c r="M717" s="319" t="s">
        <v>68</v>
      </c>
      <c r="N717" s="2"/>
      <c r="O717" s="4"/>
    </row>
    <row r="718" spans="1:15" ht="15" x14ac:dyDescent="0.25">
      <c r="A718" s="320">
        <v>377192</v>
      </c>
      <c r="B718" s="319" t="s">
        <v>720</v>
      </c>
      <c r="C718" s="331">
        <v>54</v>
      </c>
      <c r="D718" s="331">
        <v>145</v>
      </c>
      <c r="E718" s="331">
        <v>199</v>
      </c>
      <c r="F718" s="331">
        <v>1857666</v>
      </c>
      <c r="G718" s="331">
        <v>5941766</v>
      </c>
      <c r="H718" s="331">
        <v>7799433</v>
      </c>
      <c r="I718" s="331">
        <v>-441247</v>
      </c>
      <c r="J718" s="319" t="s">
        <v>295</v>
      </c>
      <c r="K718" s="319" t="s">
        <v>771</v>
      </c>
      <c r="L718" s="319" t="s">
        <v>542</v>
      </c>
      <c r="M718" s="319" t="s">
        <v>68</v>
      </c>
      <c r="N718" s="2"/>
      <c r="O718" s="4"/>
    </row>
    <row r="719" spans="1:15" ht="15" x14ac:dyDescent="0.25">
      <c r="A719" s="320">
        <v>401513</v>
      </c>
      <c r="B719" s="319" t="s">
        <v>1080</v>
      </c>
      <c r="C719" s="331">
        <v>67</v>
      </c>
      <c r="D719" s="331">
        <v>131</v>
      </c>
      <c r="E719" s="331">
        <v>198</v>
      </c>
      <c r="F719" s="331">
        <v>3036330</v>
      </c>
      <c r="G719" s="331">
        <v>7482677</v>
      </c>
      <c r="H719" s="331">
        <v>10519008</v>
      </c>
      <c r="I719" s="331">
        <v>-766623</v>
      </c>
      <c r="J719" s="319" t="s">
        <v>295</v>
      </c>
      <c r="K719" s="319" t="s">
        <v>771</v>
      </c>
      <c r="L719" s="319" t="s">
        <v>379</v>
      </c>
      <c r="M719" s="319" t="s">
        <v>68</v>
      </c>
      <c r="N719" s="2"/>
      <c r="O719" s="4"/>
    </row>
    <row r="720" spans="1:15" ht="15" x14ac:dyDescent="0.25">
      <c r="A720" s="320">
        <v>288001</v>
      </c>
      <c r="B720" s="319" t="s">
        <v>934</v>
      </c>
      <c r="C720" s="331">
        <v>82</v>
      </c>
      <c r="D720" s="331">
        <v>114</v>
      </c>
      <c r="E720" s="331">
        <v>196</v>
      </c>
      <c r="F720" s="331">
        <v>2058485</v>
      </c>
      <c r="G720" s="331">
        <v>3443781</v>
      </c>
      <c r="H720" s="331">
        <v>5502266</v>
      </c>
      <c r="I720" s="331">
        <v>-89736</v>
      </c>
      <c r="J720" s="319" t="s">
        <v>1043</v>
      </c>
      <c r="K720" s="319" t="s">
        <v>772</v>
      </c>
      <c r="L720" s="319" t="s">
        <v>773</v>
      </c>
      <c r="M720" s="319" t="s">
        <v>68</v>
      </c>
      <c r="N720" s="2"/>
      <c r="O720" s="4"/>
    </row>
    <row r="721" spans="1:15" ht="15" x14ac:dyDescent="0.25">
      <c r="A721" s="320">
        <v>445841</v>
      </c>
      <c r="B721" s="319" t="s">
        <v>517</v>
      </c>
      <c r="C721" s="331">
        <v>55</v>
      </c>
      <c r="D721" s="331">
        <v>140</v>
      </c>
      <c r="E721" s="331">
        <v>195</v>
      </c>
      <c r="F721" s="331">
        <v>2768532</v>
      </c>
      <c r="G721" s="331">
        <v>6752956</v>
      </c>
      <c r="H721" s="331">
        <v>9521487</v>
      </c>
      <c r="I721" s="331">
        <v>197366</v>
      </c>
      <c r="J721" s="319" t="s">
        <v>181</v>
      </c>
      <c r="K721" s="319" t="s">
        <v>771</v>
      </c>
      <c r="L721" s="319" t="s">
        <v>224</v>
      </c>
      <c r="M721" s="319" t="s">
        <v>68</v>
      </c>
      <c r="N721" s="2"/>
      <c r="O721" s="4"/>
    </row>
    <row r="722" spans="1:15" ht="15" x14ac:dyDescent="0.25">
      <c r="A722" s="320">
        <v>874560</v>
      </c>
      <c r="B722" s="319" t="s">
        <v>262</v>
      </c>
      <c r="C722" s="331">
        <v>76</v>
      </c>
      <c r="D722" s="331">
        <v>118</v>
      </c>
      <c r="E722" s="331">
        <v>194</v>
      </c>
      <c r="F722" s="331">
        <v>6099980</v>
      </c>
      <c r="G722" s="331">
        <v>12183819</v>
      </c>
      <c r="H722" s="331">
        <v>18283799</v>
      </c>
      <c r="I722" s="331">
        <v>-1658878</v>
      </c>
      <c r="J722" s="319" t="s">
        <v>1044</v>
      </c>
      <c r="K722" s="319" t="s">
        <v>772</v>
      </c>
      <c r="L722" s="319" t="s">
        <v>173</v>
      </c>
      <c r="M722" s="319" t="s">
        <v>154</v>
      </c>
      <c r="N722" s="2"/>
      <c r="O722" s="4"/>
    </row>
    <row r="723" spans="1:15" ht="15" x14ac:dyDescent="0.25">
      <c r="A723" s="320">
        <v>579425</v>
      </c>
      <c r="B723" s="319" t="s">
        <v>369</v>
      </c>
      <c r="C723" s="331">
        <v>48</v>
      </c>
      <c r="D723" s="331">
        <v>143</v>
      </c>
      <c r="E723" s="331">
        <v>191</v>
      </c>
      <c r="F723" s="331">
        <v>2872191</v>
      </c>
      <c r="G723" s="331">
        <v>8886077</v>
      </c>
      <c r="H723" s="331">
        <v>11758268</v>
      </c>
      <c r="I723" s="331">
        <v>1663508</v>
      </c>
      <c r="J723" s="319" t="s">
        <v>342</v>
      </c>
      <c r="K723" s="319" t="s">
        <v>771</v>
      </c>
      <c r="L723" s="319" t="s">
        <v>284</v>
      </c>
      <c r="M723" s="319" t="s">
        <v>154</v>
      </c>
      <c r="N723" s="2"/>
      <c r="O723" s="4"/>
    </row>
    <row r="724" spans="1:15" ht="15" x14ac:dyDescent="0.25">
      <c r="A724" s="320">
        <v>305532</v>
      </c>
      <c r="B724" s="319" t="s">
        <v>624</v>
      </c>
      <c r="C724" s="331">
        <v>68</v>
      </c>
      <c r="D724" s="331">
        <v>115</v>
      </c>
      <c r="E724" s="331">
        <v>183</v>
      </c>
      <c r="F724" s="331">
        <v>3190770</v>
      </c>
      <c r="G724" s="331">
        <v>7516411</v>
      </c>
      <c r="H724" s="331">
        <v>10707180</v>
      </c>
      <c r="I724" s="331">
        <v>-2530762</v>
      </c>
      <c r="J724" s="319" t="s">
        <v>1024</v>
      </c>
      <c r="K724" s="319" t="s">
        <v>768</v>
      </c>
      <c r="L724" s="319" t="s">
        <v>412</v>
      </c>
      <c r="M724" s="319" t="s">
        <v>154</v>
      </c>
      <c r="N724" s="2"/>
      <c r="O724" s="4"/>
    </row>
    <row r="725" spans="1:15" ht="15" x14ac:dyDescent="0.25">
      <c r="A725" s="320">
        <v>555466</v>
      </c>
      <c r="B725" s="319" t="s">
        <v>469</v>
      </c>
      <c r="C725" s="331">
        <v>94</v>
      </c>
      <c r="D725" s="331">
        <v>88</v>
      </c>
      <c r="E725" s="331">
        <v>182</v>
      </c>
      <c r="F725" s="331">
        <v>4661070</v>
      </c>
      <c r="G725" s="331">
        <v>4940777</v>
      </c>
      <c r="H725" s="331">
        <v>9601848</v>
      </c>
      <c r="I725" s="331">
        <v>83782</v>
      </c>
      <c r="J725" s="319" t="s">
        <v>181</v>
      </c>
      <c r="K725" s="319" t="s">
        <v>771</v>
      </c>
      <c r="L725" s="319" t="s">
        <v>375</v>
      </c>
      <c r="M725" s="319" t="s">
        <v>68</v>
      </c>
      <c r="N725" s="2"/>
      <c r="O725" s="4"/>
    </row>
    <row r="726" spans="1:15" ht="15" x14ac:dyDescent="0.25">
      <c r="A726" s="320">
        <v>432153</v>
      </c>
      <c r="B726" s="319" t="s">
        <v>600</v>
      </c>
      <c r="C726" s="331">
        <v>69</v>
      </c>
      <c r="D726" s="331">
        <v>111</v>
      </c>
      <c r="E726" s="331">
        <v>180</v>
      </c>
      <c r="F726" s="331">
        <v>3196149</v>
      </c>
      <c r="G726" s="331">
        <v>5921612</v>
      </c>
      <c r="H726" s="331">
        <v>9117761</v>
      </c>
      <c r="I726" s="331">
        <v>-524034</v>
      </c>
      <c r="J726" s="319" t="s">
        <v>181</v>
      </c>
      <c r="K726" s="319" t="s">
        <v>771</v>
      </c>
      <c r="L726" s="319" t="s">
        <v>542</v>
      </c>
      <c r="M726" s="319" t="s">
        <v>68</v>
      </c>
      <c r="N726" s="2"/>
      <c r="O726" s="4"/>
    </row>
    <row r="727" spans="1:15" ht="15" x14ac:dyDescent="0.25">
      <c r="A727" s="320">
        <v>989905</v>
      </c>
      <c r="B727" s="319" t="s">
        <v>1087</v>
      </c>
      <c r="C727" s="331">
        <v>49</v>
      </c>
      <c r="D727" s="331">
        <v>130</v>
      </c>
      <c r="E727" s="331">
        <v>179</v>
      </c>
      <c r="F727" s="331">
        <v>2717170</v>
      </c>
      <c r="G727" s="331">
        <v>8037287</v>
      </c>
      <c r="H727" s="331">
        <v>10754456</v>
      </c>
      <c r="I727" s="331">
        <v>-671723</v>
      </c>
      <c r="J727" s="319" t="s">
        <v>219</v>
      </c>
      <c r="K727" s="319" t="s">
        <v>771</v>
      </c>
      <c r="L727" s="319" t="s">
        <v>525</v>
      </c>
      <c r="M727" s="319" t="s">
        <v>154</v>
      </c>
      <c r="N727" s="2"/>
      <c r="O727" s="4"/>
    </row>
    <row r="728" spans="1:15" ht="15" x14ac:dyDescent="0.25">
      <c r="A728" s="320">
        <v>646240</v>
      </c>
      <c r="B728" s="319" t="s">
        <v>454</v>
      </c>
      <c r="C728" s="331">
        <v>59</v>
      </c>
      <c r="D728" s="331">
        <v>118</v>
      </c>
      <c r="E728" s="331">
        <v>177</v>
      </c>
      <c r="F728" s="331">
        <v>3897960</v>
      </c>
      <c r="G728" s="331">
        <v>9550275</v>
      </c>
      <c r="H728" s="331">
        <v>13448235</v>
      </c>
      <c r="I728" s="331">
        <v>238840</v>
      </c>
      <c r="J728" s="319" t="s">
        <v>219</v>
      </c>
      <c r="K728" s="319" t="s">
        <v>771</v>
      </c>
      <c r="L728" s="319" t="s">
        <v>198</v>
      </c>
      <c r="M728" s="319" t="s">
        <v>68</v>
      </c>
      <c r="N728" s="2"/>
      <c r="O728" s="4"/>
    </row>
    <row r="729" spans="1:15" ht="15" x14ac:dyDescent="0.25">
      <c r="A729" s="320">
        <v>945162</v>
      </c>
      <c r="B729" s="319" t="s">
        <v>727</v>
      </c>
      <c r="C729" s="331">
        <v>80</v>
      </c>
      <c r="D729" s="331">
        <v>94</v>
      </c>
      <c r="E729" s="331">
        <v>174</v>
      </c>
      <c r="F729" s="331">
        <v>3110776</v>
      </c>
      <c r="G729" s="331">
        <v>6331154</v>
      </c>
      <c r="H729" s="331">
        <v>9441930</v>
      </c>
      <c r="I729" s="331">
        <v>-423638</v>
      </c>
      <c r="J729" s="319" t="s">
        <v>1038</v>
      </c>
      <c r="K729" s="319" t="s">
        <v>772</v>
      </c>
      <c r="L729" s="319" t="s">
        <v>464</v>
      </c>
      <c r="M729" s="319" t="s">
        <v>68</v>
      </c>
      <c r="N729" s="2"/>
      <c r="O729" s="4"/>
    </row>
    <row r="730" spans="1:15" ht="15" x14ac:dyDescent="0.25">
      <c r="A730" s="320">
        <v>666370</v>
      </c>
      <c r="B730" s="319" t="s">
        <v>931</v>
      </c>
      <c r="C730" s="331">
        <v>59</v>
      </c>
      <c r="D730" s="331">
        <v>113</v>
      </c>
      <c r="E730" s="331">
        <v>172</v>
      </c>
      <c r="F730" s="331">
        <v>3563493</v>
      </c>
      <c r="G730" s="331">
        <v>6264940</v>
      </c>
      <c r="H730" s="331">
        <v>9828433</v>
      </c>
      <c r="I730" s="331">
        <v>-94059</v>
      </c>
      <c r="J730" s="319" t="s">
        <v>342</v>
      </c>
      <c r="K730" s="319" t="s">
        <v>771</v>
      </c>
      <c r="L730" s="319" t="s">
        <v>773</v>
      </c>
      <c r="M730" s="319" t="s">
        <v>68</v>
      </c>
      <c r="N730" s="2"/>
      <c r="O730" s="4"/>
    </row>
    <row r="731" spans="1:15" ht="15" x14ac:dyDescent="0.25">
      <c r="A731" s="320">
        <v>388702</v>
      </c>
      <c r="B731" s="319" t="s">
        <v>1059</v>
      </c>
      <c r="C731" s="331">
        <v>52</v>
      </c>
      <c r="D731" s="331">
        <v>120</v>
      </c>
      <c r="E731" s="331">
        <v>172</v>
      </c>
      <c r="F731" s="331">
        <v>1990994</v>
      </c>
      <c r="G731" s="331">
        <v>7295230</v>
      </c>
      <c r="H731" s="331">
        <v>9286224</v>
      </c>
      <c r="I731" s="331">
        <v>-403548</v>
      </c>
      <c r="J731" s="319" t="s">
        <v>1047</v>
      </c>
      <c r="K731" s="319" t="s">
        <v>771</v>
      </c>
      <c r="L731" s="319" t="s">
        <v>493</v>
      </c>
      <c r="M731" s="319" t="s">
        <v>68</v>
      </c>
      <c r="N731" s="2"/>
      <c r="O731" s="4"/>
    </row>
    <row r="732" spans="1:15" ht="15" x14ac:dyDescent="0.25">
      <c r="A732" s="320">
        <v>551093</v>
      </c>
      <c r="B732" s="319" t="s">
        <v>406</v>
      </c>
      <c r="C732" s="331">
        <v>74</v>
      </c>
      <c r="D732" s="331">
        <v>94</v>
      </c>
      <c r="E732" s="331">
        <v>168</v>
      </c>
      <c r="F732" s="331">
        <v>2658807</v>
      </c>
      <c r="G732" s="331">
        <v>5309505</v>
      </c>
      <c r="H732" s="331">
        <v>7968312</v>
      </c>
      <c r="I732" s="331">
        <v>-1236952</v>
      </c>
      <c r="J732" s="319" t="s">
        <v>1043</v>
      </c>
      <c r="K732" s="319" t="s">
        <v>772</v>
      </c>
      <c r="L732" s="319" t="s">
        <v>408</v>
      </c>
      <c r="M732" s="319" t="s">
        <v>68</v>
      </c>
      <c r="N732" s="2"/>
      <c r="O732" s="4"/>
    </row>
    <row r="733" spans="1:15" ht="15" x14ac:dyDescent="0.25">
      <c r="A733" s="320">
        <v>238832</v>
      </c>
      <c r="B733" s="319" t="s">
        <v>527</v>
      </c>
      <c r="C733" s="331">
        <v>50</v>
      </c>
      <c r="D733" s="331">
        <v>117</v>
      </c>
      <c r="E733" s="331">
        <v>167</v>
      </c>
      <c r="F733" s="331">
        <v>3200440</v>
      </c>
      <c r="G733" s="331">
        <v>10536426</v>
      </c>
      <c r="H733" s="331">
        <v>13736866</v>
      </c>
      <c r="I733" s="331">
        <v>9331484</v>
      </c>
      <c r="J733" s="319" t="s">
        <v>215</v>
      </c>
      <c r="K733" s="319" t="s">
        <v>771</v>
      </c>
      <c r="L733" s="319" t="s">
        <v>323</v>
      </c>
      <c r="M733" s="319" t="s">
        <v>68</v>
      </c>
      <c r="N733" s="2"/>
      <c r="O733" s="4"/>
    </row>
    <row r="734" spans="1:15" ht="15" x14ac:dyDescent="0.25">
      <c r="A734" s="320">
        <v>151001</v>
      </c>
      <c r="B734" s="319" t="s">
        <v>836</v>
      </c>
      <c r="C734" s="331">
        <v>69</v>
      </c>
      <c r="D734" s="331">
        <v>89</v>
      </c>
      <c r="E734" s="331">
        <v>158</v>
      </c>
      <c r="F734" s="331">
        <v>2392895</v>
      </c>
      <c r="G734" s="331">
        <v>4541612</v>
      </c>
      <c r="H734" s="331">
        <v>6934506</v>
      </c>
      <c r="I734" s="331">
        <v>-144219</v>
      </c>
      <c r="J734" s="319" t="s">
        <v>215</v>
      </c>
      <c r="K734" s="319" t="s">
        <v>771</v>
      </c>
      <c r="L734" s="319" t="s">
        <v>493</v>
      </c>
      <c r="M734" s="319" t="s">
        <v>68</v>
      </c>
      <c r="N734" s="2"/>
      <c r="O734" s="4"/>
    </row>
    <row r="735" spans="1:15" ht="15" x14ac:dyDescent="0.25">
      <c r="A735" s="320">
        <v>116111</v>
      </c>
      <c r="B735" s="319" t="s">
        <v>418</v>
      </c>
      <c r="C735" s="331">
        <v>48</v>
      </c>
      <c r="D735" s="331">
        <v>97</v>
      </c>
      <c r="E735" s="331">
        <v>145</v>
      </c>
      <c r="F735" s="331">
        <v>1996245</v>
      </c>
      <c r="G735" s="331">
        <v>5948357</v>
      </c>
      <c r="H735" s="331">
        <v>7944603</v>
      </c>
      <c r="I735" s="331">
        <v>-103023</v>
      </c>
      <c r="J735" s="319" t="s">
        <v>295</v>
      </c>
      <c r="K735" s="319" t="s">
        <v>771</v>
      </c>
      <c r="L735" s="319" t="s">
        <v>354</v>
      </c>
      <c r="M735" s="319" t="s">
        <v>68</v>
      </c>
      <c r="N735" s="2"/>
      <c r="O735" s="4"/>
    </row>
    <row r="736" spans="1:15" ht="15" x14ac:dyDescent="0.25">
      <c r="A736" s="320">
        <v>865063</v>
      </c>
      <c r="B736" s="319" t="s">
        <v>593</v>
      </c>
      <c r="C736" s="331">
        <v>51</v>
      </c>
      <c r="D736" s="331">
        <v>92</v>
      </c>
      <c r="E736" s="331">
        <v>143</v>
      </c>
      <c r="F736" s="331">
        <v>2779532</v>
      </c>
      <c r="G736" s="331">
        <v>4725294</v>
      </c>
      <c r="H736" s="331">
        <v>7504826</v>
      </c>
      <c r="I736" s="331">
        <v>-289520</v>
      </c>
      <c r="J736" s="319" t="s">
        <v>215</v>
      </c>
      <c r="K736" s="319" t="s">
        <v>771</v>
      </c>
      <c r="L736" s="319" t="s">
        <v>408</v>
      </c>
      <c r="M736" s="319" t="s">
        <v>68</v>
      </c>
      <c r="N736" s="2"/>
      <c r="O736" s="4"/>
    </row>
    <row r="737" spans="1:15" ht="15" x14ac:dyDescent="0.25">
      <c r="A737" s="320">
        <v>999359</v>
      </c>
      <c r="B737" s="319" t="s">
        <v>594</v>
      </c>
      <c r="C737" s="331">
        <v>65</v>
      </c>
      <c r="D737" s="331">
        <v>75</v>
      </c>
      <c r="E737" s="331">
        <v>140</v>
      </c>
      <c r="F737" s="331">
        <v>1929612</v>
      </c>
      <c r="G737" s="331">
        <v>2938074</v>
      </c>
      <c r="H737" s="331">
        <v>4867687</v>
      </c>
      <c r="I737" s="331">
        <v>-109883</v>
      </c>
      <c r="J737" s="319" t="s">
        <v>1024</v>
      </c>
      <c r="K737" s="319" t="s">
        <v>768</v>
      </c>
      <c r="L737" s="319" t="s">
        <v>504</v>
      </c>
      <c r="M737" s="319" t="s">
        <v>68</v>
      </c>
      <c r="N737" s="2"/>
      <c r="O737" s="4"/>
    </row>
    <row r="738" spans="1:15" ht="15" x14ac:dyDescent="0.25">
      <c r="A738" s="320">
        <v>968891</v>
      </c>
      <c r="B738" s="319" t="s">
        <v>697</v>
      </c>
      <c r="C738" s="331">
        <v>37</v>
      </c>
      <c r="D738" s="331">
        <v>103</v>
      </c>
      <c r="E738" s="331">
        <v>140</v>
      </c>
      <c r="F738" s="331">
        <v>2059343</v>
      </c>
      <c r="G738" s="331">
        <v>6337525</v>
      </c>
      <c r="H738" s="331">
        <v>8396869</v>
      </c>
      <c r="I738" s="331">
        <v>140434</v>
      </c>
      <c r="J738" s="319" t="s">
        <v>289</v>
      </c>
      <c r="K738" s="319" t="s">
        <v>771</v>
      </c>
      <c r="L738" s="319" t="s">
        <v>955</v>
      </c>
      <c r="M738" s="319" t="s">
        <v>68</v>
      </c>
      <c r="N738" s="2"/>
      <c r="O738" s="4"/>
    </row>
    <row r="739" spans="1:15" ht="15" x14ac:dyDescent="0.25">
      <c r="A739" s="320">
        <v>906792</v>
      </c>
      <c r="B739" s="319" t="s">
        <v>641</v>
      </c>
      <c r="C739" s="331">
        <v>47</v>
      </c>
      <c r="D739" s="331">
        <v>93</v>
      </c>
      <c r="E739" s="331">
        <v>140</v>
      </c>
      <c r="F739" s="331">
        <v>2632284</v>
      </c>
      <c r="G739" s="331">
        <v>6989637</v>
      </c>
      <c r="H739" s="331">
        <v>9621921</v>
      </c>
      <c r="I739" s="331">
        <v>-391142</v>
      </c>
      <c r="J739" s="319" t="s">
        <v>1038</v>
      </c>
      <c r="K739" s="319" t="s">
        <v>772</v>
      </c>
      <c r="L739" s="319" t="s">
        <v>538</v>
      </c>
      <c r="M739" s="319" t="s">
        <v>68</v>
      </c>
      <c r="N739" s="2"/>
      <c r="O739" s="4"/>
    </row>
    <row r="740" spans="1:15" ht="15" x14ac:dyDescent="0.25">
      <c r="A740" s="320">
        <v>611657</v>
      </c>
      <c r="B740" s="319" t="s">
        <v>426</v>
      </c>
      <c r="C740" s="331">
        <v>62</v>
      </c>
      <c r="D740" s="331">
        <v>78</v>
      </c>
      <c r="E740" s="331">
        <v>140</v>
      </c>
      <c r="F740" s="331">
        <v>3953401</v>
      </c>
      <c r="G740" s="331">
        <v>5597915</v>
      </c>
      <c r="H740" s="331">
        <v>9551316</v>
      </c>
      <c r="I740" s="331">
        <v>389563</v>
      </c>
      <c r="J740" s="319" t="s">
        <v>318</v>
      </c>
      <c r="K740" s="319" t="s">
        <v>771</v>
      </c>
      <c r="L740" s="319" t="s">
        <v>226</v>
      </c>
      <c r="M740" s="319" t="s">
        <v>154</v>
      </c>
      <c r="N740" s="2"/>
      <c r="O740" s="4"/>
    </row>
    <row r="741" spans="1:15" ht="15" x14ac:dyDescent="0.25">
      <c r="A741" s="320">
        <v>706275</v>
      </c>
      <c r="B741" s="319" t="s">
        <v>1086</v>
      </c>
      <c r="C741" s="331">
        <v>46</v>
      </c>
      <c r="D741" s="331">
        <v>92</v>
      </c>
      <c r="E741" s="331">
        <v>138</v>
      </c>
      <c r="F741" s="331">
        <v>1993895</v>
      </c>
      <c r="G741" s="331">
        <v>5008124</v>
      </c>
      <c r="H741" s="331">
        <v>7002019</v>
      </c>
      <c r="I741" s="331">
        <v>788437</v>
      </c>
      <c r="J741" s="319" t="s">
        <v>219</v>
      </c>
      <c r="K741" s="319" t="s">
        <v>771</v>
      </c>
      <c r="L741" s="319" t="s">
        <v>178</v>
      </c>
      <c r="M741" s="319" t="s">
        <v>154</v>
      </c>
      <c r="N741" s="2"/>
      <c r="O741" s="4"/>
    </row>
    <row r="742" spans="1:15" ht="15" x14ac:dyDescent="0.25">
      <c r="A742" s="320">
        <v>543595</v>
      </c>
      <c r="B742" s="319" t="s">
        <v>367</v>
      </c>
      <c r="C742" s="331">
        <v>42</v>
      </c>
      <c r="D742" s="331">
        <v>95</v>
      </c>
      <c r="E742" s="331">
        <v>137</v>
      </c>
      <c r="F742" s="331">
        <v>4252395</v>
      </c>
      <c r="G742" s="331">
        <v>11304747</v>
      </c>
      <c r="H742" s="331">
        <v>15557142</v>
      </c>
      <c r="I742" s="331">
        <v>30498</v>
      </c>
      <c r="J742" s="319" t="s">
        <v>295</v>
      </c>
      <c r="K742" s="319" t="s">
        <v>771</v>
      </c>
      <c r="L742" s="319" t="s">
        <v>284</v>
      </c>
      <c r="M742" s="319" t="s">
        <v>154</v>
      </c>
      <c r="N742" s="2"/>
      <c r="O742" s="4"/>
    </row>
    <row r="743" spans="1:15" ht="15" x14ac:dyDescent="0.25">
      <c r="A743" s="320">
        <v>371294</v>
      </c>
      <c r="B743" s="319" t="s">
        <v>1072</v>
      </c>
      <c r="C743" s="331">
        <v>50</v>
      </c>
      <c r="D743" s="331">
        <v>85</v>
      </c>
      <c r="E743" s="331">
        <v>135</v>
      </c>
      <c r="F743" s="331">
        <v>2747865</v>
      </c>
      <c r="G743" s="331">
        <v>4592282</v>
      </c>
      <c r="H743" s="331">
        <v>7340147</v>
      </c>
      <c r="I743" s="331">
        <v>-67727</v>
      </c>
      <c r="J743" s="319" t="s">
        <v>215</v>
      </c>
      <c r="K743" s="319" t="s">
        <v>771</v>
      </c>
      <c r="L743" s="319" t="s">
        <v>379</v>
      </c>
      <c r="M743" s="319" t="s">
        <v>68</v>
      </c>
      <c r="N743" s="2"/>
      <c r="O743" s="4"/>
    </row>
    <row r="744" spans="1:15" ht="15" x14ac:dyDescent="0.25">
      <c r="A744" s="320">
        <v>282632</v>
      </c>
      <c r="B744" s="319" t="s">
        <v>419</v>
      </c>
      <c r="C744" s="331">
        <v>52</v>
      </c>
      <c r="D744" s="331">
        <v>83</v>
      </c>
      <c r="E744" s="331">
        <v>135</v>
      </c>
      <c r="F744" s="331">
        <v>3385860</v>
      </c>
      <c r="G744" s="331">
        <v>4628654</v>
      </c>
      <c r="H744" s="331">
        <v>8014514</v>
      </c>
      <c r="I744" s="331">
        <v>-57784</v>
      </c>
      <c r="J744" s="319" t="s">
        <v>181</v>
      </c>
      <c r="K744" s="319" t="s">
        <v>771</v>
      </c>
      <c r="L744" s="319" t="s">
        <v>354</v>
      </c>
      <c r="M744" s="319" t="s">
        <v>68</v>
      </c>
      <c r="N744" s="2"/>
      <c r="O744" s="4"/>
    </row>
    <row r="745" spans="1:15" ht="15" x14ac:dyDescent="0.25">
      <c r="A745" s="320">
        <v>980284</v>
      </c>
      <c r="B745" s="319" t="s">
        <v>353</v>
      </c>
      <c r="C745" s="331">
        <v>56</v>
      </c>
      <c r="D745" s="331">
        <v>76</v>
      </c>
      <c r="E745" s="331">
        <v>132</v>
      </c>
      <c r="F745" s="331">
        <v>2978073</v>
      </c>
      <c r="G745" s="331">
        <v>4689586</v>
      </c>
      <c r="H745" s="331">
        <v>7667659</v>
      </c>
      <c r="I745" s="331">
        <v>-1331771</v>
      </c>
      <c r="J745" s="319" t="s">
        <v>1044</v>
      </c>
      <c r="K745" s="319" t="s">
        <v>772</v>
      </c>
      <c r="L745" s="319" t="s">
        <v>354</v>
      </c>
      <c r="M745" s="319" t="s">
        <v>68</v>
      </c>
      <c r="N745" s="2"/>
      <c r="O745" s="4"/>
    </row>
    <row r="746" spans="1:15" ht="15" x14ac:dyDescent="0.25">
      <c r="A746" s="320">
        <v>562421</v>
      </c>
      <c r="B746" s="319" t="s">
        <v>588</v>
      </c>
      <c r="C746" s="331">
        <v>54</v>
      </c>
      <c r="D746" s="331">
        <v>77</v>
      </c>
      <c r="E746" s="331">
        <v>131</v>
      </c>
      <c r="F746" s="331">
        <v>3473610</v>
      </c>
      <c r="G746" s="331">
        <v>5149414</v>
      </c>
      <c r="H746" s="331">
        <v>8623024</v>
      </c>
      <c r="I746" s="331">
        <v>81002</v>
      </c>
      <c r="J746" s="319" t="s">
        <v>181</v>
      </c>
      <c r="K746" s="319" t="s">
        <v>771</v>
      </c>
      <c r="L746" s="319" t="s">
        <v>584</v>
      </c>
      <c r="M746" s="319" t="s">
        <v>68</v>
      </c>
      <c r="N746" s="2"/>
      <c r="O746" s="4"/>
    </row>
    <row r="747" spans="1:15" ht="15" x14ac:dyDescent="0.25">
      <c r="A747" s="320">
        <v>282699</v>
      </c>
      <c r="B747" s="319" t="s">
        <v>672</v>
      </c>
      <c r="C747" s="331">
        <v>47</v>
      </c>
      <c r="D747" s="331">
        <v>84</v>
      </c>
      <c r="E747" s="331">
        <v>131</v>
      </c>
      <c r="F747" s="331">
        <v>1788304</v>
      </c>
      <c r="G747" s="331">
        <v>3833754</v>
      </c>
      <c r="H747" s="331">
        <v>5622058</v>
      </c>
      <c r="I747" s="331">
        <v>793995</v>
      </c>
      <c r="J747" s="319" t="s">
        <v>201</v>
      </c>
      <c r="K747" s="319" t="s">
        <v>771</v>
      </c>
      <c r="L747" s="319" t="s">
        <v>375</v>
      </c>
      <c r="M747" s="319" t="s">
        <v>68</v>
      </c>
      <c r="N747" s="2"/>
      <c r="O747" s="4"/>
    </row>
    <row r="748" spans="1:15" ht="15" x14ac:dyDescent="0.25">
      <c r="A748" s="320">
        <v>989962</v>
      </c>
      <c r="B748" s="319" t="s">
        <v>1138</v>
      </c>
      <c r="C748" s="331">
        <v>54</v>
      </c>
      <c r="D748" s="331">
        <v>76</v>
      </c>
      <c r="E748" s="331">
        <v>130</v>
      </c>
      <c r="F748" s="331">
        <v>2677202</v>
      </c>
      <c r="G748" s="331">
        <v>4847274</v>
      </c>
      <c r="H748" s="331">
        <v>7524476</v>
      </c>
      <c r="I748" s="331">
        <v>572904</v>
      </c>
      <c r="J748" s="319" t="s">
        <v>1034</v>
      </c>
      <c r="K748" s="319" t="s">
        <v>772</v>
      </c>
      <c r="L748" s="319" t="s">
        <v>875</v>
      </c>
      <c r="M748" s="319" t="s">
        <v>68</v>
      </c>
      <c r="N748" s="2"/>
      <c r="O748" s="4"/>
    </row>
    <row r="749" spans="1:15" ht="15" x14ac:dyDescent="0.25">
      <c r="A749" s="320">
        <v>360495</v>
      </c>
      <c r="B749" s="319" t="s">
        <v>541</v>
      </c>
      <c r="C749" s="331">
        <v>56</v>
      </c>
      <c r="D749" s="331">
        <v>71</v>
      </c>
      <c r="E749" s="331">
        <v>127</v>
      </c>
      <c r="F749" s="331">
        <v>2766652</v>
      </c>
      <c r="G749" s="331">
        <v>3708376</v>
      </c>
      <c r="H749" s="331">
        <v>6475027</v>
      </c>
      <c r="I749" s="331">
        <v>-172288</v>
      </c>
      <c r="J749" s="319" t="s">
        <v>1047</v>
      </c>
      <c r="K749" s="319" t="s">
        <v>771</v>
      </c>
      <c r="L749" s="319" t="s">
        <v>542</v>
      </c>
      <c r="M749" s="319" t="s">
        <v>68</v>
      </c>
      <c r="N749" s="2"/>
      <c r="O749" s="4"/>
    </row>
    <row r="750" spans="1:15" ht="15" x14ac:dyDescent="0.25">
      <c r="A750" s="320">
        <v>339473</v>
      </c>
      <c r="B750" s="319" t="s">
        <v>1008</v>
      </c>
      <c r="C750" s="331">
        <v>34</v>
      </c>
      <c r="D750" s="331">
        <v>93</v>
      </c>
      <c r="E750" s="331">
        <v>127</v>
      </c>
      <c r="F750" s="331">
        <v>2063357</v>
      </c>
      <c r="G750" s="331">
        <v>5722204</v>
      </c>
      <c r="H750" s="331">
        <v>7785561</v>
      </c>
      <c r="I750" s="331">
        <v>-562474</v>
      </c>
      <c r="J750" s="319" t="s">
        <v>318</v>
      </c>
      <c r="K750" s="319" t="s">
        <v>771</v>
      </c>
      <c r="L750" s="319" t="s">
        <v>604</v>
      </c>
      <c r="M750" s="319" t="s">
        <v>68</v>
      </c>
      <c r="N750" s="2"/>
      <c r="O750" s="4"/>
    </row>
    <row r="751" spans="1:15" ht="15" x14ac:dyDescent="0.25">
      <c r="A751" s="320">
        <v>432096</v>
      </c>
      <c r="B751" s="319" t="s">
        <v>1021</v>
      </c>
      <c r="C751" s="331">
        <v>53</v>
      </c>
      <c r="D751" s="331">
        <v>73</v>
      </c>
      <c r="E751" s="331">
        <v>126</v>
      </c>
      <c r="F751" s="331">
        <v>2644783</v>
      </c>
      <c r="G751" s="331">
        <v>4939838</v>
      </c>
      <c r="H751" s="331">
        <v>7584621</v>
      </c>
      <c r="I751" s="331">
        <v>2570</v>
      </c>
      <c r="J751" s="319" t="s">
        <v>181</v>
      </c>
      <c r="K751" s="319" t="s">
        <v>771</v>
      </c>
      <c r="L751" s="319" t="s">
        <v>381</v>
      </c>
      <c r="M751" s="319" t="s">
        <v>68</v>
      </c>
      <c r="N751" s="2"/>
      <c r="O751" s="4"/>
    </row>
    <row r="752" spans="1:15" ht="15" x14ac:dyDescent="0.25">
      <c r="A752" s="320">
        <v>515262</v>
      </c>
      <c r="B752" s="319" t="s">
        <v>572</v>
      </c>
      <c r="C752" s="331">
        <v>55</v>
      </c>
      <c r="D752" s="331">
        <v>68</v>
      </c>
      <c r="E752" s="331">
        <v>123</v>
      </c>
      <c r="F752" s="331">
        <v>1901614</v>
      </c>
      <c r="G752" s="331">
        <v>3446614</v>
      </c>
      <c r="H752" s="331">
        <v>5348228</v>
      </c>
      <c r="I752" s="331">
        <v>-31732</v>
      </c>
      <c r="J752" s="319" t="s">
        <v>298</v>
      </c>
      <c r="K752" s="319" t="s">
        <v>771</v>
      </c>
      <c r="L752" s="319" t="s">
        <v>408</v>
      </c>
      <c r="M752" s="319" t="s">
        <v>68</v>
      </c>
      <c r="N752" s="2"/>
      <c r="O752" s="4"/>
    </row>
    <row r="753" spans="1:15" ht="15" x14ac:dyDescent="0.25">
      <c r="A753" s="320">
        <v>942508</v>
      </c>
      <c r="B753" s="319" t="s">
        <v>1089</v>
      </c>
      <c r="C753" s="331">
        <v>47</v>
      </c>
      <c r="D753" s="331">
        <v>75</v>
      </c>
      <c r="E753" s="331">
        <v>122</v>
      </c>
      <c r="F753" s="331">
        <v>3138288</v>
      </c>
      <c r="G753" s="331">
        <v>5957695</v>
      </c>
      <c r="H753" s="331">
        <v>9095983</v>
      </c>
      <c r="I753" s="331">
        <v>2404567</v>
      </c>
      <c r="J753" s="319" t="s">
        <v>1041</v>
      </c>
      <c r="K753" s="319" t="s">
        <v>768</v>
      </c>
      <c r="L753" s="319" t="s">
        <v>196</v>
      </c>
      <c r="M753" s="319" t="s">
        <v>154</v>
      </c>
      <c r="N753" s="2"/>
      <c r="O753" s="4"/>
    </row>
    <row r="754" spans="1:15" ht="15" x14ac:dyDescent="0.25">
      <c r="A754" s="320">
        <v>755033</v>
      </c>
      <c r="B754" s="319" t="s">
        <v>693</v>
      </c>
      <c r="C754" s="331">
        <v>48</v>
      </c>
      <c r="D754" s="331">
        <v>73</v>
      </c>
      <c r="E754" s="331">
        <v>121</v>
      </c>
      <c r="F754" s="331">
        <v>1756769</v>
      </c>
      <c r="G754" s="331">
        <v>4319127</v>
      </c>
      <c r="H754" s="331">
        <v>6075896</v>
      </c>
      <c r="I754" s="331">
        <v>490714</v>
      </c>
      <c r="J754" s="319" t="s">
        <v>1045</v>
      </c>
      <c r="K754" s="319" t="s">
        <v>771</v>
      </c>
      <c r="L754" s="319" t="s">
        <v>955</v>
      </c>
      <c r="M754" s="319" t="s">
        <v>68</v>
      </c>
      <c r="N754" s="2"/>
      <c r="O754" s="4"/>
    </row>
    <row r="755" spans="1:15" ht="15" x14ac:dyDescent="0.25">
      <c r="A755" s="320">
        <v>717900</v>
      </c>
      <c r="B755" s="319" t="s">
        <v>484</v>
      </c>
      <c r="C755" s="331">
        <v>47</v>
      </c>
      <c r="D755" s="331">
        <v>73</v>
      </c>
      <c r="E755" s="331">
        <v>120</v>
      </c>
      <c r="F755" s="331">
        <v>1876179</v>
      </c>
      <c r="G755" s="331">
        <v>5387141</v>
      </c>
      <c r="H755" s="331">
        <v>7263319</v>
      </c>
      <c r="I755" s="331">
        <v>-685155</v>
      </c>
      <c r="J755" s="319" t="s">
        <v>1033</v>
      </c>
      <c r="K755" s="319" t="s">
        <v>772</v>
      </c>
      <c r="L755" s="319" t="s">
        <v>742</v>
      </c>
      <c r="M755" s="319" t="s">
        <v>68</v>
      </c>
      <c r="N755" s="2"/>
      <c r="O755" s="4"/>
    </row>
    <row r="756" spans="1:15" ht="15" x14ac:dyDescent="0.25">
      <c r="A756" s="320">
        <v>721506</v>
      </c>
      <c r="B756" s="319" t="s">
        <v>810</v>
      </c>
      <c r="C756" s="331">
        <v>47</v>
      </c>
      <c r="D756" s="331">
        <v>72</v>
      </c>
      <c r="E756" s="331">
        <v>119</v>
      </c>
      <c r="F756" s="331">
        <v>1826705</v>
      </c>
      <c r="G756" s="331">
        <v>4148209</v>
      </c>
      <c r="H756" s="331">
        <v>5974913</v>
      </c>
      <c r="I756" s="331">
        <v>-572782</v>
      </c>
      <c r="J756" s="319" t="s">
        <v>1033</v>
      </c>
      <c r="K756" s="319" t="s">
        <v>772</v>
      </c>
      <c r="L756" s="319" t="s">
        <v>178</v>
      </c>
      <c r="M756" s="319" t="s">
        <v>154</v>
      </c>
      <c r="N756" s="2"/>
      <c r="O756" s="4"/>
    </row>
    <row r="757" spans="1:15" ht="15" x14ac:dyDescent="0.25">
      <c r="A757" s="320">
        <v>589101</v>
      </c>
      <c r="B757" s="264" t="s">
        <v>864</v>
      </c>
      <c r="C757" s="331">
        <v>35</v>
      </c>
      <c r="D757" s="331">
        <v>82</v>
      </c>
      <c r="E757" s="331">
        <v>117</v>
      </c>
      <c r="F757" s="331">
        <v>2255284</v>
      </c>
      <c r="G757" s="331">
        <v>5682936</v>
      </c>
      <c r="H757" s="331">
        <v>7938220</v>
      </c>
      <c r="I757" s="331">
        <v>-266415</v>
      </c>
      <c r="J757" s="264" t="s">
        <v>258</v>
      </c>
      <c r="K757" s="264" t="s">
        <v>771</v>
      </c>
      <c r="L757" s="264" t="s">
        <v>237</v>
      </c>
      <c r="M757" s="264" t="s">
        <v>154</v>
      </c>
      <c r="N757" s="2"/>
      <c r="O757" s="4"/>
    </row>
    <row r="758" spans="1:15" ht="15" x14ac:dyDescent="0.25">
      <c r="A758" s="320">
        <v>323832</v>
      </c>
      <c r="B758" s="319" t="s">
        <v>924</v>
      </c>
      <c r="C758" s="331">
        <v>41</v>
      </c>
      <c r="D758" s="331">
        <v>76</v>
      </c>
      <c r="E758" s="331">
        <v>117</v>
      </c>
      <c r="F758" s="331">
        <v>1619445</v>
      </c>
      <c r="G758" s="331">
        <v>5469778</v>
      </c>
      <c r="H758" s="331">
        <v>7089223</v>
      </c>
      <c r="I758" s="331">
        <v>-310419</v>
      </c>
      <c r="J758" s="319" t="s">
        <v>1034</v>
      </c>
      <c r="K758" s="319" t="s">
        <v>772</v>
      </c>
      <c r="L758" s="319" t="s">
        <v>773</v>
      </c>
      <c r="M758" s="319" t="s">
        <v>68</v>
      </c>
      <c r="N758" s="2"/>
      <c r="O758" s="4"/>
    </row>
    <row r="759" spans="1:15" ht="15" x14ac:dyDescent="0.25">
      <c r="A759" s="320">
        <v>492595</v>
      </c>
      <c r="B759" s="319" t="s">
        <v>925</v>
      </c>
      <c r="C759" s="331">
        <v>37</v>
      </c>
      <c r="D759" s="331">
        <v>77</v>
      </c>
      <c r="E759" s="331">
        <v>114</v>
      </c>
      <c r="F759" s="331">
        <v>1945646</v>
      </c>
      <c r="G759" s="331">
        <v>4387416</v>
      </c>
      <c r="H759" s="331">
        <v>6333062</v>
      </c>
      <c r="I759" s="331">
        <v>23316</v>
      </c>
      <c r="J759" s="319" t="s">
        <v>1034</v>
      </c>
      <c r="K759" s="319" t="s">
        <v>772</v>
      </c>
      <c r="L759" s="319" t="s">
        <v>744</v>
      </c>
      <c r="M759" s="319" t="s">
        <v>68</v>
      </c>
      <c r="N759" s="2"/>
      <c r="O759" s="4"/>
    </row>
    <row r="760" spans="1:15" ht="15" x14ac:dyDescent="0.25">
      <c r="A760" s="320">
        <v>215046</v>
      </c>
      <c r="B760" s="319" t="s">
        <v>735</v>
      </c>
      <c r="C760" s="331">
        <v>24</v>
      </c>
      <c r="D760" s="331">
        <v>90</v>
      </c>
      <c r="E760" s="331">
        <v>114</v>
      </c>
      <c r="F760" s="331">
        <v>1439879</v>
      </c>
      <c r="G760" s="331">
        <v>5907805</v>
      </c>
      <c r="H760" s="331">
        <v>7347684</v>
      </c>
      <c r="I760" s="331">
        <v>143369</v>
      </c>
      <c r="J760" s="319" t="s">
        <v>298</v>
      </c>
      <c r="K760" s="319" t="s">
        <v>771</v>
      </c>
      <c r="L760" s="319" t="s">
        <v>742</v>
      </c>
      <c r="M760" s="319" t="s">
        <v>68</v>
      </c>
      <c r="N760" s="2"/>
      <c r="O760" s="4"/>
    </row>
    <row r="761" spans="1:15" ht="15" x14ac:dyDescent="0.25">
      <c r="A761" s="320">
        <v>543892</v>
      </c>
      <c r="B761" s="319" t="s">
        <v>503</v>
      </c>
      <c r="C761" s="331">
        <v>43</v>
      </c>
      <c r="D761" s="331">
        <v>65</v>
      </c>
      <c r="E761" s="331">
        <v>108</v>
      </c>
      <c r="F761" s="331">
        <v>1472460</v>
      </c>
      <c r="G761" s="331">
        <v>2683460</v>
      </c>
      <c r="H761" s="331">
        <v>4155921</v>
      </c>
      <c r="I761" s="331"/>
      <c r="J761" s="319" t="s">
        <v>1043</v>
      </c>
      <c r="K761" s="319" t="s">
        <v>772</v>
      </c>
      <c r="L761" s="319" t="s">
        <v>504</v>
      </c>
      <c r="M761" s="319" t="s">
        <v>68</v>
      </c>
      <c r="N761" s="2"/>
      <c r="O761" s="4"/>
    </row>
    <row r="762" spans="1:15" ht="15" x14ac:dyDescent="0.25">
      <c r="A762" s="320">
        <v>664482</v>
      </c>
      <c r="B762" s="319" t="s">
        <v>340</v>
      </c>
      <c r="C762" s="331">
        <v>31</v>
      </c>
      <c r="D762" s="331">
        <v>76</v>
      </c>
      <c r="E762" s="331">
        <v>107</v>
      </c>
      <c r="F762" s="331">
        <v>1191258</v>
      </c>
      <c r="G762" s="331">
        <v>4770636</v>
      </c>
      <c r="H762" s="331">
        <v>5961894</v>
      </c>
      <c r="I762" s="331">
        <v>265965</v>
      </c>
      <c r="J762" s="319" t="s">
        <v>1043</v>
      </c>
      <c r="K762" s="319" t="s">
        <v>772</v>
      </c>
      <c r="L762" s="319" t="s">
        <v>198</v>
      </c>
      <c r="M762" s="319" t="s">
        <v>68</v>
      </c>
      <c r="N762" s="2"/>
      <c r="O762" s="4"/>
    </row>
    <row r="763" spans="1:15" ht="15" x14ac:dyDescent="0.25">
      <c r="A763" s="320">
        <v>647669</v>
      </c>
      <c r="B763" s="319" t="s">
        <v>444</v>
      </c>
      <c r="C763" s="331">
        <v>59</v>
      </c>
      <c r="D763" s="331">
        <v>48</v>
      </c>
      <c r="E763" s="331">
        <v>107</v>
      </c>
      <c r="F763" s="331">
        <v>1982615</v>
      </c>
      <c r="G763" s="331">
        <v>1801276</v>
      </c>
      <c r="H763" s="331">
        <v>3783891</v>
      </c>
      <c r="I763" s="331">
        <v>-216291</v>
      </c>
      <c r="J763" s="319" t="s">
        <v>1024</v>
      </c>
      <c r="K763" s="319" t="s">
        <v>768</v>
      </c>
      <c r="L763" s="319" t="s">
        <v>331</v>
      </c>
      <c r="M763" s="319" t="s">
        <v>68</v>
      </c>
      <c r="N763" s="2"/>
      <c r="O763" s="4"/>
    </row>
    <row r="764" spans="1:15" ht="15" x14ac:dyDescent="0.25">
      <c r="A764" s="320">
        <v>640102</v>
      </c>
      <c r="B764" s="319" t="s">
        <v>911</v>
      </c>
      <c r="C764" s="331">
        <v>40</v>
      </c>
      <c r="D764" s="331">
        <v>67</v>
      </c>
      <c r="E764" s="331">
        <v>107</v>
      </c>
      <c r="F764" s="331">
        <v>2895446</v>
      </c>
      <c r="G764" s="331">
        <v>6453177</v>
      </c>
      <c r="H764" s="331">
        <v>9348623</v>
      </c>
      <c r="I764" s="331">
        <v>2564291</v>
      </c>
      <c r="J764" s="319" t="s">
        <v>295</v>
      </c>
      <c r="K764" s="319" t="s">
        <v>771</v>
      </c>
      <c r="L764" s="319" t="s">
        <v>746</v>
      </c>
      <c r="M764" s="319" t="s">
        <v>68</v>
      </c>
      <c r="N764" s="2"/>
      <c r="O764" s="4"/>
    </row>
    <row r="765" spans="1:15" ht="15" x14ac:dyDescent="0.25">
      <c r="A765" s="320">
        <v>212621</v>
      </c>
      <c r="B765" s="319" t="s">
        <v>758</v>
      </c>
      <c r="C765" s="331">
        <v>34</v>
      </c>
      <c r="D765" s="331">
        <v>71</v>
      </c>
      <c r="E765" s="331">
        <v>105</v>
      </c>
      <c r="F765" s="331">
        <v>2913814</v>
      </c>
      <c r="G765" s="331">
        <v>7362718</v>
      </c>
      <c r="H765" s="331">
        <v>10276533</v>
      </c>
      <c r="I765" s="331">
        <v>1360152</v>
      </c>
      <c r="J765" s="319" t="s">
        <v>1038</v>
      </c>
      <c r="K765" s="319" t="s">
        <v>772</v>
      </c>
      <c r="L765" s="319" t="s">
        <v>173</v>
      </c>
      <c r="M765" s="319" t="s">
        <v>154</v>
      </c>
      <c r="N765" s="2"/>
      <c r="O765" s="4"/>
    </row>
    <row r="766" spans="1:15" ht="15" x14ac:dyDescent="0.25">
      <c r="A766" s="320">
        <v>660829</v>
      </c>
      <c r="B766" s="319" t="s">
        <v>899</v>
      </c>
      <c r="C766" s="331">
        <v>41</v>
      </c>
      <c r="D766" s="331">
        <v>60</v>
      </c>
      <c r="E766" s="331">
        <v>101</v>
      </c>
      <c r="F766" s="331">
        <v>2633599</v>
      </c>
      <c r="G766" s="331">
        <v>4668646</v>
      </c>
      <c r="H766" s="331">
        <v>7302245</v>
      </c>
      <c r="I766" s="331">
        <v>251234</v>
      </c>
      <c r="J766" s="319" t="s">
        <v>1031</v>
      </c>
      <c r="K766" s="319" t="s">
        <v>772</v>
      </c>
      <c r="L766" s="319" t="s">
        <v>166</v>
      </c>
      <c r="M766" s="319" t="s">
        <v>154</v>
      </c>
      <c r="N766" s="2"/>
      <c r="O766" s="4"/>
    </row>
    <row r="767" spans="1:15" ht="15" customHeight="1" x14ac:dyDescent="0.25">
      <c r="A767" s="320">
        <v>838730</v>
      </c>
      <c r="B767" s="319" t="s">
        <v>185</v>
      </c>
      <c r="C767" s="331">
        <v>37</v>
      </c>
      <c r="D767" s="331">
        <v>58</v>
      </c>
      <c r="E767" s="331">
        <v>95</v>
      </c>
      <c r="F767" s="331">
        <v>3543168</v>
      </c>
      <c r="G767" s="331">
        <v>7514528</v>
      </c>
      <c r="H767" s="331">
        <v>11057696</v>
      </c>
      <c r="I767" s="331">
        <v>-728741</v>
      </c>
      <c r="J767" s="319" t="s">
        <v>1031</v>
      </c>
      <c r="K767" s="319" t="s">
        <v>772</v>
      </c>
      <c r="L767" s="319" t="s">
        <v>173</v>
      </c>
      <c r="M767" s="319" t="s">
        <v>154</v>
      </c>
      <c r="N767" s="2"/>
      <c r="O767" s="4"/>
    </row>
    <row r="768" spans="1:15" ht="15" x14ac:dyDescent="0.25">
      <c r="A768" s="320">
        <v>609701</v>
      </c>
      <c r="B768" s="319" t="s">
        <v>1102</v>
      </c>
      <c r="C768" s="331">
        <v>24</v>
      </c>
      <c r="D768" s="331">
        <v>69</v>
      </c>
      <c r="E768" s="331">
        <v>93</v>
      </c>
      <c r="F768" s="331">
        <v>1163126</v>
      </c>
      <c r="G768" s="331">
        <v>5862746</v>
      </c>
      <c r="H768" s="331">
        <v>7025872</v>
      </c>
      <c r="I768" s="331">
        <v>553446</v>
      </c>
      <c r="J768" s="319" t="s">
        <v>1034</v>
      </c>
      <c r="K768" s="319" t="s">
        <v>772</v>
      </c>
      <c r="L768" s="319" t="s">
        <v>604</v>
      </c>
      <c r="M768" s="319" t="s">
        <v>68</v>
      </c>
      <c r="N768" s="2"/>
      <c r="O768" s="4"/>
    </row>
    <row r="769" spans="1:15" ht="15" x14ac:dyDescent="0.25">
      <c r="A769" s="320">
        <v>283044</v>
      </c>
      <c r="B769" s="319" t="s">
        <v>811</v>
      </c>
      <c r="C769" s="331">
        <v>35</v>
      </c>
      <c r="D769" s="331">
        <v>58</v>
      </c>
      <c r="E769" s="331">
        <v>93</v>
      </c>
      <c r="F769" s="331">
        <v>1683238</v>
      </c>
      <c r="G769" s="331">
        <v>3404179</v>
      </c>
      <c r="H769" s="331">
        <v>5087417</v>
      </c>
      <c r="I769" s="331">
        <v>1877511</v>
      </c>
      <c r="J769" s="319" t="s">
        <v>1047</v>
      </c>
      <c r="K769" s="319" t="s">
        <v>771</v>
      </c>
      <c r="L769" s="319" t="s">
        <v>742</v>
      </c>
      <c r="M769" s="319" t="s">
        <v>68</v>
      </c>
      <c r="N769" s="2"/>
      <c r="O769" s="4"/>
    </row>
    <row r="770" spans="1:15" ht="15" x14ac:dyDescent="0.25">
      <c r="A770" s="320">
        <v>352872</v>
      </c>
      <c r="B770" s="319" t="s">
        <v>847</v>
      </c>
      <c r="C770" s="331">
        <v>23</v>
      </c>
      <c r="D770" s="331">
        <v>69</v>
      </c>
      <c r="E770" s="331">
        <v>92</v>
      </c>
      <c r="F770" s="331">
        <v>842752</v>
      </c>
      <c r="G770" s="331">
        <v>3904811</v>
      </c>
      <c r="H770" s="331">
        <v>4747563</v>
      </c>
      <c r="I770" s="331">
        <v>-149158</v>
      </c>
      <c r="J770" s="319" t="s">
        <v>1047</v>
      </c>
      <c r="K770" s="319" t="s">
        <v>771</v>
      </c>
      <c r="L770" s="319" t="s">
        <v>493</v>
      </c>
      <c r="M770" s="319" t="s">
        <v>68</v>
      </c>
      <c r="N770" s="2"/>
      <c r="O770" s="4"/>
    </row>
    <row r="771" spans="1:15" ht="15" x14ac:dyDescent="0.25">
      <c r="A771" s="320">
        <v>280925</v>
      </c>
      <c r="B771" s="319" t="s">
        <v>436</v>
      </c>
      <c r="C771" s="331">
        <v>43</v>
      </c>
      <c r="D771" s="331">
        <v>46</v>
      </c>
      <c r="E771" s="331">
        <v>89</v>
      </c>
      <c r="F771" s="331">
        <v>1552152</v>
      </c>
      <c r="G771" s="331">
        <v>1802035</v>
      </c>
      <c r="H771" s="331">
        <v>3354187</v>
      </c>
      <c r="I771" s="331">
        <v>-131106</v>
      </c>
      <c r="J771" s="319" t="s">
        <v>1043</v>
      </c>
      <c r="K771" s="319" t="s">
        <v>772</v>
      </c>
      <c r="L771" s="319" t="s">
        <v>955</v>
      </c>
      <c r="M771" s="319" t="s">
        <v>68</v>
      </c>
      <c r="N771" s="2"/>
      <c r="O771" s="4"/>
    </row>
    <row r="772" spans="1:15" ht="15" x14ac:dyDescent="0.25">
      <c r="A772" s="320">
        <v>594713</v>
      </c>
      <c r="B772" s="319" t="s">
        <v>932</v>
      </c>
      <c r="C772" s="331">
        <v>52</v>
      </c>
      <c r="D772" s="331">
        <v>36</v>
      </c>
      <c r="E772" s="331">
        <v>88</v>
      </c>
      <c r="F772" s="331">
        <v>1899014</v>
      </c>
      <c r="G772" s="331">
        <v>1485838</v>
      </c>
      <c r="H772" s="331">
        <v>3384853</v>
      </c>
      <c r="I772" s="331">
        <v>-12614</v>
      </c>
      <c r="J772" s="319" t="s">
        <v>181</v>
      </c>
      <c r="K772" s="319" t="s">
        <v>771</v>
      </c>
      <c r="L772" s="319" t="s">
        <v>773</v>
      </c>
      <c r="M772" s="319" t="s">
        <v>68</v>
      </c>
      <c r="N772" s="2"/>
      <c r="O772" s="4"/>
    </row>
    <row r="773" spans="1:15" ht="15" x14ac:dyDescent="0.25">
      <c r="A773" s="320">
        <v>908509</v>
      </c>
      <c r="B773" s="319" t="s">
        <v>996</v>
      </c>
      <c r="C773" s="331">
        <v>28</v>
      </c>
      <c r="D773" s="331">
        <v>56</v>
      </c>
      <c r="E773" s="331">
        <v>84</v>
      </c>
      <c r="F773" s="331">
        <v>2038937</v>
      </c>
      <c r="G773" s="331">
        <v>4271465</v>
      </c>
      <c r="H773" s="331">
        <v>6310402</v>
      </c>
      <c r="I773" s="331">
        <v>-1140393</v>
      </c>
      <c r="J773" s="319" t="s">
        <v>258</v>
      </c>
      <c r="K773" s="319" t="s">
        <v>771</v>
      </c>
      <c r="L773" s="319" t="s">
        <v>184</v>
      </c>
      <c r="M773" s="319" t="s">
        <v>154</v>
      </c>
      <c r="N773" s="2"/>
      <c r="O773" s="4"/>
    </row>
    <row r="774" spans="1:15" ht="15" x14ac:dyDescent="0.25">
      <c r="A774" s="320">
        <v>624999</v>
      </c>
      <c r="B774" s="319" t="s">
        <v>1144</v>
      </c>
      <c r="C774" s="331">
        <v>36</v>
      </c>
      <c r="D774" s="331">
        <v>47</v>
      </c>
      <c r="E774" s="331">
        <v>83</v>
      </c>
      <c r="F774" s="331">
        <v>1762516</v>
      </c>
      <c r="G774" s="331">
        <v>2849175</v>
      </c>
      <c r="H774" s="331">
        <v>4611692</v>
      </c>
      <c r="I774" s="331">
        <v>-514325</v>
      </c>
      <c r="J774" s="319" t="s">
        <v>1040</v>
      </c>
      <c r="K774" s="319" t="s">
        <v>772</v>
      </c>
      <c r="L774" s="319" t="s">
        <v>166</v>
      </c>
      <c r="M774" s="319" t="s">
        <v>154</v>
      </c>
      <c r="N774" s="2"/>
      <c r="O774" s="4"/>
    </row>
    <row r="775" spans="1:15" ht="15" customHeight="1" x14ac:dyDescent="0.25">
      <c r="A775" s="320">
        <v>371708</v>
      </c>
      <c r="B775" s="319" t="s">
        <v>812</v>
      </c>
      <c r="C775" s="331">
        <v>28</v>
      </c>
      <c r="D775" s="331">
        <v>54</v>
      </c>
      <c r="E775" s="331">
        <v>82</v>
      </c>
      <c r="F775" s="331">
        <v>2457057</v>
      </c>
      <c r="G775" s="331">
        <v>4220587</v>
      </c>
      <c r="H775" s="331">
        <v>6677643</v>
      </c>
      <c r="I775" s="331">
        <v>407005</v>
      </c>
      <c r="J775" s="319" t="s">
        <v>1024</v>
      </c>
      <c r="K775" s="319" t="s">
        <v>768</v>
      </c>
      <c r="L775" s="319" t="s">
        <v>155</v>
      </c>
      <c r="M775" s="319" t="s">
        <v>154</v>
      </c>
      <c r="N775" s="2"/>
      <c r="O775" s="4"/>
    </row>
    <row r="776" spans="1:15" ht="15" x14ac:dyDescent="0.25">
      <c r="A776" s="320">
        <v>295972</v>
      </c>
      <c r="B776" s="319" t="s">
        <v>914</v>
      </c>
      <c r="C776" s="331">
        <v>26</v>
      </c>
      <c r="D776" s="331">
        <v>56</v>
      </c>
      <c r="E776" s="331">
        <v>82</v>
      </c>
      <c r="F776" s="331">
        <v>1196043</v>
      </c>
      <c r="G776" s="331">
        <v>3813539</v>
      </c>
      <c r="H776" s="331">
        <v>5009582</v>
      </c>
      <c r="I776" s="331">
        <v>-250377</v>
      </c>
      <c r="J776" s="319" t="s">
        <v>295</v>
      </c>
      <c r="K776" s="319" t="s">
        <v>771</v>
      </c>
      <c r="L776" s="319" t="s">
        <v>464</v>
      </c>
      <c r="M776" s="319" t="s">
        <v>68</v>
      </c>
      <c r="N776" s="2"/>
      <c r="O776" s="4"/>
    </row>
    <row r="777" spans="1:15" ht="15" x14ac:dyDescent="0.25">
      <c r="A777" s="320">
        <v>933416</v>
      </c>
      <c r="B777" s="319" t="s">
        <v>962</v>
      </c>
      <c r="C777" s="331">
        <v>25</v>
      </c>
      <c r="D777" s="331">
        <v>54</v>
      </c>
      <c r="E777" s="331">
        <v>79</v>
      </c>
      <c r="F777" s="331">
        <v>1013389</v>
      </c>
      <c r="G777" s="331">
        <v>2119937</v>
      </c>
      <c r="H777" s="331">
        <v>3133326</v>
      </c>
      <c r="I777" s="331">
        <v>-35362</v>
      </c>
      <c r="J777" s="319" t="s">
        <v>289</v>
      </c>
      <c r="K777" s="319" t="s">
        <v>771</v>
      </c>
      <c r="L777" s="319" t="s">
        <v>155</v>
      </c>
      <c r="M777" s="319" t="s">
        <v>154</v>
      </c>
      <c r="N777" s="2"/>
      <c r="O777" s="4"/>
    </row>
    <row r="778" spans="1:15" ht="15" x14ac:dyDescent="0.25">
      <c r="A778" s="320">
        <v>789560</v>
      </c>
      <c r="B778" s="319" t="s">
        <v>1015</v>
      </c>
      <c r="C778" s="331">
        <v>24</v>
      </c>
      <c r="D778" s="331">
        <v>55</v>
      </c>
      <c r="E778" s="331">
        <v>79</v>
      </c>
      <c r="F778" s="331">
        <v>1109952</v>
      </c>
      <c r="G778" s="331">
        <v>3264750</v>
      </c>
      <c r="H778" s="331">
        <v>4374702</v>
      </c>
      <c r="I778" s="331">
        <v>287969</v>
      </c>
      <c r="J778" s="319" t="s">
        <v>295</v>
      </c>
      <c r="K778" s="319" t="s">
        <v>771</v>
      </c>
      <c r="L778" s="319" t="s">
        <v>742</v>
      </c>
      <c r="M778" s="319" t="s">
        <v>68</v>
      </c>
      <c r="N778" s="2"/>
      <c r="O778" s="4"/>
    </row>
    <row r="779" spans="1:15" ht="15" x14ac:dyDescent="0.25">
      <c r="A779" s="320">
        <v>670505</v>
      </c>
      <c r="B779" s="319" t="s">
        <v>724</v>
      </c>
      <c r="C779" s="331">
        <v>25</v>
      </c>
      <c r="D779" s="331">
        <v>52</v>
      </c>
      <c r="E779" s="331">
        <v>77</v>
      </c>
      <c r="F779" s="331">
        <v>1983927</v>
      </c>
      <c r="G779" s="331">
        <v>4030849</v>
      </c>
      <c r="H779" s="331">
        <v>6014776</v>
      </c>
      <c r="I779" s="331">
        <v>-1445700</v>
      </c>
      <c r="J779" s="319" t="s">
        <v>1044</v>
      </c>
      <c r="K779" s="319" t="s">
        <v>772</v>
      </c>
      <c r="L779" s="319" t="s">
        <v>284</v>
      </c>
      <c r="M779" s="319" t="s">
        <v>154</v>
      </c>
      <c r="N779" s="2"/>
      <c r="O779" s="4"/>
    </row>
    <row r="780" spans="1:15" ht="15" x14ac:dyDescent="0.25">
      <c r="A780" s="320">
        <v>431262</v>
      </c>
      <c r="B780" s="319" t="s">
        <v>671</v>
      </c>
      <c r="C780" s="331">
        <v>19</v>
      </c>
      <c r="D780" s="331">
        <v>58</v>
      </c>
      <c r="E780" s="331">
        <v>77</v>
      </c>
      <c r="F780" s="331">
        <v>834362</v>
      </c>
      <c r="G780" s="331">
        <v>3575880</v>
      </c>
      <c r="H780" s="331">
        <v>4410242</v>
      </c>
      <c r="I780" s="331">
        <v>506766</v>
      </c>
      <c r="J780" s="319" t="s">
        <v>1048</v>
      </c>
      <c r="K780" s="319" t="s">
        <v>771</v>
      </c>
      <c r="L780" s="319" t="s">
        <v>742</v>
      </c>
      <c r="M780" s="319" t="s">
        <v>68</v>
      </c>
      <c r="N780" s="2"/>
      <c r="O780" s="4"/>
    </row>
    <row r="781" spans="1:15" ht="15" x14ac:dyDescent="0.25">
      <c r="A781" s="320">
        <v>245381</v>
      </c>
      <c r="B781" s="319" t="s">
        <v>1091</v>
      </c>
      <c r="C781" s="331">
        <v>27</v>
      </c>
      <c r="D781" s="331">
        <v>50</v>
      </c>
      <c r="E781" s="331">
        <v>77</v>
      </c>
      <c r="F781" s="331">
        <v>1216414</v>
      </c>
      <c r="G781" s="331">
        <v>2934005</v>
      </c>
      <c r="H781" s="331">
        <v>4150418</v>
      </c>
      <c r="I781" s="331">
        <v>-584062</v>
      </c>
      <c r="J781" s="319" t="s">
        <v>1048</v>
      </c>
      <c r="K781" s="319" t="s">
        <v>771</v>
      </c>
      <c r="L781" s="319" t="s">
        <v>493</v>
      </c>
      <c r="M781" s="319" t="s">
        <v>68</v>
      </c>
      <c r="N781" s="2"/>
      <c r="O781" s="4"/>
    </row>
    <row r="782" spans="1:15" ht="15" x14ac:dyDescent="0.25">
      <c r="A782" s="320">
        <v>140905</v>
      </c>
      <c r="B782" s="319" t="s">
        <v>994</v>
      </c>
      <c r="C782" s="331">
        <v>35</v>
      </c>
      <c r="D782" s="331">
        <v>41</v>
      </c>
      <c r="E782" s="331">
        <v>76</v>
      </c>
      <c r="F782" s="331">
        <v>2785080</v>
      </c>
      <c r="G782" s="331">
        <v>3013008</v>
      </c>
      <c r="H782" s="331">
        <v>5798087</v>
      </c>
      <c r="I782" s="331">
        <v>340910</v>
      </c>
      <c r="J782" s="319" t="s">
        <v>1022</v>
      </c>
      <c r="K782" s="319" t="s">
        <v>765</v>
      </c>
      <c r="L782" s="319" t="s">
        <v>173</v>
      </c>
      <c r="M782" s="319" t="s">
        <v>154</v>
      </c>
      <c r="N782" s="2"/>
      <c r="O782" s="4"/>
    </row>
    <row r="783" spans="1:15" ht="15" x14ac:dyDescent="0.25">
      <c r="A783" s="320">
        <v>823500</v>
      </c>
      <c r="B783" s="319" t="s">
        <v>1121</v>
      </c>
      <c r="C783" s="331">
        <v>23</v>
      </c>
      <c r="D783" s="331">
        <v>51</v>
      </c>
      <c r="E783" s="331">
        <v>74</v>
      </c>
      <c r="F783" s="331">
        <v>1121976</v>
      </c>
      <c r="G783" s="331">
        <v>2876448</v>
      </c>
      <c r="H783" s="331">
        <v>3998424</v>
      </c>
      <c r="I783" s="331">
        <v>482012</v>
      </c>
      <c r="J783" s="319" t="s">
        <v>1048</v>
      </c>
      <c r="K783" s="319" t="s">
        <v>771</v>
      </c>
      <c r="L783" s="319" t="s">
        <v>751</v>
      </c>
      <c r="M783" s="319" t="s">
        <v>68</v>
      </c>
      <c r="N783" s="2"/>
      <c r="O783" s="4"/>
    </row>
    <row r="784" spans="1:15" ht="15" x14ac:dyDescent="0.25">
      <c r="A784" s="320">
        <v>405290</v>
      </c>
      <c r="B784" s="319" t="s">
        <v>824</v>
      </c>
      <c r="C784" s="331">
        <v>23</v>
      </c>
      <c r="D784" s="331">
        <v>49</v>
      </c>
      <c r="E784" s="331">
        <v>72</v>
      </c>
      <c r="F784" s="331">
        <v>1231137</v>
      </c>
      <c r="G784" s="331">
        <v>2923161</v>
      </c>
      <c r="H784" s="331">
        <v>4154298</v>
      </c>
      <c r="I784" s="331">
        <v>-94990</v>
      </c>
      <c r="J784" s="319" t="s">
        <v>181</v>
      </c>
      <c r="K784" s="319" t="s">
        <v>771</v>
      </c>
      <c r="L784" s="319" t="s">
        <v>563</v>
      </c>
      <c r="M784" s="319" t="s">
        <v>68</v>
      </c>
      <c r="N784" s="2"/>
      <c r="O784" s="4"/>
    </row>
    <row r="785" spans="1:15" ht="15" x14ac:dyDescent="0.25">
      <c r="A785" s="320">
        <v>732487</v>
      </c>
      <c r="B785" s="319" t="s">
        <v>314</v>
      </c>
      <c r="C785" s="331">
        <v>24</v>
      </c>
      <c r="D785" s="331">
        <v>44</v>
      </c>
      <c r="E785" s="331">
        <v>68</v>
      </c>
      <c r="F785" s="331">
        <v>1449380</v>
      </c>
      <c r="G785" s="331">
        <v>3437020</v>
      </c>
      <c r="H785" s="331">
        <v>4886400</v>
      </c>
      <c r="I785" s="331">
        <v>-556151</v>
      </c>
      <c r="J785" s="319" t="s">
        <v>1038</v>
      </c>
      <c r="K785" s="319" t="s">
        <v>772</v>
      </c>
      <c r="L785" s="319" t="s">
        <v>207</v>
      </c>
      <c r="M785" s="319" t="s">
        <v>154</v>
      </c>
      <c r="N785" s="2"/>
      <c r="O785" s="4"/>
    </row>
    <row r="786" spans="1:15" ht="15" x14ac:dyDescent="0.25">
      <c r="A786" s="320">
        <v>420935</v>
      </c>
      <c r="B786" s="319" t="s">
        <v>943</v>
      </c>
      <c r="C786" s="331">
        <v>27</v>
      </c>
      <c r="D786" s="331">
        <v>39</v>
      </c>
      <c r="E786" s="331">
        <v>66</v>
      </c>
      <c r="F786" s="331">
        <v>1647482</v>
      </c>
      <c r="G786" s="331">
        <v>2736561</v>
      </c>
      <c r="H786" s="331">
        <v>4384044</v>
      </c>
      <c r="I786" s="331">
        <v>-227635</v>
      </c>
      <c r="J786" s="319" t="s">
        <v>1034</v>
      </c>
      <c r="K786" s="319" t="s">
        <v>772</v>
      </c>
      <c r="L786" s="319" t="s">
        <v>744</v>
      </c>
      <c r="M786" s="319" t="s">
        <v>68</v>
      </c>
      <c r="N786" s="2"/>
      <c r="O786" s="4"/>
    </row>
    <row r="787" spans="1:15" ht="15" x14ac:dyDescent="0.25">
      <c r="A787" s="320">
        <v>866897</v>
      </c>
      <c r="B787" s="319" t="s">
        <v>640</v>
      </c>
      <c r="C787" s="331">
        <v>20</v>
      </c>
      <c r="D787" s="331">
        <v>44</v>
      </c>
      <c r="E787" s="331">
        <v>64</v>
      </c>
      <c r="F787" s="331">
        <v>683862</v>
      </c>
      <c r="G787" s="331">
        <v>3339844</v>
      </c>
      <c r="H787" s="331">
        <v>4023705</v>
      </c>
      <c r="I787" s="331">
        <v>3922049</v>
      </c>
      <c r="J787" s="319" t="s">
        <v>201</v>
      </c>
      <c r="K787" s="319" t="s">
        <v>771</v>
      </c>
      <c r="L787" s="319" t="s">
        <v>955</v>
      </c>
      <c r="M787" s="319" t="s">
        <v>68</v>
      </c>
      <c r="N787" s="2"/>
      <c r="O787" s="4"/>
    </row>
    <row r="788" spans="1:15" ht="15" x14ac:dyDescent="0.25">
      <c r="A788" s="320">
        <v>558882</v>
      </c>
      <c r="B788" s="319" t="s">
        <v>930</v>
      </c>
      <c r="C788" s="331">
        <v>27</v>
      </c>
      <c r="D788" s="331">
        <v>37</v>
      </c>
      <c r="E788" s="331">
        <v>64</v>
      </c>
      <c r="F788" s="331">
        <v>1094146</v>
      </c>
      <c r="G788" s="331">
        <v>1510673</v>
      </c>
      <c r="H788" s="331">
        <v>2604819</v>
      </c>
      <c r="I788" s="331">
        <v>-80874</v>
      </c>
      <c r="J788" s="319" t="s">
        <v>1049</v>
      </c>
      <c r="K788" s="319" t="s">
        <v>771</v>
      </c>
      <c r="L788" s="319" t="s">
        <v>773</v>
      </c>
      <c r="M788" s="319" t="s">
        <v>68</v>
      </c>
      <c r="N788" s="2"/>
      <c r="O788" s="4"/>
    </row>
    <row r="789" spans="1:15" ht="15" x14ac:dyDescent="0.25">
      <c r="A789" s="320">
        <v>120303</v>
      </c>
      <c r="B789" s="319" t="s">
        <v>959</v>
      </c>
      <c r="C789" s="331">
        <v>23</v>
      </c>
      <c r="D789" s="331">
        <v>41</v>
      </c>
      <c r="E789" s="331">
        <v>64</v>
      </c>
      <c r="F789" s="331">
        <v>1430893</v>
      </c>
      <c r="G789" s="331">
        <v>2878583</v>
      </c>
      <c r="H789" s="331">
        <v>4309477</v>
      </c>
      <c r="I789" s="331">
        <v>-313557</v>
      </c>
      <c r="J789" s="319" t="s">
        <v>1044</v>
      </c>
      <c r="K789" s="319" t="s">
        <v>772</v>
      </c>
      <c r="L789" s="319" t="s">
        <v>229</v>
      </c>
      <c r="M789" s="319" t="s">
        <v>154</v>
      </c>
      <c r="N789" s="2"/>
      <c r="O789" s="4"/>
    </row>
    <row r="790" spans="1:15" ht="15" x14ac:dyDescent="0.25">
      <c r="A790" s="320">
        <v>657106</v>
      </c>
      <c r="B790" s="319" t="s">
        <v>935</v>
      </c>
      <c r="C790" s="331">
        <v>25</v>
      </c>
      <c r="D790" s="331">
        <v>38</v>
      </c>
      <c r="E790" s="331">
        <v>63</v>
      </c>
      <c r="F790" s="331">
        <v>1350376</v>
      </c>
      <c r="G790" s="331">
        <v>2572871</v>
      </c>
      <c r="H790" s="331">
        <v>3923246</v>
      </c>
      <c r="I790" s="331">
        <v>-70431</v>
      </c>
      <c r="J790" s="319" t="s">
        <v>219</v>
      </c>
      <c r="K790" s="319" t="s">
        <v>771</v>
      </c>
      <c r="L790" s="319" t="s">
        <v>229</v>
      </c>
      <c r="M790" s="319" t="s">
        <v>154</v>
      </c>
      <c r="N790" s="2"/>
      <c r="O790" s="4"/>
    </row>
    <row r="791" spans="1:15" ht="15" x14ac:dyDescent="0.25">
      <c r="A791" s="320">
        <v>224311</v>
      </c>
      <c r="B791" s="319" t="s">
        <v>609</v>
      </c>
      <c r="C791" s="331">
        <v>30</v>
      </c>
      <c r="D791" s="331">
        <v>33</v>
      </c>
      <c r="E791" s="331">
        <v>63</v>
      </c>
      <c r="F791" s="331">
        <v>1518758</v>
      </c>
      <c r="G791" s="331">
        <v>1387193</v>
      </c>
      <c r="H791" s="331">
        <v>2905950</v>
      </c>
      <c r="I791" s="331">
        <v>14818</v>
      </c>
      <c r="J791" s="319" t="s">
        <v>181</v>
      </c>
      <c r="K791" s="319" t="s">
        <v>771</v>
      </c>
      <c r="L791" s="319" t="s">
        <v>464</v>
      </c>
      <c r="M791" s="319" t="s">
        <v>68</v>
      </c>
      <c r="N791" s="2"/>
      <c r="O791" s="4"/>
    </row>
    <row r="792" spans="1:15" ht="15" x14ac:dyDescent="0.25">
      <c r="A792" s="320">
        <v>810465</v>
      </c>
      <c r="B792" s="319" t="s">
        <v>543</v>
      </c>
      <c r="C792" s="331">
        <v>30</v>
      </c>
      <c r="D792" s="331">
        <v>29</v>
      </c>
      <c r="E792" s="331">
        <v>59</v>
      </c>
      <c r="F792" s="331">
        <v>833202</v>
      </c>
      <c r="G792" s="331">
        <v>948472</v>
      </c>
      <c r="H792" s="331">
        <v>1781674</v>
      </c>
      <c r="I792" s="331">
        <v>-29325</v>
      </c>
      <c r="J792" s="319" t="s">
        <v>215</v>
      </c>
      <c r="K792" s="319" t="s">
        <v>771</v>
      </c>
      <c r="L792" s="319" t="s">
        <v>955</v>
      </c>
      <c r="M792" s="319" t="s">
        <v>68</v>
      </c>
      <c r="N792" s="2"/>
      <c r="O792" s="4"/>
    </row>
    <row r="793" spans="1:15" ht="15" x14ac:dyDescent="0.25">
      <c r="A793" s="320">
        <v>317040</v>
      </c>
      <c r="B793" s="319" t="s">
        <v>848</v>
      </c>
      <c r="C793" s="331">
        <v>21</v>
      </c>
      <c r="D793" s="331">
        <v>38</v>
      </c>
      <c r="E793" s="331">
        <v>59</v>
      </c>
      <c r="F793" s="331">
        <v>840864</v>
      </c>
      <c r="G793" s="331">
        <v>1748763</v>
      </c>
      <c r="H793" s="331">
        <v>2589627</v>
      </c>
      <c r="I793" s="331">
        <v>53412</v>
      </c>
      <c r="J793" s="319" t="s">
        <v>181</v>
      </c>
      <c r="K793" s="319" t="s">
        <v>771</v>
      </c>
      <c r="L793" s="319" t="s">
        <v>493</v>
      </c>
      <c r="M793" s="319" t="s">
        <v>68</v>
      </c>
      <c r="N793" s="2"/>
      <c r="O793" s="4"/>
    </row>
    <row r="794" spans="1:15" ht="15" x14ac:dyDescent="0.25">
      <c r="A794" s="320">
        <v>235234</v>
      </c>
      <c r="B794" s="319" t="s">
        <v>1079</v>
      </c>
      <c r="C794" s="331">
        <v>32</v>
      </c>
      <c r="D794" s="331">
        <v>25</v>
      </c>
      <c r="E794" s="331">
        <v>57</v>
      </c>
      <c r="F794" s="331">
        <v>1763063</v>
      </c>
      <c r="G794" s="331">
        <v>1371383</v>
      </c>
      <c r="H794" s="331">
        <v>3134446</v>
      </c>
      <c r="I794" s="331">
        <v>24769</v>
      </c>
      <c r="J794" s="319" t="s">
        <v>1023</v>
      </c>
      <c r="K794" s="319" t="s">
        <v>768</v>
      </c>
      <c r="L794" s="319" t="s">
        <v>379</v>
      </c>
      <c r="M794" s="319" t="s">
        <v>68</v>
      </c>
      <c r="N794" s="2"/>
      <c r="O794" s="4"/>
    </row>
    <row r="795" spans="1:15" ht="15" customHeight="1" x14ac:dyDescent="0.25">
      <c r="A795" s="320">
        <v>161620</v>
      </c>
      <c r="B795" s="319" t="s">
        <v>912</v>
      </c>
      <c r="C795" s="331">
        <v>19</v>
      </c>
      <c r="D795" s="331">
        <v>37</v>
      </c>
      <c r="E795" s="331">
        <v>56</v>
      </c>
      <c r="F795" s="331">
        <v>789622</v>
      </c>
      <c r="G795" s="331">
        <v>2294925</v>
      </c>
      <c r="H795" s="331">
        <v>3084547</v>
      </c>
      <c r="I795" s="331">
        <v>-59981</v>
      </c>
      <c r="J795" s="319" t="s">
        <v>321</v>
      </c>
      <c r="K795" s="319" t="s">
        <v>771</v>
      </c>
      <c r="L795" s="319" t="s">
        <v>875</v>
      </c>
      <c r="M795" s="319" t="s">
        <v>68</v>
      </c>
      <c r="N795" s="2"/>
      <c r="O795" s="4"/>
    </row>
    <row r="796" spans="1:15" ht="15" x14ac:dyDescent="0.25">
      <c r="A796" s="320">
        <v>853903</v>
      </c>
      <c r="B796" s="319" t="s">
        <v>725</v>
      </c>
      <c r="C796" s="331">
        <v>14</v>
      </c>
      <c r="D796" s="331">
        <v>41</v>
      </c>
      <c r="E796" s="331">
        <v>55</v>
      </c>
      <c r="F796" s="331">
        <v>743103</v>
      </c>
      <c r="G796" s="331">
        <v>2934387</v>
      </c>
      <c r="H796" s="331">
        <v>3677490</v>
      </c>
      <c r="I796" s="331">
        <v>-497488</v>
      </c>
      <c r="J796" s="319" t="s">
        <v>1044</v>
      </c>
      <c r="K796" s="319" t="s">
        <v>772</v>
      </c>
      <c r="L796" s="319" t="s">
        <v>354</v>
      </c>
      <c r="M796" s="319" t="s">
        <v>154</v>
      </c>
      <c r="N796" s="2"/>
      <c r="O796" s="4"/>
    </row>
    <row r="797" spans="1:15" ht="15" x14ac:dyDescent="0.25">
      <c r="A797" s="320">
        <v>157909</v>
      </c>
      <c r="B797" s="319" t="s">
        <v>977</v>
      </c>
      <c r="C797" s="331">
        <v>11</v>
      </c>
      <c r="D797" s="331">
        <v>43</v>
      </c>
      <c r="E797" s="331">
        <v>54</v>
      </c>
      <c r="F797" s="331">
        <v>415513</v>
      </c>
      <c r="G797" s="331">
        <v>1872041</v>
      </c>
      <c r="H797" s="331">
        <v>2287554</v>
      </c>
      <c r="I797" s="331">
        <v>355147</v>
      </c>
      <c r="J797" s="319" t="s">
        <v>1023</v>
      </c>
      <c r="K797" s="319" t="s">
        <v>768</v>
      </c>
      <c r="L797" s="319" t="s">
        <v>826</v>
      </c>
      <c r="M797" s="319" t="s">
        <v>154</v>
      </c>
      <c r="N797" s="2"/>
      <c r="O797" s="4"/>
    </row>
    <row r="798" spans="1:15" ht="15" x14ac:dyDescent="0.25">
      <c r="A798" s="320">
        <v>988071</v>
      </c>
      <c r="B798" s="319" t="s">
        <v>968</v>
      </c>
      <c r="C798" s="331">
        <v>24</v>
      </c>
      <c r="D798" s="331">
        <v>29</v>
      </c>
      <c r="E798" s="331">
        <v>53</v>
      </c>
      <c r="F798" s="331">
        <v>770837</v>
      </c>
      <c r="G798" s="331">
        <v>1851620</v>
      </c>
      <c r="H798" s="331">
        <v>2622456</v>
      </c>
      <c r="I798" s="331">
        <v>100106</v>
      </c>
      <c r="J798" s="319" t="s">
        <v>1023</v>
      </c>
      <c r="K798" s="319" t="s">
        <v>768</v>
      </c>
      <c r="L798" s="319" t="s">
        <v>323</v>
      </c>
      <c r="M798" s="319" t="s">
        <v>68</v>
      </c>
      <c r="N798" s="2"/>
      <c r="O798" s="4"/>
    </row>
    <row r="799" spans="1:15" ht="15" x14ac:dyDescent="0.25">
      <c r="A799" s="320">
        <v>780411</v>
      </c>
      <c r="B799" s="319" t="s">
        <v>781</v>
      </c>
      <c r="C799" s="331">
        <v>11</v>
      </c>
      <c r="D799" s="331">
        <v>42</v>
      </c>
      <c r="E799" s="331">
        <v>53</v>
      </c>
      <c r="F799" s="331">
        <v>697555</v>
      </c>
      <c r="G799" s="331">
        <v>2735697</v>
      </c>
      <c r="H799" s="331">
        <v>3433253</v>
      </c>
      <c r="I799" s="331">
        <v>63929</v>
      </c>
      <c r="J799" s="319" t="s">
        <v>1049</v>
      </c>
      <c r="K799" s="319" t="s">
        <v>771</v>
      </c>
      <c r="L799" s="319" t="s">
        <v>777</v>
      </c>
      <c r="M799" s="319" t="s">
        <v>68</v>
      </c>
      <c r="N799" s="2"/>
      <c r="O799" s="4"/>
    </row>
    <row r="800" spans="1:15" ht="15" x14ac:dyDescent="0.25">
      <c r="A800" s="320">
        <v>674101</v>
      </c>
      <c r="B800" s="319" t="s">
        <v>950</v>
      </c>
      <c r="C800" s="331">
        <v>13</v>
      </c>
      <c r="D800" s="331">
        <v>40</v>
      </c>
      <c r="E800" s="331">
        <v>53</v>
      </c>
      <c r="F800" s="331">
        <v>636629</v>
      </c>
      <c r="G800" s="331">
        <v>2071793</v>
      </c>
      <c r="H800" s="331">
        <v>2708423</v>
      </c>
      <c r="I800" s="331">
        <v>-59380</v>
      </c>
      <c r="J800" s="319" t="s">
        <v>289</v>
      </c>
      <c r="K800" s="319" t="s">
        <v>771</v>
      </c>
      <c r="L800" s="319" t="s">
        <v>354</v>
      </c>
      <c r="M800" s="319" t="s">
        <v>68</v>
      </c>
      <c r="N800" s="2"/>
      <c r="O800" s="4"/>
    </row>
    <row r="801" spans="1:15" ht="15" x14ac:dyDescent="0.25">
      <c r="A801" s="320">
        <v>207076</v>
      </c>
      <c r="B801" s="319" t="s">
        <v>1151</v>
      </c>
      <c r="C801" s="331">
        <v>5</v>
      </c>
      <c r="D801" s="331">
        <v>48</v>
      </c>
      <c r="E801" s="331">
        <v>53</v>
      </c>
      <c r="F801" s="331">
        <v>241694</v>
      </c>
      <c r="G801" s="331">
        <v>4177184</v>
      </c>
      <c r="H801" s="331">
        <v>4418878</v>
      </c>
      <c r="I801" s="331">
        <v>785550</v>
      </c>
      <c r="J801" s="319" t="s">
        <v>219</v>
      </c>
      <c r="K801" s="319" t="s">
        <v>771</v>
      </c>
      <c r="L801" s="319" t="s">
        <v>294</v>
      </c>
      <c r="M801" s="319" t="s">
        <v>68</v>
      </c>
      <c r="N801" s="2"/>
      <c r="O801" s="4"/>
    </row>
    <row r="802" spans="1:15" ht="15" x14ac:dyDescent="0.25">
      <c r="A802" s="320">
        <v>199406</v>
      </c>
      <c r="B802" s="319" t="s">
        <v>1075</v>
      </c>
      <c r="C802" s="331">
        <v>28</v>
      </c>
      <c r="D802" s="331">
        <v>25</v>
      </c>
      <c r="E802" s="331">
        <v>53</v>
      </c>
      <c r="F802" s="331">
        <v>1062373</v>
      </c>
      <c r="G802" s="331">
        <v>1141806</v>
      </c>
      <c r="H802" s="331">
        <v>2204179</v>
      </c>
      <c r="I802" s="331">
        <v>216479</v>
      </c>
      <c r="J802" s="319" t="s">
        <v>181</v>
      </c>
      <c r="K802" s="319" t="s">
        <v>771</v>
      </c>
      <c r="L802" s="319" t="s">
        <v>379</v>
      </c>
      <c r="M802" s="319" t="s">
        <v>68</v>
      </c>
      <c r="N802" s="2"/>
      <c r="O802" s="4"/>
    </row>
    <row r="803" spans="1:15" ht="15" x14ac:dyDescent="0.25">
      <c r="A803" s="320">
        <v>949941</v>
      </c>
      <c r="B803" s="319" t="s">
        <v>627</v>
      </c>
      <c r="C803" s="331">
        <v>18</v>
      </c>
      <c r="D803" s="331">
        <v>34</v>
      </c>
      <c r="E803" s="331">
        <v>52</v>
      </c>
      <c r="F803" s="331">
        <v>628064</v>
      </c>
      <c r="G803" s="331">
        <v>1527802</v>
      </c>
      <c r="H803" s="331">
        <v>2155866</v>
      </c>
      <c r="I803" s="331">
        <v>-124199</v>
      </c>
      <c r="J803" s="319" t="s">
        <v>321</v>
      </c>
      <c r="K803" s="319" t="s">
        <v>771</v>
      </c>
      <c r="L803" s="319" t="s">
        <v>1117</v>
      </c>
      <c r="M803" s="319" t="s">
        <v>68</v>
      </c>
      <c r="N803" s="2"/>
      <c r="O803" s="4"/>
    </row>
    <row r="804" spans="1:15" ht="15" x14ac:dyDescent="0.25">
      <c r="A804" s="320">
        <v>426304</v>
      </c>
      <c r="B804" s="319" t="s">
        <v>1116</v>
      </c>
      <c r="C804" s="331">
        <v>14</v>
      </c>
      <c r="D804" s="331">
        <v>37</v>
      </c>
      <c r="E804" s="331">
        <v>51</v>
      </c>
      <c r="F804" s="331">
        <v>805024</v>
      </c>
      <c r="G804" s="331">
        <v>2561698</v>
      </c>
      <c r="H804" s="331">
        <v>3366722</v>
      </c>
      <c r="I804" s="331">
        <v>-157590</v>
      </c>
      <c r="J804" s="319" t="s">
        <v>295</v>
      </c>
      <c r="K804" s="319" t="s">
        <v>771</v>
      </c>
      <c r="L804" s="319" t="s">
        <v>608</v>
      </c>
      <c r="M804" s="319" t="s">
        <v>68</v>
      </c>
      <c r="N804" s="2"/>
      <c r="O804" s="4"/>
    </row>
    <row r="805" spans="1:15" ht="15" x14ac:dyDescent="0.25">
      <c r="A805" s="320">
        <v>161687</v>
      </c>
      <c r="B805" s="319" t="s">
        <v>656</v>
      </c>
      <c r="C805" s="331">
        <v>14</v>
      </c>
      <c r="D805" s="331">
        <v>37</v>
      </c>
      <c r="E805" s="331">
        <v>51</v>
      </c>
      <c r="F805" s="331">
        <v>558570</v>
      </c>
      <c r="G805" s="331">
        <v>1795711</v>
      </c>
      <c r="H805" s="331">
        <v>2354282</v>
      </c>
      <c r="I805" s="331">
        <v>-189913</v>
      </c>
      <c r="J805" s="319" t="s">
        <v>295</v>
      </c>
      <c r="K805" s="319" t="s">
        <v>771</v>
      </c>
      <c r="L805" s="319" t="s">
        <v>749</v>
      </c>
      <c r="M805" s="319" t="s">
        <v>68</v>
      </c>
      <c r="N805" s="2"/>
      <c r="O805" s="4"/>
    </row>
    <row r="806" spans="1:15" ht="15" x14ac:dyDescent="0.25">
      <c r="A806" s="320">
        <v>634675</v>
      </c>
      <c r="B806" s="319" t="s">
        <v>733</v>
      </c>
      <c r="C806" s="331">
        <v>19</v>
      </c>
      <c r="D806" s="331">
        <v>31</v>
      </c>
      <c r="E806" s="331">
        <v>50</v>
      </c>
      <c r="F806" s="331">
        <v>806186</v>
      </c>
      <c r="G806" s="331">
        <v>1756216</v>
      </c>
      <c r="H806" s="331">
        <v>2562402</v>
      </c>
      <c r="I806" s="331"/>
      <c r="J806" s="319" t="s">
        <v>215</v>
      </c>
      <c r="K806" s="319" t="s">
        <v>771</v>
      </c>
      <c r="L806" s="319" t="s">
        <v>742</v>
      </c>
      <c r="M806" s="319" t="s">
        <v>68</v>
      </c>
      <c r="N806" s="2"/>
      <c r="O806" s="4"/>
    </row>
    <row r="807" spans="1:15" ht="15" x14ac:dyDescent="0.25">
      <c r="A807" s="320">
        <v>156075</v>
      </c>
      <c r="B807" s="319" t="s">
        <v>1088</v>
      </c>
      <c r="C807" s="331">
        <v>11</v>
      </c>
      <c r="D807" s="331">
        <v>39</v>
      </c>
      <c r="E807" s="331">
        <v>50</v>
      </c>
      <c r="F807" s="331">
        <v>404765</v>
      </c>
      <c r="G807" s="331">
        <v>2061773</v>
      </c>
      <c r="H807" s="331">
        <v>2466538</v>
      </c>
      <c r="I807" s="331">
        <v>-1891518</v>
      </c>
      <c r="J807" s="319" t="s">
        <v>318</v>
      </c>
      <c r="K807" s="319" t="s">
        <v>771</v>
      </c>
      <c r="L807" s="319" t="s">
        <v>1117</v>
      </c>
      <c r="M807" s="319" t="s">
        <v>68</v>
      </c>
      <c r="N807" s="2"/>
      <c r="O807" s="4"/>
    </row>
    <row r="808" spans="1:15" ht="15" x14ac:dyDescent="0.25">
      <c r="A808" s="320">
        <v>844225</v>
      </c>
      <c r="B808" s="319" t="s">
        <v>675</v>
      </c>
      <c r="C808" s="331">
        <v>15</v>
      </c>
      <c r="D808" s="331">
        <v>34</v>
      </c>
      <c r="E808" s="331">
        <v>49</v>
      </c>
      <c r="F808" s="331">
        <v>563645</v>
      </c>
      <c r="G808" s="331">
        <v>2541797</v>
      </c>
      <c r="H808" s="331">
        <v>3105442</v>
      </c>
      <c r="I808" s="331">
        <v>430322</v>
      </c>
      <c r="J808" s="319" t="s">
        <v>1033</v>
      </c>
      <c r="K808" s="319" t="s">
        <v>772</v>
      </c>
      <c r="L808" s="319" t="s">
        <v>840</v>
      </c>
      <c r="M808" s="319" t="s">
        <v>68</v>
      </c>
      <c r="N808" s="2"/>
      <c r="O808" s="4"/>
    </row>
    <row r="809" spans="1:15" ht="15" x14ac:dyDescent="0.25">
      <c r="A809" s="320">
        <v>105072</v>
      </c>
      <c r="B809" s="319" t="s">
        <v>995</v>
      </c>
      <c r="C809" s="331">
        <v>16</v>
      </c>
      <c r="D809" s="331">
        <v>31</v>
      </c>
      <c r="E809" s="331">
        <v>47</v>
      </c>
      <c r="F809" s="331">
        <v>695878</v>
      </c>
      <c r="G809" s="331">
        <v>1445288</v>
      </c>
      <c r="H809" s="331">
        <v>2141166</v>
      </c>
      <c r="I809" s="331">
        <v>312652</v>
      </c>
      <c r="J809" s="319" t="s">
        <v>1022</v>
      </c>
      <c r="K809" s="319" t="s">
        <v>765</v>
      </c>
      <c r="L809" s="319" t="s">
        <v>173</v>
      </c>
      <c r="M809" s="319" t="s">
        <v>154</v>
      </c>
      <c r="N809" s="2"/>
      <c r="O809" s="4"/>
    </row>
    <row r="810" spans="1:15" ht="15" x14ac:dyDescent="0.25">
      <c r="A810" s="320">
        <v>550970</v>
      </c>
      <c r="B810" s="319" t="s">
        <v>1145</v>
      </c>
      <c r="C810" s="331">
        <v>19</v>
      </c>
      <c r="D810" s="331">
        <v>27</v>
      </c>
      <c r="E810" s="331">
        <v>46</v>
      </c>
      <c r="F810" s="331">
        <v>704230</v>
      </c>
      <c r="G810" s="331">
        <v>1054492</v>
      </c>
      <c r="H810" s="331">
        <v>1758722</v>
      </c>
      <c r="I810" s="331">
        <v>-101548</v>
      </c>
      <c r="J810" s="319" t="s">
        <v>1034</v>
      </c>
      <c r="K810" s="319" t="s">
        <v>772</v>
      </c>
      <c r="L810" s="319" t="s">
        <v>379</v>
      </c>
      <c r="M810" s="319" t="s">
        <v>68</v>
      </c>
      <c r="N810" s="2"/>
      <c r="O810" s="4"/>
    </row>
    <row r="811" spans="1:15" ht="15" customHeight="1" x14ac:dyDescent="0.25">
      <c r="A811" s="320">
        <v>870964</v>
      </c>
      <c r="B811" s="319" t="s">
        <v>704</v>
      </c>
      <c r="C811" s="331">
        <v>19</v>
      </c>
      <c r="D811" s="331">
        <v>25</v>
      </c>
      <c r="E811" s="331">
        <v>44</v>
      </c>
      <c r="F811" s="331">
        <v>730755</v>
      </c>
      <c r="G811" s="331">
        <v>1674024</v>
      </c>
      <c r="H811" s="331">
        <v>2404779</v>
      </c>
      <c r="I811" s="331">
        <v>28175</v>
      </c>
      <c r="J811" s="319" t="s">
        <v>181</v>
      </c>
      <c r="K811" s="319" t="s">
        <v>771</v>
      </c>
      <c r="L811" s="319" t="s">
        <v>538</v>
      </c>
      <c r="M811" s="319" t="s">
        <v>68</v>
      </c>
      <c r="N811" s="2"/>
      <c r="O811" s="4"/>
    </row>
    <row r="812" spans="1:15" ht="15" x14ac:dyDescent="0.25">
      <c r="A812" s="320">
        <v>551440</v>
      </c>
      <c r="B812" s="319" t="s">
        <v>897</v>
      </c>
      <c r="C812" s="331">
        <v>11</v>
      </c>
      <c r="D812" s="331">
        <v>32</v>
      </c>
      <c r="E812" s="331">
        <v>43</v>
      </c>
      <c r="F812" s="331">
        <v>746920</v>
      </c>
      <c r="G812" s="331">
        <v>2507254</v>
      </c>
      <c r="H812" s="331">
        <v>3254174</v>
      </c>
      <c r="I812" s="331"/>
      <c r="J812" s="319" t="s">
        <v>215</v>
      </c>
      <c r="K812" s="319" t="s">
        <v>771</v>
      </c>
      <c r="L812" s="319" t="s">
        <v>807</v>
      </c>
      <c r="M812" s="319" t="s">
        <v>68</v>
      </c>
      <c r="N812" s="2"/>
      <c r="O812" s="4"/>
    </row>
    <row r="813" spans="1:15" ht="15" x14ac:dyDescent="0.25">
      <c r="A813" s="320">
        <v>533919</v>
      </c>
      <c r="B813" s="319" t="s">
        <v>1114</v>
      </c>
      <c r="C813" s="331">
        <v>16</v>
      </c>
      <c r="D813" s="331">
        <v>27</v>
      </c>
      <c r="E813" s="331">
        <v>43</v>
      </c>
      <c r="F813" s="331">
        <v>1296050</v>
      </c>
      <c r="G813" s="331">
        <v>1981388</v>
      </c>
      <c r="H813" s="331">
        <v>3277438</v>
      </c>
      <c r="I813" s="331">
        <v>406418</v>
      </c>
      <c r="J813" s="319" t="s">
        <v>295</v>
      </c>
      <c r="K813" s="319" t="s">
        <v>771</v>
      </c>
      <c r="L813" s="319" t="s">
        <v>658</v>
      </c>
      <c r="M813" s="319" t="s">
        <v>68</v>
      </c>
      <c r="N813" s="2"/>
      <c r="O813" s="4"/>
    </row>
    <row r="814" spans="1:15" ht="15" x14ac:dyDescent="0.25">
      <c r="A814" s="320">
        <v>203471</v>
      </c>
      <c r="B814" s="319" t="s">
        <v>883</v>
      </c>
      <c r="C814" s="331">
        <v>19</v>
      </c>
      <c r="D814" s="331">
        <v>24</v>
      </c>
      <c r="E814" s="331">
        <v>43</v>
      </c>
      <c r="F814" s="331">
        <v>833890</v>
      </c>
      <c r="G814" s="331">
        <v>1226846</v>
      </c>
      <c r="H814" s="331">
        <v>2060735</v>
      </c>
      <c r="I814" s="331">
        <v>3345</v>
      </c>
      <c r="J814" s="319" t="s">
        <v>1040</v>
      </c>
      <c r="K814" s="319" t="s">
        <v>772</v>
      </c>
      <c r="L814" s="319" t="s">
        <v>323</v>
      </c>
      <c r="M814" s="319" t="s">
        <v>68</v>
      </c>
      <c r="N814" s="2"/>
      <c r="O814" s="4"/>
    </row>
    <row r="815" spans="1:15" ht="15" x14ac:dyDescent="0.25">
      <c r="A815" s="320">
        <v>188482</v>
      </c>
      <c r="B815" s="319" t="s">
        <v>731</v>
      </c>
      <c r="C815" s="331">
        <v>17</v>
      </c>
      <c r="D815" s="331">
        <v>26</v>
      </c>
      <c r="E815" s="331">
        <v>43</v>
      </c>
      <c r="F815" s="331">
        <v>617070</v>
      </c>
      <c r="G815" s="331">
        <v>1314353</v>
      </c>
      <c r="H815" s="331">
        <v>1931422</v>
      </c>
      <c r="I815" s="331">
        <v>-5619</v>
      </c>
      <c r="J815" s="319" t="s">
        <v>215</v>
      </c>
      <c r="K815" s="319" t="s">
        <v>771</v>
      </c>
      <c r="L815" s="319" t="s">
        <v>464</v>
      </c>
      <c r="M815" s="319" t="s">
        <v>68</v>
      </c>
      <c r="N815" s="2"/>
      <c r="O815" s="4"/>
    </row>
    <row r="816" spans="1:15" ht="15" x14ac:dyDescent="0.25">
      <c r="A816" s="320">
        <v>744581</v>
      </c>
      <c r="B816" s="319" t="s">
        <v>798</v>
      </c>
      <c r="C816" s="331">
        <v>14</v>
      </c>
      <c r="D816" s="331">
        <v>28</v>
      </c>
      <c r="E816" s="331">
        <v>42</v>
      </c>
      <c r="F816" s="331">
        <v>702273</v>
      </c>
      <c r="G816" s="331">
        <v>2227352</v>
      </c>
      <c r="H816" s="331">
        <v>2929626</v>
      </c>
      <c r="I816" s="331">
        <v>23715</v>
      </c>
      <c r="J816" s="319" t="s">
        <v>1049</v>
      </c>
      <c r="K816" s="319" t="s">
        <v>771</v>
      </c>
      <c r="L816" s="319" t="s">
        <v>777</v>
      </c>
      <c r="M816" s="319" t="s">
        <v>68</v>
      </c>
      <c r="N816" s="2"/>
      <c r="O816" s="4"/>
    </row>
    <row r="817" spans="1:15" ht="15" x14ac:dyDescent="0.25">
      <c r="A817" s="320">
        <v>179218</v>
      </c>
      <c r="B817" s="319" t="s">
        <v>737</v>
      </c>
      <c r="C817" s="331">
        <v>19</v>
      </c>
      <c r="D817" s="331">
        <v>23</v>
      </c>
      <c r="E817" s="331">
        <v>42</v>
      </c>
      <c r="F817" s="331">
        <v>678125</v>
      </c>
      <c r="G817" s="331">
        <v>1056558</v>
      </c>
      <c r="H817" s="331">
        <v>1734683</v>
      </c>
      <c r="I817" s="331">
        <v>5233</v>
      </c>
      <c r="J817" s="319" t="s">
        <v>181</v>
      </c>
      <c r="K817" s="319" t="s">
        <v>771</v>
      </c>
      <c r="L817" s="319" t="s">
        <v>742</v>
      </c>
      <c r="M817" s="319" t="s">
        <v>68</v>
      </c>
      <c r="N817" s="2"/>
      <c r="O817" s="4"/>
    </row>
    <row r="818" spans="1:15" ht="15" x14ac:dyDescent="0.25">
      <c r="A818" s="320">
        <v>365684</v>
      </c>
      <c r="B818" s="319" t="s">
        <v>1074</v>
      </c>
      <c r="C818" s="331">
        <v>8</v>
      </c>
      <c r="D818" s="331">
        <v>33</v>
      </c>
      <c r="E818" s="331">
        <v>41</v>
      </c>
      <c r="F818" s="331">
        <v>592168</v>
      </c>
      <c r="G818" s="331">
        <v>1740704</v>
      </c>
      <c r="H818" s="331">
        <v>2332872</v>
      </c>
      <c r="I818" s="331">
        <v>-1060439</v>
      </c>
      <c r="J818" s="319" t="s">
        <v>1034</v>
      </c>
      <c r="K818" s="319" t="s">
        <v>772</v>
      </c>
      <c r="L818" s="319" t="s">
        <v>379</v>
      </c>
      <c r="M818" s="319" t="s">
        <v>68</v>
      </c>
      <c r="N818" s="2"/>
      <c r="O818" s="4"/>
    </row>
    <row r="819" spans="1:15" ht="15" x14ac:dyDescent="0.25">
      <c r="A819" s="320">
        <v>359604</v>
      </c>
      <c r="B819" s="319" t="s">
        <v>612</v>
      </c>
      <c r="C819" s="331">
        <v>12</v>
      </c>
      <c r="D819" s="331">
        <v>29</v>
      </c>
      <c r="E819" s="331">
        <v>41</v>
      </c>
      <c r="F819" s="331">
        <v>882594</v>
      </c>
      <c r="G819" s="331">
        <v>1775589</v>
      </c>
      <c r="H819" s="331">
        <v>2658182</v>
      </c>
      <c r="I819" s="331">
        <v>-240012</v>
      </c>
      <c r="J819" s="319" t="s">
        <v>1047</v>
      </c>
      <c r="K819" s="319" t="s">
        <v>771</v>
      </c>
      <c r="L819" s="319" t="s">
        <v>742</v>
      </c>
      <c r="M819" s="319" t="s">
        <v>68</v>
      </c>
      <c r="N819" s="2"/>
      <c r="O819" s="4"/>
    </row>
    <row r="820" spans="1:15" ht="15" customHeight="1" x14ac:dyDescent="0.25">
      <c r="A820" s="320">
        <v>281212</v>
      </c>
      <c r="B820" s="319" t="s">
        <v>849</v>
      </c>
      <c r="C820" s="331">
        <v>15</v>
      </c>
      <c r="D820" s="331">
        <v>26</v>
      </c>
      <c r="E820" s="331">
        <v>41</v>
      </c>
      <c r="F820" s="331">
        <v>1007283</v>
      </c>
      <c r="G820" s="331">
        <v>1762921</v>
      </c>
      <c r="H820" s="331">
        <v>2770205</v>
      </c>
      <c r="I820" s="331">
        <v>-56020</v>
      </c>
      <c r="J820" s="319" t="s">
        <v>1048</v>
      </c>
      <c r="K820" s="319" t="s">
        <v>771</v>
      </c>
      <c r="L820" s="319" t="s">
        <v>493</v>
      </c>
      <c r="M820" s="319" t="s">
        <v>68</v>
      </c>
      <c r="N820" s="2"/>
      <c r="O820" s="4"/>
    </row>
    <row r="821" spans="1:15" ht="15" x14ac:dyDescent="0.25">
      <c r="A821" s="320">
        <v>838268</v>
      </c>
      <c r="B821" s="319" t="s">
        <v>452</v>
      </c>
      <c r="C821" s="331">
        <v>15</v>
      </c>
      <c r="D821" s="331">
        <v>24</v>
      </c>
      <c r="E821" s="331">
        <v>39</v>
      </c>
      <c r="F821" s="331">
        <v>756689</v>
      </c>
      <c r="G821" s="331">
        <v>1001481</v>
      </c>
      <c r="H821" s="331">
        <v>1758170</v>
      </c>
      <c r="I821" s="331">
        <v>366055</v>
      </c>
      <c r="J821" s="319" t="s">
        <v>1043</v>
      </c>
      <c r="K821" s="319" t="s">
        <v>772</v>
      </c>
      <c r="L821" s="319" t="s">
        <v>453</v>
      </c>
      <c r="M821" s="319" t="s">
        <v>68</v>
      </c>
      <c r="N821" s="2"/>
      <c r="O821" s="4"/>
    </row>
    <row r="822" spans="1:15" ht="15" x14ac:dyDescent="0.25">
      <c r="A822" s="320">
        <v>806505</v>
      </c>
      <c r="B822" s="319" t="s">
        <v>919</v>
      </c>
      <c r="C822" s="331">
        <v>16</v>
      </c>
      <c r="D822" s="331">
        <v>22</v>
      </c>
      <c r="E822" s="331">
        <v>38</v>
      </c>
      <c r="F822" s="331">
        <v>553992</v>
      </c>
      <c r="G822" s="331">
        <v>1162491</v>
      </c>
      <c r="H822" s="331">
        <v>1716483</v>
      </c>
      <c r="I822" s="331">
        <v>-328880</v>
      </c>
      <c r="J822" s="319" t="s">
        <v>1034</v>
      </c>
      <c r="K822" s="319" t="s">
        <v>772</v>
      </c>
      <c r="L822" s="319" t="s">
        <v>547</v>
      </c>
      <c r="M822" s="319" t="s">
        <v>68</v>
      </c>
      <c r="N822" s="2"/>
      <c r="O822" s="4"/>
    </row>
    <row r="823" spans="1:15" ht="15" customHeight="1" x14ac:dyDescent="0.25">
      <c r="A823" s="320">
        <v>606103</v>
      </c>
      <c r="B823" s="319" t="s">
        <v>894</v>
      </c>
      <c r="C823" s="331">
        <v>11</v>
      </c>
      <c r="D823" s="331">
        <v>26</v>
      </c>
      <c r="E823" s="331">
        <v>37</v>
      </c>
      <c r="F823" s="331">
        <v>895957</v>
      </c>
      <c r="G823" s="331">
        <v>1262014</v>
      </c>
      <c r="H823" s="331">
        <v>2157971</v>
      </c>
      <c r="I823" s="331">
        <v>147510</v>
      </c>
      <c r="J823" s="319" t="s">
        <v>1038</v>
      </c>
      <c r="K823" s="319" t="s">
        <v>772</v>
      </c>
      <c r="L823" s="319" t="s">
        <v>287</v>
      </c>
      <c r="M823" s="319" t="s">
        <v>68</v>
      </c>
      <c r="N823" s="2"/>
      <c r="O823" s="4"/>
    </row>
    <row r="824" spans="1:15" ht="15" x14ac:dyDescent="0.25">
      <c r="A824" s="320">
        <v>352583</v>
      </c>
      <c r="B824" s="319" t="s">
        <v>483</v>
      </c>
      <c r="C824" s="331">
        <v>15</v>
      </c>
      <c r="D824" s="331">
        <v>21</v>
      </c>
      <c r="E824" s="331">
        <v>36</v>
      </c>
      <c r="F824" s="331">
        <v>384972</v>
      </c>
      <c r="G824" s="331">
        <v>972844</v>
      </c>
      <c r="H824" s="331">
        <v>1357816</v>
      </c>
      <c r="I824" s="331">
        <v>39692</v>
      </c>
      <c r="J824" s="319" t="s">
        <v>1033</v>
      </c>
      <c r="K824" s="319" t="s">
        <v>772</v>
      </c>
      <c r="L824" s="319" t="s">
        <v>955</v>
      </c>
      <c r="M824" s="319" t="s">
        <v>68</v>
      </c>
      <c r="N824" s="2"/>
      <c r="O824" s="4"/>
    </row>
    <row r="825" spans="1:15" ht="15" x14ac:dyDescent="0.25">
      <c r="A825" s="320">
        <v>507707</v>
      </c>
      <c r="B825" s="319" t="s">
        <v>974</v>
      </c>
      <c r="C825" s="331">
        <v>10</v>
      </c>
      <c r="D825" s="331">
        <v>24</v>
      </c>
      <c r="E825" s="331">
        <v>34</v>
      </c>
      <c r="F825" s="331">
        <v>726251</v>
      </c>
      <c r="G825" s="331">
        <v>3279070</v>
      </c>
      <c r="H825" s="331">
        <v>4005321</v>
      </c>
      <c r="I825" s="331">
        <v>-158757</v>
      </c>
      <c r="J825" s="319" t="s">
        <v>1023</v>
      </c>
      <c r="K825" s="319" t="s">
        <v>768</v>
      </c>
      <c r="L825" s="319" t="s">
        <v>807</v>
      </c>
      <c r="M825" s="319" t="s">
        <v>68</v>
      </c>
      <c r="N825" s="2"/>
      <c r="O825" s="4"/>
    </row>
    <row r="826" spans="1:15" ht="15" x14ac:dyDescent="0.25">
      <c r="A826" s="320">
        <v>386870</v>
      </c>
      <c r="B826" s="319" t="s">
        <v>881</v>
      </c>
      <c r="C826" s="331">
        <v>12</v>
      </c>
      <c r="D826" s="331">
        <v>22</v>
      </c>
      <c r="E826" s="331">
        <v>34</v>
      </c>
      <c r="F826" s="331">
        <v>1190969</v>
      </c>
      <c r="G826" s="331">
        <v>2542512</v>
      </c>
      <c r="H826" s="331">
        <v>3733481</v>
      </c>
      <c r="I826" s="331">
        <v>901086</v>
      </c>
      <c r="J826" s="319" t="s">
        <v>1044</v>
      </c>
      <c r="K826" s="319" t="s">
        <v>772</v>
      </c>
      <c r="L826" s="319" t="s">
        <v>879</v>
      </c>
      <c r="M826" s="319" t="s">
        <v>68</v>
      </c>
      <c r="N826" s="2"/>
      <c r="O826" s="4"/>
    </row>
    <row r="827" spans="1:15" ht="15" x14ac:dyDescent="0.25">
      <c r="A827" s="320">
        <v>242909</v>
      </c>
      <c r="B827" s="319" t="s">
        <v>1152</v>
      </c>
      <c r="C827" s="331">
        <v>8</v>
      </c>
      <c r="D827" s="331">
        <v>25</v>
      </c>
      <c r="E827" s="331">
        <v>33</v>
      </c>
      <c r="F827" s="331">
        <v>1043818</v>
      </c>
      <c r="G827" s="331">
        <v>3571852</v>
      </c>
      <c r="H827" s="331">
        <v>4615671</v>
      </c>
      <c r="I827" s="331">
        <v>976638</v>
      </c>
      <c r="J827" s="319" t="s">
        <v>219</v>
      </c>
      <c r="K827" s="319" t="s">
        <v>771</v>
      </c>
      <c r="L827" s="319" t="s">
        <v>294</v>
      </c>
      <c r="M827" s="319" t="s">
        <v>68</v>
      </c>
      <c r="N827" s="2"/>
      <c r="O827" s="4"/>
    </row>
    <row r="828" spans="1:15" ht="15" x14ac:dyDescent="0.25">
      <c r="A828" s="320">
        <v>271064</v>
      </c>
      <c r="B828" s="319" t="s">
        <v>1070</v>
      </c>
      <c r="C828" s="331">
        <v>13</v>
      </c>
      <c r="D828" s="331">
        <v>18</v>
      </c>
      <c r="E828" s="331">
        <v>31</v>
      </c>
      <c r="F828" s="331">
        <v>517695</v>
      </c>
      <c r="G828" s="331">
        <v>899897</v>
      </c>
      <c r="H828" s="331">
        <v>1417592</v>
      </c>
      <c r="I828" s="331">
        <v>-189426</v>
      </c>
      <c r="J828" s="319" t="s">
        <v>1035</v>
      </c>
      <c r="K828" s="319" t="s">
        <v>768</v>
      </c>
      <c r="L828" s="319" t="s">
        <v>379</v>
      </c>
      <c r="M828" s="319" t="s">
        <v>68</v>
      </c>
      <c r="N828" s="2"/>
      <c r="O828" s="4"/>
    </row>
    <row r="829" spans="1:15" ht="15" x14ac:dyDescent="0.25">
      <c r="A829" s="320">
        <v>976506</v>
      </c>
      <c r="B829" s="319" t="s">
        <v>1162</v>
      </c>
      <c r="C829" s="331">
        <v>9</v>
      </c>
      <c r="D829" s="331">
        <v>21</v>
      </c>
      <c r="E829" s="331">
        <v>30</v>
      </c>
      <c r="F829" s="331">
        <v>535729</v>
      </c>
      <c r="G829" s="331">
        <v>798716</v>
      </c>
      <c r="H829" s="331">
        <v>1334446</v>
      </c>
      <c r="I829" s="331">
        <v>846301</v>
      </c>
      <c r="J829" s="319" t="s">
        <v>289</v>
      </c>
      <c r="K829" s="319" t="s">
        <v>771</v>
      </c>
      <c r="L829" s="319" t="s">
        <v>287</v>
      </c>
      <c r="M829" s="319" t="s">
        <v>68</v>
      </c>
      <c r="N829" s="2"/>
      <c r="O829" s="4"/>
    </row>
    <row r="830" spans="1:15" ht="15" customHeight="1" x14ac:dyDescent="0.25">
      <c r="A830" s="320">
        <v>793109</v>
      </c>
      <c r="B830" s="319" t="s">
        <v>1101</v>
      </c>
      <c r="C830" s="331">
        <v>8</v>
      </c>
      <c r="D830" s="331">
        <v>22</v>
      </c>
      <c r="E830" s="331">
        <v>30</v>
      </c>
      <c r="F830" s="331">
        <v>307362</v>
      </c>
      <c r="G830" s="331">
        <v>1559761</v>
      </c>
      <c r="H830" s="331">
        <v>1867123</v>
      </c>
      <c r="I830" s="331">
        <v>686950</v>
      </c>
      <c r="J830" s="319" t="s">
        <v>181</v>
      </c>
      <c r="K830" s="319" t="s">
        <v>771</v>
      </c>
      <c r="L830" s="319" t="s">
        <v>198</v>
      </c>
      <c r="M830" s="319" t="s">
        <v>68</v>
      </c>
      <c r="N830" s="2"/>
      <c r="O830" s="4"/>
    </row>
    <row r="831" spans="1:15" ht="15" x14ac:dyDescent="0.25">
      <c r="A831" s="320">
        <v>541706</v>
      </c>
      <c r="B831" s="319" t="s">
        <v>989</v>
      </c>
      <c r="C831" s="331">
        <v>10</v>
      </c>
      <c r="D831" s="331">
        <v>20</v>
      </c>
      <c r="E831" s="331">
        <v>30</v>
      </c>
      <c r="F831" s="331">
        <v>610708</v>
      </c>
      <c r="G831" s="331">
        <v>1088088</v>
      </c>
      <c r="H831" s="331">
        <v>1698796</v>
      </c>
      <c r="I831" s="331">
        <v>-61156</v>
      </c>
      <c r="J831" s="319" t="s">
        <v>1051</v>
      </c>
      <c r="K831" s="319" t="s">
        <v>771</v>
      </c>
      <c r="L831" s="319" t="s">
        <v>155</v>
      </c>
      <c r="M831" s="319" t="s">
        <v>154</v>
      </c>
      <c r="N831" s="2"/>
      <c r="O831" s="4"/>
    </row>
    <row r="832" spans="1:15" ht="15" x14ac:dyDescent="0.25">
      <c r="A832" s="320">
        <v>690693</v>
      </c>
      <c r="B832" s="319" t="s">
        <v>711</v>
      </c>
      <c r="C832" s="331">
        <v>9</v>
      </c>
      <c r="D832" s="331">
        <v>20</v>
      </c>
      <c r="E832" s="331">
        <v>29</v>
      </c>
      <c r="F832" s="331">
        <v>464688</v>
      </c>
      <c r="G832" s="331">
        <v>998002</v>
      </c>
      <c r="H832" s="331">
        <v>1462690</v>
      </c>
      <c r="I832" s="331">
        <v>-82663</v>
      </c>
      <c r="J832" s="319" t="s">
        <v>181</v>
      </c>
      <c r="K832" s="319" t="s">
        <v>771</v>
      </c>
      <c r="L832" s="319" t="s">
        <v>955</v>
      </c>
      <c r="M832" s="319" t="s">
        <v>68</v>
      </c>
      <c r="N832" s="2"/>
      <c r="O832" s="4"/>
    </row>
    <row r="833" spans="1:15" ht="15" x14ac:dyDescent="0.25">
      <c r="A833" s="320">
        <v>592709</v>
      </c>
      <c r="B833" s="319" t="s">
        <v>1148</v>
      </c>
      <c r="C833" s="331">
        <v>5</v>
      </c>
      <c r="D833" s="331">
        <v>24</v>
      </c>
      <c r="E833" s="331">
        <v>29</v>
      </c>
      <c r="F833" s="331">
        <v>122079</v>
      </c>
      <c r="G833" s="331">
        <v>1642289</v>
      </c>
      <c r="H833" s="331">
        <v>1764368</v>
      </c>
      <c r="I833" s="331">
        <v>-38978</v>
      </c>
      <c r="J833" s="319" t="s">
        <v>219</v>
      </c>
      <c r="K833" s="319" t="s">
        <v>771</v>
      </c>
      <c r="L833" s="319" t="s">
        <v>807</v>
      </c>
      <c r="M833" s="319" t="s">
        <v>68</v>
      </c>
      <c r="N833" s="2"/>
      <c r="O833" s="4"/>
    </row>
    <row r="834" spans="1:15" ht="15" x14ac:dyDescent="0.25">
      <c r="A834" s="320">
        <v>367631</v>
      </c>
      <c r="B834" s="319" t="s">
        <v>732</v>
      </c>
      <c r="C834" s="331">
        <v>10</v>
      </c>
      <c r="D834" s="331">
        <v>19</v>
      </c>
      <c r="E834" s="331">
        <v>29</v>
      </c>
      <c r="F834" s="331">
        <v>341240</v>
      </c>
      <c r="G834" s="331">
        <v>1120841</v>
      </c>
      <c r="H834" s="331">
        <v>1462081</v>
      </c>
      <c r="I834" s="331">
        <v>282602</v>
      </c>
      <c r="J834" s="319" t="s">
        <v>201</v>
      </c>
      <c r="K834" s="319" t="s">
        <v>771</v>
      </c>
      <c r="L834" s="319" t="s">
        <v>464</v>
      </c>
      <c r="M834" s="319" t="s">
        <v>68</v>
      </c>
      <c r="N834" s="2"/>
      <c r="O834" s="4"/>
    </row>
    <row r="835" spans="1:15" ht="15" x14ac:dyDescent="0.25">
      <c r="A835" s="320">
        <v>955906</v>
      </c>
      <c r="B835" s="319" t="s">
        <v>887</v>
      </c>
      <c r="C835" s="331">
        <v>9</v>
      </c>
      <c r="D835" s="331">
        <v>17</v>
      </c>
      <c r="E835" s="331">
        <v>26</v>
      </c>
      <c r="F835" s="331">
        <v>834706</v>
      </c>
      <c r="G835" s="331">
        <v>1734348</v>
      </c>
      <c r="H835" s="331">
        <v>2569054</v>
      </c>
      <c r="I835" s="331">
        <v>-443842</v>
      </c>
      <c r="J835" s="319" t="s">
        <v>1044</v>
      </c>
      <c r="K835" s="319" t="s">
        <v>772</v>
      </c>
      <c r="L835" s="319" t="s">
        <v>886</v>
      </c>
      <c r="M835" s="319" t="s">
        <v>154</v>
      </c>
      <c r="N835" s="2"/>
      <c r="O835" s="4"/>
    </row>
    <row r="836" spans="1:15" ht="15" x14ac:dyDescent="0.25">
      <c r="A836" s="320">
        <v>369876</v>
      </c>
      <c r="B836" s="319" t="s">
        <v>858</v>
      </c>
      <c r="C836" s="331">
        <v>10</v>
      </c>
      <c r="D836" s="331">
        <v>16</v>
      </c>
      <c r="E836" s="331">
        <v>26</v>
      </c>
      <c r="F836" s="331">
        <v>417065</v>
      </c>
      <c r="G836" s="331">
        <v>752066</v>
      </c>
      <c r="H836" s="331">
        <v>1169131</v>
      </c>
      <c r="I836" s="331">
        <v>-186940</v>
      </c>
      <c r="J836" s="319" t="s">
        <v>1049</v>
      </c>
      <c r="K836" s="319" t="s">
        <v>771</v>
      </c>
      <c r="L836" s="319" t="s">
        <v>777</v>
      </c>
      <c r="M836" s="319" t="s">
        <v>68</v>
      </c>
      <c r="N836" s="2"/>
      <c r="O836" s="4"/>
    </row>
    <row r="837" spans="1:15" ht="15" x14ac:dyDescent="0.25">
      <c r="A837" s="320">
        <v>925503</v>
      </c>
      <c r="B837" s="319" t="s">
        <v>1010</v>
      </c>
      <c r="C837" s="331">
        <v>8</v>
      </c>
      <c r="D837" s="331">
        <v>17</v>
      </c>
      <c r="E837" s="331">
        <v>25</v>
      </c>
      <c r="F837" s="331">
        <v>520302</v>
      </c>
      <c r="G837" s="331">
        <v>2544486</v>
      </c>
      <c r="H837" s="331">
        <v>3064788</v>
      </c>
      <c r="I837" s="331">
        <v>473983</v>
      </c>
      <c r="J837" s="319" t="s">
        <v>1024</v>
      </c>
      <c r="K837" s="319" t="s">
        <v>768</v>
      </c>
      <c r="L837" s="319" t="s">
        <v>807</v>
      </c>
      <c r="M837" s="319" t="s">
        <v>68</v>
      </c>
      <c r="N837" s="2"/>
      <c r="O837" s="4"/>
    </row>
    <row r="838" spans="1:15" ht="15" x14ac:dyDescent="0.25">
      <c r="A838" s="320">
        <v>351049</v>
      </c>
      <c r="B838" s="319" t="s">
        <v>878</v>
      </c>
      <c r="C838" s="331">
        <v>5</v>
      </c>
      <c r="D838" s="331">
        <v>20</v>
      </c>
      <c r="E838" s="331">
        <v>25</v>
      </c>
      <c r="F838" s="331">
        <v>362651</v>
      </c>
      <c r="G838" s="331">
        <v>1717485</v>
      </c>
      <c r="H838" s="331">
        <v>2080136</v>
      </c>
      <c r="I838" s="331">
        <v>122943</v>
      </c>
      <c r="J838" s="319" t="s">
        <v>219</v>
      </c>
      <c r="K838" s="319" t="s">
        <v>771</v>
      </c>
      <c r="L838" s="319" t="s">
        <v>879</v>
      </c>
      <c r="M838" s="319" t="s">
        <v>68</v>
      </c>
      <c r="N838" s="2"/>
      <c r="O838" s="4"/>
    </row>
    <row r="839" spans="1:15" ht="15" x14ac:dyDescent="0.25">
      <c r="A839" s="320">
        <v>969246</v>
      </c>
      <c r="B839" s="319" t="s">
        <v>993</v>
      </c>
      <c r="C839" s="331">
        <v>13</v>
      </c>
      <c r="D839" s="331">
        <v>11</v>
      </c>
      <c r="E839" s="331">
        <v>24</v>
      </c>
      <c r="F839" s="331">
        <v>670972</v>
      </c>
      <c r="G839" s="331">
        <v>204688</v>
      </c>
      <c r="H839" s="331">
        <v>875660</v>
      </c>
      <c r="I839" s="331"/>
      <c r="J839" s="319" t="s">
        <v>1022</v>
      </c>
      <c r="K839" s="319" t="s">
        <v>765</v>
      </c>
      <c r="L839" s="319" t="s">
        <v>173</v>
      </c>
      <c r="M839" s="319" t="s">
        <v>154</v>
      </c>
      <c r="N839" s="2"/>
      <c r="O839" s="4"/>
    </row>
    <row r="840" spans="1:15" ht="15" customHeight="1" x14ac:dyDescent="0.25">
      <c r="A840" s="320">
        <v>921908</v>
      </c>
      <c r="B840" s="319" t="s">
        <v>821</v>
      </c>
      <c r="C840" s="331">
        <v>11</v>
      </c>
      <c r="D840" s="331">
        <v>13</v>
      </c>
      <c r="E840" s="331">
        <v>24</v>
      </c>
      <c r="F840" s="331">
        <v>706132</v>
      </c>
      <c r="G840" s="331">
        <v>1080482</v>
      </c>
      <c r="H840" s="331">
        <v>1786614</v>
      </c>
      <c r="I840" s="331">
        <v>-258602</v>
      </c>
      <c r="J840" s="319" t="s">
        <v>1038</v>
      </c>
      <c r="K840" s="319" t="s">
        <v>772</v>
      </c>
      <c r="L840" s="319" t="s">
        <v>176</v>
      </c>
      <c r="M840" s="319" t="s">
        <v>68</v>
      </c>
      <c r="N840" s="2"/>
      <c r="O840" s="4"/>
    </row>
    <row r="841" spans="1:15" ht="15" x14ac:dyDescent="0.25">
      <c r="A841" s="320">
        <v>724633</v>
      </c>
      <c r="B841" s="319" t="s">
        <v>632</v>
      </c>
      <c r="C841" s="331">
        <v>11</v>
      </c>
      <c r="D841" s="331">
        <v>13</v>
      </c>
      <c r="E841" s="331">
        <v>24</v>
      </c>
      <c r="F841" s="331">
        <v>355637</v>
      </c>
      <c r="G841" s="331">
        <v>689874</v>
      </c>
      <c r="H841" s="331">
        <v>1045511</v>
      </c>
      <c r="I841" s="331">
        <v>35728</v>
      </c>
      <c r="J841" s="319" t="s">
        <v>215</v>
      </c>
      <c r="K841" s="319" t="s">
        <v>771</v>
      </c>
      <c r="L841" s="319" t="s">
        <v>629</v>
      </c>
      <c r="M841" s="319" t="s">
        <v>68</v>
      </c>
      <c r="N841" s="2"/>
      <c r="O841" s="4"/>
    </row>
    <row r="842" spans="1:15" ht="15" x14ac:dyDescent="0.25">
      <c r="A842" s="320">
        <v>106906</v>
      </c>
      <c r="B842" s="319" t="s">
        <v>915</v>
      </c>
      <c r="C842" s="331">
        <v>8</v>
      </c>
      <c r="D842" s="331">
        <v>16</v>
      </c>
      <c r="E842" s="331">
        <v>24</v>
      </c>
      <c r="F842" s="331">
        <v>343775</v>
      </c>
      <c r="G842" s="331">
        <v>858106</v>
      </c>
      <c r="H842" s="331">
        <v>1201881</v>
      </c>
      <c r="I842" s="331">
        <v>-61429</v>
      </c>
      <c r="J842" s="319" t="s">
        <v>1034</v>
      </c>
      <c r="K842" s="319" t="s">
        <v>772</v>
      </c>
      <c r="L842" s="319" t="s">
        <v>916</v>
      </c>
      <c r="M842" s="319" t="s">
        <v>68</v>
      </c>
      <c r="N842" s="2"/>
      <c r="O842" s="4"/>
    </row>
    <row r="843" spans="1:15" ht="15" customHeight="1" x14ac:dyDescent="0.25">
      <c r="A843" s="320">
        <v>809699</v>
      </c>
      <c r="B843" s="319" t="s">
        <v>927</v>
      </c>
      <c r="C843" s="331">
        <v>6</v>
      </c>
      <c r="D843" s="331">
        <v>17</v>
      </c>
      <c r="E843" s="331">
        <v>23</v>
      </c>
      <c r="F843" s="331">
        <v>222405</v>
      </c>
      <c r="G843" s="331">
        <v>1168375</v>
      </c>
      <c r="H843" s="331">
        <v>1390780</v>
      </c>
      <c r="I843" s="331">
        <v>65296</v>
      </c>
      <c r="J843" s="319" t="s">
        <v>1024</v>
      </c>
      <c r="K843" s="319" t="s">
        <v>768</v>
      </c>
      <c r="L843" s="319" t="s">
        <v>773</v>
      </c>
      <c r="M843" s="319" t="s">
        <v>68</v>
      </c>
      <c r="N843" s="2"/>
      <c r="O843" s="4"/>
    </row>
    <row r="844" spans="1:15" ht="15" x14ac:dyDescent="0.25">
      <c r="A844" s="320">
        <v>303644</v>
      </c>
      <c r="B844" s="319" t="s">
        <v>1014</v>
      </c>
      <c r="C844" s="331">
        <v>10</v>
      </c>
      <c r="D844" s="331">
        <v>13</v>
      </c>
      <c r="E844" s="331">
        <v>23</v>
      </c>
      <c r="F844" s="331">
        <v>342767</v>
      </c>
      <c r="G844" s="331">
        <v>531863</v>
      </c>
      <c r="H844" s="331">
        <v>874630</v>
      </c>
      <c r="I844" s="331">
        <v>33594</v>
      </c>
      <c r="J844" s="319" t="s">
        <v>1046</v>
      </c>
      <c r="K844" s="319" t="s">
        <v>771</v>
      </c>
      <c r="L844" s="319" t="s">
        <v>604</v>
      </c>
      <c r="M844" s="319" t="s">
        <v>68</v>
      </c>
      <c r="N844" s="2"/>
      <c r="O844" s="4"/>
    </row>
    <row r="845" spans="1:15" ht="15" x14ac:dyDescent="0.25">
      <c r="A845" s="320">
        <v>256305</v>
      </c>
      <c r="B845" s="319" t="s">
        <v>1153</v>
      </c>
      <c r="C845" s="331">
        <v>9</v>
      </c>
      <c r="D845" s="331">
        <v>12</v>
      </c>
      <c r="E845" s="331">
        <v>21</v>
      </c>
      <c r="F845" s="331">
        <v>691225</v>
      </c>
      <c r="G845" s="331">
        <v>1048985</v>
      </c>
      <c r="H845" s="331">
        <v>1740210</v>
      </c>
      <c r="I845" s="331"/>
      <c r="J845" s="319" t="s">
        <v>181</v>
      </c>
      <c r="K845" s="319" t="s">
        <v>771</v>
      </c>
      <c r="L845" s="319" t="s">
        <v>1071</v>
      </c>
      <c r="M845" s="319" t="s">
        <v>68</v>
      </c>
      <c r="N845" s="2"/>
      <c r="O845" s="4"/>
    </row>
    <row r="846" spans="1:15" ht="15" x14ac:dyDescent="0.25">
      <c r="A846" s="320">
        <v>887901</v>
      </c>
      <c r="B846" s="319" t="s">
        <v>780</v>
      </c>
      <c r="C846" s="331">
        <v>8</v>
      </c>
      <c r="D846" s="331">
        <v>12</v>
      </c>
      <c r="E846" s="331">
        <v>20</v>
      </c>
      <c r="F846" s="331">
        <v>257237</v>
      </c>
      <c r="G846" s="331">
        <v>456175</v>
      </c>
      <c r="H846" s="331">
        <v>713411</v>
      </c>
      <c r="I846" s="331">
        <v>-20070</v>
      </c>
      <c r="J846" s="319" t="s">
        <v>1049</v>
      </c>
      <c r="K846" s="319" t="s">
        <v>771</v>
      </c>
      <c r="L846" s="319" t="s">
        <v>777</v>
      </c>
      <c r="M846" s="319" t="s">
        <v>68</v>
      </c>
      <c r="N846" s="2"/>
      <c r="O846" s="4"/>
    </row>
    <row r="847" spans="1:15" ht="15" x14ac:dyDescent="0.25">
      <c r="A847" s="320">
        <v>852079</v>
      </c>
      <c r="B847" s="319" t="s">
        <v>776</v>
      </c>
      <c r="C847" s="331">
        <v>7</v>
      </c>
      <c r="D847" s="331">
        <v>13</v>
      </c>
      <c r="E847" s="331">
        <v>20</v>
      </c>
      <c r="F847" s="331">
        <v>422196</v>
      </c>
      <c r="G847" s="331">
        <v>667652</v>
      </c>
      <c r="H847" s="331">
        <v>1089847</v>
      </c>
      <c r="I847" s="331">
        <v>-2748</v>
      </c>
      <c r="J847" s="319" t="s">
        <v>1049</v>
      </c>
      <c r="K847" s="319" t="s">
        <v>771</v>
      </c>
      <c r="L847" s="319" t="s">
        <v>777</v>
      </c>
      <c r="M847" s="319" t="s">
        <v>68</v>
      </c>
      <c r="N847" s="2"/>
      <c r="O847" s="4"/>
    </row>
    <row r="848" spans="1:15" ht="15" x14ac:dyDescent="0.25">
      <c r="A848" s="320">
        <v>816249</v>
      </c>
      <c r="B848" s="319" t="s">
        <v>797</v>
      </c>
      <c r="C848" s="331">
        <v>4</v>
      </c>
      <c r="D848" s="331">
        <v>14</v>
      </c>
      <c r="E848" s="331">
        <v>18</v>
      </c>
      <c r="F848" s="331">
        <v>220965</v>
      </c>
      <c r="G848" s="331">
        <v>580455</v>
      </c>
      <c r="H848" s="331">
        <v>801420</v>
      </c>
      <c r="I848" s="331">
        <v>-338373</v>
      </c>
      <c r="J848" s="319" t="s">
        <v>1049</v>
      </c>
      <c r="K848" s="319" t="s">
        <v>771</v>
      </c>
      <c r="L848" s="319" t="s">
        <v>777</v>
      </c>
      <c r="M848" s="319" t="s">
        <v>68</v>
      </c>
      <c r="N848" s="2"/>
      <c r="O848" s="4"/>
    </row>
    <row r="849" spans="1:15" ht="15" x14ac:dyDescent="0.25">
      <c r="A849" s="320">
        <v>733014</v>
      </c>
      <c r="B849" s="319" t="s">
        <v>937</v>
      </c>
      <c r="C849" s="331">
        <v>5</v>
      </c>
      <c r="D849" s="331">
        <v>13</v>
      </c>
      <c r="E849" s="331">
        <v>18</v>
      </c>
      <c r="F849" s="331">
        <v>148172</v>
      </c>
      <c r="G849" s="331">
        <v>683701</v>
      </c>
      <c r="H849" s="331">
        <v>831873</v>
      </c>
      <c r="I849" s="331">
        <v>-39516</v>
      </c>
      <c r="J849" s="319" t="s">
        <v>1024</v>
      </c>
      <c r="K849" s="319" t="s">
        <v>768</v>
      </c>
      <c r="L849" s="319" t="s">
        <v>826</v>
      </c>
      <c r="M849" s="319" t="s">
        <v>154</v>
      </c>
      <c r="N849" s="2"/>
      <c r="O849" s="4"/>
    </row>
    <row r="850" spans="1:15" ht="15" x14ac:dyDescent="0.25">
      <c r="A850" s="320">
        <v>239301</v>
      </c>
      <c r="B850" s="319" t="s">
        <v>876</v>
      </c>
      <c r="C850" s="331">
        <v>8</v>
      </c>
      <c r="D850" s="331">
        <v>10</v>
      </c>
      <c r="E850" s="331">
        <v>18</v>
      </c>
      <c r="F850" s="331">
        <v>545235</v>
      </c>
      <c r="G850" s="331">
        <v>708497</v>
      </c>
      <c r="H850" s="331">
        <v>1253732</v>
      </c>
      <c r="I850" s="331"/>
      <c r="J850" s="319" t="s">
        <v>1035</v>
      </c>
      <c r="K850" s="319" t="s">
        <v>768</v>
      </c>
      <c r="L850" s="319" t="s">
        <v>323</v>
      </c>
      <c r="M850" s="319" t="s">
        <v>68</v>
      </c>
      <c r="N850" s="2"/>
      <c r="O850" s="4"/>
    </row>
    <row r="851" spans="1:15" ht="15" x14ac:dyDescent="0.25">
      <c r="A851" s="320">
        <v>759100</v>
      </c>
      <c r="B851" s="319" t="s">
        <v>1120</v>
      </c>
      <c r="C851" s="331">
        <v>7</v>
      </c>
      <c r="D851" s="331">
        <v>8</v>
      </c>
      <c r="E851" s="331">
        <v>15</v>
      </c>
      <c r="F851" s="331">
        <v>215705</v>
      </c>
      <c r="G851" s="331">
        <v>358185</v>
      </c>
      <c r="H851" s="331">
        <v>573891</v>
      </c>
      <c r="I851" s="331">
        <v>225693</v>
      </c>
      <c r="J851" s="319" t="s">
        <v>318</v>
      </c>
      <c r="K851" s="319" t="s">
        <v>771</v>
      </c>
      <c r="L851" s="319" t="s">
        <v>455</v>
      </c>
      <c r="M851" s="319" t="s">
        <v>68</v>
      </c>
      <c r="N851" s="2"/>
      <c r="O851" s="4"/>
    </row>
    <row r="852" spans="1:15" ht="15" x14ac:dyDescent="0.25">
      <c r="A852" s="320">
        <v>191908</v>
      </c>
      <c r="B852" s="319" t="s">
        <v>1050</v>
      </c>
      <c r="C852" s="331">
        <v>3</v>
      </c>
      <c r="D852" s="331">
        <v>12</v>
      </c>
      <c r="E852" s="331">
        <v>15</v>
      </c>
      <c r="F852" s="331">
        <v>197817</v>
      </c>
      <c r="G852" s="331">
        <v>900685</v>
      </c>
      <c r="H852" s="331">
        <v>1098502</v>
      </c>
      <c r="I852" s="331">
        <v>2778</v>
      </c>
      <c r="J852" s="319" t="s">
        <v>1043</v>
      </c>
      <c r="K852" s="319" t="s">
        <v>772</v>
      </c>
      <c r="L852" s="319" t="s">
        <v>542</v>
      </c>
      <c r="M852" s="319" t="s">
        <v>68</v>
      </c>
      <c r="N852" s="2"/>
      <c r="O852" s="4"/>
    </row>
    <row r="853" spans="1:15" ht="15" x14ac:dyDescent="0.25">
      <c r="A853" s="320">
        <v>140434</v>
      </c>
      <c r="B853" s="319" t="s">
        <v>933</v>
      </c>
      <c r="C853" s="331">
        <v>3</v>
      </c>
      <c r="D853" s="331">
        <v>12</v>
      </c>
      <c r="E853" s="331">
        <v>15</v>
      </c>
      <c r="F853" s="331">
        <v>171043</v>
      </c>
      <c r="G853" s="331">
        <v>358397</v>
      </c>
      <c r="H853" s="331">
        <v>529440</v>
      </c>
      <c r="I853" s="331">
        <v>-26798</v>
      </c>
      <c r="J853" s="319" t="s">
        <v>1034</v>
      </c>
      <c r="K853" s="319" t="s">
        <v>772</v>
      </c>
      <c r="L853" s="319" t="s">
        <v>773</v>
      </c>
      <c r="M853" s="319" t="s">
        <v>68</v>
      </c>
      <c r="N853" s="2"/>
      <c r="O853" s="4"/>
    </row>
    <row r="854" spans="1:15" ht="15" x14ac:dyDescent="0.25">
      <c r="A854" s="320">
        <v>286708</v>
      </c>
      <c r="B854" s="319" t="s">
        <v>753</v>
      </c>
      <c r="C854" s="331">
        <v>5</v>
      </c>
      <c r="D854" s="331">
        <v>9</v>
      </c>
      <c r="E854" s="331">
        <v>14</v>
      </c>
      <c r="F854" s="331">
        <v>152406</v>
      </c>
      <c r="G854" s="331">
        <v>261475</v>
      </c>
      <c r="H854" s="331">
        <v>413881</v>
      </c>
      <c r="I854" s="331">
        <v>-87306</v>
      </c>
      <c r="J854" s="319" t="s">
        <v>289</v>
      </c>
      <c r="K854" s="319" t="s">
        <v>771</v>
      </c>
      <c r="L854" s="319" t="s">
        <v>744</v>
      </c>
      <c r="M854" s="319" t="s">
        <v>68</v>
      </c>
      <c r="N854" s="2"/>
      <c r="O854" s="4"/>
    </row>
    <row r="855" spans="1:15" ht="15" x14ac:dyDescent="0.25">
      <c r="A855" s="320">
        <v>850248</v>
      </c>
      <c r="B855" s="319" t="s">
        <v>862</v>
      </c>
      <c r="C855" s="331">
        <v>2</v>
      </c>
      <c r="D855" s="331">
        <v>11</v>
      </c>
      <c r="E855" s="331">
        <v>13</v>
      </c>
      <c r="F855" s="331">
        <v>94099</v>
      </c>
      <c r="G855" s="331">
        <v>899254</v>
      </c>
      <c r="H855" s="331">
        <v>993353</v>
      </c>
      <c r="I855" s="331">
        <v>317700</v>
      </c>
      <c r="J855" s="319" t="s">
        <v>219</v>
      </c>
      <c r="K855" s="319" t="s">
        <v>771</v>
      </c>
      <c r="L855" s="319" t="s">
        <v>1071</v>
      </c>
      <c r="M855" s="319" t="s">
        <v>68</v>
      </c>
      <c r="N855" s="2"/>
      <c r="O855" s="4"/>
    </row>
    <row r="856" spans="1:15" ht="15" x14ac:dyDescent="0.25">
      <c r="A856" s="320">
        <v>683847</v>
      </c>
      <c r="B856" s="319" t="s">
        <v>898</v>
      </c>
      <c r="C856" s="331">
        <v>6</v>
      </c>
      <c r="D856" s="331">
        <v>7</v>
      </c>
      <c r="E856" s="331">
        <v>13</v>
      </c>
      <c r="F856" s="331">
        <v>219478</v>
      </c>
      <c r="G856" s="331">
        <v>870815</v>
      </c>
      <c r="H856" s="331">
        <v>1090292</v>
      </c>
      <c r="I856" s="331">
        <v>-32222</v>
      </c>
      <c r="J856" s="319" t="s">
        <v>1041</v>
      </c>
      <c r="K856" s="319" t="s">
        <v>768</v>
      </c>
      <c r="L856" s="319" t="s">
        <v>807</v>
      </c>
      <c r="M856" s="319" t="s">
        <v>68</v>
      </c>
      <c r="N856" s="2"/>
      <c r="O856" s="4"/>
    </row>
    <row r="857" spans="1:15" ht="15" x14ac:dyDescent="0.25">
      <c r="A857" s="320">
        <v>456764</v>
      </c>
      <c r="B857" s="319" t="s">
        <v>752</v>
      </c>
      <c r="C857" s="331">
        <v>3</v>
      </c>
      <c r="D857" s="331">
        <v>10</v>
      </c>
      <c r="E857" s="331">
        <v>13</v>
      </c>
      <c r="F857" s="331">
        <v>180581</v>
      </c>
      <c r="G857" s="331">
        <v>552142</v>
      </c>
      <c r="H857" s="331">
        <v>732723</v>
      </c>
      <c r="I857" s="331">
        <v>89503</v>
      </c>
      <c r="J857" s="319" t="s">
        <v>1033</v>
      </c>
      <c r="K857" s="319" t="s">
        <v>772</v>
      </c>
      <c r="L857" s="319" t="s">
        <v>744</v>
      </c>
      <c r="M857" s="319" t="s">
        <v>68</v>
      </c>
      <c r="N857" s="2"/>
      <c r="O857" s="4"/>
    </row>
    <row r="858" spans="1:15" ht="15" x14ac:dyDescent="0.25">
      <c r="A858" s="320">
        <v>375303</v>
      </c>
      <c r="B858" s="319" t="s">
        <v>1013</v>
      </c>
      <c r="C858" s="331">
        <v>4</v>
      </c>
      <c r="D858" s="331">
        <v>9</v>
      </c>
      <c r="E858" s="331">
        <v>13</v>
      </c>
      <c r="F858" s="331">
        <v>116808</v>
      </c>
      <c r="G858" s="331">
        <v>823279</v>
      </c>
      <c r="H858" s="331">
        <v>940087</v>
      </c>
      <c r="I858" s="331">
        <v>-193228</v>
      </c>
      <c r="J858" s="319" t="s">
        <v>1024</v>
      </c>
      <c r="K858" s="319" t="s">
        <v>768</v>
      </c>
      <c r="L858" s="319" t="s">
        <v>604</v>
      </c>
      <c r="M858" s="319" t="s">
        <v>68</v>
      </c>
      <c r="N858" s="2"/>
      <c r="O858" s="4"/>
    </row>
    <row r="859" spans="1:15" ht="15" x14ac:dyDescent="0.25">
      <c r="A859" s="320">
        <v>167643</v>
      </c>
      <c r="B859" s="319" t="s">
        <v>902</v>
      </c>
      <c r="C859" s="331">
        <v>3</v>
      </c>
      <c r="D859" s="331">
        <v>10</v>
      </c>
      <c r="E859" s="331">
        <v>13</v>
      </c>
      <c r="F859" s="331">
        <v>130307</v>
      </c>
      <c r="G859" s="331">
        <v>468612</v>
      </c>
      <c r="H859" s="331">
        <v>598918</v>
      </c>
      <c r="I859" s="331">
        <v>-49997</v>
      </c>
      <c r="J859" s="319" t="s">
        <v>181</v>
      </c>
      <c r="K859" s="319" t="s">
        <v>771</v>
      </c>
      <c r="L859" s="319" t="s">
        <v>908</v>
      </c>
      <c r="M859" s="319" t="s">
        <v>68</v>
      </c>
      <c r="N859" s="4"/>
      <c r="O859" s="4"/>
    </row>
    <row r="860" spans="1:15" ht="15" x14ac:dyDescent="0.25">
      <c r="A860" s="320">
        <v>523050</v>
      </c>
      <c r="B860" s="319" t="s">
        <v>1067</v>
      </c>
      <c r="C860" s="331">
        <v>5</v>
      </c>
      <c r="D860" s="331">
        <v>6</v>
      </c>
      <c r="E860" s="331">
        <v>11</v>
      </c>
      <c r="F860" s="331">
        <v>136880</v>
      </c>
      <c r="G860" s="331">
        <v>381985</v>
      </c>
      <c r="H860" s="331">
        <v>518865</v>
      </c>
      <c r="I860" s="331"/>
      <c r="J860" s="319" t="s">
        <v>181</v>
      </c>
      <c r="K860" s="319" t="s">
        <v>771</v>
      </c>
      <c r="L860" s="319" t="s">
        <v>773</v>
      </c>
      <c r="M860" s="319" t="s">
        <v>68</v>
      </c>
      <c r="N860" s="4"/>
      <c r="O860" s="4"/>
    </row>
    <row r="861" spans="1:15" ht="15" x14ac:dyDescent="0.25">
      <c r="A861" s="320">
        <v>225904</v>
      </c>
      <c r="B861" s="319" t="s">
        <v>1098</v>
      </c>
      <c r="C861" s="331">
        <v>2</v>
      </c>
      <c r="D861" s="331">
        <v>9</v>
      </c>
      <c r="E861" s="331">
        <v>11</v>
      </c>
      <c r="F861" s="331">
        <v>51830</v>
      </c>
      <c r="G861" s="331">
        <v>486857</v>
      </c>
      <c r="H861" s="331">
        <v>538687</v>
      </c>
      <c r="I861" s="331">
        <v>135492</v>
      </c>
      <c r="J861" s="319" t="s">
        <v>1024</v>
      </c>
      <c r="K861" s="319" t="s">
        <v>768</v>
      </c>
      <c r="L861" s="319" t="s">
        <v>412</v>
      </c>
      <c r="M861" s="319" t="s">
        <v>154</v>
      </c>
      <c r="N861" s="4"/>
      <c r="O861" s="4"/>
    </row>
    <row r="862" spans="1:15" ht="12.75" customHeight="1" x14ac:dyDescent="0.25">
      <c r="A862" s="320">
        <v>306894</v>
      </c>
      <c r="B862" s="319" t="s">
        <v>1084</v>
      </c>
      <c r="C862" s="331">
        <v>5</v>
      </c>
      <c r="D862" s="331">
        <v>4</v>
      </c>
      <c r="E862" s="331">
        <v>9</v>
      </c>
      <c r="F862" s="331">
        <v>114212</v>
      </c>
      <c r="G862" s="331">
        <v>97610</v>
      </c>
      <c r="H862" s="331">
        <v>211821</v>
      </c>
      <c r="I862" s="331"/>
      <c r="J862" s="319" t="s">
        <v>181</v>
      </c>
      <c r="K862" s="319" t="s">
        <v>771</v>
      </c>
      <c r="L862" s="319" t="s">
        <v>379</v>
      </c>
      <c r="M862" s="319" t="s">
        <v>68</v>
      </c>
      <c r="N862" s="4"/>
      <c r="O862" s="4"/>
    </row>
    <row r="863" spans="1:15" ht="12.75" customHeight="1" x14ac:dyDescent="0.25">
      <c r="A863" s="320">
        <v>231985</v>
      </c>
      <c r="B863" s="319" t="s">
        <v>1012</v>
      </c>
      <c r="C863" s="331">
        <v>3</v>
      </c>
      <c r="D863" s="331">
        <v>6</v>
      </c>
      <c r="E863" s="331">
        <v>9</v>
      </c>
      <c r="F863" s="331">
        <v>235012</v>
      </c>
      <c r="G863" s="331">
        <v>429783</v>
      </c>
      <c r="H863" s="331">
        <v>664795</v>
      </c>
      <c r="I863" s="331">
        <v>5199</v>
      </c>
      <c r="J863" s="319" t="s">
        <v>1035</v>
      </c>
      <c r="K863" s="319" t="s">
        <v>768</v>
      </c>
      <c r="L863" s="319" t="s">
        <v>604</v>
      </c>
      <c r="M863" s="319" t="s">
        <v>68</v>
      </c>
      <c r="N863" s="4"/>
      <c r="O863" s="4"/>
    </row>
    <row r="864" spans="1:15" ht="12.75" customHeight="1" x14ac:dyDescent="0.25">
      <c r="A864" s="320">
        <v>573874</v>
      </c>
      <c r="B864" s="319" t="s">
        <v>1110</v>
      </c>
      <c r="C864" s="331">
        <v>2</v>
      </c>
      <c r="D864" s="331">
        <v>6</v>
      </c>
      <c r="E864" s="331">
        <v>8</v>
      </c>
      <c r="F864" s="331">
        <v>35179</v>
      </c>
      <c r="G864" s="331">
        <v>289966</v>
      </c>
      <c r="H864" s="331">
        <v>325144</v>
      </c>
      <c r="I864" s="331">
        <v>60</v>
      </c>
      <c r="J864" s="319" t="s">
        <v>1034</v>
      </c>
      <c r="K864" s="319" t="s">
        <v>772</v>
      </c>
      <c r="L864" s="319" t="s">
        <v>604</v>
      </c>
      <c r="M864" s="319" t="s">
        <v>68</v>
      </c>
      <c r="N864" s="4"/>
      <c r="O864" s="4"/>
    </row>
    <row r="865" spans="1:15" ht="12.75" customHeight="1" x14ac:dyDescent="0.25">
      <c r="A865" s="320">
        <v>528422</v>
      </c>
      <c r="B865" s="319" t="s">
        <v>978</v>
      </c>
      <c r="C865" s="331">
        <v>1</v>
      </c>
      <c r="D865" s="331">
        <v>7</v>
      </c>
      <c r="E865" s="331">
        <v>8</v>
      </c>
      <c r="F865" s="331">
        <v>32831</v>
      </c>
      <c r="G865" s="331">
        <v>439802</v>
      </c>
      <c r="H865" s="331">
        <v>472633</v>
      </c>
      <c r="I865" s="331">
        <v>-47875</v>
      </c>
      <c r="J865" s="319" t="s">
        <v>1033</v>
      </c>
      <c r="K865" s="319" t="s">
        <v>772</v>
      </c>
      <c r="L865" s="319" t="s">
        <v>744</v>
      </c>
      <c r="M865" s="319" t="s">
        <v>68</v>
      </c>
      <c r="N865" s="4"/>
      <c r="O865" s="4"/>
    </row>
    <row r="866" spans="1:15" ht="12.75" customHeight="1" x14ac:dyDescent="0.25">
      <c r="A866" s="320">
        <v>196154</v>
      </c>
      <c r="B866" s="319" t="s">
        <v>1016</v>
      </c>
      <c r="C866" s="331">
        <v>5</v>
      </c>
      <c r="D866" s="331">
        <v>3</v>
      </c>
      <c r="E866" s="331">
        <v>8</v>
      </c>
      <c r="F866" s="331">
        <v>123761</v>
      </c>
      <c r="G866" s="331">
        <v>112083</v>
      </c>
      <c r="H866" s="331">
        <v>235844</v>
      </c>
      <c r="I866" s="331">
        <v>-133271</v>
      </c>
      <c r="J866" s="319" t="s">
        <v>318</v>
      </c>
      <c r="K866" s="319" t="s">
        <v>771</v>
      </c>
      <c r="L866" s="319" t="s">
        <v>604</v>
      </c>
      <c r="M866" s="319" t="s">
        <v>68</v>
      </c>
      <c r="N866" s="4"/>
      <c r="O866" s="4"/>
    </row>
    <row r="867" spans="1:15" ht="12.75" customHeight="1" x14ac:dyDescent="0.25">
      <c r="A867" s="320">
        <v>886077</v>
      </c>
      <c r="B867" s="319" t="s">
        <v>855</v>
      </c>
      <c r="C867" s="331">
        <v>2</v>
      </c>
      <c r="D867" s="331">
        <v>5</v>
      </c>
      <c r="E867" s="331">
        <v>7</v>
      </c>
      <c r="F867" s="331">
        <v>94397</v>
      </c>
      <c r="G867" s="331">
        <v>287754</v>
      </c>
      <c r="H867" s="331">
        <v>382150</v>
      </c>
      <c r="I867" s="331"/>
      <c r="J867" s="319" t="s">
        <v>1033</v>
      </c>
      <c r="K867" s="319" t="s">
        <v>772</v>
      </c>
      <c r="L867" s="319" t="s">
        <v>1071</v>
      </c>
      <c r="M867" s="319" t="s">
        <v>68</v>
      </c>
      <c r="N867" s="4"/>
      <c r="O867" s="4"/>
    </row>
    <row r="868" spans="1:15" ht="12.75" customHeight="1" x14ac:dyDescent="0.25">
      <c r="A868" s="320">
        <v>768846</v>
      </c>
      <c r="B868" s="319" t="s">
        <v>939</v>
      </c>
      <c r="C868" s="331">
        <v>2</v>
      </c>
      <c r="D868" s="331">
        <v>5</v>
      </c>
      <c r="E868" s="331">
        <v>7</v>
      </c>
      <c r="F868" s="331">
        <v>58316</v>
      </c>
      <c r="G868" s="331">
        <v>321025</v>
      </c>
      <c r="H868" s="331">
        <v>379341</v>
      </c>
      <c r="I868" s="331">
        <v>8809</v>
      </c>
      <c r="J868" s="319" t="s">
        <v>1023</v>
      </c>
      <c r="K868" s="319" t="s">
        <v>768</v>
      </c>
      <c r="L868" s="319" t="s">
        <v>826</v>
      </c>
      <c r="M868" s="319" t="s">
        <v>154</v>
      </c>
      <c r="N868" s="4"/>
      <c r="O868" s="4"/>
    </row>
    <row r="869" spans="1:15" ht="12.75" customHeight="1" x14ac:dyDescent="0.25">
      <c r="A869" s="320">
        <v>409300</v>
      </c>
      <c r="B869" s="319" t="s">
        <v>1099</v>
      </c>
      <c r="C869" s="331">
        <v>1</v>
      </c>
      <c r="D869" s="331">
        <v>6</v>
      </c>
      <c r="E869" s="331">
        <v>7</v>
      </c>
      <c r="F869" s="331">
        <v>54225</v>
      </c>
      <c r="G869" s="331">
        <v>471948</v>
      </c>
      <c r="H869" s="331">
        <v>526173</v>
      </c>
      <c r="I869" s="331">
        <v>252010</v>
      </c>
      <c r="J869" s="319" t="s">
        <v>1024</v>
      </c>
      <c r="K869" s="319" t="s">
        <v>768</v>
      </c>
      <c r="L869" s="319" t="s">
        <v>313</v>
      </c>
      <c r="M869" s="319" t="s">
        <v>154</v>
      </c>
      <c r="N869" s="4"/>
      <c r="O869" s="4"/>
    </row>
    <row r="870" spans="1:15" ht="12.75" customHeight="1" x14ac:dyDescent="0.25">
      <c r="A870" s="320">
        <v>814418</v>
      </c>
      <c r="B870" s="319" t="s">
        <v>947</v>
      </c>
      <c r="C870" s="331">
        <v>2</v>
      </c>
      <c r="D870" s="331">
        <v>3</v>
      </c>
      <c r="E870" s="331">
        <v>5</v>
      </c>
      <c r="F870" s="331">
        <v>62045</v>
      </c>
      <c r="G870" s="331">
        <v>74286</v>
      </c>
      <c r="H870" s="331">
        <v>136331</v>
      </c>
      <c r="I870" s="331"/>
      <c r="J870" s="319" t="s">
        <v>1046</v>
      </c>
      <c r="K870" s="319" t="s">
        <v>771</v>
      </c>
      <c r="L870" s="319" t="s">
        <v>1071</v>
      </c>
      <c r="M870" s="319" t="s">
        <v>68</v>
      </c>
      <c r="N870" s="4"/>
      <c r="O870" s="4"/>
    </row>
    <row r="871" spans="1:15" ht="12.75" customHeight="1" x14ac:dyDescent="0.25">
      <c r="A871" s="320">
        <v>356477</v>
      </c>
      <c r="B871" s="319" t="s">
        <v>1090</v>
      </c>
      <c r="C871" s="331">
        <v>2</v>
      </c>
      <c r="D871" s="331">
        <v>3</v>
      </c>
      <c r="E871" s="331">
        <v>5</v>
      </c>
      <c r="F871" s="331">
        <v>161828</v>
      </c>
      <c r="G871" s="331">
        <v>189920</v>
      </c>
      <c r="H871" s="331">
        <v>351748</v>
      </c>
      <c r="I871" s="331">
        <v>-223594</v>
      </c>
      <c r="J871" s="319" t="s">
        <v>1033</v>
      </c>
      <c r="K871" s="319" t="s">
        <v>772</v>
      </c>
      <c r="L871" s="319" t="s">
        <v>237</v>
      </c>
      <c r="M871" s="319" t="s">
        <v>154</v>
      </c>
      <c r="N871" s="4"/>
      <c r="O871" s="4"/>
    </row>
    <row r="872" spans="1:15" ht="12.75" customHeight="1" x14ac:dyDescent="0.25">
      <c r="A872" s="320">
        <v>687442</v>
      </c>
      <c r="B872" s="319" t="s">
        <v>1096</v>
      </c>
      <c r="C872" s="331">
        <v>1</v>
      </c>
      <c r="D872" s="331">
        <v>2</v>
      </c>
      <c r="E872" s="331">
        <v>3</v>
      </c>
      <c r="F872" s="331">
        <v>34250</v>
      </c>
      <c r="G872" s="331">
        <v>175930</v>
      </c>
      <c r="H872" s="331">
        <v>210180</v>
      </c>
      <c r="I872" s="331">
        <v>-187404</v>
      </c>
      <c r="J872" s="319" t="s">
        <v>298</v>
      </c>
      <c r="K872" s="319" t="s">
        <v>771</v>
      </c>
      <c r="L872" s="319" t="s">
        <v>455</v>
      </c>
      <c r="M872" s="319" t="s">
        <v>68</v>
      </c>
      <c r="N872" s="4"/>
      <c r="O872" s="4"/>
    </row>
    <row r="873" spans="1:15" ht="12.75" customHeight="1" x14ac:dyDescent="0.25">
      <c r="A873" s="320">
        <v>651612</v>
      </c>
      <c r="B873" s="319" t="s">
        <v>1097</v>
      </c>
      <c r="C873" s="331">
        <v>0</v>
      </c>
      <c r="D873" s="331">
        <v>3</v>
      </c>
      <c r="E873" s="331">
        <v>3</v>
      </c>
      <c r="F873" s="331">
        <v>0</v>
      </c>
      <c r="G873" s="331">
        <v>281804</v>
      </c>
      <c r="H873" s="331">
        <v>281804</v>
      </c>
      <c r="I873" s="331"/>
      <c r="J873" s="319" t="s">
        <v>1047</v>
      </c>
      <c r="K873" s="319" t="s">
        <v>771</v>
      </c>
      <c r="L873" s="319" t="s">
        <v>455</v>
      </c>
      <c r="M873" s="319" t="s">
        <v>68</v>
      </c>
      <c r="N873" s="4"/>
      <c r="O873" s="4"/>
    </row>
    <row r="874" spans="1:15" ht="12.75" customHeight="1" x14ac:dyDescent="0.25">
      <c r="A874" s="320">
        <v>103309</v>
      </c>
      <c r="B874" s="319" t="s">
        <v>860</v>
      </c>
      <c r="C874" s="331">
        <v>2</v>
      </c>
      <c r="D874" s="331">
        <v>1</v>
      </c>
      <c r="E874" s="331">
        <v>3</v>
      </c>
      <c r="F874" s="331">
        <v>108913</v>
      </c>
      <c r="G874" s="331">
        <v>27199</v>
      </c>
      <c r="H874" s="331">
        <v>136112</v>
      </c>
      <c r="I874" s="331">
        <v>-57946</v>
      </c>
      <c r="J874" s="319" t="s">
        <v>215</v>
      </c>
      <c r="K874" s="319" t="s">
        <v>771</v>
      </c>
      <c r="L874" s="319" t="s">
        <v>749</v>
      </c>
      <c r="M874" s="319" t="s">
        <v>68</v>
      </c>
      <c r="N874" s="4"/>
      <c r="O874" s="4"/>
    </row>
    <row r="875" spans="1:15" ht="12.75" customHeight="1" x14ac:dyDescent="0.25">
      <c r="A875" s="320">
        <v>443309</v>
      </c>
      <c r="B875" s="319" t="s">
        <v>1161</v>
      </c>
      <c r="C875" s="331">
        <v>0</v>
      </c>
      <c r="D875" s="331">
        <v>2</v>
      </c>
      <c r="E875" s="331">
        <v>2</v>
      </c>
      <c r="F875" s="331">
        <v>0</v>
      </c>
      <c r="G875" s="331">
        <v>404255</v>
      </c>
      <c r="H875" s="331">
        <v>404255</v>
      </c>
      <c r="I875" s="331">
        <v>8387</v>
      </c>
      <c r="J875" s="319" t="s">
        <v>181</v>
      </c>
      <c r="K875" s="319" t="s">
        <v>771</v>
      </c>
      <c r="L875" s="319" t="s">
        <v>660</v>
      </c>
      <c r="M875" s="319" t="s">
        <v>154</v>
      </c>
      <c r="N875" s="4"/>
      <c r="O875" s="4"/>
    </row>
    <row r="876" spans="1:15" ht="12.75" customHeight="1" x14ac:dyDescent="0.25">
      <c r="A876" s="320">
        <v>959502</v>
      </c>
      <c r="B876" s="319" t="s">
        <v>1115</v>
      </c>
      <c r="C876" s="331">
        <v>0</v>
      </c>
      <c r="D876" s="331">
        <v>1</v>
      </c>
      <c r="E876" s="331">
        <v>1</v>
      </c>
      <c r="F876" s="331">
        <v>0</v>
      </c>
      <c r="G876" s="331">
        <v>269670</v>
      </c>
      <c r="H876" s="331">
        <v>269670</v>
      </c>
      <c r="I876" s="331"/>
      <c r="J876" s="319" t="s">
        <v>1024</v>
      </c>
      <c r="K876" s="319" t="s">
        <v>768</v>
      </c>
      <c r="L876" s="319" t="s">
        <v>284</v>
      </c>
      <c r="M876" s="319" t="s">
        <v>154</v>
      </c>
      <c r="N876" s="4"/>
      <c r="O876" s="4"/>
    </row>
    <row r="877" spans="1:15" ht="12.75" customHeight="1" x14ac:dyDescent="0.25">
      <c r="A877" s="320"/>
      <c r="B877" s="319"/>
      <c r="C877" s="331"/>
      <c r="D877" s="331"/>
      <c r="E877" s="331"/>
      <c r="F877" s="331"/>
      <c r="G877" s="331"/>
      <c r="H877" s="331"/>
      <c r="I877" s="331"/>
      <c r="J877" s="319"/>
      <c r="K877" s="319"/>
      <c r="L877" s="319"/>
      <c r="M877" s="319"/>
      <c r="N877" s="4"/>
      <c r="O877" s="4"/>
    </row>
    <row r="878" spans="1:15" ht="12.75" customHeight="1" x14ac:dyDescent="0.25">
      <c r="A878" s="320"/>
      <c r="B878" s="319"/>
      <c r="C878" s="331"/>
      <c r="D878" s="331"/>
      <c r="E878" s="331"/>
      <c r="F878" s="331"/>
      <c r="G878" s="331"/>
      <c r="H878" s="331"/>
      <c r="I878" s="331"/>
      <c r="J878" s="319"/>
      <c r="K878" s="319"/>
      <c r="L878" s="319"/>
      <c r="M878" s="319"/>
      <c r="N878" s="4"/>
      <c r="O878" s="4"/>
    </row>
    <row r="879" spans="1:15" ht="15" x14ac:dyDescent="0.25">
      <c r="A879" s="320"/>
      <c r="B879" s="264"/>
      <c r="C879" s="299"/>
      <c r="D879" s="299"/>
      <c r="E879" s="299"/>
      <c r="F879" s="299"/>
      <c r="G879" s="299"/>
      <c r="H879" s="299"/>
      <c r="I879" s="299"/>
      <c r="J879" s="264"/>
      <c r="K879" s="264"/>
      <c r="L879" s="264"/>
      <c r="M879" s="264"/>
      <c r="N879" s="4"/>
      <c r="O879" s="4"/>
    </row>
    <row r="880" spans="1:15" x14ac:dyDescent="0.2">
      <c r="A880" s="255"/>
      <c r="B880" s="264"/>
      <c r="C880" s="299"/>
      <c r="D880" s="299"/>
      <c r="E880" s="299"/>
      <c r="F880" s="299"/>
      <c r="G880" s="299"/>
      <c r="H880" s="299"/>
      <c r="I880" s="299"/>
      <c r="J880" s="264"/>
      <c r="K880" s="264"/>
      <c r="L880" s="264"/>
      <c r="M880" s="264"/>
      <c r="N880" s="4"/>
      <c r="O880" s="4"/>
    </row>
    <row r="881" spans="1:15" x14ac:dyDescent="0.2">
      <c r="A881" s="255"/>
      <c r="B881" s="264"/>
      <c r="C881" s="299"/>
      <c r="D881" s="299"/>
      <c r="E881" s="299"/>
      <c r="F881" s="299"/>
      <c r="G881" s="299"/>
      <c r="H881" s="299"/>
      <c r="I881" s="299"/>
      <c r="J881" s="264"/>
      <c r="K881" s="264"/>
      <c r="L881" s="264"/>
      <c r="M881" s="264"/>
      <c r="N881" s="4"/>
      <c r="O881" s="4"/>
    </row>
    <row r="882" spans="1:15" x14ac:dyDescent="0.2">
      <c r="A882" s="255"/>
      <c r="B882" s="264"/>
      <c r="C882" s="299"/>
      <c r="D882" s="299"/>
      <c r="E882" s="299"/>
      <c r="F882" s="299"/>
      <c r="G882" s="299"/>
      <c r="H882" s="299"/>
      <c r="I882" s="299"/>
      <c r="J882" s="264"/>
      <c r="K882" s="264"/>
      <c r="L882" s="264"/>
      <c r="M882" s="264"/>
      <c r="N882" s="4"/>
      <c r="O882" s="4"/>
    </row>
    <row r="883" spans="1:15" x14ac:dyDescent="0.2">
      <c r="A883" s="255"/>
      <c r="B883" s="264"/>
      <c r="C883" s="299"/>
      <c r="D883" s="299"/>
      <c r="E883" s="299"/>
      <c r="F883" s="299"/>
      <c r="G883" s="299"/>
      <c r="H883" s="299"/>
      <c r="I883" s="299"/>
      <c r="J883" s="264"/>
      <c r="K883" s="264"/>
      <c r="L883" s="264"/>
      <c r="M883" s="264"/>
      <c r="N883" s="4"/>
      <c r="O883" s="4"/>
    </row>
    <row r="884" spans="1:15" x14ac:dyDescent="0.2">
      <c r="A884" s="255"/>
      <c r="B884" s="264"/>
      <c r="C884" s="299"/>
      <c r="D884" s="299"/>
      <c r="E884" s="299"/>
      <c r="F884" s="299"/>
      <c r="G884" s="299"/>
      <c r="H884" s="299"/>
      <c r="I884" s="299"/>
      <c r="J884" s="264"/>
      <c r="K884" s="264"/>
      <c r="L884" s="264"/>
      <c r="M884" s="264"/>
      <c r="N884" s="4"/>
      <c r="O884" s="4"/>
    </row>
    <row r="885" spans="1:15" x14ac:dyDescent="0.2">
      <c r="A885" s="255"/>
      <c r="B885" s="264"/>
      <c r="C885" s="299"/>
      <c r="D885" s="299"/>
      <c r="E885" s="299"/>
      <c r="F885" s="299"/>
      <c r="G885" s="299"/>
      <c r="H885" s="299"/>
      <c r="I885" s="299"/>
      <c r="J885" s="264"/>
      <c r="K885" s="264"/>
      <c r="L885" s="264"/>
      <c r="M885" s="264"/>
      <c r="N885" s="4"/>
      <c r="O885" s="4"/>
    </row>
    <row r="886" spans="1:15" x14ac:dyDescent="0.2">
      <c r="A886" s="255"/>
      <c r="B886" s="264"/>
      <c r="C886" s="299"/>
      <c r="D886" s="299"/>
      <c r="E886" s="299"/>
      <c r="F886" s="299"/>
      <c r="G886" s="299"/>
      <c r="H886" s="299"/>
      <c r="I886" s="299"/>
      <c r="J886" s="264"/>
      <c r="K886" s="264"/>
      <c r="L886" s="264"/>
      <c r="M886" s="264"/>
      <c r="N886" s="4"/>
      <c r="O886" s="4"/>
    </row>
    <row r="887" spans="1:15" x14ac:dyDescent="0.2">
      <c r="A887" s="255"/>
      <c r="B887" s="264"/>
      <c r="C887" s="299"/>
      <c r="D887" s="299"/>
      <c r="E887" s="299"/>
      <c r="F887" s="299"/>
      <c r="G887" s="299"/>
      <c r="H887" s="299"/>
      <c r="I887" s="299"/>
      <c r="J887" s="264"/>
      <c r="K887" s="264"/>
      <c r="L887" s="264"/>
      <c r="M887" s="264"/>
      <c r="N887" s="4"/>
      <c r="O887" s="4"/>
    </row>
    <row r="888" spans="1:15" x14ac:dyDescent="0.2">
      <c r="A888" s="255"/>
      <c r="B888" s="264"/>
      <c r="C888" s="299"/>
      <c r="D888" s="299"/>
      <c r="E888" s="299"/>
      <c r="F888" s="299"/>
      <c r="G888" s="299"/>
      <c r="H888" s="299"/>
      <c r="I888" s="299"/>
      <c r="J888" s="264"/>
      <c r="K888" s="264"/>
      <c r="L888" s="264"/>
      <c r="M888" s="264"/>
      <c r="N888" s="4"/>
      <c r="O888" s="4"/>
    </row>
    <row r="889" spans="1:15" x14ac:dyDescent="0.2">
      <c r="A889" s="255"/>
      <c r="B889" s="264"/>
      <c r="C889" s="299"/>
      <c r="D889" s="299"/>
      <c r="E889" s="299"/>
      <c r="F889" s="299"/>
      <c r="G889" s="299"/>
      <c r="H889" s="299"/>
      <c r="I889" s="299"/>
      <c r="J889" s="264"/>
      <c r="K889" s="264"/>
      <c r="L889" s="264"/>
      <c r="M889" s="264"/>
      <c r="N889" s="4"/>
      <c r="O889" s="4"/>
    </row>
    <row r="890" spans="1:15" x14ac:dyDescent="0.2">
      <c r="A890" s="255"/>
      <c r="B890" s="264"/>
      <c r="C890" s="299"/>
      <c r="D890" s="299"/>
      <c r="E890" s="299"/>
      <c r="F890" s="299"/>
      <c r="G890" s="299"/>
      <c r="H890" s="299"/>
      <c r="I890" s="299"/>
      <c r="J890" s="264"/>
      <c r="K890" s="264"/>
      <c r="L890" s="264"/>
      <c r="M890" s="264"/>
      <c r="N890" s="4"/>
      <c r="O890" s="4"/>
    </row>
    <row r="891" spans="1:15" x14ac:dyDescent="0.2">
      <c r="A891" s="255"/>
      <c r="B891" s="264"/>
      <c r="C891" s="299"/>
      <c r="D891" s="299"/>
      <c r="E891" s="299"/>
      <c r="F891" s="299"/>
      <c r="G891" s="299"/>
      <c r="H891" s="299"/>
      <c r="I891" s="299"/>
      <c r="J891" s="264"/>
      <c r="K891" s="264"/>
      <c r="L891" s="264"/>
      <c r="M891" s="264"/>
      <c r="N891" s="4"/>
      <c r="O891" s="4"/>
    </row>
    <row r="892" spans="1:15" x14ac:dyDescent="0.2">
      <c r="A892" s="255"/>
      <c r="B892" s="264"/>
      <c r="C892" s="299"/>
      <c r="D892" s="299"/>
      <c r="E892" s="299"/>
      <c r="F892" s="299"/>
      <c r="G892" s="299"/>
      <c r="H892" s="299"/>
      <c r="I892" s="299"/>
      <c r="J892" s="264"/>
      <c r="K892" s="264"/>
      <c r="L892" s="264"/>
      <c r="M892" s="264"/>
      <c r="N892" s="4"/>
      <c r="O892" s="4"/>
    </row>
    <row r="893" spans="1:15" x14ac:dyDescent="0.2">
      <c r="A893" s="255"/>
      <c r="B893" s="264"/>
      <c r="C893" s="299"/>
      <c r="D893" s="299"/>
      <c r="E893" s="299"/>
      <c r="F893" s="299"/>
      <c r="G893" s="299"/>
      <c r="H893" s="299"/>
      <c r="I893" s="299"/>
      <c r="J893" s="264"/>
      <c r="K893" s="264"/>
      <c r="L893" s="264"/>
      <c r="M893" s="264"/>
      <c r="N893" s="4"/>
      <c r="O893" s="4"/>
    </row>
    <row r="894" spans="1:15" x14ac:dyDescent="0.2">
      <c r="A894" s="255"/>
      <c r="B894" s="264"/>
      <c r="C894" s="299"/>
      <c r="D894" s="299"/>
      <c r="E894" s="299"/>
      <c r="F894" s="299"/>
      <c r="G894" s="299"/>
      <c r="H894" s="299"/>
      <c r="I894" s="299"/>
      <c r="J894" s="264"/>
      <c r="K894" s="264"/>
      <c r="L894" s="264"/>
      <c r="M894" s="264"/>
      <c r="N894" s="4"/>
      <c r="O894" s="4"/>
    </row>
    <row r="895" spans="1:15" x14ac:dyDescent="0.2">
      <c r="A895" s="255"/>
      <c r="B895" s="264"/>
      <c r="C895" s="299"/>
      <c r="D895" s="299"/>
      <c r="E895" s="299"/>
      <c r="F895" s="299"/>
      <c r="G895" s="299"/>
      <c r="H895" s="299"/>
      <c r="I895" s="299"/>
      <c r="J895" s="264"/>
      <c r="K895" s="264"/>
      <c r="L895" s="264"/>
      <c r="M895" s="264"/>
      <c r="N895" s="4"/>
      <c r="O895" s="4"/>
    </row>
    <row r="896" spans="1:15" x14ac:dyDescent="0.2">
      <c r="A896" s="255"/>
      <c r="B896" s="264"/>
      <c r="C896" s="299"/>
      <c r="D896" s="299"/>
      <c r="E896" s="299"/>
      <c r="F896" s="299"/>
      <c r="G896" s="299"/>
      <c r="H896" s="299"/>
      <c r="I896" s="299"/>
      <c r="J896" s="264"/>
      <c r="K896" s="264"/>
      <c r="L896" s="264"/>
      <c r="M896" s="264"/>
      <c r="N896" s="4"/>
      <c r="O896" s="4"/>
    </row>
    <row r="897" spans="1:16" x14ac:dyDescent="0.2">
      <c r="A897" s="255"/>
      <c r="B897" s="264"/>
      <c r="C897" s="299"/>
      <c r="D897" s="299"/>
      <c r="E897" s="299"/>
      <c r="F897" s="299"/>
      <c r="G897" s="299"/>
      <c r="H897" s="299"/>
      <c r="I897" s="299"/>
      <c r="J897" s="264"/>
      <c r="K897" s="264"/>
      <c r="L897" s="264"/>
      <c r="M897" s="264"/>
      <c r="N897" s="4"/>
      <c r="O897" s="4"/>
    </row>
    <row r="898" spans="1:16" x14ac:dyDescent="0.2">
      <c r="A898" s="255"/>
      <c r="B898" s="264"/>
      <c r="C898" s="299"/>
      <c r="D898" s="299"/>
      <c r="E898" s="299"/>
      <c r="F898" s="299"/>
      <c r="G898" s="299"/>
      <c r="H898" s="299"/>
      <c r="I898" s="299"/>
      <c r="J898" s="264"/>
      <c r="K898" s="264"/>
      <c r="L898" s="264"/>
      <c r="M898" s="264"/>
      <c r="N898" s="4"/>
      <c r="O898" s="4"/>
    </row>
    <row r="899" spans="1:16" x14ac:dyDescent="0.2">
      <c r="A899" s="256"/>
      <c r="B899" s="263"/>
      <c r="C899" s="300"/>
      <c r="D899" s="300"/>
      <c r="E899" s="300"/>
      <c r="F899" s="300"/>
      <c r="G899" s="300"/>
      <c r="H899" s="300"/>
      <c r="I899" s="300"/>
      <c r="J899" s="263"/>
      <c r="K899" s="276"/>
      <c r="L899" s="266"/>
      <c r="M899" s="263"/>
      <c r="N899" s="4"/>
      <c r="O899" s="4"/>
    </row>
    <row r="900" spans="1:16" x14ac:dyDescent="0.2">
      <c r="A900" s="256"/>
      <c r="B900" s="265"/>
      <c r="C900" s="301"/>
      <c r="D900" s="301"/>
      <c r="E900" s="302"/>
      <c r="F900" s="301"/>
      <c r="G900" s="301"/>
      <c r="H900" s="301"/>
      <c r="I900" s="301"/>
      <c r="J900" s="265"/>
      <c r="K900" s="266"/>
      <c r="L900" s="266"/>
      <c r="M900" s="267"/>
      <c r="N900" s="6"/>
      <c r="O900" s="8"/>
      <c r="P900" s="6"/>
    </row>
    <row r="901" spans="1:16" x14ac:dyDescent="0.2">
      <c r="A901" s="256"/>
      <c r="B901" s="265"/>
      <c r="C901" s="301"/>
      <c r="D901" s="301"/>
      <c r="E901" s="302"/>
      <c r="F901" s="301"/>
      <c r="G901" s="301"/>
      <c r="H901" s="301"/>
      <c r="I901" s="301"/>
      <c r="J901" s="265"/>
      <c r="K901" s="266"/>
      <c r="L901" s="266"/>
      <c r="M901" s="267"/>
      <c r="N901" s="6"/>
      <c r="O901" s="8"/>
      <c r="P901" s="6"/>
    </row>
    <row r="902" spans="1:16" x14ac:dyDescent="0.2">
      <c r="A902" s="256"/>
      <c r="B902" s="265"/>
      <c r="C902" s="301"/>
      <c r="D902" s="301"/>
      <c r="E902" s="302"/>
      <c r="F902" s="301"/>
      <c r="G902" s="301"/>
      <c r="H902" s="301"/>
      <c r="I902" s="301"/>
      <c r="J902" s="265"/>
      <c r="K902" s="266"/>
      <c r="L902" s="266"/>
      <c r="M902" s="267"/>
      <c r="N902" s="6"/>
      <c r="O902" s="8"/>
      <c r="P902" s="6"/>
    </row>
    <row r="903" spans="1:16" x14ac:dyDescent="0.2">
      <c r="A903" s="256"/>
      <c r="B903" s="265"/>
      <c r="C903" s="301"/>
      <c r="D903" s="301"/>
      <c r="E903" s="302"/>
      <c r="F903" s="301"/>
      <c r="G903" s="301"/>
      <c r="H903" s="301"/>
      <c r="I903" s="301"/>
      <c r="J903" s="265"/>
      <c r="K903" s="266"/>
      <c r="L903" s="266"/>
      <c r="M903" s="267"/>
      <c r="N903" s="6"/>
      <c r="O903" s="8"/>
      <c r="P903" s="6"/>
    </row>
    <row r="904" spans="1:16" x14ac:dyDescent="0.2">
      <c r="A904" s="256"/>
      <c r="B904" s="265"/>
      <c r="C904" s="301"/>
      <c r="D904" s="301"/>
      <c r="E904" s="302"/>
      <c r="F904" s="301"/>
      <c r="G904" s="301"/>
      <c r="H904" s="301"/>
      <c r="I904" s="301"/>
      <c r="J904" s="265"/>
      <c r="K904" s="266"/>
      <c r="L904" s="266"/>
      <c r="M904" s="267"/>
      <c r="N904" s="6"/>
      <c r="O904" s="8"/>
      <c r="P904" s="6"/>
    </row>
    <row r="905" spans="1:16" x14ac:dyDescent="0.2">
      <c r="A905" s="256"/>
      <c r="B905" s="265"/>
      <c r="C905" s="301"/>
      <c r="D905" s="301"/>
      <c r="E905" s="302"/>
      <c r="F905" s="301"/>
      <c r="G905" s="301"/>
      <c r="H905" s="301"/>
      <c r="I905" s="301"/>
      <c r="J905" s="265"/>
      <c r="K905" s="266"/>
      <c r="L905" s="266"/>
      <c r="M905" s="267"/>
      <c r="N905" s="6"/>
      <c r="O905" s="8"/>
      <c r="P905" s="6"/>
    </row>
    <row r="906" spans="1:16" x14ac:dyDescent="0.2">
      <c r="A906" s="256"/>
      <c r="B906" s="265"/>
      <c r="C906" s="301"/>
      <c r="D906" s="301"/>
      <c r="E906" s="302"/>
      <c r="F906" s="301"/>
      <c r="G906" s="301"/>
      <c r="H906" s="301"/>
      <c r="I906" s="301"/>
      <c r="J906" s="265"/>
      <c r="K906" s="266"/>
      <c r="L906" s="266"/>
      <c r="M906" s="267"/>
      <c r="N906" s="6"/>
      <c r="O906" s="8"/>
      <c r="P906" s="6"/>
    </row>
    <row r="907" spans="1:16" x14ac:dyDescent="0.2">
      <c r="A907" s="256"/>
      <c r="B907" s="265"/>
      <c r="C907" s="301"/>
      <c r="D907" s="301"/>
      <c r="E907" s="302"/>
      <c r="F907" s="301"/>
      <c r="G907" s="301"/>
      <c r="H907" s="301"/>
      <c r="I907" s="301"/>
      <c r="J907" s="265"/>
      <c r="K907" s="266"/>
      <c r="L907" s="266"/>
      <c r="M907" s="267"/>
      <c r="N907" s="6"/>
      <c r="O907" s="8"/>
      <c r="P907" s="6"/>
    </row>
    <row r="908" spans="1:16" x14ac:dyDescent="0.2">
      <c r="A908" s="256"/>
      <c r="B908" s="265"/>
      <c r="C908" s="301"/>
      <c r="D908" s="301"/>
      <c r="E908" s="302"/>
      <c r="F908" s="301"/>
      <c r="G908" s="301"/>
      <c r="H908" s="301"/>
      <c r="I908" s="301"/>
      <c r="J908" s="265"/>
      <c r="K908" s="266"/>
      <c r="L908" s="266"/>
      <c r="M908" s="267"/>
      <c r="N908" s="6"/>
      <c r="O908" s="8"/>
      <c r="P908" s="6"/>
    </row>
    <row r="909" spans="1:16" x14ac:dyDescent="0.2">
      <c r="A909" s="256"/>
      <c r="B909" s="265"/>
      <c r="C909" s="301"/>
      <c r="D909" s="301"/>
      <c r="E909" s="302"/>
      <c r="F909" s="301"/>
      <c r="G909" s="301"/>
      <c r="H909" s="301"/>
      <c r="I909" s="301"/>
      <c r="J909" s="265"/>
      <c r="K909" s="266"/>
      <c r="L909" s="266"/>
      <c r="M909" s="267"/>
      <c r="N909" s="6"/>
      <c r="O909" s="8"/>
      <c r="P909" s="6"/>
    </row>
    <row r="910" spans="1:16" x14ac:dyDescent="0.2">
      <c r="A910" s="256"/>
      <c r="B910" s="265"/>
      <c r="C910" s="301"/>
      <c r="D910" s="301"/>
      <c r="E910" s="302"/>
      <c r="F910" s="301"/>
      <c r="G910" s="301"/>
      <c r="H910" s="301"/>
      <c r="I910" s="301"/>
      <c r="J910" s="265"/>
      <c r="K910" s="266"/>
      <c r="L910" s="266"/>
      <c r="M910" s="267"/>
      <c r="N910" s="6"/>
      <c r="O910" s="8"/>
      <c r="P910" s="6"/>
    </row>
    <row r="911" spans="1:16" x14ac:dyDescent="0.2">
      <c r="A911" s="256"/>
      <c r="B911" s="265"/>
      <c r="C911" s="301"/>
      <c r="D911" s="301"/>
      <c r="E911" s="302"/>
      <c r="F911" s="301"/>
      <c r="G911" s="301"/>
      <c r="H911" s="301"/>
      <c r="I911" s="301"/>
      <c r="J911" s="265"/>
      <c r="K911" s="266"/>
      <c r="L911" s="266"/>
      <c r="M911" s="267"/>
      <c r="N911" s="6"/>
      <c r="O911" s="8"/>
      <c r="P911" s="6"/>
    </row>
    <row r="912" spans="1:16" x14ac:dyDescent="0.2">
      <c r="A912" s="256"/>
      <c r="B912" s="265"/>
      <c r="C912" s="301"/>
      <c r="D912" s="301"/>
      <c r="E912" s="302"/>
      <c r="F912" s="301"/>
      <c r="G912" s="301"/>
      <c r="H912" s="301"/>
      <c r="I912" s="301"/>
      <c r="J912" s="265"/>
      <c r="K912" s="266"/>
      <c r="L912" s="266"/>
      <c r="M912" s="267"/>
      <c r="N912" s="6"/>
      <c r="O912" s="8"/>
      <c r="P912" s="6"/>
    </row>
    <row r="913" spans="1:17" x14ac:dyDescent="0.2">
      <c r="A913" s="256"/>
      <c r="B913" s="265"/>
      <c r="C913" s="301"/>
      <c r="D913" s="301"/>
      <c r="E913" s="302"/>
      <c r="F913" s="301"/>
      <c r="G913" s="301"/>
      <c r="H913" s="301"/>
      <c r="I913" s="301"/>
      <c r="J913" s="265"/>
      <c r="K913" s="266"/>
      <c r="L913" s="266"/>
      <c r="M913" s="267"/>
      <c r="N913" s="6"/>
      <c r="O913" s="8"/>
      <c r="P913" s="6"/>
    </row>
    <row r="914" spans="1:17" x14ac:dyDescent="0.2">
      <c r="A914" s="256"/>
      <c r="B914" s="265"/>
      <c r="C914" s="301"/>
      <c r="D914" s="301"/>
      <c r="E914" s="302"/>
      <c r="F914" s="301"/>
      <c r="G914" s="301"/>
      <c r="H914" s="301"/>
      <c r="I914" s="301"/>
      <c r="J914" s="265"/>
      <c r="K914" s="266"/>
      <c r="L914" s="266"/>
      <c r="M914" s="267"/>
      <c r="N914" s="6"/>
      <c r="O914" s="6"/>
      <c r="P914" s="8"/>
      <c r="Q914" s="6"/>
    </row>
    <row r="915" spans="1:17" x14ac:dyDescent="0.2">
      <c r="A915" s="256"/>
      <c r="B915" s="265"/>
      <c r="C915" s="301"/>
      <c r="D915" s="301"/>
      <c r="E915" s="302"/>
      <c r="F915" s="301"/>
      <c r="G915" s="301"/>
      <c r="H915" s="301"/>
      <c r="I915" s="301"/>
      <c r="J915" s="265"/>
      <c r="K915" s="266"/>
      <c r="L915" s="266"/>
      <c r="M915" s="267"/>
      <c r="N915" s="6"/>
      <c r="O915" s="6"/>
      <c r="P915" s="8"/>
      <c r="Q915" s="6"/>
    </row>
    <row r="916" spans="1:17" x14ac:dyDescent="0.2">
      <c r="A916" s="256"/>
      <c r="B916" s="265"/>
      <c r="C916" s="301"/>
      <c r="D916" s="301"/>
      <c r="E916" s="302"/>
      <c r="F916" s="301"/>
      <c r="G916" s="301"/>
      <c r="H916" s="301"/>
      <c r="I916" s="301"/>
      <c r="J916" s="265"/>
      <c r="K916" s="266"/>
      <c r="L916" s="266"/>
      <c r="M916" s="267"/>
      <c r="N916" s="6"/>
      <c r="O916" s="6"/>
      <c r="P916" s="8"/>
      <c r="Q916" s="6"/>
    </row>
    <row r="917" spans="1:17" x14ac:dyDescent="0.2">
      <c r="A917" s="256"/>
      <c r="B917" s="265"/>
      <c r="C917" s="301"/>
      <c r="D917" s="301"/>
      <c r="E917" s="302"/>
      <c r="F917" s="301"/>
      <c r="G917" s="301"/>
      <c r="H917" s="301"/>
      <c r="I917" s="301"/>
      <c r="J917" s="265"/>
      <c r="K917" s="266"/>
      <c r="L917" s="266"/>
      <c r="M917" s="267"/>
      <c r="N917" s="6"/>
      <c r="O917" s="6"/>
      <c r="P917" s="8"/>
      <c r="Q917" s="6"/>
    </row>
    <row r="918" spans="1:17" x14ac:dyDescent="0.2">
      <c r="A918" s="256"/>
      <c r="B918" s="265"/>
      <c r="C918" s="301"/>
      <c r="D918" s="301"/>
      <c r="E918" s="302"/>
      <c r="F918" s="301"/>
      <c r="G918" s="301"/>
      <c r="H918" s="301"/>
      <c r="I918" s="301"/>
      <c r="J918" s="265"/>
      <c r="K918" s="266"/>
      <c r="L918" s="266"/>
      <c r="M918" s="267"/>
      <c r="N918" s="6"/>
      <c r="O918" s="6"/>
      <c r="P918" s="8"/>
      <c r="Q918" s="6"/>
    </row>
    <row r="919" spans="1:17" x14ac:dyDescent="0.2">
      <c r="A919" s="256"/>
      <c r="B919" s="265"/>
      <c r="C919" s="301"/>
      <c r="D919" s="301"/>
      <c r="E919" s="302"/>
      <c r="F919" s="301"/>
      <c r="G919" s="301"/>
      <c r="H919" s="301"/>
      <c r="I919" s="301"/>
      <c r="J919" s="265"/>
      <c r="K919" s="266"/>
      <c r="L919" s="266"/>
      <c r="M919" s="267"/>
      <c r="N919" s="6"/>
      <c r="O919" s="6"/>
      <c r="P919" s="8"/>
      <c r="Q919" s="6"/>
    </row>
    <row r="920" spans="1:17" x14ac:dyDescent="0.2">
      <c r="A920" s="256"/>
      <c r="B920" s="265"/>
      <c r="C920" s="301"/>
      <c r="D920" s="301"/>
      <c r="E920" s="302"/>
      <c r="F920" s="301"/>
      <c r="G920" s="301"/>
      <c r="H920" s="301"/>
      <c r="I920" s="301"/>
      <c r="J920" s="265"/>
      <c r="K920" s="266"/>
      <c r="L920" s="266"/>
      <c r="M920" s="267"/>
      <c r="N920" s="6"/>
      <c r="O920" s="6"/>
      <c r="P920" s="8"/>
      <c r="Q920" s="6"/>
    </row>
    <row r="921" spans="1:17" x14ac:dyDescent="0.2">
      <c r="A921" s="256"/>
      <c r="B921" s="265"/>
      <c r="C921" s="301"/>
      <c r="D921" s="301"/>
      <c r="E921" s="302"/>
      <c r="F921" s="301"/>
      <c r="G921" s="301"/>
      <c r="H921" s="301"/>
      <c r="I921" s="301"/>
      <c r="J921" s="265"/>
      <c r="K921" s="266"/>
      <c r="L921" s="266"/>
      <c r="M921" s="267"/>
      <c r="N921" s="6"/>
      <c r="O921" s="6"/>
      <c r="P921" s="8"/>
      <c r="Q921" s="6"/>
    </row>
    <row r="922" spans="1:17" x14ac:dyDescent="0.2">
      <c r="A922" s="256"/>
      <c r="B922" s="265"/>
      <c r="C922" s="301"/>
      <c r="D922" s="301"/>
      <c r="E922" s="302"/>
      <c r="F922" s="301"/>
      <c r="G922" s="301"/>
      <c r="H922" s="301"/>
      <c r="I922" s="301"/>
      <c r="J922" s="265"/>
      <c r="K922" s="266"/>
      <c r="L922" s="266"/>
      <c r="M922" s="267"/>
      <c r="N922" s="6"/>
      <c r="O922" s="6"/>
      <c r="P922" s="8"/>
      <c r="Q922" s="6"/>
    </row>
    <row r="923" spans="1:17" x14ac:dyDescent="0.2">
      <c r="A923" s="256"/>
      <c r="B923" s="265"/>
      <c r="C923" s="301"/>
      <c r="D923" s="301"/>
      <c r="E923" s="302"/>
      <c r="F923" s="301"/>
      <c r="G923" s="301"/>
      <c r="H923" s="301"/>
      <c r="I923" s="301"/>
      <c r="J923" s="265"/>
      <c r="K923" s="266"/>
      <c r="L923" s="266"/>
      <c r="M923" s="267"/>
      <c r="N923" s="6"/>
      <c r="O923" s="6"/>
      <c r="P923" s="8"/>
      <c r="Q923" s="6"/>
    </row>
    <row r="924" spans="1:17" x14ac:dyDescent="0.2">
      <c r="A924" s="256"/>
      <c r="B924" s="265"/>
      <c r="C924" s="301"/>
      <c r="D924" s="301"/>
      <c r="E924" s="302"/>
      <c r="F924" s="301"/>
      <c r="G924" s="301"/>
      <c r="H924" s="301"/>
      <c r="I924" s="301"/>
      <c r="J924" s="265"/>
      <c r="K924" s="266"/>
      <c r="L924" s="266"/>
      <c r="M924" s="267"/>
      <c r="N924" s="6"/>
      <c r="O924" s="6"/>
      <c r="P924" s="8"/>
      <c r="Q924" s="6"/>
    </row>
    <row r="925" spans="1:17" x14ac:dyDescent="0.2">
      <c r="A925" s="256"/>
      <c r="B925" s="265"/>
      <c r="C925" s="301"/>
      <c r="D925" s="301"/>
      <c r="E925" s="302"/>
      <c r="F925" s="301"/>
      <c r="G925" s="301"/>
      <c r="H925" s="301"/>
      <c r="I925" s="301"/>
      <c r="J925" s="265"/>
      <c r="K925" s="266"/>
      <c r="L925" s="266"/>
      <c r="M925" s="267"/>
      <c r="N925" s="4"/>
      <c r="O925" s="4"/>
    </row>
    <row r="926" spans="1:17" x14ac:dyDescent="0.2">
      <c r="A926" s="256"/>
      <c r="B926" s="265"/>
      <c r="C926" s="301"/>
      <c r="D926" s="301"/>
      <c r="E926" s="302"/>
      <c r="F926" s="301"/>
      <c r="G926" s="301"/>
      <c r="H926" s="301"/>
      <c r="I926" s="301"/>
      <c r="J926" s="265"/>
      <c r="K926" s="266"/>
      <c r="L926" s="266"/>
      <c r="M926" s="267"/>
      <c r="N926" s="4"/>
      <c r="O926" s="4"/>
    </row>
    <row r="927" spans="1:17" x14ac:dyDescent="0.2">
      <c r="A927" s="256"/>
      <c r="B927" s="265"/>
      <c r="C927" s="301"/>
      <c r="D927" s="301"/>
      <c r="E927" s="302"/>
      <c r="F927" s="301"/>
      <c r="G927" s="301"/>
      <c r="H927" s="301"/>
      <c r="I927" s="301"/>
      <c r="J927" s="265"/>
      <c r="K927" s="266"/>
      <c r="L927" s="266"/>
      <c r="M927" s="267"/>
      <c r="N927" s="4"/>
      <c r="O927" s="4"/>
    </row>
    <row r="928" spans="1:17" x14ac:dyDescent="0.2">
      <c r="A928" s="256"/>
      <c r="B928" s="265"/>
      <c r="C928" s="301"/>
      <c r="D928" s="301"/>
      <c r="E928" s="302"/>
      <c r="F928" s="301"/>
      <c r="G928" s="301"/>
      <c r="H928" s="301"/>
      <c r="I928" s="301"/>
      <c r="J928" s="265"/>
      <c r="K928" s="266"/>
      <c r="L928" s="266"/>
      <c r="M928" s="267"/>
      <c r="N928" s="4"/>
      <c r="O928" s="4"/>
    </row>
    <row r="929" spans="1:15" x14ac:dyDescent="0.2">
      <c r="A929" s="256"/>
      <c r="B929" s="265"/>
      <c r="C929" s="301"/>
      <c r="D929" s="301"/>
      <c r="E929" s="302"/>
      <c r="F929" s="301"/>
      <c r="G929" s="301"/>
      <c r="H929" s="301"/>
      <c r="I929" s="301"/>
      <c r="J929" s="265"/>
      <c r="K929" s="266"/>
      <c r="L929" s="266"/>
      <c r="M929" s="267"/>
      <c r="N929" s="4"/>
      <c r="O929" s="4"/>
    </row>
    <row r="930" spans="1:15" x14ac:dyDescent="0.2">
      <c r="A930" s="256"/>
      <c r="B930" s="265"/>
      <c r="C930" s="301"/>
      <c r="D930" s="301"/>
      <c r="E930" s="302"/>
      <c r="F930" s="301"/>
      <c r="G930" s="301"/>
      <c r="H930" s="301"/>
      <c r="I930" s="301"/>
      <c r="J930" s="265"/>
      <c r="K930" s="266"/>
      <c r="L930" s="266"/>
      <c r="M930" s="267"/>
      <c r="N930" s="4"/>
      <c r="O930" s="4"/>
    </row>
    <row r="931" spans="1:15" x14ac:dyDescent="0.2">
      <c r="A931" s="256"/>
      <c r="B931" s="265"/>
      <c r="C931" s="301"/>
      <c r="D931" s="301"/>
      <c r="E931" s="302"/>
      <c r="F931" s="301"/>
      <c r="G931" s="301"/>
      <c r="H931" s="301"/>
      <c r="I931" s="301"/>
      <c r="J931" s="265"/>
      <c r="K931" s="266"/>
      <c r="L931" s="266"/>
      <c r="M931" s="267"/>
      <c r="N931" s="4"/>
      <c r="O931" s="4"/>
    </row>
    <row r="932" spans="1:15" x14ac:dyDescent="0.2">
      <c r="A932" s="256"/>
      <c r="B932" s="265"/>
      <c r="C932" s="301"/>
      <c r="D932" s="301"/>
      <c r="E932" s="302"/>
      <c r="F932" s="301"/>
      <c r="G932" s="301"/>
      <c r="H932" s="301"/>
      <c r="I932" s="301"/>
      <c r="J932" s="265"/>
      <c r="K932" s="266"/>
      <c r="L932" s="266"/>
      <c r="M932" s="267"/>
      <c r="N932" s="4"/>
      <c r="O932" s="4"/>
    </row>
    <row r="933" spans="1:15" x14ac:dyDescent="0.2">
      <c r="A933" s="256"/>
      <c r="B933" s="265"/>
      <c r="C933" s="301"/>
      <c r="D933" s="301"/>
      <c r="E933" s="302"/>
      <c r="F933" s="301"/>
      <c r="G933" s="301"/>
      <c r="H933" s="301"/>
      <c r="I933" s="301"/>
      <c r="J933" s="265"/>
      <c r="K933" s="266"/>
      <c r="L933" s="266"/>
      <c r="M933" s="267"/>
      <c r="N933" s="4"/>
      <c r="O933" s="4"/>
    </row>
    <row r="934" spans="1:15" x14ac:dyDescent="0.2">
      <c r="A934" s="256"/>
      <c r="B934" s="265"/>
      <c r="C934" s="301"/>
      <c r="D934" s="301"/>
      <c r="E934" s="302"/>
      <c r="F934" s="301"/>
      <c r="G934" s="301"/>
      <c r="H934" s="301"/>
      <c r="I934" s="301"/>
      <c r="J934" s="265"/>
      <c r="K934" s="266"/>
      <c r="L934" s="266"/>
      <c r="M934" s="267"/>
      <c r="N934" s="4"/>
      <c r="O934" s="4"/>
    </row>
    <row r="935" spans="1:15" x14ac:dyDescent="0.2">
      <c r="A935" s="256"/>
      <c r="B935" s="265"/>
      <c r="C935" s="301"/>
      <c r="D935" s="301"/>
      <c r="E935" s="302"/>
      <c r="F935" s="301"/>
      <c r="G935" s="301"/>
      <c r="H935" s="301"/>
      <c r="I935" s="301"/>
      <c r="J935" s="265"/>
      <c r="K935" s="266"/>
      <c r="L935" s="266"/>
      <c r="M935" s="267"/>
      <c r="N935" s="4"/>
      <c r="O935" s="4"/>
    </row>
    <row r="936" spans="1:15" x14ac:dyDescent="0.2">
      <c r="A936" s="256"/>
      <c r="B936" s="265"/>
      <c r="C936" s="301"/>
      <c r="D936" s="301"/>
      <c r="E936" s="302"/>
      <c r="F936" s="301"/>
      <c r="G936" s="301"/>
      <c r="H936" s="301"/>
      <c r="I936" s="301"/>
      <c r="J936" s="265"/>
      <c r="K936" s="266"/>
      <c r="L936" s="266"/>
      <c r="M936" s="267"/>
      <c r="N936" s="4"/>
      <c r="O936" s="4"/>
    </row>
    <row r="937" spans="1:15" x14ac:dyDescent="0.2">
      <c r="A937" s="256"/>
      <c r="B937" s="265"/>
      <c r="C937" s="301"/>
      <c r="D937" s="301"/>
      <c r="E937" s="302"/>
      <c r="F937" s="301"/>
      <c r="G937" s="301"/>
      <c r="H937" s="301"/>
      <c r="I937" s="301"/>
      <c r="J937" s="265"/>
      <c r="K937" s="266"/>
      <c r="L937" s="266"/>
      <c r="M937" s="267"/>
      <c r="N937" s="4"/>
      <c r="O937" s="4"/>
    </row>
    <row r="938" spans="1:15" x14ac:dyDescent="0.2">
      <c r="A938" s="256"/>
      <c r="B938" s="265"/>
      <c r="C938" s="301"/>
      <c r="D938" s="301"/>
      <c r="E938" s="302"/>
      <c r="F938" s="301"/>
      <c r="G938" s="301"/>
      <c r="H938" s="301"/>
      <c r="I938" s="301"/>
      <c r="J938" s="265"/>
      <c r="K938" s="266"/>
      <c r="L938" s="266"/>
      <c r="M938" s="267"/>
      <c r="N938" s="4"/>
      <c r="O938" s="4"/>
    </row>
    <row r="939" spans="1:15" x14ac:dyDescent="0.2">
      <c r="A939" s="256"/>
      <c r="B939" s="265"/>
      <c r="C939" s="301"/>
      <c r="D939" s="301"/>
      <c r="E939" s="302"/>
      <c r="F939" s="301"/>
      <c r="G939" s="301"/>
      <c r="H939" s="301"/>
      <c r="I939" s="301"/>
      <c r="J939" s="265"/>
      <c r="K939" s="266"/>
      <c r="L939" s="266"/>
      <c r="M939" s="267"/>
      <c r="N939" s="4"/>
      <c r="O939" s="4"/>
    </row>
    <row r="940" spans="1:15" x14ac:dyDescent="0.2">
      <c r="A940" s="256"/>
      <c r="B940" s="265"/>
      <c r="C940" s="301"/>
      <c r="D940" s="301"/>
      <c r="E940" s="302"/>
      <c r="F940" s="301"/>
      <c r="G940" s="301"/>
      <c r="H940" s="301"/>
      <c r="I940" s="301"/>
      <c r="J940" s="265"/>
      <c r="K940" s="266"/>
      <c r="L940" s="266"/>
      <c r="M940" s="267"/>
      <c r="N940" s="4"/>
      <c r="O940" s="4"/>
    </row>
    <row r="941" spans="1:15" x14ac:dyDescent="0.2">
      <c r="A941" s="256"/>
      <c r="B941" s="265"/>
      <c r="C941" s="301"/>
      <c r="D941" s="301"/>
      <c r="E941" s="302"/>
      <c r="F941" s="301"/>
      <c r="G941" s="301"/>
      <c r="H941" s="301"/>
      <c r="I941" s="301"/>
      <c r="J941" s="265"/>
      <c r="K941" s="266"/>
      <c r="L941" s="266"/>
      <c r="M941" s="267"/>
      <c r="N941" s="4"/>
      <c r="O941" s="4"/>
    </row>
    <row r="942" spans="1:15" x14ac:dyDescent="0.2">
      <c r="A942" s="254"/>
      <c r="B942" s="265"/>
      <c r="C942" s="301"/>
      <c r="D942" s="301"/>
      <c r="E942" s="302"/>
      <c r="F942" s="301"/>
      <c r="G942" s="301"/>
      <c r="H942" s="301"/>
      <c r="I942" s="301"/>
      <c r="J942" s="265"/>
      <c r="K942" s="266"/>
      <c r="L942" s="276"/>
      <c r="M942" s="267"/>
      <c r="N942" s="4"/>
      <c r="O942" s="4"/>
    </row>
    <row r="943" spans="1:15" x14ac:dyDescent="0.2">
      <c r="A943" s="254"/>
      <c r="B943" s="265"/>
      <c r="C943" s="301"/>
      <c r="D943" s="301"/>
      <c r="E943" s="302"/>
      <c r="F943" s="301"/>
      <c r="G943" s="301"/>
      <c r="H943" s="301"/>
      <c r="I943" s="301"/>
      <c r="J943" s="265"/>
      <c r="K943" s="266"/>
      <c r="L943" s="276"/>
      <c r="M943" s="267"/>
      <c r="N943" s="4"/>
      <c r="O943" s="4"/>
    </row>
    <row r="944" spans="1:15" x14ac:dyDescent="0.2">
      <c r="A944" s="254"/>
      <c r="B944" s="265"/>
      <c r="C944" s="301"/>
      <c r="D944" s="301"/>
      <c r="E944" s="302"/>
      <c r="F944" s="301"/>
      <c r="G944" s="301"/>
      <c r="H944" s="301"/>
      <c r="I944" s="301"/>
      <c r="J944" s="265"/>
      <c r="K944" s="266"/>
      <c r="L944" s="276"/>
      <c r="M944" s="267"/>
      <c r="N944" s="4"/>
      <c r="O944" s="4"/>
    </row>
    <row r="945" spans="1:15" x14ac:dyDescent="0.2">
      <c r="A945" s="254"/>
      <c r="B945" s="265"/>
      <c r="C945" s="301"/>
      <c r="D945" s="301"/>
      <c r="E945" s="302"/>
      <c r="F945" s="301"/>
      <c r="G945" s="301"/>
      <c r="H945" s="301"/>
      <c r="I945" s="301"/>
      <c r="J945" s="265"/>
      <c r="K945" s="266"/>
      <c r="L945" s="276"/>
      <c r="M945" s="267"/>
      <c r="N945" s="4"/>
      <c r="O945" s="4"/>
    </row>
    <row r="946" spans="1:15" x14ac:dyDescent="0.2">
      <c r="A946" s="254"/>
      <c r="B946" s="265"/>
      <c r="C946" s="301"/>
      <c r="D946" s="301"/>
      <c r="E946" s="302"/>
      <c r="F946" s="301"/>
      <c r="G946" s="301"/>
      <c r="H946" s="301"/>
      <c r="I946" s="301"/>
      <c r="J946" s="265"/>
      <c r="K946" s="266"/>
      <c r="L946" s="276"/>
      <c r="M946" s="267"/>
      <c r="N946" s="4"/>
      <c r="O946" s="4"/>
    </row>
    <row r="947" spans="1:15" x14ac:dyDescent="0.2">
      <c r="A947" s="254"/>
      <c r="B947" s="265"/>
      <c r="C947" s="301"/>
      <c r="D947" s="301"/>
      <c r="E947" s="302"/>
      <c r="F947" s="301"/>
      <c r="G947" s="301"/>
      <c r="H947" s="301"/>
      <c r="I947" s="301"/>
      <c r="J947" s="265"/>
      <c r="K947" s="266"/>
      <c r="L947" s="276"/>
      <c r="M947" s="267"/>
      <c r="N947" s="4"/>
      <c r="O947" s="4"/>
    </row>
    <row r="948" spans="1:15" x14ac:dyDescent="0.2">
      <c r="A948" s="254"/>
      <c r="B948" s="265"/>
      <c r="C948" s="301"/>
      <c r="D948" s="301"/>
      <c r="E948" s="302"/>
      <c r="F948" s="301"/>
      <c r="G948" s="301"/>
      <c r="H948" s="301"/>
      <c r="I948" s="301"/>
      <c r="J948" s="265"/>
      <c r="K948" s="266"/>
      <c r="L948" s="276"/>
      <c r="M948" s="267"/>
      <c r="N948" s="4"/>
      <c r="O948" s="4"/>
    </row>
    <row r="949" spans="1:15" x14ac:dyDescent="0.2">
      <c r="A949" s="254"/>
      <c r="B949" s="265"/>
      <c r="C949" s="301"/>
      <c r="D949" s="301"/>
      <c r="E949" s="302"/>
      <c r="F949" s="301"/>
      <c r="G949" s="301"/>
      <c r="H949" s="301"/>
      <c r="I949" s="301"/>
      <c r="J949" s="265"/>
      <c r="K949" s="266"/>
      <c r="L949" s="276"/>
      <c r="M949" s="267"/>
      <c r="N949" s="4"/>
      <c r="O949" s="4"/>
    </row>
    <row r="950" spans="1:15" x14ac:dyDescent="0.2">
      <c r="A950" s="254"/>
      <c r="B950" s="265"/>
      <c r="C950" s="301"/>
      <c r="D950" s="301"/>
      <c r="E950" s="302"/>
      <c r="F950" s="301"/>
      <c r="G950" s="301"/>
      <c r="H950" s="301"/>
      <c r="I950" s="301"/>
      <c r="J950" s="265"/>
      <c r="K950" s="266"/>
      <c r="L950" s="276"/>
      <c r="M950" s="267"/>
      <c r="N950" s="4"/>
      <c r="O950" s="4"/>
    </row>
    <row r="951" spans="1:15" x14ac:dyDescent="0.2">
      <c r="A951" s="254"/>
      <c r="B951" s="265"/>
      <c r="C951" s="301"/>
      <c r="D951" s="301"/>
      <c r="E951" s="302"/>
      <c r="F951" s="301"/>
      <c r="G951" s="301"/>
      <c r="H951" s="301"/>
      <c r="I951" s="301"/>
      <c r="J951" s="265"/>
      <c r="K951" s="266"/>
      <c r="L951" s="276"/>
      <c r="M951" s="267"/>
      <c r="N951" s="4"/>
      <c r="O951" s="4"/>
    </row>
    <row r="952" spans="1:15" x14ac:dyDescent="0.2">
      <c r="A952" s="254"/>
      <c r="B952" s="265"/>
      <c r="C952" s="301"/>
      <c r="D952" s="301"/>
      <c r="E952" s="302"/>
      <c r="F952" s="301"/>
      <c r="G952" s="301"/>
      <c r="H952" s="301"/>
      <c r="I952" s="301"/>
      <c r="J952" s="265"/>
      <c r="K952" s="266"/>
      <c r="L952" s="276"/>
      <c r="M952" s="267"/>
      <c r="N952" s="4"/>
      <c r="O952" s="4"/>
    </row>
    <row r="953" spans="1:15" x14ac:dyDescent="0.2">
      <c r="A953" s="254"/>
      <c r="B953" s="265"/>
      <c r="C953" s="301"/>
      <c r="D953" s="301"/>
      <c r="E953" s="302"/>
      <c r="F953" s="301"/>
      <c r="G953" s="301"/>
      <c r="H953" s="301"/>
      <c r="I953" s="301"/>
      <c r="J953" s="265"/>
      <c r="K953" s="266"/>
      <c r="L953" s="276"/>
      <c r="M953" s="267"/>
      <c r="N953" s="4"/>
      <c r="O953" s="4"/>
    </row>
    <row r="954" spans="1:15" x14ac:dyDescent="0.2">
      <c r="A954" s="254"/>
      <c r="B954" s="265"/>
      <c r="C954" s="301"/>
      <c r="D954" s="301"/>
      <c r="E954" s="302"/>
      <c r="F954" s="301"/>
      <c r="G954" s="301"/>
      <c r="H954" s="301"/>
      <c r="I954" s="301"/>
      <c r="J954" s="265"/>
      <c r="K954" s="266"/>
      <c r="L954" s="276"/>
      <c r="M954" s="267"/>
      <c r="N954" s="4"/>
      <c r="O954" s="4"/>
    </row>
    <row r="955" spans="1:15" x14ac:dyDescent="0.2">
      <c r="A955" s="254"/>
      <c r="B955" s="265"/>
      <c r="C955" s="301"/>
      <c r="D955" s="301"/>
      <c r="E955" s="302"/>
      <c r="F955" s="301"/>
      <c r="G955" s="301"/>
      <c r="H955" s="301"/>
      <c r="I955" s="301"/>
      <c r="J955" s="265"/>
      <c r="K955" s="266"/>
      <c r="L955" s="276"/>
      <c r="M955" s="267"/>
      <c r="N955" s="4"/>
      <c r="O955" s="4"/>
    </row>
    <row r="956" spans="1:15" x14ac:dyDescent="0.2">
      <c r="A956" s="254"/>
      <c r="B956" s="265"/>
      <c r="C956" s="301"/>
      <c r="D956" s="301"/>
      <c r="E956" s="302"/>
      <c r="F956" s="301"/>
      <c r="G956" s="301"/>
      <c r="H956" s="301"/>
      <c r="I956" s="301"/>
      <c r="J956" s="265"/>
      <c r="K956" s="266"/>
      <c r="L956" s="276"/>
      <c r="M956" s="267"/>
      <c r="N956" s="4"/>
      <c r="O956" s="4"/>
    </row>
    <row r="957" spans="1:15" x14ac:dyDescent="0.2">
      <c r="A957" s="262"/>
      <c r="B957" s="265"/>
      <c r="C957" s="301"/>
      <c r="D957" s="301"/>
      <c r="E957" s="302"/>
      <c r="F957" s="301"/>
      <c r="G957" s="301"/>
      <c r="H957" s="301"/>
      <c r="I957" s="301"/>
      <c r="J957" s="265"/>
      <c r="K957" s="266"/>
      <c r="L957" s="266"/>
      <c r="M957" s="267"/>
      <c r="N957" s="4"/>
      <c r="O957" s="4"/>
    </row>
    <row r="958" spans="1:15" x14ac:dyDescent="0.2">
      <c r="A958" s="262"/>
      <c r="B958" s="265"/>
      <c r="C958" s="301"/>
      <c r="D958" s="301"/>
      <c r="E958" s="302"/>
      <c r="F958" s="301"/>
      <c r="G958" s="301"/>
      <c r="H958" s="301"/>
      <c r="I958" s="301"/>
      <c r="J958" s="265"/>
      <c r="K958" s="266"/>
      <c r="L958" s="266"/>
      <c r="M958" s="267"/>
      <c r="N958" s="4"/>
      <c r="O958" s="4"/>
    </row>
    <row r="959" spans="1:15" x14ac:dyDescent="0.2">
      <c r="A959" s="262"/>
      <c r="B959" s="265"/>
      <c r="C959" s="301"/>
      <c r="D959" s="301"/>
      <c r="E959" s="302"/>
      <c r="F959" s="301"/>
      <c r="G959" s="301"/>
      <c r="H959" s="301"/>
      <c r="I959" s="301"/>
      <c r="J959" s="265"/>
      <c r="K959" s="266"/>
      <c r="L959" s="266"/>
      <c r="M959" s="267"/>
      <c r="N959" s="4"/>
      <c r="O959" s="4"/>
    </row>
    <row r="960" spans="1:15" x14ac:dyDescent="0.2">
      <c r="A960" s="262"/>
      <c r="B960" s="265"/>
      <c r="C960" s="301"/>
      <c r="D960" s="301"/>
      <c r="E960" s="302"/>
      <c r="F960" s="301"/>
      <c r="G960" s="301"/>
      <c r="H960" s="301"/>
      <c r="I960" s="301"/>
      <c r="J960" s="265"/>
      <c r="K960" s="266"/>
      <c r="L960" s="266"/>
      <c r="M960" s="267"/>
      <c r="N960" s="4"/>
      <c r="O960" s="4"/>
    </row>
    <row r="961" spans="1:15" x14ac:dyDescent="0.2">
      <c r="A961" s="262"/>
      <c r="B961" s="265"/>
      <c r="C961" s="301"/>
      <c r="D961" s="301"/>
      <c r="E961" s="302"/>
      <c r="F961" s="301"/>
      <c r="G961" s="301"/>
      <c r="H961" s="301"/>
      <c r="I961" s="301"/>
      <c r="J961" s="265"/>
      <c r="K961" s="266"/>
      <c r="L961" s="266"/>
      <c r="M961" s="267"/>
      <c r="N961" s="4"/>
      <c r="O961" s="4"/>
    </row>
    <row r="962" spans="1:15" x14ac:dyDescent="0.2">
      <c r="A962" s="262"/>
      <c r="B962" s="265"/>
      <c r="C962" s="301"/>
      <c r="D962" s="301"/>
      <c r="E962" s="302"/>
      <c r="F962" s="301"/>
      <c r="G962" s="301"/>
      <c r="H962" s="301"/>
      <c r="I962" s="301"/>
      <c r="J962" s="265"/>
      <c r="K962" s="266"/>
      <c r="L962" s="266"/>
      <c r="M962" s="267"/>
      <c r="N962" s="4"/>
      <c r="O962" s="4"/>
    </row>
    <row r="963" spans="1:15" x14ac:dyDescent="0.2">
      <c r="A963" s="262"/>
      <c r="B963" s="265"/>
      <c r="C963" s="301"/>
      <c r="D963" s="301"/>
      <c r="E963" s="302"/>
      <c r="F963" s="301"/>
      <c r="G963" s="301"/>
      <c r="H963" s="301"/>
      <c r="I963" s="301"/>
      <c r="J963" s="265"/>
      <c r="K963" s="266"/>
      <c r="L963" s="266"/>
      <c r="M963" s="267"/>
      <c r="N963" s="4"/>
      <c r="O963" s="4"/>
    </row>
    <row r="964" spans="1:15" x14ac:dyDescent="0.2">
      <c r="A964" s="262"/>
      <c r="B964" s="265"/>
      <c r="C964" s="301"/>
      <c r="D964" s="301"/>
      <c r="E964" s="302"/>
      <c r="F964" s="301"/>
      <c r="G964" s="301"/>
      <c r="H964" s="301"/>
      <c r="I964" s="301"/>
      <c r="J964" s="265"/>
      <c r="K964" s="266"/>
      <c r="L964" s="266"/>
      <c r="M964" s="267"/>
      <c r="N964" s="4"/>
      <c r="O964" s="4"/>
    </row>
    <row r="965" spans="1:15" x14ac:dyDescent="0.2">
      <c r="A965" s="262"/>
      <c r="B965" s="265"/>
      <c r="C965" s="301"/>
      <c r="D965" s="301"/>
      <c r="E965" s="302"/>
      <c r="F965" s="301"/>
      <c r="G965" s="301"/>
      <c r="H965" s="301"/>
      <c r="I965" s="301"/>
      <c r="J965" s="265"/>
      <c r="K965" s="266"/>
      <c r="L965" s="266"/>
      <c r="M965" s="267"/>
      <c r="N965" s="4"/>
      <c r="O965" s="4"/>
    </row>
    <row r="966" spans="1:15" x14ac:dyDescent="0.2">
      <c r="A966" s="262"/>
      <c r="B966" s="265"/>
      <c r="C966" s="301"/>
      <c r="D966" s="301"/>
      <c r="E966" s="302"/>
      <c r="F966" s="301"/>
      <c r="G966" s="301"/>
      <c r="H966" s="301"/>
      <c r="I966" s="301"/>
      <c r="J966" s="265"/>
      <c r="K966" s="266"/>
      <c r="L966" s="266"/>
      <c r="M966" s="267"/>
      <c r="N966" s="4"/>
      <c r="O966" s="4"/>
    </row>
    <row r="967" spans="1:15" x14ac:dyDescent="0.2">
      <c r="A967" s="262"/>
      <c r="B967" s="265"/>
      <c r="C967" s="301"/>
      <c r="D967" s="301"/>
      <c r="E967" s="302"/>
      <c r="F967" s="301"/>
      <c r="G967" s="301"/>
      <c r="H967" s="301"/>
      <c r="I967" s="301"/>
      <c r="J967" s="265"/>
      <c r="K967" s="266"/>
      <c r="L967" s="266"/>
      <c r="M967" s="267"/>
      <c r="N967" s="4"/>
      <c r="O967" s="4"/>
    </row>
    <row r="968" spans="1:15" x14ac:dyDescent="0.2">
      <c r="A968" s="262"/>
      <c r="B968" s="265"/>
      <c r="C968" s="301"/>
      <c r="D968" s="301"/>
      <c r="E968" s="302"/>
      <c r="F968" s="301"/>
      <c r="G968" s="301"/>
      <c r="H968" s="301"/>
      <c r="I968" s="301"/>
      <c r="J968" s="265"/>
      <c r="K968" s="266"/>
      <c r="L968" s="266"/>
      <c r="M968" s="267"/>
      <c r="N968" s="4"/>
      <c r="O968" s="4"/>
    </row>
    <row r="969" spans="1:15" x14ac:dyDescent="0.2">
      <c r="A969" s="262"/>
      <c r="B969" s="265"/>
      <c r="C969" s="301"/>
      <c r="D969" s="301"/>
      <c r="E969" s="302"/>
      <c r="F969" s="301"/>
      <c r="G969" s="301"/>
      <c r="H969" s="301"/>
      <c r="I969" s="301"/>
      <c r="J969" s="265"/>
      <c r="K969" s="266"/>
      <c r="L969" s="266"/>
      <c r="M969" s="267"/>
      <c r="N969" s="4"/>
      <c r="O969" s="4"/>
    </row>
    <row r="970" spans="1:15" x14ac:dyDescent="0.2">
      <c r="A970" s="262"/>
      <c r="B970" s="265"/>
      <c r="C970" s="301"/>
      <c r="D970" s="301"/>
      <c r="E970" s="302"/>
      <c r="F970" s="301"/>
      <c r="G970" s="301"/>
      <c r="H970" s="301"/>
      <c r="I970" s="301"/>
      <c r="J970" s="265"/>
      <c r="K970" s="266"/>
      <c r="L970" s="266"/>
      <c r="M970" s="267"/>
      <c r="N970" s="4"/>
      <c r="O970" s="4"/>
    </row>
    <row r="971" spans="1:15" x14ac:dyDescent="0.2">
      <c r="A971" s="262"/>
      <c r="B971" s="265"/>
      <c r="C971" s="301"/>
      <c r="D971" s="301"/>
      <c r="E971" s="302"/>
      <c r="F971" s="301"/>
      <c r="G971" s="301"/>
      <c r="H971" s="301"/>
      <c r="I971" s="301"/>
      <c r="J971" s="265"/>
      <c r="K971" s="266"/>
      <c r="L971" s="266"/>
      <c r="M971" s="267"/>
      <c r="N971" s="4"/>
      <c r="O971" s="4"/>
    </row>
    <row r="972" spans="1:15" x14ac:dyDescent="0.2">
      <c r="A972" s="262"/>
      <c r="B972" s="265"/>
      <c r="C972" s="301"/>
      <c r="D972" s="301"/>
      <c r="E972" s="302"/>
      <c r="F972" s="301"/>
      <c r="G972" s="301"/>
      <c r="H972" s="301"/>
      <c r="I972" s="301"/>
      <c r="J972" s="265"/>
      <c r="K972" s="266"/>
      <c r="L972" s="266"/>
      <c r="M972" s="267"/>
      <c r="N972" s="4"/>
      <c r="O972" s="4"/>
    </row>
    <row r="973" spans="1:15" x14ac:dyDescent="0.2">
      <c r="A973" s="262"/>
      <c r="B973" s="265"/>
      <c r="C973" s="301"/>
      <c r="D973" s="301"/>
      <c r="E973" s="302"/>
      <c r="F973" s="301"/>
      <c r="G973" s="301"/>
      <c r="H973" s="301"/>
      <c r="I973" s="301"/>
      <c r="J973" s="265"/>
      <c r="K973" s="266"/>
      <c r="L973" s="266"/>
      <c r="M973" s="267"/>
      <c r="N973" s="4"/>
      <c r="O973" s="4"/>
    </row>
    <row r="974" spans="1:15" x14ac:dyDescent="0.2">
      <c r="A974" s="262"/>
      <c r="B974" s="265"/>
      <c r="C974" s="301"/>
      <c r="D974" s="301"/>
      <c r="E974" s="302"/>
      <c r="F974" s="301"/>
      <c r="G974" s="301"/>
      <c r="H974" s="301"/>
      <c r="I974" s="301"/>
      <c r="J974" s="265"/>
      <c r="K974" s="266"/>
      <c r="L974" s="266"/>
      <c r="M974" s="267"/>
      <c r="N974" s="4"/>
      <c r="O974" s="4"/>
    </row>
    <row r="975" spans="1:15" x14ac:dyDescent="0.2">
      <c r="A975" s="262"/>
      <c r="B975" s="265"/>
      <c r="C975" s="301"/>
      <c r="D975" s="301"/>
      <c r="E975" s="302"/>
      <c r="F975" s="301"/>
      <c r="G975" s="301"/>
      <c r="H975" s="301"/>
      <c r="I975" s="301"/>
      <c r="J975" s="265"/>
      <c r="K975" s="266"/>
      <c r="L975" s="266"/>
      <c r="M975" s="267"/>
      <c r="N975" s="4"/>
      <c r="O975" s="4"/>
    </row>
    <row r="976" spans="1:15" x14ac:dyDescent="0.2">
      <c r="A976" s="262"/>
      <c r="B976" s="265"/>
      <c r="C976" s="301"/>
      <c r="D976" s="301"/>
      <c r="E976" s="302"/>
      <c r="F976" s="301"/>
      <c r="G976" s="301"/>
      <c r="H976" s="301"/>
      <c r="I976" s="301"/>
      <c r="J976" s="265"/>
      <c r="K976" s="266"/>
      <c r="L976" s="266"/>
      <c r="M976" s="267"/>
      <c r="N976" s="4"/>
      <c r="O976" s="4"/>
    </row>
    <row r="977" spans="1:15" x14ac:dyDescent="0.2">
      <c r="A977" s="262"/>
      <c r="B977" s="265"/>
      <c r="C977" s="301"/>
      <c r="D977" s="301"/>
      <c r="E977" s="302"/>
      <c r="F977" s="301"/>
      <c r="G977" s="301"/>
      <c r="H977" s="301"/>
      <c r="I977" s="301"/>
      <c r="J977" s="265"/>
      <c r="K977" s="266"/>
      <c r="L977" s="266"/>
      <c r="M977" s="267"/>
      <c r="N977" s="4"/>
      <c r="O977" s="4"/>
    </row>
    <row r="978" spans="1:15" x14ac:dyDescent="0.2">
      <c r="A978" s="262"/>
      <c r="B978" s="265"/>
      <c r="C978" s="301"/>
      <c r="D978" s="301"/>
      <c r="E978" s="302"/>
      <c r="F978" s="301"/>
      <c r="G978" s="301"/>
      <c r="H978" s="301"/>
      <c r="I978" s="301"/>
      <c r="J978" s="265"/>
      <c r="K978" s="266"/>
      <c r="L978" s="266"/>
      <c r="M978" s="267"/>
      <c r="N978" s="4"/>
      <c r="O978" s="4"/>
    </row>
    <row r="979" spans="1:15" x14ac:dyDescent="0.2">
      <c r="A979" s="262"/>
      <c r="B979" s="265"/>
      <c r="C979" s="301"/>
      <c r="D979" s="301"/>
      <c r="E979" s="302"/>
      <c r="F979" s="301"/>
      <c r="G979" s="301"/>
      <c r="H979" s="301"/>
      <c r="I979" s="301"/>
      <c r="J979" s="265"/>
      <c r="K979" s="266"/>
      <c r="L979" s="266"/>
      <c r="M979" s="267"/>
      <c r="N979" s="4"/>
      <c r="O979" s="4"/>
    </row>
    <row r="980" spans="1:15" x14ac:dyDescent="0.2">
      <c r="A980" s="262"/>
      <c r="B980" s="265"/>
      <c r="C980" s="301"/>
      <c r="D980" s="301"/>
      <c r="E980" s="302"/>
      <c r="F980" s="301"/>
      <c r="G980" s="301"/>
      <c r="H980" s="301"/>
      <c r="I980" s="301"/>
      <c r="J980" s="265"/>
      <c r="K980" s="266"/>
      <c r="L980" s="266"/>
      <c r="M980" s="267"/>
      <c r="N980" s="4"/>
      <c r="O980" s="4"/>
    </row>
    <row r="981" spans="1:15" x14ac:dyDescent="0.2">
      <c r="A981" s="262"/>
      <c r="B981" s="265"/>
      <c r="C981" s="301"/>
      <c r="D981" s="301"/>
      <c r="E981" s="302"/>
      <c r="F981" s="301"/>
      <c r="G981" s="301"/>
      <c r="H981" s="301"/>
      <c r="I981" s="301"/>
      <c r="J981" s="265"/>
      <c r="K981" s="266"/>
      <c r="L981" s="266"/>
      <c r="M981" s="267"/>
      <c r="N981" s="4"/>
      <c r="O981" s="4"/>
    </row>
    <row r="982" spans="1:15" x14ac:dyDescent="0.2">
      <c r="A982" s="262"/>
      <c r="B982" s="265"/>
      <c r="C982" s="301"/>
      <c r="D982" s="301"/>
      <c r="E982" s="302"/>
      <c r="F982" s="301"/>
      <c r="G982" s="301"/>
      <c r="H982" s="301"/>
      <c r="I982" s="301"/>
      <c r="J982" s="265"/>
      <c r="K982" s="266"/>
      <c r="L982" s="266"/>
      <c r="M982" s="267"/>
      <c r="N982" s="4"/>
      <c r="O982" s="4"/>
    </row>
    <row r="983" spans="1:15" x14ac:dyDescent="0.2">
      <c r="A983" s="262"/>
      <c r="B983" s="265"/>
      <c r="C983" s="301"/>
      <c r="D983" s="301"/>
      <c r="E983" s="302"/>
      <c r="F983" s="301"/>
      <c r="G983" s="301"/>
      <c r="H983" s="301"/>
      <c r="I983" s="301"/>
      <c r="J983" s="265"/>
      <c r="K983" s="266"/>
      <c r="L983" s="266"/>
      <c r="M983" s="267"/>
      <c r="N983" s="4"/>
      <c r="O983" s="4"/>
    </row>
    <row r="984" spans="1:15" x14ac:dyDescent="0.2">
      <c r="A984" s="262"/>
      <c r="B984" s="265"/>
      <c r="C984" s="301"/>
      <c r="D984" s="301"/>
      <c r="E984" s="302"/>
      <c r="F984" s="301"/>
      <c r="G984" s="301"/>
      <c r="H984" s="301"/>
      <c r="I984" s="301"/>
      <c r="J984" s="265"/>
      <c r="K984" s="266"/>
      <c r="L984" s="266"/>
      <c r="M984" s="267"/>
      <c r="N984" s="4"/>
      <c r="O984" s="4"/>
    </row>
    <row r="985" spans="1:15" x14ac:dyDescent="0.2">
      <c r="A985" s="262"/>
      <c r="B985" s="265"/>
      <c r="C985" s="301"/>
      <c r="D985" s="301"/>
      <c r="E985" s="302"/>
      <c r="F985" s="301"/>
      <c r="G985" s="301"/>
      <c r="H985" s="301"/>
      <c r="I985" s="301"/>
      <c r="J985" s="265"/>
      <c r="K985" s="266"/>
      <c r="L985" s="266"/>
      <c r="M985" s="267"/>
      <c r="N985" s="4"/>
      <c r="O985" s="4"/>
    </row>
    <row r="986" spans="1:15" x14ac:dyDescent="0.2">
      <c r="A986" s="262"/>
      <c r="B986" s="265"/>
      <c r="C986" s="301"/>
      <c r="D986" s="301"/>
      <c r="E986" s="302"/>
      <c r="F986" s="301"/>
      <c r="G986" s="301"/>
      <c r="H986" s="301"/>
      <c r="I986" s="301"/>
      <c r="J986" s="265"/>
      <c r="K986" s="266"/>
      <c r="L986" s="266"/>
      <c r="M986" s="267"/>
      <c r="N986" s="4"/>
      <c r="O986" s="4"/>
    </row>
    <row r="987" spans="1:15" x14ac:dyDescent="0.2">
      <c r="A987" s="262"/>
      <c r="B987" s="265"/>
      <c r="C987" s="301"/>
      <c r="D987" s="301"/>
      <c r="E987" s="302"/>
      <c r="F987" s="301"/>
      <c r="G987" s="301"/>
      <c r="H987" s="301"/>
      <c r="I987" s="301"/>
      <c r="J987" s="265"/>
      <c r="K987" s="266"/>
      <c r="L987" s="266"/>
      <c r="M987" s="267"/>
      <c r="N987" s="4"/>
      <c r="O987" s="4"/>
    </row>
    <row r="988" spans="1:15" x14ac:dyDescent="0.2">
      <c r="A988" s="262"/>
      <c r="B988" s="265"/>
      <c r="C988" s="301"/>
      <c r="D988" s="301"/>
      <c r="E988" s="302"/>
      <c r="F988" s="301"/>
      <c r="G988" s="301"/>
      <c r="H988" s="301"/>
      <c r="I988" s="301"/>
      <c r="J988" s="265"/>
      <c r="K988" s="266"/>
      <c r="L988" s="266"/>
      <c r="M988" s="267"/>
      <c r="N988" s="4"/>
      <c r="O988" s="4"/>
    </row>
    <row r="989" spans="1:15" x14ac:dyDescent="0.2">
      <c r="A989" s="262"/>
      <c r="B989" s="265"/>
      <c r="C989" s="301"/>
      <c r="D989" s="301"/>
      <c r="E989" s="302"/>
      <c r="F989" s="301"/>
      <c r="G989" s="301"/>
      <c r="H989" s="301"/>
      <c r="I989" s="301"/>
      <c r="J989" s="265"/>
      <c r="K989" s="266"/>
      <c r="L989" s="266"/>
      <c r="M989" s="267"/>
      <c r="N989" s="4"/>
      <c r="O989" s="4"/>
    </row>
    <row r="990" spans="1:15" x14ac:dyDescent="0.2">
      <c r="A990" s="262"/>
      <c r="B990" s="265"/>
      <c r="C990" s="301"/>
      <c r="D990" s="301"/>
      <c r="E990" s="302"/>
      <c r="F990" s="301"/>
      <c r="G990" s="301"/>
      <c r="H990" s="301"/>
      <c r="I990" s="301"/>
      <c r="J990" s="265"/>
      <c r="K990" s="266"/>
      <c r="L990" s="266"/>
      <c r="M990" s="267"/>
      <c r="N990" s="4"/>
      <c r="O990" s="4"/>
    </row>
    <row r="991" spans="1:15" x14ac:dyDescent="0.2">
      <c r="A991" s="262"/>
      <c r="B991" s="265"/>
      <c r="C991" s="301"/>
      <c r="D991" s="301"/>
      <c r="E991" s="302"/>
      <c r="F991" s="301"/>
      <c r="G991" s="301"/>
      <c r="H991" s="301"/>
      <c r="I991" s="301"/>
      <c r="J991" s="265"/>
      <c r="K991" s="266"/>
      <c r="L991" s="266"/>
      <c r="M991" s="267"/>
      <c r="N991" s="4"/>
      <c r="O991" s="4"/>
    </row>
    <row r="992" spans="1:15" x14ac:dyDescent="0.2">
      <c r="A992" s="262"/>
      <c r="B992" s="265"/>
      <c r="C992" s="301"/>
      <c r="D992" s="301"/>
      <c r="E992" s="302"/>
      <c r="F992" s="301"/>
      <c r="G992" s="301"/>
      <c r="H992" s="301"/>
      <c r="I992" s="301"/>
      <c r="J992" s="265"/>
      <c r="K992" s="266"/>
      <c r="L992" s="266"/>
      <c r="M992" s="267"/>
      <c r="N992" s="4"/>
      <c r="O992" s="4"/>
    </row>
    <row r="993" spans="1:15" x14ac:dyDescent="0.2">
      <c r="A993" s="262"/>
      <c r="B993" s="265"/>
      <c r="C993" s="301"/>
      <c r="D993" s="301"/>
      <c r="E993" s="302"/>
      <c r="F993" s="301"/>
      <c r="G993" s="301"/>
      <c r="H993" s="301"/>
      <c r="I993" s="301"/>
      <c r="J993" s="265"/>
      <c r="K993" s="266"/>
      <c r="L993" s="266"/>
      <c r="M993" s="267"/>
      <c r="N993" s="4"/>
      <c r="O993" s="4"/>
    </row>
    <row r="994" spans="1:15" x14ac:dyDescent="0.2">
      <c r="A994" s="262"/>
      <c r="B994" s="265"/>
      <c r="C994" s="301"/>
      <c r="D994" s="301"/>
      <c r="E994" s="302"/>
      <c r="F994" s="301"/>
      <c r="G994" s="301"/>
      <c r="H994" s="301"/>
      <c r="I994" s="301"/>
      <c r="J994" s="265"/>
      <c r="K994" s="266"/>
      <c r="L994" s="266"/>
      <c r="M994" s="267"/>
      <c r="N994" s="4"/>
      <c r="O994" s="4"/>
    </row>
    <row r="995" spans="1:15" x14ac:dyDescent="0.2">
      <c r="A995" s="262"/>
      <c r="B995" s="265"/>
      <c r="C995" s="301"/>
      <c r="D995" s="301"/>
      <c r="E995" s="302"/>
      <c r="F995" s="301"/>
      <c r="G995" s="301"/>
      <c r="H995" s="301"/>
      <c r="I995" s="301"/>
      <c r="J995" s="265"/>
      <c r="K995" s="266"/>
      <c r="L995" s="266"/>
      <c r="M995" s="267"/>
      <c r="N995" s="4"/>
      <c r="O995" s="4"/>
    </row>
    <row r="996" spans="1:15" x14ac:dyDescent="0.2">
      <c r="A996" s="262"/>
      <c r="B996" s="265"/>
      <c r="C996" s="301"/>
      <c r="D996" s="301"/>
      <c r="E996" s="302"/>
      <c r="F996" s="301"/>
      <c r="G996" s="301"/>
      <c r="H996" s="301"/>
      <c r="I996" s="301"/>
      <c r="J996" s="265"/>
      <c r="K996" s="266"/>
      <c r="L996" s="266"/>
      <c r="M996" s="267"/>
      <c r="N996" s="4"/>
      <c r="O996" s="4"/>
    </row>
    <row r="997" spans="1:15" x14ac:dyDescent="0.2">
      <c r="A997" s="262"/>
      <c r="B997" s="265"/>
      <c r="C997" s="301"/>
      <c r="D997" s="301"/>
      <c r="E997" s="302"/>
      <c r="F997" s="301"/>
      <c r="G997" s="301"/>
      <c r="H997" s="301"/>
      <c r="I997" s="301"/>
      <c r="J997" s="265"/>
      <c r="K997" s="266"/>
      <c r="L997" s="266"/>
      <c r="M997" s="267"/>
      <c r="N997" s="4"/>
      <c r="O997" s="4"/>
    </row>
    <row r="998" spans="1:15" x14ac:dyDescent="0.2">
      <c r="A998" s="262"/>
      <c r="B998" s="265"/>
      <c r="C998" s="301"/>
      <c r="D998" s="301"/>
      <c r="E998" s="302"/>
      <c r="F998" s="301"/>
      <c r="G998" s="301"/>
      <c r="H998" s="301"/>
      <c r="I998" s="301"/>
      <c r="J998" s="265"/>
      <c r="K998" s="266"/>
      <c r="L998" s="266"/>
      <c r="M998" s="267"/>
      <c r="N998" s="4"/>
      <c r="O998" s="4"/>
    </row>
    <row r="999" spans="1:15" x14ac:dyDescent="0.2">
      <c r="A999" s="262"/>
      <c r="B999" s="265"/>
      <c r="C999" s="301"/>
      <c r="D999" s="301"/>
      <c r="E999" s="302"/>
      <c r="F999" s="301"/>
      <c r="G999" s="301"/>
      <c r="H999" s="301"/>
      <c r="I999" s="301"/>
      <c r="J999" s="265"/>
      <c r="K999" s="266"/>
      <c r="L999" s="266"/>
      <c r="M999" s="267"/>
      <c r="N999" s="4"/>
      <c r="O999" s="4"/>
    </row>
    <row r="1000" spans="1:15" x14ac:dyDescent="0.2">
      <c r="A1000" s="262"/>
      <c r="B1000" s="265"/>
      <c r="C1000" s="301"/>
      <c r="D1000" s="301"/>
      <c r="E1000" s="302"/>
      <c r="F1000" s="301"/>
      <c r="G1000" s="301"/>
      <c r="H1000" s="301"/>
      <c r="I1000" s="301"/>
      <c r="J1000" s="265"/>
      <c r="K1000" s="266"/>
      <c r="L1000" s="266"/>
      <c r="M1000" s="267"/>
      <c r="N1000" s="4"/>
      <c r="O1000" s="4"/>
    </row>
    <row r="1001" spans="1:15" x14ac:dyDescent="0.2">
      <c r="A1001" s="262"/>
      <c r="B1001" s="265"/>
      <c r="C1001" s="301"/>
      <c r="D1001" s="301"/>
      <c r="E1001" s="302"/>
      <c r="F1001" s="301"/>
      <c r="G1001" s="301"/>
      <c r="H1001" s="301"/>
      <c r="I1001" s="301"/>
      <c r="J1001" s="265"/>
      <c r="K1001" s="266"/>
      <c r="L1001" s="266"/>
      <c r="M1001" s="267"/>
      <c r="N1001" s="4"/>
      <c r="O1001" s="4"/>
    </row>
    <row r="1002" spans="1:15" x14ac:dyDescent="0.2">
      <c r="A1002" s="262"/>
      <c r="B1002" s="265"/>
      <c r="C1002" s="301"/>
      <c r="D1002" s="301"/>
      <c r="E1002" s="302"/>
      <c r="F1002" s="301"/>
      <c r="G1002" s="301"/>
      <c r="H1002" s="301"/>
      <c r="I1002" s="301"/>
      <c r="J1002" s="265"/>
      <c r="K1002" s="266"/>
      <c r="L1002" s="266"/>
      <c r="M1002" s="267"/>
      <c r="N1002" s="4"/>
      <c r="O1002" s="4"/>
    </row>
    <row r="1003" spans="1:15" x14ac:dyDescent="0.2">
      <c r="A1003" s="262"/>
      <c r="B1003" s="265"/>
      <c r="C1003" s="301"/>
      <c r="D1003" s="301"/>
      <c r="E1003" s="302"/>
      <c r="F1003" s="301"/>
      <c r="G1003" s="301"/>
      <c r="H1003" s="301"/>
      <c r="I1003" s="301"/>
      <c r="J1003" s="265"/>
      <c r="K1003" s="266"/>
      <c r="L1003" s="266"/>
      <c r="M1003" s="267"/>
      <c r="N1003" s="4"/>
      <c r="O1003" s="4"/>
    </row>
    <row r="1004" spans="1:15" x14ac:dyDescent="0.2">
      <c r="A1004" s="262"/>
      <c r="B1004" s="265"/>
      <c r="C1004" s="301"/>
      <c r="D1004" s="301"/>
      <c r="E1004" s="302"/>
      <c r="F1004" s="301"/>
      <c r="G1004" s="301"/>
      <c r="H1004" s="301"/>
      <c r="I1004" s="301"/>
      <c r="J1004" s="265"/>
      <c r="K1004" s="266"/>
      <c r="L1004" s="266"/>
      <c r="M1004" s="267"/>
      <c r="N1004" s="4"/>
      <c r="O1004" s="4"/>
    </row>
    <row r="1005" spans="1:15" x14ac:dyDescent="0.2">
      <c r="A1005" s="262"/>
      <c r="B1005" s="265"/>
      <c r="C1005" s="301"/>
      <c r="D1005" s="301"/>
      <c r="E1005" s="302"/>
      <c r="F1005" s="301"/>
      <c r="G1005" s="301"/>
      <c r="H1005" s="301"/>
      <c r="I1005" s="301"/>
      <c r="J1005" s="265"/>
      <c r="K1005" s="266"/>
      <c r="L1005" s="266"/>
      <c r="M1005" s="267"/>
      <c r="N1005" s="4"/>
      <c r="O1005" s="4"/>
    </row>
    <row r="1006" spans="1:15" x14ac:dyDescent="0.2">
      <c r="A1006" s="262"/>
      <c r="B1006" s="265"/>
      <c r="C1006" s="301"/>
      <c r="D1006" s="301"/>
      <c r="E1006" s="302"/>
      <c r="F1006" s="301"/>
      <c r="G1006" s="301"/>
      <c r="H1006" s="301"/>
      <c r="I1006" s="301"/>
      <c r="J1006" s="265"/>
      <c r="K1006" s="266"/>
      <c r="L1006" s="266"/>
      <c r="M1006" s="267"/>
      <c r="N1006" s="4"/>
      <c r="O1006" s="4"/>
    </row>
    <row r="1007" spans="1:15" x14ac:dyDescent="0.2">
      <c r="A1007" s="262"/>
      <c r="B1007" s="265"/>
      <c r="C1007" s="301"/>
      <c r="D1007" s="301"/>
      <c r="E1007" s="302"/>
      <c r="F1007" s="301"/>
      <c r="G1007" s="301"/>
      <c r="H1007" s="301"/>
      <c r="I1007" s="301"/>
      <c r="J1007" s="265"/>
      <c r="K1007" s="266"/>
      <c r="L1007" s="266"/>
      <c r="M1007" s="267"/>
      <c r="N1007" s="4"/>
      <c r="O1007" s="4"/>
    </row>
    <row r="1008" spans="1:15" x14ac:dyDescent="0.2">
      <c r="A1008" s="262"/>
      <c r="B1008" s="265"/>
      <c r="C1008" s="301"/>
      <c r="D1008" s="301"/>
      <c r="E1008" s="302"/>
      <c r="F1008" s="301"/>
      <c r="G1008" s="301"/>
      <c r="H1008" s="301"/>
      <c r="I1008" s="301"/>
      <c r="J1008" s="265"/>
      <c r="K1008" s="266"/>
      <c r="L1008" s="266"/>
      <c r="M1008" s="267"/>
      <c r="N1008" s="4"/>
      <c r="O1008" s="4"/>
    </row>
    <row r="1009" spans="1:15" x14ac:dyDescent="0.2">
      <c r="A1009" s="262"/>
      <c r="B1009" s="265"/>
      <c r="C1009" s="301"/>
      <c r="D1009" s="301"/>
      <c r="E1009" s="302"/>
      <c r="F1009" s="301"/>
      <c r="G1009" s="301"/>
      <c r="H1009" s="301"/>
      <c r="I1009" s="301"/>
      <c r="J1009" s="265"/>
      <c r="K1009" s="266"/>
      <c r="L1009" s="266"/>
      <c r="M1009" s="267"/>
      <c r="N1009" s="4"/>
      <c r="O1009" s="4"/>
    </row>
    <row r="1010" spans="1:15" x14ac:dyDescent="0.2">
      <c r="A1010" s="262"/>
      <c r="B1010" s="265"/>
      <c r="C1010" s="301"/>
      <c r="D1010" s="301"/>
      <c r="E1010" s="302"/>
      <c r="F1010" s="301"/>
      <c r="G1010" s="301"/>
      <c r="H1010" s="301"/>
      <c r="I1010" s="301"/>
      <c r="J1010" s="265"/>
      <c r="K1010" s="266"/>
      <c r="L1010" s="266"/>
      <c r="M1010" s="267"/>
      <c r="N1010" s="4"/>
      <c r="O1010" s="4"/>
    </row>
    <row r="1011" spans="1:15" x14ac:dyDescent="0.2">
      <c r="A1011" s="262"/>
      <c r="B1011" s="265"/>
      <c r="C1011" s="301"/>
      <c r="D1011" s="301"/>
      <c r="E1011" s="302"/>
      <c r="F1011" s="301"/>
      <c r="G1011" s="301"/>
      <c r="H1011" s="301"/>
      <c r="I1011" s="301"/>
      <c r="J1011" s="265"/>
      <c r="K1011" s="266"/>
      <c r="L1011" s="266"/>
      <c r="M1011" s="267"/>
      <c r="N1011" s="4"/>
      <c r="O1011" s="4"/>
    </row>
    <row r="1012" spans="1:15" x14ac:dyDescent="0.2">
      <c r="A1012" s="262"/>
      <c r="B1012" s="265"/>
      <c r="C1012" s="301"/>
      <c r="D1012" s="301"/>
      <c r="E1012" s="302"/>
      <c r="F1012" s="301"/>
      <c r="G1012" s="301"/>
      <c r="H1012" s="301"/>
      <c r="I1012" s="301"/>
      <c r="J1012" s="265"/>
      <c r="K1012" s="266"/>
      <c r="L1012" s="266"/>
      <c r="M1012" s="267"/>
      <c r="N1012" s="4"/>
      <c r="O1012" s="4"/>
    </row>
    <row r="1013" spans="1:15" x14ac:dyDescent="0.2">
      <c r="A1013" s="262"/>
      <c r="B1013" s="265"/>
      <c r="C1013" s="301"/>
      <c r="D1013" s="301"/>
      <c r="E1013" s="302"/>
      <c r="F1013" s="301"/>
      <c r="G1013" s="301"/>
      <c r="H1013" s="301"/>
      <c r="I1013" s="301"/>
      <c r="J1013" s="265"/>
      <c r="K1013" s="266"/>
      <c r="L1013" s="266"/>
      <c r="M1013" s="267"/>
      <c r="N1013" s="4"/>
      <c r="O1013" s="4"/>
    </row>
    <row r="1014" spans="1:15" x14ac:dyDescent="0.2">
      <c r="A1014" s="262"/>
      <c r="B1014" s="265"/>
      <c r="C1014" s="301"/>
      <c r="D1014" s="301"/>
      <c r="E1014" s="302"/>
      <c r="F1014" s="301"/>
      <c r="G1014" s="301"/>
      <c r="H1014" s="301"/>
      <c r="I1014" s="301"/>
      <c r="J1014" s="265"/>
      <c r="K1014" s="266"/>
      <c r="L1014" s="266"/>
      <c r="M1014" s="267"/>
      <c r="N1014" s="4"/>
      <c r="O1014" s="4"/>
    </row>
    <row r="1015" spans="1:15" x14ac:dyDescent="0.2">
      <c r="A1015" s="262"/>
      <c r="B1015" s="265"/>
      <c r="C1015" s="301"/>
      <c r="D1015" s="301"/>
      <c r="E1015" s="302"/>
      <c r="F1015" s="301"/>
      <c r="G1015" s="301"/>
      <c r="H1015" s="301"/>
      <c r="I1015" s="301"/>
      <c r="J1015" s="265"/>
      <c r="K1015" s="266"/>
      <c r="L1015" s="266"/>
      <c r="M1015" s="267"/>
      <c r="N1015" s="4"/>
      <c r="O1015" s="4"/>
    </row>
    <row r="1016" spans="1:15" x14ac:dyDescent="0.2">
      <c r="A1016" s="262"/>
      <c r="B1016" s="265"/>
      <c r="C1016" s="301"/>
      <c r="D1016" s="301"/>
      <c r="E1016" s="302"/>
      <c r="F1016" s="301"/>
      <c r="G1016" s="301"/>
      <c r="H1016" s="301"/>
      <c r="I1016" s="301"/>
      <c r="J1016" s="265"/>
      <c r="K1016" s="266"/>
      <c r="L1016" s="266"/>
      <c r="M1016" s="267"/>
      <c r="N1016" s="4"/>
      <c r="O1016" s="4"/>
    </row>
    <row r="1017" spans="1:15" x14ac:dyDescent="0.2">
      <c r="A1017" s="262"/>
      <c r="B1017" s="265"/>
      <c r="C1017" s="301"/>
      <c r="D1017" s="301"/>
      <c r="E1017" s="302"/>
      <c r="F1017" s="301"/>
      <c r="G1017" s="301"/>
      <c r="H1017" s="301"/>
      <c r="I1017" s="301"/>
      <c r="J1017" s="265"/>
      <c r="K1017" s="266"/>
      <c r="L1017" s="266"/>
      <c r="M1017" s="267"/>
      <c r="N1017" s="4"/>
      <c r="O1017" s="4"/>
    </row>
    <row r="1018" spans="1:15" x14ac:dyDescent="0.2">
      <c r="A1018" s="262"/>
      <c r="B1018" s="265"/>
      <c r="C1018" s="301"/>
      <c r="D1018" s="301"/>
      <c r="E1018" s="302"/>
      <c r="F1018" s="301"/>
      <c r="G1018" s="301"/>
      <c r="H1018" s="301"/>
      <c r="I1018" s="301"/>
      <c r="J1018" s="265"/>
      <c r="K1018" s="266"/>
      <c r="L1018" s="266"/>
      <c r="M1018" s="267"/>
      <c r="N1018" s="4"/>
      <c r="O1018" s="4"/>
    </row>
    <row r="1019" spans="1:15" x14ac:dyDescent="0.2">
      <c r="A1019" s="262"/>
      <c r="B1019" s="265"/>
      <c r="C1019" s="301"/>
      <c r="D1019" s="301"/>
      <c r="E1019" s="302"/>
      <c r="F1019" s="301"/>
      <c r="G1019" s="301"/>
      <c r="H1019" s="301"/>
      <c r="I1019" s="301"/>
      <c r="J1019" s="265"/>
      <c r="K1019" s="266"/>
      <c r="L1019" s="266"/>
      <c r="M1019" s="267"/>
      <c r="N1019" s="4"/>
      <c r="O1019" s="4"/>
    </row>
    <row r="1020" spans="1:15" x14ac:dyDescent="0.2">
      <c r="A1020" s="262"/>
      <c r="B1020" s="265"/>
      <c r="C1020" s="301"/>
      <c r="D1020" s="301"/>
      <c r="E1020" s="302"/>
      <c r="F1020" s="301"/>
      <c r="G1020" s="301"/>
      <c r="H1020" s="301"/>
      <c r="I1020" s="301"/>
      <c r="J1020" s="265"/>
      <c r="K1020" s="266"/>
      <c r="L1020" s="266"/>
      <c r="M1020" s="267"/>
      <c r="N1020" s="4"/>
      <c r="O1020" s="4"/>
    </row>
    <row r="1021" spans="1:15" x14ac:dyDescent="0.2">
      <c r="A1021" s="262"/>
      <c r="B1021" s="265"/>
      <c r="C1021" s="301"/>
      <c r="D1021" s="301"/>
      <c r="E1021" s="302"/>
      <c r="F1021" s="301"/>
      <c r="G1021" s="301"/>
      <c r="H1021" s="301"/>
      <c r="I1021" s="301"/>
      <c r="J1021" s="265"/>
      <c r="K1021" s="266"/>
      <c r="L1021" s="266"/>
      <c r="M1021" s="267"/>
      <c r="N1021" s="4"/>
      <c r="O1021" s="4"/>
    </row>
    <row r="1022" spans="1:15" x14ac:dyDescent="0.2">
      <c r="A1022" s="262"/>
      <c r="B1022" s="265"/>
      <c r="C1022" s="301"/>
      <c r="D1022" s="301"/>
      <c r="E1022" s="302"/>
      <c r="F1022" s="301"/>
      <c r="G1022" s="301"/>
      <c r="H1022" s="301"/>
      <c r="I1022" s="301"/>
      <c r="J1022" s="265"/>
      <c r="K1022" s="266"/>
      <c r="L1022" s="266"/>
      <c r="M1022" s="267"/>
      <c r="N1022" s="4"/>
      <c r="O1022" s="4"/>
    </row>
    <row r="1023" spans="1:15" x14ac:dyDescent="0.2">
      <c r="A1023" s="262"/>
      <c r="B1023" s="265"/>
      <c r="C1023" s="301"/>
      <c r="D1023" s="301"/>
      <c r="E1023" s="302"/>
      <c r="F1023" s="301"/>
      <c r="G1023" s="301"/>
      <c r="H1023" s="301"/>
      <c r="I1023" s="301"/>
      <c r="J1023" s="265"/>
      <c r="K1023" s="266"/>
      <c r="L1023" s="266"/>
      <c r="M1023" s="267"/>
      <c r="N1023" s="4"/>
      <c r="O1023" s="4"/>
    </row>
    <row r="1024" spans="1:15" x14ac:dyDescent="0.2">
      <c r="A1024" s="262"/>
      <c r="B1024" s="265"/>
      <c r="C1024" s="301"/>
      <c r="D1024" s="301"/>
      <c r="E1024" s="302"/>
      <c r="F1024" s="301"/>
      <c r="G1024" s="301"/>
      <c r="H1024" s="301"/>
      <c r="I1024" s="301"/>
      <c r="J1024" s="265"/>
      <c r="K1024" s="266"/>
      <c r="L1024" s="266"/>
      <c r="M1024" s="267"/>
      <c r="N1024" s="4"/>
      <c r="O1024" s="4"/>
    </row>
    <row r="1025" spans="1:15" x14ac:dyDescent="0.2">
      <c r="A1025" s="262"/>
      <c r="B1025" s="265"/>
      <c r="C1025" s="301"/>
      <c r="D1025" s="301"/>
      <c r="E1025" s="302"/>
      <c r="F1025" s="301"/>
      <c r="G1025" s="301"/>
      <c r="H1025" s="301"/>
      <c r="I1025" s="301"/>
      <c r="J1025" s="265"/>
      <c r="K1025" s="266"/>
      <c r="L1025" s="266"/>
      <c r="M1025" s="267"/>
      <c r="N1025" s="4"/>
      <c r="O1025" s="4"/>
    </row>
    <row r="1026" spans="1:15" x14ac:dyDescent="0.2">
      <c r="A1026" s="262"/>
      <c r="B1026" s="265"/>
      <c r="C1026" s="301"/>
      <c r="D1026" s="301"/>
      <c r="E1026" s="302"/>
      <c r="F1026" s="301"/>
      <c r="G1026" s="301"/>
      <c r="H1026" s="301"/>
      <c r="I1026" s="301"/>
      <c r="J1026" s="265"/>
      <c r="K1026" s="266"/>
      <c r="L1026" s="266"/>
      <c r="M1026" s="267"/>
      <c r="N1026" s="4"/>
      <c r="O1026" s="4"/>
    </row>
    <row r="1027" spans="1:15" x14ac:dyDescent="0.2">
      <c r="A1027" s="262"/>
      <c r="B1027" s="265"/>
      <c r="C1027" s="301"/>
      <c r="D1027" s="301"/>
      <c r="E1027" s="302"/>
      <c r="F1027" s="301"/>
      <c r="G1027" s="301"/>
      <c r="H1027" s="301"/>
      <c r="I1027" s="301"/>
      <c r="J1027" s="265"/>
      <c r="K1027" s="266"/>
      <c r="L1027" s="266"/>
      <c r="M1027" s="267"/>
      <c r="N1027" s="4"/>
      <c r="O1027" s="4"/>
    </row>
    <row r="1028" spans="1:15" x14ac:dyDescent="0.2">
      <c r="A1028" s="262"/>
      <c r="B1028" s="265"/>
      <c r="C1028" s="301"/>
      <c r="D1028" s="301"/>
      <c r="E1028" s="302"/>
      <c r="F1028" s="301"/>
      <c r="G1028" s="301"/>
      <c r="H1028" s="301"/>
      <c r="I1028" s="301"/>
      <c r="J1028" s="265"/>
      <c r="K1028" s="266"/>
      <c r="L1028" s="266"/>
      <c r="M1028" s="267"/>
      <c r="N1028" s="4"/>
      <c r="O1028" s="4"/>
    </row>
    <row r="1029" spans="1:15" x14ac:dyDescent="0.2">
      <c r="A1029" s="262"/>
      <c r="B1029" s="265"/>
      <c r="C1029" s="301"/>
      <c r="D1029" s="301"/>
      <c r="E1029" s="302"/>
      <c r="F1029" s="301"/>
      <c r="G1029" s="301"/>
      <c r="H1029" s="301"/>
      <c r="I1029" s="301"/>
      <c r="J1029" s="265"/>
      <c r="K1029" s="266"/>
      <c r="L1029" s="266"/>
      <c r="M1029" s="267"/>
      <c r="N1029" s="4"/>
      <c r="O1029" s="4"/>
    </row>
    <row r="1030" spans="1:15" x14ac:dyDescent="0.2">
      <c r="A1030" s="262"/>
      <c r="B1030" s="265"/>
      <c r="C1030" s="301"/>
      <c r="D1030" s="301"/>
      <c r="E1030" s="302"/>
      <c r="F1030" s="301"/>
      <c r="G1030" s="301"/>
      <c r="H1030" s="301"/>
      <c r="I1030" s="301"/>
      <c r="J1030" s="265"/>
      <c r="K1030" s="266"/>
      <c r="L1030" s="266"/>
      <c r="M1030" s="267"/>
      <c r="N1030" s="4"/>
      <c r="O1030" s="4"/>
    </row>
    <row r="1031" spans="1:15" x14ac:dyDescent="0.2">
      <c r="A1031" s="262"/>
      <c r="B1031" s="265"/>
      <c r="C1031" s="301"/>
      <c r="D1031" s="301"/>
      <c r="E1031" s="302"/>
      <c r="F1031" s="301"/>
      <c r="G1031" s="301"/>
      <c r="H1031" s="301"/>
      <c r="I1031" s="301"/>
      <c r="J1031" s="265"/>
      <c r="K1031" s="266"/>
      <c r="L1031" s="266"/>
      <c r="M1031" s="267"/>
      <c r="N1031" s="4"/>
      <c r="O1031" s="4"/>
    </row>
    <row r="1032" spans="1:15" x14ac:dyDescent="0.2">
      <c r="A1032" s="262"/>
      <c r="B1032" s="265"/>
      <c r="C1032" s="301"/>
      <c r="D1032" s="301"/>
      <c r="E1032" s="302"/>
      <c r="F1032" s="301"/>
      <c r="G1032" s="301"/>
      <c r="H1032" s="301"/>
      <c r="I1032" s="301"/>
      <c r="J1032" s="265"/>
      <c r="K1032" s="266"/>
      <c r="L1032" s="266"/>
      <c r="M1032" s="267"/>
      <c r="N1032" s="4"/>
      <c r="O1032" s="4"/>
    </row>
    <row r="1033" spans="1:15" x14ac:dyDescent="0.2">
      <c r="A1033" s="262"/>
      <c r="B1033" s="265"/>
      <c r="C1033" s="301"/>
      <c r="D1033" s="301"/>
      <c r="E1033" s="302"/>
      <c r="F1033" s="301"/>
      <c r="G1033" s="301"/>
      <c r="H1033" s="301"/>
      <c r="I1033" s="301"/>
      <c r="J1033" s="265"/>
      <c r="K1033" s="266"/>
      <c r="L1033" s="266"/>
      <c r="M1033" s="267"/>
      <c r="N1033" s="4"/>
      <c r="O1033" s="4"/>
    </row>
    <row r="1034" spans="1:15" x14ac:dyDescent="0.2">
      <c r="A1034" s="262"/>
      <c r="B1034" s="265"/>
      <c r="C1034" s="301"/>
      <c r="D1034" s="301"/>
      <c r="E1034" s="301"/>
      <c r="F1034" s="301"/>
      <c r="G1034" s="301"/>
      <c r="H1034" s="301"/>
      <c r="I1034" s="301"/>
      <c r="J1034" s="265"/>
      <c r="K1034" s="266"/>
      <c r="L1034" s="266"/>
      <c r="M1034" s="267"/>
      <c r="N1034" s="4"/>
      <c r="O1034" s="4"/>
    </row>
    <row r="1035" spans="1:15" x14ac:dyDescent="0.2">
      <c r="A1035" s="262"/>
      <c r="B1035" s="265"/>
      <c r="C1035" s="301"/>
      <c r="D1035" s="301"/>
      <c r="E1035" s="301"/>
      <c r="F1035" s="301"/>
      <c r="G1035" s="301"/>
      <c r="H1035" s="301"/>
      <c r="I1035" s="301"/>
      <c r="J1035" s="265"/>
      <c r="K1035" s="266"/>
      <c r="L1035" s="266"/>
      <c r="M1035" s="267"/>
      <c r="N1035" s="4"/>
      <c r="O1035" s="4"/>
    </row>
    <row r="1036" spans="1:15" x14ac:dyDescent="0.2">
      <c r="A1036" s="262"/>
      <c r="B1036" s="265"/>
      <c r="C1036" s="301"/>
      <c r="D1036" s="301"/>
      <c r="E1036" s="301"/>
      <c r="F1036" s="301"/>
      <c r="G1036" s="301"/>
      <c r="H1036" s="301"/>
      <c r="I1036" s="301"/>
      <c r="J1036" s="265"/>
      <c r="K1036" s="266"/>
      <c r="L1036" s="266"/>
      <c r="M1036" s="267"/>
      <c r="N1036" s="4"/>
      <c r="O1036" s="4"/>
    </row>
    <row r="1037" spans="1:15" x14ac:dyDescent="0.2">
      <c r="A1037" s="262"/>
      <c r="B1037" s="265"/>
      <c r="C1037" s="301"/>
      <c r="D1037" s="301"/>
      <c r="E1037" s="301"/>
      <c r="F1037" s="301"/>
      <c r="G1037" s="301"/>
      <c r="H1037" s="301"/>
      <c r="I1037" s="301"/>
      <c r="J1037" s="265"/>
      <c r="K1037" s="266"/>
      <c r="L1037" s="266"/>
      <c r="M1037" s="267"/>
      <c r="N1037" s="4"/>
      <c r="O1037" s="4"/>
    </row>
    <row r="1038" spans="1:15" x14ac:dyDescent="0.2">
      <c r="A1038" s="262"/>
      <c r="B1038" s="265"/>
      <c r="C1038" s="301"/>
      <c r="D1038" s="301"/>
      <c r="E1038" s="301"/>
      <c r="F1038" s="301"/>
      <c r="G1038" s="301"/>
      <c r="H1038" s="301"/>
      <c r="I1038" s="301"/>
      <c r="J1038" s="265"/>
      <c r="K1038" s="266"/>
      <c r="L1038" s="266"/>
      <c r="M1038" s="267"/>
      <c r="N1038" s="4"/>
      <c r="O1038" s="4"/>
    </row>
    <row r="1039" spans="1:15" x14ac:dyDescent="0.2">
      <c r="A1039" s="262"/>
      <c r="B1039" s="265"/>
      <c r="C1039" s="301"/>
      <c r="D1039" s="301"/>
      <c r="E1039" s="301"/>
      <c r="F1039" s="301"/>
      <c r="G1039" s="301"/>
      <c r="H1039" s="301"/>
      <c r="I1039" s="301"/>
      <c r="J1039" s="265"/>
      <c r="K1039" s="266"/>
      <c r="L1039" s="266"/>
      <c r="M1039" s="267"/>
      <c r="N1039" s="4"/>
      <c r="O1039" s="4"/>
    </row>
    <row r="1040" spans="1:15" x14ac:dyDescent="0.2">
      <c r="A1040" s="262"/>
      <c r="B1040" s="265"/>
      <c r="C1040" s="301"/>
      <c r="D1040" s="301"/>
      <c r="E1040" s="301"/>
      <c r="F1040" s="301"/>
      <c r="G1040" s="301"/>
      <c r="H1040" s="301"/>
      <c r="I1040" s="301"/>
      <c r="J1040" s="265"/>
      <c r="K1040" s="266"/>
      <c r="L1040" s="266"/>
      <c r="M1040" s="267"/>
      <c r="N1040" s="4"/>
      <c r="O1040" s="4"/>
    </row>
    <row r="1041" spans="1:15" x14ac:dyDescent="0.2">
      <c r="A1041" s="262"/>
      <c r="B1041" s="265"/>
      <c r="C1041" s="301"/>
      <c r="D1041" s="301"/>
      <c r="E1041" s="301"/>
      <c r="F1041" s="301"/>
      <c r="G1041" s="301"/>
      <c r="H1041" s="301"/>
      <c r="I1041" s="301"/>
      <c r="J1041" s="265"/>
      <c r="K1041" s="266"/>
      <c r="L1041" s="266"/>
      <c r="M1041" s="267"/>
      <c r="N1041" s="4"/>
      <c r="O1041" s="4"/>
    </row>
    <row r="1042" spans="1:15" x14ac:dyDescent="0.2">
      <c r="A1042" s="262"/>
      <c r="B1042" s="265"/>
      <c r="C1042" s="301"/>
      <c r="D1042" s="301"/>
      <c r="E1042" s="301"/>
      <c r="F1042" s="301"/>
      <c r="G1042" s="301"/>
      <c r="H1042" s="301"/>
      <c r="I1042" s="301"/>
      <c r="J1042" s="265"/>
      <c r="K1042" s="266"/>
      <c r="L1042" s="266"/>
      <c r="M1042" s="267"/>
      <c r="N1042" s="4"/>
      <c r="O1042" s="4"/>
    </row>
    <row r="1043" spans="1:15" x14ac:dyDescent="0.2">
      <c r="A1043" s="262"/>
      <c r="B1043" s="265"/>
      <c r="C1043" s="301"/>
      <c r="D1043" s="301"/>
      <c r="E1043" s="301"/>
      <c r="F1043" s="301"/>
      <c r="G1043" s="301"/>
      <c r="H1043" s="301"/>
      <c r="I1043" s="301"/>
      <c r="J1043" s="265"/>
      <c r="K1043" s="266"/>
      <c r="L1043" s="266"/>
      <c r="M1043" s="267"/>
      <c r="N1043" s="4"/>
      <c r="O1043" s="4"/>
    </row>
    <row r="1044" spans="1:15" x14ac:dyDescent="0.2">
      <c r="A1044" s="262"/>
      <c r="B1044" s="265"/>
      <c r="C1044" s="301"/>
      <c r="D1044" s="301"/>
      <c r="E1044" s="301"/>
      <c r="F1044" s="301"/>
      <c r="G1044" s="301"/>
      <c r="H1044" s="301"/>
      <c r="I1044" s="301"/>
      <c r="J1044" s="265"/>
      <c r="K1044" s="266"/>
      <c r="L1044" s="266"/>
      <c r="M1044" s="267"/>
      <c r="N1044" s="4"/>
      <c r="O1044" s="4"/>
    </row>
    <row r="1045" spans="1:15" x14ac:dyDescent="0.2">
      <c r="A1045" s="262"/>
      <c r="B1045" s="265"/>
      <c r="C1045" s="301"/>
      <c r="D1045" s="301"/>
      <c r="E1045" s="301"/>
      <c r="F1045" s="301"/>
      <c r="G1045" s="301"/>
      <c r="H1045" s="301"/>
      <c r="I1045" s="301"/>
      <c r="J1045" s="265"/>
      <c r="K1045" s="266"/>
      <c r="L1045" s="266"/>
      <c r="M1045" s="267"/>
      <c r="N1045" s="4"/>
      <c r="O1045" s="4"/>
    </row>
    <row r="1046" spans="1:15" x14ac:dyDescent="0.2">
      <c r="A1046" s="262"/>
      <c r="B1046" s="265"/>
      <c r="C1046" s="301"/>
      <c r="D1046" s="301"/>
      <c r="E1046" s="301"/>
      <c r="F1046" s="301"/>
      <c r="G1046" s="301"/>
      <c r="H1046" s="301"/>
      <c r="I1046" s="301"/>
      <c r="J1046" s="265"/>
      <c r="K1046" s="266"/>
      <c r="L1046" s="266"/>
      <c r="M1046" s="267"/>
      <c r="N1046" s="4"/>
      <c r="O1046" s="4"/>
    </row>
    <row r="1047" spans="1:15" x14ac:dyDescent="0.2">
      <c r="A1047" s="262"/>
      <c r="B1047" s="265"/>
      <c r="C1047" s="301"/>
      <c r="D1047" s="301"/>
      <c r="E1047" s="301"/>
      <c r="F1047" s="301"/>
      <c r="G1047" s="301"/>
      <c r="H1047" s="301"/>
      <c r="I1047" s="301"/>
      <c r="J1047" s="265"/>
      <c r="K1047" s="266"/>
      <c r="L1047" s="266"/>
      <c r="M1047" s="267"/>
      <c r="N1047" s="4"/>
      <c r="O1047" s="4"/>
    </row>
    <row r="1048" spans="1:15" x14ac:dyDescent="0.2">
      <c r="A1048" s="262"/>
      <c r="B1048" s="265"/>
      <c r="C1048" s="301"/>
      <c r="D1048" s="301"/>
      <c r="E1048" s="301"/>
      <c r="F1048" s="301"/>
      <c r="G1048" s="301"/>
      <c r="H1048" s="301"/>
      <c r="I1048" s="301"/>
      <c r="J1048" s="265"/>
      <c r="K1048" s="266"/>
      <c r="L1048" s="266"/>
      <c r="M1048" s="267"/>
      <c r="N1048" s="4"/>
      <c r="O1048" s="4"/>
    </row>
    <row r="1049" spans="1:15" x14ac:dyDescent="0.2">
      <c r="A1049" s="262"/>
      <c r="B1049" s="265"/>
      <c r="C1049" s="301"/>
      <c r="D1049" s="301"/>
      <c r="E1049" s="301"/>
      <c r="F1049" s="301"/>
      <c r="G1049" s="301"/>
      <c r="H1049" s="301"/>
      <c r="I1049" s="301"/>
      <c r="J1049" s="265"/>
      <c r="K1049" s="266"/>
      <c r="L1049" s="266"/>
      <c r="M1049" s="267"/>
      <c r="N1049" s="4"/>
      <c r="O1049" s="4"/>
    </row>
    <row r="1050" spans="1:15" x14ac:dyDescent="0.2">
      <c r="A1050" s="262"/>
      <c r="B1050" s="265"/>
      <c r="C1050" s="301"/>
      <c r="D1050" s="301"/>
      <c r="E1050" s="301"/>
      <c r="F1050" s="301"/>
      <c r="G1050" s="301"/>
      <c r="H1050" s="301"/>
      <c r="I1050" s="301"/>
      <c r="J1050" s="265"/>
      <c r="K1050" s="266"/>
      <c r="L1050" s="266"/>
      <c r="M1050" s="267"/>
      <c r="N1050" s="4"/>
      <c r="O1050" s="4"/>
    </row>
    <row r="1051" spans="1:15" x14ac:dyDescent="0.2">
      <c r="A1051" s="262"/>
      <c r="B1051" s="265"/>
      <c r="C1051" s="301"/>
      <c r="D1051" s="301"/>
      <c r="E1051" s="301"/>
      <c r="F1051" s="301"/>
      <c r="G1051" s="301"/>
      <c r="H1051" s="301"/>
      <c r="I1051" s="301"/>
      <c r="J1051" s="265"/>
      <c r="K1051" s="266"/>
      <c r="L1051" s="266"/>
      <c r="M1051" s="267"/>
      <c r="N1051" s="4"/>
      <c r="O1051" s="4"/>
    </row>
    <row r="1052" spans="1:15" x14ac:dyDescent="0.2">
      <c r="A1052" s="262"/>
      <c r="B1052" s="265"/>
      <c r="C1052" s="301"/>
      <c r="D1052" s="301"/>
      <c r="E1052" s="301"/>
      <c r="F1052" s="301"/>
      <c r="G1052" s="301"/>
      <c r="H1052" s="301"/>
      <c r="I1052" s="301"/>
      <c r="J1052" s="265"/>
      <c r="K1052" s="266"/>
      <c r="L1052" s="266"/>
      <c r="M1052" s="267"/>
      <c r="N1052" s="4"/>
      <c r="O1052" s="4"/>
    </row>
    <row r="1053" spans="1:15" x14ac:dyDescent="0.2">
      <c r="A1053" s="262"/>
      <c r="B1053" s="265"/>
      <c r="C1053" s="301"/>
      <c r="D1053" s="301"/>
      <c r="E1053" s="301"/>
      <c r="F1053" s="301"/>
      <c r="G1053" s="301"/>
      <c r="H1053" s="301"/>
      <c r="I1053" s="301"/>
      <c r="J1053" s="265"/>
      <c r="K1053" s="266"/>
      <c r="L1053" s="266"/>
      <c r="M1053" s="267"/>
      <c r="N1053" s="4"/>
      <c r="O1053" s="4"/>
    </row>
    <row r="1054" spans="1:15" x14ac:dyDescent="0.2">
      <c r="A1054" s="262"/>
      <c r="B1054" s="265"/>
      <c r="C1054" s="301"/>
      <c r="D1054" s="301"/>
      <c r="E1054" s="301"/>
      <c r="F1054" s="301"/>
      <c r="G1054" s="301"/>
      <c r="H1054" s="301"/>
      <c r="I1054" s="301"/>
      <c r="J1054" s="265"/>
      <c r="K1054" s="266"/>
      <c r="L1054" s="266"/>
      <c r="M1054" s="267"/>
      <c r="N1054" s="4"/>
      <c r="O1054" s="4"/>
    </row>
    <row r="1055" spans="1:15" x14ac:dyDescent="0.2">
      <c r="A1055" s="262"/>
      <c r="B1055" s="265"/>
      <c r="C1055" s="301"/>
      <c r="D1055" s="301"/>
      <c r="E1055" s="301"/>
      <c r="F1055" s="301"/>
      <c r="G1055" s="301"/>
      <c r="H1055" s="301"/>
      <c r="I1055" s="301"/>
      <c r="J1055" s="265"/>
      <c r="K1055" s="266"/>
      <c r="L1055" s="266"/>
      <c r="M1055" s="267"/>
      <c r="N1055" s="4"/>
      <c r="O1055" s="4"/>
    </row>
    <row r="1056" spans="1:15" x14ac:dyDescent="0.2">
      <c r="A1056" s="262"/>
      <c r="B1056" s="265"/>
      <c r="C1056" s="301"/>
      <c r="D1056" s="301"/>
      <c r="E1056" s="301"/>
      <c r="F1056" s="301"/>
      <c r="G1056" s="301"/>
      <c r="H1056" s="301"/>
      <c r="I1056" s="301"/>
      <c r="J1056" s="265"/>
      <c r="K1056" s="266"/>
      <c r="L1056" s="266"/>
      <c r="M1056" s="267"/>
      <c r="N1056" s="4"/>
      <c r="O1056" s="4"/>
    </row>
    <row r="1057" spans="1:15" x14ac:dyDescent="0.2">
      <c r="A1057" s="262"/>
      <c r="B1057" s="265"/>
      <c r="C1057" s="301"/>
      <c r="D1057" s="301"/>
      <c r="E1057" s="301"/>
      <c r="F1057" s="301"/>
      <c r="G1057" s="301"/>
      <c r="H1057" s="301"/>
      <c r="I1057" s="301"/>
      <c r="J1057" s="265"/>
      <c r="K1057" s="266"/>
      <c r="L1057" s="266"/>
      <c r="M1057" s="267"/>
      <c r="N1057" s="4"/>
      <c r="O1057" s="4"/>
    </row>
    <row r="1058" spans="1:15" x14ac:dyDescent="0.2">
      <c r="A1058" s="262"/>
      <c r="B1058" s="265"/>
      <c r="C1058" s="301"/>
      <c r="D1058" s="301"/>
      <c r="E1058" s="301"/>
      <c r="F1058" s="301"/>
      <c r="G1058" s="301"/>
      <c r="H1058" s="301"/>
      <c r="I1058" s="301"/>
      <c r="J1058" s="265"/>
      <c r="K1058" s="266"/>
      <c r="L1058" s="266"/>
      <c r="M1058" s="267"/>
      <c r="N1058" s="4"/>
      <c r="O1058" s="4"/>
    </row>
    <row r="1059" spans="1:15" x14ac:dyDescent="0.2">
      <c r="A1059" s="262"/>
      <c r="B1059" s="265"/>
      <c r="C1059" s="301"/>
      <c r="D1059" s="301"/>
      <c r="E1059" s="301"/>
      <c r="F1059" s="301"/>
      <c r="G1059" s="301"/>
      <c r="H1059" s="301"/>
      <c r="I1059" s="301"/>
      <c r="J1059" s="265"/>
      <c r="K1059" s="266"/>
      <c r="L1059" s="266"/>
      <c r="M1059" s="267"/>
      <c r="N1059" s="4"/>
      <c r="O1059" s="4"/>
    </row>
    <row r="1060" spans="1:15" x14ac:dyDescent="0.2">
      <c r="A1060" s="262"/>
      <c r="B1060" s="265"/>
      <c r="C1060" s="301"/>
      <c r="D1060" s="301"/>
      <c r="E1060" s="301"/>
      <c r="F1060" s="301"/>
      <c r="G1060" s="301"/>
      <c r="H1060" s="301"/>
      <c r="I1060" s="301"/>
      <c r="J1060" s="265"/>
      <c r="K1060" s="266"/>
      <c r="L1060" s="266"/>
      <c r="M1060" s="267"/>
      <c r="N1060" s="4"/>
      <c r="O1060" s="4"/>
    </row>
    <row r="1061" spans="1:15" x14ac:dyDescent="0.2">
      <c r="A1061" s="262"/>
      <c r="B1061" s="265"/>
      <c r="C1061" s="301"/>
      <c r="D1061" s="301"/>
      <c r="E1061" s="301"/>
      <c r="F1061" s="301"/>
      <c r="G1061" s="301"/>
      <c r="H1061" s="301"/>
      <c r="I1061" s="301"/>
      <c r="J1061" s="265"/>
      <c r="K1061" s="266"/>
      <c r="L1061" s="266"/>
      <c r="M1061" s="267"/>
      <c r="N1061" s="4"/>
      <c r="O1061" s="4"/>
    </row>
    <row r="1062" spans="1:15" x14ac:dyDescent="0.2">
      <c r="A1062" s="262"/>
      <c r="B1062" s="265"/>
      <c r="C1062" s="301"/>
      <c r="D1062" s="301"/>
      <c r="E1062" s="301"/>
      <c r="F1062" s="301"/>
      <c r="G1062" s="301"/>
      <c r="H1062" s="301"/>
      <c r="I1062" s="301"/>
      <c r="J1062" s="265"/>
      <c r="K1062" s="266"/>
      <c r="L1062" s="266"/>
      <c r="M1062" s="267"/>
      <c r="N1062" s="4"/>
      <c r="O1062" s="4"/>
    </row>
    <row r="1063" spans="1:15" x14ac:dyDescent="0.2">
      <c r="A1063" s="262"/>
      <c r="B1063" s="265"/>
      <c r="C1063" s="301"/>
      <c r="D1063" s="301"/>
      <c r="E1063" s="301"/>
      <c r="F1063" s="301"/>
      <c r="G1063" s="301"/>
      <c r="H1063" s="301"/>
      <c r="I1063" s="301"/>
      <c r="J1063" s="265"/>
      <c r="K1063" s="266"/>
      <c r="L1063" s="266"/>
      <c r="M1063" s="267"/>
      <c r="N1063" s="4"/>
      <c r="O1063" s="4"/>
    </row>
    <row r="1064" spans="1:15" x14ac:dyDescent="0.2">
      <c r="A1064" s="262"/>
      <c r="B1064" s="265"/>
      <c r="C1064" s="301"/>
      <c r="D1064" s="301"/>
      <c r="E1064" s="301"/>
      <c r="F1064" s="301"/>
      <c r="G1064" s="301"/>
      <c r="H1064" s="301"/>
      <c r="I1064" s="301"/>
      <c r="J1064" s="265"/>
      <c r="K1064" s="266"/>
      <c r="L1064" s="266"/>
      <c r="M1064" s="267"/>
      <c r="N1064" s="4"/>
      <c r="O1064" s="4"/>
    </row>
    <row r="1065" spans="1:15" x14ac:dyDescent="0.2">
      <c r="A1065" s="262"/>
      <c r="B1065" s="265"/>
      <c r="C1065" s="301"/>
      <c r="D1065" s="301"/>
      <c r="E1065" s="301"/>
      <c r="F1065" s="301"/>
      <c r="G1065" s="301"/>
      <c r="H1065" s="301"/>
      <c r="I1065" s="301"/>
      <c r="J1065" s="265"/>
      <c r="K1065" s="266"/>
      <c r="L1065" s="266"/>
      <c r="M1065" s="267"/>
      <c r="N1065" s="4"/>
      <c r="O1065" s="4"/>
    </row>
    <row r="1066" spans="1:15" x14ac:dyDescent="0.2">
      <c r="A1066" s="262"/>
      <c r="B1066" s="265"/>
      <c r="C1066" s="301"/>
      <c r="D1066" s="301"/>
      <c r="E1066" s="301"/>
      <c r="F1066" s="301"/>
      <c r="G1066" s="301"/>
      <c r="H1066" s="301"/>
      <c r="I1066" s="301"/>
      <c r="K1066" s="266"/>
      <c r="L1066" s="266"/>
      <c r="M1066" s="267"/>
      <c r="N1066" s="4"/>
      <c r="O1066" s="4"/>
    </row>
    <row r="1067" spans="1:15" x14ac:dyDescent="0.2">
      <c r="A1067" s="262"/>
      <c r="B1067" s="265"/>
      <c r="C1067" s="301"/>
      <c r="D1067" s="301"/>
      <c r="E1067" s="301"/>
      <c r="F1067" s="301"/>
      <c r="G1067" s="301"/>
      <c r="H1067" s="301"/>
      <c r="I1067" s="301"/>
      <c r="K1067" s="266"/>
      <c r="L1067" s="266"/>
      <c r="M1067" s="267"/>
      <c r="N1067" s="4"/>
      <c r="O1067" s="4"/>
    </row>
    <row r="1068" spans="1:15" x14ac:dyDescent="0.2">
      <c r="A1068" s="262"/>
      <c r="B1068" s="265"/>
      <c r="C1068" s="301"/>
      <c r="D1068" s="301"/>
      <c r="E1068" s="301"/>
      <c r="F1068" s="301"/>
      <c r="G1068" s="301"/>
      <c r="H1068" s="301"/>
      <c r="I1068" s="301"/>
      <c r="K1068" s="266"/>
      <c r="L1068" s="266"/>
      <c r="M1068" s="267"/>
      <c r="N1068" s="4"/>
      <c r="O1068" s="4"/>
    </row>
    <row r="1069" spans="1:15" x14ac:dyDescent="0.2">
      <c r="A1069" s="262"/>
      <c r="B1069" s="265"/>
      <c r="C1069" s="301"/>
      <c r="D1069" s="301"/>
      <c r="E1069" s="301"/>
      <c r="F1069" s="301"/>
      <c r="G1069" s="301"/>
      <c r="H1069" s="301"/>
      <c r="I1069" s="301"/>
      <c r="K1069" s="266"/>
      <c r="L1069" s="266"/>
      <c r="M1069" s="267"/>
      <c r="N1069" s="4"/>
      <c r="O1069" s="4"/>
    </row>
    <row r="1070" spans="1:15" x14ac:dyDescent="0.2">
      <c r="A1070" s="262"/>
      <c r="B1070" s="265"/>
      <c r="C1070" s="301"/>
      <c r="D1070" s="301"/>
      <c r="E1070" s="301"/>
      <c r="F1070" s="301"/>
      <c r="G1070" s="301"/>
      <c r="H1070" s="301"/>
      <c r="I1070" s="301"/>
      <c r="K1070" s="266"/>
      <c r="L1070" s="266"/>
      <c r="M1070" s="267"/>
      <c r="N1070" s="4"/>
      <c r="O1070" s="4"/>
    </row>
    <row r="1071" spans="1:15" x14ac:dyDescent="0.2">
      <c r="A1071" s="262"/>
      <c r="B1071" s="265"/>
      <c r="C1071" s="301"/>
      <c r="D1071" s="301"/>
      <c r="E1071" s="301"/>
      <c r="F1071" s="301"/>
      <c r="G1071" s="301"/>
      <c r="H1071" s="301"/>
      <c r="I1071" s="301"/>
      <c r="K1071" s="266"/>
      <c r="L1071" s="266"/>
      <c r="M1071" s="267"/>
      <c r="N1071" s="4"/>
      <c r="O1071" s="4"/>
    </row>
    <row r="1072" spans="1:15" x14ac:dyDescent="0.2">
      <c r="A1072" s="262"/>
      <c r="B1072" s="265"/>
      <c r="C1072" s="301"/>
      <c r="D1072" s="301"/>
      <c r="E1072" s="301"/>
      <c r="F1072" s="301"/>
      <c r="G1072" s="301"/>
      <c r="H1072" s="301"/>
      <c r="I1072" s="301"/>
      <c r="K1072" s="266"/>
      <c r="L1072" s="266"/>
      <c r="M1072" s="267"/>
      <c r="N1072" s="4"/>
      <c r="O1072" s="4"/>
    </row>
    <row r="1073" spans="1:15" x14ac:dyDescent="0.2">
      <c r="A1073" s="262"/>
      <c r="B1073" s="265"/>
      <c r="C1073" s="301"/>
      <c r="D1073" s="301"/>
      <c r="E1073" s="301"/>
      <c r="F1073" s="301"/>
      <c r="G1073" s="301"/>
      <c r="H1073" s="301"/>
      <c r="I1073" s="301"/>
      <c r="K1073" s="266"/>
      <c r="L1073" s="266"/>
      <c r="M1073" s="267"/>
      <c r="N1073" s="4"/>
      <c r="O1073" s="4"/>
    </row>
    <row r="1074" spans="1:15" x14ac:dyDescent="0.2">
      <c r="A1074" s="262"/>
      <c r="B1074" s="265"/>
      <c r="C1074" s="301"/>
      <c r="D1074" s="301"/>
      <c r="E1074" s="301"/>
      <c r="F1074" s="301"/>
      <c r="G1074" s="301"/>
      <c r="H1074" s="301"/>
      <c r="I1074" s="301"/>
      <c r="K1074" s="266"/>
      <c r="L1074" s="266"/>
      <c r="M1074" s="267"/>
      <c r="N1074" s="4"/>
      <c r="O1074" s="4"/>
    </row>
    <row r="1075" spans="1:15" x14ac:dyDescent="0.2">
      <c r="A1075" s="262"/>
      <c r="B1075" s="265"/>
      <c r="C1075" s="301"/>
      <c r="D1075" s="301"/>
      <c r="E1075" s="301"/>
      <c r="F1075" s="301"/>
      <c r="G1075" s="301"/>
      <c r="H1075" s="301"/>
      <c r="I1075" s="301"/>
      <c r="K1075" s="266"/>
      <c r="L1075" s="266"/>
      <c r="M1075" s="267"/>
      <c r="N1075" s="4"/>
      <c r="O1075" s="4"/>
    </row>
    <row r="1076" spans="1:15" x14ac:dyDescent="0.2">
      <c r="A1076" s="262"/>
      <c r="B1076" s="265"/>
      <c r="C1076" s="301"/>
      <c r="D1076" s="301"/>
      <c r="E1076" s="301"/>
      <c r="F1076" s="301"/>
      <c r="G1076" s="301"/>
      <c r="H1076" s="301"/>
      <c r="I1076" s="301"/>
      <c r="K1076" s="266"/>
      <c r="L1076" s="266"/>
      <c r="M1076" s="267"/>
      <c r="N1076" s="4"/>
      <c r="O1076" s="4"/>
    </row>
    <row r="1077" spans="1:15" x14ac:dyDescent="0.2">
      <c r="A1077" s="262"/>
      <c r="B1077" s="265"/>
      <c r="C1077" s="301"/>
      <c r="D1077" s="301"/>
      <c r="E1077" s="301"/>
      <c r="F1077" s="301"/>
      <c r="G1077" s="301"/>
      <c r="H1077" s="301"/>
      <c r="I1077" s="301"/>
      <c r="K1077" s="266"/>
      <c r="L1077" s="266"/>
      <c r="M1077" s="267"/>
      <c r="N1077" s="4"/>
      <c r="O1077" s="4"/>
    </row>
    <row r="1078" spans="1:15" x14ac:dyDescent="0.2">
      <c r="A1078" s="262"/>
      <c r="B1078" s="265"/>
      <c r="C1078" s="301"/>
      <c r="D1078" s="301"/>
      <c r="E1078" s="301"/>
      <c r="F1078" s="301"/>
      <c r="G1078" s="301"/>
      <c r="H1078" s="301"/>
      <c r="I1078" s="301"/>
      <c r="K1078" s="266"/>
      <c r="L1078" s="266"/>
      <c r="M1078" s="267"/>
      <c r="N1078" s="4"/>
      <c r="O1078" s="4"/>
    </row>
    <row r="1079" spans="1:15" x14ac:dyDescent="0.2">
      <c r="A1079" s="262"/>
      <c r="B1079" s="265"/>
      <c r="C1079" s="301"/>
      <c r="D1079" s="301"/>
      <c r="E1079" s="301"/>
      <c r="F1079" s="301"/>
      <c r="G1079" s="301"/>
      <c r="H1079" s="301"/>
      <c r="I1079" s="301"/>
      <c r="K1079" s="266"/>
      <c r="L1079" s="266"/>
      <c r="M1079" s="267"/>
      <c r="N1079" s="4"/>
      <c r="O1079" s="4"/>
    </row>
    <row r="1080" spans="1:15" x14ac:dyDescent="0.2">
      <c r="A1080" s="262"/>
      <c r="B1080" s="265"/>
      <c r="C1080" s="301"/>
      <c r="D1080" s="301"/>
      <c r="E1080" s="301"/>
      <c r="F1080" s="301"/>
      <c r="G1080" s="301"/>
      <c r="H1080" s="301"/>
      <c r="I1080" s="301"/>
      <c r="K1080" s="266"/>
      <c r="L1080" s="266"/>
      <c r="M1080" s="267"/>
      <c r="N1080" s="4"/>
      <c r="O1080" s="4"/>
    </row>
    <row r="1081" spans="1:15" x14ac:dyDescent="0.2">
      <c r="A1081" s="262"/>
      <c r="B1081" s="265"/>
      <c r="C1081" s="301"/>
      <c r="D1081" s="301"/>
      <c r="E1081" s="301"/>
      <c r="F1081" s="301"/>
      <c r="G1081" s="301"/>
      <c r="H1081" s="301"/>
      <c r="I1081" s="301"/>
      <c r="K1081" s="266"/>
      <c r="L1081" s="266"/>
      <c r="M1081" s="267"/>
      <c r="N1081" s="4"/>
      <c r="O1081" s="4"/>
    </row>
    <row r="1082" spans="1:15" x14ac:dyDescent="0.2">
      <c r="A1082" s="262"/>
      <c r="B1082" s="265"/>
      <c r="C1082" s="301"/>
      <c r="D1082" s="301"/>
      <c r="E1082" s="301"/>
      <c r="F1082" s="301"/>
      <c r="G1082" s="301"/>
      <c r="H1082" s="301"/>
      <c r="I1082" s="301"/>
      <c r="K1082" s="266"/>
      <c r="L1082" s="266"/>
      <c r="M1082" s="267"/>
      <c r="N1082" s="4"/>
      <c r="O1082" s="4"/>
    </row>
    <row r="1083" spans="1:15" x14ac:dyDescent="0.2">
      <c r="A1083" s="262"/>
      <c r="B1083" s="265"/>
      <c r="C1083" s="301"/>
      <c r="D1083" s="301"/>
      <c r="E1083" s="301"/>
      <c r="F1083" s="301"/>
      <c r="G1083" s="301"/>
      <c r="H1083" s="301"/>
      <c r="I1083" s="301"/>
      <c r="K1083" s="266"/>
      <c r="L1083" s="266"/>
      <c r="M1083" s="267"/>
      <c r="N1083" s="4"/>
      <c r="O1083" s="4"/>
    </row>
    <row r="1084" spans="1:15" x14ac:dyDescent="0.2">
      <c r="A1084" s="262"/>
      <c r="B1084" s="265"/>
      <c r="C1084" s="301"/>
      <c r="D1084" s="301"/>
      <c r="E1084" s="301"/>
      <c r="F1084" s="301"/>
      <c r="G1084" s="301"/>
      <c r="H1084" s="301"/>
      <c r="I1084" s="301"/>
      <c r="K1084" s="266"/>
      <c r="L1084" s="266"/>
      <c r="M1084" s="267"/>
      <c r="N1084" s="4"/>
      <c r="O1084" s="4"/>
    </row>
    <row r="1085" spans="1:15" x14ac:dyDescent="0.2">
      <c r="A1085" s="262"/>
      <c r="B1085" s="265"/>
      <c r="C1085" s="301"/>
      <c r="D1085" s="301"/>
      <c r="E1085" s="301"/>
      <c r="F1085" s="301"/>
      <c r="G1085" s="301"/>
      <c r="H1085" s="301"/>
      <c r="I1085" s="301"/>
      <c r="K1085" s="266"/>
      <c r="L1085" s="266"/>
      <c r="M1085" s="267"/>
      <c r="N1085" s="4"/>
      <c r="O1085" s="4"/>
    </row>
    <row r="1086" spans="1:15" x14ac:dyDescent="0.2">
      <c r="A1086" s="262"/>
      <c r="B1086" s="265"/>
      <c r="C1086" s="301"/>
      <c r="D1086" s="301"/>
      <c r="E1086" s="301"/>
      <c r="F1086" s="301"/>
      <c r="G1086" s="301"/>
      <c r="H1086" s="301"/>
      <c r="I1086" s="301"/>
      <c r="K1086" s="266"/>
      <c r="L1086" s="266"/>
      <c r="M1086" s="267"/>
      <c r="N1086" s="4"/>
      <c r="O1086" s="4"/>
    </row>
    <row r="1087" spans="1:15" x14ac:dyDescent="0.2">
      <c r="A1087" s="262"/>
      <c r="B1087" s="265"/>
      <c r="C1087" s="301"/>
      <c r="D1087" s="301"/>
      <c r="E1087" s="301"/>
      <c r="F1087" s="301"/>
      <c r="G1087" s="301"/>
      <c r="H1087" s="301"/>
      <c r="I1087" s="301"/>
      <c r="K1087" s="266"/>
      <c r="L1087" s="266"/>
      <c r="M1087" s="267"/>
      <c r="N1087" s="4"/>
      <c r="O1087" s="4"/>
    </row>
    <row r="1088" spans="1:15" x14ac:dyDescent="0.2">
      <c r="A1088" s="262"/>
      <c r="B1088" s="265"/>
      <c r="C1088" s="301"/>
      <c r="D1088" s="301"/>
      <c r="E1088" s="301"/>
      <c r="F1088" s="301"/>
      <c r="G1088" s="301"/>
      <c r="H1088" s="301"/>
      <c r="I1088" s="301"/>
      <c r="K1088" s="266"/>
      <c r="L1088" s="266"/>
      <c r="M1088" s="267"/>
      <c r="N1088" s="4"/>
      <c r="O1088" s="4"/>
    </row>
    <row r="1089" spans="1:15" x14ac:dyDescent="0.2">
      <c r="A1089" s="262"/>
      <c r="B1089" s="265"/>
      <c r="C1089" s="301"/>
      <c r="D1089" s="301"/>
      <c r="E1089" s="301"/>
      <c r="F1089" s="301"/>
      <c r="G1089" s="301"/>
      <c r="H1089" s="301"/>
      <c r="I1089" s="301"/>
      <c r="K1089" s="266"/>
      <c r="L1089" s="266"/>
      <c r="M1089" s="267"/>
      <c r="N1089" s="4"/>
      <c r="O1089" s="4"/>
    </row>
    <row r="1090" spans="1:15" x14ac:dyDescent="0.2">
      <c r="A1090" s="262"/>
      <c r="B1090" s="265"/>
      <c r="C1090" s="301"/>
      <c r="D1090" s="301"/>
      <c r="E1090" s="301"/>
      <c r="F1090" s="301"/>
      <c r="G1090" s="301"/>
      <c r="H1090" s="301"/>
      <c r="I1090" s="301"/>
      <c r="K1090" s="266"/>
      <c r="L1090" s="266"/>
      <c r="M1090" s="267"/>
      <c r="N1090" s="4"/>
      <c r="O1090" s="4"/>
    </row>
    <row r="1091" spans="1:15" x14ac:dyDescent="0.2">
      <c r="A1091" s="256"/>
      <c r="B1091" s="265"/>
      <c r="C1091" s="301"/>
      <c r="D1091" s="301"/>
      <c r="E1091" s="301"/>
      <c r="F1091" s="301"/>
      <c r="G1091" s="301"/>
      <c r="H1091" s="301"/>
      <c r="I1091" s="301"/>
      <c r="K1091" s="266"/>
      <c r="L1091" s="265"/>
      <c r="M1091" s="267"/>
      <c r="N1091" s="4"/>
      <c r="O1091" s="4"/>
    </row>
    <row r="1092" spans="1:15" x14ac:dyDescent="0.2">
      <c r="A1092" s="256"/>
      <c r="B1092" s="265"/>
      <c r="C1092" s="301"/>
      <c r="D1092" s="301"/>
      <c r="E1092" s="301"/>
      <c r="F1092" s="301"/>
      <c r="G1092" s="301"/>
      <c r="H1092" s="301"/>
      <c r="I1092" s="301"/>
      <c r="K1092" s="266"/>
      <c r="L1092" s="265"/>
      <c r="M1092" s="267"/>
      <c r="N1092" s="4"/>
      <c r="O1092" s="4"/>
    </row>
    <row r="1093" spans="1:15" x14ac:dyDescent="0.2">
      <c r="A1093" s="256"/>
      <c r="B1093" s="265"/>
      <c r="C1093" s="301"/>
      <c r="D1093" s="301"/>
      <c r="E1093" s="301"/>
      <c r="F1093" s="301"/>
      <c r="G1093" s="301"/>
      <c r="H1093" s="301"/>
      <c r="I1093" s="301"/>
      <c r="K1093" s="266"/>
      <c r="L1093" s="265"/>
      <c r="M1093" s="267"/>
      <c r="N1093" s="4"/>
      <c r="O1093" s="4"/>
    </row>
    <row r="1094" spans="1:15" x14ac:dyDescent="0.2">
      <c r="A1094" s="256"/>
      <c r="B1094" s="265"/>
      <c r="C1094" s="301"/>
      <c r="D1094" s="301"/>
      <c r="E1094" s="301"/>
      <c r="F1094" s="301"/>
      <c r="G1094" s="301"/>
      <c r="H1094" s="301"/>
      <c r="I1094" s="301"/>
      <c r="K1094" s="266"/>
      <c r="L1094" s="265"/>
      <c r="M1094" s="267"/>
      <c r="N1094" s="4"/>
      <c r="O1094" s="4"/>
    </row>
    <row r="1095" spans="1:15" x14ac:dyDescent="0.2">
      <c r="A1095" s="256"/>
      <c r="B1095" s="265"/>
      <c r="C1095" s="301"/>
      <c r="D1095" s="301"/>
      <c r="E1095" s="301"/>
      <c r="F1095" s="301"/>
      <c r="G1095" s="301"/>
      <c r="H1095" s="301"/>
      <c r="I1095" s="301"/>
      <c r="K1095" s="266"/>
      <c r="L1095" s="265"/>
      <c r="M1095" s="267"/>
      <c r="N1095" s="4"/>
      <c r="O1095" s="4"/>
    </row>
    <row r="1096" spans="1:15" x14ac:dyDescent="0.2">
      <c r="A1096" s="256"/>
      <c r="B1096" s="265"/>
      <c r="C1096" s="301"/>
      <c r="D1096" s="301"/>
      <c r="E1096" s="301"/>
      <c r="F1096" s="301"/>
      <c r="G1096" s="301"/>
      <c r="H1096" s="301"/>
      <c r="I1096" s="301"/>
      <c r="K1096" s="266"/>
      <c r="L1096" s="265"/>
      <c r="M1096" s="267"/>
      <c r="N1096" s="4"/>
      <c r="O1096" s="4"/>
    </row>
    <row r="1097" spans="1:15" x14ac:dyDescent="0.2">
      <c r="A1097" s="256"/>
      <c r="B1097" s="265"/>
      <c r="C1097" s="301"/>
      <c r="D1097" s="301"/>
      <c r="E1097" s="301"/>
      <c r="F1097" s="301"/>
      <c r="G1097" s="301"/>
      <c r="H1097" s="301"/>
      <c r="I1097" s="301"/>
      <c r="K1097" s="266"/>
      <c r="L1097" s="265"/>
      <c r="M1097" s="267"/>
      <c r="N1097" s="4"/>
      <c r="O1097" s="4"/>
    </row>
    <row r="1098" spans="1:15" x14ac:dyDescent="0.2">
      <c r="A1098" s="256"/>
      <c r="B1098" s="265"/>
      <c r="C1098" s="301"/>
      <c r="D1098" s="301"/>
      <c r="E1098" s="301"/>
      <c r="F1098" s="301"/>
      <c r="G1098" s="301"/>
      <c r="H1098" s="301"/>
      <c r="I1098" s="301"/>
      <c r="K1098" s="266"/>
      <c r="L1098" s="265"/>
      <c r="M1098" s="267"/>
      <c r="N1098" s="4"/>
      <c r="O1098" s="4"/>
    </row>
    <row r="1099" spans="1:15" x14ac:dyDescent="0.2">
      <c r="A1099" s="256"/>
      <c r="B1099" s="265"/>
      <c r="C1099" s="301"/>
      <c r="D1099" s="301"/>
      <c r="E1099" s="301"/>
      <c r="F1099" s="301"/>
      <c r="G1099" s="301"/>
      <c r="H1099" s="301"/>
      <c r="I1099" s="301"/>
      <c r="K1099" s="266"/>
      <c r="L1099" s="265"/>
      <c r="M1099" s="267"/>
      <c r="N1099" s="4"/>
      <c r="O1099" s="4"/>
    </row>
    <row r="1100" spans="1:15" x14ac:dyDescent="0.2">
      <c r="A1100" s="256"/>
      <c r="B1100" s="265"/>
      <c r="C1100" s="301"/>
      <c r="D1100" s="301"/>
      <c r="E1100" s="301"/>
      <c r="F1100" s="301"/>
      <c r="G1100" s="301"/>
      <c r="H1100" s="301"/>
      <c r="I1100" s="301"/>
      <c r="K1100" s="266"/>
      <c r="L1100" s="265"/>
      <c r="M1100" s="267"/>
      <c r="N1100" s="4"/>
      <c r="O1100" s="4"/>
    </row>
    <row r="1101" spans="1:15" x14ac:dyDescent="0.2">
      <c r="A1101" s="256"/>
      <c r="B1101" s="265"/>
      <c r="C1101" s="301"/>
      <c r="D1101" s="301"/>
      <c r="E1101" s="301"/>
      <c r="F1101" s="301"/>
      <c r="G1101" s="301"/>
      <c r="H1101" s="301"/>
      <c r="I1101" s="301"/>
      <c r="K1101" s="266"/>
      <c r="L1101" s="265"/>
      <c r="M1101" s="267"/>
      <c r="N1101" s="4"/>
      <c r="O1101" s="4"/>
    </row>
    <row r="1102" spans="1:15" x14ac:dyDescent="0.2">
      <c r="A1102" s="256"/>
      <c r="B1102" s="265"/>
      <c r="C1102" s="301"/>
      <c r="D1102" s="301"/>
      <c r="E1102" s="301"/>
      <c r="F1102" s="301"/>
      <c r="G1102" s="301"/>
      <c r="H1102" s="301"/>
      <c r="I1102" s="301"/>
      <c r="K1102" s="266"/>
      <c r="L1102" s="265"/>
      <c r="M1102" s="267"/>
      <c r="N1102" s="4"/>
      <c r="O1102" s="4"/>
    </row>
    <row r="1103" spans="1:15" x14ac:dyDescent="0.2">
      <c r="A1103" s="256"/>
      <c r="B1103" s="265"/>
      <c r="C1103" s="301"/>
      <c r="D1103" s="301"/>
      <c r="E1103" s="301"/>
      <c r="F1103" s="301"/>
      <c r="G1103" s="301"/>
      <c r="H1103" s="301"/>
      <c r="I1103" s="301"/>
      <c r="K1103" s="266"/>
      <c r="L1103" s="265"/>
      <c r="M1103" s="267"/>
      <c r="N1103" s="4"/>
      <c r="O1103" s="4"/>
    </row>
    <row r="1104" spans="1:15" x14ac:dyDescent="0.2">
      <c r="A1104" s="256"/>
      <c r="B1104" s="265"/>
      <c r="C1104" s="301"/>
      <c r="D1104" s="301"/>
      <c r="E1104" s="301"/>
      <c r="F1104" s="301"/>
      <c r="G1104" s="301"/>
      <c r="H1104" s="301"/>
      <c r="I1104" s="301"/>
      <c r="K1104" s="266"/>
      <c r="L1104" s="265"/>
      <c r="M1104" s="267"/>
      <c r="N1104" s="4"/>
      <c r="O1104" s="4"/>
    </row>
    <row r="1105" spans="1:15" x14ac:dyDescent="0.2">
      <c r="A1105" s="256"/>
      <c r="B1105" s="265"/>
      <c r="C1105" s="301"/>
      <c r="D1105" s="301"/>
      <c r="E1105" s="301"/>
      <c r="F1105" s="301"/>
      <c r="G1105" s="301"/>
      <c r="H1105" s="301"/>
      <c r="I1105" s="301"/>
      <c r="K1105" s="266"/>
      <c r="L1105" s="265"/>
      <c r="M1105" s="267"/>
      <c r="N1105" s="4"/>
      <c r="O1105" s="4"/>
    </row>
    <row r="1106" spans="1:15" x14ac:dyDescent="0.2">
      <c r="A1106" s="256"/>
      <c r="B1106" s="265"/>
      <c r="C1106" s="301"/>
      <c r="D1106" s="301"/>
      <c r="E1106" s="301"/>
      <c r="F1106" s="301"/>
      <c r="G1106" s="301"/>
      <c r="H1106" s="301"/>
      <c r="I1106" s="301"/>
      <c r="K1106" s="266"/>
      <c r="L1106" s="265"/>
      <c r="M1106" s="267"/>
      <c r="N1106" s="4"/>
      <c r="O1106" s="4"/>
    </row>
    <row r="1107" spans="1:15" x14ac:dyDescent="0.2">
      <c r="A1107" s="256"/>
      <c r="B1107" s="265"/>
      <c r="C1107" s="301"/>
      <c r="D1107" s="301"/>
      <c r="E1107" s="301"/>
      <c r="F1107" s="301"/>
      <c r="G1107" s="301"/>
      <c r="H1107" s="301"/>
      <c r="I1107" s="301"/>
      <c r="K1107" s="266"/>
      <c r="L1107" s="265"/>
      <c r="M1107" s="267"/>
      <c r="N1107" s="4"/>
      <c r="O1107" s="4"/>
    </row>
    <row r="1108" spans="1:15" x14ac:dyDescent="0.2">
      <c r="A1108" s="256"/>
      <c r="B1108" s="265"/>
      <c r="C1108" s="301"/>
      <c r="D1108" s="301"/>
      <c r="E1108" s="301"/>
      <c r="F1108" s="301"/>
      <c r="G1108" s="301"/>
      <c r="H1108" s="301"/>
      <c r="I1108" s="301"/>
      <c r="K1108" s="266"/>
      <c r="L1108" s="265"/>
      <c r="M1108" s="267"/>
      <c r="N1108" s="4"/>
      <c r="O1108" s="4"/>
    </row>
    <row r="1109" spans="1:15" x14ac:dyDescent="0.2">
      <c r="A1109" s="256"/>
      <c r="B1109" s="265"/>
      <c r="C1109" s="301"/>
      <c r="D1109" s="301"/>
      <c r="E1109" s="301"/>
      <c r="F1109" s="301"/>
      <c r="G1109" s="301"/>
      <c r="H1109" s="301"/>
      <c r="I1109" s="301"/>
      <c r="K1109" s="266"/>
      <c r="L1109" s="265"/>
      <c r="M1109" s="267"/>
      <c r="N1109" s="4"/>
      <c r="O1109" s="4"/>
    </row>
    <row r="1110" spans="1:15" x14ac:dyDescent="0.2">
      <c r="A1110" s="256"/>
      <c r="B1110" s="265"/>
      <c r="C1110" s="301"/>
      <c r="D1110" s="301"/>
      <c r="E1110" s="301"/>
      <c r="F1110" s="301"/>
      <c r="G1110" s="301"/>
      <c r="H1110" s="301"/>
      <c r="I1110" s="301"/>
      <c r="K1110" s="266"/>
      <c r="L1110" s="265"/>
      <c r="M1110" s="267"/>
      <c r="N1110" s="4"/>
      <c r="O1110" s="4"/>
    </row>
    <row r="1111" spans="1:15" x14ac:dyDescent="0.2">
      <c r="A1111" s="256"/>
      <c r="B1111" s="265"/>
      <c r="C1111" s="301"/>
      <c r="D1111" s="301"/>
      <c r="E1111" s="301"/>
      <c r="F1111" s="301"/>
      <c r="G1111" s="301"/>
      <c r="H1111" s="301"/>
      <c r="I1111" s="301"/>
      <c r="K1111" s="266"/>
      <c r="L1111" s="265"/>
      <c r="M1111" s="267"/>
      <c r="N1111" s="4"/>
      <c r="O1111" s="4"/>
    </row>
    <row r="1112" spans="1:15" x14ac:dyDescent="0.2">
      <c r="A1112" s="256"/>
      <c r="B1112" s="265"/>
      <c r="C1112" s="303"/>
      <c r="D1112" s="301"/>
      <c r="E1112" s="302"/>
      <c r="F1112" s="301"/>
      <c r="G1112" s="301"/>
      <c r="H1112" s="301"/>
      <c r="I1112" s="301"/>
      <c r="K1112" s="266"/>
      <c r="L1112" s="265"/>
      <c r="M1112" s="267"/>
      <c r="N1112" s="4"/>
      <c r="O1112" s="4"/>
    </row>
    <row r="1113" spans="1:15" x14ac:dyDescent="0.2">
      <c r="A1113" s="256"/>
      <c r="B1113" s="265"/>
      <c r="C1113" s="303"/>
      <c r="D1113" s="301"/>
      <c r="E1113" s="302"/>
      <c r="F1113" s="301"/>
      <c r="G1113" s="301"/>
      <c r="H1113" s="301"/>
      <c r="I1113" s="301"/>
      <c r="K1113" s="266"/>
      <c r="L1113" s="265"/>
      <c r="M1113" s="267"/>
      <c r="N1113" s="4"/>
      <c r="O1113" s="4"/>
    </row>
    <row r="1114" spans="1:15" x14ac:dyDescent="0.2">
      <c r="A1114" s="256"/>
      <c r="B1114" s="265"/>
      <c r="C1114" s="303"/>
      <c r="D1114" s="301"/>
      <c r="E1114" s="302"/>
      <c r="F1114" s="301"/>
      <c r="G1114" s="301"/>
      <c r="H1114" s="301"/>
      <c r="I1114" s="301"/>
      <c r="K1114" s="266"/>
      <c r="L1114" s="265"/>
      <c r="M1114" s="267"/>
      <c r="N1114" s="4"/>
      <c r="O1114" s="4"/>
    </row>
    <row r="1115" spans="1:15" x14ac:dyDescent="0.2">
      <c r="A1115" s="256"/>
      <c r="B1115" s="265"/>
      <c r="C1115" s="303"/>
      <c r="D1115" s="301"/>
      <c r="E1115" s="302"/>
      <c r="F1115" s="301"/>
      <c r="G1115" s="301"/>
      <c r="H1115" s="301"/>
      <c r="I1115" s="301"/>
      <c r="K1115" s="266"/>
      <c r="L1115" s="265"/>
      <c r="M1115" s="267"/>
      <c r="N1115" s="4"/>
      <c r="O1115" s="4"/>
    </row>
    <row r="1116" spans="1:15" x14ac:dyDescent="0.2">
      <c r="A1116" s="256"/>
      <c r="B1116" s="265"/>
      <c r="C1116" s="303"/>
      <c r="D1116" s="301"/>
      <c r="E1116" s="302"/>
      <c r="F1116" s="301"/>
      <c r="G1116" s="301"/>
      <c r="H1116" s="301"/>
      <c r="I1116" s="301"/>
      <c r="K1116" s="266"/>
      <c r="L1116" s="265"/>
      <c r="M1116" s="267"/>
      <c r="N1116" s="4"/>
      <c r="O1116" s="4"/>
    </row>
    <row r="1117" spans="1:15" x14ac:dyDescent="0.2">
      <c r="A1117" s="256"/>
      <c r="B1117" s="265"/>
      <c r="C1117" s="303"/>
      <c r="D1117" s="301"/>
      <c r="E1117" s="302"/>
      <c r="F1117" s="301"/>
      <c r="G1117" s="301"/>
      <c r="H1117" s="301"/>
      <c r="I1117" s="301"/>
      <c r="K1117" s="266"/>
      <c r="L1117" s="265"/>
      <c r="M1117" s="267"/>
      <c r="N1117" s="4"/>
      <c r="O1117" s="4"/>
    </row>
    <row r="1118" spans="1:15" x14ac:dyDescent="0.2">
      <c r="A1118" s="256"/>
      <c r="B1118" s="265"/>
      <c r="C1118" s="303"/>
      <c r="D1118" s="301"/>
      <c r="E1118" s="302"/>
      <c r="F1118" s="301"/>
      <c r="G1118" s="301"/>
      <c r="H1118" s="301"/>
      <c r="I1118" s="301"/>
      <c r="K1118" s="266"/>
      <c r="L1118" s="265"/>
      <c r="M1118" s="267"/>
      <c r="N1118" s="4"/>
      <c r="O1118" s="4"/>
    </row>
    <row r="1119" spans="1:15" x14ac:dyDescent="0.2">
      <c r="A1119" s="256"/>
      <c r="B1119" s="265"/>
      <c r="C1119" s="303"/>
      <c r="D1119" s="301"/>
      <c r="E1119" s="302"/>
      <c r="F1119" s="301"/>
      <c r="G1119" s="301"/>
      <c r="H1119" s="301"/>
      <c r="I1119" s="301"/>
      <c r="K1119" s="266"/>
      <c r="L1119" s="265"/>
      <c r="M1119" s="267"/>
      <c r="N1119" s="4"/>
      <c r="O1119" s="4"/>
    </row>
    <row r="1120" spans="1:15" x14ac:dyDescent="0.2">
      <c r="A1120" s="256"/>
      <c r="B1120" s="265"/>
      <c r="C1120" s="303"/>
      <c r="D1120" s="301"/>
      <c r="E1120" s="302"/>
      <c r="F1120" s="301"/>
      <c r="G1120" s="301"/>
      <c r="H1120" s="301"/>
      <c r="I1120" s="301"/>
      <c r="K1120" s="266"/>
      <c r="L1120" s="265"/>
      <c r="M1120" s="267"/>
      <c r="N1120" s="4"/>
      <c r="O1120" s="4"/>
    </row>
    <row r="1121" spans="1:15" x14ac:dyDescent="0.2">
      <c r="A1121" s="256"/>
      <c r="B1121" s="265"/>
      <c r="C1121" s="303"/>
      <c r="D1121" s="301"/>
      <c r="E1121" s="302"/>
      <c r="F1121" s="301"/>
      <c r="G1121" s="301"/>
      <c r="H1121" s="301"/>
      <c r="I1121" s="301"/>
      <c r="K1121" s="266"/>
      <c r="L1121" s="265"/>
      <c r="M1121" s="267"/>
      <c r="N1121" s="4"/>
      <c r="O1121" s="4"/>
    </row>
    <row r="1122" spans="1:15" x14ac:dyDescent="0.2">
      <c r="A1122" s="256"/>
      <c r="B1122" s="265"/>
      <c r="C1122" s="303"/>
      <c r="D1122" s="301"/>
      <c r="E1122" s="302"/>
      <c r="F1122" s="301"/>
      <c r="G1122" s="301"/>
      <c r="H1122" s="301"/>
      <c r="I1122" s="301"/>
      <c r="K1122" s="266"/>
      <c r="L1122" s="265"/>
      <c r="M1122" s="267"/>
      <c r="N1122" s="4"/>
      <c r="O1122" s="4"/>
    </row>
    <row r="1123" spans="1:15" x14ac:dyDescent="0.2">
      <c r="A1123" s="256"/>
      <c r="B1123" s="265"/>
      <c r="C1123" s="303"/>
      <c r="D1123" s="301"/>
      <c r="E1123" s="302"/>
      <c r="F1123" s="301"/>
      <c r="G1123" s="301"/>
      <c r="H1123" s="301"/>
      <c r="I1123" s="301"/>
      <c r="K1123" s="266"/>
      <c r="L1123" s="265"/>
      <c r="M1123" s="267"/>
      <c r="N1123" s="4"/>
      <c r="O1123" s="4"/>
    </row>
    <row r="1124" spans="1:15" x14ac:dyDescent="0.2">
      <c r="A1124" s="256"/>
      <c r="B1124" s="265"/>
      <c r="C1124" s="303"/>
      <c r="D1124" s="301"/>
      <c r="E1124" s="302"/>
      <c r="F1124" s="301"/>
      <c r="G1124" s="301"/>
      <c r="H1124" s="301"/>
      <c r="I1124" s="301"/>
      <c r="K1124" s="266"/>
      <c r="L1124" s="265"/>
      <c r="M1124" s="267"/>
      <c r="N1124" s="4"/>
      <c r="O1124" s="4"/>
    </row>
    <row r="1125" spans="1:15" x14ac:dyDescent="0.2">
      <c r="A1125" s="256"/>
      <c r="B1125" s="265"/>
      <c r="C1125" s="303"/>
      <c r="D1125" s="301"/>
      <c r="E1125" s="302"/>
      <c r="F1125" s="301"/>
      <c r="G1125" s="301"/>
      <c r="H1125" s="301"/>
      <c r="I1125" s="301"/>
      <c r="K1125" s="266"/>
      <c r="L1125" s="265"/>
      <c r="M1125" s="267"/>
      <c r="N1125" s="4"/>
      <c r="O1125" s="4"/>
    </row>
    <row r="1126" spans="1:15" x14ac:dyDescent="0.2">
      <c r="A1126" s="256"/>
      <c r="B1126" s="265"/>
      <c r="C1126" s="303"/>
      <c r="D1126" s="301"/>
      <c r="E1126" s="302"/>
      <c r="F1126" s="301"/>
      <c r="G1126" s="301"/>
      <c r="H1126" s="301"/>
      <c r="I1126" s="301"/>
      <c r="K1126" s="266"/>
      <c r="L1126" s="265"/>
      <c r="M1126" s="267"/>
      <c r="N1126" s="4"/>
      <c r="O1126" s="4"/>
    </row>
    <row r="1127" spans="1:15" x14ac:dyDescent="0.2">
      <c r="A1127" s="256"/>
      <c r="B1127" s="265"/>
      <c r="C1127" s="303"/>
      <c r="D1127" s="301"/>
      <c r="E1127" s="302"/>
      <c r="F1127" s="301"/>
      <c r="G1127" s="301"/>
      <c r="H1127" s="301"/>
      <c r="I1127" s="301"/>
      <c r="K1127" s="266"/>
      <c r="L1127" s="265"/>
      <c r="M1127" s="267"/>
      <c r="N1127" s="4"/>
      <c r="O1127" s="4"/>
    </row>
    <row r="1128" spans="1:15" x14ac:dyDescent="0.2">
      <c r="A1128" s="256"/>
      <c r="B1128" s="265"/>
      <c r="C1128" s="303"/>
      <c r="D1128" s="301"/>
      <c r="E1128" s="302"/>
      <c r="F1128" s="301"/>
      <c r="G1128" s="301"/>
      <c r="H1128" s="301"/>
      <c r="I1128" s="301"/>
      <c r="K1128" s="266"/>
      <c r="L1128" s="265"/>
      <c r="M1128" s="267"/>
      <c r="N1128" s="4"/>
      <c r="O1128" s="4"/>
    </row>
    <row r="1129" spans="1:15" x14ac:dyDescent="0.2">
      <c r="A1129" s="256"/>
      <c r="B1129" s="265"/>
      <c r="C1129" s="303"/>
      <c r="D1129" s="301"/>
      <c r="E1129" s="302"/>
      <c r="F1129" s="301"/>
      <c r="G1129" s="301"/>
      <c r="H1129" s="301"/>
      <c r="I1129" s="301"/>
      <c r="K1129" s="266"/>
      <c r="L1129" s="265"/>
      <c r="M1129" s="267"/>
      <c r="N1129" s="4"/>
      <c r="O1129" s="4"/>
    </row>
    <row r="1130" spans="1:15" x14ac:dyDescent="0.2">
      <c r="A1130" s="256"/>
      <c r="B1130" s="265"/>
      <c r="C1130" s="303"/>
      <c r="D1130" s="301"/>
      <c r="E1130" s="302"/>
      <c r="F1130" s="301"/>
      <c r="G1130" s="301"/>
      <c r="H1130" s="301"/>
      <c r="I1130" s="301"/>
      <c r="K1130" s="266"/>
      <c r="L1130" s="265"/>
      <c r="M1130" s="267"/>
      <c r="N1130" s="4"/>
      <c r="O1130" s="4"/>
    </row>
    <row r="1131" spans="1:15" x14ac:dyDescent="0.2">
      <c r="A1131" s="256"/>
      <c r="B1131" s="265"/>
      <c r="C1131" s="303"/>
      <c r="D1131" s="301"/>
      <c r="E1131" s="302"/>
      <c r="F1131" s="301"/>
      <c r="G1131" s="301"/>
      <c r="H1131" s="301"/>
      <c r="I1131" s="301"/>
      <c r="K1131" s="266"/>
      <c r="L1131" s="265"/>
      <c r="M1131" s="267"/>
      <c r="N1131" s="4"/>
      <c r="O1131" s="4"/>
    </row>
    <row r="1132" spans="1:15" x14ac:dyDescent="0.2">
      <c r="A1132" s="256"/>
      <c r="B1132" s="265"/>
      <c r="C1132" s="303"/>
      <c r="D1132" s="301"/>
      <c r="E1132" s="302"/>
      <c r="F1132" s="301"/>
      <c r="G1132" s="301"/>
      <c r="H1132" s="301"/>
      <c r="I1132" s="301"/>
      <c r="K1132" s="266"/>
      <c r="L1132" s="265"/>
      <c r="M1132" s="267"/>
      <c r="N1132" s="4"/>
      <c r="O1132" s="4"/>
    </row>
    <row r="1133" spans="1:15" x14ac:dyDescent="0.2">
      <c r="A1133" s="256"/>
      <c r="B1133" s="265"/>
      <c r="C1133" s="303"/>
      <c r="D1133" s="301"/>
      <c r="E1133" s="302"/>
      <c r="F1133" s="301"/>
      <c r="G1133" s="301"/>
      <c r="H1133" s="301"/>
      <c r="I1133" s="301"/>
      <c r="K1133" s="266"/>
      <c r="L1133" s="265"/>
      <c r="M1133" s="267"/>
      <c r="N1133" s="4"/>
      <c r="O1133" s="4"/>
    </row>
    <row r="1134" spans="1:15" x14ac:dyDescent="0.2">
      <c r="A1134" s="256"/>
      <c r="B1134" s="265"/>
      <c r="C1134" s="303"/>
      <c r="D1134" s="301"/>
      <c r="E1134" s="302"/>
      <c r="F1134" s="301"/>
      <c r="G1134" s="301"/>
      <c r="H1134" s="301"/>
      <c r="I1134" s="301"/>
      <c r="K1134" s="266"/>
      <c r="L1134" s="265"/>
      <c r="M1134" s="267"/>
      <c r="N1134" s="4"/>
      <c r="O1134" s="4"/>
    </row>
    <row r="1135" spans="1:15" x14ac:dyDescent="0.2">
      <c r="A1135" s="256"/>
      <c r="B1135" s="265"/>
      <c r="C1135" s="303"/>
      <c r="D1135" s="301"/>
      <c r="E1135" s="302"/>
      <c r="F1135" s="301"/>
      <c r="G1135" s="301"/>
      <c r="H1135" s="301"/>
      <c r="I1135" s="301"/>
      <c r="K1135" s="266"/>
      <c r="L1135" s="265"/>
      <c r="M1135" s="267"/>
      <c r="N1135" s="4"/>
      <c r="O1135" s="4"/>
    </row>
    <row r="1136" spans="1:15" x14ac:dyDescent="0.2">
      <c r="A1136" s="256"/>
      <c r="B1136" s="265"/>
      <c r="C1136" s="303"/>
      <c r="D1136" s="301"/>
      <c r="E1136" s="302"/>
      <c r="F1136" s="301"/>
      <c r="G1136" s="301"/>
      <c r="H1136" s="301"/>
      <c r="I1136" s="301"/>
      <c r="K1136" s="266"/>
      <c r="L1136" s="265"/>
      <c r="M1136" s="267"/>
      <c r="N1136" s="4"/>
      <c r="O1136" s="4"/>
    </row>
    <row r="1137" spans="1:15" x14ac:dyDescent="0.2">
      <c r="A1137" s="256"/>
      <c r="B1137" s="265"/>
      <c r="C1137" s="303"/>
      <c r="D1137" s="301"/>
      <c r="E1137" s="302"/>
      <c r="F1137" s="301"/>
      <c r="G1137" s="301"/>
      <c r="H1137" s="301"/>
      <c r="I1137" s="301"/>
      <c r="K1137" s="266"/>
      <c r="L1137" s="265"/>
      <c r="M1137" s="267"/>
      <c r="N1137" s="4"/>
      <c r="O1137" s="4"/>
    </row>
    <row r="1138" spans="1:15" x14ac:dyDescent="0.2">
      <c r="A1138" s="256"/>
      <c r="B1138" s="265"/>
      <c r="C1138" s="303"/>
      <c r="D1138" s="301"/>
      <c r="E1138" s="302"/>
      <c r="F1138" s="301"/>
      <c r="G1138" s="301"/>
      <c r="H1138" s="301"/>
      <c r="I1138" s="301"/>
      <c r="K1138" s="266"/>
      <c r="L1138" s="265"/>
      <c r="M1138" s="267"/>
      <c r="N1138" s="4"/>
      <c r="O1138" s="4"/>
    </row>
    <row r="1139" spans="1:15" x14ac:dyDescent="0.2">
      <c r="A1139" s="256"/>
      <c r="B1139" s="265"/>
      <c r="C1139" s="303"/>
      <c r="D1139" s="301"/>
      <c r="E1139" s="302"/>
      <c r="F1139" s="301"/>
      <c r="G1139" s="301"/>
      <c r="H1139" s="301"/>
      <c r="I1139" s="301"/>
      <c r="K1139" s="266"/>
      <c r="L1139" s="265"/>
      <c r="M1139" s="267"/>
      <c r="N1139" s="4"/>
      <c r="O1139" s="4"/>
    </row>
    <row r="1140" spans="1:15" x14ac:dyDescent="0.2">
      <c r="A1140" s="256"/>
      <c r="B1140" s="265"/>
      <c r="C1140" s="303"/>
      <c r="D1140" s="301"/>
      <c r="E1140" s="302"/>
      <c r="F1140" s="301"/>
      <c r="G1140" s="301"/>
      <c r="H1140" s="301"/>
      <c r="I1140" s="301"/>
      <c r="K1140" s="266"/>
      <c r="L1140" s="265"/>
      <c r="M1140" s="267"/>
      <c r="N1140" s="4"/>
      <c r="O1140" s="4"/>
    </row>
    <row r="1141" spans="1:15" x14ac:dyDescent="0.2">
      <c r="A1141" s="256"/>
      <c r="B1141" s="265"/>
      <c r="C1141" s="303"/>
      <c r="D1141" s="301"/>
      <c r="E1141" s="302"/>
      <c r="F1141" s="301"/>
      <c r="G1141" s="301"/>
      <c r="H1141" s="301"/>
      <c r="I1141" s="301"/>
      <c r="K1141" s="266"/>
      <c r="L1141" s="265"/>
      <c r="M1141" s="267"/>
      <c r="N1141" s="4"/>
      <c r="O1141" s="4"/>
    </row>
    <row r="1142" spans="1:15" x14ac:dyDescent="0.2">
      <c r="A1142" s="256"/>
      <c r="B1142" s="265"/>
      <c r="C1142" s="303"/>
      <c r="D1142" s="301"/>
      <c r="E1142" s="302"/>
      <c r="F1142" s="301"/>
      <c r="G1142" s="301"/>
      <c r="H1142" s="301"/>
      <c r="I1142" s="301"/>
      <c r="K1142" s="266"/>
      <c r="L1142" s="265"/>
      <c r="M1142" s="267"/>
      <c r="N1142" s="4"/>
      <c r="O1142" s="4"/>
    </row>
    <row r="1143" spans="1:15" x14ac:dyDescent="0.2">
      <c r="A1143" s="256"/>
      <c r="B1143" s="265"/>
      <c r="C1143" s="303"/>
      <c r="D1143" s="301"/>
      <c r="E1143" s="302"/>
      <c r="F1143" s="301"/>
      <c r="G1143" s="301"/>
      <c r="H1143" s="301"/>
      <c r="I1143" s="301"/>
      <c r="K1143" s="266"/>
      <c r="L1143" s="265"/>
      <c r="M1143" s="267"/>
      <c r="N1143" s="4"/>
      <c r="O1143" s="4"/>
    </row>
    <row r="1144" spans="1:15" x14ac:dyDescent="0.2">
      <c r="A1144" s="256"/>
      <c r="B1144" s="265"/>
      <c r="C1144" s="303"/>
      <c r="D1144" s="301"/>
      <c r="E1144" s="302"/>
      <c r="F1144" s="301"/>
      <c r="G1144" s="301"/>
      <c r="H1144" s="301"/>
      <c r="I1144" s="301"/>
      <c r="K1144" s="266"/>
      <c r="L1144" s="265"/>
      <c r="M1144" s="267"/>
      <c r="N1144" s="4"/>
      <c r="O1144" s="4"/>
    </row>
    <row r="1145" spans="1:15" x14ac:dyDescent="0.2">
      <c r="A1145" s="256"/>
      <c r="B1145" s="265"/>
      <c r="C1145" s="303"/>
      <c r="D1145" s="301"/>
      <c r="E1145" s="302"/>
      <c r="F1145" s="301"/>
      <c r="G1145" s="301"/>
      <c r="H1145" s="301"/>
      <c r="I1145" s="301"/>
      <c r="K1145" s="266"/>
      <c r="L1145" s="265"/>
      <c r="M1145" s="267"/>
      <c r="N1145" s="4"/>
      <c r="O1145" s="4"/>
    </row>
    <row r="1146" spans="1:15" x14ac:dyDescent="0.2">
      <c r="A1146" s="256"/>
      <c r="B1146" s="265"/>
      <c r="C1146" s="303"/>
      <c r="D1146" s="301"/>
      <c r="E1146" s="302"/>
      <c r="F1146" s="301"/>
      <c r="G1146" s="301"/>
      <c r="H1146" s="301"/>
      <c r="I1146" s="301"/>
      <c r="K1146" s="266"/>
      <c r="L1146" s="265"/>
      <c r="M1146" s="267"/>
      <c r="N1146" s="4"/>
      <c r="O1146" s="4"/>
    </row>
    <row r="1147" spans="1:15" x14ac:dyDescent="0.2">
      <c r="A1147" s="256"/>
      <c r="B1147" s="265"/>
      <c r="C1147" s="303"/>
      <c r="D1147" s="301"/>
      <c r="E1147" s="302"/>
      <c r="F1147" s="301"/>
      <c r="G1147" s="301"/>
      <c r="H1147" s="301"/>
      <c r="I1147" s="301"/>
      <c r="K1147" s="266"/>
      <c r="L1147" s="265"/>
      <c r="M1147" s="267"/>
      <c r="N1147" s="4"/>
      <c r="O1147" s="4"/>
    </row>
    <row r="1148" spans="1:15" x14ac:dyDescent="0.2">
      <c r="A1148" s="256"/>
      <c r="B1148" s="265"/>
      <c r="C1148" s="303"/>
      <c r="D1148" s="301"/>
      <c r="E1148" s="302"/>
      <c r="F1148" s="301"/>
      <c r="G1148" s="301"/>
      <c r="H1148" s="301"/>
      <c r="I1148" s="301"/>
      <c r="K1148" s="266"/>
      <c r="L1148" s="265"/>
      <c r="M1148" s="267"/>
      <c r="N1148" s="4"/>
      <c r="O1148" s="4"/>
    </row>
    <row r="1149" spans="1:15" x14ac:dyDescent="0.2">
      <c r="A1149" s="256"/>
      <c r="B1149" s="265"/>
      <c r="C1149" s="303"/>
      <c r="D1149" s="301"/>
      <c r="E1149" s="302"/>
      <c r="F1149" s="301"/>
      <c r="G1149" s="301"/>
      <c r="H1149" s="301"/>
      <c r="I1149" s="301"/>
      <c r="K1149" s="266"/>
      <c r="L1149" s="265"/>
      <c r="M1149" s="267"/>
      <c r="N1149" s="4"/>
      <c r="O1149" s="4"/>
    </row>
    <row r="1150" spans="1:15" x14ac:dyDescent="0.2">
      <c r="A1150" s="256"/>
      <c r="B1150" s="265"/>
      <c r="C1150" s="303"/>
      <c r="D1150" s="301"/>
      <c r="E1150" s="302"/>
      <c r="F1150" s="301"/>
      <c r="G1150" s="301"/>
      <c r="H1150" s="301"/>
      <c r="I1150" s="301"/>
      <c r="K1150" s="266"/>
      <c r="L1150" s="265"/>
      <c r="M1150" s="267"/>
      <c r="N1150" s="4"/>
      <c r="O1150" s="4"/>
    </row>
    <row r="1151" spans="1:15" x14ac:dyDescent="0.2">
      <c r="A1151" s="256"/>
      <c r="B1151" s="265"/>
      <c r="C1151" s="303"/>
      <c r="D1151" s="301"/>
      <c r="E1151" s="302"/>
      <c r="F1151" s="301"/>
      <c r="G1151" s="301"/>
      <c r="H1151" s="301"/>
      <c r="I1151" s="301"/>
      <c r="K1151" s="266"/>
      <c r="L1151" s="265"/>
      <c r="M1151" s="267"/>
      <c r="N1151" s="4"/>
      <c r="O1151" s="4"/>
    </row>
    <row r="1152" spans="1:15" x14ac:dyDescent="0.2">
      <c r="A1152" s="256"/>
      <c r="B1152" s="265"/>
      <c r="C1152" s="303"/>
      <c r="D1152" s="301"/>
      <c r="E1152" s="302"/>
      <c r="F1152" s="301"/>
      <c r="G1152" s="301"/>
      <c r="H1152" s="301"/>
      <c r="I1152" s="301"/>
      <c r="K1152" s="266"/>
      <c r="L1152" s="265"/>
      <c r="M1152" s="267"/>
      <c r="N1152" s="4"/>
      <c r="O1152" s="4"/>
    </row>
    <row r="1153" spans="1:15" x14ac:dyDescent="0.2">
      <c r="A1153" s="256"/>
      <c r="B1153" s="265"/>
      <c r="C1153" s="303"/>
      <c r="D1153" s="301"/>
      <c r="E1153" s="302"/>
      <c r="F1153" s="301"/>
      <c r="G1153" s="301"/>
      <c r="H1153" s="301"/>
      <c r="I1153" s="301"/>
      <c r="K1153" s="266"/>
      <c r="L1153" s="265"/>
      <c r="M1153" s="267"/>
      <c r="N1153" s="4"/>
      <c r="O1153" s="4"/>
    </row>
    <row r="1154" spans="1:15" x14ac:dyDescent="0.2">
      <c r="A1154" s="256"/>
      <c r="B1154" s="265"/>
      <c r="C1154" s="303"/>
      <c r="D1154" s="301"/>
      <c r="E1154" s="302"/>
      <c r="F1154" s="301"/>
      <c r="G1154" s="301"/>
      <c r="H1154" s="301"/>
      <c r="I1154" s="301"/>
      <c r="K1154" s="266"/>
      <c r="L1154" s="265"/>
      <c r="M1154" s="267"/>
      <c r="N1154" s="4"/>
      <c r="O1154" s="4"/>
    </row>
    <row r="1155" spans="1:15" x14ac:dyDescent="0.2">
      <c r="A1155" s="256"/>
      <c r="B1155" s="265"/>
      <c r="C1155" s="303"/>
      <c r="D1155" s="301"/>
      <c r="E1155" s="302"/>
      <c r="F1155" s="301"/>
      <c r="G1155" s="301"/>
      <c r="H1155" s="301"/>
      <c r="I1155" s="301"/>
      <c r="K1155" s="266"/>
      <c r="L1155" s="265"/>
      <c r="M1155" s="267"/>
      <c r="N1155" s="4"/>
      <c r="O1155" s="4"/>
    </row>
    <row r="1156" spans="1:15" x14ac:dyDescent="0.2">
      <c r="A1156" s="256"/>
      <c r="B1156" s="265"/>
      <c r="C1156" s="303"/>
      <c r="D1156" s="301"/>
      <c r="E1156" s="302"/>
      <c r="F1156" s="301"/>
      <c r="G1156" s="301"/>
      <c r="H1156" s="301"/>
      <c r="I1156" s="301"/>
      <c r="K1156" s="266"/>
      <c r="L1156" s="265"/>
      <c r="M1156" s="267"/>
      <c r="N1156" s="4"/>
      <c r="O1156" s="4"/>
    </row>
    <row r="1157" spans="1:15" x14ac:dyDescent="0.2">
      <c r="A1157" s="256"/>
      <c r="B1157" s="265"/>
      <c r="C1157" s="303"/>
      <c r="D1157" s="301"/>
      <c r="E1157" s="302"/>
      <c r="F1157" s="301"/>
      <c r="G1157" s="301"/>
      <c r="H1157" s="301"/>
      <c r="I1157" s="301"/>
      <c r="K1157" s="266"/>
      <c r="L1157" s="265"/>
      <c r="M1157" s="267"/>
      <c r="N1157" s="4"/>
      <c r="O1157" s="4"/>
    </row>
    <row r="1158" spans="1:15" x14ac:dyDescent="0.2">
      <c r="A1158" s="256"/>
      <c r="B1158" s="265"/>
      <c r="C1158" s="303"/>
      <c r="D1158" s="301"/>
      <c r="E1158" s="302"/>
      <c r="F1158" s="301"/>
      <c r="G1158" s="301"/>
      <c r="H1158" s="301"/>
      <c r="I1158" s="301"/>
      <c r="K1158" s="266"/>
      <c r="L1158" s="265"/>
      <c r="M1158" s="267"/>
      <c r="N1158" s="4"/>
      <c r="O1158" s="4"/>
    </row>
    <row r="1159" spans="1:15" x14ac:dyDescent="0.2">
      <c r="A1159" s="256"/>
      <c r="B1159" s="265"/>
      <c r="C1159" s="303"/>
      <c r="D1159" s="301"/>
      <c r="E1159" s="302"/>
      <c r="F1159" s="301"/>
      <c r="G1159" s="301"/>
      <c r="H1159" s="301"/>
      <c r="I1159" s="301"/>
      <c r="K1159" s="266"/>
      <c r="L1159" s="265"/>
      <c r="M1159" s="267"/>
      <c r="N1159" s="4"/>
      <c r="O1159" s="4"/>
    </row>
    <row r="1160" spans="1:15" x14ac:dyDescent="0.2">
      <c r="A1160" s="256"/>
      <c r="B1160" s="265"/>
      <c r="C1160" s="303"/>
      <c r="D1160" s="301"/>
      <c r="E1160" s="302"/>
      <c r="F1160" s="301"/>
      <c r="G1160" s="301"/>
      <c r="H1160" s="301"/>
      <c r="I1160" s="301"/>
      <c r="K1160" s="266"/>
      <c r="L1160" s="265"/>
      <c r="M1160" s="267"/>
      <c r="N1160" s="4"/>
      <c r="O1160" s="4"/>
    </row>
    <row r="1161" spans="1:15" x14ac:dyDescent="0.2">
      <c r="A1161" s="256"/>
      <c r="B1161" s="265"/>
      <c r="C1161" s="303"/>
      <c r="D1161" s="301"/>
      <c r="E1161" s="302"/>
      <c r="F1161" s="301"/>
      <c r="G1161" s="301"/>
      <c r="H1161" s="301"/>
      <c r="I1161" s="301"/>
      <c r="K1161" s="266"/>
      <c r="L1161" s="265"/>
      <c r="M1161" s="267"/>
      <c r="N1161" s="4"/>
      <c r="O1161" s="4"/>
    </row>
    <row r="1162" spans="1:15" x14ac:dyDescent="0.2">
      <c r="A1162" s="256"/>
      <c r="B1162" s="265"/>
      <c r="C1162" s="303"/>
      <c r="D1162" s="301"/>
      <c r="E1162" s="302"/>
      <c r="F1162" s="301"/>
      <c r="G1162" s="301"/>
      <c r="H1162" s="301"/>
      <c r="I1162" s="301"/>
      <c r="K1162" s="266"/>
      <c r="L1162" s="265"/>
      <c r="M1162" s="267"/>
      <c r="N1162" s="4"/>
      <c r="O1162" s="4"/>
    </row>
    <row r="1163" spans="1:15" x14ac:dyDescent="0.2">
      <c r="A1163" s="256"/>
      <c r="B1163" s="265"/>
      <c r="C1163" s="303"/>
      <c r="D1163" s="301"/>
      <c r="E1163" s="302"/>
      <c r="F1163" s="301"/>
      <c r="G1163" s="301"/>
      <c r="H1163" s="301"/>
      <c r="I1163" s="301"/>
      <c r="K1163" s="266"/>
      <c r="L1163" s="265"/>
      <c r="M1163" s="267"/>
      <c r="N1163" s="4"/>
      <c r="O1163" s="4"/>
    </row>
    <row r="1164" spans="1:15" x14ac:dyDescent="0.2">
      <c r="A1164" s="256"/>
      <c r="B1164" s="265"/>
      <c r="C1164" s="303"/>
      <c r="D1164" s="301"/>
      <c r="E1164" s="302"/>
      <c r="F1164" s="301"/>
      <c r="G1164" s="301"/>
      <c r="H1164" s="301"/>
      <c r="I1164" s="301"/>
      <c r="K1164" s="266"/>
      <c r="L1164" s="265"/>
      <c r="M1164" s="267"/>
      <c r="N1164" s="4"/>
      <c r="O1164" s="4"/>
    </row>
    <row r="1165" spans="1:15" x14ac:dyDescent="0.2">
      <c r="A1165" s="256"/>
      <c r="B1165" s="265"/>
      <c r="C1165" s="303"/>
      <c r="D1165" s="301"/>
      <c r="E1165" s="302"/>
      <c r="F1165" s="301"/>
      <c r="G1165" s="301"/>
      <c r="H1165" s="301"/>
      <c r="I1165" s="301"/>
      <c r="K1165" s="266"/>
      <c r="L1165" s="265"/>
      <c r="M1165" s="267"/>
      <c r="N1165" s="4"/>
      <c r="O1165" s="4"/>
    </row>
    <row r="1166" spans="1:15" x14ac:dyDescent="0.2">
      <c r="A1166" s="256"/>
      <c r="B1166" s="265"/>
      <c r="C1166" s="303"/>
      <c r="D1166" s="301"/>
      <c r="E1166" s="302"/>
      <c r="F1166" s="301"/>
      <c r="G1166" s="301"/>
      <c r="H1166" s="301"/>
      <c r="I1166" s="301"/>
      <c r="K1166" s="266"/>
      <c r="L1166" s="265"/>
      <c r="M1166" s="267"/>
      <c r="N1166" s="4"/>
      <c r="O1166" s="4"/>
    </row>
    <row r="1167" spans="1:15" x14ac:dyDescent="0.2">
      <c r="A1167" s="256"/>
      <c r="B1167" s="265"/>
      <c r="C1167" s="303"/>
      <c r="D1167" s="301"/>
      <c r="E1167" s="302"/>
      <c r="F1167" s="301"/>
      <c r="G1167" s="301"/>
      <c r="H1167" s="301"/>
      <c r="I1167" s="301"/>
      <c r="K1167" s="266"/>
      <c r="L1167" s="265"/>
      <c r="M1167" s="267"/>
      <c r="N1167" s="4"/>
      <c r="O1167" s="4"/>
    </row>
    <row r="1168" spans="1:15" x14ac:dyDescent="0.2">
      <c r="A1168" s="256"/>
      <c r="B1168" s="265"/>
      <c r="C1168" s="303"/>
      <c r="D1168" s="301"/>
      <c r="E1168" s="302"/>
      <c r="F1168" s="301"/>
      <c r="G1168" s="301"/>
      <c r="H1168" s="301"/>
      <c r="I1168" s="301"/>
      <c r="K1168" s="266"/>
      <c r="L1168" s="265"/>
      <c r="M1168" s="267"/>
      <c r="N1168" s="4"/>
      <c r="O1168" s="4"/>
    </row>
    <row r="1169" spans="1:15" x14ac:dyDescent="0.2">
      <c r="A1169" s="256"/>
      <c r="B1169" s="265"/>
      <c r="C1169" s="303"/>
      <c r="D1169" s="301"/>
      <c r="E1169" s="302"/>
      <c r="F1169" s="301"/>
      <c r="G1169" s="301"/>
      <c r="H1169" s="301"/>
      <c r="I1169" s="301"/>
      <c r="K1169" s="266"/>
      <c r="L1169" s="265"/>
      <c r="M1169" s="267"/>
      <c r="N1169" s="4"/>
      <c r="O1169" s="4"/>
    </row>
    <row r="1170" spans="1:15" x14ac:dyDescent="0.2">
      <c r="A1170" s="256"/>
      <c r="B1170" s="265"/>
      <c r="C1170" s="303"/>
      <c r="D1170" s="301"/>
      <c r="E1170" s="302"/>
      <c r="F1170" s="301"/>
      <c r="G1170" s="301"/>
      <c r="H1170" s="301"/>
      <c r="I1170" s="301"/>
      <c r="K1170" s="266"/>
      <c r="L1170" s="265"/>
      <c r="M1170" s="267"/>
      <c r="N1170" s="4"/>
      <c r="O1170" s="4"/>
    </row>
    <row r="1171" spans="1:15" x14ac:dyDescent="0.2">
      <c r="A1171" s="256"/>
      <c r="B1171" s="265"/>
      <c r="C1171" s="303"/>
      <c r="D1171" s="301"/>
      <c r="E1171" s="302"/>
      <c r="F1171" s="301"/>
      <c r="G1171" s="301"/>
      <c r="H1171" s="301"/>
      <c r="I1171" s="301"/>
      <c r="K1171" s="266"/>
      <c r="L1171" s="265"/>
      <c r="M1171" s="267"/>
      <c r="N1171" s="4"/>
      <c r="O1171" s="4"/>
    </row>
    <row r="1172" spans="1:15" x14ac:dyDescent="0.2">
      <c r="A1172" s="256"/>
      <c r="B1172" s="265"/>
      <c r="C1172" s="303"/>
      <c r="D1172" s="301"/>
      <c r="E1172" s="302"/>
      <c r="F1172" s="301"/>
      <c r="G1172" s="301"/>
      <c r="H1172" s="301"/>
      <c r="I1172" s="301"/>
      <c r="K1172" s="266"/>
      <c r="L1172" s="265"/>
      <c r="M1172" s="267"/>
      <c r="N1172" s="4"/>
      <c r="O1172" s="4"/>
    </row>
    <row r="1173" spans="1:15" x14ac:dyDescent="0.2">
      <c r="A1173" s="256"/>
      <c r="B1173" s="265"/>
      <c r="C1173" s="303"/>
      <c r="D1173" s="301"/>
      <c r="E1173" s="302"/>
      <c r="F1173" s="301"/>
      <c r="G1173" s="301"/>
      <c r="H1173" s="301"/>
      <c r="I1173" s="301"/>
      <c r="K1173" s="266"/>
      <c r="L1173" s="265"/>
      <c r="M1173" s="267"/>
      <c r="N1173" s="4"/>
      <c r="O1173" s="4"/>
    </row>
    <row r="1174" spans="1:15" x14ac:dyDescent="0.2">
      <c r="A1174" s="256"/>
      <c r="B1174" s="265"/>
      <c r="C1174" s="303"/>
      <c r="D1174" s="301"/>
      <c r="E1174" s="302"/>
      <c r="F1174" s="301"/>
      <c r="G1174" s="301"/>
      <c r="H1174" s="301"/>
      <c r="I1174" s="301"/>
      <c r="K1174" s="266"/>
      <c r="L1174" s="265"/>
      <c r="M1174" s="267"/>
      <c r="N1174" s="4"/>
      <c r="O1174" s="4"/>
    </row>
    <row r="1175" spans="1:15" x14ac:dyDescent="0.2">
      <c r="A1175" s="256"/>
      <c r="B1175" s="265"/>
      <c r="C1175" s="303"/>
      <c r="D1175" s="301"/>
      <c r="E1175" s="302"/>
      <c r="F1175" s="301"/>
      <c r="G1175" s="301"/>
      <c r="H1175" s="301"/>
      <c r="I1175" s="301"/>
      <c r="K1175" s="266"/>
      <c r="L1175" s="265"/>
      <c r="M1175" s="267"/>
      <c r="N1175" s="4"/>
      <c r="O1175" s="4"/>
    </row>
    <row r="1176" spans="1:15" x14ac:dyDescent="0.2">
      <c r="A1176" s="256"/>
      <c r="B1176" s="265"/>
      <c r="C1176" s="303"/>
      <c r="D1176" s="301"/>
      <c r="E1176" s="302"/>
      <c r="F1176" s="301"/>
      <c r="G1176" s="301"/>
      <c r="H1176" s="301"/>
      <c r="I1176" s="301"/>
      <c r="K1176" s="266"/>
      <c r="L1176" s="265"/>
      <c r="M1176" s="267"/>
      <c r="N1176" s="4"/>
      <c r="O1176" s="4"/>
    </row>
    <row r="1177" spans="1:15" x14ac:dyDescent="0.2">
      <c r="A1177" s="256"/>
      <c r="B1177" s="265"/>
      <c r="C1177" s="303"/>
      <c r="D1177" s="301"/>
      <c r="E1177" s="302"/>
      <c r="F1177" s="301"/>
      <c r="G1177" s="301"/>
      <c r="H1177" s="301"/>
      <c r="I1177" s="301"/>
      <c r="K1177" s="266"/>
      <c r="L1177" s="265"/>
      <c r="M1177" s="267"/>
      <c r="N1177" s="4"/>
      <c r="O1177" s="4"/>
    </row>
    <row r="1178" spans="1:15" x14ac:dyDescent="0.2">
      <c r="A1178" s="256"/>
      <c r="B1178" s="265"/>
      <c r="C1178" s="303"/>
      <c r="D1178" s="301"/>
      <c r="E1178" s="302"/>
      <c r="F1178" s="301"/>
      <c r="G1178" s="301"/>
      <c r="H1178" s="301"/>
      <c r="I1178" s="301"/>
      <c r="K1178" s="266"/>
      <c r="L1178" s="265"/>
      <c r="M1178" s="267"/>
      <c r="N1178" s="4"/>
      <c r="O1178" s="4"/>
    </row>
    <row r="1179" spans="1:15" x14ac:dyDescent="0.2">
      <c r="A1179" s="256"/>
      <c r="B1179" s="265"/>
      <c r="C1179" s="303"/>
      <c r="D1179" s="301"/>
      <c r="E1179" s="302"/>
      <c r="F1179" s="301"/>
      <c r="G1179" s="301"/>
      <c r="H1179" s="301"/>
      <c r="I1179" s="301"/>
      <c r="K1179" s="266"/>
      <c r="L1179" s="265"/>
      <c r="M1179" s="267"/>
      <c r="N1179" s="4"/>
      <c r="O1179" s="4"/>
    </row>
    <row r="1180" spans="1:15" x14ac:dyDescent="0.2">
      <c r="A1180" s="256"/>
      <c r="B1180" s="265"/>
      <c r="C1180" s="303"/>
      <c r="D1180" s="301"/>
      <c r="E1180" s="302"/>
      <c r="F1180" s="301"/>
      <c r="G1180" s="301"/>
      <c r="H1180" s="301"/>
      <c r="I1180" s="301"/>
      <c r="K1180" s="266"/>
      <c r="L1180" s="265"/>
      <c r="M1180" s="267"/>
      <c r="N1180" s="4"/>
      <c r="O1180" s="4"/>
    </row>
    <row r="1181" spans="1:15" x14ac:dyDescent="0.2">
      <c r="A1181" s="256"/>
      <c r="B1181" s="265"/>
      <c r="C1181" s="303"/>
      <c r="D1181" s="301"/>
      <c r="E1181" s="302"/>
      <c r="F1181" s="301"/>
      <c r="G1181" s="301"/>
      <c r="H1181" s="301"/>
      <c r="I1181" s="301"/>
      <c r="K1181" s="266"/>
      <c r="L1181" s="265"/>
      <c r="M1181" s="267"/>
      <c r="N1181" s="4"/>
      <c r="O1181" s="4"/>
    </row>
    <row r="1182" spans="1:15" x14ac:dyDescent="0.2">
      <c r="A1182" s="256"/>
      <c r="B1182" s="265"/>
      <c r="C1182" s="303"/>
      <c r="D1182" s="301"/>
      <c r="E1182" s="302"/>
      <c r="F1182" s="301"/>
      <c r="G1182" s="301"/>
      <c r="H1182" s="301"/>
      <c r="I1182" s="301"/>
      <c r="K1182" s="266"/>
      <c r="L1182" s="265"/>
      <c r="M1182" s="267"/>
      <c r="N1182" s="4"/>
      <c r="O1182" s="4"/>
    </row>
    <row r="1183" spans="1:15" x14ac:dyDescent="0.2">
      <c r="A1183" s="256"/>
      <c r="B1183" s="265"/>
      <c r="C1183" s="303"/>
      <c r="D1183" s="301"/>
      <c r="E1183" s="302"/>
      <c r="F1183" s="301"/>
      <c r="G1183" s="301"/>
      <c r="H1183" s="301"/>
      <c r="I1183" s="301"/>
      <c r="K1183" s="266"/>
      <c r="L1183" s="265"/>
      <c r="M1183" s="267"/>
      <c r="N1183" s="4"/>
      <c r="O1183" s="4"/>
    </row>
    <row r="1184" spans="1:15" x14ac:dyDescent="0.2">
      <c r="A1184" s="256"/>
      <c r="B1184" s="265"/>
      <c r="C1184" s="303"/>
      <c r="D1184" s="301"/>
      <c r="E1184" s="302"/>
      <c r="F1184" s="301"/>
      <c r="G1184" s="301"/>
      <c r="H1184" s="301"/>
      <c r="I1184" s="301"/>
      <c r="K1184" s="266"/>
      <c r="L1184" s="265"/>
      <c r="M1184" s="267"/>
      <c r="N1184" s="4"/>
      <c r="O1184" s="4"/>
    </row>
    <row r="1185" spans="1:15" x14ac:dyDescent="0.2">
      <c r="A1185" s="256"/>
      <c r="B1185" s="265"/>
      <c r="C1185" s="303"/>
      <c r="D1185" s="301"/>
      <c r="E1185" s="302"/>
      <c r="F1185" s="301"/>
      <c r="G1185" s="301"/>
      <c r="H1185" s="301"/>
      <c r="I1185" s="301"/>
      <c r="K1185" s="266"/>
      <c r="L1185" s="265"/>
      <c r="M1185" s="267"/>
      <c r="N1185" s="4"/>
      <c r="O1185" s="4"/>
    </row>
    <row r="1186" spans="1:15" x14ac:dyDescent="0.2">
      <c r="A1186" s="256"/>
      <c r="B1186" s="265"/>
      <c r="C1186" s="303"/>
      <c r="D1186" s="301"/>
      <c r="E1186" s="302"/>
      <c r="F1186" s="301"/>
      <c r="G1186" s="301"/>
      <c r="H1186" s="301"/>
      <c r="I1186" s="301"/>
      <c r="K1186" s="266"/>
      <c r="L1186" s="265"/>
      <c r="M1186" s="267"/>
      <c r="N1186" s="4"/>
      <c r="O1186" s="4"/>
    </row>
    <row r="1187" spans="1:15" x14ac:dyDescent="0.2">
      <c r="A1187" s="256"/>
      <c r="B1187" s="265"/>
      <c r="C1187" s="303"/>
      <c r="D1187" s="301"/>
      <c r="E1187" s="302"/>
      <c r="F1187" s="301"/>
      <c r="G1187" s="301"/>
      <c r="H1187" s="301"/>
      <c r="I1187" s="301"/>
      <c r="K1187" s="266"/>
      <c r="L1187" s="265"/>
      <c r="M1187" s="267"/>
      <c r="N1187" s="4"/>
      <c r="O1187" s="4"/>
    </row>
    <row r="1188" spans="1:15" x14ac:dyDescent="0.2">
      <c r="A1188" s="256"/>
      <c r="B1188" s="265"/>
      <c r="C1188" s="303"/>
      <c r="D1188" s="301"/>
      <c r="E1188" s="302"/>
      <c r="F1188" s="301"/>
      <c r="G1188" s="301"/>
      <c r="H1188" s="301"/>
      <c r="I1188" s="301"/>
      <c r="K1188" s="266"/>
      <c r="L1188" s="265"/>
      <c r="M1188" s="267"/>
      <c r="N1188" s="4"/>
      <c r="O1188" s="4"/>
    </row>
    <row r="1189" spans="1:15" x14ac:dyDescent="0.2">
      <c r="A1189" s="256"/>
      <c r="B1189" s="265"/>
      <c r="C1189" s="303"/>
      <c r="D1189" s="301"/>
      <c r="E1189" s="302"/>
      <c r="F1189" s="301"/>
      <c r="G1189" s="301"/>
      <c r="H1189" s="301"/>
      <c r="I1189" s="301"/>
      <c r="K1189" s="266"/>
      <c r="L1189" s="265"/>
      <c r="M1189" s="267"/>
      <c r="N1189" s="4"/>
      <c r="O1189" s="4"/>
    </row>
    <row r="1190" spans="1:15" x14ac:dyDescent="0.2">
      <c r="A1190" s="256"/>
      <c r="B1190" s="265"/>
      <c r="C1190" s="303"/>
      <c r="D1190" s="301"/>
      <c r="E1190" s="302"/>
      <c r="F1190" s="301"/>
      <c r="G1190" s="301"/>
      <c r="H1190" s="301"/>
      <c r="I1190" s="301"/>
      <c r="K1190" s="266"/>
      <c r="L1190" s="265"/>
      <c r="M1190" s="267"/>
      <c r="N1190" s="4"/>
      <c r="O1190" s="4"/>
    </row>
    <row r="1191" spans="1:15" x14ac:dyDescent="0.2">
      <c r="A1191" s="256"/>
      <c r="B1191" s="265"/>
      <c r="C1191" s="303"/>
      <c r="D1191" s="301"/>
      <c r="E1191" s="302"/>
      <c r="F1191" s="301"/>
      <c r="G1191" s="301"/>
      <c r="H1191" s="301"/>
      <c r="I1191" s="301"/>
      <c r="K1191" s="266"/>
      <c r="L1191" s="265"/>
      <c r="M1191" s="267"/>
      <c r="N1191" s="4"/>
      <c r="O1191" s="4"/>
    </row>
    <row r="1192" spans="1:15" x14ac:dyDescent="0.2">
      <c r="A1192" s="256"/>
      <c r="B1192" s="265"/>
      <c r="C1192" s="303"/>
      <c r="D1192" s="301"/>
      <c r="E1192" s="302"/>
      <c r="F1192" s="301"/>
      <c r="G1192" s="301"/>
      <c r="H1192" s="301"/>
      <c r="I1192" s="301"/>
      <c r="K1192" s="266"/>
      <c r="L1192" s="265"/>
      <c r="M1192" s="267"/>
      <c r="N1192" s="4"/>
      <c r="O1192" s="4"/>
    </row>
    <row r="1193" spans="1:15" x14ac:dyDescent="0.2">
      <c r="A1193" s="256"/>
      <c r="B1193" s="265"/>
      <c r="C1193" s="303"/>
      <c r="D1193" s="301"/>
      <c r="E1193" s="302"/>
      <c r="F1193" s="301"/>
      <c r="G1193" s="301"/>
      <c r="H1193" s="301"/>
      <c r="I1193" s="301"/>
      <c r="K1193" s="266"/>
      <c r="L1193" s="265"/>
      <c r="M1193" s="267"/>
      <c r="N1193" s="4"/>
      <c r="O1193" s="4"/>
    </row>
    <row r="1194" spans="1:15" x14ac:dyDescent="0.2">
      <c r="A1194" s="256"/>
      <c r="B1194" s="265"/>
      <c r="C1194" s="303"/>
      <c r="D1194" s="301"/>
      <c r="E1194" s="302"/>
      <c r="F1194" s="301"/>
      <c r="G1194" s="301"/>
      <c r="H1194" s="301"/>
      <c r="I1194" s="301"/>
      <c r="K1194" s="266"/>
      <c r="L1194" s="265"/>
      <c r="M1194" s="267"/>
      <c r="N1194" s="4"/>
      <c r="O1194" s="4"/>
    </row>
    <row r="1195" spans="1:15" x14ac:dyDescent="0.2">
      <c r="A1195" s="256"/>
      <c r="B1195" s="265"/>
      <c r="C1195" s="303"/>
      <c r="D1195" s="301"/>
      <c r="E1195" s="302"/>
      <c r="F1195" s="301"/>
      <c r="G1195" s="301"/>
      <c r="H1195" s="301"/>
      <c r="I1195" s="301"/>
      <c r="K1195" s="266"/>
      <c r="L1195" s="265"/>
      <c r="M1195" s="267"/>
      <c r="N1195" s="4"/>
      <c r="O1195" s="4"/>
    </row>
    <row r="1196" spans="1:15" x14ac:dyDescent="0.2">
      <c r="A1196" s="256"/>
      <c r="B1196" s="265"/>
      <c r="C1196" s="303"/>
      <c r="D1196" s="301"/>
      <c r="E1196" s="302"/>
      <c r="F1196" s="301"/>
      <c r="G1196" s="301"/>
      <c r="H1196" s="301"/>
      <c r="I1196" s="301"/>
      <c r="K1196" s="266"/>
      <c r="L1196" s="265"/>
      <c r="M1196" s="267"/>
      <c r="N1196" s="4"/>
      <c r="O1196" s="4"/>
    </row>
    <row r="1197" spans="1:15" x14ac:dyDescent="0.2">
      <c r="A1197" s="256"/>
      <c r="B1197" s="265"/>
      <c r="C1197" s="303"/>
      <c r="D1197" s="301"/>
      <c r="E1197" s="302"/>
      <c r="F1197" s="301"/>
      <c r="G1197" s="301"/>
      <c r="H1197" s="301"/>
      <c r="I1197" s="301"/>
      <c r="K1197" s="266"/>
      <c r="L1197" s="265"/>
      <c r="M1197" s="267"/>
      <c r="N1197" s="4"/>
      <c r="O1197" s="4"/>
    </row>
    <row r="1198" spans="1:15" x14ac:dyDescent="0.2">
      <c r="A1198" s="256"/>
      <c r="B1198" s="265"/>
      <c r="C1198" s="303"/>
      <c r="D1198" s="301"/>
      <c r="E1198" s="302"/>
      <c r="F1198" s="301"/>
      <c r="G1198" s="301"/>
      <c r="H1198" s="301"/>
      <c r="I1198" s="301"/>
      <c r="K1198" s="266"/>
      <c r="L1198" s="265"/>
      <c r="M1198" s="267"/>
      <c r="N1198" s="4"/>
      <c r="O1198" s="4"/>
    </row>
    <row r="1199" spans="1:15" x14ac:dyDescent="0.2">
      <c r="A1199" s="256"/>
      <c r="B1199" s="265"/>
      <c r="C1199" s="303"/>
      <c r="D1199" s="301"/>
      <c r="E1199" s="302"/>
      <c r="F1199" s="301"/>
      <c r="G1199" s="301"/>
      <c r="H1199" s="301"/>
      <c r="I1199" s="301"/>
      <c r="K1199" s="266"/>
      <c r="L1199" s="265"/>
      <c r="M1199" s="267"/>
      <c r="N1199" s="4"/>
      <c r="O1199" s="4"/>
    </row>
    <row r="1200" spans="1:15" x14ac:dyDescent="0.2">
      <c r="A1200" s="256"/>
      <c r="B1200" s="265"/>
      <c r="C1200" s="303"/>
      <c r="D1200" s="301"/>
      <c r="E1200" s="302"/>
      <c r="F1200" s="301"/>
      <c r="G1200" s="301"/>
      <c r="H1200" s="301"/>
      <c r="I1200" s="301"/>
      <c r="K1200" s="266"/>
      <c r="L1200" s="265"/>
      <c r="M1200" s="267"/>
      <c r="N1200" s="4"/>
      <c r="O1200" s="4"/>
    </row>
    <row r="1201" spans="1:15" x14ac:dyDescent="0.2">
      <c r="A1201" s="256"/>
      <c r="B1201" s="265"/>
      <c r="C1201" s="303"/>
      <c r="D1201" s="301"/>
      <c r="E1201" s="302"/>
      <c r="F1201" s="301"/>
      <c r="G1201" s="301"/>
      <c r="H1201" s="301"/>
      <c r="I1201" s="301"/>
      <c r="K1201" s="266"/>
      <c r="L1201" s="265"/>
      <c r="M1201" s="267"/>
      <c r="N1201" s="4"/>
      <c r="O1201" s="4"/>
    </row>
    <row r="1202" spans="1:15" x14ac:dyDescent="0.2">
      <c r="A1202" s="256"/>
      <c r="B1202" s="265"/>
      <c r="C1202" s="303"/>
      <c r="D1202" s="301"/>
      <c r="E1202" s="302"/>
      <c r="F1202" s="301"/>
      <c r="G1202" s="301"/>
      <c r="H1202" s="301"/>
      <c r="I1202" s="301"/>
      <c r="K1202" s="266"/>
      <c r="L1202" s="265"/>
      <c r="M1202" s="267"/>
      <c r="N1202" s="4"/>
      <c r="O1202" s="4"/>
    </row>
    <row r="1203" spans="1:15" x14ac:dyDescent="0.2">
      <c r="A1203" s="256"/>
      <c r="B1203" s="265"/>
      <c r="C1203" s="303"/>
      <c r="D1203" s="301"/>
      <c r="E1203" s="302"/>
      <c r="F1203" s="301"/>
      <c r="G1203" s="301"/>
      <c r="H1203" s="301"/>
      <c r="I1203" s="301"/>
      <c r="K1203" s="266"/>
      <c r="L1203" s="265"/>
      <c r="M1203" s="267"/>
      <c r="N1203" s="4"/>
      <c r="O1203" s="4"/>
    </row>
    <row r="1204" spans="1:15" x14ac:dyDescent="0.2">
      <c r="A1204" s="256"/>
      <c r="B1204" s="265"/>
      <c r="C1204" s="303"/>
      <c r="D1204" s="301"/>
      <c r="E1204" s="302"/>
      <c r="F1204" s="301"/>
      <c r="G1204" s="301"/>
      <c r="H1204" s="301"/>
      <c r="I1204" s="301"/>
      <c r="K1204" s="266"/>
      <c r="L1204" s="265"/>
      <c r="M1204" s="267"/>
      <c r="N1204" s="4"/>
      <c r="O1204" s="4"/>
    </row>
    <row r="1205" spans="1:15" x14ac:dyDescent="0.2">
      <c r="A1205" s="256"/>
      <c r="B1205" s="265"/>
      <c r="C1205" s="303"/>
      <c r="D1205" s="301"/>
      <c r="E1205" s="302"/>
      <c r="F1205" s="301"/>
      <c r="G1205" s="301"/>
      <c r="H1205" s="301"/>
      <c r="I1205" s="301"/>
      <c r="K1205" s="266"/>
      <c r="L1205" s="265"/>
      <c r="M1205" s="267"/>
      <c r="N1205" s="4"/>
      <c r="O1205" s="4"/>
    </row>
    <row r="1206" spans="1:15" x14ac:dyDescent="0.2">
      <c r="A1206" s="256"/>
      <c r="B1206" s="265"/>
      <c r="C1206" s="303"/>
      <c r="D1206" s="301"/>
      <c r="E1206" s="302"/>
      <c r="F1206" s="301"/>
      <c r="G1206" s="301"/>
      <c r="H1206" s="301"/>
      <c r="I1206" s="301"/>
      <c r="K1206" s="266"/>
      <c r="L1206" s="265"/>
      <c r="M1206" s="267"/>
      <c r="N1206" s="4"/>
      <c r="O1206" s="4"/>
    </row>
    <row r="1207" spans="1:15" x14ac:dyDescent="0.2">
      <c r="A1207" s="256"/>
      <c r="B1207" s="265"/>
      <c r="C1207" s="303"/>
      <c r="D1207" s="301"/>
      <c r="E1207" s="302"/>
      <c r="F1207" s="301"/>
      <c r="G1207" s="301"/>
      <c r="H1207" s="301"/>
      <c r="I1207" s="301"/>
      <c r="K1207" s="266"/>
      <c r="L1207" s="265"/>
      <c r="M1207" s="267"/>
      <c r="N1207" s="4"/>
      <c r="O1207" s="4"/>
    </row>
    <row r="1208" spans="1:15" x14ac:dyDescent="0.2">
      <c r="A1208" s="256"/>
      <c r="B1208" s="265"/>
      <c r="C1208" s="303"/>
      <c r="D1208" s="301"/>
      <c r="E1208" s="302"/>
      <c r="F1208" s="301"/>
      <c r="G1208" s="301"/>
      <c r="H1208" s="301"/>
      <c r="I1208" s="301"/>
      <c r="K1208" s="266"/>
      <c r="L1208" s="265"/>
      <c r="M1208" s="267"/>
      <c r="N1208" s="4"/>
      <c r="O1208" s="4"/>
    </row>
    <row r="1209" spans="1:15" x14ac:dyDescent="0.2">
      <c r="A1209" s="256"/>
      <c r="B1209" s="265"/>
      <c r="C1209" s="303"/>
      <c r="D1209" s="301"/>
      <c r="E1209" s="302"/>
      <c r="F1209" s="301"/>
      <c r="G1209" s="301"/>
      <c r="H1209" s="301"/>
      <c r="I1209" s="301"/>
      <c r="K1209" s="266"/>
      <c r="L1209" s="265"/>
      <c r="M1209" s="267"/>
      <c r="N1209" s="4"/>
      <c r="O1209" s="4"/>
    </row>
    <row r="1210" spans="1:15" x14ac:dyDescent="0.2">
      <c r="A1210" s="256"/>
      <c r="B1210" s="265"/>
      <c r="C1210" s="303"/>
      <c r="D1210" s="301"/>
      <c r="E1210" s="302"/>
      <c r="F1210" s="301"/>
      <c r="G1210" s="301"/>
      <c r="H1210" s="301"/>
      <c r="I1210" s="301"/>
      <c r="K1210" s="266"/>
      <c r="L1210" s="265"/>
      <c r="M1210" s="267"/>
      <c r="N1210" s="4"/>
      <c r="O1210" s="4"/>
    </row>
    <row r="1211" spans="1:15" x14ac:dyDescent="0.2">
      <c r="A1211" s="256"/>
      <c r="B1211" s="265"/>
      <c r="C1211" s="303"/>
      <c r="D1211" s="301"/>
      <c r="E1211" s="302"/>
      <c r="F1211" s="301"/>
      <c r="G1211" s="301"/>
      <c r="H1211" s="301"/>
      <c r="I1211" s="301"/>
      <c r="K1211" s="266"/>
      <c r="L1211" s="265"/>
      <c r="M1211" s="267"/>
      <c r="N1211" s="4"/>
      <c r="O1211" s="4"/>
    </row>
    <row r="1212" spans="1:15" x14ac:dyDescent="0.2">
      <c r="A1212" s="256"/>
      <c r="B1212" s="265"/>
      <c r="C1212" s="303"/>
      <c r="D1212" s="301"/>
      <c r="E1212" s="302"/>
      <c r="F1212" s="301"/>
      <c r="G1212" s="301"/>
      <c r="H1212" s="301"/>
      <c r="I1212" s="301"/>
      <c r="K1212" s="266"/>
      <c r="L1212" s="265"/>
      <c r="M1212" s="267"/>
      <c r="N1212" s="4"/>
      <c r="O1212" s="4"/>
    </row>
    <row r="1213" spans="1:15" x14ac:dyDescent="0.2">
      <c r="A1213" s="256"/>
      <c r="B1213" s="265"/>
      <c r="C1213" s="303"/>
      <c r="D1213" s="301"/>
      <c r="E1213" s="302"/>
      <c r="F1213" s="301"/>
      <c r="G1213" s="301"/>
      <c r="H1213" s="301"/>
      <c r="I1213" s="301"/>
      <c r="K1213" s="266"/>
      <c r="L1213" s="265"/>
      <c r="M1213" s="267"/>
      <c r="N1213" s="4"/>
      <c r="O1213" s="4"/>
    </row>
    <row r="1214" spans="1:15" x14ac:dyDescent="0.2">
      <c r="A1214" s="256"/>
      <c r="B1214" s="265"/>
      <c r="C1214" s="303"/>
      <c r="D1214" s="301"/>
      <c r="E1214" s="302"/>
      <c r="F1214" s="301"/>
      <c r="G1214" s="301"/>
      <c r="H1214" s="301"/>
      <c r="I1214" s="301"/>
      <c r="K1214" s="266"/>
      <c r="L1214" s="265"/>
      <c r="M1214" s="267"/>
      <c r="N1214" s="4"/>
      <c r="O1214" s="4"/>
    </row>
    <row r="1215" spans="1:15" x14ac:dyDescent="0.2">
      <c r="A1215" s="256"/>
      <c r="B1215" s="265"/>
      <c r="C1215" s="303"/>
      <c r="D1215" s="301"/>
      <c r="E1215" s="302"/>
      <c r="F1215" s="301"/>
      <c r="G1215" s="301"/>
      <c r="H1215" s="301"/>
      <c r="I1215" s="301"/>
      <c r="K1215" s="266"/>
      <c r="L1215" s="265"/>
      <c r="M1215" s="267"/>
      <c r="N1215" s="4"/>
      <c r="O1215" s="4"/>
    </row>
    <row r="1216" spans="1:15" x14ac:dyDescent="0.2">
      <c r="A1216" s="256"/>
      <c r="B1216" s="265"/>
      <c r="C1216" s="303"/>
      <c r="D1216" s="301"/>
      <c r="E1216" s="302"/>
      <c r="F1216" s="301"/>
      <c r="G1216" s="301"/>
      <c r="H1216" s="301"/>
      <c r="I1216" s="301"/>
      <c r="K1216" s="266"/>
      <c r="L1216" s="265"/>
      <c r="M1216" s="267"/>
      <c r="N1216" s="4"/>
      <c r="O1216" s="4"/>
    </row>
    <row r="1217" spans="1:15" x14ac:dyDescent="0.2">
      <c r="A1217" s="256"/>
      <c r="B1217" s="265"/>
      <c r="C1217" s="303"/>
      <c r="D1217" s="301"/>
      <c r="E1217" s="302"/>
      <c r="F1217" s="301"/>
      <c r="G1217" s="301"/>
      <c r="H1217" s="301"/>
      <c r="I1217" s="301"/>
      <c r="K1217" s="266"/>
      <c r="L1217" s="265"/>
      <c r="M1217" s="267"/>
      <c r="N1217" s="4"/>
      <c r="O1217" s="4"/>
    </row>
    <row r="1218" spans="1:15" x14ac:dyDescent="0.2">
      <c r="A1218" s="256"/>
      <c r="B1218" s="265"/>
      <c r="C1218" s="303"/>
      <c r="D1218" s="301"/>
      <c r="E1218" s="302"/>
      <c r="F1218" s="301"/>
      <c r="G1218" s="301"/>
      <c r="H1218" s="301"/>
      <c r="I1218" s="301"/>
      <c r="K1218" s="266"/>
      <c r="L1218" s="265"/>
      <c r="M1218" s="267"/>
      <c r="N1218" s="4"/>
      <c r="O1218" s="4"/>
    </row>
    <row r="1219" spans="1:15" x14ac:dyDescent="0.2">
      <c r="A1219" s="256"/>
      <c r="B1219" s="265"/>
      <c r="C1219" s="303"/>
      <c r="D1219" s="301"/>
      <c r="E1219" s="302"/>
      <c r="F1219" s="301"/>
      <c r="G1219" s="301"/>
      <c r="H1219" s="301"/>
      <c r="I1219" s="301"/>
      <c r="K1219" s="266"/>
      <c r="L1219" s="265"/>
      <c r="M1219" s="267"/>
      <c r="N1219" s="4"/>
      <c r="O1219" s="4"/>
    </row>
    <row r="1220" spans="1:15" x14ac:dyDescent="0.2">
      <c r="A1220" s="256"/>
      <c r="B1220" s="265"/>
      <c r="C1220" s="303"/>
      <c r="D1220" s="301"/>
      <c r="E1220" s="302"/>
      <c r="F1220" s="301"/>
      <c r="G1220" s="301"/>
      <c r="H1220" s="301"/>
      <c r="I1220" s="301"/>
      <c r="K1220" s="266"/>
      <c r="L1220" s="265"/>
      <c r="M1220" s="267"/>
      <c r="N1220" s="4"/>
      <c r="O1220" s="4"/>
    </row>
    <row r="1221" spans="1:15" x14ac:dyDescent="0.2">
      <c r="A1221" s="256"/>
      <c r="B1221" s="265"/>
      <c r="C1221" s="303"/>
      <c r="D1221" s="301"/>
      <c r="E1221" s="302"/>
      <c r="F1221" s="301"/>
      <c r="G1221" s="301"/>
      <c r="H1221" s="301"/>
      <c r="I1221" s="301"/>
      <c r="K1221" s="266"/>
      <c r="L1221" s="265"/>
      <c r="M1221" s="267"/>
      <c r="N1221" s="4"/>
      <c r="O1221" s="4"/>
    </row>
    <row r="1222" spans="1:15" x14ac:dyDescent="0.2">
      <c r="A1222" s="256"/>
      <c r="B1222" s="265"/>
      <c r="C1222" s="303"/>
      <c r="D1222" s="301"/>
      <c r="E1222" s="302"/>
      <c r="F1222" s="301"/>
      <c r="G1222" s="301"/>
      <c r="H1222" s="301"/>
      <c r="I1222" s="301"/>
      <c r="K1222" s="266"/>
      <c r="L1222" s="265"/>
      <c r="M1222" s="267"/>
      <c r="N1222" s="4"/>
      <c r="O1222" s="4"/>
    </row>
    <row r="1223" spans="1:15" x14ac:dyDescent="0.2">
      <c r="A1223" s="256"/>
      <c r="B1223" s="265"/>
      <c r="C1223" s="303"/>
      <c r="D1223" s="301"/>
      <c r="E1223" s="302"/>
      <c r="F1223" s="301"/>
      <c r="G1223" s="301"/>
      <c r="H1223" s="301"/>
      <c r="I1223" s="301"/>
      <c r="K1223" s="266"/>
      <c r="L1223" s="265"/>
      <c r="M1223" s="267"/>
      <c r="N1223" s="4"/>
      <c r="O1223" s="4"/>
    </row>
    <row r="1224" spans="1:15" x14ac:dyDescent="0.2">
      <c r="A1224" s="256"/>
      <c r="B1224" s="265"/>
      <c r="C1224" s="303"/>
      <c r="D1224" s="301"/>
      <c r="E1224" s="302"/>
      <c r="F1224" s="301"/>
      <c r="G1224" s="301"/>
      <c r="H1224" s="301"/>
      <c r="I1224" s="301"/>
      <c r="K1224" s="266"/>
      <c r="L1224" s="265"/>
      <c r="M1224" s="267"/>
      <c r="N1224" s="4"/>
      <c r="O1224" s="4"/>
    </row>
    <row r="1225" spans="1:15" x14ac:dyDescent="0.2">
      <c r="A1225" s="256"/>
      <c r="B1225" s="265"/>
      <c r="C1225" s="303"/>
      <c r="D1225" s="301"/>
      <c r="E1225" s="302"/>
      <c r="F1225" s="301"/>
      <c r="G1225" s="301"/>
      <c r="H1225" s="301"/>
      <c r="I1225" s="301"/>
      <c r="K1225" s="266"/>
      <c r="L1225" s="265"/>
      <c r="M1225" s="267"/>
      <c r="N1225" s="4"/>
      <c r="O1225" s="4"/>
    </row>
    <row r="1226" spans="1:15" x14ac:dyDescent="0.2">
      <c r="A1226" s="256"/>
      <c r="B1226" s="265"/>
      <c r="C1226" s="303"/>
      <c r="D1226" s="301"/>
      <c r="E1226" s="302"/>
      <c r="F1226" s="301"/>
      <c r="G1226" s="301"/>
      <c r="H1226" s="301"/>
      <c r="I1226" s="301"/>
      <c r="K1226" s="266"/>
      <c r="L1226" s="265"/>
      <c r="M1226" s="267"/>
      <c r="N1226" s="4"/>
      <c r="O1226" s="4"/>
    </row>
    <row r="1227" spans="1:15" x14ac:dyDescent="0.2">
      <c r="A1227" s="256"/>
      <c r="B1227" s="265"/>
      <c r="C1227" s="303"/>
      <c r="D1227" s="301"/>
      <c r="E1227" s="302"/>
      <c r="F1227" s="301"/>
      <c r="G1227" s="301"/>
      <c r="H1227" s="301"/>
      <c r="I1227" s="301"/>
      <c r="K1227" s="266"/>
      <c r="L1227" s="265"/>
      <c r="M1227" s="267"/>
      <c r="N1227" s="4"/>
      <c r="O1227" s="4"/>
    </row>
    <row r="1228" spans="1:15" x14ac:dyDescent="0.2">
      <c r="A1228" s="256"/>
      <c r="B1228" s="265"/>
      <c r="C1228" s="303"/>
      <c r="D1228" s="301"/>
      <c r="E1228" s="302"/>
      <c r="F1228" s="301"/>
      <c r="G1228" s="301"/>
      <c r="H1228" s="301"/>
      <c r="I1228" s="301"/>
      <c r="K1228" s="266"/>
      <c r="L1228" s="265"/>
      <c r="M1228" s="267"/>
      <c r="N1228" s="4"/>
      <c r="O1228" s="4"/>
    </row>
    <row r="1229" spans="1:15" x14ac:dyDescent="0.2">
      <c r="A1229" s="256"/>
      <c r="B1229" s="265"/>
      <c r="C1229" s="303"/>
      <c r="D1229" s="301"/>
      <c r="E1229" s="302"/>
      <c r="F1229" s="301"/>
      <c r="G1229" s="301"/>
      <c r="H1229" s="301"/>
      <c r="I1229" s="301"/>
      <c r="K1229" s="266"/>
      <c r="L1229" s="265"/>
      <c r="M1229" s="267"/>
      <c r="N1229" s="4"/>
      <c r="O1229" s="4"/>
    </row>
    <row r="1230" spans="1:15" x14ac:dyDescent="0.2">
      <c r="A1230" s="256"/>
      <c r="B1230" s="265"/>
      <c r="C1230" s="303"/>
      <c r="D1230" s="301"/>
      <c r="E1230" s="302"/>
      <c r="F1230" s="301"/>
      <c r="G1230" s="301"/>
      <c r="H1230" s="301"/>
      <c r="I1230" s="301"/>
      <c r="K1230" s="266"/>
      <c r="L1230" s="265"/>
      <c r="M1230" s="267"/>
      <c r="N1230" s="4"/>
      <c r="O1230" s="4"/>
    </row>
    <row r="1231" spans="1:15" x14ac:dyDescent="0.2">
      <c r="A1231" s="256"/>
      <c r="B1231" s="265"/>
      <c r="C1231" s="303"/>
      <c r="D1231" s="301"/>
      <c r="E1231" s="302"/>
      <c r="F1231" s="301"/>
      <c r="G1231" s="301"/>
      <c r="H1231" s="301"/>
      <c r="I1231" s="301"/>
      <c r="K1231" s="266"/>
      <c r="L1231" s="265"/>
      <c r="M1231" s="267"/>
      <c r="N1231" s="4"/>
      <c r="O1231" s="4"/>
    </row>
    <row r="1232" spans="1:15" x14ac:dyDescent="0.2">
      <c r="A1232" s="256"/>
      <c r="B1232" s="265"/>
      <c r="C1232" s="303"/>
      <c r="D1232" s="301"/>
      <c r="E1232" s="302"/>
      <c r="F1232" s="301"/>
      <c r="G1232" s="301"/>
      <c r="H1232" s="301"/>
      <c r="I1232" s="301"/>
      <c r="K1232" s="266"/>
      <c r="L1232" s="265"/>
      <c r="M1232" s="267"/>
      <c r="N1232" s="4"/>
      <c r="O1232" s="4"/>
    </row>
    <row r="1233" spans="1:15" x14ac:dyDescent="0.2">
      <c r="A1233" s="256"/>
      <c r="B1233" s="265"/>
      <c r="C1233" s="303"/>
      <c r="D1233" s="301"/>
      <c r="E1233" s="302"/>
      <c r="F1233" s="301"/>
      <c r="G1233" s="301"/>
      <c r="H1233" s="301"/>
      <c r="I1233" s="301"/>
      <c r="K1233" s="266"/>
      <c r="L1233" s="265"/>
      <c r="M1233" s="267"/>
      <c r="N1233" s="4"/>
      <c r="O1233" s="4"/>
    </row>
    <row r="1234" spans="1:15" x14ac:dyDescent="0.2">
      <c r="A1234" s="256"/>
      <c r="B1234" s="265"/>
      <c r="C1234" s="303"/>
      <c r="D1234" s="301"/>
      <c r="E1234" s="302"/>
      <c r="F1234" s="301"/>
      <c r="G1234" s="301"/>
      <c r="H1234" s="301"/>
      <c r="I1234" s="301"/>
      <c r="K1234" s="266"/>
      <c r="L1234" s="265"/>
      <c r="M1234" s="267"/>
      <c r="N1234" s="4"/>
      <c r="O1234" s="4"/>
    </row>
    <row r="1235" spans="1:15" x14ac:dyDescent="0.2">
      <c r="A1235" s="256"/>
      <c r="B1235" s="265"/>
      <c r="C1235" s="303"/>
      <c r="D1235" s="301"/>
      <c r="E1235" s="302"/>
      <c r="F1235" s="301"/>
      <c r="G1235" s="301"/>
      <c r="H1235" s="301"/>
      <c r="I1235" s="301"/>
      <c r="K1235" s="266"/>
      <c r="L1235" s="265"/>
      <c r="M1235" s="267"/>
      <c r="N1235" s="4"/>
      <c r="O1235" s="4"/>
    </row>
    <row r="1236" spans="1:15" x14ac:dyDescent="0.2">
      <c r="A1236" s="256"/>
      <c r="B1236" s="265"/>
      <c r="C1236" s="303"/>
      <c r="D1236" s="301"/>
      <c r="E1236" s="302"/>
      <c r="F1236" s="301"/>
      <c r="G1236" s="301"/>
      <c r="H1236" s="301"/>
      <c r="I1236" s="301"/>
      <c r="K1236" s="266"/>
      <c r="L1236" s="265"/>
      <c r="M1236" s="267"/>
      <c r="N1236" s="4"/>
      <c r="O1236" s="4"/>
    </row>
    <row r="1237" spans="1:15" x14ac:dyDescent="0.2">
      <c r="A1237" s="256"/>
      <c r="B1237" s="265"/>
      <c r="C1237" s="303"/>
      <c r="D1237" s="301"/>
      <c r="E1237" s="302"/>
      <c r="F1237" s="301"/>
      <c r="G1237" s="301"/>
      <c r="H1237" s="301"/>
      <c r="I1237" s="301"/>
      <c r="K1237" s="266"/>
      <c r="L1237" s="265"/>
      <c r="M1237" s="267"/>
      <c r="N1237" s="4"/>
      <c r="O1237" s="4"/>
    </row>
    <row r="1238" spans="1:15" x14ac:dyDescent="0.2">
      <c r="A1238" s="256"/>
      <c r="B1238" s="265"/>
      <c r="C1238" s="303"/>
      <c r="D1238" s="301"/>
      <c r="E1238" s="302"/>
      <c r="F1238" s="301"/>
      <c r="G1238" s="301"/>
      <c r="H1238" s="301"/>
      <c r="I1238" s="301"/>
      <c r="K1238" s="266"/>
      <c r="L1238" s="265"/>
      <c r="M1238" s="267"/>
      <c r="N1238" s="4"/>
      <c r="O1238" s="4"/>
    </row>
    <row r="1239" spans="1:15" x14ac:dyDescent="0.2">
      <c r="A1239" s="256"/>
      <c r="B1239" s="265"/>
      <c r="C1239" s="303"/>
      <c r="D1239" s="301"/>
      <c r="E1239" s="302"/>
      <c r="F1239" s="301"/>
      <c r="G1239" s="301"/>
      <c r="H1239" s="301"/>
      <c r="I1239" s="301"/>
      <c r="K1239" s="266"/>
      <c r="L1239" s="265"/>
      <c r="M1239" s="267"/>
      <c r="N1239" s="4"/>
      <c r="O1239" s="4"/>
    </row>
    <row r="1240" spans="1:15" x14ac:dyDescent="0.2">
      <c r="A1240" s="256"/>
      <c r="B1240" s="265"/>
      <c r="C1240" s="303"/>
      <c r="D1240" s="301"/>
      <c r="E1240" s="302"/>
      <c r="F1240" s="301"/>
      <c r="G1240" s="301"/>
      <c r="H1240" s="301"/>
      <c r="I1240" s="301"/>
      <c r="K1240" s="266"/>
      <c r="L1240" s="265"/>
      <c r="M1240" s="267"/>
      <c r="N1240" s="4"/>
      <c r="O1240" s="4"/>
    </row>
    <row r="1241" spans="1:15" x14ac:dyDescent="0.2">
      <c r="A1241" s="256"/>
      <c r="B1241" s="265"/>
      <c r="C1241" s="303"/>
      <c r="D1241" s="301"/>
      <c r="E1241" s="302"/>
      <c r="F1241" s="301"/>
      <c r="G1241" s="301"/>
      <c r="H1241" s="301"/>
      <c r="I1241" s="301"/>
      <c r="K1241" s="266"/>
      <c r="L1241" s="265"/>
      <c r="M1241" s="267"/>
      <c r="N1241" s="4"/>
      <c r="O1241" s="4"/>
    </row>
    <row r="1242" spans="1:15" x14ac:dyDescent="0.2">
      <c r="A1242" s="256"/>
      <c r="B1242" s="265"/>
      <c r="C1242" s="303"/>
      <c r="D1242" s="301"/>
      <c r="E1242" s="302"/>
      <c r="F1242" s="301"/>
      <c r="G1242" s="301"/>
      <c r="H1242" s="301"/>
      <c r="I1242" s="301"/>
      <c r="K1242" s="266"/>
      <c r="L1242" s="265"/>
      <c r="M1242" s="267"/>
      <c r="N1242" s="4"/>
      <c r="O1242" s="4"/>
    </row>
    <row r="1243" spans="1:15" x14ac:dyDescent="0.2">
      <c r="A1243" s="256"/>
      <c r="B1243" s="265"/>
      <c r="C1243" s="303"/>
      <c r="D1243" s="301"/>
      <c r="E1243" s="302"/>
      <c r="F1243" s="301"/>
      <c r="G1243" s="301"/>
      <c r="H1243" s="301"/>
      <c r="I1243" s="301"/>
      <c r="K1243" s="266"/>
      <c r="L1243" s="265"/>
      <c r="M1243" s="267"/>
      <c r="N1243" s="4"/>
      <c r="O1243" s="4"/>
    </row>
    <row r="1244" spans="1:15" x14ac:dyDescent="0.2">
      <c r="A1244" s="256"/>
      <c r="B1244" s="265"/>
      <c r="C1244" s="303"/>
      <c r="D1244" s="301"/>
      <c r="E1244" s="302"/>
      <c r="F1244" s="301"/>
      <c r="G1244" s="301"/>
      <c r="H1244" s="301"/>
      <c r="I1244" s="301"/>
      <c r="K1244" s="266"/>
      <c r="L1244" s="265"/>
      <c r="M1244" s="267"/>
      <c r="N1244" s="4"/>
      <c r="O1244" s="4"/>
    </row>
    <row r="1245" spans="1:15" x14ac:dyDescent="0.2">
      <c r="A1245" s="256"/>
      <c r="B1245" s="265"/>
      <c r="C1245" s="303"/>
      <c r="D1245" s="301"/>
      <c r="E1245" s="302"/>
      <c r="F1245" s="301"/>
      <c r="G1245" s="301"/>
      <c r="H1245" s="301"/>
      <c r="I1245" s="301"/>
      <c r="K1245" s="266"/>
      <c r="L1245" s="265"/>
      <c r="M1245" s="267"/>
      <c r="N1245" s="4"/>
      <c r="O1245" s="4"/>
    </row>
    <row r="1246" spans="1:15" x14ac:dyDescent="0.2">
      <c r="A1246" s="256"/>
      <c r="B1246" s="265"/>
      <c r="C1246" s="303"/>
      <c r="D1246" s="301"/>
      <c r="E1246" s="302"/>
      <c r="F1246" s="301"/>
      <c r="G1246" s="301"/>
      <c r="H1246" s="301"/>
      <c r="I1246" s="301"/>
      <c r="K1246" s="266"/>
      <c r="L1246" s="265"/>
      <c r="M1246" s="267"/>
      <c r="N1246" s="4"/>
      <c r="O1246" s="4"/>
    </row>
    <row r="1247" spans="1:15" x14ac:dyDescent="0.2">
      <c r="A1247" s="256"/>
      <c r="B1247" s="265"/>
      <c r="C1247" s="303"/>
      <c r="D1247" s="301"/>
      <c r="E1247" s="302"/>
      <c r="F1247" s="301"/>
      <c r="G1247" s="301"/>
      <c r="H1247" s="301"/>
      <c r="I1247" s="301"/>
      <c r="K1247" s="266"/>
      <c r="L1247" s="265"/>
      <c r="M1247" s="267"/>
      <c r="N1247" s="4"/>
      <c r="O1247" s="4"/>
    </row>
    <row r="1248" spans="1:15" x14ac:dyDescent="0.2">
      <c r="A1248" s="256"/>
      <c r="B1248" s="265"/>
      <c r="C1248" s="303"/>
      <c r="D1248" s="301"/>
      <c r="E1248" s="302"/>
      <c r="F1248" s="301"/>
      <c r="G1248" s="301"/>
      <c r="H1248" s="301"/>
      <c r="I1248" s="301"/>
      <c r="K1248" s="266"/>
      <c r="L1248" s="265"/>
      <c r="M1248" s="267"/>
      <c r="N1248" s="4"/>
      <c r="O1248" s="4"/>
    </row>
    <row r="1249" spans="1:15" x14ac:dyDescent="0.2">
      <c r="A1249" s="256"/>
      <c r="B1249" s="265"/>
      <c r="C1249" s="303"/>
      <c r="D1249" s="301"/>
      <c r="E1249" s="302"/>
      <c r="F1249" s="301"/>
      <c r="G1249" s="301"/>
      <c r="H1249" s="301"/>
      <c r="I1249" s="301"/>
      <c r="K1249" s="266"/>
      <c r="L1249" s="265"/>
      <c r="M1249" s="267"/>
      <c r="N1249" s="4"/>
      <c r="O1249" s="4"/>
    </row>
    <row r="1250" spans="1:15" x14ac:dyDescent="0.2">
      <c r="A1250" s="256"/>
      <c r="B1250" s="265"/>
      <c r="C1250" s="303"/>
      <c r="D1250" s="301"/>
      <c r="E1250" s="302"/>
      <c r="F1250" s="301"/>
      <c r="G1250" s="301"/>
      <c r="H1250" s="301"/>
      <c r="I1250" s="301"/>
      <c r="K1250" s="266"/>
      <c r="L1250" s="265"/>
      <c r="M1250" s="267"/>
      <c r="N1250" s="4"/>
      <c r="O1250" s="4"/>
    </row>
    <row r="1251" spans="1:15" x14ac:dyDescent="0.2">
      <c r="A1251" s="256"/>
      <c r="B1251" s="265"/>
      <c r="C1251" s="303"/>
      <c r="D1251" s="301"/>
      <c r="E1251" s="302"/>
      <c r="F1251" s="301"/>
      <c r="G1251" s="301"/>
      <c r="H1251" s="301"/>
      <c r="I1251" s="301"/>
      <c r="K1251" s="266"/>
      <c r="L1251" s="265"/>
      <c r="M1251" s="267"/>
      <c r="N1251" s="4"/>
      <c r="O1251" s="4"/>
    </row>
    <row r="1252" spans="1:15" x14ac:dyDescent="0.2">
      <c r="A1252" s="256"/>
      <c r="B1252" s="265"/>
      <c r="C1252" s="303"/>
      <c r="D1252" s="301"/>
      <c r="E1252" s="302"/>
      <c r="F1252" s="301"/>
      <c r="G1252" s="301"/>
      <c r="H1252" s="301"/>
      <c r="I1252" s="301"/>
      <c r="K1252" s="266"/>
      <c r="L1252" s="265"/>
      <c r="M1252" s="267"/>
      <c r="N1252" s="4"/>
      <c r="O1252" s="4"/>
    </row>
    <row r="1253" spans="1:15" x14ac:dyDescent="0.2">
      <c r="A1253" s="256"/>
      <c r="B1253" s="265"/>
      <c r="C1253" s="303"/>
      <c r="D1253" s="301"/>
      <c r="E1253" s="302"/>
      <c r="F1253" s="301"/>
      <c r="G1253" s="301"/>
      <c r="H1253" s="301"/>
      <c r="I1253" s="301"/>
      <c r="K1253" s="266"/>
      <c r="L1253" s="265"/>
      <c r="M1253" s="267"/>
      <c r="N1253" s="4"/>
      <c r="O1253" s="4"/>
    </row>
    <row r="1254" spans="1:15" x14ac:dyDescent="0.2">
      <c r="A1254" s="256"/>
      <c r="B1254" s="265"/>
      <c r="C1254" s="303"/>
      <c r="D1254" s="301"/>
      <c r="E1254" s="302"/>
      <c r="F1254" s="301"/>
      <c r="G1254" s="301"/>
      <c r="H1254" s="301"/>
      <c r="I1254" s="301"/>
      <c r="K1254" s="266"/>
      <c r="L1254" s="265"/>
      <c r="M1254" s="267"/>
      <c r="N1254" s="4"/>
      <c r="O1254" s="4"/>
    </row>
    <row r="1255" spans="1:15" x14ac:dyDescent="0.2">
      <c r="A1255" s="256"/>
      <c r="B1255" s="265"/>
      <c r="C1255" s="303"/>
      <c r="D1255" s="301"/>
      <c r="E1255" s="302"/>
      <c r="F1255" s="301"/>
      <c r="G1255" s="301"/>
      <c r="H1255" s="301"/>
      <c r="I1255" s="301"/>
      <c r="K1255" s="266"/>
      <c r="L1255" s="265"/>
      <c r="M1255" s="267"/>
      <c r="N1255" s="4"/>
      <c r="O1255" s="4"/>
    </row>
    <row r="1256" spans="1:15" x14ac:dyDescent="0.2">
      <c r="A1256" s="256"/>
      <c r="B1256" s="265"/>
      <c r="C1256" s="303"/>
      <c r="D1256" s="301"/>
      <c r="E1256" s="302"/>
      <c r="F1256" s="301"/>
      <c r="G1256" s="301"/>
      <c r="H1256" s="301"/>
      <c r="I1256" s="301"/>
      <c r="K1256" s="266"/>
      <c r="L1256" s="265"/>
      <c r="M1256" s="267"/>
      <c r="N1256" s="4"/>
      <c r="O1256" s="4"/>
    </row>
    <row r="1257" spans="1:15" x14ac:dyDescent="0.2">
      <c r="A1257" s="256"/>
      <c r="B1257" s="265"/>
      <c r="C1257" s="303"/>
      <c r="D1257" s="301"/>
      <c r="E1257" s="302"/>
      <c r="F1257" s="301"/>
      <c r="G1257" s="301"/>
      <c r="H1257" s="301"/>
      <c r="I1257" s="301"/>
      <c r="K1257" s="266"/>
      <c r="L1257" s="265"/>
      <c r="M1257" s="267"/>
      <c r="N1257" s="4"/>
      <c r="O1257" s="4"/>
    </row>
    <row r="1258" spans="1:15" x14ac:dyDescent="0.2">
      <c r="A1258" s="256"/>
      <c r="B1258" s="265"/>
      <c r="C1258" s="303"/>
      <c r="D1258" s="301"/>
      <c r="E1258" s="302"/>
      <c r="F1258" s="301"/>
      <c r="G1258" s="301"/>
      <c r="H1258" s="301"/>
      <c r="I1258" s="301"/>
      <c r="K1258" s="266"/>
      <c r="L1258" s="265"/>
      <c r="M1258" s="267"/>
      <c r="N1258" s="4"/>
      <c r="O1258" s="4"/>
    </row>
    <row r="1259" spans="1:15" x14ac:dyDescent="0.2">
      <c r="A1259" s="256"/>
      <c r="B1259" s="265"/>
      <c r="C1259" s="303"/>
      <c r="D1259" s="301"/>
      <c r="E1259" s="302"/>
      <c r="F1259" s="301"/>
      <c r="G1259" s="301"/>
      <c r="H1259" s="301"/>
      <c r="I1259" s="301"/>
      <c r="K1259" s="266"/>
      <c r="L1259" s="265"/>
      <c r="M1259" s="267"/>
      <c r="N1259" s="4"/>
      <c r="O1259" s="4"/>
    </row>
    <row r="1260" spans="1:15" x14ac:dyDescent="0.2">
      <c r="A1260" s="256"/>
      <c r="B1260" s="265"/>
      <c r="C1260" s="303"/>
      <c r="D1260" s="301"/>
      <c r="E1260" s="302"/>
      <c r="F1260" s="301"/>
      <c r="G1260" s="301"/>
      <c r="H1260" s="301"/>
      <c r="I1260" s="301"/>
      <c r="K1260" s="266"/>
      <c r="L1260" s="265"/>
      <c r="M1260" s="267"/>
      <c r="N1260" s="4"/>
      <c r="O1260" s="4"/>
    </row>
    <row r="1261" spans="1:15" x14ac:dyDescent="0.2">
      <c r="A1261" s="256"/>
      <c r="B1261" s="265"/>
      <c r="C1261" s="303"/>
      <c r="D1261" s="301"/>
      <c r="E1261" s="302"/>
      <c r="F1261" s="301"/>
      <c r="G1261" s="301"/>
      <c r="H1261" s="301"/>
      <c r="I1261" s="301"/>
      <c r="K1261" s="266"/>
      <c r="L1261" s="265"/>
      <c r="M1261" s="267"/>
      <c r="N1261" s="4"/>
      <c r="O1261" s="4"/>
    </row>
    <row r="1262" spans="1:15" x14ac:dyDescent="0.2">
      <c r="A1262" s="256"/>
      <c r="B1262" s="265"/>
      <c r="C1262" s="303"/>
      <c r="D1262" s="301"/>
      <c r="E1262" s="302"/>
      <c r="F1262" s="301"/>
      <c r="G1262" s="301"/>
      <c r="H1262" s="301"/>
      <c r="I1262" s="301"/>
      <c r="K1262" s="266"/>
      <c r="L1262" s="265"/>
      <c r="M1262" s="267"/>
      <c r="N1262" s="4"/>
      <c r="O1262" s="4"/>
    </row>
    <row r="1263" spans="1:15" x14ac:dyDescent="0.2">
      <c r="A1263" s="256"/>
      <c r="B1263" s="265"/>
      <c r="C1263" s="303"/>
      <c r="D1263" s="301"/>
      <c r="E1263" s="302"/>
      <c r="F1263" s="301"/>
      <c r="G1263" s="301"/>
      <c r="H1263" s="301"/>
      <c r="I1263" s="301"/>
      <c r="K1263" s="266"/>
      <c r="L1263" s="265"/>
      <c r="M1263" s="267"/>
      <c r="N1263" s="4"/>
      <c r="O1263" s="4"/>
    </row>
    <row r="1264" spans="1:15" x14ac:dyDescent="0.2">
      <c r="A1264" s="256"/>
      <c r="B1264" s="265"/>
      <c r="C1264" s="303"/>
      <c r="D1264" s="301"/>
      <c r="E1264" s="302"/>
      <c r="F1264" s="301"/>
      <c r="G1264" s="301"/>
      <c r="H1264" s="301"/>
      <c r="I1264" s="301"/>
      <c r="K1264" s="266"/>
      <c r="L1264" s="265"/>
      <c r="M1264" s="267"/>
      <c r="N1264" s="4"/>
      <c r="O1264" s="4"/>
    </row>
    <row r="1265" spans="1:15" x14ac:dyDescent="0.2">
      <c r="A1265" s="256"/>
      <c r="B1265" s="265"/>
      <c r="C1265" s="303"/>
      <c r="D1265" s="301"/>
      <c r="E1265" s="302"/>
      <c r="F1265" s="301"/>
      <c r="G1265" s="301"/>
      <c r="H1265" s="301"/>
      <c r="I1265" s="301"/>
      <c r="K1265" s="266"/>
      <c r="L1265" s="265"/>
      <c r="M1265" s="267"/>
      <c r="N1265" s="4"/>
      <c r="O1265" s="4"/>
    </row>
    <row r="1266" spans="1:15" x14ac:dyDescent="0.2">
      <c r="A1266" s="256"/>
      <c r="B1266" s="265"/>
      <c r="C1266" s="303"/>
      <c r="D1266" s="301"/>
      <c r="E1266" s="302"/>
      <c r="F1266" s="301"/>
      <c r="G1266" s="301"/>
      <c r="H1266" s="301"/>
      <c r="I1266" s="301"/>
      <c r="K1266" s="266"/>
      <c r="L1266" s="265"/>
      <c r="M1266" s="267"/>
      <c r="N1266" s="4"/>
      <c r="O1266" s="4"/>
    </row>
    <row r="1267" spans="1:15" x14ac:dyDescent="0.2">
      <c r="A1267" s="256"/>
      <c r="B1267" s="265"/>
      <c r="C1267" s="303"/>
      <c r="D1267" s="301"/>
      <c r="E1267" s="302"/>
      <c r="F1267" s="301"/>
      <c r="G1267" s="301"/>
      <c r="H1267" s="301"/>
      <c r="I1267" s="301"/>
      <c r="K1267" s="266"/>
      <c r="L1267" s="265"/>
      <c r="M1267" s="267"/>
      <c r="N1267" s="4"/>
      <c r="O1267" s="4"/>
    </row>
    <row r="1268" spans="1:15" x14ac:dyDescent="0.2">
      <c r="A1268" s="256"/>
      <c r="B1268" s="265"/>
      <c r="C1268" s="303"/>
      <c r="D1268" s="301"/>
      <c r="E1268" s="302"/>
      <c r="F1268" s="301"/>
      <c r="G1268" s="301"/>
      <c r="H1268" s="301"/>
      <c r="I1268" s="301"/>
      <c r="K1268" s="266"/>
      <c r="L1268" s="265"/>
      <c r="M1268" s="267"/>
      <c r="N1268" s="4"/>
      <c r="O1268" s="4"/>
    </row>
    <row r="1269" spans="1:15" x14ac:dyDescent="0.2">
      <c r="A1269" s="256"/>
      <c r="B1269" s="265"/>
      <c r="C1269" s="303"/>
      <c r="D1269" s="301"/>
      <c r="E1269" s="302"/>
      <c r="F1269" s="301"/>
      <c r="G1269" s="301"/>
      <c r="H1269" s="301"/>
      <c r="I1269" s="301"/>
      <c r="K1269" s="266"/>
      <c r="L1269" s="265"/>
      <c r="M1269" s="267"/>
      <c r="N1269" s="4"/>
      <c r="O1269" s="4"/>
    </row>
    <row r="1270" spans="1:15" x14ac:dyDescent="0.2">
      <c r="A1270" s="256"/>
      <c r="B1270" s="265"/>
      <c r="C1270" s="303"/>
      <c r="D1270" s="301"/>
      <c r="E1270" s="302"/>
      <c r="F1270" s="301"/>
      <c r="G1270" s="301"/>
      <c r="H1270" s="301"/>
      <c r="I1270" s="301"/>
      <c r="K1270" s="266"/>
      <c r="L1270" s="265"/>
      <c r="M1270" s="267"/>
      <c r="N1270" s="4"/>
      <c r="O1270" s="4"/>
    </row>
    <row r="1271" spans="1:15" x14ac:dyDescent="0.2">
      <c r="A1271" s="256"/>
      <c r="B1271" s="265"/>
      <c r="C1271" s="303"/>
      <c r="D1271" s="301"/>
      <c r="E1271" s="302"/>
      <c r="F1271" s="301"/>
      <c r="G1271" s="301"/>
      <c r="H1271" s="301"/>
      <c r="I1271" s="301"/>
      <c r="K1271" s="266"/>
      <c r="L1271" s="265"/>
      <c r="M1271" s="267"/>
      <c r="N1271" s="4"/>
      <c r="O1271" s="4"/>
    </row>
    <row r="1272" spans="1:15" x14ac:dyDescent="0.2">
      <c r="A1272" s="256"/>
      <c r="B1272" s="265"/>
      <c r="C1272" s="303"/>
      <c r="D1272" s="301"/>
      <c r="E1272" s="302"/>
      <c r="F1272" s="301"/>
      <c r="G1272" s="301"/>
      <c r="H1272" s="301"/>
      <c r="I1272" s="301"/>
      <c r="K1272" s="266"/>
      <c r="L1272" s="265"/>
      <c r="M1272" s="267"/>
      <c r="N1272" s="4"/>
      <c r="O1272" s="4"/>
    </row>
    <row r="1273" spans="1:15" x14ac:dyDescent="0.2">
      <c r="A1273" s="256"/>
      <c r="B1273" s="265"/>
      <c r="C1273" s="303"/>
      <c r="D1273" s="301"/>
      <c r="E1273" s="302"/>
      <c r="F1273" s="301"/>
      <c r="G1273" s="301"/>
      <c r="H1273" s="301"/>
      <c r="I1273" s="301"/>
      <c r="K1273" s="266"/>
      <c r="L1273" s="265"/>
      <c r="M1273" s="267"/>
      <c r="N1273" s="4"/>
      <c r="O1273" s="4"/>
    </row>
    <row r="1274" spans="1:15" x14ac:dyDescent="0.2">
      <c r="A1274" s="256"/>
      <c r="B1274" s="265"/>
      <c r="C1274" s="303"/>
      <c r="D1274" s="301"/>
      <c r="E1274" s="302"/>
      <c r="F1274" s="301"/>
      <c r="G1274" s="301"/>
      <c r="H1274" s="301"/>
      <c r="I1274" s="301"/>
      <c r="K1274" s="266"/>
      <c r="L1274" s="265"/>
      <c r="M1274" s="267"/>
      <c r="N1274" s="4"/>
      <c r="O1274" s="4"/>
    </row>
    <row r="1275" spans="1:15" x14ac:dyDescent="0.2">
      <c r="A1275" s="256"/>
      <c r="B1275" s="265"/>
      <c r="C1275" s="303"/>
      <c r="D1275" s="301"/>
      <c r="E1275" s="302"/>
      <c r="F1275" s="301"/>
      <c r="G1275" s="301"/>
      <c r="H1275" s="301"/>
      <c r="I1275" s="301"/>
      <c r="K1275" s="266"/>
      <c r="L1275" s="265"/>
      <c r="M1275" s="267"/>
      <c r="N1275" s="4"/>
      <c r="O1275" s="4"/>
    </row>
    <row r="1276" spans="1:15" x14ac:dyDescent="0.2">
      <c r="A1276" s="256"/>
      <c r="B1276" s="265"/>
      <c r="C1276" s="303"/>
      <c r="D1276" s="301"/>
      <c r="E1276" s="302"/>
      <c r="F1276" s="301"/>
      <c r="G1276" s="301"/>
      <c r="H1276" s="301"/>
      <c r="I1276" s="301"/>
      <c r="K1276" s="266"/>
      <c r="L1276" s="265"/>
      <c r="M1276" s="267"/>
      <c r="N1276" s="4"/>
      <c r="O1276" s="4"/>
    </row>
    <row r="1277" spans="1:15" x14ac:dyDescent="0.2">
      <c r="A1277" s="256"/>
      <c r="B1277" s="265"/>
      <c r="C1277" s="303"/>
      <c r="D1277" s="301"/>
      <c r="E1277" s="302"/>
      <c r="F1277" s="301"/>
      <c r="G1277" s="301"/>
      <c r="H1277" s="301"/>
      <c r="I1277" s="301"/>
      <c r="K1277" s="266"/>
      <c r="L1277" s="265"/>
      <c r="M1277" s="267"/>
      <c r="N1277" s="4"/>
      <c r="O1277" s="4"/>
    </row>
    <row r="1278" spans="1:15" x14ac:dyDescent="0.2">
      <c r="A1278" s="256"/>
      <c r="B1278" s="265"/>
      <c r="C1278" s="303"/>
      <c r="D1278" s="301"/>
      <c r="E1278" s="302"/>
      <c r="F1278" s="301"/>
      <c r="G1278" s="301"/>
      <c r="H1278" s="301"/>
      <c r="I1278" s="301"/>
      <c r="K1278" s="266"/>
      <c r="L1278" s="265"/>
      <c r="M1278" s="267"/>
      <c r="N1278" s="4"/>
      <c r="O1278" s="4"/>
    </row>
    <row r="1279" spans="1:15" x14ac:dyDescent="0.2">
      <c r="A1279" s="256"/>
      <c r="B1279" s="265"/>
      <c r="C1279" s="303"/>
      <c r="D1279" s="301"/>
      <c r="E1279" s="302"/>
      <c r="F1279" s="301"/>
      <c r="G1279" s="301"/>
      <c r="H1279" s="301"/>
      <c r="I1279" s="301"/>
      <c r="K1279" s="266"/>
      <c r="L1279" s="265"/>
      <c r="M1279" s="267"/>
      <c r="N1279" s="4"/>
      <c r="O1279" s="4"/>
    </row>
    <row r="1280" spans="1:15" x14ac:dyDescent="0.2">
      <c r="A1280" s="256"/>
      <c r="B1280" s="265"/>
      <c r="C1280" s="303"/>
      <c r="D1280" s="301"/>
      <c r="E1280" s="302"/>
      <c r="F1280" s="301"/>
      <c r="G1280" s="301"/>
      <c r="H1280" s="301"/>
      <c r="I1280" s="301"/>
      <c r="K1280" s="266"/>
      <c r="L1280" s="265"/>
      <c r="M1280" s="267"/>
      <c r="N1280" s="4"/>
      <c r="O1280" s="4"/>
    </row>
    <row r="1281" spans="1:15" x14ac:dyDescent="0.2">
      <c r="A1281" s="256"/>
      <c r="B1281" s="265"/>
      <c r="C1281" s="303"/>
      <c r="D1281" s="301"/>
      <c r="E1281" s="302"/>
      <c r="F1281" s="301"/>
      <c r="G1281" s="301"/>
      <c r="H1281" s="301"/>
      <c r="I1281" s="301"/>
      <c r="K1281" s="266"/>
      <c r="L1281" s="265"/>
      <c r="M1281" s="267"/>
      <c r="N1281" s="4"/>
      <c r="O1281" s="4"/>
    </row>
    <row r="1282" spans="1:15" x14ac:dyDescent="0.2">
      <c r="A1282" s="256"/>
      <c r="B1282" s="265"/>
      <c r="C1282" s="303"/>
      <c r="D1282" s="301"/>
      <c r="E1282" s="302"/>
      <c r="F1282" s="301"/>
      <c r="G1282" s="301"/>
      <c r="H1282" s="301"/>
      <c r="I1282" s="301"/>
      <c r="K1282" s="266"/>
      <c r="L1282" s="265"/>
      <c r="M1282" s="267"/>
      <c r="N1282" s="4"/>
      <c r="O1282" s="4"/>
    </row>
    <row r="1283" spans="1:15" x14ac:dyDescent="0.2">
      <c r="A1283" s="256"/>
      <c r="B1283" s="265"/>
      <c r="C1283" s="303"/>
      <c r="D1283" s="301"/>
      <c r="E1283" s="302"/>
      <c r="F1283" s="301"/>
      <c r="G1283" s="301"/>
      <c r="H1283" s="301"/>
      <c r="I1283" s="301"/>
      <c r="K1283" s="266"/>
      <c r="L1283" s="265"/>
      <c r="M1283" s="267"/>
      <c r="N1283" s="4"/>
      <c r="O1283" s="4"/>
    </row>
    <row r="1284" spans="1:15" x14ac:dyDescent="0.2">
      <c r="A1284" s="256"/>
      <c r="B1284" s="265"/>
      <c r="C1284" s="303"/>
      <c r="D1284" s="301"/>
      <c r="E1284" s="302"/>
      <c r="F1284" s="301"/>
      <c r="G1284" s="301"/>
      <c r="H1284" s="301"/>
      <c r="I1284" s="301"/>
      <c r="K1284" s="266"/>
      <c r="L1284" s="265"/>
      <c r="M1284" s="267"/>
      <c r="N1284" s="4"/>
      <c r="O1284" s="4"/>
    </row>
    <row r="1285" spans="1:15" x14ac:dyDescent="0.2">
      <c r="A1285" s="256"/>
      <c r="B1285" s="265"/>
      <c r="C1285" s="303"/>
      <c r="D1285" s="301"/>
      <c r="E1285" s="302"/>
      <c r="F1285" s="301"/>
      <c r="G1285" s="301"/>
      <c r="H1285" s="301"/>
      <c r="I1285" s="301"/>
      <c r="K1285" s="266"/>
      <c r="L1285" s="265"/>
      <c r="M1285" s="267"/>
      <c r="N1285" s="4"/>
      <c r="O1285" s="4"/>
    </row>
    <row r="1286" spans="1:15" x14ac:dyDescent="0.2">
      <c r="A1286" s="256"/>
      <c r="B1286" s="265"/>
      <c r="C1286" s="303"/>
      <c r="D1286" s="301"/>
      <c r="E1286" s="302"/>
      <c r="F1286" s="301"/>
      <c r="G1286" s="301"/>
      <c r="H1286" s="301"/>
      <c r="I1286" s="301"/>
      <c r="K1286" s="266"/>
      <c r="L1286" s="265"/>
      <c r="M1286" s="267"/>
      <c r="N1286" s="4"/>
      <c r="O1286" s="4"/>
    </row>
    <row r="1287" spans="1:15" x14ac:dyDescent="0.2">
      <c r="A1287" s="256"/>
      <c r="B1287" s="265"/>
      <c r="C1287" s="303"/>
      <c r="D1287" s="301"/>
      <c r="E1287" s="302"/>
      <c r="F1287" s="301"/>
      <c r="G1287" s="301"/>
      <c r="H1287" s="301"/>
      <c r="I1287" s="301"/>
      <c r="K1287" s="266"/>
      <c r="L1287" s="265"/>
      <c r="M1287" s="267"/>
      <c r="N1287" s="4"/>
      <c r="O1287" s="4"/>
    </row>
    <row r="1288" spans="1:15" x14ac:dyDescent="0.2">
      <c r="A1288" s="256"/>
      <c r="B1288" s="265"/>
      <c r="C1288" s="303"/>
      <c r="D1288" s="301"/>
      <c r="E1288" s="302"/>
      <c r="F1288" s="301"/>
      <c r="G1288" s="301"/>
      <c r="H1288" s="301"/>
      <c r="I1288" s="301"/>
      <c r="K1288" s="266"/>
      <c r="L1288" s="265"/>
      <c r="M1288" s="267"/>
      <c r="N1288" s="4"/>
      <c r="O1288" s="4"/>
    </row>
    <row r="1289" spans="1:15" x14ac:dyDescent="0.2">
      <c r="A1289" s="256"/>
      <c r="B1289" s="265"/>
      <c r="C1289" s="303"/>
      <c r="D1289" s="301"/>
      <c r="E1289" s="302"/>
      <c r="F1289" s="301"/>
      <c r="G1289" s="301"/>
      <c r="H1289" s="301"/>
      <c r="I1289" s="301"/>
      <c r="K1289" s="266"/>
      <c r="L1289" s="265"/>
      <c r="M1289" s="267"/>
      <c r="N1289" s="4"/>
      <c r="O1289" s="4"/>
    </row>
    <row r="1290" spans="1:15" x14ac:dyDescent="0.2">
      <c r="A1290" s="256"/>
      <c r="B1290" s="265"/>
      <c r="C1290" s="303"/>
      <c r="D1290" s="301"/>
      <c r="E1290" s="302"/>
      <c r="F1290" s="301"/>
      <c r="G1290" s="301"/>
      <c r="H1290" s="301"/>
      <c r="I1290" s="301"/>
      <c r="K1290" s="266"/>
      <c r="L1290" s="265"/>
      <c r="M1290" s="267"/>
      <c r="N1290" s="4"/>
      <c r="O1290" s="4"/>
    </row>
    <row r="1291" spans="1:15" x14ac:dyDescent="0.2">
      <c r="A1291" s="256"/>
      <c r="B1291" s="265"/>
      <c r="C1291" s="303"/>
      <c r="D1291" s="301"/>
      <c r="E1291" s="302"/>
      <c r="F1291" s="301"/>
      <c r="G1291" s="301"/>
      <c r="H1291" s="301"/>
      <c r="I1291" s="301"/>
      <c r="K1291" s="266"/>
      <c r="L1291" s="265"/>
      <c r="M1291" s="267"/>
      <c r="N1291" s="4"/>
      <c r="O1291" s="4"/>
    </row>
    <row r="1292" spans="1:15" x14ac:dyDescent="0.2">
      <c r="A1292" s="256"/>
      <c r="B1292" s="265"/>
      <c r="C1292" s="303"/>
      <c r="D1292" s="301"/>
      <c r="E1292" s="302"/>
      <c r="F1292" s="301"/>
      <c r="G1292" s="301"/>
      <c r="H1292" s="301"/>
      <c r="I1292" s="301"/>
      <c r="K1292" s="266"/>
      <c r="L1292" s="265"/>
      <c r="M1292" s="267"/>
      <c r="N1292" s="4"/>
      <c r="O1292" s="4"/>
    </row>
    <row r="1293" spans="1:15" x14ac:dyDescent="0.2">
      <c r="A1293" s="256"/>
      <c r="B1293" s="265"/>
      <c r="C1293" s="303"/>
      <c r="D1293" s="301"/>
      <c r="E1293" s="302"/>
      <c r="F1293" s="301"/>
      <c r="G1293" s="301"/>
      <c r="H1293" s="301"/>
      <c r="I1293" s="301"/>
      <c r="K1293" s="266"/>
      <c r="L1293" s="265"/>
      <c r="M1293" s="267"/>
      <c r="N1293" s="4"/>
      <c r="O1293" s="4"/>
    </row>
    <row r="1294" spans="1:15" x14ac:dyDescent="0.2">
      <c r="A1294" s="256"/>
      <c r="B1294" s="265"/>
      <c r="C1294" s="303"/>
      <c r="D1294" s="301"/>
      <c r="E1294" s="302"/>
      <c r="F1294" s="301"/>
      <c r="G1294" s="301"/>
      <c r="H1294" s="301"/>
      <c r="I1294" s="301"/>
      <c r="K1294" s="266"/>
      <c r="L1294" s="265"/>
      <c r="M1294" s="267"/>
      <c r="N1294" s="4"/>
      <c r="O1294" s="4"/>
    </row>
    <row r="1295" spans="1:15" x14ac:dyDescent="0.2">
      <c r="A1295" s="256"/>
      <c r="B1295" s="265"/>
      <c r="C1295" s="303"/>
      <c r="D1295" s="301"/>
      <c r="E1295" s="302"/>
      <c r="F1295" s="301"/>
      <c r="G1295" s="301"/>
      <c r="H1295" s="301"/>
      <c r="I1295" s="301"/>
      <c r="K1295" s="266"/>
      <c r="L1295" s="265"/>
      <c r="M1295" s="267"/>
      <c r="N1295" s="4"/>
      <c r="O1295" s="4"/>
    </row>
    <row r="1296" spans="1:15" x14ac:dyDescent="0.2">
      <c r="A1296" s="256"/>
      <c r="B1296" s="265"/>
      <c r="C1296" s="303"/>
      <c r="D1296" s="301"/>
      <c r="E1296" s="302"/>
      <c r="F1296" s="301"/>
      <c r="G1296" s="301"/>
      <c r="H1296" s="301"/>
      <c r="I1296" s="301"/>
      <c r="K1296" s="266"/>
      <c r="L1296" s="265"/>
      <c r="M1296" s="267"/>
      <c r="N1296" s="4"/>
      <c r="O1296" s="4"/>
    </row>
    <row r="1297" spans="1:15" x14ac:dyDescent="0.2">
      <c r="A1297" s="256"/>
      <c r="B1297" s="265"/>
      <c r="C1297" s="303"/>
      <c r="D1297" s="301"/>
      <c r="E1297" s="302"/>
      <c r="F1297" s="301"/>
      <c r="G1297" s="301"/>
      <c r="H1297" s="301"/>
      <c r="I1297" s="301"/>
      <c r="K1297" s="266"/>
      <c r="L1297" s="265"/>
      <c r="M1297" s="267"/>
      <c r="N1297" s="4"/>
      <c r="O1297" s="4"/>
    </row>
    <row r="1298" spans="1:15" x14ac:dyDescent="0.2">
      <c r="A1298" s="256"/>
      <c r="B1298" s="265"/>
      <c r="C1298" s="303"/>
      <c r="D1298" s="301"/>
      <c r="E1298" s="302"/>
      <c r="F1298" s="301"/>
      <c r="G1298" s="301"/>
      <c r="H1298" s="301"/>
      <c r="I1298" s="301"/>
      <c r="K1298" s="266"/>
      <c r="L1298" s="265"/>
      <c r="M1298" s="267"/>
      <c r="N1298" s="4"/>
      <c r="O1298" s="4"/>
    </row>
    <row r="1299" spans="1:15" x14ac:dyDescent="0.2">
      <c r="A1299" s="256"/>
      <c r="B1299" s="265"/>
      <c r="C1299" s="303"/>
      <c r="D1299" s="301"/>
      <c r="E1299" s="302"/>
      <c r="F1299" s="301"/>
      <c r="G1299" s="301"/>
      <c r="H1299" s="301"/>
      <c r="I1299" s="301"/>
      <c r="K1299" s="266"/>
      <c r="L1299" s="265"/>
      <c r="M1299" s="267"/>
      <c r="N1299" s="4"/>
      <c r="O1299" s="4"/>
    </row>
    <row r="1300" spans="1:15" x14ac:dyDescent="0.2">
      <c r="A1300" s="256"/>
      <c r="B1300" s="265"/>
      <c r="C1300" s="303"/>
      <c r="D1300" s="301"/>
      <c r="E1300" s="302"/>
      <c r="F1300" s="301"/>
      <c r="G1300" s="301"/>
      <c r="H1300" s="301"/>
      <c r="I1300" s="301"/>
      <c r="K1300" s="266"/>
      <c r="L1300" s="265"/>
      <c r="M1300" s="267"/>
      <c r="N1300" s="4"/>
      <c r="O1300" s="4"/>
    </row>
    <row r="1301" spans="1:15" x14ac:dyDescent="0.2">
      <c r="A1301" s="256"/>
      <c r="B1301" s="265"/>
      <c r="C1301" s="303"/>
      <c r="D1301" s="301"/>
      <c r="E1301" s="302"/>
      <c r="F1301" s="301"/>
      <c r="G1301" s="301"/>
      <c r="H1301" s="301"/>
      <c r="I1301" s="301"/>
      <c r="K1301" s="266"/>
      <c r="L1301" s="265"/>
      <c r="M1301" s="267"/>
      <c r="N1301" s="4"/>
      <c r="O1301" s="4"/>
    </row>
    <row r="1302" spans="1:15" x14ac:dyDescent="0.2">
      <c r="A1302" s="256"/>
      <c r="B1302" s="265"/>
      <c r="C1302" s="303"/>
      <c r="D1302" s="301"/>
      <c r="E1302" s="302"/>
      <c r="F1302" s="301"/>
      <c r="G1302" s="301"/>
      <c r="H1302" s="301"/>
      <c r="I1302" s="301"/>
      <c r="K1302" s="266"/>
      <c r="L1302" s="265"/>
      <c r="M1302" s="267"/>
      <c r="N1302" s="4"/>
      <c r="O1302" s="4"/>
    </row>
    <row r="1303" spans="1:15" x14ac:dyDescent="0.2">
      <c r="A1303" s="256"/>
      <c r="B1303" s="265"/>
      <c r="C1303" s="303"/>
      <c r="D1303" s="301"/>
      <c r="E1303" s="302"/>
      <c r="F1303" s="301"/>
      <c r="G1303" s="301"/>
      <c r="H1303" s="301"/>
      <c r="I1303" s="301"/>
      <c r="K1303" s="266"/>
      <c r="L1303" s="265"/>
      <c r="M1303" s="267"/>
      <c r="N1303" s="4"/>
      <c r="O1303" s="4"/>
    </row>
    <row r="1304" spans="1:15" x14ac:dyDescent="0.2">
      <c r="A1304" s="256"/>
      <c r="B1304" s="265"/>
      <c r="C1304" s="303"/>
      <c r="D1304" s="301"/>
      <c r="E1304" s="302"/>
      <c r="F1304" s="301"/>
      <c r="G1304" s="301"/>
      <c r="H1304" s="301"/>
      <c r="I1304" s="301"/>
      <c r="K1304" s="266"/>
      <c r="L1304" s="265"/>
      <c r="M1304" s="267"/>
      <c r="N1304" s="4"/>
      <c r="O1304" s="4"/>
    </row>
    <row r="1305" spans="1:15" x14ac:dyDescent="0.2">
      <c r="A1305" s="256"/>
      <c r="B1305" s="265"/>
      <c r="C1305" s="303"/>
      <c r="D1305" s="301"/>
      <c r="E1305" s="302"/>
      <c r="F1305" s="301"/>
      <c r="G1305" s="301"/>
      <c r="H1305" s="301"/>
      <c r="I1305" s="301"/>
      <c r="K1305" s="266"/>
      <c r="L1305" s="265"/>
      <c r="M1305" s="267"/>
      <c r="N1305" s="4"/>
      <c r="O1305" s="4"/>
    </row>
    <row r="1306" spans="1:15" x14ac:dyDescent="0.2">
      <c r="A1306" s="256"/>
      <c r="B1306" s="265"/>
      <c r="C1306" s="303"/>
      <c r="D1306" s="301"/>
      <c r="E1306" s="302"/>
      <c r="F1306" s="301"/>
      <c r="G1306" s="301"/>
      <c r="H1306" s="301"/>
      <c r="I1306" s="301"/>
      <c r="K1306" s="266"/>
      <c r="L1306" s="265"/>
      <c r="M1306" s="267"/>
      <c r="N1306" s="4"/>
      <c r="O1306" s="4"/>
    </row>
    <row r="1307" spans="1:15" x14ac:dyDescent="0.2">
      <c r="A1307" s="256"/>
      <c r="B1307" s="265"/>
      <c r="C1307" s="303"/>
      <c r="D1307" s="301"/>
      <c r="E1307" s="302"/>
      <c r="F1307" s="301"/>
      <c r="G1307" s="301"/>
      <c r="H1307" s="301"/>
      <c r="I1307" s="301"/>
      <c r="K1307" s="266"/>
      <c r="L1307" s="265"/>
      <c r="M1307" s="267"/>
      <c r="N1307" s="4"/>
      <c r="O1307" s="4"/>
    </row>
    <row r="1308" spans="1:15" x14ac:dyDescent="0.2">
      <c r="A1308" s="256"/>
      <c r="B1308" s="265"/>
      <c r="C1308" s="303"/>
      <c r="D1308" s="301"/>
      <c r="E1308" s="302"/>
      <c r="F1308" s="301"/>
      <c r="G1308" s="301"/>
      <c r="H1308" s="301"/>
      <c r="I1308" s="301"/>
      <c r="K1308" s="266"/>
      <c r="L1308" s="265"/>
      <c r="M1308" s="267"/>
      <c r="N1308" s="4"/>
      <c r="O1308" s="4"/>
    </row>
    <row r="1309" spans="1:15" x14ac:dyDescent="0.2">
      <c r="A1309" s="256"/>
      <c r="B1309" s="265"/>
      <c r="C1309" s="303"/>
      <c r="D1309" s="301"/>
      <c r="E1309" s="302"/>
      <c r="F1309" s="301"/>
      <c r="G1309" s="301"/>
      <c r="H1309" s="301"/>
      <c r="I1309" s="301"/>
      <c r="K1309" s="266"/>
      <c r="L1309" s="265"/>
      <c r="M1309" s="267"/>
      <c r="N1309" s="4"/>
      <c r="O1309" s="4"/>
    </row>
    <row r="1310" spans="1:15" x14ac:dyDescent="0.2">
      <c r="A1310" s="256"/>
      <c r="B1310" s="265"/>
      <c r="C1310" s="303"/>
      <c r="D1310" s="301"/>
      <c r="E1310" s="302"/>
      <c r="F1310" s="301"/>
      <c r="G1310" s="301"/>
      <c r="H1310" s="301"/>
      <c r="I1310" s="301"/>
      <c r="K1310" s="266"/>
      <c r="L1310" s="265"/>
      <c r="M1310" s="267"/>
      <c r="N1310" s="4"/>
      <c r="O1310" s="4"/>
    </row>
    <row r="1311" spans="1:15" x14ac:dyDescent="0.2">
      <c r="A1311" s="256"/>
      <c r="B1311" s="265"/>
      <c r="C1311" s="303"/>
      <c r="D1311" s="301"/>
      <c r="E1311" s="302"/>
      <c r="F1311" s="301"/>
      <c r="G1311" s="301"/>
      <c r="H1311" s="301"/>
      <c r="I1311" s="301"/>
      <c r="K1311" s="266"/>
      <c r="L1311" s="265"/>
      <c r="M1311" s="267"/>
      <c r="N1311" s="4"/>
      <c r="O1311" s="4"/>
    </row>
    <row r="1312" spans="1:15" x14ac:dyDescent="0.2">
      <c r="A1312" s="256"/>
      <c r="B1312" s="265"/>
      <c r="C1312" s="303"/>
      <c r="D1312" s="301"/>
      <c r="E1312" s="302"/>
      <c r="F1312" s="301"/>
      <c r="G1312" s="301"/>
      <c r="H1312" s="301"/>
      <c r="I1312" s="301"/>
      <c r="K1312" s="266"/>
      <c r="L1312" s="265"/>
      <c r="M1312" s="267"/>
      <c r="N1312" s="4"/>
      <c r="O1312" s="4"/>
    </row>
    <row r="1313" spans="1:15" x14ac:dyDescent="0.2">
      <c r="A1313" s="256"/>
      <c r="B1313" s="265"/>
      <c r="C1313" s="303"/>
      <c r="D1313" s="301"/>
      <c r="E1313" s="302"/>
      <c r="F1313" s="301"/>
      <c r="G1313" s="301"/>
      <c r="H1313" s="301"/>
      <c r="I1313" s="301"/>
      <c r="K1313" s="266"/>
      <c r="L1313" s="265"/>
      <c r="M1313" s="267"/>
      <c r="N1313" s="4"/>
      <c r="O1313" s="4"/>
    </row>
    <row r="1314" spans="1:15" x14ac:dyDescent="0.2">
      <c r="A1314" s="256"/>
      <c r="B1314" s="265"/>
      <c r="C1314" s="303"/>
      <c r="D1314" s="301"/>
      <c r="E1314" s="302"/>
      <c r="F1314" s="301"/>
      <c r="G1314" s="301"/>
      <c r="H1314" s="301"/>
      <c r="I1314" s="301"/>
      <c r="K1314" s="266"/>
      <c r="L1314" s="265"/>
      <c r="M1314" s="267"/>
      <c r="N1314" s="4"/>
      <c r="O1314" s="4"/>
    </row>
    <row r="1315" spans="1:15" x14ac:dyDescent="0.2">
      <c r="A1315" s="256"/>
      <c r="B1315" s="265"/>
      <c r="C1315" s="303"/>
      <c r="D1315" s="301"/>
      <c r="E1315" s="302"/>
      <c r="F1315" s="301"/>
      <c r="G1315" s="301"/>
      <c r="H1315" s="301"/>
      <c r="I1315" s="301"/>
      <c r="K1315" s="266"/>
      <c r="L1315" s="265"/>
      <c r="M1315" s="267"/>
      <c r="N1315" s="4"/>
      <c r="O1315" s="4"/>
    </row>
    <row r="1316" spans="1:15" x14ac:dyDescent="0.2">
      <c r="A1316" s="256"/>
      <c r="B1316" s="265"/>
      <c r="C1316" s="303"/>
      <c r="D1316" s="301"/>
      <c r="E1316" s="302"/>
      <c r="F1316" s="301"/>
      <c r="G1316" s="301"/>
      <c r="H1316" s="301"/>
      <c r="I1316" s="301"/>
      <c r="K1316" s="266"/>
      <c r="L1316" s="265"/>
      <c r="M1316" s="267"/>
      <c r="N1316" s="4"/>
      <c r="O1316" s="4"/>
    </row>
    <row r="1317" spans="1:15" x14ac:dyDescent="0.2">
      <c r="A1317" s="256"/>
      <c r="B1317" s="265"/>
      <c r="C1317" s="303"/>
      <c r="D1317" s="301"/>
      <c r="E1317" s="302"/>
      <c r="F1317" s="301"/>
      <c r="G1317" s="301"/>
      <c r="H1317" s="301"/>
      <c r="I1317" s="301"/>
      <c r="K1317" s="266"/>
      <c r="L1317" s="265"/>
      <c r="M1317" s="267"/>
      <c r="N1317" s="4"/>
      <c r="O1317" s="4"/>
    </row>
    <row r="1318" spans="1:15" x14ac:dyDescent="0.2">
      <c r="A1318" s="256"/>
      <c r="B1318" s="265"/>
      <c r="C1318" s="303"/>
      <c r="D1318" s="301"/>
      <c r="E1318" s="302"/>
      <c r="F1318" s="301"/>
      <c r="G1318" s="301"/>
      <c r="H1318" s="301"/>
      <c r="I1318" s="301"/>
      <c r="K1318" s="266"/>
      <c r="L1318" s="265"/>
      <c r="M1318" s="267"/>
      <c r="N1318" s="4"/>
      <c r="O1318" s="4"/>
    </row>
    <row r="1319" spans="1:15" x14ac:dyDescent="0.2">
      <c r="A1319" s="256"/>
      <c r="B1319" s="265"/>
      <c r="C1319" s="303"/>
      <c r="D1319" s="301"/>
      <c r="E1319" s="302"/>
      <c r="F1319" s="301"/>
      <c r="G1319" s="301"/>
      <c r="H1319" s="301"/>
      <c r="I1319" s="301"/>
      <c r="K1319" s="266"/>
      <c r="L1319" s="265"/>
      <c r="M1319" s="267"/>
      <c r="N1319" s="4"/>
      <c r="O1319" s="4"/>
    </row>
    <row r="1320" spans="1:15" x14ac:dyDescent="0.2">
      <c r="A1320" s="256"/>
      <c r="B1320" s="265"/>
      <c r="C1320" s="303"/>
      <c r="D1320" s="301"/>
      <c r="E1320" s="302"/>
      <c r="F1320" s="301"/>
      <c r="G1320" s="301"/>
      <c r="H1320" s="301"/>
      <c r="I1320" s="301"/>
      <c r="K1320" s="266"/>
      <c r="L1320" s="265"/>
      <c r="M1320" s="267"/>
      <c r="N1320" s="4"/>
      <c r="O1320" s="4"/>
    </row>
    <row r="1321" spans="1:15" x14ac:dyDescent="0.2">
      <c r="A1321" s="256"/>
      <c r="B1321" s="265"/>
      <c r="C1321" s="303"/>
      <c r="D1321" s="301"/>
      <c r="E1321" s="302"/>
      <c r="F1321" s="301"/>
      <c r="G1321" s="301"/>
      <c r="H1321" s="301"/>
      <c r="I1321" s="301"/>
      <c r="K1321" s="266"/>
      <c r="L1321" s="265"/>
      <c r="M1321" s="267"/>
      <c r="N1321" s="4"/>
      <c r="O1321" s="4"/>
    </row>
    <row r="1322" spans="1:15" x14ac:dyDescent="0.2">
      <c r="A1322" s="256"/>
      <c r="B1322" s="265"/>
      <c r="C1322" s="303"/>
      <c r="D1322" s="301"/>
      <c r="E1322" s="302"/>
      <c r="F1322" s="301"/>
      <c r="G1322" s="301"/>
      <c r="H1322" s="301"/>
      <c r="I1322" s="301"/>
      <c r="K1322" s="266"/>
      <c r="L1322" s="265"/>
      <c r="M1322" s="267"/>
      <c r="N1322" s="4"/>
      <c r="O1322" s="4"/>
    </row>
    <row r="1323" spans="1:15" x14ac:dyDescent="0.2">
      <c r="A1323" s="256"/>
      <c r="B1323" s="265"/>
      <c r="C1323" s="303"/>
      <c r="D1323" s="301"/>
      <c r="E1323" s="302"/>
      <c r="F1323" s="301"/>
      <c r="G1323" s="301"/>
      <c r="H1323" s="301"/>
      <c r="I1323" s="301"/>
      <c r="K1323" s="266"/>
      <c r="L1323" s="265"/>
      <c r="M1323" s="267"/>
      <c r="N1323" s="4"/>
      <c r="O1323" s="4"/>
    </row>
    <row r="1324" spans="1:15" x14ac:dyDescent="0.2">
      <c r="A1324" s="256"/>
      <c r="B1324" s="265"/>
      <c r="C1324" s="303"/>
      <c r="D1324" s="301"/>
      <c r="E1324" s="302"/>
      <c r="F1324" s="301"/>
      <c r="G1324" s="301"/>
      <c r="H1324" s="301"/>
      <c r="I1324" s="301"/>
      <c r="K1324" s="266"/>
      <c r="L1324" s="265"/>
      <c r="M1324" s="267"/>
      <c r="N1324" s="4"/>
      <c r="O1324" s="4"/>
    </row>
    <row r="1325" spans="1:15" x14ac:dyDescent="0.2">
      <c r="A1325" s="256"/>
      <c r="B1325" s="265"/>
      <c r="C1325" s="303"/>
      <c r="D1325" s="301"/>
      <c r="E1325" s="302"/>
      <c r="F1325" s="301"/>
      <c r="G1325" s="301"/>
      <c r="H1325" s="301"/>
      <c r="I1325" s="301"/>
      <c r="K1325" s="266"/>
      <c r="L1325" s="265"/>
      <c r="M1325" s="267"/>
      <c r="N1325" s="4"/>
      <c r="O1325" s="4"/>
    </row>
    <row r="1326" spans="1:15" x14ac:dyDescent="0.2">
      <c r="A1326" s="256"/>
      <c r="B1326" s="265"/>
      <c r="C1326" s="303"/>
      <c r="D1326" s="301"/>
      <c r="E1326" s="302"/>
      <c r="F1326" s="301"/>
      <c r="G1326" s="301"/>
      <c r="H1326" s="301"/>
      <c r="I1326" s="301"/>
      <c r="K1326" s="266"/>
      <c r="L1326" s="265"/>
      <c r="M1326" s="267"/>
      <c r="N1326" s="4"/>
      <c r="O1326" s="4"/>
    </row>
    <row r="1327" spans="1:15" x14ac:dyDescent="0.2">
      <c r="A1327" s="256"/>
      <c r="B1327" s="265"/>
      <c r="C1327" s="303"/>
      <c r="D1327" s="301"/>
      <c r="E1327" s="302"/>
      <c r="F1327" s="301"/>
      <c r="G1327" s="301"/>
      <c r="H1327" s="301"/>
      <c r="I1327" s="301"/>
      <c r="K1327" s="266"/>
      <c r="L1327" s="265"/>
      <c r="M1327" s="267"/>
      <c r="N1327" s="4"/>
      <c r="O1327" s="4"/>
    </row>
    <row r="1328" spans="1:15" x14ac:dyDescent="0.2">
      <c r="A1328" s="256"/>
      <c r="B1328" s="265"/>
      <c r="C1328" s="303"/>
      <c r="D1328" s="301"/>
      <c r="E1328" s="302"/>
      <c r="F1328" s="301"/>
      <c r="G1328" s="301"/>
      <c r="H1328" s="301"/>
      <c r="I1328" s="301"/>
      <c r="K1328" s="266"/>
      <c r="L1328" s="265"/>
      <c r="M1328" s="267"/>
      <c r="N1328" s="4"/>
      <c r="O1328" s="4"/>
    </row>
    <row r="1329" spans="1:15" x14ac:dyDescent="0.2">
      <c r="A1329" s="256"/>
      <c r="B1329" s="265"/>
      <c r="C1329" s="303"/>
      <c r="D1329" s="301"/>
      <c r="E1329" s="302"/>
      <c r="F1329" s="301"/>
      <c r="G1329" s="301"/>
      <c r="H1329" s="301"/>
      <c r="I1329" s="301"/>
      <c r="K1329" s="266"/>
      <c r="L1329" s="265"/>
      <c r="M1329" s="267"/>
      <c r="N1329" s="4"/>
      <c r="O1329" s="4"/>
    </row>
    <row r="1330" spans="1:15" x14ac:dyDescent="0.2">
      <c r="A1330" s="256"/>
      <c r="B1330" s="265"/>
      <c r="C1330" s="303"/>
      <c r="D1330" s="301"/>
      <c r="E1330" s="302"/>
      <c r="F1330" s="301"/>
      <c r="G1330" s="301"/>
      <c r="H1330" s="301"/>
      <c r="I1330" s="301"/>
      <c r="K1330" s="266"/>
      <c r="L1330" s="265"/>
      <c r="M1330" s="267"/>
      <c r="N1330" s="4"/>
      <c r="O1330" s="4"/>
    </row>
    <row r="1331" spans="1:15" x14ac:dyDescent="0.2">
      <c r="A1331" s="256"/>
      <c r="B1331" s="265"/>
      <c r="C1331" s="303"/>
      <c r="D1331" s="301"/>
      <c r="E1331" s="302"/>
      <c r="F1331" s="301"/>
      <c r="G1331" s="301"/>
      <c r="H1331" s="301"/>
      <c r="I1331" s="301"/>
      <c r="K1331" s="266"/>
      <c r="L1331" s="265"/>
      <c r="M1331" s="267"/>
      <c r="N1331" s="4"/>
      <c r="O1331" s="4"/>
    </row>
    <row r="1332" spans="1:15" x14ac:dyDescent="0.2">
      <c r="A1332" s="256"/>
      <c r="B1332" s="265"/>
      <c r="C1332" s="303"/>
      <c r="D1332" s="301"/>
      <c r="E1332" s="302"/>
      <c r="F1332" s="301"/>
      <c r="G1332" s="301"/>
      <c r="H1332" s="301"/>
      <c r="I1332" s="301"/>
      <c r="K1332" s="266"/>
      <c r="L1332" s="265"/>
      <c r="M1332" s="267"/>
      <c r="N1332" s="4"/>
      <c r="O1332" s="4"/>
    </row>
    <row r="1333" spans="1:15" x14ac:dyDescent="0.2">
      <c r="A1333" s="256"/>
      <c r="B1333" s="265"/>
      <c r="C1333" s="303"/>
      <c r="D1333" s="301"/>
      <c r="E1333" s="302"/>
      <c r="F1333" s="301"/>
      <c r="G1333" s="301"/>
      <c r="H1333" s="301"/>
      <c r="I1333" s="301"/>
      <c r="K1333" s="266"/>
      <c r="L1333" s="265"/>
      <c r="M1333" s="267"/>
      <c r="N1333" s="4"/>
      <c r="O1333" s="4"/>
    </row>
    <row r="1334" spans="1:15" x14ac:dyDescent="0.2">
      <c r="A1334" s="256"/>
      <c r="B1334" s="265"/>
      <c r="C1334" s="303"/>
      <c r="D1334" s="301"/>
      <c r="E1334" s="302"/>
      <c r="F1334" s="301"/>
      <c r="G1334" s="301"/>
      <c r="H1334" s="301"/>
      <c r="I1334" s="301"/>
      <c r="K1334" s="266"/>
      <c r="L1334" s="265"/>
      <c r="M1334" s="267"/>
      <c r="N1334" s="4"/>
      <c r="O1334" s="4"/>
    </row>
    <row r="1335" spans="1:15" x14ac:dyDescent="0.2">
      <c r="A1335" s="256"/>
      <c r="B1335" s="265"/>
      <c r="C1335" s="303"/>
      <c r="D1335" s="301"/>
      <c r="E1335" s="302"/>
      <c r="F1335" s="301"/>
      <c r="G1335" s="301"/>
      <c r="H1335" s="301"/>
      <c r="I1335" s="301"/>
      <c r="K1335" s="266"/>
      <c r="L1335" s="265"/>
      <c r="M1335" s="267"/>
      <c r="N1335" s="4"/>
      <c r="O1335" s="4"/>
    </row>
    <row r="1336" spans="1:15" x14ac:dyDescent="0.2">
      <c r="A1336" s="256"/>
      <c r="B1336" s="265"/>
      <c r="C1336" s="303"/>
      <c r="D1336" s="301"/>
      <c r="E1336" s="302"/>
      <c r="F1336" s="301"/>
      <c r="G1336" s="301"/>
      <c r="H1336" s="301"/>
      <c r="I1336" s="301"/>
      <c r="K1336" s="266"/>
      <c r="L1336" s="265"/>
      <c r="M1336" s="267"/>
      <c r="N1336" s="4"/>
      <c r="O1336" s="4"/>
    </row>
    <row r="1337" spans="1:15" x14ac:dyDescent="0.2">
      <c r="A1337" s="256"/>
      <c r="B1337" s="265"/>
      <c r="C1337" s="303"/>
      <c r="D1337" s="301"/>
      <c r="E1337" s="302"/>
      <c r="F1337" s="301"/>
      <c r="G1337" s="301"/>
      <c r="H1337" s="301"/>
      <c r="I1337" s="301"/>
      <c r="K1337" s="266"/>
      <c r="L1337" s="265"/>
      <c r="M1337" s="267"/>
      <c r="N1337" s="4"/>
      <c r="O1337" s="4"/>
    </row>
    <row r="1338" spans="1:15" x14ac:dyDescent="0.2">
      <c r="A1338" s="256"/>
      <c r="B1338" s="265"/>
      <c r="C1338" s="303"/>
      <c r="D1338" s="301"/>
      <c r="E1338" s="302"/>
      <c r="F1338" s="301"/>
      <c r="G1338" s="301"/>
      <c r="H1338" s="301"/>
      <c r="I1338" s="301"/>
      <c r="K1338" s="266"/>
      <c r="L1338" s="265"/>
      <c r="M1338" s="267"/>
      <c r="N1338" s="4"/>
      <c r="O1338" s="4"/>
    </row>
    <row r="1339" spans="1:15" x14ac:dyDescent="0.2">
      <c r="A1339" s="256"/>
      <c r="B1339" s="265"/>
      <c r="C1339" s="303"/>
      <c r="D1339" s="301"/>
      <c r="E1339" s="302"/>
      <c r="F1339" s="301"/>
      <c r="G1339" s="301"/>
      <c r="H1339" s="301"/>
      <c r="I1339" s="301"/>
      <c r="K1339" s="266"/>
      <c r="L1339" s="265"/>
      <c r="M1339" s="267"/>
      <c r="N1339" s="4"/>
      <c r="O1339" s="4"/>
    </row>
    <row r="1340" spans="1:15" x14ac:dyDescent="0.2">
      <c r="A1340" s="256"/>
      <c r="B1340" s="265"/>
      <c r="C1340" s="303"/>
      <c r="D1340" s="301"/>
      <c r="E1340" s="302"/>
      <c r="F1340" s="301"/>
      <c r="G1340" s="301"/>
      <c r="H1340" s="301"/>
      <c r="I1340" s="301"/>
      <c r="K1340" s="266"/>
      <c r="L1340" s="265"/>
      <c r="M1340" s="267"/>
      <c r="N1340" s="4"/>
      <c r="O1340" s="4"/>
    </row>
    <row r="1341" spans="1:15" x14ac:dyDescent="0.2">
      <c r="A1341" s="256"/>
      <c r="B1341" s="265"/>
      <c r="C1341" s="303"/>
      <c r="D1341" s="301"/>
      <c r="E1341" s="302"/>
      <c r="F1341" s="301"/>
      <c r="G1341" s="301"/>
      <c r="H1341" s="301"/>
      <c r="I1341" s="301"/>
      <c r="K1341" s="266"/>
      <c r="L1341" s="265"/>
      <c r="M1341" s="267"/>
      <c r="N1341" s="4"/>
      <c r="O1341" s="4"/>
    </row>
    <row r="1342" spans="1:15" x14ac:dyDescent="0.2">
      <c r="A1342" s="256"/>
      <c r="B1342" s="265"/>
      <c r="C1342" s="303"/>
      <c r="D1342" s="301"/>
      <c r="E1342" s="302"/>
      <c r="F1342" s="301"/>
      <c r="G1342" s="301"/>
      <c r="H1342" s="301"/>
      <c r="I1342" s="301"/>
      <c r="K1342" s="266"/>
      <c r="L1342" s="265"/>
      <c r="M1342" s="267"/>
      <c r="N1342" s="4"/>
      <c r="O1342" s="4"/>
    </row>
    <row r="1343" spans="1:15" x14ac:dyDescent="0.2">
      <c r="A1343" s="256"/>
      <c r="B1343" s="265"/>
      <c r="C1343" s="303"/>
      <c r="D1343" s="301"/>
      <c r="E1343" s="302"/>
      <c r="F1343" s="301"/>
      <c r="G1343" s="301"/>
      <c r="H1343" s="301"/>
      <c r="I1343" s="301"/>
      <c r="K1343" s="266"/>
      <c r="L1343" s="265"/>
      <c r="M1343" s="267"/>
      <c r="N1343" s="4"/>
      <c r="O1343" s="4"/>
    </row>
    <row r="1344" spans="1:15" x14ac:dyDescent="0.2">
      <c r="A1344" s="256"/>
      <c r="B1344" s="265"/>
      <c r="C1344" s="303"/>
      <c r="D1344" s="301"/>
      <c r="E1344" s="302"/>
      <c r="F1344" s="301"/>
      <c r="G1344" s="301"/>
      <c r="H1344" s="301"/>
      <c r="I1344" s="301"/>
      <c r="K1344" s="266"/>
      <c r="L1344" s="265"/>
      <c r="M1344" s="267"/>
      <c r="N1344" s="4"/>
      <c r="O1344" s="4"/>
    </row>
    <row r="1345" spans="1:15" x14ac:dyDescent="0.2">
      <c r="A1345" s="256"/>
      <c r="B1345" s="265"/>
      <c r="C1345" s="303"/>
      <c r="D1345" s="301"/>
      <c r="E1345" s="302"/>
      <c r="F1345" s="301"/>
      <c r="G1345" s="301"/>
      <c r="H1345" s="301"/>
      <c r="I1345" s="301"/>
      <c r="K1345" s="266"/>
      <c r="L1345" s="265"/>
      <c r="M1345" s="267"/>
      <c r="N1345" s="4"/>
      <c r="O1345" s="4"/>
    </row>
    <row r="1346" spans="1:15" x14ac:dyDescent="0.2">
      <c r="A1346" s="256"/>
      <c r="B1346" s="265"/>
      <c r="C1346" s="303"/>
      <c r="D1346" s="301"/>
      <c r="E1346" s="302"/>
      <c r="F1346" s="301"/>
      <c r="G1346" s="301"/>
      <c r="H1346" s="301"/>
      <c r="I1346" s="301"/>
      <c r="K1346" s="266"/>
      <c r="L1346" s="265"/>
      <c r="M1346" s="267"/>
      <c r="N1346" s="4"/>
      <c r="O1346" s="4"/>
    </row>
    <row r="1347" spans="1:15" x14ac:dyDescent="0.2">
      <c r="A1347" s="256"/>
      <c r="B1347" s="265"/>
      <c r="C1347" s="303"/>
      <c r="D1347" s="301"/>
      <c r="E1347" s="302"/>
      <c r="F1347" s="301"/>
      <c r="G1347" s="301"/>
      <c r="H1347" s="301"/>
      <c r="I1347" s="301"/>
      <c r="K1347" s="266"/>
      <c r="L1347" s="265"/>
      <c r="M1347" s="267"/>
      <c r="N1347" s="4"/>
      <c r="O1347" s="4"/>
    </row>
    <row r="1348" spans="1:15" x14ac:dyDescent="0.2">
      <c r="A1348" s="256"/>
      <c r="B1348" s="265"/>
      <c r="C1348" s="303"/>
      <c r="D1348" s="301"/>
      <c r="E1348" s="302"/>
      <c r="F1348" s="301"/>
      <c r="G1348" s="301"/>
      <c r="H1348" s="301"/>
      <c r="I1348" s="301"/>
      <c r="K1348" s="266"/>
      <c r="L1348" s="265"/>
      <c r="M1348" s="267"/>
      <c r="N1348" s="4"/>
      <c r="O1348" s="4"/>
    </row>
    <row r="1349" spans="1:15" x14ac:dyDescent="0.2">
      <c r="A1349" s="256"/>
      <c r="B1349" s="265"/>
      <c r="C1349" s="303"/>
      <c r="D1349" s="301"/>
      <c r="E1349" s="302"/>
      <c r="F1349" s="301"/>
      <c r="G1349" s="301"/>
      <c r="H1349" s="301"/>
      <c r="I1349" s="301"/>
      <c r="K1349" s="266"/>
      <c r="L1349" s="265"/>
      <c r="M1349" s="267"/>
      <c r="N1349" s="4"/>
      <c r="O1349" s="4"/>
    </row>
    <row r="1350" spans="1:15" x14ac:dyDescent="0.2">
      <c r="A1350" s="256"/>
      <c r="B1350" s="265"/>
      <c r="C1350" s="303"/>
      <c r="D1350" s="301"/>
      <c r="E1350" s="302"/>
      <c r="F1350" s="301"/>
      <c r="G1350" s="301"/>
      <c r="H1350" s="301"/>
      <c r="I1350" s="301"/>
      <c r="K1350" s="266"/>
      <c r="L1350" s="265"/>
      <c r="M1350" s="267"/>
      <c r="N1350" s="4"/>
      <c r="O1350" s="4"/>
    </row>
    <row r="1351" spans="1:15" x14ac:dyDescent="0.2">
      <c r="A1351" s="256"/>
      <c r="B1351" s="265"/>
      <c r="C1351" s="303"/>
      <c r="D1351" s="301"/>
      <c r="E1351" s="302"/>
      <c r="F1351" s="301"/>
      <c r="G1351" s="301"/>
      <c r="H1351" s="301"/>
      <c r="I1351" s="301"/>
      <c r="K1351" s="266"/>
      <c r="L1351" s="265"/>
      <c r="M1351" s="267"/>
      <c r="N1351" s="4"/>
      <c r="O1351" s="4"/>
    </row>
    <row r="1352" spans="1:15" x14ac:dyDescent="0.2">
      <c r="A1352" s="256"/>
      <c r="B1352" s="265"/>
      <c r="C1352" s="303"/>
      <c r="D1352" s="301"/>
      <c r="E1352" s="302"/>
      <c r="F1352" s="301"/>
      <c r="G1352" s="301"/>
      <c r="H1352" s="301"/>
      <c r="I1352" s="301"/>
      <c r="K1352" s="266"/>
      <c r="L1352" s="265"/>
      <c r="M1352" s="267"/>
      <c r="N1352" s="4"/>
      <c r="O1352" s="4"/>
    </row>
    <row r="1353" spans="1:15" x14ac:dyDescent="0.2">
      <c r="A1353" s="256"/>
      <c r="B1353" s="265"/>
      <c r="C1353" s="303"/>
      <c r="D1353" s="301"/>
      <c r="E1353" s="302"/>
      <c r="F1353" s="301"/>
      <c r="G1353" s="301"/>
      <c r="H1353" s="301"/>
      <c r="I1353" s="301"/>
      <c r="K1353" s="266"/>
      <c r="L1353" s="265"/>
      <c r="M1353" s="267"/>
      <c r="N1353" s="4"/>
      <c r="O1353" s="4"/>
    </row>
    <row r="1354" spans="1:15" x14ac:dyDescent="0.2">
      <c r="A1354" s="256"/>
      <c r="B1354" s="265"/>
      <c r="C1354" s="303"/>
      <c r="D1354" s="301"/>
      <c r="E1354" s="302"/>
      <c r="F1354" s="301"/>
      <c r="G1354" s="301"/>
      <c r="H1354" s="301"/>
      <c r="I1354" s="301"/>
      <c r="K1354" s="266"/>
      <c r="L1354" s="265"/>
      <c r="M1354" s="267"/>
      <c r="N1354" s="4"/>
      <c r="O1354" s="4"/>
    </row>
    <row r="1355" spans="1:15" x14ac:dyDescent="0.2">
      <c r="A1355" s="256"/>
      <c r="B1355" s="265"/>
      <c r="C1355" s="303"/>
      <c r="D1355" s="301"/>
      <c r="E1355" s="302"/>
      <c r="F1355" s="301"/>
      <c r="G1355" s="301"/>
      <c r="H1355" s="301"/>
      <c r="I1355" s="301"/>
      <c r="K1355" s="266"/>
      <c r="L1355" s="265"/>
      <c r="M1355" s="267"/>
      <c r="N1355" s="4"/>
      <c r="O1355" s="4"/>
    </row>
    <row r="1356" spans="1:15" x14ac:dyDescent="0.2">
      <c r="A1356" s="256"/>
      <c r="B1356" s="265"/>
      <c r="C1356" s="303"/>
      <c r="D1356" s="301"/>
      <c r="E1356" s="302"/>
      <c r="F1356" s="301"/>
      <c r="G1356" s="301"/>
      <c r="H1356" s="301"/>
      <c r="I1356" s="301"/>
      <c r="K1356" s="266"/>
      <c r="L1356" s="265"/>
      <c r="M1356" s="267"/>
      <c r="N1356" s="4"/>
      <c r="O1356" s="4"/>
    </row>
    <row r="1357" spans="1:15" x14ac:dyDescent="0.2">
      <c r="A1357" s="256"/>
      <c r="B1357" s="265"/>
      <c r="C1357" s="303"/>
      <c r="D1357" s="301"/>
      <c r="E1357" s="302"/>
      <c r="F1357" s="301"/>
      <c r="G1357" s="301"/>
      <c r="H1357" s="301"/>
      <c r="I1357" s="301"/>
      <c r="K1357" s="266"/>
      <c r="L1357" s="265"/>
      <c r="M1357" s="267"/>
      <c r="N1357" s="4"/>
      <c r="O1357" s="4"/>
    </row>
    <row r="1358" spans="1:15" x14ac:dyDescent="0.2">
      <c r="A1358" s="256"/>
      <c r="B1358" s="265"/>
      <c r="C1358" s="303"/>
      <c r="D1358" s="301"/>
      <c r="E1358" s="302"/>
      <c r="F1358" s="301"/>
      <c r="G1358" s="301"/>
      <c r="H1358" s="301"/>
      <c r="I1358" s="301"/>
      <c r="K1358" s="266"/>
      <c r="L1358" s="265"/>
      <c r="M1358" s="267"/>
      <c r="N1358" s="4"/>
      <c r="O1358" s="4"/>
    </row>
    <row r="1359" spans="1:15" x14ac:dyDescent="0.2">
      <c r="A1359" s="256"/>
      <c r="B1359" s="265"/>
      <c r="C1359" s="303"/>
      <c r="D1359" s="301"/>
      <c r="E1359" s="302"/>
      <c r="F1359" s="301"/>
      <c r="G1359" s="301"/>
      <c r="H1359" s="301"/>
      <c r="I1359" s="301"/>
      <c r="K1359" s="266"/>
      <c r="L1359" s="265"/>
      <c r="M1359" s="267"/>
      <c r="N1359" s="4"/>
      <c r="O1359" s="4"/>
    </row>
    <row r="1360" spans="1:15" x14ac:dyDescent="0.2">
      <c r="A1360" s="256"/>
      <c r="B1360" s="265"/>
      <c r="C1360" s="303"/>
      <c r="D1360" s="301"/>
      <c r="E1360" s="302"/>
      <c r="F1360" s="301"/>
      <c r="G1360" s="301"/>
      <c r="H1360" s="301"/>
      <c r="I1360" s="301"/>
      <c r="K1360" s="266"/>
      <c r="L1360" s="265"/>
      <c r="M1360" s="267"/>
      <c r="N1360" s="4"/>
      <c r="O1360" s="4"/>
    </row>
    <row r="1361" spans="1:15" x14ac:dyDescent="0.2">
      <c r="A1361" s="256"/>
      <c r="B1361" s="265"/>
      <c r="C1361" s="303"/>
      <c r="D1361" s="301"/>
      <c r="E1361" s="302"/>
      <c r="F1361" s="301"/>
      <c r="G1361" s="301"/>
      <c r="H1361" s="301"/>
      <c r="I1361" s="301"/>
      <c r="K1361" s="266"/>
      <c r="L1361" s="265"/>
      <c r="M1361" s="267"/>
      <c r="N1361" s="4"/>
      <c r="O1361" s="4"/>
    </row>
    <row r="1362" spans="1:15" x14ac:dyDescent="0.2">
      <c r="A1362" s="256"/>
      <c r="B1362" s="265"/>
      <c r="C1362" s="303"/>
      <c r="D1362" s="301"/>
      <c r="E1362" s="302"/>
      <c r="F1362" s="301"/>
      <c r="G1362" s="301"/>
      <c r="H1362" s="301"/>
      <c r="I1362" s="301"/>
      <c r="K1362" s="266"/>
      <c r="L1362" s="265"/>
      <c r="M1362" s="267"/>
      <c r="N1362" s="4"/>
      <c r="O1362" s="4"/>
    </row>
    <row r="1363" spans="1:15" x14ac:dyDescent="0.2">
      <c r="A1363" s="256"/>
      <c r="B1363" s="265"/>
      <c r="C1363" s="303"/>
      <c r="D1363" s="301"/>
      <c r="E1363" s="302"/>
      <c r="F1363" s="301"/>
      <c r="G1363" s="301"/>
      <c r="H1363" s="301"/>
      <c r="I1363" s="301"/>
      <c r="K1363" s="266"/>
      <c r="L1363" s="265"/>
      <c r="M1363" s="267"/>
      <c r="N1363" s="4"/>
      <c r="O1363" s="4"/>
    </row>
    <row r="1364" spans="1:15" x14ac:dyDescent="0.2">
      <c r="A1364" s="256"/>
      <c r="B1364" s="265"/>
      <c r="C1364" s="303"/>
      <c r="D1364" s="301"/>
      <c r="E1364" s="302"/>
      <c r="F1364" s="301"/>
      <c r="G1364" s="301"/>
      <c r="H1364" s="301"/>
      <c r="I1364" s="301"/>
      <c r="K1364" s="266"/>
      <c r="L1364" s="265"/>
      <c r="M1364" s="267"/>
      <c r="N1364" s="4"/>
      <c r="O1364" s="4"/>
    </row>
    <row r="1365" spans="1:15" x14ac:dyDescent="0.2">
      <c r="A1365" s="256"/>
      <c r="B1365" s="265"/>
      <c r="C1365" s="303"/>
      <c r="D1365" s="301"/>
      <c r="E1365" s="302"/>
      <c r="F1365" s="301"/>
      <c r="G1365" s="301"/>
      <c r="H1365" s="301"/>
      <c r="I1365" s="301"/>
      <c r="K1365" s="266"/>
      <c r="L1365" s="265"/>
      <c r="M1365" s="267"/>
      <c r="N1365" s="4"/>
      <c r="O1365" s="4"/>
    </row>
    <row r="1366" spans="1:15" x14ac:dyDescent="0.2">
      <c r="A1366" s="256"/>
      <c r="B1366" s="265"/>
      <c r="C1366" s="303"/>
      <c r="D1366" s="301"/>
      <c r="E1366" s="302"/>
      <c r="F1366" s="301"/>
      <c r="G1366" s="301"/>
      <c r="H1366" s="301"/>
      <c r="I1366" s="301"/>
      <c r="K1366" s="266"/>
      <c r="L1366" s="265"/>
      <c r="M1366" s="267"/>
      <c r="N1366" s="4"/>
      <c r="O1366" s="4"/>
    </row>
    <row r="1367" spans="1:15" x14ac:dyDescent="0.2">
      <c r="A1367" s="256"/>
      <c r="B1367" s="265"/>
      <c r="C1367" s="303"/>
      <c r="D1367" s="301"/>
      <c r="E1367" s="302"/>
      <c r="F1367" s="301"/>
      <c r="G1367" s="301"/>
      <c r="H1367" s="301"/>
      <c r="I1367" s="301"/>
      <c r="K1367" s="266"/>
      <c r="L1367" s="265"/>
      <c r="M1367" s="267"/>
      <c r="N1367" s="4"/>
      <c r="O1367" s="4"/>
    </row>
    <row r="1368" spans="1:15" x14ac:dyDescent="0.2">
      <c r="A1368" s="256"/>
      <c r="B1368" s="265"/>
      <c r="C1368" s="303"/>
      <c r="D1368" s="301"/>
      <c r="E1368" s="302"/>
      <c r="F1368" s="301"/>
      <c r="G1368" s="301"/>
      <c r="H1368" s="301"/>
      <c r="I1368" s="301"/>
      <c r="K1368" s="266"/>
      <c r="L1368" s="265"/>
      <c r="M1368" s="267"/>
      <c r="N1368" s="4"/>
      <c r="O1368" s="4"/>
    </row>
    <row r="1369" spans="1:15" x14ac:dyDescent="0.2">
      <c r="A1369" s="256"/>
      <c r="B1369" s="265"/>
      <c r="C1369" s="303"/>
      <c r="D1369" s="301"/>
      <c r="E1369" s="302"/>
      <c r="F1369" s="301"/>
      <c r="G1369" s="301"/>
      <c r="H1369" s="301"/>
      <c r="I1369" s="301"/>
      <c r="K1369" s="266"/>
      <c r="L1369" s="265"/>
      <c r="M1369" s="267"/>
      <c r="N1369" s="4"/>
      <c r="O1369" s="4"/>
    </row>
    <row r="1370" spans="1:15" x14ac:dyDescent="0.2">
      <c r="A1370" s="256"/>
      <c r="B1370" s="265"/>
      <c r="C1370" s="303"/>
      <c r="D1370" s="301"/>
      <c r="E1370" s="302"/>
      <c r="F1370" s="301"/>
      <c r="G1370" s="301"/>
      <c r="H1370" s="301"/>
      <c r="I1370" s="301"/>
      <c r="K1370" s="266"/>
      <c r="L1370" s="265"/>
      <c r="M1370" s="267"/>
      <c r="N1370" s="4"/>
      <c r="O1370" s="4"/>
    </row>
    <row r="1371" spans="1:15" x14ac:dyDescent="0.2">
      <c r="A1371" s="256"/>
      <c r="B1371" s="265"/>
      <c r="C1371" s="303"/>
      <c r="D1371" s="301"/>
      <c r="E1371" s="302"/>
      <c r="F1371" s="301"/>
      <c r="G1371" s="301"/>
      <c r="H1371" s="301"/>
      <c r="I1371" s="301"/>
      <c r="K1371" s="266"/>
      <c r="L1371" s="265"/>
      <c r="M1371" s="267"/>
      <c r="N1371" s="4"/>
      <c r="O1371" s="4"/>
    </row>
    <row r="1372" spans="1:15" x14ac:dyDescent="0.2">
      <c r="A1372" s="256"/>
      <c r="B1372" s="265"/>
      <c r="C1372" s="303"/>
      <c r="D1372" s="301"/>
      <c r="E1372" s="302"/>
      <c r="F1372" s="301"/>
      <c r="G1372" s="301"/>
      <c r="H1372" s="301"/>
      <c r="I1372" s="301"/>
      <c r="K1372" s="266"/>
      <c r="L1372" s="265"/>
      <c r="M1372" s="267"/>
      <c r="N1372" s="4"/>
      <c r="O1372" s="4"/>
    </row>
    <row r="1373" spans="1:15" x14ac:dyDescent="0.2">
      <c r="A1373" s="256"/>
      <c r="B1373" s="265"/>
      <c r="C1373" s="303"/>
      <c r="D1373" s="301"/>
      <c r="E1373" s="302"/>
      <c r="F1373" s="301"/>
      <c r="G1373" s="301"/>
      <c r="H1373" s="301"/>
      <c r="I1373" s="301"/>
      <c r="K1373" s="266"/>
      <c r="L1373" s="265"/>
      <c r="M1373" s="267"/>
      <c r="N1373" s="4"/>
      <c r="O1373" s="4"/>
    </row>
    <row r="1374" spans="1:15" x14ac:dyDescent="0.2">
      <c r="A1374" s="256"/>
      <c r="B1374" s="265"/>
      <c r="C1374" s="303"/>
      <c r="D1374" s="301"/>
      <c r="E1374" s="302"/>
      <c r="F1374" s="301"/>
      <c r="G1374" s="301"/>
      <c r="H1374" s="301"/>
      <c r="I1374" s="301"/>
      <c r="K1374" s="266"/>
      <c r="L1374" s="265"/>
      <c r="M1374" s="267"/>
      <c r="N1374" s="4"/>
      <c r="O1374" s="4"/>
    </row>
    <row r="1375" spans="1:15" x14ac:dyDescent="0.2">
      <c r="A1375" s="256"/>
      <c r="B1375" s="265"/>
      <c r="C1375" s="303"/>
      <c r="D1375" s="301"/>
      <c r="E1375" s="302"/>
      <c r="F1375" s="301"/>
      <c r="G1375" s="301"/>
      <c r="H1375" s="301"/>
      <c r="I1375" s="301"/>
      <c r="K1375" s="266"/>
      <c r="L1375" s="265"/>
      <c r="M1375" s="267"/>
      <c r="N1375" s="4"/>
      <c r="O1375" s="4"/>
    </row>
    <row r="1376" spans="1:15" x14ac:dyDescent="0.2">
      <c r="A1376" s="256"/>
      <c r="B1376" s="265"/>
      <c r="C1376" s="303"/>
      <c r="D1376" s="301"/>
      <c r="E1376" s="302"/>
      <c r="F1376" s="301"/>
      <c r="G1376" s="301"/>
      <c r="H1376" s="301"/>
      <c r="I1376" s="301"/>
      <c r="K1376" s="266"/>
      <c r="L1376" s="265"/>
      <c r="M1376" s="267"/>
      <c r="N1376" s="4"/>
      <c r="O1376" s="4"/>
    </row>
    <row r="1377" spans="1:15" x14ac:dyDescent="0.2">
      <c r="A1377" s="256"/>
      <c r="B1377" s="265"/>
      <c r="C1377" s="303"/>
      <c r="D1377" s="301"/>
      <c r="E1377" s="302"/>
      <c r="F1377" s="301"/>
      <c r="G1377" s="301"/>
      <c r="H1377" s="301"/>
      <c r="I1377" s="301"/>
      <c r="K1377" s="266"/>
      <c r="L1377" s="265"/>
      <c r="M1377" s="267"/>
      <c r="N1377" s="4"/>
      <c r="O1377" s="4"/>
    </row>
    <row r="1378" spans="1:15" x14ac:dyDescent="0.2">
      <c r="A1378" s="256"/>
      <c r="B1378" s="265"/>
      <c r="C1378" s="303"/>
      <c r="D1378" s="301"/>
      <c r="E1378" s="302"/>
      <c r="F1378" s="301"/>
      <c r="G1378" s="301"/>
      <c r="H1378" s="301"/>
      <c r="I1378" s="301"/>
      <c r="K1378" s="266"/>
      <c r="L1378" s="265"/>
      <c r="M1378" s="267"/>
      <c r="N1378" s="4"/>
      <c r="O1378" s="4"/>
    </row>
    <row r="1379" spans="1:15" x14ac:dyDescent="0.2">
      <c r="A1379" s="256"/>
      <c r="B1379" s="265"/>
      <c r="C1379" s="303"/>
      <c r="D1379" s="301"/>
      <c r="E1379" s="302"/>
      <c r="F1379" s="301"/>
      <c r="G1379" s="301"/>
      <c r="H1379" s="301"/>
      <c r="I1379" s="301"/>
      <c r="K1379" s="266"/>
      <c r="L1379" s="265"/>
      <c r="M1379" s="267"/>
      <c r="N1379" s="4"/>
      <c r="O1379" s="4"/>
    </row>
    <row r="1380" spans="1:15" x14ac:dyDescent="0.2">
      <c r="A1380" s="256"/>
      <c r="B1380" s="265"/>
      <c r="C1380" s="303"/>
      <c r="D1380" s="301"/>
      <c r="E1380" s="302"/>
      <c r="F1380" s="301"/>
      <c r="G1380" s="301"/>
      <c r="H1380" s="301"/>
      <c r="I1380" s="301"/>
      <c r="K1380" s="266"/>
      <c r="L1380" s="265"/>
      <c r="M1380" s="267"/>
      <c r="N1380" s="4"/>
      <c r="O1380" s="4"/>
    </row>
    <row r="1381" spans="1:15" x14ac:dyDescent="0.2">
      <c r="A1381" s="256"/>
      <c r="B1381" s="265"/>
      <c r="C1381" s="303"/>
      <c r="D1381" s="301"/>
      <c r="E1381" s="302"/>
      <c r="F1381" s="301"/>
      <c r="G1381" s="301"/>
      <c r="H1381" s="301"/>
      <c r="I1381" s="301"/>
      <c r="K1381" s="266"/>
      <c r="L1381" s="265"/>
      <c r="M1381" s="267"/>
      <c r="N1381" s="4"/>
      <c r="O1381" s="4"/>
    </row>
    <row r="1382" spans="1:15" x14ac:dyDescent="0.2">
      <c r="A1382" s="256"/>
      <c r="B1382" s="265"/>
      <c r="C1382" s="303"/>
      <c r="D1382" s="301"/>
      <c r="E1382" s="302"/>
      <c r="F1382" s="301"/>
      <c r="G1382" s="301"/>
      <c r="H1382" s="301"/>
      <c r="I1382" s="301"/>
      <c r="K1382" s="266"/>
      <c r="L1382" s="265"/>
      <c r="M1382" s="267"/>
      <c r="N1382" s="4"/>
      <c r="O1382" s="4"/>
    </row>
    <row r="1383" spans="1:15" x14ac:dyDescent="0.2">
      <c r="A1383" s="256"/>
      <c r="B1383" s="265"/>
      <c r="C1383" s="303"/>
      <c r="D1383" s="301"/>
      <c r="E1383" s="302"/>
      <c r="F1383" s="301"/>
      <c r="G1383" s="301"/>
      <c r="H1383" s="301"/>
      <c r="I1383" s="301"/>
      <c r="K1383" s="266"/>
      <c r="L1383" s="265"/>
      <c r="M1383" s="267"/>
      <c r="N1383" s="4"/>
      <c r="O1383" s="4"/>
    </row>
    <row r="1384" spans="1:15" x14ac:dyDescent="0.2">
      <c r="A1384" s="256"/>
      <c r="B1384" s="265"/>
      <c r="C1384" s="303"/>
      <c r="D1384" s="301"/>
      <c r="E1384" s="302"/>
      <c r="F1384" s="301"/>
      <c r="G1384" s="301"/>
      <c r="H1384" s="301"/>
      <c r="I1384" s="301"/>
      <c r="K1384" s="266"/>
      <c r="L1384" s="265"/>
      <c r="M1384" s="267"/>
      <c r="N1384" s="4"/>
      <c r="O1384" s="4"/>
    </row>
    <row r="1385" spans="1:15" x14ac:dyDescent="0.2">
      <c r="A1385" s="256"/>
      <c r="B1385" s="265"/>
      <c r="C1385" s="303"/>
      <c r="D1385" s="301"/>
      <c r="E1385" s="302"/>
      <c r="F1385" s="301"/>
      <c r="G1385" s="301"/>
      <c r="H1385" s="301"/>
      <c r="I1385" s="301"/>
      <c r="K1385" s="266"/>
      <c r="L1385" s="265"/>
      <c r="M1385" s="267"/>
      <c r="N1385" s="4"/>
      <c r="O1385" s="4"/>
    </row>
    <row r="1386" spans="1:15" x14ac:dyDescent="0.2">
      <c r="A1386" s="256"/>
      <c r="B1386" s="265"/>
      <c r="C1386" s="303"/>
      <c r="D1386" s="301"/>
      <c r="E1386" s="302"/>
      <c r="F1386" s="301"/>
      <c r="G1386" s="301"/>
      <c r="H1386" s="301"/>
      <c r="I1386" s="301"/>
      <c r="K1386" s="266"/>
      <c r="L1386" s="265"/>
      <c r="M1386" s="267"/>
      <c r="N1386" s="4"/>
      <c r="O1386" s="4"/>
    </row>
    <row r="1387" spans="1:15" x14ac:dyDescent="0.2">
      <c r="A1387" s="256"/>
      <c r="B1387" s="265"/>
      <c r="C1387" s="303"/>
      <c r="D1387" s="301"/>
      <c r="E1387" s="302"/>
      <c r="F1387" s="301"/>
      <c r="G1387" s="301"/>
      <c r="H1387" s="301"/>
      <c r="I1387" s="301"/>
      <c r="K1387" s="266"/>
      <c r="L1387" s="265"/>
      <c r="M1387" s="267"/>
      <c r="N1387" s="4"/>
      <c r="O1387" s="4"/>
    </row>
    <row r="1388" spans="1:15" x14ac:dyDescent="0.2">
      <c r="A1388" s="256"/>
      <c r="B1388" s="265"/>
      <c r="C1388" s="303"/>
      <c r="D1388" s="301"/>
      <c r="E1388" s="302"/>
      <c r="F1388" s="301"/>
      <c r="G1388" s="301"/>
      <c r="H1388" s="301"/>
      <c r="I1388" s="301"/>
      <c r="K1388" s="266"/>
      <c r="L1388" s="265"/>
      <c r="M1388" s="267"/>
      <c r="N1388" s="4"/>
      <c r="O1388" s="4"/>
    </row>
    <row r="1389" spans="1:15" x14ac:dyDescent="0.2">
      <c r="A1389" s="256"/>
      <c r="B1389" s="265"/>
      <c r="C1389" s="303"/>
      <c r="D1389" s="301"/>
      <c r="E1389" s="302"/>
      <c r="F1389" s="301"/>
      <c r="G1389" s="301"/>
      <c r="H1389" s="301"/>
      <c r="I1389" s="301"/>
      <c r="K1389" s="266"/>
      <c r="L1389" s="265"/>
      <c r="M1389" s="267"/>
      <c r="N1389" s="4"/>
      <c r="O1389" s="4"/>
    </row>
    <row r="1390" spans="1:15" x14ac:dyDescent="0.2">
      <c r="A1390" s="256"/>
      <c r="B1390" s="265"/>
      <c r="C1390" s="303"/>
      <c r="D1390" s="301"/>
      <c r="E1390" s="302"/>
      <c r="F1390" s="301"/>
      <c r="G1390" s="301"/>
      <c r="H1390" s="301"/>
      <c r="I1390" s="301"/>
      <c r="K1390" s="266"/>
      <c r="L1390" s="265"/>
      <c r="M1390" s="267"/>
      <c r="N1390" s="4"/>
      <c r="O1390" s="4"/>
    </row>
    <row r="1391" spans="1:15" x14ac:dyDescent="0.2">
      <c r="A1391" s="256"/>
      <c r="B1391" s="265"/>
      <c r="C1391" s="303"/>
      <c r="D1391" s="301"/>
      <c r="E1391" s="302"/>
      <c r="F1391" s="301"/>
      <c r="G1391" s="301"/>
      <c r="H1391" s="301"/>
      <c r="I1391" s="301"/>
      <c r="K1391" s="266"/>
      <c r="L1391" s="265"/>
      <c r="M1391" s="267"/>
      <c r="N1391" s="4"/>
      <c r="O1391" s="4"/>
    </row>
    <row r="1392" spans="1:15" x14ac:dyDescent="0.2">
      <c r="A1392" s="256"/>
      <c r="B1392" s="265"/>
      <c r="C1392" s="303"/>
      <c r="D1392" s="301"/>
      <c r="E1392" s="302"/>
      <c r="F1392" s="301"/>
      <c r="G1392" s="301"/>
      <c r="H1392" s="301"/>
      <c r="I1392" s="301"/>
      <c r="K1392" s="266"/>
      <c r="L1392" s="265"/>
      <c r="M1392" s="267"/>
      <c r="N1392" s="4"/>
      <c r="O1392" s="4"/>
    </row>
    <row r="1393" spans="1:15" x14ac:dyDescent="0.2">
      <c r="A1393" s="256"/>
      <c r="B1393" s="265"/>
      <c r="C1393" s="303"/>
      <c r="D1393" s="301"/>
      <c r="E1393" s="302"/>
      <c r="F1393" s="301"/>
      <c r="G1393" s="301"/>
      <c r="H1393" s="301"/>
      <c r="I1393" s="301"/>
      <c r="K1393" s="266"/>
      <c r="L1393" s="265"/>
      <c r="M1393" s="267"/>
      <c r="N1393" s="4"/>
      <c r="O1393" s="4"/>
    </row>
    <row r="1394" spans="1:15" x14ac:dyDescent="0.2">
      <c r="A1394" s="256"/>
      <c r="B1394" s="265"/>
      <c r="C1394" s="303"/>
      <c r="D1394" s="301"/>
      <c r="E1394" s="302"/>
      <c r="F1394" s="301"/>
      <c r="G1394" s="301"/>
      <c r="H1394" s="301"/>
      <c r="I1394" s="301"/>
      <c r="K1394" s="266"/>
      <c r="L1394" s="265"/>
      <c r="M1394" s="267"/>
      <c r="N1394" s="4"/>
      <c r="O1394" s="4"/>
    </row>
    <row r="1395" spans="1:15" x14ac:dyDescent="0.2">
      <c r="A1395" s="256"/>
      <c r="B1395" s="265"/>
      <c r="C1395" s="303"/>
      <c r="D1395" s="301"/>
      <c r="E1395" s="302"/>
      <c r="F1395" s="301"/>
      <c r="G1395" s="301"/>
      <c r="H1395" s="301"/>
      <c r="I1395" s="301"/>
      <c r="K1395" s="266"/>
      <c r="L1395" s="265"/>
      <c r="M1395" s="267"/>
      <c r="N1395" s="4"/>
      <c r="O1395" s="4"/>
    </row>
    <row r="1396" spans="1:15" x14ac:dyDescent="0.2">
      <c r="A1396" s="256"/>
      <c r="B1396" s="265"/>
      <c r="C1396" s="303"/>
      <c r="D1396" s="301"/>
      <c r="E1396" s="302"/>
      <c r="F1396" s="301"/>
      <c r="G1396" s="301"/>
      <c r="H1396" s="301"/>
      <c r="I1396" s="301"/>
      <c r="K1396" s="266"/>
      <c r="L1396" s="265"/>
      <c r="M1396" s="267"/>
      <c r="N1396" s="4"/>
      <c r="O1396" s="4"/>
    </row>
    <row r="1397" spans="1:15" x14ac:dyDescent="0.2">
      <c r="A1397" s="256"/>
      <c r="B1397" s="265"/>
      <c r="C1397" s="303"/>
      <c r="D1397" s="301"/>
      <c r="E1397" s="302"/>
      <c r="F1397" s="301"/>
      <c r="G1397" s="301"/>
      <c r="H1397" s="301"/>
      <c r="I1397" s="301"/>
      <c r="K1397" s="266"/>
      <c r="L1397" s="265"/>
      <c r="M1397" s="267"/>
      <c r="N1397" s="4"/>
      <c r="O1397" s="4"/>
    </row>
    <row r="1398" spans="1:15" x14ac:dyDescent="0.2">
      <c r="A1398" s="256"/>
      <c r="B1398" s="265"/>
      <c r="C1398" s="303"/>
      <c r="D1398" s="301"/>
      <c r="E1398" s="302"/>
      <c r="F1398" s="301"/>
      <c r="G1398" s="301"/>
      <c r="H1398" s="301"/>
      <c r="I1398" s="301"/>
      <c r="K1398" s="266"/>
      <c r="L1398" s="265"/>
      <c r="M1398" s="267"/>
      <c r="N1398" s="4"/>
      <c r="O1398" s="4"/>
    </row>
    <row r="1399" spans="1:15" x14ac:dyDescent="0.2">
      <c r="A1399" s="256"/>
      <c r="B1399" s="265"/>
      <c r="C1399" s="303"/>
      <c r="D1399" s="301"/>
      <c r="E1399" s="302"/>
      <c r="F1399" s="301"/>
      <c r="G1399" s="301"/>
      <c r="H1399" s="301"/>
      <c r="I1399" s="301"/>
      <c r="K1399" s="266"/>
      <c r="L1399" s="265"/>
      <c r="M1399" s="267"/>
      <c r="N1399" s="4"/>
      <c r="O1399" s="4"/>
    </row>
    <row r="1400" spans="1:15" x14ac:dyDescent="0.2">
      <c r="A1400" s="256"/>
      <c r="B1400" s="265"/>
      <c r="C1400" s="303"/>
      <c r="D1400" s="301"/>
      <c r="E1400" s="302"/>
      <c r="F1400" s="301"/>
      <c r="G1400" s="301"/>
      <c r="H1400" s="301"/>
      <c r="I1400" s="301"/>
      <c r="K1400" s="266"/>
      <c r="L1400" s="265"/>
      <c r="M1400" s="267"/>
      <c r="N1400" s="4"/>
      <c r="O1400" s="4"/>
    </row>
    <row r="1401" spans="1:15" x14ac:dyDescent="0.2">
      <c r="A1401" s="256"/>
      <c r="B1401" s="265"/>
      <c r="C1401" s="303"/>
      <c r="D1401" s="301"/>
      <c r="E1401" s="302"/>
      <c r="F1401" s="301"/>
      <c r="G1401" s="301"/>
      <c r="H1401" s="301"/>
      <c r="I1401" s="301"/>
      <c r="K1401" s="266"/>
      <c r="L1401" s="265"/>
      <c r="M1401" s="267"/>
      <c r="N1401" s="4"/>
      <c r="O1401" s="4"/>
    </row>
    <row r="1402" spans="1:15" x14ac:dyDescent="0.2">
      <c r="A1402" s="256"/>
      <c r="B1402" s="265"/>
      <c r="C1402" s="303"/>
      <c r="D1402" s="301"/>
      <c r="E1402" s="302"/>
      <c r="F1402" s="301"/>
      <c r="G1402" s="301"/>
      <c r="H1402" s="301"/>
      <c r="I1402" s="301"/>
      <c r="K1402" s="266"/>
      <c r="L1402" s="265"/>
      <c r="M1402" s="267"/>
      <c r="N1402" s="4"/>
      <c r="O1402" s="4"/>
    </row>
    <row r="1403" spans="1:15" x14ac:dyDescent="0.2">
      <c r="A1403" s="256"/>
      <c r="B1403" s="265"/>
      <c r="C1403" s="303"/>
      <c r="D1403" s="301"/>
      <c r="E1403" s="302"/>
      <c r="F1403" s="301"/>
      <c r="G1403" s="301"/>
      <c r="H1403" s="301"/>
      <c r="I1403" s="301"/>
      <c r="K1403" s="266"/>
      <c r="L1403" s="265"/>
      <c r="M1403" s="267"/>
      <c r="N1403" s="4"/>
      <c r="O1403" s="4"/>
    </row>
    <row r="1404" spans="1:15" x14ac:dyDescent="0.2">
      <c r="A1404" s="256"/>
      <c r="B1404" s="265"/>
      <c r="C1404" s="303"/>
      <c r="D1404" s="301"/>
      <c r="E1404" s="302"/>
      <c r="F1404" s="301"/>
      <c r="G1404" s="301"/>
      <c r="H1404" s="301"/>
      <c r="I1404" s="301"/>
      <c r="K1404" s="266"/>
      <c r="L1404" s="265"/>
      <c r="M1404" s="267"/>
      <c r="N1404" s="4"/>
      <c r="O1404" s="4"/>
    </row>
    <row r="1405" spans="1:15" x14ac:dyDescent="0.2">
      <c r="A1405" s="256"/>
      <c r="B1405" s="265"/>
      <c r="C1405" s="303"/>
      <c r="D1405" s="301"/>
      <c r="E1405" s="302"/>
      <c r="F1405" s="301"/>
      <c r="G1405" s="301"/>
      <c r="H1405" s="301"/>
      <c r="I1405" s="301"/>
      <c r="K1405" s="266"/>
      <c r="L1405" s="265"/>
      <c r="M1405" s="267"/>
      <c r="N1405" s="4"/>
      <c r="O1405" s="4"/>
    </row>
    <row r="1406" spans="1:15" x14ac:dyDescent="0.2">
      <c r="A1406" s="256"/>
      <c r="B1406" s="265"/>
      <c r="C1406" s="303"/>
      <c r="D1406" s="301"/>
      <c r="E1406" s="302"/>
      <c r="F1406" s="301"/>
      <c r="G1406" s="301"/>
      <c r="H1406" s="301"/>
      <c r="I1406" s="301"/>
      <c r="K1406" s="266"/>
      <c r="L1406" s="265"/>
      <c r="M1406" s="267"/>
      <c r="N1406" s="4"/>
      <c r="O1406" s="4"/>
    </row>
    <row r="1407" spans="1:15" x14ac:dyDescent="0.2">
      <c r="A1407" s="256"/>
      <c r="B1407" s="265"/>
      <c r="C1407" s="303"/>
      <c r="D1407" s="301"/>
      <c r="E1407" s="302"/>
      <c r="F1407" s="301"/>
      <c r="G1407" s="301"/>
      <c r="H1407" s="301"/>
      <c r="I1407" s="301"/>
      <c r="K1407" s="266"/>
      <c r="L1407" s="265"/>
      <c r="M1407" s="267"/>
      <c r="N1407" s="4"/>
      <c r="O1407" s="4"/>
    </row>
    <row r="1408" spans="1:15" x14ac:dyDescent="0.2">
      <c r="A1408" s="256"/>
      <c r="B1408" s="265"/>
      <c r="C1408" s="303"/>
      <c r="D1408" s="301"/>
      <c r="E1408" s="302"/>
      <c r="F1408" s="301"/>
      <c r="G1408" s="301"/>
      <c r="H1408" s="301"/>
      <c r="I1408" s="301"/>
      <c r="K1408" s="266"/>
      <c r="L1408" s="265"/>
      <c r="M1408" s="267"/>
      <c r="N1408" s="4"/>
      <c r="O1408" s="4"/>
    </row>
    <row r="1409" spans="1:15" x14ac:dyDescent="0.2">
      <c r="A1409" s="256"/>
      <c r="B1409" s="265"/>
      <c r="C1409" s="303"/>
      <c r="D1409" s="301"/>
      <c r="E1409" s="302"/>
      <c r="F1409" s="301"/>
      <c r="G1409" s="301"/>
      <c r="H1409" s="301"/>
      <c r="I1409" s="301"/>
      <c r="K1409" s="266"/>
      <c r="L1409" s="265"/>
      <c r="M1409" s="267"/>
      <c r="N1409" s="4"/>
      <c r="O1409" s="4"/>
    </row>
    <row r="1410" spans="1:15" x14ac:dyDescent="0.2">
      <c r="A1410" s="256"/>
      <c r="B1410" s="265"/>
      <c r="C1410" s="303"/>
      <c r="D1410" s="301"/>
      <c r="E1410" s="302"/>
      <c r="F1410" s="301"/>
      <c r="G1410" s="301"/>
      <c r="H1410" s="301"/>
      <c r="I1410" s="301"/>
      <c r="K1410" s="266"/>
      <c r="L1410" s="265"/>
      <c r="M1410" s="267"/>
      <c r="N1410" s="4"/>
      <c r="O1410" s="4"/>
    </row>
    <row r="1411" spans="1:15" x14ac:dyDescent="0.2">
      <c r="A1411" s="256"/>
      <c r="B1411" s="265"/>
      <c r="C1411" s="303"/>
      <c r="D1411" s="301"/>
      <c r="E1411" s="302"/>
      <c r="F1411" s="301"/>
      <c r="G1411" s="301"/>
      <c r="H1411" s="301"/>
      <c r="I1411" s="301"/>
      <c r="K1411" s="266"/>
      <c r="L1411" s="265"/>
      <c r="M1411" s="267"/>
      <c r="N1411" s="4"/>
      <c r="O1411" s="4"/>
    </row>
    <row r="1412" spans="1:15" x14ac:dyDescent="0.2">
      <c r="A1412" s="256"/>
      <c r="B1412" s="265"/>
      <c r="C1412" s="303"/>
      <c r="D1412" s="301"/>
      <c r="E1412" s="302"/>
      <c r="F1412" s="301"/>
      <c r="G1412" s="301"/>
      <c r="H1412" s="301"/>
      <c r="I1412" s="301"/>
      <c r="K1412" s="266"/>
      <c r="L1412" s="265"/>
      <c r="M1412" s="267"/>
      <c r="N1412" s="4"/>
      <c r="O1412" s="4"/>
    </row>
    <row r="1413" spans="1:15" x14ac:dyDescent="0.2">
      <c r="A1413" s="256"/>
      <c r="B1413" s="265"/>
      <c r="C1413" s="303"/>
      <c r="D1413" s="301"/>
      <c r="E1413" s="302"/>
      <c r="F1413" s="301"/>
      <c r="G1413" s="301"/>
      <c r="H1413" s="301"/>
      <c r="I1413" s="301"/>
      <c r="K1413" s="266"/>
      <c r="L1413" s="265"/>
      <c r="M1413" s="267"/>
      <c r="N1413" s="4"/>
      <c r="O1413" s="4"/>
    </row>
    <row r="1414" spans="1:15" x14ac:dyDescent="0.2">
      <c r="A1414" s="256"/>
      <c r="B1414" s="265"/>
      <c r="C1414" s="303"/>
      <c r="D1414" s="301"/>
      <c r="E1414" s="302"/>
      <c r="F1414" s="301"/>
      <c r="G1414" s="301"/>
      <c r="H1414" s="301"/>
      <c r="I1414" s="301"/>
      <c r="K1414" s="266"/>
      <c r="L1414" s="265"/>
      <c r="M1414" s="267"/>
      <c r="N1414" s="4"/>
      <c r="O1414" s="4"/>
    </row>
    <row r="1415" spans="1:15" x14ac:dyDescent="0.2">
      <c r="A1415" s="256"/>
      <c r="B1415" s="265"/>
      <c r="C1415" s="303"/>
      <c r="D1415" s="301"/>
      <c r="E1415" s="302"/>
      <c r="F1415" s="301"/>
      <c r="G1415" s="301"/>
      <c r="H1415" s="301"/>
      <c r="I1415" s="301"/>
      <c r="K1415" s="266"/>
      <c r="L1415" s="265"/>
      <c r="M1415" s="267"/>
      <c r="N1415" s="4"/>
      <c r="O1415" s="4"/>
    </row>
    <row r="1416" spans="1:15" x14ac:dyDescent="0.2">
      <c r="A1416" s="256"/>
      <c r="B1416" s="265"/>
      <c r="C1416" s="303"/>
      <c r="D1416" s="301"/>
      <c r="E1416" s="302"/>
      <c r="F1416" s="301"/>
      <c r="G1416" s="301"/>
      <c r="H1416" s="301"/>
      <c r="I1416" s="301"/>
      <c r="K1416" s="266"/>
      <c r="L1416" s="265"/>
      <c r="M1416" s="267"/>
      <c r="N1416" s="4"/>
      <c r="O1416" s="4"/>
    </row>
    <row r="1417" spans="1:15" x14ac:dyDescent="0.2">
      <c r="A1417" s="256"/>
      <c r="B1417" s="265"/>
      <c r="C1417" s="303"/>
      <c r="D1417" s="301"/>
      <c r="E1417" s="302"/>
      <c r="F1417" s="301"/>
      <c r="G1417" s="301"/>
      <c r="H1417" s="301"/>
      <c r="I1417" s="301"/>
      <c r="K1417" s="266"/>
      <c r="L1417" s="265"/>
      <c r="M1417" s="267"/>
      <c r="N1417" s="4"/>
      <c r="O1417" s="4"/>
    </row>
    <row r="1418" spans="1:15" x14ac:dyDescent="0.2">
      <c r="A1418" s="256"/>
      <c r="B1418" s="265"/>
      <c r="C1418" s="303"/>
      <c r="D1418" s="301"/>
      <c r="E1418" s="302"/>
      <c r="F1418" s="301"/>
      <c r="G1418" s="301"/>
      <c r="H1418" s="301"/>
      <c r="I1418" s="301"/>
      <c r="K1418" s="266"/>
      <c r="L1418" s="265"/>
      <c r="M1418" s="267"/>
      <c r="N1418" s="4"/>
      <c r="O1418" s="4"/>
    </row>
    <row r="1419" spans="1:15" x14ac:dyDescent="0.2">
      <c r="A1419" s="256"/>
      <c r="B1419" s="265"/>
      <c r="C1419" s="303"/>
      <c r="D1419" s="301"/>
      <c r="E1419" s="302"/>
      <c r="F1419" s="301"/>
      <c r="G1419" s="301"/>
      <c r="H1419" s="301"/>
      <c r="I1419" s="301"/>
      <c r="K1419" s="266"/>
      <c r="L1419" s="265"/>
      <c r="M1419" s="267"/>
      <c r="N1419" s="4"/>
      <c r="O1419" s="4"/>
    </row>
    <row r="1420" spans="1:15" x14ac:dyDescent="0.2">
      <c r="A1420" s="256"/>
      <c r="B1420" s="265"/>
      <c r="C1420" s="303"/>
      <c r="D1420" s="301"/>
      <c r="E1420" s="302"/>
      <c r="F1420" s="301"/>
      <c r="G1420" s="301"/>
      <c r="H1420" s="301"/>
      <c r="I1420" s="301"/>
      <c r="K1420" s="266"/>
      <c r="L1420" s="265"/>
      <c r="M1420" s="267"/>
      <c r="N1420" s="4"/>
      <c r="O1420" s="4"/>
    </row>
    <row r="1421" spans="1:15" x14ac:dyDescent="0.2">
      <c r="A1421" s="256"/>
      <c r="B1421" s="265"/>
      <c r="C1421" s="303"/>
      <c r="D1421" s="301"/>
      <c r="E1421" s="302"/>
      <c r="F1421" s="301"/>
      <c r="G1421" s="301"/>
      <c r="H1421" s="301"/>
      <c r="I1421" s="301"/>
      <c r="K1421" s="266"/>
      <c r="L1421" s="265"/>
      <c r="M1421" s="267"/>
      <c r="N1421" s="4"/>
      <c r="O1421" s="4"/>
    </row>
    <row r="1422" spans="1:15" x14ac:dyDescent="0.2">
      <c r="A1422" s="256"/>
      <c r="B1422" s="265"/>
      <c r="C1422" s="303"/>
      <c r="D1422" s="301"/>
      <c r="E1422" s="302"/>
      <c r="F1422" s="301"/>
      <c r="G1422" s="301"/>
      <c r="H1422" s="301"/>
      <c r="I1422" s="301"/>
      <c r="K1422" s="266"/>
      <c r="L1422" s="265"/>
      <c r="M1422" s="267"/>
      <c r="N1422" s="4"/>
      <c r="O1422" s="4"/>
    </row>
    <row r="1423" spans="1:15" x14ac:dyDescent="0.2">
      <c r="A1423" s="256"/>
      <c r="B1423" s="265"/>
      <c r="C1423" s="303"/>
      <c r="D1423" s="301"/>
      <c r="E1423" s="302"/>
      <c r="F1423" s="301"/>
      <c r="G1423" s="301"/>
      <c r="H1423" s="301"/>
      <c r="I1423" s="301"/>
      <c r="K1423" s="266"/>
      <c r="L1423" s="265"/>
      <c r="M1423" s="267"/>
      <c r="N1423" s="4"/>
      <c r="O1423" s="4"/>
    </row>
    <row r="1424" spans="1:15" x14ac:dyDescent="0.2">
      <c r="A1424" s="256"/>
      <c r="B1424" s="265"/>
      <c r="C1424" s="303"/>
      <c r="D1424" s="301"/>
      <c r="E1424" s="302"/>
      <c r="F1424" s="301"/>
      <c r="G1424" s="301"/>
      <c r="H1424" s="301"/>
      <c r="I1424" s="301"/>
      <c r="K1424" s="266"/>
      <c r="L1424" s="265"/>
      <c r="M1424" s="267"/>
      <c r="N1424" s="4"/>
      <c r="O1424" s="4"/>
    </row>
    <row r="1425" spans="1:15" x14ac:dyDescent="0.2">
      <c r="A1425" s="256"/>
      <c r="B1425" s="265"/>
      <c r="C1425" s="303"/>
      <c r="D1425" s="301"/>
      <c r="E1425" s="302"/>
      <c r="F1425" s="301"/>
      <c r="G1425" s="301"/>
      <c r="H1425" s="301"/>
      <c r="I1425" s="301"/>
      <c r="K1425" s="266"/>
      <c r="L1425" s="265"/>
      <c r="M1425" s="267"/>
      <c r="N1425" s="4"/>
      <c r="O1425" s="4"/>
    </row>
    <row r="1426" spans="1:15" x14ac:dyDescent="0.2">
      <c r="A1426" s="256"/>
      <c r="B1426" s="265"/>
      <c r="C1426" s="303"/>
      <c r="D1426" s="301"/>
      <c r="E1426" s="302"/>
      <c r="F1426" s="301"/>
      <c r="G1426" s="301"/>
      <c r="H1426" s="301"/>
      <c r="I1426" s="301"/>
      <c r="K1426" s="266"/>
      <c r="L1426" s="265"/>
      <c r="M1426" s="267"/>
      <c r="N1426" s="4"/>
      <c r="O1426" s="4"/>
    </row>
    <row r="1427" spans="1:15" x14ac:dyDescent="0.2">
      <c r="A1427" s="256"/>
      <c r="B1427" s="265"/>
      <c r="C1427" s="303"/>
      <c r="D1427" s="301"/>
      <c r="E1427" s="302"/>
      <c r="F1427" s="301"/>
      <c r="G1427" s="301"/>
      <c r="H1427" s="301"/>
      <c r="I1427" s="301"/>
      <c r="K1427" s="266"/>
      <c r="L1427" s="265"/>
      <c r="M1427" s="267"/>
      <c r="N1427" s="4"/>
      <c r="O1427" s="4"/>
    </row>
    <row r="1428" spans="1:15" x14ac:dyDescent="0.2">
      <c r="A1428" s="256"/>
      <c r="B1428" s="265"/>
      <c r="C1428" s="303"/>
      <c r="D1428" s="301"/>
      <c r="E1428" s="302"/>
      <c r="F1428" s="301"/>
      <c r="G1428" s="301"/>
      <c r="H1428" s="301"/>
      <c r="I1428" s="301"/>
      <c r="K1428" s="266"/>
      <c r="L1428" s="265"/>
      <c r="M1428" s="267"/>
      <c r="N1428" s="4"/>
      <c r="O1428" s="4"/>
    </row>
    <row r="1429" spans="1:15" x14ac:dyDescent="0.2">
      <c r="A1429" s="256"/>
      <c r="B1429" s="265"/>
      <c r="C1429" s="303"/>
      <c r="D1429" s="301"/>
      <c r="E1429" s="302"/>
      <c r="F1429" s="301"/>
      <c r="G1429" s="301"/>
      <c r="H1429" s="301"/>
      <c r="I1429" s="301"/>
      <c r="K1429" s="266"/>
      <c r="L1429" s="265"/>
      <c r="M1429" s="267"/>
      <c r="N1429" s="4"/>
      <c r="O1429" s="4"/>
    </row>
    <row r="1430" spans="1:15" x14ac:dyDescent="0.2">
      <c r="A1430" s="256"/>
      <c r="B1430" s="265"/>
      <c r="C1430" s="303"/>
      <c r="D1430" s="301"/>
      <c r="E1430" s="302"/>
      <c r="F1430" s="301"/>
      <c r="G1430" s="301"/>
      <c r="H1430" s="301"/>
      <c r="I1430" s="301"/>
      <c r="K1430" s="266"/>
      <c r="L1430" s="265"/>
      <c r="M1430" s="267"/>
      <c r="N1430" s="4"/>
      <c r="O1430" s="4"/>
    </row>
    <row r="1431" spans="1:15" x14ac:dyDescent="0.2">
      <c r="A1431" s="256"/>
      <c r="B1431" s="265"/>
      <c r="C1431" s="303"/>
      <c r="D1431" s="301"/>
      <c r="E1431" s="302"/>
      <c r="F1431" s="301"/>
      <c r="G1431" s="301"/>
      <c r="H1431" s="301"/>
      <c r="I1431" s="301"/>
      <c r="K1431" s="266"/>
      <c r="L1431" s="265"/>
      <c r="M1431" s="267"/>
      <c r="N1431" s="4"/>
      <c r="O1431" s="4"/>
    </row>
    <row r="1432" spans="1:15" x14ac:dyDescent="0.2">
      <c r="A1432" s="256"/>
      <c r="B1432" s="265"/>
      <c r="C1432" s="303"/>
      <c r="D1432" s="301"/>
      <c r="E1432" s="302"/>
      <c r="F1432" s="301"/>
      <c r="G1432" s="301"/>
      <c r="H1432" s="301"/>
      <c r="I1432" s="301"/>
      <c r="K1432" s="266"/>
      <c r="L1432" s="265"/>
      <c r="M1432" s="267"/>
      <c r="N1432" s="4"/>
      <c r="O1432" s="4"/>
    </row>
    <row r="1433" spans="1:15" x14ac:dyDescent="0.2">
      <c r="A1433" s="256"/>
      <c r="B1433" s="265"/>
      <c r="C1433" s="303"/>
      <c r="D1433" s="301"/>
      <c r="E1433" s="302"/>
      <c r="F1433" s="301"/>
      <c r="G1433" s="301"/>
      <c r="H1433" s="301"/>
      <c r="I1433" s="301"/>
      <c r="K1433" s="266"/>
      <c r="L1433" s="265"/>
      <c r="M1433" s="267"/>
      <c r="N1433" s="4"/>
      <c r="O1433" s="4"/>
    </row>
    <row r="1434" spans="1:15" x14ac:dyDescent="0.2">
      <c r="A1434" s="256"/>
      <c r="B1434" s="265"/>
      <c r="C1434" s="303"/>
      <c r="D1434" s="301"/>
      <c r="E1434" s="302"/>
      <c r="F1434" s="301"/>
      <c r="G1434" s="301"/>
      <c r="H1434" s="301"/>
      <c r="I1434" s="301"/>
      <c r="K1434" s="266"/>
      <c r="L1434" s="265"/>
      <c r="M1434" s="267"/>
      <c r="N1434" s="4"/>
      <c r="O1434" s="4"/>
    </row>
    <row r="1435" spans="1:15" x14ac:dyDescent="0.2">
      <c r="A1435" s="256"/>
      <c r="B1435" s="265"/>
      <c r="C1435" s="303"/>
      <c r="D1435" s="301"/>
      <c r="E1435" s="302"/>
      <c r="F1435" s="301"/>
      <c r="G1435" s="301"/>
      <c r="H1435" s="301"/>
      <c r="I1435" s="301"/>
      <c r="K1435" s="266"/>
      <c r="L1435" s="265"/>
      <c r="M1435" s="267"/>
      <c r="N1435" s="4"/>
      <c r="O1435" s="4"/>
    </row>
    <row r="1436" spans="1:15" x14ac:dyDescent="0.2">
      <c r="A1436" s="256"/>
      <c r="B1436" s="265"/>
      <c r="C1436" s="303"/>
      <c r="D1436" s="301"/>
      <c r="E1436" s="302"/>
      <c r="F1436" s="301"/>
      <c r="G1436" s="301"/>
      <c r="H1436" s="301"/>
      <c r="I1436" s="301"/>
      <c r="K1436" s="266"/>
      <c r="L1436" s="265"/>
      <c r="M1436" s="267"/>
      <c r="N1436" s="4"/>
      <c r="O1436" s="4"/>
    </row>
    <row r="1437" spans="1:15" x14ac:dyDescent="0.2">
      <c r="A1437" s="256"/>
      <c r="B1437" s="265"/>
      <c r="C1437" s="303"/>
      <c r="D1437" s="301"/>
      <c r="E1437" s="302"/>
      <c r="F1437" s="301"/>
      <c r="G1437" s="301"/>
      <c r="H1437" s="301"/>
      <c r="I1437" s="301"/>
      <c r="K1437" s="266"/>
      <c r="L1437" s="265"/>
      <c r="M1437" s="267"/>
      <c r="N1437" s="4"/>
      <c r="O1437" s="4"/>
    </row>
    <row r="1438" spans="1:15" x14ac:dyDescent="0.2">
      <c r="A1438" s="256"/>
      <c r="B1438" s="265"/>
      <c r="C1438" s="303"/>
      <c r="D1438" s="301"/>
      <c r="E1438" s="302"/>
      <c r="F1438" s="301"/>
      <c r="G1438" s="301"/>
      <c r="H1438" s="301"/>
      <c r="I1438" s="301"/>
      <c r="K1438" s="266"/>
      <c r="L1438" s="265"/>
      <c r="M1438" s="267"/>
      <c r="N1438" s="4"/>
      <c r="O1438" s="4"/>
    </row>
    <row r="1439" spans="1:15" x14ac:dyDescent="0.2">
      <c r="A1439" s="256"/>
      <c r="B1439" s="265"/>
      <c r="C1439" s="303"/>
      <c r="D1439" s="301"/>
      <c r="E1439" s="302"/>
      <c r="F1439" s="301"/>
      <c r="G1439" s="301"/>
      <c r="H1439" s="301"/>
      <c r="I1439" s="301"/>
      <c r="K1439" s="266"/>
      <c r="L1439" s="265"/>
      <c r="M1439" s="267"/>
      <c r="N1439" s="4"/>
      <c r="O1439" s="4"/>
    </row>
    <row r="1440" spans="1:15" x14ac:dyDescent="0.2">
      <c r="A1440" s="256"/>
      <c r="B1440" s="265"/>
      <c r="C1440" s="303"/>
      <c r="D1440" s="301"/>
      <c r="E1440" s="302"/>
      <c r="F1440" s="301"/>
      <c r="G1440" s="301"/>
      <c r="H1440" s="301"/>
      <c r="I1440" s="301"/>
      <c r="K1440" s="266"/>
      <c r="L1440" s="265"/>
      <c r="M1440" s="267"/>
      <c r="N1440" s="4"/>
      <c r="O1440" s="4"/>
    </row>
    <row r="1441" spans="1:15" x14ac:dyDescent="0.2">
      <c r="A1441" s="256"/>
      <c r="B1441" s="265"/>
      <c r="C1441" s="303"/>
      <c r="D1441" s="301"/>
      <c r="E1441" s="302"/>
      <c r="F1441" s="301"/>
      <c r="G1441" s="301"/>
      <c r="H1441" s="301"/>
      <c r="I1441" s="301"/>
      <c r="K1441" s="266"/>
      <c r="L1441" s="265"/>
      <c r="M1441" s="267"/>
      <c r="N1441" s="4"/>
      <c r="O1441" s="4"/>
    </row>
    <row r="1442" spans="1:15" x14ac:dyDescent="0.2">
      <c r="A1442" s="256"/>
      <c r="B1442" s="265"/>
      <c r="C1442" s="303"/>
      <c r="D1442" s="301"/>
      <c r="E1442" s="302"/>
      <c r="F1442" s="301"/>
      <c r="G1442" s="301"/>
      <c r="H1442" s="301"/>
      <c r="I1442" s="301"/>
      <c r="K1442" s="266"/>
      <c r="L1442" s="265"/>
      <c r="M1442" s="267"/>
      <c r="N1442" s="4"/>
      <c r="O1442" s="4"/>
    </row>
    <row r="1443" spans="1:15" x14ac:dyDescent="0.2">
      <c r="A1443" s="256"/>
      <c r="B1443" s="265"/>
      <c r="C1443" s="303"/>
      <c r="D1443" s="301"/>
      <c r="E1443" s="302"/>
      <c r="F1443" s="301"/>
      <c r="G1443" s="301"/>
      <c r="H1443" s="301"/>
      <c r="I1443" s="301"/>
      <c r="K1443" s="266"/>
      <c r="L1443" s="265"/>
      <c r="M1443" s="267"/>
      <c r="N1443" s="4"/>
      <c r="O1443" s="4"/>
    </row>
    <row r="1444" spans="1:15" x14ac:dyDescent="0.2">
      <c r="A1444" s="256"/>
      <c r="B1444" s="265"/>
      <c r="C1444" s="303"/>
      <c r="D1444" s="301"/>
      <c r="E1444" s="302"/>
      <c r="F1444" s="301"/>
      <c r="G1444" s="301"/>
      <c r="H1444" s="301"/>
      <c r="I1444" s="301"/>
      <c r="K1444" s="266"/>
      <c r="L1444" s="265"/>
      <c r="M1444" s="267"/>
      <c r="N1444" s="4"/>
      <c r="O1444" s="4"/>
    </row>
    <row r="1445" spans="1:15" x14ac:dyDescent="0.2">
      <c r="A1445" s="256"/>
      <c r="B1445" s="265"/>
      <c r="C1445" s="303"/>
      <c r="D1445" s="301"/>
      <c r="E1445" s="302"/>
      <c r="F1445" s="301"/>
      <c r="G1445" s="301"/>
      <c r="H1445" s="301"/>
      <c r="I1445" s="301"/>
      <c r="K1445" s="266"/>
      <c r="L1445" s="265"/>
      <c r="M1445" s="267"/>
      <c r="N1445" s="4"/>
      <c r="O1445" s="4"/>
    </row>
    <row r="1446" spans="1:15" x14ac:dyDescent="0.2">
      <c r="A1446" s="256"/>
      <c r="B1446" s="265"/>
      <c r="C1446" s="303"/>
      <c r="D1446" s="301"/>
      <c r="E1446" s="302"/>
      <c r="F1446" s="301"/>
      <c r="G1446" s="301"/>
      <c r="H1446" s="301"/>
      <c r="I1446" s="301"/>
      <c r="K1446" s="266"/>
      <c r="L1446" s="265"/>
      <c r="M1446" s="267"/>
      <c r="N1446" s="4"/>
      <c r="O1446" s="4"/>
    </row>
    <row r="1447" spans="1:15" x14ac:dyDescent="0.2">
      <c r="A1447" s="256"/>
      <c r="B1447" s="265"/>
      <c r="C1447" s="303"/>
      <c r="D1447" s="301"/>
      <c r="E1447" s="302"/>
      <c r="F1447" s="301"/>
      <c r="G1447" s="301"/>
      <c r="H1447" s="301"/>
      <c r="I1447" s="301"/>
      <c r="K1447" s="266"/>
      <c r="L1447" s="265"/>
      <c r="M1447" s="267"/>
      <c r="N1447" s="4"/>
      <c r="O1447" s="4"/>
    </row>
    <row r="1448" spans="1:15" x14ac:dyDescent="0.2">
      <c r="A1448" s="256"/>
      <c r="B1448" s="265"/>
      <c r="C1448" s="303"/>
      <c r="D1448" s="301"/>
      <c r="E1448" s="302"/>
      <c r="F1448" s="301"/>
      <c r="G1448" s="301"/>
      <c r="H1448" s="301"/>
      <c r="I1448" s="301"/>
      <c r="K1448" s="266"/>
      <c r="L1448" s="265"/>
      <c r="M1448" s="267"/>
      <c r="N1448" s="4"/>
      <c r="O1448" s="4"/>
    </row>
    <row r="1449" spans="1:15" x14ac:dyDescent="0.2">
      <c r="A1449" s="256"/>
      <c r="B1449" s="265"/>
      <c r="C1449" s="303"/>
      <c r="D1449" s="301"/>
      <c r="E1449" s="302"/>
      <c r="F1449" s="301"/>
      <c r="G1449" s="301"/>
      <c r="H1449" s="301"/>
      <c r="I1449" s="301"/>
      <c r="K1449" s="266"/>
      <c r="L1449" s="265"/>
      <c r="M1449" s="267"/>
      <c r="N1449" s="4"/>
      <c r="O1449" s="4"/>
    </row>
    <row r="1450" spans="1:15" x14ac:dyDescent="0.2">
      <c r="A1450" s="256"/>
      <c r="B1450" s="265"/>
      <c r="C1450" s="303"/>
      <c r="D1450" s="301"/>
      <c r="E1450" s="302"/>
      <c r="F1450" s="301"/>
      <c r="G1450" s="301"/>
      <c r="H1450" s="301"/>
      <c r="I1450" s="301"/>
      <c r="K1450" s="266"/>
      <c r="L1450" s="265"/>
      <c r="M1450" s="267"/>
      <c r="N1450" s="4"/>
      <c r="O1450" s="4"/>
    </row>
    <row r="1451" spans="1:15" x14ac:dyDescent="0.2">
      <c r="A1451" s="256"/>
      <c r="B1451" s="265"/>
      <c r="C1451" s="303"/>
      <c r="D1451" s="301"/>
      <c r="E1451" s="302"/>
      <c r="F1451" s="301"/>
      <c r="G1451" s="301"/>
      <c r="H1451" s="301"/>
      <c r="I1451" s="301"/>
      <c r="K1451" s="266"/>
      <c r="L1451" s="265"/>
      <c r="M1451" s="267"/>
      <c r="N1451" s="4"/>
      <c r="O1451" s="4"/>
    </row>
    <row r="1452" spans="1:15" x14ac:dyDescent="0.2">
      <c r="A1452" s="256"/>
      <c r="B1452" s="265"/>
      <c r="C1452" s="303"/>
      <c r="D1452" s="301"/>
      <c r="E1452" s="302"/>
      <c r="F1452" s="301"/>
      <c r="G1452" s="301"/>
      <c r="H1452" s="301"/>
      <c r="I1452" s="301"/>
      <c r="K1452" s="266"/>
      <c r="L1452" s="265"/>
      <c r="M1452" s="267"/>
      <c r="N1452" s="4"/>
      <c r="O1452" s="4"/>
    </row>
    <row r="1453" spans="1:15" x14ac:dyDescent="0.2">
      <c r="A1453" s="256"/>
      <c r="B1453" s="265"/>
      <c r="C1453" s="303"/>
      <c r="D1453" s="301"/>
      <c r="E1453" s="302"/>
      <c r="F1453" s="301"/>
      <c r="G1453" s="301"/>
      <c r="H1453" s="301"/>
      <c r="I1453" s="301"/>
      <c r="K1453" s="266"/>
      <c r="L1453" s="265"/>
      <c r="M1453" s="267"/>
      <c r="N1453" s="4"/>
      <c r="O1453" s="4"/>
    </row>
    <row r="1454" spans="1:15" x14ac:dyDescent="0.2">
      <c r="A1454" s="256"/>
      <c r="B1454" s="265"/>
      <c r="C1454" s="303"/>
      <c r="D1454" s="301"/>
      <c r="E1454" s="302"/>
      <c r="F1454" s="301"/>
      <c r="G1454" s="301"/>
      <c r="H1454" s="301"/>
      <c r="I1454" s="301"/>
      <c r="K1454" s="266"/>
      <c r="L1454" s="265"/>
      <c r="M1454" s="267"/>
      <c r="N1454" s="4"/>
      <c r="O1454" s="4"/>
    </row>
    <row r="1455" spans="1:15" x14ac:dyDescent="0.2">
      <c r="A1455" s="256"/>
      <c r="B1455" s="265"/>
      <c r="C1455" s="303"/>
      <c r="D1455" s="301"/>
      <c r="E1455" s="302"/>
      <c r="F1455" s="301"/>
      <c r="G1455" s="301"/>
      <c r="H1455" s="301"/>
      <c r="I1455" s="301"/>
      <c r="K1455" s="266"/>
      <c r="L1455" s="265"/>
      <c r="M1455" s="267"/>
      <c r="N1455" s="4"/>
      <c r="O1455" s="4"/>
    </row>
    <row r="1456" spans="1:15" x14ac:dyDescent="0.2">
      <c r="A1456" s="256"/>
      <c r="B1456" s="265"/>
      <c r="C1456" s="303"/>
      <c r="D1456" s="301"/>
      <c r="E1456" s="302"/>
      <c r="F1456" s="301"/>
      <c r="G1456" s="301"/>
      <c r="H1456" s="301"/>
      <c r="I1456" s="301"/>
      <c r="K1456" s="266"/>
      <c r="L1456" s="265"/>
      <c r="M1456" s="267"/>
      <c r="N1456" s="4"/>
      <c r="O1456" s="4"/>
    </row>
    <row r="1457" spans="1:15" x14ac:dyDescent="0.2">
      <c r="A1457" s="256"/>
      <c r="B1457" s="265"/>
      <c r="C1457" s="303"/>
      <c r="D1457" s="301"/>
      <c r="E1457" s="302"/>
      <c r="F1457" s="301"/>
      <c r="G1457" s="301"/>
      <c r="H1457" s="301"/>
      <c r="I1457" s="301"/>
      <c r="K1457" s="266"/>
      <c r="L1457" s="265"/>
      <c r="M1457" s="267"/>
      <c r="N1457" s="4"/>
      <c r="O1457" s="4"/>
    </row>
    <row r="1458" spans="1:15" x14ac:dyDescent="0.2">
      <c r="A1458" s="256"/>
      <c r="B1458" s="265"/>
      <c r="C1458" s="303"/>
      <c r="D1458" s="301"/>
      <c r="E1458" s="302"/>
      <c r="F1458" s="301"/>
      <c r="G1458" s="301"/>
      <c r="H1458" s="301"/>
      <c r="I1458" s="301"/>
      <c r="K1458" s="266"/>
      <c r="L1458" s="265"/>
      <c r="M1458" s="267"/>
      <c r="N1458" s="4"/>
      <c r="O1458" s="4"/>
    </row>
    <row r="1459" spans="1:15" x14ac:dyDescent="0.2">
      <c r="A1459" s="256"/>
      <c r="B1459" s="265"/>
      <c r="C1459" s="303"/>
      <c r="D1459" s="301"/>
      <c r="E1459" s="302"/>
      <c r="F1459" s="301"/>
      <c r="G1459" s="301"/>
      <c r="H1459" s="301"/>
      <c r="I1459" s="301"/>
      <c r="K1459" s="266"/>
      <c r="L1459" s="265"/>
      <c r="M1459" s="267"/>
      <c r="N1459" s="4"/>
      <c r="O1459" s="4"/>
    </row>
    <row r="1460" spans="1:15" x14ac:dyDescent="0.2">
      <c r="A1460" s="256"/>
      <c r="B1460" s="265"/>
      <c r="C1460" s="303"/>
      <c r="D1460" s="301"/>
      <c r="E1460" s="302"/>
      <c r="F1460" s="301"/>
      <c r="G1460" s="301"/>
      <c r="H1460" s="301"/>
      <c r="I1460" s="301"/>
      <c r="K1460" s="266"/>
      <c r="L1460" s="265"/>
      <c r="M1460" s="267"/>
      <c r="N1460" s="4"/>
      <c r="O1460" s="4"/>
    </row>
    <row r="1461" spans="1:15" x14ac:dyDescent="0.2">
      <c r="A1461" s="256"/>
      <c r="B1461" s="265"/>
      <c r="C1461" s="303"/>
      <c r="D1461" s="301"/>
      <c r="E1461" s="302"/>
      <c r="F1461" s="301"/>
      <c r="G1461" s="301"/>
      <c r="H1461" s="301"/>
      <c r="I1461" s="301"/>
      <c r="K1461" s="266"/>
      <c r="L1461" s="265"/>
      <c r="M1461" s="267"/>
      <c r="N1461" s="4"/>
      <c r="O1461" s="4"/>
    </row>
    <row r="1462" spans="1:15" x14ac:dyDescent="0.2">
      <c r="A1462" s="256"/>
      <c r="B1462" s="265"/>
      <c r="C1462" s="303"/>
      <c r="D1462" s="301"/>
      <c r="E1462" s="302"/>
      <c r="F1462" s="301"/>
      <c r="G1462" s="301"/>
      <c r="H1462" s="301"/>
      <c r="I1462" s="301"/>
      <c r="K1462" s="266"/>
      <c r="L1462" s="265"/>
      <c r="M1462" s="267"/>
      <c r="N1462" s="4"/>
      <c r="O1462" s="4"/>
    </row>
    <row r="1463" spans="1:15" x14ac:dyDescent="0.2">
      <c r="A1463" s="256"/>
      <c r="B1463" s="265"/>
      <c r="C1463" s="303"/>
      <c r="D1463" s="301"/>
      <c r="E1463" s="302"/>
      <c r="F1463" s="301"/>
      <c r="G1463" s="301"/>
      <c r="H1463" s="301"/>
      <c r="I1463" s="301"/>
      <c r="K1463" s="266"/>
      <c r="L1463" s="265"/>
      <c r="M1463" s="267"/>
      <c r="N1463" s="4"/>
      <c r="O1463" s="4"/>
    </row>
    <row r="1464" spans="1:15" x14ac:dyDescent="0.2">
      <c r="A1464" s="256"/>
      <c r="B1464" s="265"/>
      <c r="C1464" s="303"/>
      <c r="D1464" s="301"/>
      <c r="E1464" s="302"/>
      <c r="F1464" s="301"/>
      <c r="G1464" s="301"/>
      <c r="H1464" s="301"/>
      <c r="I1464" s="301"/>
      <c r="K1464" s="266"/>
      <c r="L1464" s="265"/>
      <c r="M1464" s="267"/>
      <c r="N1464" s="4"/>
      <c r="O1464" s="4"/>
    </row>
    <row r="1465" spans="1:15" x14ac:dyDescent="0.2">
      <c r="A1465" s="256"/>
      <c r="B1465" s="265"/>
      <c r="C1465" s="303"/>
      <c r="D1465" s="301"/>
      <c r="E1465" s="302"/>
      <c r="F1465" s="301"/>
      <c r="G1465" s="301"/>
      <c r="H1465" s="301"/>
      <c r="I1465" s="301"/>
      <c r="K1465" s="266"/>
      <c r="L1465" s="265"/>
      <c r="M1465" s="267"/>
      <c r="N1465" s="4"/>
      <c r="O1465" s="4"/>
    </row>
    <row r="1466" spans="1:15" x14ac:dyDescent="0.2">
      <c r="A1466" s="256"/>
      <c r="B1466" s="265"/>
      <c r="C1466" s="303"/>
      <c r="D1466" s="301"/>
      <c r="E1466" s="302"/>
      <c r="F1466" s="301"/>
      <c r="G1466" s="301"/>
      <c r="H1466" s="301"/>
      <c r="I1466" s="301"/>
      <c r="K1466" s="266"/>
      <c r="L1466" s="265"/>
      <c r="M1466" s="267"/>
      <c r="N1466" s="4"/>
      <c r="O1466" s="4"/>
    </row>
    <row r="1467" spans="1:15" x14ac:dyDescent="0.2">
      <c r="A1467" s="256"/>
      <c r="B1467" s="265"/>
      <c r="C1467" s="303"/>
      <c r="D1467" s="301"/>
      <c r="E1467" s="302"/>
      <c r="F1467" s="301"/>
      <c r="G1467" s="301"/>
      <c r="H1467" s="301"/>
      <c r="I1467" s="301"/>
      <c r="K1467" s="266"/>
      <c r="L1467" s="265"/>
      <c r="M1467" s="267"/>
      <c r="N1467" s="4"/>
      <c r="O1467" s="4"/>
    </row>
    <row r="1468" spans="1:15" x14ac:dyDescent="0.2">
      <c r="A1468" s="256"/>
      <c r="B1468" s="265"/>
      <c r="C1468" s="303"/>
      <c r="D1468" s="301"/>
      <c r="E1468" s="302"/>
      <c r="F1468" s="301"/>
      <c r="G1468" s="301"/>
      <c r="H1468" s="301"/>
      <c r="I1468" s="301"/>
      <c r="K1468" s="266"/>
      <c r="L1468" s="265"/>
      <c r="M1468" s="267"/>
      <c r="N1468" s="4"/>
      <c r="O1468" s="4"/>
    </row>
    <row r="1469" spans="1:15" x14ac:dyDescent="0.2">
      <c r="A1469" s="256"/>
      <c r="B1469" s="265"/>
      <c r="C1469" s="303"/>
      <c r="D1469" s="301"/>
      <c r="E1469" s="302"/>
      <c r="F1469" s="301"/>
      <c r="G1469" s="301"/>
      <c r="H1469" s="301"/>
      <c r="I1469" s="301"/>
      <c r="K1469" s="266"/>
      <c r="L1469" s="265"/>
      <c r="M1469" s="267"/>
      <c r="N1469" s="4"/>
      <c r="O1469" s="4"/>
    </row>
    <row r="1470" spans="1:15" x14ac:dyDescent="0.2">
      <c r="A1470" s="256"/>
      <c r="B1470" s="265"/>
      <c r="C1470" s="303"/>
      <c r="D1470" s="301"/>
      <c r="E1470" s="302"/>
      <c r="F1470" s="301"/>
      <c r="G1470" s="301"/>
      <c r="H1470" s="301"/>
      <c r="I1470" s="301"/>
      <c r="K1470" s="266"/>
      <c r="L1470" s="265"/>
      <c r="M1470" s="267"/>
      <c r="N1470" s="4"/>
      <c r="O1470" s="4"/>
    </row>
    <row r="1471" spans="1:15" x14ac:dyDescent="0.2">
      <c r="A1471" s="256"/>
      <c r="B1471" s="265"/>
      <c r="C1471" s="303"/>
      <c r="D1471" s="301"/>
      <c r="E1471" s="302"/>
      <c r="F1471" s="301"/>
      <c r="G1471" s="301"/>
      <c r="H1471" s="301"/>
      <c r="I1471" s="301"/>
      <c r="K1471" s="266"/>
      <c r="L1471" s="265"/>
      <c r="M1471" s="267"/>
      <c r="N1471" s="4"/>
      <c r="O1471" s="4"/>
    </row>
    <row r="1472" spans="1:15" x14ac:dyDescent="0.2">
      <c r="A1472" s="256"/>
      <c r="B1472" s="265"/>
      <c r="C1472" s="303"/>
      <c r="D1472" s="301"/>
      <c r="E1472" s="302"/>
      <c r="F1472" s="301"/>
      <c r="G1472" s="301"/>
      <c r="H1472" s="301"/>
      <c r="I1472" s="301"/>
      <c r="K1472" s="266"/>
      <c r="L1472" s="265"/>
      <c r="M1472" s="267"/>
      <c r="N1472" s="4"/>
      <c r="O1472" s="4"/>
    </row>
    <row r="1473" spans="1:15" x14ac:dyDescent="0.2">
      <c r="A1473" s="256"/>
      <c r="B1473" s="265"/>
      <c r="C1473" s="303"/>
      <c r="D1473" s="301"/>
      <c r="E1473" s="302"/>
      <c r="F1473" s="301"/>
      <c r="G1473" s="301"/>
      <c r="H1473" s="301"/>
      <c r="I1473" s="301"/>
      <c r="K1473" s="266"/>
      <c r="L1473" s="265"/>
      <c r="M1473" s="267"/>
      <c r="N1473" s="4"/>
      <c r="O1473" s="4"/>
    </row>
    <row r="1474" spans="1:15" x14ac:dyDescent="0.2">
      <c r="A1474" s="256"/>
      <c r="B1474" s="265"/>
      <c r="C1474" s="303"/>
      <c r="D1474" s="301"/>
      <c r="E1474" s="302"/>
      <c r="F1474" s="301"/>
      <c r="G1474" s="301"/>
      <c r="H1474" s="301"/>
      <c r="I1474" s="301"/>
      <c r="K1474" s="266"/>
      <c r="L1474" s="265"/>
      <c r="M1474" s="267"/>
      <c r="N1474" s="4"/>
      <c r="O1474" s="4"/>
    </row>
    <row r="1475" spans="1:15" x14ac:dyDescent="0.2">
      <c r="A1475" s="256"/>
      <c r="B1475" s="265"/>
      <c r="C1475" s="303"/>
      <c r="D1475" s="301"/>
      <c r="E1475" s="302"/>
      <c r="F1475" s="301"/>
      <c r="G1475" s="301"/>
      <c r="H1475" s="301"/>
      <c r="I1475" s="301"/>
      <c r="K1475" s="266"/>
      <c r="L1475" s="265"/>
      <c r="M1475" s="267"/>
      <c r="N1475" s="4"/>
      <c r="O1475" s="4"/>
    </row>
    <row r="1476" spans="1:15" x14ac:dyDescent="0.2">
      <c r="A1476" s="256"/>
      <c r="B1476" s="265"/>
      <c r="C1476" s="303"/>
      <c r="D1476" s="301"/>
      <c r="E1476" s="302"/>
      <c r="F1476" s="301"/>
      <c r="G1476" s="301"/>
      <c r="H1476" s="301"/>
      <c r="I1476" s="301"/>
      <c r="K1476" s="266"/>
      <c r="L1476" s="265"/>
      <c r="M1476" s="267"/>
      <c r="N1476" s="4"/>
      <c r="O1476" s="4"/>
    </row>
    <row r="1477" spans="1:15" x14ac:dyDescent="0.2">
      <c r="A1477" s="256"/>
      <c r="B1477" s="265"/>
      <c r="C1477" s="303"/>
      <c r="D1477" s="301"/>
      <c r="E1477" s="302"/>
      <c r="F1477" s="301"/>
      <c r="G1477" s="301"/>
      <c r="H1477" s="301"/>
      <c r="I1477" s="301"/>
      <c r="K1477" s="266"/>
      <c r="L1477" s="265"/>
      <c r="M1477" s="267"/>
      <c r="N1477" s="4"/>
      <c r="O1477" s="4"/>
    </row>
    <row r="1478" spans="1:15" x14ac:dyDescent="0.2">
      <c r="A1478" s="256"/>
      <c r="B1478" s="265"/>
      <c r="C1478" s="303"/>
      <c r="D1478" s="301"/>
      <c r="E1478" s="302"/>
      <c r="F1478" s="301"/>
      <c r="G1478" s="301"/>
      <c r="H1478" s="301"/>
      <c r="I1478" s="301"/>
      <c r="K1478" s="266"/>
      <c r="L1478" s="265"/>
      <c r="M1478" s="267"/>
      <c r="N1478" s="4"/>
      <c r="O1478" s="4"/>
    </row>
    <row r="1479" spans="1:15" x14ac:dyDescent="0.2">
      <c r="A1479" s="256"/>
      <c r="B1479" s="265"/>
      <c r="C1479" s="303"/>
      <c r="D1479" s="301"/>
      <c r="E1479" s="302"/>
      <c r="F1479" s="301"/>
      <c r="G1479" s="301"/>
      <c r="H1479" s="301"/>
      <c r="I1479" s="301"/>
      <c r="K1479" s="266"/>
      <c r="L1479" s="265"/>
      <c r="M1479" s="267"/>
      <c r="N1479" s="4"/>
      <c r="O1479" s="4"/>
    </row>
    <row r="1480" spans="1:15" x14ac:dyDescent="0.2">
      <c r="A1480" s="256"/>
      <c r="B1480" s="265"/>
      <c r="C1480" s="303"/>
      <c r="D1480" s="301"/>
      <c r="E1480" s="302"/>
      <c r="F1480" s="301"/>
      <c r="G1480" s="301"/>
      <c r="H1480" s="301"/>
      <c r="I1480" s="301"/>
      <c r="K1480" s="266"/>
      <c r="L1480" s="265"/>
      <c r="M1480" s="267"/>
      <c r="N1480" s="4"/>
      <c r="O1480" s="4"/>
    </row>
    <row r="1481" spans="1:15" x14ac:dyDescent="0.2">
      <c r="A1481" s="256"/>
      <c r="B1481" s="265"/>
      <c r="C1481" s="303"/>
      <c r="D1481" s="301"/>
      <c r="E1481" s="302"/>
      <c r="F1481" s="301"/>
      <c r="G1481" s="301"/>
      <c r="H1481" s="301"/>
      <c r="I1481" s="301"/>
      <c r="K1481" s="266"/>
      <c r="L1481" s="265"/>
      <c r="M1481" s="267"/>
      <c r="N1481" s="4"/>
      <c r="O1481" s="4"/>
    </row>
    <row r="1482" spans="1:15" x14ac:dyDescent="0.2">
      <c r="A1482" s="256"/>
      <c r="B1482" s="265"/>
      <c r="C1482" s="303"/>
      <c r="D1482" s="301"/>
      <c r="E1482" s="302"/>
      <c r="F1482" s="301"/>
      <c r="G1482" s="301"/>
      <c r="H1482" s="301"/>
      <c r="I1482" s="301"/>
      <c r="K1482" s="266"/>
      <c r="L1482" s="265"/>
      <c r="M1482" s="267"/>
      <c r="N1482" s="4"/>
      <c r="O1482" s="4"/>
    </row>
    <row r="1483" spans="1:15" x14ac:dyDescent="0.2">
      <c r="A1483" s="256"/>
      <c r="B1483" s="265"/>
      <c r="C1483" s="303"/>
      <c r="D1483" s="301"/>
      <c r="E1483" s="302"/>
      <c r="F1483" s="301"/>
      <c r="G1483" s="301"/>
      <c r="H1483" s="301"/>
      <c r="I1483" s="301"/>
      <c r="K1483" s="266"/>
      <c r="L1483" s="265"/>
      <c r="M1483" s="267"/>
      <c r="N1483" s="4"/>
      <c r="O1483" s="4"/>
    </row>
    <row r="1484" spans="1:15" x14ac:dyDescent="0.2">
      <c r="A1484" s="256"/>
      <c r="B1484" s="265"/>
      <c r="C1484" s="303"/>
      <c r="D1484" s="301"/>
      <c r="E1484" s="302"/>
      <c r="F1484" s="301"/>
      <c r="G1484" s="301"/>
      <c r="H1484" s="301"/>
      <c r="I1484" s="301"/>
      <c r="K1484" s="266"/>
      <c r="L1484" s="265"/>
      <c r="M1484" s="267"/>
      <c r="N1484" s="4"/>
      <c r="O1484" s="4"/>
    </row>
    <row r="1485" spans="1:15" x14ac:dyDescent="0.2">
      <c r="A1485" s="256"/>
      <c r="B1485" s="265"/>
      <c r="C1485" s="303"/>
      <c r="D1485" s="301"/>
      <c r="E1485" s="302"/>
      <c r="F1485" s="301"/>
      <c r="G1485" s="301"/>
      <c r="H1485" s="301"/>
      <c r="I1485" s="301"/>
      <c r="K1485" s="266"/>
      <c r="L1485" s="265"/>
      <c r="M1485" s="267"/>
      <c r="N1485" s="4"/>
      <c r="O1485" s="4"/>
    </row>
    <row r="1486" spans="1:15" x14ac:dyDescent="0.2">
      <c r="A1486" s="256"/>
      <c r="B1486" s="265"/>
      <c r="C1486" s="303"/>
      <c r="D1486" s="301"/>
      <c r="E1486" s="302"/>
      <c r="F1486" s="301"/>
      <c r="G1486" s="301"/>
      <c r="H1486" s="301"/>
      <c r="I1486" s="301"/>
      <c r="K1486" s="266"/>
      <c r="L1486" s="265"/>
      <c r="M1486" s="267"/>
      <c r="N1486" s="4"/>
      <c r="O1486" s="4"/>
    </row>
    <row r="1487" spans="1:15" x14ac:dyDescent="0.2">
      <c r="A1487" s="256"/>
      <c r="B1487" s="265"/>
      <c r="C1487" s="303"/>
      <c r="D1487" s="301"/>
      <c r="E1487" s="302"/>
      <c r="F1487" s="301"/>
      <c r="G1487" s="301"/>
      <c r="H1487" s="301"/>
      <c r="I1487" s="301"/>
      <c r="K1487" s="266"/>
      <c r="L1487" s="265"/>
      <c r="M1487" s="267"/>
      <c r="N1487" s="4"/>
      <c r="O1487" s="4"/>
    </row>
    <row r="1488" spans="1:15" x14ac:dyDescent="0.2">
      <c r="A1488" s="256"/>
      <c r="B1488" s="265"/>
      <c r="C1488" s="303"/>
      <c r="D1488" s="301"/>
      <c r="E1488" s="302"/>
      <c r="F1488" s="301"/>
      <c r="G1488" s="301"/>
      <c r="H1488" s="301"/>
      <c r="I1488" s="301"/>
      <c r="K1488" s="266"/>
      <c r="L1488" s="265"/>
      <c r="M1488" s="267"/>
      <c r="N1488" s="4"/>
      <c r="O1488" s="4"/>
    </row>
    <row r="1489" spans="1:15" x14ac:dyDescent="0.2">
      <c r="A1489" s="256"/>
      <c r="B1489" s="265"/>
      <c r="C1489" s="303"/>
      <c r="D1489" s="301"/>
      <c r="E1489" s="302"/>
      <c r="F1489" s="301"/>
      <c r="G1489" s="301"/>
      <c r="H1489" s="301"/>
      <c r="I1489" s="301"/>
      <c r="K1489" s="266"/>
      <c r="L1489" s="265"/>
      <c r="M1489" s="267"/>
      <c r="N1489" s="4"/>
      <c r="O1489" s="4"/>
    </row>
    <row r="1490" spans="1:15" x14ac:dyDescent="0.2">
      <c r="A1490" s="256"/>
      <c r="B1490" s="265"/>
      <c r="C1490" s="303"/>
      <c r="D1490" s="301"/>
      <c r="E1490" s="302"/>
      <c r="F1490" s="301"/>
      <c r="G1490" s="301"/>
      <c r="H1490" s="301"/>
      <c r="I1490" s="301"/>
      <c r="K1490" s="266"/>
      <c r="L1490" s="265"/>
      <c r="M1490" s="267"/>
      <c r="N1490" s="4"/>
      <c r="O1490" s="4"/>
    </row>
    <row r="1491" spans="1:15" x14ac:dyDescent="0.2">
      <c r="A1491" s="256"/>
      <c r="B1491" s="265"/>
      <c r="C1491" s="303"/>
      <c r="D1491" s="301"/>
      <c r="E1491" s="302"/>
      <c r="F1491" s="301"/>
      <c r="G1491" s="301"/>
      <c r="H1491" s="301"/>
      <c r="I1491" s="301"/>
      <c r="K1491" s="266"/>
      <c r="L1491" s="265"/>
      <c r="M1491" s="267"/>
      <c r="N1491" s="4"/>
      <c r="O1491" s="4"/>
    </row>
    <row r="1492" spans="1:15" x14ac:dyDescent="0.2">
      <c r="A1492" s="256"/>
      <c r="B1492" s="265"/>
      <c r="C1492" s="303"/>
      <c r="D1492" s="301"/>
      <c r="E1492" s="302"/>
      <c r="F1492" s="301"/>
      <c r="G1492" s="301"/>
      <c r="H1492" s="301"/>
      <c r="I1492" s="301"/>
      <c r="K1492" s="266"/>
      <c r="L1492" s="265"/>
      <c r="M1492" s="267"/>
      <c r="N1492" s="4"/>
      <c r="O1492" s="4"/>
    </row>
    <row r="1493" spans="1:15" x14ac:dyDescent="0.2">
      <c r="A1493" s="256"/>
      <c r="B1493" s="265"/>
      <c r="C1493" s="303"/>
      <c r="D1493" s="301"/>
      <c r="E1493" s="302"/>
      <c r="F1493" s="301"/>
      <c r="G1493" s="301"/>
      <c r="H1493" s="301"/>
      <c r="I1493" s="301"/>
      <c r="K1493" s="266"/>
      <c r="L1493" s="265"/>
      <c r="M1493" s="267"/>
      <c r="N1493" s="4"/>
      <c r="O1493" s="4"/>
    </row>
    <row r="1494" spans="1:15" x14ac:dyDescent="0.2">
      <c r="A1494" s="256"/>
      <c r="B1494" s="265"/>
      <c r="C1494" s="303"/>
      <c r="D1494" s="301"/>
      <c r="E1494" s="302"/>
      <c r="F1494" s="301"/>
      <c r="G1494" s="301"/>
      <c r="H1494" s="301"/>
      <c r="I1494" s="301"/>
      <c r="K1494" s="266"/>
      <c r="L1494" s="265"/>
      <c r="M1494" s="267"/>
      <c r="N1494" s="4"/>
      <c r="O1494" s="4"/>
    </row>
    <row r="1495" spans="1:15" x14ac:dyDescent="0.2">
      <c r="A1495" s="256"/>
      <c r="B1495" s="265"/>
      <c r="C1495" s="303"/>
      <c r="D1495" s="301"/>
      <c r="E1495" s="302"/>
      <c r="F1495" s="301"/>
      <c r="G1495" s="301"/>
      <c r="H1495" s="301"/>
      <c r="I1495" s="301"/>
      <c r="K1495" s="266"/>
      <c r="L1495" s="265"/>
      <c r="M1495" s="267"/>
      <c r="N1495" s="4"/>
      <c r="O1495" s="4"/>
    </row>
    <row r="1496" spans="1:15" x14ac:dyDescent="0.2">
      <c r="A1496" s="256"/>
      <c r="B1496" s="265"/>
      <c r="C1496" s="303"/>
      <c r="D1496" s="301"/>
      <c r="E1496" s="302"/>
      <c r="F1496" s="301"/>
      <c r="G1496" s="301"/>
      <c r="H1496" s="301"/>
      <c r="I1496" s="301"/>
      <c r="K1496" s="266"/>
      <c r="L1496" s="265"/>
      <c r="M1496" s="267"/>
      <c r="N1496" s="4"/>
      <c r="O1496" s="4"/>
    </row>
    <row r="1497" spans="1:15" x14ac:dyDescent="0.2">
      <c r="A1497" s="256"/>
      <c r="B1497" s="265"/>
      <c r="C1497" s="303"/>
      <c r="D1497" s="301"/>
      <c r="E1497" s="302"/>
      <c r="F1497" s="301"/>
      <c r="G1497" s="301"/>
      <c r="H1497" s="301"/>
      <c r="I1497" s="301"/>
      <c r="K1497" s="266"/>
      <c r="L1497" s="265"/>
      <c r="M1497" s="267"/>
      <c r="N1497" s="4"/>
      <c r="O1497" s="4"/>
    </row>
    <row r="1498" spans="1:15" x14ac:dyDescent="0.2">
      <c r="A1498" s="256"/>
      <c r="B1498" s="265"/>
      <c r="C1498" s="303"/>
      <c r="D1498" s="301"/>
      <c r="E1498" s="302"/>
      <c r="F1498" s="301"/>
      <c r="G1498" s="301"/>
      <c r="H1498" s="301"/>
      <c r="I1498" s="301"/>
      <c r="K1498" s="266"/>
      <c r="L1498" s="265"/>
      <c r="M1498" s="267"/>
      <c r="N1498" s="4"/>
      <c r="O1498" s="4"/>
    </row>
    <row r="1499" spans="1:15" x14ac:dyDescent="0.2">
      <c r="A1499" s="256"/>
      <c r="B1499" s="265"/>
      <c r="C1499" s="303"/>
      <c r="D1499" s="301"/>
      <c r="E1499" s="302"/>
      <c r="F1499" s="301"/>
      <c r="G1499" s="301"/>
      <c r="H1499" s="301"/>
      <c r="I1499" s="301"/>
      <c r="K1499" s="266"/>
      <c r="L1499" s="265"/>
      <c r="M1499" s="267"/>
      <c r="N1499" s="4"/>
      <c r="O1499" s="4"/>
    </row>
    <row r="1500" spans="1:15" x14ac:dyDescent="0.2">
      <c r="A1500" s="256"/>
      <c r="B1500" s="265"/>
      <c r="C1500" s="303"/>
      <c r="D1500" s="301"/>
      <c r="E1500" s="302"/>
      <c r="F1500" s="301"/>
      <c r="G1500" s="301"/>
      <c r="H1500" s="301"/>
      <c r="I1500" s="301"/>
      <c r="K1500" s="266"/>
      <c r="L1500" s="265"/>
      <c r="M1500" s="267"/>
      <c r="N1500" s="4"/>
      <c r="O1500" s="4"/>
    </row>
    <row r="1501" spans="1:15" x14ac:dyDescent="0.2">
      <c r="A1501" s="256"/>
      <c r="B1501" s="265"/>
      <c r="C1501" s="303"/>
      <c r="D1501" s="301"/>
      <c r="E1501" s="302"/>
      <c r="F1501" s="301"/>
      <c r="G1501" s="301"/>
      <c r="H1501" s="301"/>
      <c r="I1501" s="301"/>
      <c r="K1501" s="266"/>
      <c r="L1501" s="265"/>
      <c r="M1501" s="267"/>
      <c r="N1501" s="4"/>
      <c r="O1501" s="4"/>
    </row>
    <row r="1502" spans="1:15" x14ac:dyDescent="0.2">
      <c r="A1502" s="256"/>
      <c r="B1502" s="265"/>
      <c r="C1502" s="303"/>
      <c r="D1502" s="301"/>
      <c r="E1502" s="302"/>
      <c r="F1502" s="301"/>
      <c r="G1502" s="301"/>
      <c r="H1502" s="301"/>
      <c r="I1502" s="301"/>
      <c r="K1502" s="266"/>
      <c r="L1502" s="265"/>
      <c r="M1502" s="267"/>
      <c r="N1502" s="4"/>
      <c r="O1502" s="4"/>
    </row>
    <row r="1503" spans="1:15" x14ac:dyDescent="0.2">
      <c r="A1503" s="256"/>
      <c r="B1503" s="265"/>
      <c r="C1503" s="303"/>
      <c r="D1503" s="301"/>
      <c r="E1503" s="302"/>
      <c r="F1503" s="301"/>
      <c r="G1503" s="301"/>
      <c r="H1503" s="301"/>
      <c r="I1503" s="301"/>
      <c r="K1503" s="266"/>
      <c r="L1503" s="265"/>
      <c r="M1503" s="267"/>
      <c r="N1503" s="4"/>
      <c r="O1503" s="4"/>
    </row>
    <row r="1504" spans="1:15" x14ac:dyDescent="0.2">
      <c r="A1504" s="256"/>
      <c r="B1504" s="265"/>
      <c r="C1504" s="303"/>
      <c r="D1504" s="301"/>
      <c r="E1504" s="302"/>
      <c r="F1504" s="301"/>
      <c r="G1504" s="301"/>
      <c r="H1504" s="301"/>
      <c r="I1504" s="301"/>
      <c r="K1504" s="266"/>
      <c r="L1504" s="265"/>
      <c r="M1504" s="267"/>
      <c r="N1504" s="4"/>
      <c r="O1504" s="4"/>
    </row>
    <row r="1505" spans="1:15" x14ac:dyDescent="0.2">
      <c r="A1505" s="256"/>
      <c r="B1505" s="265"/>
      <c r="C1505" s="303"/>
      <c r="D1505" s="301"/>
      <c r="E1505" s="302"/>
      <c r="F1505" s="301"/>
      <c r="G1505" s="301"/>
      <c r="H1505" s="301"/>
      <c r="I1505" s="301"/>
      <c r="K1505" s="266"/>
      <c r="L1505" s="265"/>
      <c r="M1505" s="267"/>
      <c r="N1505" s="4"/>
      <c r="O1505" s="4"/>
    </row>
    <row r="1506" spans="1:15" x14ac:dyDescent="0.2">
      <c r="A1506" s="256"/>
      <c r="B1506" s="265"/>
      <c r="C1506" s="303"/>
      <c r="D1506" s="301"/>
      <c r="E1506" s="302"/>
      <c r="F1506" s="301"/>
      <c r="G1506" s="301"/>
      <c r="H1506" s="301"/>
      <c r="I1506" s="301"/>
      <c r="K1506" s="266"/>
      <c r="L1506" s="265"/>
      <c r="M1506" s="267"/>
      <c r="N1506" s="4"/>
      <c r="O1506" s="4"/>
    </row>
    <row r="1507" spans="1:15" x14ac:dyDescent="0.2">
      <c r="A1507" s="256"/>
      <c r="B1507" s="265"/>
      <c r="C1507" s="303"/>
      <c r="D1507" s="301"/>
      <c r="E1507" s="302"/>
      <c r="F1507" s="301"/>
      <c r="G1507" s="301"/>
      <c r="H1507" s="301"/>
      <c r="I1507" s="301"/>
      <c r="K1507" s="266"/>
      <c r="L1507" s="265"/>
      <c r="M1507" s="267"/>
      <c r="N1507" s="4"/>
      <c r="O1507" s="4"/>
    </row>
    <row r="1508" spans="1:15" x14ac:dyDescent="0.2">
      <c r="A1508" s="256"/>
      <c r="B1508" s="265"/>
      <c r="C1508" s="303"/>
      <c r="D1508" s="301"/>
      <c r="E1508" s="302"/>
      <c r="F1508" s="301"/>
      <c r="G1508" s="301"/>
      <c r="H1508" s="301"/>
      <c r="I1508" s="301"/>
      <c r="K1508" s="266"/>
      <c r="L1508" s="265"/>
      <c r="M1508" s="267"/>
      <c r="N1508" s="4"/>
      <c r="O1508" s="4"/>
    </row>
    <row r="1509" spans="1:15" x14ac:dyDescent="0.2">
      <c r="A1509" s="256"/>
      <c r="B1509" s="265"/>
      <c r="C1509" s="303"/>
      <c r="D1509" s="301"/>
      <c r="E1509" s="302"/>
      <c r="F1509" s="301"/>
      <c r="G1509" s="301"/>
      <c r="H1509" s="301"/>
      <c r="I1509" s="301"/>
      <c r="K1509" s="266"/>
      <c r="L1509" s="265"/>
      <c r="M1509" s="267"/>
      <c r="N1509" s="4"/>
      <c r="O1509" s="4"/>
    </row>
    <row r="1510" spans="1:15" x14ac:dyDescent="0.2">
      <c r="A1510" s="256"/>
      <c r="B1510" s="265"/>
      <c r="C1510" s="303"/>
      <c r="D1510" s="301"/>
      <c r="E1510" s="302"/>
      <c r="F1510" s="301"/>
      <c r="G1510" s="301"/>
      <c r="H1510" s="301"/>
      <c r="I1510" s="301"/>
      <c r="K1510" s="266"/>
      <c r="L1510" s="265"/>
      <c r="M1510" s="267"/>
      <c r="N1510" s="4"/>
      <c r="O1510" s="4"/>
    </row>
    <row r="1511" spans="1:15" x14ac:dyDescent="0.2">
      <c r="A1511" s="256"/>
      <c r="B1511" s="265"/>
      <c r="C1511" s="303"/>
      <c r="D1511" s="301"/>
      <c r="E1511" s="302"/>
      <c r="F1511" s="301"/>
      <c r="G1511" s="301"/>
      <c r="H1511" s="301"/>
      <c r="I1511" s="301"/>
      <c r="K1511" s="266"/>
      <c r="L1511" s="265"/>
      <c r="M1511" s="267"/>
      <c r="N1511" s="4"/>
      <c r="O1511" s="4"/>
    </row>
    <row r="1512" spans="1:15" x14ac:dyDescent="0.2">
      <c r="A1512" s="256"/>
      <c r="B1512" s="265"/>
      <c r="C1512" s="303"/>
      <c r="D1512" s="301"/>
      <c r="E1512" s="302"/>
      <c r="F1512" s="301"/>
      <c r="G1512" s="301"/>
      <c r="H1512" s="301"/>
      <c r="I1512" s="301"/>
      <c r="K1512" s="266"/>
      <c r="L1512" s="265"/>
      <c r="M1512" s="267"/>
      <c r="N1512" s="4"/>
      <c r="O1512" s="4"/>
    </row>
    <row r="1513" spans="1:15" x14ac:dyDescent="0.2">
      <c r="A1513" s="256"/>
      <c r="B1513" s="265"/>
      <c r="C1513" s="303"/>
      <c r="D1513" s="301"/>
      <c r="E1513" s="302"/>
      <c r="F1513" s="301"/>
      <c r="G1513" s="301"/>
      <c r="H1513" s="301"/>
      <c r="I1513" s="301"/>
      <c r="K1513" s="266"/>
      <c r="L1513" s="265"/>
      <c r="M1513" s="267"/>
      <c r="N1513" s="4"/>
      <c r="O1513" s="4"/>
    </row>
    <row r="1514" spans="1:15" x14ac:dyDescent="0.2">
      <c r="A1514" s="256"/>
      <c r="B1514" s="265"/>
      <c r="C1514" s="303"/>
      <c r="D1514" s="301"/>
      <c r="E1514" s="302"/>
      <c r="F1514" s="301"/>
      <c r="G1514" s="301"/>
      <c r="H1514" s="301"/>
      <c r="I1514" s="301"/>
      <c r="K1514" s="266"/>
      <c r="L1514" s="265"/>
      <c r="M1514" s="267"/>
      <c r="N1514" s="4"/>
      <c r="O1514" s="4"/>
    </row>
    <row r="1515" spans="1:15" x14ac:dyDescent="0.2">
      <c r="A1515" s="256"/>
      <c r="B1515" s="265"/>
      <c r="C1515" s="303"/>
      <c r="D1515" s="301"/>
      <c r="E1515" s="302"/>
      <c r="F1515" s="301"/>
      <c r="G1515" s="301"/>
      <c r="H1515" s="301"/>
      <c r="I1515" s="301"/>
      <c r="K1515" s="266"/>
      <c r="L1515" s="265"/>
      <c r="M1515" s="267"/>
      <c r="N1515" s="4"/>
      <c r="O1515" s="4"/>
    </row>
    <row r="1516" spans="1:15" x14ac:dyDescent="0.2">
      <c r="A1516" s="256"/>
      <c r="B1516" s="265"/>
      <c r="C1516" s="303"/>
      <c r="D1516" s="301"/>
      <c r="E1516" s="302"/>
      <c r="F1516" s="301"/>
      <c r="G1516" s="301"/>
      <c r="H1516" s="301"/>
      <c r="I1516" s="301"/>
      <c r="K1516" s="266"/>
      <c r="L1516" s="265"/>
      <c r="M1516" s="267"/>
      <c r="N1516" s="4"/>
      <c r="O1516" s="4"/>
    </row>
    <row r="1517" spans="1:15" x14ac:dyDescent="0.2">
      <c r="A1517" s="256"/>
      <c r="B1517" s="265"/>
      <c r="C1517" s="303"/>
      <c r="D1517" s="301"/>
      <c r="E1517" s="302"/>
      <c r="F1517" s="301"/>
      <c r="G1517" s="301"/>
      <c r="H1517" s="301"/>
      <c r="I1517" s="301"/>
      <c r="K1517" s="266"/>
      <c r="L1517" s="265"/>
      <c r="M1517" s="267"/>
      <c r="N1517" s="4"/>
      <c r="O1517" s="4"/>
    </row>
    <row r="1518" spans="1:15" x14ac:dyDescent="0.2">
      <c r="A1518" s="256"/>
      <c r="B1518" s="265"/>
      <c r="C1518" s="303"/>
      <c r="D1518" s="301"/>
      <c r="E1518" s="302"/>
      <c r="F1518" s="301"/>
      <c r="G1518" s="301"/>
      <c r="H1518" s="301"/>
      <c r="I1518" s="301"/>
      <c r="K1518" s="266"/>
      <c r="L1518" s="265"/>
      <c r="M1518" s="267"/>
      <c r="N1518" s="4"/>
      <c r="O1518" s="4"/>
    </row>
    <row r="1519" spans="1:15" x14ac:dyDescent="0.2">
      <c r="A1519" s="256"/>
      <c r="B1519" s="265"/>
      <c r="C1519" s="303"/>
      <c r="D1519" s="301"/>
      <c r="E1519" s="302"/>
      <c r="F1519" s="301"/>
      <c r="G1519" s="301"/>
      <c r="H1519" s="301"/>
      <c r="I1519" s="301"/>
      <c r="K1519" s="266"/>
      <c r="L1519" s="265"/>
      <c r="M1519" s="267"/>
      <c r="N1519" s="4"/>
      <c r="O1519" s="4"/>
    </row>
    <row r="1520" spans="1:15" x14ac:dyDescent="0.2">
      <c r="A1520" s="256"/>
      <c r="B1520" s="265"/>
      <c r="C1520" s="303"/>
      <c r="D1520" s="301"/>
      <c r="E1520" s="302"/>
      <c r="F1520" s="301"/>
      <c r="G1520" s="301"/>
      <c r="H1520" s="301"/>
      <c r="I1520" s="301"/>
      <c r="K1520" s="266"/>
      <c r="L1520" s="265"/>
      <c r="M1520" s="267"/>
      <c r="N1520" s="4"/>
      <c r="O1520" s="4"/>
    </row>
    <row r="1521" spans="1:15" x14ac:dyDescent="0.2">
      <c r="A1521" s="256"/>
      <c r="B1521" s="265"/>
      <c r="C1521" s="303"/>
      <c r="D1521" s="301"/>
      <c r="E1521" s="302"/>
      <c r="F1521" s="301"/>
      <c r="G1521" s="301"/>
      <c r="H1521" s="301"/>
      <c r="I1521" s="301"/>
      <c r="K1521" s="266"/>
      <c r="L1521" s="265"/>
      <c r="M1521" s="267"/>
      <c r="N1521" s="4"/>
      <c r="O1521" s="4"/>
    </row>
    <row r="1522" spans="1:15" x14ac:dyDescent="0.2">
      <c r="A1522" s="256"/>
      <c r="B1522" s="265"/>
      <c r="C1522" s="303"/>
      <c r="D1522" s="301"/>
      <c r="E1522" s="302"/>
      <c r="F1522" s="301"/>
      <c r="G1522" s="301"/>
      <c r="H1522" s="301"/>
      <c r="I1522" s="301"/>
      <c r="K1522" s="266"/>
      <c r="L1522" s="265"/>
      <c r="M1522" s="267"/>
      <c r="N1522" s="4"/>
      <c r="O1522" s="4"/>
    </row>
    <row r="1523" spans="1:15" x14ac:dyDescent="0.2">
      <c r="A1523" s="256"/>
      <c r="B1523" s="265"/>
      <c r="C1523" s="303"/>
      <c r="D1523" s="301"/>
      <c r="E1523" s="302"/>
      <c r="F1523" s="301"/>
      <c r="G1523" s="301"/>
      <c r="H1523" s="301"/>
      <c r="I1523" s="301"/>
      <c r="K1523" s="266"/>
      <c r="L1523" s="265"/>
      <c r="M1523" s="267"/>
      <c r="N1523" s="4"/>
      <c r="O1523" s="4"/>
    </row>
    <row r="1524" spans="1:15" x14ac:dyDescent="0.2">
      <c r="A1524" s="256"/>
      <c r="B1524" s="265"/>
      <c r="C1524" s="303"/>
      <c r="D1524" s="301"/>
      <c r="E1524" s="302"/>
      <c r="F1524" s="301"/>
      <c r="G1524" s="301"/>
      <c r="H1524" s="301"/>
      <c r="I1524" s="301"/>
      <c r="K1524" s="266"/>
      <c r="L1524" s="265"/>
      <c r="M1524" s="267"/>
      <c r="N1524" s="4"/>
      <c r="O1524" s="4"/>
    </row>
    <row r="1525" spans="1:15" x14ac:dyDescent="0.2">
      <c r="A1525" s="256"/>
      <c r="B1525" s="265"/>
      <c r="C1525" s="303"/>
      <c r="D1525" s="301"/>
      <c r="E1525" s="302"/>
      <c r="F1525" s="301"/>
      <c r="G1525" s="301"/>
      <c r="H1525" s="301"/>
      <c r="I1525" s="301"/>
      <c r="K1525" s="266"/>
      <c r="L1525" s="265"/>
      <c r="M1525" s="267"/>
      <c r="N1525" s="4"/>
      <c r="O1525" s="4"/>
    </row>
    <row r="1526" spans="1:15" x14ac:dyDescent="0.2">
      <c r="A1526" s="256"/>
      <c r="B1526" s="265"/>
      <c r="C1526" s="303"/>
      <c r="D1526" s="301"/>
      <c r="E1526" s="302"/>
      <c r="F1526" s="301"/>
      <c r="G1526" s="301"/>
      <c r="H1526" s="301"/>
      <c r="I1526" s="301"/>
      <c r="K1526" s="266"/>
      <c r="L1526" s="265"/>
      <c r="M1526" s="267"/>
      <c r="N1526" s="4"/>
      <c r="O1526" s="4"/>
    </row>
    <row r="1527" spans="1:15" x14ac:dyDescent="0.2">
      <c r="A1527" s="256"/>
      <c r="B1527" s="265"/>
      <c r="C1527" s="303"/>
      <c r="D1527" s="301"/>
      <c r="E1527" s="302"/>
      <c r="F1527" s="301"/>
      <c r="G1527" s="301"/>
      <c r="H1527" s="301"/>
      <c r="I1527" s="301"/>
      <c r="K1527" s="266"/>
      <c r="L1527" s="265"/>
      <c r="M1527" s="267"/>
      <c r="N1527" s="4"/>
      <c r="O1527" s="4"/>
    </row>
    <row r="1528" spans="1:15" x14ac:dyDescent="0.2">
      <c r="A1528" s="256"/>
      <c r="B1528" s="265"/>
      <c r="C1528" s="303"/>
      <c r="D1528" s="301"/>
      <c r="E1528" s="302"/>
      <c r="F1528" s="301"/>
      <c r="G1528" s="301"/>
      <c r="H1528" s="301"/>
      <c r="I1528" s="301"/>
      <c r="K1528" s="266"/>
      <c r="L1528" s="265"/>
      <c r="M1528" s="267"/>
      <c r="N1528" s="4"/>
      <c r="O1528" s="4"/>
    </row>
    <row r="1529" spans="1:15" x14ac:dyDescent="0.2">
      <c r="A1529" s="256"/>
      <c r="B1529" s="265"/>
      <c r="C1529" s="303"/>
      <c r="D1529" s="301"/>
      <c r="E1529" s="302"/>
      <c r="F1529" s="301"/>
      <c r="G1529" s="301"/>
      <c r="H1529" s="301"/>
      <c r="I1529" s="301"/>
      <c r="K1529" s="266"/>
      <c r="L1529" s="265"/>
      <c r="M1529" s="267"/>
      <c r="N1529" s="4"/>
      <c r="O1529" s="4"/>
    </row>
    <row r="1530" spans="1:15" x14ac:dyDescent="0.2">
      <c r="A1530" s="256"/>
      <c r="B1530" s="265"/>
      <c r="C1530" s="303"/>
      <c r="D1530" s="301"/>
      <c r="E1530" s="302"/>
      <c r="F1530" s="301"/>
      <c r="G1530" s="301"/>
      <c r="H1530" s="301"/>
      <c r="I1530" s="301"/>
      <c r="K1530" s="266"/>
      <c r="L1530" s="265"/>
      <c r="M1530" s="267"/>
      <c r="N1530" s="4"/>
      <c r="O1530" s="4"/>
    </row>
    <row r="1531" spans="1:15" x14ac:dyDescent="0.2">
      <c r="A1531" s="256"/>
      <c r="B1531" s="265"/>
      <c r="C1531" s="303"/>
      <c r="D1531" s="301"/>
      <c r="E1531" s="302"/>
      <c r="F1531" s="301"/>
      <c r="G1531" s="301"/>
      <c r="H1531" s="301"/>
      <c r="I1531" s="301"/>
      <c r="K1531" s="266"/>
      <c r="L1531" s="265"/>
      <c r="M1531" s="267"/>
      <c r="N1531" s="4"/>
      <c r="O1531" s="4"/>
    </row>
    <row r="1532" spans="1:15" x14ac:dyDescent="0.2">
      <c r="A1532" s="256"/>
      <c r="B1532" s="265"/>
      <c r="C1532" s="303"/>
      <c r="D1532" s="301"/>
      <c r="E1532" s="302"/>
      <c r="F1532" s="301"/>
      <c r="G1532" s="301"/>
      <c r="H1532" s="301"/>
      <c r="I1532" s="301"/>
      <c r="K1532" s="266"/>
      <c r="L1532" s="265"/>
      <c r="M1532" s="267"/>
      <c r="N1532" s="4"/>
      <c r="O1532" s="4"/>
    </row>
    <row r="1533" spans="1:15" x14ac:dyDescent="0.2">
      <c r="A1533" s="256"/>
      <c r="B1533" s="265"/>
      <c r="C1533" s="303"/>
      <c r="D1533" s="301"/>
      <c r="E1533" s="302"/>
      <c r="F1533" s="301"/>
      <c r="G1533" s="301"/>
      <c r="H1533" s="301"/>
      <c r="I1533" s="301"/>
      <c r="K1533" s="266"/>
      <c r="L1533" s="265"/>
      <c r="M1533" s="267"/>
      <c r="N1533" s="4"/>
      <c r="O1533" s="4"/>
    </row>
    <row r="1534" spans="1:15" x14ac:dyDescent="0.2">
      <c r="A1534" s="256"/>
      <c r="B1534" s="265"/>
      <c r="C1534" s="303"/>
      <c r="D1534" s="301"/>
      <c r="E1534" s="302"/>
      <c r="F1534" s="301"/>
      <c r="G1534" s="301"/>
      <c r="H1534" s="301"/>
      <c r="I1534" s="301"/>
      <c r="K1534" s="266"/>
      <c r="L1534" s="265"/>
      <c r="M1534" s="267"/>
      <c r="N1534" s="4"/>
      <c r="O1534" s="4"/>
    </row>
    <row r="1535" spans="1:15" x14ac:dyDescent="0.2">
      <c r="A1535" s="256"/>
      <c r="B1535" s="265"/>
      <c r="C1535" s="303"/>
      <c r="D1535" s="301"/>
      <c r="E1535" s="302"/>
      <c r="F1535" s="301"/>
      <c r="G1535" s="301"/>
      <c r="H1535" s="301"/>
      <c r="I1535" s="301"/>
      <c r="K1535" s="266"/>
      <c r="L1535" s="265"/>
      <c r="M1535" s="267"/>
      <c r="N1535" s="4"/>
      <c r="O1535" s="4"/>
    </row>
    <row r="1536" spans="1:15" x14ac:dyDescent="0.2">
      <c r="A1536" s="256"/>
      <c r="B1536" s="265"/>
      <c r="C1536" s="303"/>
      <c r="D1536" s="301"/>
      <c r="E1536" s="302"/>
      <c r="F1536" s="301"/>
      <c r="G1536" s="301"/>
      <c r="H1536" s="301"/>
      <c r="I1536" s="301"/>
      <c r="K1536" s="266"/>
      <c r="L1536" s="265"/>
      <c r="M1536" s="267"/>
      <c r="N1536" s="4"/>
      <c r="O1536" s="4"/>
    </row>
    <row r="1537" spans="1:15" x14ac:dyDescent="0.2">
      <c r="A1537" s="256"/>
      <c r="B1537" s="265"/>
      <c r="C1537" s="303"/>
      <c r="D1537" s="301"/>
      <c r="E1537" s="302"/>
      <c r="F1537" s="301"/>
      <c r="G1537" s="301"/>
      <c r="H1537" s="301"/>
      <c r="I1537" s="301"/>
      <c r="K1537" s="266"/>
      <c r="L1537" s="265"/>
      <c r="M1537" s="267"/>
      <c r="N1537" s="4"/>
      <c r="O1537" s="4"/>
    </row>
    <row r="1538" spans="1:15" x14ac:dyDescent="0.2">
      <c r="A1538" s="256"/>
      <c r="B1538" s="265"/>
      <c r="C1538" s="303"/>
      <c r="D1538" s="301"/>
      <c r="E1538" s="302"/>
      <c r="F1538" s="301"/>
      <c r="G1538" s="301"/>
      <c r="H1538" s="301"/>
      <c r="I1538" s="301"/>
      <c r="K1538" s="266"/>
      <c r="L1538" s="265"/>
      <c r="M1538" s="267"/>
      <c r="N1538" s="4"/>
      <c r="O1538" s="4"/>
    </row>
    <row r="1539" spans="1:15" x14ac:dyDescent="0.2">
      <c r="A1539" s="256"/>
      <c r="B1539" s="265"/>
      <c r="C1539" s="303"/>
      <c r="D1539" s="301"/>
      <c r="E1539" s="302"/>
      <c r="F1539" s="301"/>
      <c r="G1539" s="301"/>
      <c r="H1539" s="301"/>
      <c r="I1539" s="301"/>
      <c r="K1539" s="266"/>
      <c r="L1539" s="265"/>
      <c r="M1539" s="267"/>
      <c r="N1539" s="4"/>
      <c r="O1539" s="4"/>
    </row>
    <row r="1540" spans="1:15" x14ac:dyDescent="0.2">
      <c r="A1540" s="256"/>
      <c r="B1540" s="265"/>
      <c r="C1540" s="303"/>
      <c r="D1540" s="301"/>
      <c r="E1540" s="302"/>
      <c r="F1540" s="301"/>
      <c r="G1540" s="301"/>
      <c r="H1540" s="301"/>
      <c r="I1540" s="301"/>
      <c r="K1540" s="266"/>
      <c r="L1540" s="265"/>
      <c r="M1540" s="267"/>
      <c r="N1540" s="4"/>
      <c r="O1540" s="4"/>
    </row>
    <row r="1541" spans="1:15" x14ac:dyDescent="0.2">
      <c r="A1541" s="256"/>
      <c r="B1541" s="265"/>
      <c r="C1541" s="303"/>
      <c r="D1541" s="301"/>
      <c r="E1541" s="302"/>
      <c r="F1541" s="301"/>
      <c r="G1541" s="301"/>
      <c r="H1541" s="301"/>
      <c r="I1541" s="301"/>
      <c r="K1541" s="266"/>
      <c r="L1541" s="265"/>
      <c r="M1541" s="267"/>
      <c r="N1541" s="4"/>
      <c r="O1541" s="4"/>
    </row>
    <row r="1542" spans="1:15" x14ac:dyDescent="0.2">
      <c r="A1542" s="256"/>
      <c r="B1542" s="265"/>
      <c r="C1542" s="303"/>
      <c r="D1542" s="301"/>
      <c r="E1542" s="302"/>
      <c r="F1542" s="301"/>
      <c r="G1542" s="301"/>
      <c r="H1542" s="301"/>
      <c r="I1542" s="301"/>
      <c r="K1542" s="266"/>
      <c r="L1542" s="265"/>
      <c r="M1542" s="267"/>
      <c r="N1542" s="4"/>
      <c r="O1542" s="4"/>
    </row>
    <row r="1543" spans="1:15" x14ac:dyDescent="0.2">
      <c r="A1543" s="256"/>
      <c r="B1543" s="265"/>
      <c r="C1543" s="303"/>
      <c r="D1543" s="301"/>
      <c r="E1543" s="302"/>
      <c r="F1543" s="301"/>
      <c r="G1543" s="301"/>
      <c r="H1543" s="301"/>
      <c r="I1543" s="301"/>
      <c r="K1543" s="266"/>
      <c r="L1543" s="265"/>
      <c r="M1543" s="267"/>
      <c r="N1543" s="4"/>
      <c r="O1543" s="4"/>
    </row>
    <row r="1544" spans="1:15" x14ac:dyDescent="0.2">
      <c r="A1544" s="256"/>
      <c r="B1544" s="265"/>
      <c r="C1544" s="303"/>
      <c r="D1544" s="301"/>
      <c r="E1544" s="302"/>
      <c r="F1544" s="301"/>
      <c r="G1544" s="301"/>
      <c r="H1544" s="301"/>
      <c r="I1544" s="301"/>
      <c r="K1544" s="266"/>
      <c r="L1544" s="265"/>
      <c r="M1544" s="267"/>
      <c r="N1544" s="4"/>
      <c r="O1544" s="4"/>
    </row>
    <row r="1545" spans="1:15" x14ac:dyDescent="0.2">
      <c r="A1545" s="256"/>
      <c r="B1545" s="265"/>
      <c r="C1545" s="303"/>
      <c r="D1545" s="301"/>
      <c r="E1545" s="302"/>
      <c r="F1545" s="301"/>
      <c r="G1545" s="301"/>
      <c r="H1545" s="301"/>
      <c r="I1545" s="301"/>
      <c r="K1545" s="266"/>
      <c r="L1545" s="265"/>
      <c r="M1545" s="267"/>
      <c r="N1545" s="4"/>
      <c r="O1545" s="4"/>
    </row>
    <row r="1546" spans="1:15" x14ac:dyDescent="0.2">
      <c r="A1546" s="256"/>
      <c r="B1546" s="265"/>
      <c r="C1546" s="303"/>
      <c r="D1546" s="301"/>
      <c r="E1546" s="302"/>
      <c r="F1546" s="301"/>
      <c r="G1546" s="301"/>
      <c r="H1546" s="301"/>
      <c r="I1546" s="301"/>
      <c r="K1546" s="266"/>
      <c r="L1546" s="265"/>
      <c r="M1546" s="267"/>
      <c r="N1546" s="4"/>
      <c r="O1546" s="4"/>
    </row>
    <row r="1547" spans="1:15" x14ac:dyDescent="0.2">
      <c r="A1547" s="256"/>
      <c r="B1547" s="265"/>
      <c r="C1547" s="303"/>
      <c r="D1547" s="301"/>
      <c r="E1547" s="302"/>
      <c r="F1547" s="301"/>
      <c r="G1547" s="301"/>
      <c r="H1547" s="301"/>
      <c r="I1547" s="301"/>
      <c r="K1547" s="266"/>
      <c r="L1547" s="265"/>
      <c r="M1547" s="267"/>
      <c r="N1547" s="4"/>
      <c r="O1547" s="4"/>
    </row>
    <row r="1548" spans="1:15" x14ac:dyDescent="0.2">
      <c r="A1548" s="256"/>
      <c r="B1548" s="265"/>
      <c r="C1548" s="303"/>
      <c r="D1548" s="301"/>
      <c r="E1548" s="302"/>
      <c r="F1548" s="301"/>
      <c r="G1548" s="301"/>
      <c r="H1548" s="301"/>
      <c r="I1548" s="301"/>
      <c r="K1548" s="266"/>
      <c r="L1548" s="265"/>
      <c r="M1548" s="267"/>
      <c r="N1548" s="4"/>
      <c r="O1548" s="4"/>
    </row>
    <row r="1549" spans="1:15" x14ac:dyDescent="0.2">
      <c r="A1549" s="256"/>
      <c r="B1549" s="265"/>
      <c r="C1549" s="303"/>
      <c r="D1549" s="301"/>
      <c r="E1549" s="302"/>
      <c r="F1549" s="301"/>
      <c r="G1549" s="301"/>
      <c r="H1549" s="301"/>
      <c r="I1549" s="301"/>
      <c r="K1549" s="266"/>
      <c r="L1549" s="265"/>
      <c r="M1549" s="267"/>
      <c r="N1549" s="4"/>
      <c r="O1549" s="4"/>
    </row>
    <row r="1550" spans="1:15" x14ac:dyDescent="0.2">
      <c r="A1550" s="256"/>
      <c r="B1550" s="265"/>
      <c r="C1550" s="303"/>
      <c r="D1550" s="301"/>
      <c r="E1550" s="302"/>
      <c r="F1550" s="301"/>
      <c r="G1550" s="301"/>
      <c r="H1550" s="301"/>
      <c r="I1550" s="301"/>
      <c r="K1550" s="266"/>
      <c r="L1550" s="265"/>
      <c r="M1550" s="267"/>
      <c r="N1550" s="4"/>
      <c r="O1550" s="4"/>
    </row>
    <row r="1551" spans="1:15" x14ac:dyDescent="0.2">
      <c r="A1551" s="256"/>
      <c r="B1551" s="265"/>
      <c r="C1551" s="303"/>
      <c r="D1551" s="301"/>
      <c r="E1551" s="302"/>
      <c r="F1551" s="301"/>
      <c r="G1551" s="301"/>
      <c r="H1551" s="301"/>
      <c r="I1551" s="301"/>
      <c r="K1551" s="266"/>
      <c r="L1551" s="265"/>
      <c r="M1551" s="267"/>
      <c r="N1551" s="4"/>
      <c r="O1551" s="4"/>
    </row>
    <row r="1552" spans="1:15" x14ac:dyDescent="0.2">
      <c r="A1552" s="256"/>
      <c r="B1552" s="265"/>
      <c r="C1552" s="303"/>
      <c r="D1552" s="301"/>
      <c r="E1552" s="302"/>
      <c r="F1552" s="301"/>
      <c r="G1552" s="301"/>
      <c r="H1552" s="301"/>
      <c r="I1552" s="301"/>
      <c r="K1552" s="266"/>
      <c r="L1552" s="265"/>
      <c r="M1552" s="267"/>
      <c r="N1552" s="4"/>
      <c r="O1552" s="4"/>
    </row>
    <row r="1553" spans="1:15" x14ac:dyDescent="0.2">
      <c r="A1553" s="256"/>
      <c r="B1553" s="265"/>
      <c r="C1553" s="303"/>
      <c r="D1553" s="301"/>
      <c r="E1553" s="302"/>
      <c r="F1553" s="301"/>
      <c r="G1553" s="301"/>
      <c r="H1553" s="301"/>
      <c r="I1553" s="301"/>
      <c r="K1553" s="266"/>
      <c r="L1553" s="265"/>
      <c r="M1553" s="267"/>
      <c r="N1553" s="4"/>
      <c r="O1553" s="4"/>
    </row>
    <row r="1554" spans="1:15" x14ac:dyDescent="0.2">
      <c r="A1554" s="256"/>
      <c r="B1554" s="265"/>
      <c r="C1554" s="303"/>
      <c r="D1554" s="301"/>
      <c r="E1554" s="302"/>
      <c r="F1554" s="301"/>
      <c r="G1554" s="301"/>
      <c r="H1554" s="301"/>
      <c r="I1554" s="301"/>
      <c r="K1554" s="266"/>
      <c r="L1554" s="265"/>
      <c r="M1554" s="267"/>
      <c r="N1554" s="4"/>
      <c r="O1554" s="4"/>
    </row>
    <row r="1555" spans="1:15" x14ac:dyDescent="0.2">
      <c r="A1555" s="256"/>
      <c r="B1555" s="265"/>
      <c r="C1555" s="303"/>
      <c r="D1555" s="301"/>
      <c r="E1555" s="302"/>
      <c r="F1555" s="301"/>
      <c r="G1555" s="301"/>
      <c r="H1555" s="301"/>
      <c r="I1555" s="301"/>
      <c r="K1555" s="266"/>
      <c r="L1555" s="265"/>
      <c r="M1555" s="267"/>
      <c r="N1555" s="4"/>
      <c r="O1555" s="4"/>
    </row>
    <row r="1556" spans="1:15" x14ac:dyDescent="0.2">
      <c r="A1556" s="256"/>
      <c r="B1556" s="265"/>
      <c r="C1556" s="303"/>
      <c r="D1556" s="301"/>
      <c r="E1556" s="302"/>
      <c r="F1556" s="301"/>
      <c r="G1556" s="301"/>
      <c r="H1556" s="301"/>
      <c r="I1556" s="301"/>
      <c r="K1556" s="266"/>
      <c r="L1556" s="265"/>
      <c r="M1556" s="267"/>
      <c r="N1556" s="4"/>
      <c r="O1556" s="4"/>
    </row>
    <row r="1557" spans="1:15" x14ac:dyDescent="0.2">
      <c r="A1557" s="256"/>
      <c r="B1557" s="265"/>
      <c r="C1557" s="303"/>
      <c r="D1557" s="301"/>
      <c r="E1557" s="302"/>
      <c r="F1557" s="301"/>
      <c r="G1557" s="301"/>
      <c r="H1557" s="301"/>
      <c r="I1557" s="301"/>
      <c r="K1557" s="266"/>
      <c r="L1557" s="265"/>
      <c r="M1557" s="267"/>
      <c r="N1557" s="4"/>
      <c r="O1557" s="4"/>
    </row>
    <row r="1558" spans="1:15" x14ac:dyDescent="0.2">
      <c r="A1558" s="256"/>
      <c r="B1558" s="265"/>
      <c r="C1558" s="303"/>
      <c r="D1558" s="301"/>
      <c r="E1558" s="302"/>
      <c r="F1558" s="301"/>
      <c r="G1558" s="301"/>
      <c r="H1558" s="301"/>
      <c r="I1558" s="301"/>
      <c r="K1558" s="266"/>
      <c r="L1558" s="265"/>
      <c r="M1558" s="267"/>
      <c r="N1558" s="4"/>
      <c r="O1558" s="4"/>
    </row>
    <row r="1559" spans="1:15" x14ac:dyDescent="0.2">
      <c r="A1559" s="256"/>
      <c r="B1559" s="265"/>
      <c r="C1559" s="303"/>
      <c r="D1559" s="301"/>
      <c r="E1559" s="302"/>
      <c r="F1559" s="301"/>
      <c r="G1559" s="301"/>
      <c r="H1559" s="301"/>
      <c r="I1559" s="301"/>
      <c r="K1559" s="266"/>
      <c r="L1559" s="265"/>
      <c r="M1559" s="267"/>
      <c r="N1559" s="4"/>
      <c r="O1559" s="4"/>
    </row>
    <row r="1560" spans="1:15" x14ac:dyDescent="0.2">
      <c r="A1560" s="256"/>
      <c r="B1560" s="265"/>
      <c r="C1560" s="303"/>
      <c r="D1560" s="301"/>
      <c r="E1560" s="302"/>
      <c r="F1560" s="301"/>
      <c r="G1560" s="301"/>
      <c r="H1560" s="301"/>
      <c r="I1560" s="301"/>
      <c r="K1560" s="266"/>
      <c r="L1560" s="265"/>
      <c r="M1560" s="267"/>
      <c r="N1560" s="4"/>
      <c r="O1560" s="4"/>
    </row>
    <row r="1561" spans="1:15" x14ac:dyDescent="0.2">
      <c r="A1561" s="256"/>
      <c r="B1561" s="265"/>
      <c r="C1561" s="303"/>
      <c r="D1561" s="301"/>
      <c r="E1561" s="302"/>
      <c r="F1561" s="301"/>
      <c r="G1561" s="301"/>
      <c r="H1561" s="301"/>
      <c r="I1561" s="301"/>
      <c r="K1561" s="266"/>
      <c r="L1561" s="265"/>
      <c r="M1561" s="267"/>
      <c r="N1561" s="4"/>
      <c r="O1561" s="4"/>
    </row>
    <row r="1562" spans="1:15" x14ac:dyDescent="0.2">
      <c r="A1562" s="256"/>
      <c r="B1562" s="265"/>
      <c r="C1562" s="303"/>
      <c r="D1562" s="301"/>
      <c r="E1562" s="302"/>
      <c r="F1562" s="301"/>
      <c r="G1562" s="301"/>
      <c r="H1562" s="301"/>
      <c r="I1562" s="301"/>
      <c r="K1562" s="266"/>
      <c r="L1562" s="265"/>
      <c r="M1562" s="267"/>
      <c r="N1562" s="4"/>
      <c r="O1562" s="4"/>
    </row>
    <row r="1563" spans="1:15" x14ac:dyDescent="0.2">
      <c r="A1563" s="256"/>
      <c r="B1563" s="265"/>
      <c r="C1563" s="303"/>
      <c r="D1563" s="301"/>
      <c r="E1563" s="302"/>
      <c r="F1563" s="301"/>
      <c r="G1563" s="301"/>
      <c r="H1563" s="301"/>
      <c r="I1563" s="301"/>
      <c r="K1563" s="266"/>
      <c r="L1563" s="265"/>
      <c r="M1563" s="267"/>
      <c r="N1563" s="4"/>
      <c r="O1563" s="4"/>
    </row>
    <row r="1564" spans="1:15" x14ac:dyDescent="0.2">
      <c r="A1564" s="256"/>
      <c r="B1564" s="265"/>
      <c r="C1564" s="303"/>
      <c r="D1564" s="301"/>
      <c r="E1564" s="302"/>
      <c r="F1564" s="301"/>
      <c r="G1564" s="301"/>
      <c r="H1564" s="301"/>
      <c r="I1564" s="301"/>
      <c r="K1564" s="266"/>
      <c r="L1564" s="265"/>
      <c r="M1564" s="267"/>
      <c r="N1564" s="4"/>
      <c r="O1564" s="4"/>
    </row>
    <row r="1565" spans="1:15" x14ac:dyDescent="0.2">
      <c r="A1565" s="256"/>
      <c r="B1565" s="265"/>
      <c r="C1565" s="303"/>
      <c r="D1565" s="301"/>
      <c r="E1565" s="302"/>
      <c r="F1565" s="301"/>
      <c r="G1565" s="301"/>
      <c r="H1565" s="301"/>
      <c r="I1565" s="301"/>
      <c r="K1565" s="266"/>
      <c r="L1565" s="265"/>
      <c r="M1565" s="267"/>
      <c r="N1565" s="4"/>
      <c r="O1565" s="4"/>
    </row>
    <row r="1566" spans="1:15" x14ac:dyDescent="0.2">
      <c r="A1566" s="256"/>
      <c r="B1566" s="265"/>
      <c r="C1566" s="303"/>
      <c r="D1566" s="301"/>
      <c r="E1566" s="302"/>
      <c r="F1566" s="301"/>
      <c r="G1566" s="301"/>
      <c r="H1566" s="301"/>
      <c r="I1566" s="301"/>
      <c r="K1566" s="266"/>
      <c r="L1566" s="265"/>
      <c r="M1566" s="267"/>
      <c r="N1566" s="4"/>
      <c r="O1566" s="4"/>
    </row>
    <row r="1567" spans="1:15" x14ac:dyDescent="0.2">
      <c r="A1567" s="256"/>
      <c r="B1567" s="265"/>
      <c r="C1567" s="303"/>
      <c r="D1567" s="301"/>
      <c r="E1567" s="302"/>
      <c r="F1567" s="301"/>
      <c r="G1567" s="301"/>
      <c r="H1567" s="301"/>
      <c r="I1567" s="301"/>
      <c r="K1567" s="266"/>
      <c r="L1567" s="265"/>
      <c r="M1567" s="267"/>
      <c r="N1567" s="4"/>
      <c r="O1567" s="4"/>
    </row>
    <row r="1568" spans="1:15" x14ac:dyDescent="0.2">
      <c r="A1568" s="256"/>
      <c r="B1568" s="265"/>
      <c r="C1568" s="303"/>
      <c r="D1568" s="301"/>
      <c r="E1568" s="302"/>
      <c r="F1568" s="301"/>
      <c r="G1568" s="301"/>
      <c r="H1568" s="301"/>
      <c r="I1568" s="301"/>
      <c r="K1568" s="266"/>
      <c r="L1568" s="265"/>
      <c r="M1568" s="267"/>
      <c r="N1568" s="4"/>
      <c r="O1568" s="4"/>
    </row>
    <row r="1569" spans="1:15" x14ac:dyDescent="0.2">
      <c r="A1569" s="256"/>
      <c r="B1569" s="265"/>
      <c r="C1569" s="303"/>
      <c r="D1569" s="301"/>
      <c r="E1569" s="302"/>
      <c r="F1569" s="301"/>
      <c r="G1569" s="301"/>
      <c r="H1569" s="301"/>
      <c r="I1569" s="301"/>
      <c r="K1569" s="266"/>
      <c r="L1569" s="265"/>
      <c r="M1569" s="267"/>
      <c r="N1569" s="4"/>
      <c r="O1569" s="4"/>
    </row>
    <row r="1570" spans="1:15" x14ac:dyDescent="0.2">
      <c r="A1570" s="256"/>
      <c r="B1570" s="265"/>
      <c r="C1570" s="303"/>
      <c r="D1570" s="301"/>
      <c r="E1570" s="302"/>
      <c r="F1570" s="301"/>
      <c r="G1570" s="301"/>
      <c r="H1570" s="301"/>
      <c r="I1570" s="301"/>
      <c r="K1570" s="266"/>
      <c r="L1570" s="265"/>
      <c r="M1570" s="267"/>
      <c r="N1570" s="4"/>
      <c r="O1570" s="4"/>
    </row>
    <row r="1571" spans="1:15" x14ac:dyDescent="0.2">
      <c r="A1571" s="256"/>
      <c r="B1571" s="265"/>
      <c r="C1571" s="303"/>
      <c r="D1571" s="301"/>
      <c r="E1571" s="302"/>
      <c r="F1571" s="301"/>
      <c r="G1571" s="301"/>
      <c r="H1571" s="301"/>
      <c r="I1571" s="301"/>
      <c r="K1571" s="266"/>
      <c r="L1571" s="265"/>
      <c r="M1571" s="267"/>
      <c r="N1571" s="4"/>
      <c r="O1571" s="4"/>
    </row>
    <row r="1572" spans="1:15" x14ac:dyDescent="0.2">
      <c r="A1572" s="256"/>
      <c r="B1572" s="265"/>
      <c r="C1572" s="303"/>
      <c r="D1572" s="301"/>
      <c r="E1572" s="302"/>
      <c r="F1572" s="301"/>
      <c r="G1572" s="301"/>
      <c r="H1572" s="301"/>
      <c r="I1572" s="301"/>
      <c r="K1572" s="266"/>
      <c r="L1572" s="265"/>
      <c r="M1572" s="267"/>
      <c r="N1572" s="4"/>
      <c r="O1572" s="4"/>
    </row>
    <row r="1573" spans="1:15" x14ac:dyDescent="0.2">
      <c r="A1573" s="256"/>
      <c r="B1573" s="265"/>
      <c r="C1573" s="303"/>
      <c r="D1573" s="301"/>
      <c r="E1573" s="302"/>
      <c r="F1573" s="301"/>
      <c r="G1573" s="301"/>
      <c r="H1573" s="301"/>
      <c r="I1573" s="301"/>
      <c r="K1573" s="266"/>
      <c r="L1573" s="265"/>
      <c r="M1573" s="267"/>
      <c r="N1573" s="4"/>
      <c r="O1573" s="4"/>
    </row>
    <row r="1574" spans="1:15" x14ac:dyDescent="0.2">
      <c r="A1574" s="256"/>
      <c r="B1574" s="265"/>
      <c r="C1574" s="303"/>
      <c r="D1574" s="301"/>
      <c r="E1574" s="302"/>
      <c r="F1574" s="301"/>
      <c r="G1574" s="301"/>
      <c r="H1574" s="301"/>
      <c r="I1574" s="301"/>
      <c r="K1574" s="266"/>
      <c r="L1574" s="265"/>
      <c r="M1574" s="267"/>
      <c r="N1574" s="4"/>
      <c r="O1574" s="4"/>
    </row>
    <row r="1575" spans="1:15" x14ac:dyDescent="0.2">
      <c r="A1575" s="256"/>
      <c r="B1575" s="265"/>
      <c r="C1575" s="303"/>
      <c r="D1575" s="301"/>
      <c r="E1575" s="302"/>
      <c r="F1575" s="301"/>
      <c r="G1575" s="301"/>
      <c r="H1575" s="301"/>
      <c r="I1575" s="301"/>
      <c r="K1575" s="266"/>
      <c r="L1575" s="265"/>
      <c r="M1575" s="267"/>
      <c r="N1575" s="4"/>
      <c r="O1575" s="4"/>
    </row>
    <row r="1576" spans="1:15" x14ac:dyDescent="0.2">
      <c r="A1576" s="256"/>
      <c r="B1576" s="265"/>
      <c r="C1576" s="303"/>
      <c r="D1576" s="301"/>
      <c r="E1576" s="302"/>
      <c r="F1576" s="301"/>
      <c r="G1576" s="301"/>
      <c r="H1576" s="301"/>
      <c r="I1576" s="301"/>
      <c r="K1576" s="266"/>
      <c r="L1576" s="265"/>
      <c r="M1576" s="267"/>
      <c r="N1576" s="4"/>
      <c r="O1576" s="4"/>
    </row>
    <row r="1577" spans="1:15" x14ac:dyDescent="0.2">
      <c r="A1577" s="256"/>
      <c r="B1577" s="265"/>
      <c r="C1577" s="303"/>
      <c r="D1577" s="301"/>
      <c r="E1577" s="302"/>
      <c r="F1577" s="301"/>
      <c r="G1577" s="301"/>
      <c r="H1577" s="301"/>
      <c r="I1577" s="301"/>
      <c r="K1577" s="266"/>
      <c r="L1577" s="265"/>
      <c r="M1577" s="267"/>
      <c r="N1577" s="4"/>
      <c r="O1577" s="4"/>
    </row>
    <row r="1578" spans="1:15" x14ac:dyDescent="0.2">
      <c r="A1578" s="256"/>
      <c r="B1578" s="265"/>
      <c r="C1578" s="303"/>
      <c r="D1578" s="301"/>
      <c r="E1578" s="302"/>
      <c r="F1578" s="301"/>
      <c r="G1578" s="301"/>
      <c r="H1578" s="301"/>
      <c r="I1578" s="301"/>
      <c r="K1578" s="266"/>
      <c r="L1578" s="265"/>
      <c r="M1578" s="267"/>
      <c r="N1578" s="4"/>
      <c r="O1578" s="4"/>
    </row>
    <row r="1579" spans="1:15" x14ac:dyDescent="0.2">
      <c r="A1579" s="256"/>
      <c r="B1579" s="265"/>
      <c r="C1579" s="303"/>
      <c r="D1579" s="301"/>
      <c r="E1579" s="302"/>
      <c r="F1579" s="301"/>
      <c r="G1579" s="301"/>
      <c r="H1579" s="301"/>
      <c r="I1579" s="301"/>
      <c r="K1579" s="266"/>
      <c r="L1579" s="265"/>
      <c r="M1579" s="267"/>
      <c r="N1579" s="4"/>
      <c r="O1579" s="4"/>
    </row>
    <row r="1580" spans="1:15" x14ac:dyDescent="0.2">
      <c r="A1580" s="256"/>
      <c r="B1580" s="265"/>
      <c r="C1580" s="303"/>
      <c r="D1580" s="301"/>
      <c r="E1580" s="302"/>
      <c r="F1580" s="301"/>
      <c r="G1580" s="301"/>
      <c r="H1580" s="301"/>
      <c r="I1580" s="301"/>
      <c r="K1580" s="266"/>
      <c r="L1580" s="265"/>
      <c r="M1580" s="267"/>
      <c r="N1580" s="4"/>
      <c r="O1580" s="4"/>
    </row>
    <row r="1581" spans="1:15" x14ac:dyDescent="0.2">
      <c r="A1581" s="256"/>
      <c r="B1581" s="265"/>
      <c r="C1581" s="303"/>
      <c r="D1581" s="301"/>
      <c r="E1581" s="302"/>
      <c r="F1581" s="301"/>
      <c r="G1581" s="301"/>
      <c r="H1581" s="301"/>
      <c r="I1581" s="301"/>
      <c r="K1581" s="266"/>
      <c r="L1581" s="265"/>
      <c r="M1581" s="267"/>
      <c r="N1581" s="4"/>
      <c r="O1581" s="4"/>
    </row>
    <row r="1582" spans="1:15" x14ac:dyDescent="0.2">
      <c r="A1582" s="256"/>
      <c r="B1582" s="265"/>
      <c r="C1582" s="303"/>
      <c r="D1582" s="301"/>
      <c r="E1582" s="302"/>
      <c r="F1582" s="301"/>
      <c r="G1582" s="301"/>
      <c r="H1582" s="301"/>
      <c r="I1582" s="301"/>
      <c r="K1582" s="266"/>
      <c r="L1582" s="265"/>
      <c r="M1582" s="267"/>
      <c r="N1582" s="4"/>
      <c r="O1582" s="4"/>
    </row>
    <row r="1583" spans="1:15" x14ac:dyDescent="0.2">
      <c r="A1583" s="256"/>
      <c r="B1583" s="265"/>
      <c r="C1583" s="303"/>
      <c r="D1583" s="301"/>
      <c r="E1583" s="302"/>
      <c r="F1583" s="301"/>
      <c r="G1583" s="301"/>
      <c r="H1583" s="301"/>
      <c r="I1583" s="301"/>
      <c r="K1583" s="266"/>
      <c r="L1583" s="265"/>
      <c r="M1583" s="267"/>
      <c r="N1583" s="4"/>
      <c r="O1583" s="4"/>
    </row>
    <row r="1584" spans="1:15" x14ac:dyDescent="0.2">
      <c r="A1584" s="256"/>
      <c r="B1584" s="265"/>
      <c r="C1584" s="303"/>
      <c r="D1584" s="301"/>
      <c r="E1584" s="302"/>
      <c r="F1584" s="301"/>
      <c r="G1584" s="301"/>
      <c r="H1584" s="301"/>
      <c r="I1584" s="301"/>
      <c r="K1584" s="266"/>
      <c r="L1584" s="265"/>
      <c r="M1584" s="267"/>
      <c r="N1584" s="4"/>
      <c r="O1584" s="4"/>
    </row>
    <row r="1585" spans="1:15" x14ac:dyDescent="0.2">
      <c r="A1585" s="256"/>
      <c r="B1585" s="265"/>
      <c r="C1585" s="303"/>
      <c r="D1585" s="301"/>
      <c r="E1585" s="302"/>
      <c r="F1585" s="301"/>
      <c r="G1585" s="301"/>
      <c r="H1585" s="301"/>
      <c r="I1585" s="301"/>
      <c r="K1585" s="266"/>
      <c r="L1585" s="265"/>
      <c r="M1585" s="267"/>
      <c r="N1585" s="4"/>
      <c r="O1585" s="4"/>
    </row>
    <row r="1586" spans="1:15" x14ac:dyDescent="0.2">
      <c r="A1586" s="256"/>
      <c r="B1586" s="265"/>
      <c r="C1586" s="303"/>
      <c r="D1586" s="301"/>
      <c r="E1586" s="302"/>
      <c r="F1586" s="301"/>
      <c r="G1586" s="301"/>
      <c r="H1586" s="301"/>
      <c r="I1586" s="301"/>
      <c r="K1586" s="266"/>
      <c r="L1586" s="265"/>
      <c r="M1586" s="267"/>
      <c r="N1586" s="4"/>
      <c r="O1586" s="4"/>
    </row>
    <row r="1587" spans="1:15" x14ac:dyDescent="0.2">
      <c r="A1587" s="256"/>
      <c r="B1587" s="265"/>
      <c r="C1587" s="303"/>
      <c r="D1587" s="301"/>
      <c r="E1587" s="302"/>
      <c r="F1587" s="301"/>
      <c r="G1587" s="301"/>
      <c r="H1587" s="301"/>
      <c r="I1587" s="301"/>
      <c r="K1587" s="266"/>
      <c r="L1587" s="265"/>
      <c r="M1587" s="267"/>
      <c r="N1587" s="4"/>
      <c r="O1587" s="4"/>
    </row>
    <row r="1588" spans="1:15" x14ac:dyDescent="0.2">
      <c r="A1588" s="256"/>
      <c r="B1588" s="265"/>
      <c r="C1588" s="303"/>
      <c r="D1588" s="301"/>
      <c r="E1588" s="302"/>
      <c r="F1588" s="301"/>
      <c r="G1588" s="301"/>
      <c r="H1588" s="301"/>
      <c r="I1588" s="301"/>
      <c r="K1588" s="266"/>
      <c r="L1588" s="265"/>
      <c r="M1588" s="267"/>
      <c r="N1588" s="4"/>
      <c r="O1588" s="4"/>
    </row>
    <row r="1589" spans="1:15" x14ac:dyDescent="0.2">
      <c r="A1589" s="256"/>
      <c r="B1589" s="265"/>
      <c r="C1589" s="303"/>
      <c r="D1589" s="301"/>
      <c r="E1589" s="302"/>
      <c r="F1589" s="301"/>
      <c r="G1589" s="301"/>
      <c r="H1589" s="301"/>
      <c r="I1589" s="301"/>
      <c r="K1589" s="266"/>
      <c r="L1589" s="265"/>
      <c r="M1589" s="267"/>
      <c r="N1589" s="4"/>
      <c r="O1589" s="4"/>
    </row>
    <row r="1590" spans="1:15" x14ac:dyDescent="0.2">
      <c r="A1590" s="256"/>
      <c r="B1590" s="265"/>
      <c r="C1590" s="303"/>
      <c r="D1590" s="301"/>
      <c r="E1590" s="302"/>
      <c r="F1590" s="301"/>
      <c r="G1590" s="301"/>
      <c r="H1590" s="301"/>
      <c r="I1590" s="301"/>
      <c r="K1590" s="266"/>
      <c r="L1590" s="265"/>
      <c r="M1590" s="267"/>
      <c r="N1590" s="4"/>
      <c r="O1590" s="4"/>
    </row>
    <row r="1591" spans="1:15" x14ac:dyDescent="0.2">
      <c r="A1591" s="256"/>
      <c r="B1591" s="265"/>
      <c r="C1591" s="303"/>
      <c r="D1591" s="301"/>
      <c r="E1591" s="302"/>
      <c r="F1591" s="301"/>
      <c r="G1591" s="301"/>
      <c r="H1591" s="301"/>
      <c r="I1591" s="301"/>
      <c r="K1591" s="266"/>
      <c r="L1591" s="265"/>
      <c r="M1591" s="267"/>
      <c r="N1591" s="4"/>
      <c r="O1591" s="4"/>
    </row>
    <row r="1592" spans="1:15" x14ac:dyDescent="0.2">
      <c r="A1592" s="256"/>
      <c r="B1592" s="265"/>
      <c r="C1592" s="303"/>
      <c r="D1592" s="301"/>
      <c r="E1592" s="302"/>
      <c r="F1592" s="301"/>
      <c r="G1592" s="301"/>
      <c r="H1592" s="301"/>
      <c r="I1592" s="301"/>
      <c r="K1592" s="266"/>
      <c r="L1592" s="265"/>
      <c r="M1592" s="267"/>
      <c r="N1592" s="4"/>
      <c r="O1592" s="4"/>
    </row>
    <row r="1593" spans="1:15" x14ac:dyDescent="0.2">
      <c r="A1593" s="256"/>
      <c r="B1593" s="265"/>
      <c r="C1593" s="303"/>
      <c r="D1593" s="301"/>
      <c r="E1593" s="302"/>
      <c r="F1593" s="301"/>
      <c r="G1593" s="301"/>
      <c r="H1593" s="301"/>
      <c r="I1593" s="301"/>
      <c r="K1593" s="266"/>
      <c r="L1593" s="265"/>
      <c r="M1593" s="267"/>
      <c r="N1593" s="4"/>
      <c r="O1593" s="4"/>
    </row>
    <row r="1594" spans="1:15" x14ac:dyDescent="0.2">
      <c r="A1594" s="256"/>
      <c r="B1594" s="265"/>
      <c r="C1594" s="303"/>
      <c r="D1594" s="301"/>
      <c r="E1594" s="302"/>
      <c r="F1594" s="301"/>
      <c r="G1594" s="301"/>
      <c r="H1594" s="301"/>
      <c r="I1594" s="301"/>
      <c r="K1594" s="266"/>
      <c r="L1594" s="265"/>
      <c r="M1594" s="267"/>
      <c r="N1594" s="4"/>
      <c r="O1594" s="4"/>
    </row>
    <row r="1595" spans="1:15" x14ac:dyDescent="0.2">
      <c r="A1595" s="256"/>
      <c r="B1595" s="265"/>
      <c r="C1595" s="303"/>
      <c r="D1595" s="301"/>
      <c r="E1595" s="302"/>
      <c r="F1595" s="301"/>
      <c r="G1595" s="301"/>
      <c r="H1595" s="301"/>
      <c r="I1595" s="301"/>
      <c r="K1595" s="266"/>
      <c r="L1595" s="265"/>
      <c r="M1595" s="267"/>
      <c r="N1595" s="4"/>
      <c r="O1595" s="4"/>
    </row>
    <row r="1596" spans="1:15" x14ac:dyDescent="0.2">
      <c r="A1596" s="256"/>
      <c r="B1596" s="265"/>
      <c r="C1596" s="303"/>
      <c r="D1596" s="301"/>
      <c r="E1596" s="302"/>
      <c r="F1596" s="301"/>
      <c r="G1596" s="301"/>
      <c r="H1596" s="301"/>
      <c r="I1596" s="301"/>
      <c r="K1596" s="266"/>
      <c r="L1596" s="265"/>
      <c r="M1596" s="267"/>
      <c r="N1596" s="4"/>
      <c r="O1596" s="4"/>
    </row>
    <row r="1597" spans="1:15" x14ac:dyDescent="0.2">
      <c r="A1597" s="256"/>
      <c r="B1597" s="265"/>
      <c r="C1597" s="303"/>
      <c r="D1597" s="301"/>
      <c r="E1597" s="302"/>
      <c r="F1597" s="301"/>
      <c r="G1597" s="301"/>
      <c r="H1597" s="301"/>
      <c r="I1597" s="301"/>
      <c r="K1597" s="266"/>
      <c r="L1597" s="265"/>
      <c r="M1597" s="267"/>
      <c r="N1597" s="4"/>
      <c r="O1597" s="4"/>
    </row>
    <row r="1598" spans="1:15" x14ac:dyDescent="0.2">
      <c r="A1598" s="256"/>
      <c r="B1598" s="265"/>
      <c r="C1598" s="303"/>
      <c r="D1598" s="301"/>
      <c r="E1598" s="302"/>
      <c r="F1598" s="301"/>
      <c r="G1598" s="301"/>
      <c r="H1598" s="301"/>
      <c r="I1598" s="301"/>
      <c r="K1598" s="266"/>
      <c r="L1598" s="265"/>
      <c r="M1598" s="267"/>
      <c r="N1598" s="4"/>
      <c r="O1598" s="4"/>
    </row>
    <row r="1599" spans="1:15" x14ac:dyDescent="0.2">
      <c r="A1599" s="256"/>
      <c r="B1599" s="265"/>
      <c r="C1599" s="303"/>
      <c r="D1599" s="301"/>
      <c r="E1599" s="302"/>
      <c r="F1599" s="301"/>
      <c r="G1599" s="301"/>
      <c r="H1599" s="301"/>
      <c r="I1599" s="301"/>
      <c r="K1599" s="266"/>
      <c r="L1599" s="265"/>
      <c r="M1599" s="267"/>
      <c r="N1599" s="4"/>
      <c r="O1599" s="4"/>
    </row>
    <row r="1600" spans="1:15" x14ac:dyDescent="0.2">
      <c r="A1600" s="256"/>
      <c r="B1600" s="265"/>
      <c r="C1600" s="303"/>
      <c r="D1600" s="301"/>
      <c r="E1600" s="302"/>
      <c r="F1600" s="301"/>
      <c r="G1600" s="301"/>
      <c r="H1600" s="301"/>
      <c r="I1600" s="301"/>
      <c r="K1600" s="266"/>
      <c r="L1600" s="265"/>
      <c r="M1600" s="267"/>
      <c r="N1600" s="4"/>
      <c r="O1600" s="4"/>
    </row>
    <row r="1601" spans="1:15" x14ac:dyDescent="0.2">
      <c r="A1601" s="256"/>
      <c r="B1601" s="265"/>
      <c r="C1601" s="303"/>
      <c r="D1601" s="301"/>
      <c r="E1601" s="302"/>
      <c r="F1601" s="301"/>
      <c r="G1601" s="301"/>
      <c r="H1601" s="301"/>
      <c r="I1601" s="301"/>
      <c r="K1601" s="266"/>
      <c r="L1601" s="265"/>
      <c r="M1601" s="267"/>
      <c r="N1601" s="4"/>
      <c r="O1601" s="4"/>
    </row>
    <row r="1602" spans="1:15" x14ac:dyDescent="0.2">
      <c r="A1602" s="256"/>
      <c r="B1602" s="265"/>
      <c r="C1602" s="303"/>
      <c r="D1602" s="301"/>
      <c r="E1602" s="302"/>
      <c r="F1602" s="301"/>
      <c r="G1602" s="301"/>
      <c r="H1602" s="301"/>
      <c r="I1602" s="301"/>
      <c r="K1602" s="266"/>
      <c r="L1602" s="265"/>
      <c r="M1602" s="267"/>
      <c r="N1602" s="4"/>
      <c r="O1602" s="4"/>
    </row>
    <row r="1603" spans="1:15" x14ac:dyDescent="0.2">
      <c r="A1603" s="256"/>
      <c r="B1603" s="265"/>
      <c r="C1603" s="303"/>
      <c r="D1603" s="301"/>
      <c r="E1603" s="302"/>
      <c r="F1603" s="301"/>
      <c r="G1603" s="301"/>
      <c r="H1603" s="301"/>
      <c r="I1603" s="301"/>
      <c r="K1603" s="266"/>
      <c r="L1603" s="265"/>
      <c r="M1603" s="267"/>
      <c r="N1603" s="4"/>
      <c r="O1603" s="4"/>
    </row>
    <row r="1604" spans="1:15" x14ac:dyDescent="0.2">
      <c r="A1604" s="256"/>
      <c r="B1604" s="265"/>
      <c r="C1604" s="303"/>
      <c r="D1604" s="301"/>
      <c r="E1604" s="302"/>
      <c r="F1604" s="301"/>
      <c r="G1604" s="301"/>
      <c r="H1604" s="301"/>
      <c r="I1604" s="301"/>
      <c r="K1604" s="266"/>
      <c r="L1604" s="265"/>
      <c r="M1604" s="267"/>
      <c r="N1604" s="4"/>
      <c r="O1604" s="4"/>
    </row>
    <row r="1605" spans="1:15" x14ac:dyDescent="0.2">
      <c r="A1605" s="256"/>
      <c r="B1605" s="265"/>
      <c r="C1605" s="303"/>
      <c r="D1605" s="301"/>
      <c r="E1605" s="302"/>
      <c r="F1605" s="301"/>
      <c r="G1605" s="301"/>
      <c r="H1605" s="301"/>
      <c r="I1605" s="301"/>
      <c r="K1605" s="266"/>
      <c r="L1605" s="265"/>
      <c r="M1605" s="267"/>
      <c r="N1605" s="4"/>
      <c r="O1605" s="4"/>
    </row>
    <row r="1606" spans="1:15" x14ac:dyDescent="0.2">
      <c r="A1606" s="256"/>
      <c r="B1606" s="265"/>
      <c r="C1606" s="303"/>
      <c r="D1606" s="301"/>
      <c r="E1606" s="302"/>
      <c r="F1606" s="301"/>
      <c r="G1606" s="301"/>
      <c r="H1606" s="301"/>
      <c r="I1606" s="301"/>
      <c r="K1606" s="266"/>
      <c r="L1606" s="265"/>
      <c r="M1606" s="267"/>
      <c r="N1606" s="4"/>
      <c r="O1606" s="4"/>
    </row>
    <row r="1607" spans="1:15" x14ac:dyDescent="0.2">
      <c r="A1607" s="256"/>
      <c r="B1607" s="265"/>
      <c r="C1607" s="303"/>
      <c r="D1607" s="301"/>
      <c r="E1607" s="302"/>
      <c r="F1607" s="301"/>
      <c r="G1607" s="301"/>
      <c r="H1607" s="301"/>
      <c r="I1607" s="301"/>
      <c r="K1607" s="266"/>
      <c r="L1607" s="265"/>
      <c r="M1607" s="267"/>
      <c r="N1607" s="4"/>
      <c r="O1607" s="4"/>
    </row>
    <row r="1608" spans="1:15" x14ac:dyDescent="0.2">
      <c r="A1608" s="256"/>
      <c r="B1608" s="265"/>
      <c r="C1608" s="303"/>
      <c r="D1608" s="301"/>
      <c r="E1608" s="302"/>
      <c r="F1608" s="301"/>
      <c r="G1608" s="301"/>
      <c r="H1608" s="301"/>
      <c r="I1608" s="301"/>
      <c r="K1608" s="266"/>
      <c r="L1608" s="265"/>
      <c r="M1608" s="267"/>
      <c r="N1608" s="4"/>
      <c r="O1608" s="4"/>
    </row>
    <row r="1609" spans="1:15" x14ac:dyDescent="0.2">
      <c r="A1609" s="256"/>
      <c r="B1609" s="265"/>
      <c r="C1609" s="303"/>
      <c r="D1609" s="301"/>
      <c r="E1609" s="302"/>
      <c r="F1609" s="301"/>
      <c r="G1609" s="301"/>
      <c r="H1609" s="301"/>
      <c r="I1609" s="301"/>
      <c r="K1609" s="266"/>
      <c r="L1609" s="265"/>
      <c r="M1609" s="267"/>
      <c r="N1609" s="4"/>
      <c r="O1609" s="4"/>
    </row>
    <row r="1610" spans="1:15" x14ac:dyDescent="0.2">
      <c r="A1610" s="256"/>
      <c r="B1610" s="265"/>
      <c r="C1610" s="303"/>
      <c r="D1610" s="301"/>
      <c r="E1610" s="302"/>
      <c r="F1610" s="301"/>
      <c r="G1610" s="301"/>
      <c r="H1610" s="301"/>
      <c r="I1610" s="301"/>
      <c r="K1610" s="266"/>
      <c r="L1610" s="265"/>
      <c r="M1610" s="267"/>
      <c r="N1610" s="4"/>
      <c r="O1610" s="4"/>
    </row>
    <row r="1611" spans="1:15" x14ac:dyDescent="0.2">
      <c r="A1611" s="256"/>
      <c r="B1611" s="265"/>
      <c r="C1611" s="303"/>
      <c r="D1611" s="301"/>
      <c r="E1611" s="302"/>
      <c r="F1611" s="301"/>
      <c r="G1611" s="301"/>
      <c r="H1611" s="301"/>
      <c r="I1611" s="301"/>
      <c r="K1611" s="266"/>
      <c r="L1611" s="265"/>
      <c r="M1611" s="267"/>
      <c r="N1611" s="4"/>
      <c r="O1611" s="4"/>
    </row>
    <row r="1612" spans="1:15" x14ac:dyDescent="0.2">
      <c r="A1612" s="256"/>
      <c r="B1612" s="265"/>
      <c r="C1612" s="303"/>
      <c r="D1612" s="301"/>
      <c r="E1612" s="302"/>
      <c r="F1612" s="301"/>
      <c r="G1612" s="301"/>
      <c r="H1612" s="301"/>
      <c r="I1612" s="301"/>
      <c r="K1612" s="266"/>
      <c r="L1612" s="265"/>
      <c r="M1612" s="267"/>
      <c r="N1612" s="4"/>
      <c r="O1612" s="4"/>
    </row>
    <row r="1613" spans="1:15" x14ac:dyDescent="0.2">
      <c r="A1613" s="256"/>
      <c r="B1613" s="265"/>
      <c r="C1613" s="303"/>
      <c r="D1613" s="301"/>
      <c r="E1613" s="302"/>
      <c r="F1613" s="301"/>
      <c r="G1613" s="301"/>
      <c r="H1613" s="301"/>
      <c r="I1613" s="301"/>
      <c r="K1613" s="266"/>
      <c r="L1613" s="265"/>
      <c r="M1613" s="267"/>
      <c r="N1613" s="4"/>
      <c r="O1613" s="4"/>
    </row>
    <row r="1614" spans="1:15" x14ac:dyDescent="0.2">
      <c r="A1614" s="256"/>
      <c r="B1614" s="265"/>
      <c r="C1614" s="303"/>
      <c r="D1614" s="301"/>
      <c r="E1614" s="302"/>
      <c r="F1614" s="301"/>
      <c r="G1614" s="301"/>
      <c r="H1614" s="301"/>
      <c r="I1614" s="301"/>
      <c r="K1614" s="266"/>
      <c r="L1614" s="265"/>
      <c r="M1614" s="267"/>
      <c r="N1614" s="4"/>
      <c r="O1614" s="4"/>
    </row>
    <row r="1615" spans="1:15" x14ac:dyDescent="0.2">
      <c r="A1615" s="256"/>
      <c r="B1615" s="265"/>
      <c r="C1615" s="303"/>
      <c r="D1615" s="301"/>
      <c r="E1615" s="302"/>
      <c r="F1615" s="301"/>
      <c r="G1615" s="301"/>
      <c r="H1615" s="301"/>
      <c r="I1615" s="301"/>
      <c r="K1615" s="266"/>
      <c r="L1615" s="265"/>
      <c r="M1615" s="267"/>
      <c r="N1615" s="4"/>
      <c r="O1615" s="4"/>
    </row>
    <row r="1616" spans="1:15" x14ac:dyDescent="0.2">
      <c r="A1616" s="256"/>
      <c r="B1616" s="265"/>
      <c r="C1616" s="303"/>
      <c r="D1616" s="301"/>
      <c r="E1616" s="302"/>
      <c r="F1616" s="301"/>
      <c r="G1616" s="301"/>
      <c r="H1616" s="301"/>
      <c r="I1616" s="301"/>
      <c r="K1616" s="266"/>
      <c r="L1616" s="265"/>
      <c r="M1616" s="267"/>
      <c r="N1616" s="4"/>
      <c r="O1616" s="4"/>
    </row>
    <row r="1617" spans="1:15" x14ac:dyDescent="0.2">
      <c r="A1617" s="256"/>
      <c r="B1617" s="265"/>
      <c r="C1617" s="303"/>
      <c r="D1617" s="301"/>
      <c r="E1617" s="302"/>
      <c r="F1617" s="301"/>
      <c r="G1617" s="301"/>
      <c r="H1617" s="301"/>
      <c r="I1617" s="301"/>
      <c r="K1617" s="266"/>
      <c r="L1617" s="265"/>
      <c r="M1617" s="267"/>
      <c r="N1617" s="4"/>
      <c r="O1617" s="4"/>
    </row>
    <row r="1618" spans="1:15" x14ac:dyDescent="0.2">
      <c r="A1618" s="256"/>
      <c r="B1618" s="265"/>
      <c r="C1618" s="303"/>
      <c r="D1618" s="301"/>
      <c r="E1618" s="302"/>
      <c r="F1618" s="301"/>
      <c r="G1618" s="301"/>
      <c r="H1618" s="301"/>
      <c r="I1618" s="301"/>
      <c r="K1618" s="266"/>
      <c r="L1618" s="265"/>
      <c r="M1618" s="267"/>
      <c r="N1618" s="4"/>
      <c r="O1618" s="4"/>
    </row>
    <row r="1619" spans="1:15" x14ac:dyDescent="0.2">
      <c r="A1619" s="256"/>
      <c r="B1619" s="265"/>
      <c r="C1619" s="303"/>
      <c r="D1619" s="301"/>
      <c r="E1619" s="302"/>
      <c r="F1619" s="301"/>
      <c r="G1619" s="301"/>
      <c r="H1619" s="301"/>
      <c r="I1619" s="301"/>
      <c r="K1619" s="266"/>
      <c r="L1619" s="265"/>
      <c r="M1619" s="267"/>
      <c r="N1619" s="4"/>
      <c r="O1619" s="4"/>
    </row>
    <row r="1620" spans="1:15" x14ac:dyDescent="0.2">
      <c r="A1620" s="256"/>
      <c r="B1620" s="265"/>
      <c r="C1620" s="303"/>
      <c r="D1620" s="301"/>
      <c r="E1620" s="302"/>
      <c r="F1620" s="301"/>
      <c r="G1620" s="301"/>
      <c r="H1620" s="301"/>
      <c r="I1620" s="301"/>
      <c r="K1620" s="266"/>
      <c r="L1620" s="265"/>
      <c r="M1620" s="267"/>
      <c r="N1620" s="4"/>
      <c r="O1620" s="4"/>
    </row>
    <row r="1621" spans="1:15" x14ac:dyDescent="0.2">
      <c r="A1621" s="256"/>
      <c r="B1621" s="265"/>
      <c r="C1621" s="303"/>
      <c r="D1621" s="301"/>
      <c r="E1621" s="302"/>
      <c r="F1621" s="301"/>
      <c r="G1621" s="301"/>
      <c r="H1621" s="301"/>
      <c r="I1621" s="301"/>
      <c r="K1621" s="266"/>
      <c r="L1621" s="265"/>
      <c r="M1621" s="267"/>
      <c r="N1621" s="4"/>
      <c r="O1621" s="4"/>
    </row>
    <row r="1622" spans="1:15" x14ac:dyDescent="0.2">
      <c r="A1622" s="256"/>
      <c r="B1622" s="265"/>
      <c r="C1622" s="303"/>
      <c r="D1622" s="301"/>
      <c r="E1622" s="302"/>
      <c r="F1622" s="301"/>
      <c r="G1622" s="301"/>
      <c r="H1622" s="301"/>
      <c r="I1622" s="301"/>
      <c r="K1622" s="266"/>
      <c r="L1622" s="265"/>
      <c r="M1622" s="267"/>
      <c r="N1622" s="4"/>
      <c r="O1622" s="4"/>
    </row>
    <row r="1623" spans="1:15" x14ac:dyDescent="0.2">
      <c r="A1623" s="256"/>
      <c r="B1623" s="265"/>
      <c r="C1623" s="303"/>
      <c r="D1623" s="301"/>
      <c r="E1623" s="302"/>
      <c r="F1623" s="301"/>
      <c r="G1623" s="301"/>
      <c r="H1623" s="301"/>
      <c r="I1623" s="301"/>
      <c r="K1623" s="266"/>
      <c r="L1623" s="265"/>
      <c r="M1623" s="267"/>
      <c r="N1623" s="4"/>
      <c r="O1623" s="4"/>
    </row>
    <row r="1624" spans="1:15" x14ac:dyDescent="0.2">
      <c r="A1624" s="256"/>
      <c r="B1624" s="265"/>
      <c r="C1624" s="303"/>
      <c r="D1624" s="301"/>
      <c r="E1624" s="302"/>
      <c r="F1624" s="301"/>
      <c r="G1624" s="301"/>
      <c r="H1624" s="301"/>
      <c r="I1624" s="301"/>
      <c r="K1624" s="266"/>
      <c r="L1624" s="265"/>
      <c r="M1624" s="267"/>
      <c r="N1624" s="4"/>
      <c r="O1624" s="4"/>
    </row>
    <row r="1625" spans="1:15" x14ac:dyDescent="0.2">
      <c r="A1625" s="256"/>
      <c r="B1625" s="265"/>
      <c r="C1625" s="303"/>
      <c r="D1625" s="301"/>
      <c r="E1625" s="302"/>
      <c r="F1625" s="301"/>
      <c r="G1625" s="301"/>
      <c r="H1625" s="301"/>
      <c r="I1625" s="301"/>
      <c r="K1625" s="266"/>
      <c r="L1625" s="265"/>
      <c r="M1625" s="267"/>
      <c r="N1625" s="4"/>
      <c r="O1625" s="4"/>
    </row>
    <row r="1626" spans="1:15" x14ac:dyDescent="0.2">
      <c r="A1626" s="256"/>
      <c r="B1626" s="265"/>
      <c r="C1626" s="303"/>
      <c r="D1626" s="301"/>
      <c r="E1626" s="302"/>
      <c r="F1626" s="301"/>
      <c r="G1626" s="301"/>
      <c r="H1626" s="301"/>
      <c r="I1626" s="301"/>
      <c r="K1626" s="266"/>
      <c r="L1626" s="265"/>
      <c r="M1626" s="267"/>
      <c r="N1626" s="4"/>
      <c r="O1626" s="4"/>
    </row>
    <row r="1627" spans="1:15" x14ac:dyDescent="0.2">
      <c r="A1627" s="256"/>
      <c r="B1627" s="265"/>
      <c r="C1627" s="303"/>
      <c r="D1627" s="301"/>
      <c r="E1627" s="302"/>
      <c r="F1627" s="301"/>
      <c r="G1627" s="301"/>
      <c r="H1627" s="301"/>
      <c r="I1627" s="301"/>
      <c r="K1627" s="266"/>
      <c r="L1627" s="265"/>
      <c r="M1627" s="267"/>
      <c r="N1627" s="4"/>
      <c r="O1627" s="4"/>
    </row>
    <row r="1628" spans="1:15" x14ac:dyDescent="0.2">
      <c r="A1628" s="256"/>
      <c r="B1628" s="265"/>
      <c r="C1628" s="303"/>
      <c r="D1628" s="301"/>
      <c r="E1628" s="302"/>
      <c r="F1628" s="301"/>
      <c r="G1628" s="301"/>
      <c r="H1628" s="301"/>
      <c r="I1628" s="301"/>
      <c r="K1628" s="266"/>
      <c r="L1628" s="265"/>
      <c r="M1628" s="267"/>
      <c r="N1628" s="4"/>
      <c r="O1628" s="4"/>
    </row>
    <row r="1629" spans="1:15" x14ac:dyDescent="0.2">
      <c r="A1629" s="256"/>
      <c r="B1629" s="265"/>
      <c r="C1629" s="303"/>
      <c r="D1629" s="301"/>
      <c r="E1629" s="302"/>
      <c r="F1629" s="301"/>
      <c r="G1629" s="301"/>
      <c r="H1629" s="301"/>
      <c r="I1629" s="301"/>
      <c r="K1629" s="266"/>
      <c r="L1629" s="265"/>
      <c r="M1629" s="267"/>
      <c r="N1629" s="4"/>
      <c r="O1629" s="4"/>
    </row>
    <row r="1630" spans="1:15" x14ac:dyDescent="0.2">
      <c r="A1630" s="256"/>
      <c r="B1630" s="265"/>
      <c r="C1630" s="303"/>
      <c r="D1630" s="301"/>
      <c r="E1630" s="302"/>
      <c r="F1630" s="301"/>
      <c r="G1630" s="301"/>
      <c r="H1630" s="301"/>
      <c r="I1630" s="301"/>
      <c r="K1630" s="266"/>
      <c r="L1630" s="265"/>
      <c r="M1630" s="267"/>
      <c r="N1630" s="4"/>
      <c r="O1630" s="4"/>
    </row>
    <row r="1631" spans="1:15" x14ac:dyDescent="0.2">
      <c r="A1631" s="256"/>
      <c r="B1631" s="265"/>
      <c r="C1631" s="303"/>
      <c r="D1631" s="301"/>
      <c r="E1631" s="302"/>
      <c r="F1631" s="301"/>
      <c r="G1631" s="301"/>
      <c r="H1631" s="301"/>
      <c r="I1631" s="301"/>
      <c r="K1631" s="266"/>
      <c r="L1631" s="265"/>
      <c r="M1631" s="267"/>
      <c r="N1631" s="4"/>
      <c r="O1631" s="4"/>
    </row>
    <row r="1632" spans="1:15" x14ac:dyDescent="0.2">
      <c r="A1632" s="256"/>
      <c r="B1632" s="265"/>
      <c r="C1632" s="303"/>
      <c r="D1632" s="301"/>
      <c r="E1632" s="302"/>
      <c r="F1632" s="301"/>
      <c r="G1632" s="301"/>
      <c r="H1632" s="301"/>
      <c r="I1632" s="301"/>
      <c r="K1632" s="266"/>
      <c r="L1632" s="265"/>
      <c r="M1632" s="267"/>
      <c r="N1632" s="4"/>
      <c r="O1632" s="4"/>
    </row>
    <row r="1633" spans="1:15" x14ac:dyDescent="0.2">
      <c r="A1633" s="256"/>
      <c r="B1633" s="265"/>
      <c r="C1633" s="303"/>
      <c r="D1633" s="301"/>
      <c r="E1633" s="302"/>
      <c r="F1633" s="301"/>
      <c r="G1633" s="301"/>
      <c r="H1633" s="301"/>
      <c r="I1633" s="301"/>
      <c r="K1633" s="266"/>
      <c r="L1633" s="265"/>
      <c r="M1633" s="267"/>
      <c r="N1633" s="4"/>
      <c r="O1633" s="4"/>
    </row>
    <row r="1634" spans="1:15" x14ac:dyDescent="0.2">
      <c r="A1634" s="256"/>
      <c r="B1634" s="265"/>
      <c r="C1634" s="303"/>
      <c r="D1634" s="301"/>
      <c r="E1634" s="302"/>
      <c r="F1634" s="301"/>
      <c r="G1634" s="301"/>
      <c r="H1634" s="301"/>
      <c r="I1634" s="301"/>
      <c r="K1634" s="266"/>
      <c r="L1634" s="265"/>
      <c r="M1634" s="267"/>
      <c r="N1634" s="4"/>
      <c r="O1634" s="4"/>
    </row>
    <row r="1635" spans="1:15" x14ac:dyDescent="0.2">
      <c r="A1635" s="256"/>
      <c r="B1635" s="265"/>
      <c r="C1635" s="303"/>
      <c r="D1635" s="301"/>
      <c r="E1635" s="302"/>
      <c r="F1635" s="301"/>
      <c r="G1635" s="301"/>
      <c r="H1635" s="301"/>
      <c r="I1635" s="301"/>
      <c r="K1635" s="266"/>
      <c r="L1635" s="265"/>
      <c r="M1635" s="267"/>
      <c r="N1635" s="4"/>
      <c r="O1635" s="4"/>
    </row>
    <row r="1636" spans="1:15" x14ac:dyDescent="0.2">
      <c r="A1636" s="256"/>
      <c r="B1636" s="265"/>
      <c r="C1636" s="303"/>
      <c r="D1636" s="301"/>
      <c r="E1636" s="302"/>
      <c r="F1636" s="301"/>
      <c r="G1636" s="301"/>
      <c r="H1636" s="301"/>
      <c r="I1636" s="301"/>
      <c r="K1636" s="266"/>
      <c r="L1636" s="265"/>
      <c r="M1636" s="267"/>
      <c r="N1636" s="4"/>
      <c r="O1636" s="4"/>
    </row>
    <row r="1637" spans="1:15" x14ac:dyDescent="0.2">
      <c r="A1637" s="256"/>
      <c r="B1637" s="265"/>
      <c r="C1637" s="303"/>
      <c r="D1637" s="301"/>
      <c r="E1637" s="302"/>
      <c r="F1637" s="301"/>
      <c r="G1637" s="301"/>
      <c r="H1637" s="301"/>
      <c r="I1637" s="301"/>
      <c r="K1637" s="266"/>
      <c r="L1637" s="265"/>
      <c r="M1637" s="267"/>
      <c r="N1637" s="4"/>
      <c r="O1637" s="4"/>
    </row>
    <row r="1638" spans="1:15" x14ac:dyDescent="0.2">
      <c r="A1638" s="256"/>
      <c r="B1638" s="265"/>
      <c r="C1638" s="303"/>
      <c r="D1638" s="301"/>
      <c r="E1638" s="302"/>
      <c r="F1638" s="301"/>
      <c r="G1638" s="301"/>
      <c r="H1638" s="301"/>
      <c r="I1638" s="301"/>
      <c r="K1638" s="266"/>
      <c r="L1638" s="265"/>
      <c r="M1638" s="267"/>
      <c r="N1638" s="4"/>
      <c r="O1638" s="4"/>
    </row>
    <row r="1639" spans="1:15" x14ac:dyDescent="0.2">
      <c r="A1639" s="256"/>
      <c r="B1639" s="265"/>
      <c r="C1639" s="303"/>
      <c r="D1639" s="301"/>
      <c r="E1639" s="302"/>
      <c r="F1639" s="301"/>
      <c r="G1639" s="301"/>
      <c r="H1639" s="301"/>
      <c r="I1639" s="301"/>
      <c r="K1639" s="266"/>
      <c r="L1639" s="265"/>
      <c r="M1639" s="267"/>
      <c r="N1639" s="4"/>
      <c r="O1639" s="4"/>
    </row>
    <row r="1640" spans="1:15" x14ac:dyDescent="0.2">
      <c r="A1640" s="256"/>
      <c r="B1640" s="265"/>
      <c r="C1640" s="303"/>
      <c r="D1640" s="301"/>
      <c r="E1640" s="302"/>
      <c r="F1640" s="301"/>
      <c r="G1640" s="301"/>
      <c r="H1640" s="301"/>
      <c r="I1640" s="301"/>
      <c r="K1640" s="266"/>
      <c r="L1640" s="265"/>
      <c r="M1640" s="267"/>
      <c r="N1640" s="4"/>
      <c r="O1640" s="4"/>
    </row>
    <row r="1641" spans="1:15" x14ac:dyDescent="0.2">
      <c r="A1641" s="256"/>
      <c r="B1641" s="265"/>
      <c r="C1641" s="303"/>
      <c r="D1641" s="301"/>
      <c r="E1641" s="302"/>
      <c r="F1641" s="301"/>
      <c r="G1641" s="301"/>
      <c r="H1641" s="301"/>
      <c r="I1641" s="301"/>
      <c r="K1641" s="266"/>
      <c r="L1641" s="265"/>
      <c r="M1641" s="267"/>
      <c r="N1641" s="4"/>
      <c r="O1641" s="4"/>
    </row>
    <row r="1642" spans="1:15" x14ac:dyDescent="0.2">
      <c r="A1642" s="256"/>
      <c r="B1642" s="265"/>
      <c r="C1642" s="303"/>
      <c r="D1642" s="301"/>
      <c r="E1642" s="302"/>
      <c r="F1642" s="301"/>
      <c r="G1642" s="301"/>
      <c r="H1642" s="301"/>
      <c r="I1642" s="301"/>
      <c r="K1642" s="266"/>
      <c r="L1642" s="265"/>
      <c r="M1642" s="267"/>
      <c r="N1642" s="4"/>
      <c r="O1642" s="4"/>
    </row>
    <row r="1643" spans="1:15" x14ac:dyDescent="0.2">
      <c r="A1643" s="256"/>
      <c r="B1643" s="265"/>
      <c r="C1643" s="303"/>
      <c r="D1643" s="301"/>
      <c r="E1643" s="302"/>
      <c r="F1643" s="301"/>
      <c r="G1643" s="301"/>
      <c r="H1643" s="301"/>
      <c r="I1643" s="301"/>
      <c r="K1643" s="266"/>
      <c r="L1643" s="265"/>
      <c r="M1643" s="267"/>
      <c r="N1643" s="4"/>
      <c r="O1643" s="4"/>
    </row>
    <row r="1644" spans="1:15" x14ac:dyDescent="0.2">
      <c r="A1644" s="256"/>
      <c r="B1644" s="265"/>
      <c r="C1644" s="303"/>
      <c r="D1644" s="301"/>
      <c r="E1644" s="302"/>
      <c r="F1644" s="301"/>
      <c r="G1644" s="301"/>
      <c r="H1644" s="301"/>
      <c r="I1644" s="301"/>
      <c r="K1644" s="266"/>
      <c r="L1644" s="265"/>
      <c r="M1644" s="267"/>
      <c r="N1644" s="4"/>
      <c r="O1644" s="4"/>
    </row>
    <row r="1645" spans="1:15" x14ac:dyDescent="0.2">
      <c r="A1645" s="256"/>
      <c r="B1645" s="265"/>
      <c r="C1645" s="303"/>
      <c r="D1645" s="301"/>
      <c r="E1645" s="302"/>
      <c r="F1645" s="301"/>
      <c r="G1645" s="301"/>
      <c r="H1645" s="301"/>
      <c r="I1645" s="301"/>
      <c r="K1645" s="266"/>
      <c r="L1645" s="265"/>
      <c r="M1645" s="267"/>
      <c r="N1645" s="4"/>
      <c r="O1645" s="4"/>
    </row>
    <row r="1646" spans="1:15" x14ac:dyDescent="0.2">
      <c r="A1646" s="256"/>
      <c r="B1646" s="265"/>
      <c r="C1646" s="303"/>
      <c r="D1646" s="301"/>
      <c r="E1646" s="302"/>
      <c r="F1646" s="301"/>
      <c r="G1646" s="301"/>
      <c r="H1646" s="301"/>
      <c r="I1646" s="301"/>
      <c r="K1646" s="266"/>
      <c r="L1646" s="265"/>
      <c r="M1646" s="267"/>
      <c r="N1646" s="4"/>
      <c r="O1646" s="4"/>
    </row>
    <row r="1647" spans="1:15" x14ac:dyDescent="0.2">
      <c r="A1647" s="256"/>
      <c r="B1647" s="265"/>
      <c r="C1647" s="303"/>
      <c r="D1647" s="301"/>
      <c r="E1647" s="302"/>
      <c r="F1647" s="301"/>
      <c r="G1647" s="301"/>
      <c r="H1647" s="301"/>
      <c r="I1647" s="301"/>
      <c r="K1647" s="266"/>
      <c r="L1647" s="265"/>
      <c r="M1647" s="267"/>
      <c r="N1647" s="4"/>
      <c r="O1647" s="4"/>
    </row>
    <row r="1648" spans="1:15" x14ac:dyDescent="0.2">
      <c r="A1648" s="256"/>
      <c r="B1648" s="265"/>
      <c r="C1648" s="303"/>
      <c r="D1648" s="301"/>
      <c r="E1648" s="302"/>
      <c r="F1648" s="301"/>
      <c r="G1648" s="301"/>
      <c r="H1648" s="301"/>
      <c r="I1648" s="301"/>
      <c r="K1648" s="266"/>
      <c r="L1648" s="265"/>
      <c r="M1648" s="267"/>
      <c r="N1648" s="4"/>
      <c r="O1648" s="4"/>
    </row>
    <row r="1649" spans="1:15" x14ac:dyDescent="0.2">
      <c r="A1649" s="256"/>
      <c r="B1649" s="265"/>
      <c r="C1649" s="303"/>
      <c r="D1649" s="301"/>
      <c r="E1649" s="302"/>
      <c r="F1649" s="301"/>
      <c r="G1649" s="301"/>
      <c r="H1649" s="301"/>
      <c r="I1649" s="301"/>
      <c r="K1649" s="266"/>
      <c r="L1649" s="265"/>
      <c r="M1649" s="267"/>
      <c r="N1649" s="4"/>
      <c r="O1649" s="4"/>
    </row>
    <row r="1650" spans="1:15" x14ac:dyDescent="0.2">
      <c r="A1650" s="256"/>
      <c r="B1650" s="265"/>
      <c r="C1650" s="303"/>
      <c r="D1650" s="301"/>
      <c r="E1650" s="302"/>
      <c r="F1650" s="301"/>
      <c r="G1650" s="301"/>
      <c r="H1650" s="301"/>
      <c r="I1650" s="301"/>
      <c r="K1650" s="266"/>
      <c r="L1650" s="265"/>
      <c r="M1650" s="267"/>
      <c r="N1650" s="4"/>
      <c r="O1650" s="4"/>
    </row>
    <row r="1651" spans="1:15" x14ac:dyDescent="0.2">
      <c r="A1651" s="256"/>
      <c r="B1651" s="265"/>
      <c r="C1651" s="303"/>
      <c r="D1651" s="301"/>
      <c r="E1651" s="302"/>
      <c r="F1651" s="301"/>
      <c r="G1651" s="301"/>
      <c r="H1651" s="301"/>
      <c r="I1651" s="301"/>
      <c r="K1651" s="266"/>
      <c r="L1651" s="265"/>
      <c r="M1651" s="267"/>
      <c r="N1651" s="4"/>
      <c r="O1651" s="4"/>
    </row>
    <row r="1652" spans="1:15" x14ac:dyDescent="0.2">
      <c r="A1652" s="256"/>
      <c r="B1652" s="265"/>
      <c r="C1652" s="303"/>
      <c r="D1652" s="301"/>
      <c r="E1652" s="302"/>
      <c r="F1652" s="301"/>
      <c r="G1652" s="301"/>
      <c r="H1652" s="301"/>
      <c r="I1652" s="301"/>
      <c r="K1652" s="266"/>
      <c r="L1652" s="265"/>
      <c r="M1652" s="267"/>
      <c r="N1652" s="4"/>
      <c r="O1652" s="4"/>
    </row>
    <row r="1653" spans="1:15" x14ac:dyDescent="0.2">
      <c r="A1653" s="256"/>
      <c r="B1653" s="265"/>
      <c r="C1653" s="303"/>
      <c r="D1653" s="301"/>
      <c r="E1653" s="302"/>
      <c r="F1653" s="301"/>
      <c r="G1653" s="301"/>
      <c r="H1653" s="301"/>
      <c r="I1653" s="301"/>
      <c r="K1653" s="266"/>
      <c r="L1653" s="265"/>
      <c r="M1653" s="267"/>
      <c r="N1653" s="4"/>
      <c r="O1653" s="4"/>
    </row>
    <row r="1654" spans="1:15" x14ac:dyDescent="0.2">
      <c r="A1654" s="256"/>
      <c r="B1654" s="265"/>
      <c r="C1654" s="303"/>
      <c r="D1654" s="301"/>
      <c r="E1654" s="302"/>
      <c r="F1654" s="301"/>
      <c r="G1654" s="301"/>
      <c r="H1654" s="301"/>
      <c r="I1654" s="301"/>
      <c r="K1654" s="266"/>
      <c r="L1654" s="265"/>
      <c r="M1654" s="267"/>
      <c r="N1654" s="4"/>
      <c r="O1654" s="4"/>
    </row>
    <row r="1655" spans="1:15" x14ac:dyDescent="0.2">
      <c r="A1655" s="256"/>
      <c r="B1655" s="265"/>
      <c r="C1655" s="303"/>
      <c r="D1655" s="301"/>
      <c r="E1655" s="302"/>
      <c r="F1655" s="301"/>
      <c r="G1655" s="301"/>
      <c r="H1655" s="301"/>
      <c r="I1655" s="301"/>
      <c r="K1655" s="266"/>
      <c r="L1655" s="265"/>
      <c r="M1655" s="267"/>
      <c r="N1655" s="4"/>
      <c r="O1655" s="4"/>
    </row>
    <row r="1656" spans="1:15" x14ac:dyDescent="0.2">
      <c r="A1656" s="256"/>
      <c r="B1656" s="265"/>
      <c r="C1656" s="303"/>
      <c r="D1656" s="301"/>
      <c r="E1656" s="302"/>
      <c r="F1656" s="301"/>
      <c r="G1656" s="301"/>
      <c r="H1656" s="301"/>
      <c r="I1656" s="301"/>
      <c r="K1656" s="266"/>
      <c r="L1656" s="265"/>
      <c r="M1656" s="267"/>
      <c r="N1656" s="4"/>
      <c r="O1656" s="4"/>
    </row>
    <row r="1657" spans="1:15" x14ac:dyDescent="0.2">
      <c r="A1657" s="256"/>
      <c r="B1657" s="265"/>
      <c r="C1657" s="303"/>
      <c r="D1657" s="301"/>
      <c r="E1657" s="302"/>
      <c r="F1657" s="301"/>
      <c r="G1657" s="301"/>
      <c r="H1657" s="301"/>
      <c r="I1657" s="301"/>
      <c r="K1657" s="266"/>
      <c r="L1657" s="265"/>
      <c r="M1657" s="267"/>
      <c r="N1657" s="4"/>
      <c r="O1657" s="4"/>
    </row>
    <row r="1658" spans="1:15" x14ac:dyDescent="0.2">
      <c r="A1658" s="256"/>
      <c r="B1658" s="265"/>
      <c r="C1658" s="303"/>
      <c r="D1658" s="301"/>
      <c r="E1658" s="302"/>
      <c r="F1658" s="301"/>
      <c r="G1658" s="301"/>
      <c r="H1658" s="301"/>
      <c r="I1658" s="301"/>
      <c r="K1658" s="266"/>
      <c r="L1658" s="265"/>
      <c r="M1658" s="267"/>
      <c r="N1658" s="4"/>
      <c r="O1658" s="4"/>
    </row>
    <row r="1659" spans="1:15" x14ac:dyDescent="0.2">
      <c r="A1659" s="256"/>
      <c r="B1659" s="265"/>
      <c r="C1659" s="303"/>
      <c r="D1659" s="301"/>
      <c r="E1659" s="302"/>
      <c r="F1659" s="301"/>
      <c r="G1659" s="301"/>
      <c r="H1659" s="301"/>
      <c r="I1659" s="301"/>
      <c r="K1659" s="266"/>
      <c r="L1659" s="265"/>
      <c r="M1659" s="267"/>
      <c r="N1659" s="4"/>
      <c r="O1659" s="4"/>
    </row>
    <row r="1660" spans="1:15" x14ac:dyDescent="0.2">
      <c r="A1660" s="256"/>
      <c r="B1660" s="265"/>
      <c r="C1660" s="303"/>
      <c r="D1660" s="301"/>
      <c r="E1660" s="302"/>
      <c r="F1660" s="301"/>
      <c r="G1660" s="301"/>
      <c r="H1660" s="301"/>
      <c r="I1660" s="301"/>
      <c r="K1660" s="266"/>
      <c r="L1660" s="265"/>
      <c r="M1660" s="267"/>
      <c r="N1660" s="4"/>
      <c r="O1660" s="4"/>
    </row>
    <row r="1661" spans="1:15" x14ac:dyDescent="0.2">
      <c r="A1661" s="256"/>
      <c r="B1661" s="265"/>
      <c r="C1661" s="303"/>
      <c r="D1661" s="301"/>
      <c r="E1661" s="302"/>
      <c r="F1661" s="301"/>
      <c r="G1661" s="301"/>
      <c r="H1661" s="301"/>
      <c r="I1661" s="301"/>
      <c r="K1661" s="266"/>
      <c r="L1661" s="265"/>
      <c r="M1661" s="267"/>
      <c r="N1661" s="4"/>
      <c r="O1661" s="4"/>
    </row>
    <row r="1662" spans="1:15" x14ac:dyDescent="0.2">
      <c r="A1662" s="256"/>
      <c r="B1662" s="265"/>
      <c r="C1662" s="303"/>
      <c r="D1662" s="301"/>
      <c r="E1662" s="302"/>
      <c r="F1662" s="301"/>
      <c r="G1662" s="301"/>
      <c r="H1662" s="301"/>
      <c r="I1662" s="301"/>
      <c r="K1662" s="266"/>
      <c r="L1662" s="265"/>
      <c r="M1662" s="267"/>
      <c r="N1662" s="4"/>
      <c r="O1662" s="4"/>
    </row>
    <row r="1663" spans="1:15" x14ac:dyDescent="0.2">
      <c r="A1663" s="256"/>
      <c r="B1663" s="265"/>
      <c r="C1663" s="303"/>
      <c r="D1663" s="301"/>
      <c r="E1663" s="302"/>
      <c r="F1663" s="301"/>
      <c r="G1663" s="301"/>
      <c r="H1663" s="301"/>
      <c r="I1663" s="301"/>
      <c r="K1663" s="266"/>
      <c r="L1663" s="265"/>
      <c r="M1663" s="267"/>
      <c r="N1663" s="4"/>
      <c r="O1663" s="4"/>
    </row>
    <row r="1664" spans="1:15" x14ac:dyDescent="0.2">
      <c r="A1664" s="256"/>
      <c r="B1664" s="265"/>
      <c r="C1664" s="303"/>
      <c r="D1664" s="301"/>
      <c r="E1664" s="302"/>
      <c r="F1664" s="301"/>
      <c r="G1664" s="301"/>
      <c r="H1664" s="301"/>
      <c r="I1664" s="301"/>
      <c r="K1664" s="266"/>
      <c r="L1664" s="265"/>
      <c r="M1664" s="267"/>
      <c r="N1664" s="4"/>
      <c r="O1664" s="4"/>
    </row>
    <row r="1665" spans="1:15" x14ac:dyDescent="0.2">
      <c r="A1665" s="256"/>
      <c r="B1665" s="265"/>
      <c r="C1665" s="303"/>
      <c r="D1665" s="301"/>
      <c r="E1665" s="302"/>
      <c r="F1665" s="301"/>
      <c r="G1665" s="301"/>
      <c r="H1665" s="301"/>
      <c r="I1665" s="301"/>
      <c r="K1665" s="266"/>
      <c r="L1665" s="265"/>
      <c r="M1665" s="267"/>
      <c r="N1665" s="4"/>
      <c r="O1665" s="4"/>
    </row>
    <row r="1666" spans="1:15" x14ac:dyDescent="0.2">
      <c r="A1666" s="256"/>
      <c r="B1666" s="265"/>
      <c r="C1666" s="303"/>
      <c r="D1666" s="301"/>
      <c r="E1666" s="302"/>
      <c r="F1666" s="301"/>
      <c r="G1666" s="301"/>
      <c r="H1666" s="301"/>
      <c r="I1666" s="301"/>
      <c r="K1666" s="266"/>
      <c r="L1666" s="265"/>
      <c r="M1666" s="267"/>
      <c r="N1666" s="4"/>
      <c r="O1666" s="4"/>
    </row>
    <row r="1667" spans="1:15" x14ac:dyDescent="0.2">
      <c r="A1667" s="256"/>
      <c r="B1667" s="265"/>
      <c r="C1667" s="303"/>
      <c r="D1667" s="301"/>
      <c r="E1667" s="302"/>
      <c r="F1667" s="301"/>
      <c r="G1667" s="301"/>
      <c r="H1667" s="301"/>
      <c r="I1667" s="301"/>
      <c r="K1667" s="266"/>
      <c r="L1667" s="265"/>
      <c r="M1667" s="267"/>
      <c r="N1667" s="4"/>
      <c r="O1667" s="4"/>
    </row>
    <row r="1668" spans="1:15" x14ac:dyDescent="0.2">
      <c r="A1668" s="256"/>
      <c r="B1668" s="265"/>
      <c r="C1668" s="303"/>
      <c r="D1668" s="301"/>
      <c r="E1668" s="302"/>
      <c r="F1668" s="301"/>
      <c r="G1668" s="301"/>
      <c r="H1668" s="301"/>
      <c r="I1668" s="301"/>
      <c r="K1668" s="266"/>
      <c r="L1668" s="265"/>
      <c r="M1668" s="267"/>
      <c r="N1668" s="4"/>
      <c r="O1668" s="4"/>
    </row>
    <row r="1669" spans="1:15" x14ac:dyDescent="0.2">
      <c r="A1669" s="256"/>
      <c r="B1669" s="265"/>
      <c r="C1669" s="303"/>
      <c r="D1669" s="301"/>
      <c r="E1669" s="302"/>
      <c r="F1669" s="301"/>
      <c r="G1669" s="301"/>
      <c r="H1669" s="301"/>
      <c r="I1669" s="301"/>
      <c r="K1669" s="266"/>
      <c r="L1669" s="265"/>
      <c r="M1669" s="267"/>
      <c r="N1669" s="4"/>
      <c r="O1669" s="4"/>
    </row>
    <row r="1670" spans="1:15" x14ac:dyDescent="0.2">
      <c r="A1670" s="256"/>
      <c r="B1670" s="265"/>
      <c r="C1670" s="303"/>
      <c r="D1670" s="301"/>
      <c r="E1670" s="302"/>
      <c r="F1670" s="301"/>
      <c r="G1670" s="301"/>
      <c r="H1670" s="301"/>
      <c r="I1670" s="301"/>
      <c r="K1670" s="266"/>
      <c r="L1670" s="265"/>
      <c r="M1670" s="267"/>
      <c r="N1670" s="4"/>
      <c r="O1670" s="4"/>
    </row>
    <row r="1671" spans="1:15" x14ac:dyDescent="0.2">
      <c r="A1671" s="256"/>
      <c r="B1671" s="265"/>
      <c r="C1671" s="303"/>
      <c r="D1671" s="301"/>
      <c r="E1671" s="302"/>
      <c r="F1671" s="301"/>
      <c r="G1671" s="301"/>
      <c r="H1671" s="301"/>
      <c r="I1671" s="301"/>
      <c r="K1671" s="266"/>
      <c r="L1671" s="265"/>
      <c r="M1671" s="267"/>
      <c r="N1671" s="4"/>
      <c r="O1671" s="4"/>
    </row>
    <row r="1672" spans="1:15" x14ac:dyDescent="0.2">
      <c r="A1672" s="256"/>
      <c r="B1672" s="265"/>
      <c r="C1672" s="303"/>
      <c r="D1672" s="301"/>
      <c r="E1672" s="302"/>
      <c r="F1672" s="301"/>
      <c r="G1672" s="301"/>
      <c r="H1672" s="301"/>
      <c r="I1672" s="301"/>
      <c r="K1672" s="266"/>
      <c r="L1672" s="265"/>
      <c r="M1672" s="267"/>
      <c r="N1672" s="4"/>
      <c r="O1672" s="4"/>
    </row>
    <row r="1673" spans="1:15" x14ac:dyDescent="0.2">
      <c r="A1673" s="256"/>
      <c r="B1673" s="265"/>
      <c r="C1673" s="303"/>
      <c r="D1673" s="301"/>
      <c r="E1673" s="302"/>
      <c r="F1673" s="301"/>
      <c r="G1673" s="301"/>
      <c r="H1673" s="301"/>
      <c r="I1673" s="301"/>
      <c r="K1673" s="266"/>
      <c r="L1673" s="265"/>
      <c r="M1673" s="267"/>
      <c r="N1673" s="4"/>
      <c r="O1673" s="4"/>
    </row>
    <row r="1674" spans="1:15" x14ac:dyDescent="0.2">
      <c r="A1674" s="256"/>
      <c r="B1674" s="265"/>
      <c r="C1674" s="303"/>
      <c r="D1674" s="301"/>
      <c r="E1674" s="302"/>
      <c r="F1674" s="301"/>
      <c r="G1674" s="301"/>
      <c r="H1674" s="301"/>
      <c r="I1674" s="301"/>
      <c r="K1674" s="266"/>
      <c r="L1674" s="265"/>
      <c r="M1674" s="267"/>
      <c r="N1674" s="4"/>
      <c r="O1674" s="4"/>
    </row>
    <row r="1675" spans="1:15" x14ac:dyDescent="0.2">
      <c r="A1675" s="256"/>
      <c r="B1675" s="265"/>
      <c r="C1675" s="303"/>
      <c r="D1675" s="301"/>
      <c r="E1675" s="302"/>
      <c r="F1675" s="301"/>
      <c r="G1675" s="301"/>
      <c r="H1675" s="301"/>
      <c r="I1675" s="301"/>
      <c r="K1675" s="266"/>
      <c r="L1675" s="265"/>
      <c r="M1675" s="267"/>
      <c r="N1675" s="4"/>
      <c r="O1675" s="4"/>
    </row>
    <row r="1676" spans="1:15" x14ac:dyDescent="0.2">
      <c r="A1676" s="256"/>
      <c r="B1676" s="265"/>
      <c r="C1676" s="303"/>
      <c r="D1676" s="301"/>
      <c r="E1676" s="302"/>
      <c r="F1676" s="301"/>
      <c r="G1676" s="301"/>
      <c r="H1676" s="301"/>
      <c r="I1676" s="301"/>
      <c r="K1676" s="266"/>
      <c r="L1676" s="265"/>
      <c r="M1676" s="267"/>
      <c r="N1676" s="4"/>
      <c r="O1676" s="4"/>
    </row>
    <row r="1677" spans="1:15" x14ac:dyDescent="0.2">
      <c r="A1677" s="256"/>
      <c r="B1677" s="265"/>
      <c r="C1677" s="303"/>
      <c r="D1677" s="301"/>
      <c r="E1677" s="302"/>
      <c r="F1677" s="301"/>
      <c r="G1677" s="301"/>
      <c r="H1677" s="301"/>
      <c r="I1677" s="301"/>
      <c r="K1677" s="266"/>
      <c r="L1677" s="265"/>
      <c r="M1677" s="267"/>
      <c r="N1677" s="4"/>
      <c r="O1677" s="4"/>
    </row>
    <row r="1678" spans="1:15" x14ac:dyDescent="0.2">
      <c r="A1678" s="256"/>
      <c r="B1678" s="265"/>
      <c r="C1678" s="303"/>
      <c r="D1678" s="301"/>
      <c r="E1678" s="302"/>
      <c r="F1678" s="301"/>
      <c r="G1678" s="301"/>
      <c r="H1678" s="301"/>
      <c r="I1678" s="301"/>
      <c r="K1678" s="266"/>
      <c r="L1678" s="265"/>
      <c r="M1678" s="267"/>
      <c r="N1678" s="4"/>
      <c r="O1678" s="4"/>
    </row>
    <row r="1679" spans="1:15" x14ac:dyDescent="0.2">
      <c r="A1679" s="256"/>
      <c r="B1679" s="265"/>
      <c r="C1679" s="303"/>
      <c r="D1679" s="301"/>
      <c r="E1679" s="302"/>
      <c r="F1679" s="301"/>
      <c r="G1679" s="301"/>
      <c r="H1679" s="301"/>
      <c r="I1679" s="301"/>
      <c r="K1679" s="266"/>
      <c r="L1679" s="265"/>
      <c r="M1679" s="267"/>
      <c r="N1679" s="4"/>
      <c r="O1679" s="4"/>
    </row>
    <row r="1680" spans="1:15" x14ac:dyDescent="0.2">
      <c r="A1680" s="256"/>
      <c r="B1680" s="265"/>
      <c r="C1680" s="303"/>
      <c r="D1680" s="301"/>
      <c r="E1680" s="302"/>
      <c r="F1680" s="301"/>
      <c r="G1680" s="301"/>
      <c r="H1680" s="301"/>
      <c r="I1680" s="301"/>
      <c r="K1680" s="266"/>
      <c r="L1680" s="265"/>
      <c r="M1680" s="267"/>
      <c r="N1680" s="4"/>
      <c r="O1680" s="4"/>
    </row>
    <row r="1681" spans="1:15" x14ac:dyDescent="0.2">
      <c r="A1681" s="256"/>
      <c r="B1681" s="265"/>
      <c r="C1681" s="303"/>
      <c r="D1681" s="301"/>
      <c r="E1681" s="302"/>
      <c r="F1681" s="301"/>
      <c r="G1681" s="301"/>
      <c r="H1681" s="301"/>
      <c r="I1681" s="301"/>
      <c r="K1681" s="266"/>
      <c r="L1681" s="265"/>
      <c r="M1681" s="267"/>
      <c r="N1681" s="4"/>
      <c r="O1681" s="4"/>
    </row>
    <row r="1682" spans="1:15" x14ac:dyDescent="0.2">
      <c r="A1682" s="256"/>
      <c r="B1682" s="265"/>
      <c r="C1682" s="303"/>
      <c r="D1682" s="301"/>
      <c r="E1682" s="302"/>
      <c r="F1682" s="301"/>
      <c r="G1682" s="301"/>
      <c r="H1682" s="301"/>
      <c r="I1682" s="301"/>
      <c r="K1682" s="266"/>
      <c r="L1682" s="265"/>
      <c r="M1682" s="267"/>
      <c r="N1682" s="4"/>
      <c r="O1682" s="4"/>
    </row>
    <row r="1683" spans="1:15" x14ac:dyDescent="0.2">
      <c r="A1683" s="256"/>
      <c r="B1683" s="265"/>
      <c r="C1683" s="303"/>
      <c r="D1683" s="301"/>
      <c r="E1683" s="302"/>
      <c r="F1683" s="301"/>
      <c r="G1683" s="301"/>
      <c r="H1683" s="301"/>
      <c r="I1683" s="301"/>
      <c r="K1683" s="266"/>
      <c r="L1683" s="265"/>
      <c r="M1683" s="267"/>
      <c r="N1683" s="4"/>
      <c r="O1683" s="4"/>
    </row>
    <row r="1684" spans="1:15" x14ac:dyDescent="0.2">
      <c r="A1684" s="256"/>
      <c r="B1684" s="265"/>
      <c r="C1684" s="303"/>
      <c r="D1684" s="301"/>
      <c r="E1684" s="302"/>
      <c r="F1684" s="301"/>
      <c r="G1684" s="301"/>
      <c r="H1684" s="301"/>
      <c r="I1684" s="301"/>
      <c r="K1684" s="266"/>
      <c r="L1684" s="265"/>
      <c r="M1684" s="267"/>
      <c r="N1684" s="4"/>
      <c r="O1684" s="4"/>
    </row>
    <row r="1685" spans="1:15" x14ac:dyDescent="0.2">
      <c r="A1685" s="256"/>
      <c r="B1685" s="265"/>
      <c r="C1685" s="303"/>
      <c r="D1685" s="301"/>
      <c r="E1685" s="302"/>
      <c r="F1685" s="301"/>
      <c r="G1685" s="301"/>
      <c r="H1685" s="301"/>
      <c r="I1685" s="301"/>
      <c r="K1685" s="266"/>
      <c r="L1685" s="265"/>
      <c r="M1685" s="267"/>
      <c r="N1685" s="4"/>
      <c r="O1685" s="4"/>
    </row>
    <row r="1686" spans="1:15" x14ac:dyDescent="0.2">
      <c r="A1686" s="256"/>
      <c r="B1686" s="265"/>
      <c r="C1686" s="303"/>
      <c r="D1686" s="301"/>
      <c r="E1686" s="302"/>
      <c r="F1686" s="301"/>
      <c r="G1686" s="301"/>
      <c r="H1686" s="301"/>
      <c r="I1686" s="301"/>
      <c r="K1686" s="266"/>
      <c r="L1686" s="265"/>
      <c r="M1686" s="267"/>
      <c r="N1686" s="4"/>
      <c r="O1686" s="4"/>
    </row>
    <row r="1687" spans="1:15" x14ac:dyDescent="0.2">
      <c r="A1687" s="256"/>
      <c r="B1687" s="265"/>
      <c r="C1687" s="303"/>
      <c r="D1687" s="301"/>
      <c r="E1687" s="302"/>
      <c r="F1687" s="301"/>
      <c r="G1687" s="301"/>
      <c r="H1687" s="301"/>
      <c r="I1687" s="301"/>
      <c r="K1687" s="266"/>
      <c r="L1687" s="265"/>
      <c r="M1687" s="267"/>
      <c r="N1687" s="4"/>
      <c r="O1687" s="4"/>
    </row>
    <row r="1688" spans="1:15" x14ac:dyDescent="0.2">
      <c r="A1688" s="256"/>
      <c r="B1688" s="265"/>
      <c r="C1688" s="303"/>
      <c r="D1688" s="301"/>
      <c r="E1688" s="302"/>
      <c r="F1688" s="301"/>
      <c r="G1688" s="301"/>
      <c r="H1688" s="301"/>
      <c r="I1688" s="301"/>
      <c r="K1688" s="266"/>
      <c r="L1688" s="265"/>
      <c r="M1688" s="267"/>
      <c r="N1688" s="4"/>
      <c r="O1688" s="4"/>
    </row>
    <row r="1689" spans="1:15" x14ac:dyDescent="0.2">
      <c r="A1689" s="256"/>
      <c r="B1689" s="265"/>
      <c r="C1689" s="303"/>
      <c r="D1689" s="301"/>
      <c r="E1689" s="302"/>
      <c r="F1689" s="301"/>
      <c r="G1689" s="301"/>
      <c r="H1689" s="301"/>
      <c r="I1689" s="301"/>
      <c r="K1689" s="266"/>
      <c r="L1689" s="265"/>
      <c r="M1689" s="267"/>
      <c r="N1689" s="4"/>
      <c r="O1689" s="4"/>
    </row>
    <row r="1690" spans="1:15" x14ac:dyDescent="0.2">
      <c r="A1690" s="256"/>
      <c r="B1690" s="265"/>
      <c r="C1690" s="303"/>
      <c r="D1690" s="301"/>
      <c r="E1690" s="302"/>
      <c r="F1690" s="301"/>
      <c r="G1690" s="301"/>
      <c r="H1690" s="301"/>
      <c r="I1690" s="301"/>
      <c r="K1690" s="266"/>
      <c r="L1690" s="265"/>
      <c r="M1690" s="267"/>
      <c r="N1690" s="4"/>
      <c r="O1690" s="4"/>
    </row>
    <row r="1691" spans="1:15" x14ac:dyDescent="0.2">
      <c r="A1691" s="256"/>
      <c r="B1691" s="265"/>
      <c r="C1691" s="303"/>
      <c r="D1691" s="301"/>
      <c r="E1691" s="302"/>
      <c r="F1691" s="301"/>
      <c r="G1691" s="301"/>
      <c r="H1691" s="301"/>
      <c r="I1691" s="301"/>
      <c r="K1691" s="266"/>
      <c r="L1691" s="265"/>
      <c r="M1691" s="267"/>
      <c r="N1691" s="4"/>
      <c r="O1691" s="4"/>
    </row>
    <row r="1692" spans="1:15" x14ac:dyDescent="0.2">
      <c r="A1692" s="256"/>
      <c r="B1692" s="265"/>
      <c r="C1692" s="303"/>
      <c r="D1692" s="301"/>
      <c r="E1692" s="302"/>
      <c r="F1692" s="301"/>
      <c r="G1692" s="301"/>
      <c r="H1692" s="301"/>
      <c r="I1692" s="301"/>
      <c r="K1692" s="266"/>
      <c r="L1692" s="265"/>
      <c r="M1692" s="267"/>
      <c r="N1692" s="4"/>
      <c r="O1692" s="4"/>
    </row>
    <row r="1693" spans="1:15" x14ac:dyDescent="0.2">
      <c r="A1693" s="256"/>
      <c r="B1693" s="265"/>
      <c r="C1693" s="303"/>
      <c r="D1693" s="301"/>
      <c r="E1693" s="302"/>
      <c r="F1693" s="301"/>
      <c r="G1693" s="301"/>
      <c r="H1693" s="301"/>
      <c r="I1693" s="301"/>
      <c r="K1693" s="266"/>
      <c r="L1693" s="265"/>
      <c r="M1693" s="267"/>
      <c r="N1693" s="4"/>
      <c r="O1693" s="4"/>
    </row>
    <row r="1694" spans="1:15" x14ac:dyDescent="0.2">
      <c r="A1694" s="256"/>
      <c r="B1694" s="265"/>
      <c r="C1694" s="303"/>
      <c r="D1694" s="301"/>
      <c r="E1694" s="302"/>
      <c r="F1694" s="301"/>
      <c r="G1694" s="301"/>
      <c r="H1694" s="301"/>
      <c r="I1694" s="301"/>
      <c r="K1694" s="266"/>
      <c r="L1694" s="265"/>
      <c r="M1694" s="267"/>
      <c r="N1694" s="4"/>
      <c r="O1694" s="4"/>
    </row>
    <row r="1695" spans="1:15" x14ac:dyDescent="0.2">
      <c r="A1695" s="256"/>
      <c r="B1695" s="265"/>
      <c r="C1695" s="303"/>
      <c r="D1695" s="301"/>
      <c r="E1695" s="302"/>
      <c r="F1695" s="301"/>
      <c r="G1695" s="301"/>
      <c r="H1695" s="301"/>
      <c r="I1695" s="301"/>
      <c r="K1695" s="266"/>
      <c r="L1695" s="265"/>
      <c r="M1695" s="267"/>
      <c r="N1695" s="4"/>
      <c r="O1695" s="4"/>
    </row>
    <row r="1696" spans="1:15" x14ac:dyDescent="0.2">
      <c r="A1696" s="256"/>
      <c r="B1696" s="265"/>
      <c r="C1696" s="303"/>
      <c r="D1696" s="301"/>
      <c r="E1696" s="302"/>
      <c r="F1696" s="301"/>
      <c r="G1696" s="301"/>
      <c r="H1696" s="301"/>
      <c r="I1696" s="301"/>
      <c r="K1696" s="266"/>
      <c r="L1696" s="265"/>
      <c r="M1696" s="267"/>
      <c r="N1696" s="4"/>
      <c r="O1696" s="4"/>
    </row>
    <row r="1697" spans="1:15" x14ac:dyDescent="0.2">
      <c r="A1697" s="256"/>
      <c r="B1697" s="265"/>
      <c r="C1697" s="303"/>
      <c r="D1697" s="301"/>
      <c r="E1697" s="302"/>
      <c r="F1697" s="301"/>
      <c r="G1697" s="301"/>
      <c r="H1697" s="301"/>
      <c r="I1697" s="301"/>
      <c r="K1697" s="266"/>
      <c r="L1697" s="265"/>
      <c r="M1697" s="267"/>
      <c r="N1697" s="4"/>
      <c r="O1697" s="4"/>
    </row>
    <row r="1698" spans="1:15" x14ac:dyDescent="0.2">
      <c r="A1698" s="256"/>
      <c r="B1698" s="265"/>
      <c r="C1698" s="303"/>
      <c r="D1698" s="301"/>
      <c r="E1698" s="302"/>
      <c r="F1698" s="301"/>
      <c r="G1698" s="301"/>
      <c r="H1698" s="301"/>
      <c r="I1698" s="301"/>
      <c r="K1698" s="266"/>
      <c r="L1698" s="265"/>
      <c r="M1698" s="267"/>
      <c r="N1698" s="4"/>
      <c r="O1698" s="4"/>
    </row>
    <row r="1699" spans="1:15" x14ac:dyDescent="0.2">
      <c r="A1699" s="256"/>
      <c r="B1699" s="265"/>
      <c r="C1699" s="303"/>
      <c r="D1699" s="301"/>
      <c r="E1699" s="302"/>
      <c r="F1699" s="301"/>
      <c r="G1699" s="301"/>
      <c r="H1699" s="301"/>
      <c r="I1699" s="301"/>
      <c r="K1699" s="266"/>
      <c r="L1699" s="265"/>
      <c r="M1699" s="267"/>
      <c r="N1699" s="4"/>
      <c r="O1699" s="4"/>
    </row>
    <row r="1700" spans="1:15" x14ac:dyDescent="0.2">
      <c r="A1700" s="256"/>
      <c r="B1700" s="265"/>
      <c r="C1700" s="303"/>
      <c r="D1700" s="301"/>
      <c r="E1700" s="302"/>
      <c r="F1700" s="301"/>
      <c r="G1700" s="301"/>
      <c r="H1700" s="301"/>
      <c r="I1700" s="301"/>
      <c r="K1700" s="266"/>
      <c r="L1700" s="265"/>
      <c r="M1700" s="267"/>
      <c r="N1700" s="4"/>
      <c r="O1700" s="4"/>
    </row>
    <row r="1701" spans="1:15" x14ac:dyDescent="0.2">
      <c r="A1701" s="256"/>
      <c r="B1701" s="265"/>
      <c r="C1701" s="303"/>
      <c r="D1701" s="301"/>
      <c r="E1701" s="302"/>
      <c r="F1701" s="301"/>
      <c r="G1701" s="301"/>
      <c r="H1701" s="301"/>
      <c r="I1701" s="301"/>
      <c r="K1701" s="266"/>
      <c r="L1701" s="265"/>
      <c r="M1701" s="267"/>
      <c r="N1701" s="4"/>
      <c r="O1701" s="4"/>
    </row>
    <row r="1702" spans="1:15" x14ac:dyDescent="0.2">
      <c r="A1702" s="256"/>
      <c r="B1702" s="265"/>
      <c r="C1702" s="303"/>
      <c r="D1702" s="301"/>
      <c r="E1702" s="302"/>
      <c r="F1702" s="301"/>
      <c r="G1702" s="301"/>
      <c r="H1702" s="301"/>
      <c r="I1702" s="301"/>
      <c r="K1702" s="266"/>
      <c r="L1702" s="265"/>
      <c r="M1702" s="267"/>
      <c r="N1702" s="4"/>
      <c r="O1702" s="4"/>
    </row>
    <row r="1703" spans="1:15" x14ac:dyDescent="0.2">
      <c r="A1703" s="256"/>
      <c r="B1703" s="265"/>
      <c r="C1703" s="303"/>
      <c r="D1703" s="301"/>
      <c r="E1703" s="302"/>
      <c r="F1703" s="301"/>
      <c r="G1703" s="301"/>
      <c r="H1703" s="301"/>
      <c r="I1703" s="301"/>
      <c r="K1703" s="266"/>
      <c r="L1703" s="265"/>
      <c r="M1703" s="267"/>
      <c r="N1703" s="4"/>
      <c r="O1703" s="4"/>
    </row>
    <row r="1704" spans="1:15" x14ac:dyDescent="0.2">
      <c r="A1704" s="256"/>
      <c r="B1704" s="265"/>
      <c r="C1704" s="303"/>
      <c r="D1704" s="301"/>
      <c r="E1704" s="302"/>
      <c r="F1704" s="301"/>
      <c r="G1704" s="301"/>
      <c r="H1704" s="301"/>
      <c r="I1704" s="301"/>
      <c r="K1704" s="266"/>
      <c r="L1704" s="265"/>
      <c r="M1704" s="267"/>
      <c r="N1704" s="4"/>
      <c r="O1704" s="4"/>
    </row>
    <row r="1705" spans="1:15" x14ac:dyDescent="0.2">
      <c r="A1705" s="256"/>
      <c r="B1705" s="265"/>
      <c r="C1705" s="303"/>
      <c r="D1705" s="301"/>
      <c r="E1705" s="302"/>
      <c r="F1705" s="301"/>
      <c r="G1705" s="301"/>
      <c r="H1705" s="301"/>
      <c r="I1705" s="301"/>
      <c r="K1705" s="266"/>
      <c r="L1705" s="265"/>
      <c r="M1705" s="267"/>
      <c r="N1705" s="4"/>
      <c r="O1705" s="4"/>
    </row>
    <row r="1706" spans="1:15" x14ac:dyDescent="0.2">
      <c r="A1706" s="256"/>
      <c r="B1706" s="265"/>
      <c r="C1706" s="303"/>
      <c r="D1706" s="301"/>
      <c r="E1706" s="302"/>
      <c r="F1706" s="301"/>
      <c r="G1706" s="301"/>
      <c r="H1706" s="301"/>
      <c r="I1706" s="301"/>
      <c r="K1706" s="266"/>
      <c r="L1706" s="265"/>
      <c r="M1706" s="267"/>
      <c r="N1706" s="4"/>
      <c r="O1706" s="4"/>
    </row>
    <row r="1707" spans="1:15" x14ac:dyDescent="0.2">
      <c r="A1707" s="256"/>
      <c r="B1707" s="265"/>
      <c r="C1707" s="303"/>
      <c r="D1707" s="301"/>
      <c r="E1707" s="302"/>
      <c r="F1707" s="301"/>
      <c r="G1707" s="301"/>
      <c r="H1707" s="301"/>
      <c r="I1707" s="301"/>
      <c r="K1707" s="266"/>
      <c r="L1707" s="265"/>
      <c r="M1707" s="267"/>
      <c r="N1707" s="4"/>
      <c r="O1707" s="4"/>
    </row>
    <row r="1708" spans="1:15" x14ac:dyDescent="0.2">
      <c r="A1708" s="256"/>
      <c r="B1708" s="265"/>
      <c r="C1708" s="303"/>
      <c r="D1708" s="301"/>
      <c r="E1708" s="302"/>
      <c r="F1708" s="301"/>
      <c r="G1708" s="301"/>
      <c r="H1708" s="301"/>
      <c r="I1708" s="301"/>
      <c r="K1708" s="266"/>
      <c r="L1708" s="265"/>
      <c r="M1708" s="267"/>
      <c r="N1708" s="4"/>
      <c r="O1708" s="4"/>
    </row>
    <row r="1709" spans="1:15" x14ac:dyDescent="0.2">
      <c r="A1709" s="256"/>
      <c r="B1709" s="265"/>
      <c r="C1709" s="303"/>
      <c r="D1709" s="301"/>
      <c r="E1709" s="302"/>
      <c r="F1709" s="301"/>
      <c r="G1709" s="301"/>
      <c r="H1709" s="301"/>
      <c r="I1709" s="301"/>
      <c r="K1709" s="266"/>
      <c r="L1709" s="265"/>
      <c r="M1709" s="267"/>
      <c r="N1709" s="4"/>
      <c r="O1709" s="4"/>
    </row>
    <row r="1710" spans="1:15" x14ac:dyDescent="0.2">
      <c r="A1710" s="256"/>
      <c r="B1710" s="265"/>
      <c r="C1710" s="303"/>
      <c r="D1710" s="301"/>
      <c r="E1710" s="302"/>
      <c r="F1710" s="301"/>
      <c r="G1710" s="301"/>
      <c r="H1710" s="301"/>
      <c r="I1710" s="301"/>
      <c r="K1710" s="266"/>
      <c r="L1710" s="265"/>
      <c r="M1710" s="267"/>
      <c r="N1710" s="4"/>
      <c r="O1710" s="4"/>
    </row>
    <row r="1711" spans="1:15" x14ac:dyDescent="0.2">
      <c r="A1711" s="256"/>
      <c r="B1711" s="265"/>
      <c r="C1711" s="303"/>
      <c r="D1711" s="301"/>
      <c r="E1711" s="302"/>
      <c r="F1711" s="301"/>
      <c r="G1711" s="301"/>
      <c r="H1711" s="301"/>
      <c r="I1711" s="301"/>
      <c r="K1711" s="266"/>
      <c r="L1711" s="265"/>
      <c r="M1711" s="267"/>
      <c r="N1711" s="4"/>
      <c r="O1711" s="4"/>
    </row>
    <row r="1712" spans="1:15" x14ac:dyDescent="0.2">
      <c r="A1712" s="256"/>
      <c r="B1712" s="265"/>
      <c r="C1712" s="303"/>
      <c r="D1712" s="301"/>
      <c r="E1712" s="302"/>
      <c r="F1712" s="301"/>
      <c r="G1712" s="301"/>
      <c r="H1712" s="301"/>
      <c r="I1712" s="301"/>
      <c r="K1712" s="266"/>
      <c r="L1712" s="265"/>
      <c r="M1712" s="267"/>
      <c r="N1712" s="4"/>
      <c r="O1712" s="4"/>
    </row>
    <row r="1713" spans="1:15" x14ac:dyDescent="0.2">
      <c r="A1713" s="256"/>
      <c r="B1713" s="265"/>
      <c r="C1713" s="303"/>
      <c r="D1713" s="301"/>
      <c r="E1713" s="302"/>
      <c r="F1713" s="301"/>
      <c r="G1713" s="301"/>
      <c r="H1713" s="301"/>
      <c r="I1713" s="301"/>
      <c r="K1713" s="266"/>
      <c r="L1713" s="265"/>
      <c r="M1713" s="267"/>
      <c r="N1713" s="4"/>
      <c r="O1713" s="4"/>
    </row>
    <row r="1714" spans="1:15" x14ac:dyDescent="0.2">
      <c r="A1714" s="256"/>
      <c r="B1714" s="265"/>
      <c r="C1714" s="303"/>
      <c r="D1714" s="301"/>
      <c r="E1714" s="302"/>
      <c r="F1714" s="301"/>
      <c r="G1714" s="301"/>
      <c r="H1714" s="301"/>
      <c r="I1714" s="301"/>
      <c r="K1714" s="266"/>
      <c r="L1714" s="265"/>
      <c r="M1714" s="267"/>
      <c r="N1714" s="4"/>
      <c r="O1714" s="4"/>
    </row>
    <row r="1715" spans="1:15" x14ac:dyDescent="0.2">
      <c r="A1715" s="256"/>
      <c r="B1715" s="265"/>
      <c r="C1715" s="303"/>
      <c r="D1715" s="301"/>
      <c r="E1715" s="302"/>
      <c r="F1715" s="301"/>
      <c r="G1715" s="301"/>
      <c r="H1715" s="301"/>
      <c r="I1715" s="301"/>
      <c r="K1715" s="266"/>
      <c r="L1715" s="265"/>
      <c r="M1715" s="267"/>
      <c r="N1715" s="4"/>
      <c r="O1715" s="4"/>
    </row>
    <row r="1716" spans="1:15" x14ac:dyDescent="0.2">
      <c r="A1716" s="256"/>
      <c r="B1716" s="265"/>
      <c r="C1716" s="303"/>
      <c r="D1716" s="301"/>
      <c r="E1716" s="302"/>
      <c r="F1716" s="301"/>
      <c r="G1716" s="301"/>
      <c r="H1716" s="301"/>
      <c r="I1716" s="301"/>
      <c r="K1716" s="266"/>
      <c r="L1716" s="265"/>
      <c r="M1716" s="267"/>
      <c r="N1716" s="4"/>
      <c r="O1716" s="4"/>
    </row>
    <row r="1717" spans="1:15" x14ac:dyDescent="0.2">
      <c r="A1717" s="256"/>
      <c r="B1717" s="265"/>
      <c r="C1717" s="303"/>
      <c r="D1717" s="301"/>
      <c r="E1717" s="302"/>
      <c r="F1717" s="301"/>
      <c r="G1717" s="301"/>
      <c r="H1717" s="301"/>
      <c r="I1717" s="301"/>
      <c r="K1717" s="266"/>
      <c r="L1717" s="265"/>
      <c r="M1717" s="267"/>
      <c r="N1717" s="4"/>
      <c r="O1717" s="4"/>
    </row>
    <row r="1718" spans="1:15" x14ac:dyDescent="0.2">
      <c r="A1718" s="256"/>
      <c r="B1718" s="265"/>
      <c r="C1718" s="303"/>
      <c r="D1718" s="301"/>
      <c r="E1718" s="302"/>
      <c r="F1718" s="301"/>
      <c r="G1718" s="301"/>
      <c r="H1718" s="301"/>
      <c r="I1718" s="301"/>
      <c r="K1718" s="266"/>
      <c r="L1718" s="265"/>
      <c r="M1718" s="267"/>
      <c r="N1718" s="4"/>
      <c r="O1718" s="4"/>
    </row>
    <row r="1719" spans="1:15" x14ac:dyDescent="0.2">
      <c r="A1719" s="256"/>
      <c r="B1719" s="265"/>
      <c r="C1719" s="303"/>
      <c r="D1719" s="301"/>
      <c r="E1719" s="302"/>
      <c r="F1719" s="301"/>
      <c r="G1719" s="301"/>
      <c r="H1719" s="301"/>
      <c r="I1719" s="301"/>
      <c r="K1719" s="266"/>
      <c r="L1719" s="265"/>
      <c r="M1719" s="267"/>
      <c r="N1719" s="4"/>
      <c r="O1719" s="4"/>
    </row>
    <row r="1720" spans="1:15" x14ac:dyDescent="0.2">
      <c r="A1720" s="256"/>
      <c r="B1720" s="265"/>
      <c r="C1720" s="303"/>
      <c r="D1720" s="301"/>
      <c r="E1720" s="302"/>
      <c r="F1720" s="301"/>
      <c r="G1720" s="301"/>
      <c r="H1720" s="301"/>
      <c r="I1720" s="301"/>
      <c r="K1720" s="266"/>
      <c r="L1720" s="265"/>
      <c r="M1720" s="267"/>
      <c r="N1720" s="4"/>
      <c r="O1720" s="4"/>
    </row>
    <row r="1721" spans="1:15" x14ac:dyDescent="0.2">
      <c r="A1721" s="256"/>
      <c r="B1721" s="265"/>
      <c r="C1721" s="303"/>
      <c r="D1721" s="301"/>
      <c r="E1721" s="302"/>
      <c r="F1721" s="301"/>
      <c r="G1721" s="301"/>
      <c r="H1721" s="301"/>
      <c r="I1721" s="301"/>
      <c r="K1721" s="266"/>
      <c r="L1721" s="265"/>
      <c r="M1721" s="267"/>
      <c r="N1721" s="4"/>
      <c r="O1721" s="4"/>
    </row>
    <row r="1722" spans="1:15" x14ac:dyDescent="0.2">
      <c r="A1722" s="256"/>
      <c r="B1722" s="265"/>
      <c r="C1722" s="303"/>
      <c r="D1722" s="301"/>
      <c r="E1722" s="302"/>
      <c r="F1722" s="301"/>
      <c r="G1722" s="301"/>
      <c r="H1722" s="301"/>
      <c r="I1722" s="301"/>
      <c r="K1722" s="266"/>
      <c r="L1722" s="265"/>
      <c r="M1722" s="267"/>
      <c r="N1722" s="4"/>
      <c r="O1722" s="4"/>
    </row>
    <row r="1723" spans="1:15" x14ac:dyDescent="0.2">
      <c r="A1723" s="256"/>
      <c r="B1723" s="265"/>
      <c r="C1723" s="303"/>
      <c r="D1723" s="301"/>
      <c r="E1723" s="302"/>
      <c r="F1723" s="301"/>
      <c r="G1723" s="301"/>
      <c r="H1723" s="301"/>
      <c r="I1723" s="301"/>
      <c r="K1723" s="266"/>
      <c r="L1723" s="265"/>
      <c r="M1723" s="267"/>
      <c r="N1723" s="4"/>
      <c r="O1723" s="4"/>
    </row>
    <row r="1724" spans="1:15" x14ac:dyDescent="0.2">
      <c r="A1724" s="256"/>
      <c r="B1724" s="265"/>
      <c r="C1724" s="303"/>
      <c r="D1724" s="301"/>
      <c r="E1724" s="302"/>
      <c r="F1724" s="301"/>
      <c r="G1724" s="301"/>
      <c r="H1724" s="301"/>
      <c r="I1724" s="301"/>
      <c r="K1724" s="266"/>
      <c r="L1724" s="265"/>
      <c r="M1724" s="267"/>
      <c r="N1724" s="4"/>
      <c r="O1724" s="4"/>
    </row>
    <row r="1725" spans="1:15" x14ac:dyDescent="0.2">
      <c r="A1725" s="256"/>
      <c r="B1725" s="265"/>
      <c r="C1725" s="303"/>
      <c r="D1725" s="301"/>
      <c r="E1725" s="302"/>
      <c r="F1725" s="301"/>
      <c r="G1725" s="301"/>
      <c r="H1725" s="301"/>
      <c r="I1725" s="301"/>
      <c r="K1725" s="266"/>
      <c r="L1725" s="265"/>
      <c r="M1725" s="267"/>
      <c r="N1725" s="4"/>
      <c r="O1725" s="4"/>
    </row>
    <row r="1726" spans="1:15" x14ac:dyDescent="0.2">
      <c r="A1726" s="256"/>
      <c r="B1726" s="265"/>
      <c r="C1726" s="303"/>
      <c r="D1726" s="301"/>
      <c r="E1726" s="302"/>
      <c r="F1726" s="301"/>
      <c r="G1726" s="301"/>
      <c r="H1726" s="301"/>
      <c r="I1726" s="301"/>
      <c r="K1726" s="266"/>
      <c r="L1726" s="265"/>
      <c r="M1726" s="267"/>
      <c r="N1726" s="4"/>
      <c r="O1726" s="4"/>
    </row>
    <row r="1727" spans="1:15" x14ac:dyDescent="0.2">
      <c r="A1727" s="256"/>
      <c r="B1727" s="265"/>
      <c r="C1727" s="303"/>
      <c r="D1727" s="301"/>
      <c r="E1727" s="302"/>
      <c r="F1727" s="301"/>
      <c r="G1727" s="301"/>
      <c r="H1727" s="301"/>
      <c r="I1727" s="301"/>
      <c r="K1727" s="266"/>
      <c r="L1727" s="265"/>
      <c r="M1727" s="267"/>
      <c r="N1727" s="4"/>
      <c r="O1727" s="4"/>
    </row>
    <row r="1728" spans="1:15" x14ac:dyDescent="0.2">
      <c r="A1728" s="256"/>
      <c r="B1728" s="265"/>
      <c r="C1728" s="303"/>
      <c r="D1728" s="301"/>
      <c r="E1728" s="302"/>
      <c r="F1728" s="301"/>
      <c r="G1728" s="301"/>
      <c r="H1728" s="301"/>
      <c r="I1728" s="301"/>
      <c r="K1728" s="266"/>
      <c r="L1728" s="265"/>
      <c r="M1728" s="267"/>
      <c r="N1728" s="4"/>
      <c r="O1728" s="4"/>
    </row>
    <row r="1729" spans="1:15" x14ac:dyDescent="0.2">
      <c r="A1729" s="256"/>
      <c r="B1729" s="265"/>
      <c r="C1729" s="303"/>
      <c r="D1729" s="301"/>
      <c r="E1729" s="302"/>
      <c r="F1729" s="301"/>
      <c r="G1729" s="301"/>
      <c r="H1729" s="301"/>
      <c r="I1729" s="301"/>
      <c r="K1729" s="266"/>
      <c r="L1729" s="265"/>
      <c r="M1729" s="267"/>
      <c r="N1729" s="4"/>
      <c r="O1729" s="4"/>
    </row>
    <row r="1730" spans="1:15" x14ac:dyDescent="0.2">
      <c r="A1730" s="256"/>
      <c r="B1730" s="265"/>
      <c r="C1730" s="303"/>
      <c r="D1730" s="301"/>
      <c r="E1730" s="302"/>
      <c r="F1730" s="301"/>
      <c r="G1730" s="301"/>
      <c r="H1730" s="301"/>
      <c r="I1730" s="301"/>
      <c r="K1730" s="266"/>
      <c r="L1730" s="265"/>
      <c r="M1730" s="267"/>
      <c r="N1730" s="4"/>
      <c r="O1730" s="4"/>
    </row>
    <row r="1731" spans="1:15" x14ac:dyDescent="0.2">
      <c r="A1731" s="256"/>
      <c r="B1731" s="265"/>
      <c r="C1731" s="303"/>
      <c r="D1731" s="301"/>
      <c r="E1731" s="302"/>
      <c r="F1731" s="301"/>
      <c r="G1731" s="301"/>
      <c r="H1731" s="301"/>
      <c r="I1731" s="301"/>
      <c r="K1731" s="266"/>
      <c r="L1731" s="265"/>
      <c r="M1731" s="267"/>
      <c r="N1731" s="4"/>
      <c r="O1731" s="4"/>
    </row>
    <row r="1732" spans="1:15" x14ac:dyDescent="0.2">
      <c r="A1732" s="256"/>
      <c r="B1732" s="265"/>
      <c r="C1732" s="303"/>
      <c r="D1732" s="301"/>
      <c r="E1732" s="302"/>
      <c r="F1732" s="301"/>
      <c r="G1732" s="301"/>
      <c r="H1732" s="301"/>
      <c r="I1732" s="301"/>
      <c r="K1732" s="266"/>
      <c r="L1732" s="265"/>
      <c r="M1732" s="267"/>
      <c r="N1732" s="4"/>
      <c r="O1732" s="4"/>
    </row>
    <row r="1733" spans="1:15" x14ac:dyDescent="0.2">
      <c r="A1733" s="256"/>
      <c r="B1733" s="265"/>
      <c r="C1733" s="303"/>
      <c r="D1733" s="301"/>
      <c r="E1733" s="302"/>
      <c r="F1733" s="301"/>
      <c r="G1733" s="301"/>
      <c r="H1733" s="301"/>
      <c r="I1733" s="301"/>
      <c r="K1733" s="266"/>
      <c r="L1733" s="265"/>
      <c r="M1733" s="267"/>
      <c r="N1733" s="4"/>
      <c r="O1733" s="4"/>
    </row>
    <row r="1734" spans="1:15" x14ac:dyDescent="0.2">
      <c r="A1734" s="256"/>
      <c r="B1734" s="265"/>
      <c r="C1734" s="303"/>
      <c r="D1734" s="301"/>
      <c r="E1734" s="302"/>
      <c r="F1734" s="301"/>
      <c r="G1734" s="301"/>
      <c r="H1734" s="301"/>
      <c r="I1734" s="301"/>
      <c r="K1734" s="266"/>
      <c r="L1734" s="265"/>
      <c r="M1734" s="267"/>
      <c r="N1734" s="4"/>
      <c r="O1734" s="4"/>
    </row>
    <row r="1735" spans="1:15" x14ac:dyDescent="0.2">
      <c r="A1735" s="256"/>
      <c r="B1735" s="265"/>
      <c r="C1735" s="303"/>
      <c r="D1735" s="301"/>
      <c r="E1735" s="302"/>
      <c r="F1735" s="301"/>
      <c r="G1735" s="301"/>
      <c r="H1735" s="301"/>
      <c r="I1735" s="301"/>
      <c r="K1735" s="266"/>
      <c r="L1735" s="265"/>
      <c r="M1735" s="267"/>
      <c r="N1735" s="4"/>
      <c r="O1735" s="4"/>
    </row>
    <row r="1736" spans="1:15" x14ac:dyDescent="0.2">
      <c r="A1736" s="256"/>
      <c r="B1736" s="265"/>
      <c r="C1736" s="303"/>
      <c r="D1736" s="301"/>
      <c r="E1736" s="302"/>
      <c r="F1736" s="301"/>
      <c r="G1736" s="301"/>
      <c r="H1736" s="301"/>
      <c r="I1736" s="301"/>
      <c r="K1736" s="266"/>
      <c r="L1736" s="265"/>
      <c r="M1736" s="267"/>
      <c r="N1736" s="4"/>
      <c r="O1736" s="4"/>
    </row>
    <row r="1737" spans="1:15" x14ac:dyDescent="0.2">
      <c r="A1737" s="256"/>
      <c r="B1737" s="265"/>
      <c r="C1737" s="303"/>
      <c r="D1737" s="301"/>
      <c r="E1737" s="302"/>
      <c r="F1737" s="301"/>
      <c r="G1737" s="301"/>
      <c r="H1737" s="301"/>
      <c r="I1737" s="301"/>
      <c r="K1737" s="266"/>
      <c r="L1737" s="265"/>
      <c r="M1737" s="267"/>
      <c r="N1737" s="4"/>
      <c r="O1737" s="4"/>
    </row>
    <row r="1738" spans="1:15" x14ac:dyDescent="0.2">
      <c r="A1738" s="256"/>
      <c r="B1738" s="265"/>
      <c r="C1738" s="303"/>
      <c r="D1738" s="301"/>
      <c r="E1738" s="302"/>
      <c r="F1738" s="301"/>
      <c r="G1738" s="301"/>
      <c r="H1738" s="301"/>
      <c r="I1738" s="301"/>
      <c r="K1738" s="266"/>
      <c r="L1738" s="265"/>
      <c r="M1738" s="267"/>
      <c r="N1738" s="4"/>
      <c r="O1738" s="4"/>
    </row>
    <row r="1739" spans="1:15" x14ac:dyDescent="0.2">
      <c r="A1739" s="256"/>
      <c r="B1739" s="265"/>
      <c r="C1739" s="303"/>
      <c r="D1739" s="301"/>
      <c r="E1739" s="302"/>
      <c r="F1739" s="301"/>
      <c r="G1739" s="301"/>
      <c r="H1739" s="301"/>
      <c r="I1739" s="301"/>
      <c r="K1739" s="266"/>
      <c r="L1739" s="265"/>
      <c r="M1739" s="267"/>
      <c r="N1739" s="4"/>
      <c r="O1739" s="4"/>
    </row>
    <row r="1740" spans="1:15" x14ac:dyDescent="0.2">
      <c r="A1740" s="256"/>
      <c r="B1740" s="265"/>
      <c r="C1740" s="303"/>
      <c r="D1740" s="301"/>
      <c r="E1740" s="302"/>
      <c r="F1740" s="301"/>
      <c r="G1740" s="301"/>
      <c r="H1740" s="301"/>
      <c r="I1740" s="301"/>
      <c r="K1740" s="266"/>
      <c r="L1740" s="265"/>
      <c r="M1740" s="267"/>
      <c r="N1740" s="4"/>
      <c r="O1740" s="4"/>
    </row>
    <row r="1741" spans="1:15" x14ac:dyDescent="0.2">
      <c r="A1741" s="256"/>
      <c r="B1741" s="265"/>
      <c r="C1741" s="303"/>
      <c r="D1741" s="301"/>
      <c r="E1741" s="302"/>
      <c r="F1741" s="301"/>
      <c r="G1741" s="301"/>
      <c r="H1741" s="301"/>
      <c r="I1741" s="301"/>
      <c r="K1741" s="266"/>
      <c r="L1741" s="265"/>
      <c r="M1741" s="267"/>
      <c r="N1741" s="4"/>
      <c r="O1741" s="4"/>
    </row>
    <row r="1742" spans="1:15" x14ac:dyDescent="0.2">
      <c r="A1742" s="256"/>
      <c r="B1742" s="265"/>
      <c r="C1742" s="303"/>
      <c r="D1742" s="301"/>
      <c r="E1742" s="302"/>
      <c r="F1742" s="301"/>
      <c r="G1742" s="301"/>
      <c r="H1742" s="301"/>
      <c r="I1742" s="301"/>
      <c r="K1742" s="266"/>
      <c r="L1742" s="265"/>
      <c r="M1742" s="267"/>
      <c r="N1742" s="4"/>
      <c r="O1742" s="4"/>
    </row>
    <row r="1743" spans="1:15" x14ac:dyDescent="0.2">
      <c r="A1743" s="256"/>
      <c r="B1743" s="265"/>
      <c r="C1743" s="303"/>
      <c r="D1743" s="301"/>
      <c r="E1743" s="302"/>
      <c r="F1743" s="301"/>
      <c r="G1743" s="301"/>
      <c r="H1743" s="301"/>
      <c r="I1743" s="301"/>
      <c r="K1743" s="266"/>
      <c r="L1743" s="265"/>
      <c r="M1743" s="267"/>
      <c r="N1743" s="4"/>
      <c r="O1743" s="4"/>
    </row>
    <row r="1744" spans="1:15" x14ac:dyDescent="0.2">
      <c r="A1744" s="256"/>
      <c r="B1744" s="265"/>
      <c r="C1744" s="303"/>
      <c r="D1744" s="301"/>
      <c r="E1744" s="302"/>
      <c r="F1744" s="301"/>
      <c r="G1744" s="301"/>
      <c r="H1744" s="301"/>
      <c r="I1744" s="301"/>
      <c r="K1744" s="266"/>
      <c r="L1744" s="265"/>
      <c r="M1744" s="267"/>
      <c r="N1744" s="4"/>
      <c r="O1744" s="4"/>
    </row>
    <row r="1745" spans="1:15" x14ac:dyDescent="0.2">
      <c r="A1745" s="256"/>
      <c r="B1745" s="265"/>
      <c r="C1745" s="303"/>
      <c r="D1745" s="301"/>
      <c r="E1745" s="302"/>
      <c r="F1745" s="301"/>
      <c r="G1745" s="301"/>
      <c r="H1745" s="301"/>
      <c r="I1745" s="301"/>
      <c r="K1745" s="266"/>
      <c r="L1745" s="265"/>
      <c r="M1745" s="267"/>
      <c r="N1745" s="4"/>
      <c r="O1745" s="4"/>
    </row>
    <row r="1746" spans="1:15" x14ac:dyDescent="0.2">
      <c r="A1746" s="256"/>
      <c r="B1746" s="265"/>
      <c r="C1746" s="303"/>
      <c r="D1746" s="301"/>
      <c r="E1746" s="302"/>
      <c r="F1746" s="301"/>
      <c r="G1746" s="301"/>
      <c r="H1746" s="301"/>
      <c r="I1746" s="301"/>
      <c r="K1746" s="266"/>
      <c r="L1746" s="265"/>
      <c r="M1746" s="267"/>
      <c r="N1746" s="4"/>
      <c r="O1746" s="4"/>
    </row>
    <row r="1747" spans="1:15" x14ac:dyDescent="0.2">
      <c r="A1747" s="256"/>
      <c r="B1747" s="265"/>
      <c r="C1747" s="303"/>
      <c r="D1747" s="301"/>
      <c r="E1747" s="302"/>
      <c r="F1747" s="301"/>
      <c r="G1747" s="301"/>
      <c r="H1747" s="301"/>
      <c r="I1747" s="301"/>
      <c r="K1747" s="266"/>
      <c r="L1747" s="265"/>
      <c r="M1747" s="267"/>
      <c r="N1747" s="4"/>
      <c r="O1747" s="4"/>
    </row>
    <row r="1748" spans="1:15" x14ac:dyDescent="0.2">
      <c r="A1748" s="256"/>
      <c r="B1748" s="265"/>
      <c r="C1748" s="303"/>
      <c r="D1748" s="301"/>
      <c r="E1748" s="302"/>
      <c r="F1748" s="301"/>
      <c r="G1748" s="301"/>
      <c r="H1748" s="301"/>
      <c r="I1748" s="301"/>
      <c r="K1748" s="266"/>
      <c r="L1748" s="265"/>
      <c r="M1748" s="267"/>
      <c r="N1748" s="4"/>
      <c r="O1748" s="4"/>
    </row>
    <row r="1749" spans="1:15" x14ac:dyDescent="0.2">
      <c r="A1749" s="256"/>
      <c r="B1749" s="265"/>
      <c r="C1749" s="303"/>
      <c r="D1749" s="301"/>
      <c r="E1749" s="302"/>
      <c r="F1749" s="301"/>
      <c r="G1749" s="301"/>
      <c r="H1749" s="301"/>
      <c r="I1749" s="301"/>
      <c r="K1749" s="266"/>
      <c r="L1749" s="265"/>
      <c r="M1749" s="267"/>
      <c r="N1749" s="4"/>
      <c r="O1749" s="4"/>
    </row>
    <row r="1750" spans="1:15" x14ac:dyDescent="0.2">
      <c r="A1750" s="256"/>
      <c r="B1750" s="265"/>
      <c r="C1750" s="303"/>
      <c r="D1750" s="301"/>
      <c r="E1750" s="302"/>
      <c r="F1750" s="301"/>
      <c r="G1750" s="301"/>
      <c r="H1750" s="301"/>
      <c r="I1750" s="301"/>
      <c r="K1750" s="266"/>
      <c r="L1750" s="265"/>
      <c r="M1750" s="267"/>
      <c r="N1750" s="4"/>
      <c r="O1750" s="4"/>
    </row>
    <row r="1751" spans="1:15" x14ac:dyDescent="0.2">
      <c r="A1751" s="256"/>
      <c r="B1751" s="265"/>
      <c r="C1751" s="303"/>
      <c r="D1751" s="301"/>
      <c r="E1751" s="302"/>
      <c r="F1751" s="301"/>
      <c r="G1751" s="301"/>
      <c r="H1751" s="301"/>
      <c r="I1751" s="301"/>
      <c r="K1751" s="266"/>
      <c r="L1751" s="265"/>
      <c r="M1751" s="267"/>
      <c r="N1751" s="4"/>
      <c r="O1751" s="4"/>
    </row>
    <row r="1752" spans="1:15" x14ac:dyDescent="0.2">
      <c r="A1752" s="256"/>
      <c r="B1752" s="265"/>
      <c r="C1752" s="303"/>
      <c r="D1752" s="301"/>
      <c r="E1752" s="302"/>
      <c r="F1752" s="301"/>
      <c r="G1752" s="301"/>
      <c r="H1752" s="301"/>
      <c r="I1752" s="301"/>
      <c r="K1752" s="266"/>
      <c r="L1752" s="265"/>
      <c r="M1752" s="267"/>
      <c r="N1752" s="4"/>
      <c r="O1752" s="4"/>
    </row>
    <row r="1753" spans="1:15" x14ac:dyDescent="0.2">
      <c r="A1753" s="256"/>
      <c r="B1753" s="265"/>
      <c r="C1753" s="303"/>
      <c r="D1753" s="301"/>
      <c r="E1753" s="302"/>
      <c r="F1753" s="301"/>
      <c r="G1753" s="301"/>
      <c r="H1753" s="301"/>
      <c r="I1753" s="301"/>
      <c r="K1753" s="266"/>
      <c r="L1753" s="265"/>
      <c r="M1753" s="267"/>
      <c r="N1753" s="4"/>
      <c r="O1753" s="4"/>
    </row>
    <row r="1754" spans="1:15" x14ac:dyDescent="0.2">
      <c r="A1754" s="256"/>
      <c r="B1754" s="265"/>
      <c r="C1754" s="303"/>
      <c r="D1754" s="301"/>
      <c r="E1754" s="302"/>
      <c r="F1754" s="301"/>
      <c r="G1754" s="301"/>
      <c r="H1754" s="301"/>
      <c r="I1754" s="301"/>
      <c r="K1754" s="266"/>
      <c r="L1754" s="265"/>
      <c r="M1754" s="267"/>
      <c r="N1754" s="4"/>
      <c r="O1754" s="4"/>
    </row>
    <row r="1755" spans="1:15" x14ac:dyDescent="0.2">
      <c r="A1755" s="256"/>
      <c r="B1755" s="265"/>
      <c r="C1755" s="303"/>
      <c r="D1755" s="301"/>
      <c r="E1755" s="302"/>
      <c r="F1755" s="301"/>
      <c r="G1755" s="301"/>
      <c r="H1755" s="301"/>
      <c r="I1755" s="301"/>
      <c r="K1755" s="266"/>
      <c r="L1755" s="265"/>
      <c r="M1755" s="267"/>
      <c r="N1755" s="4"/>
      <c r="O1755" s="4"/>
    </row>
    <row r="1756" spans="1:15" x14ac:dyDescent="0.2">
      <c r="A1756" s="256"/>
      <c r="B1756" s="265"/>
      <c r="C1756" s="303"/>
      <c r="D1756" s="301"/>
      <c r="E1756" s="302"/>
      <c r="F1756" s="301"/>
      <c r="G1756" s="301"/>
      <c r="H1756" s="301"/>
      <c r="I1756" s="301"/>
      <c r="K1756" s="266"/>
      <c r="L1756" s="265"/>
      <c r="M1756" s="267"/>
      <c r="N1756" s="4"/>
      <c r="O1756" s="4"/>
    </row>
    <row r="1757" spans="1:15" x14ac:dyDescent="0.2">
      <c r="A1757" s="256"/>
      <c r="B1757" s="265"/>
      <c r="C1757" s="303"/>
      <c r="D1757" s="301"/>
      <c r="E1757" s="302"/>
      <c r="F1757" s="301"/>
      <c r="G1757" s="301"/>
      <c r="H1757" s="301"/>
      <c r="I1757" s="301"/>
      <c r="K1757" s="266"/>
      <c r="L1757" s="265"/>
      <c r="M1757" s="267"/>
      <c r="N1757" s="4"/>
      <c r="O1757" s="4"/>
    </row>
    <row r="1758" spans="1:15" x14ac:dyDescent="0.2">
      <c r="A1758" s="256"/>
      <c r="B1758" s="265"/>
      <c r="C1758" s="303"/>
      <c r="D1758" s="301"/>
      <c r="E1758" s="302"/>
      <c r="F1758" s="301"/>
      <c r="G1758" s="301"/>
      <c r="H1758" s="301"/>
      <c r="I1758" s="301"/>
      <c r="K1758" s="266"/>
      <c r="L1758" s="265"/>
      <c r="M1758" s="267"/>
      <c r="N1758" s="4"/>
      <c r="O1758" s="4"/>
    </row>
    <row r="1759" spans="1:15" x14ac:dyDescent="0.2">
      <c r="A1759" s="256"/>
      <c r="B1759" s="265"/>
      <c r="C1759" s="303"/>
      <c r="D1759" s="301"/>
      <c r="E1759" s="302"/>
      <c r="F1759" s="301"/>
      <c r="G1759" s="301"/>
      <c r="H1759" s="301"/>
      <c r="I1759" s="301"/>
      <c r="K1759" s="266"/>
      <c r="L1759" s="265"/>
      <c r="M1759" s="267"/>
      <c r="N1759" s="4"/>
      <c r="O1759" s="4"/>
    </row>
    <row r="1760" spans="1:15" x14ac:dyDescent="0.2">
      <c r="A1760" s="256"/>
      <c r="B1760" s="265"/>
      <c r="C1760" s="303"/>
      <c r="D1760" s="301"/>
      <c r="E1760" s="302"/>
      <c r="F1760" s="301"/>
      <c r="G1760" s="301"/>
      <c r="H1760" s="301"/>
      <c r="I1760" s="301"/>
      <c r="K1760" s="266"/>
      <c r="L1760" s="265"/>
      <c r="M1760" s="267"/>
      <c r="N1760" s="4"/>
      <c r="O1760" s="4"/>
    </row>
    <row r="1761" spans="1:15" x14ac:dyDescent="0.2">
      <c r="A1761" s="256"/>
      <c r="B1761" s="265"/>
      <c r="C1761" s="303"/>
      <c r="D1761" s="301"/>
      <c r="E1761" s="302"/>
      <c r="F1761" s="301"/>
      <c r="G1761" s="301"/>
      <c r="H1761" s="301"/>
      <c r="I1761" s="301"/>
      <c r="K1761" s="266"/>
      <c r="L1761" s="265"/>
      <c r="M1761" s="267"/>
      <c r="N1761" s="4"/>
      <c r="O1761" s="4"/>
    </row>
    <row r="1762" spans="1:15" x14ac:dyDescent="0.2">
      <c r="A1762" s="256"/>
      <c r="B1762" s="265"/>
      <c r="C1762" s="303"/>
      <c r="D1762" s="301"/>
      <c r="E1762" s="302"/>
      <c r="F1762" s="301"/>
      <c r="G1762" s="301"/>
      <c r="H1762" s="301"/>
      <c r="I1762" s="301"/>
      <c r="K1762" s="266"/>
      <c r="L1762" s="265"/>
      <c r="M1762" s="267"/>
      <c r="N1762" s="4"/>
      <c r="O1762" s="4"/>
    </row>
    <row r="1763" spans="1:15" x14ac:dyDescent="0.2">
      <c r="A1763" s="256"/>
      <c r="B1763" s="265"/>
      <c r="C1763" s="303"/>
      <c r="D1763" s="301"/>
      <c r="E1763" s="302"/>
      <c r="F1763" s="301"/>
      <c r="G1763" s="301"/>
      <c r="H1763" s="301"/>
      <c r="I1763" s="301"/>
      <c r="K1763" s="266"/>
      <c r="L1763" s="265"/>
      <c r="M1763" s="267"/>
      <c r="N1763" s="4"/>
      <c r="O1763" s="4"/>
    </row>
    <row r="1764" spans="1:15" x14ac:dyDescent="0.2">
      <c r="A1764" s="256"/>
      <c r="B1764" s="265"/>
      <c r="C1764" s="303"/>
      <c r="D1764" s="301"/>
      <c r="E1764" s="302"/>
      <c r="F1764" s="301"/>
      <c r="G1764" s="301"/>
      <c r="H1764" s="301"/>
      <c r="I1764" s="301"/>
      <c r="K1764" s="266"/>
      <c r="L1764" s="265"/>
      <c r="M1764" s="267"/>
      <c r="N1764" s="4"/>
      <c r="O1764" s="4"/>
    </row>
    <row r="1765" spans="1:15" x14ac:dyDescent="0.2">
      <c r="A1765" s="256"/>
      <c r="B1765" s="265"/>
      <c r="C1765" s="303"/>
      <c r="D1765" s="301"/>
      <c r="E1765" s="302"/>
      <c r="F1765" s="301"/>
      <c r="G1765" s="301"/>
      <c r="H1765" s="301"/>
      <c r="I1765" s="301"/>
      <c r="K1765" s="266"/>
      <c r="L1765" s="265"/>
      <c r="M1765" s="267"/>
      <c r="N1765" s="4"/>
      <c r="O1765" s="4"/>
    </row>
    <row r="1766" spans="1:15" x14ac:dyDescent="0.2">
      <c r="A1766" s="256"/>
      <c r="B1766" s="265"/>
      <c r="C1766" s="303"/>
      <c r="D1766" s="301"/>
      <c r="E1766" s="302"/>
      <c r="F1766" s="301"/>
      <c r="G1766" s="301"/>
      <c r="H1766" s="301"/>
      <c r="I1766" s="301"/>
      <c r="K1766" s="266"/>
      <c r="L1766" s="265"/>
      <c r="M1766" s="267"/>
      <c r="N1766" s="4"/>
      <c r="O1766" s="4"/>
    </row>
    <row r="1767" spans="1:15" x14ac:dyDescent="0.2">
      <c r="A1767" s="256"/>
      <c r="B1767" s="265"/>
      <c r="C1767" s="303"/>
      <c r="D1767" s="301"/>
      <c r="E1767" s="302"/>
      <c r="F1767" s="301"/>
      <c r="G1767" s="301"/>
      <c r="H1767" s="301"/>
      <c r="I1767" s="301"/>
      <c r="K1767" s="266"/>
      <c r="L1767" s="265"/>
      <c r="M1767" s="267"/>
      <c r="N1767" s="4"/>
      <c r="O1767" s="4"/>
    </row>
    <row r="1768" spans="1:15" x14ac:dyDescent="0.2">
      <c r="A1768" s="256"/>
      <c r="B1768" s="265"/>
      <c r="C1768" s="303"/>
      <c r="D1768" s="301"/>
      <c r="E1768" s="302"/>
      <c r="F1768" s="301"/>
      <c r="G1768" s="301"/>
      <c r="H1768" s="301"/>
      <c r="I1768" s="301"/>
      <c r="K1768" s="266"/>
      <c r="L1768" s="265"/>
      <c r="M1768" s="267"/>
      <c r="N1768" s="4"/>
      <c r="O1768" s="4"/>
    </row>
    <row r="1769" spans="1:15" x14ac:dyDescent="0.2">
      <c r="A1769" s="256"/>
      <c r="B1769" s="265"/>
      <c r="C1769" s="303"/>
      <c r="D1769" s="301"/>
      <c r="E1769" s="302"/>
      <c r="F1769" s="301"/>
      <c r="G1769" s="301"/>
      <c r="H1769" s="301"/>
      <c r="I1769" s="301"/>
      <c r="K1769" s="266"/>
      <c r="L1769" s="265"/>
      <c r="M1769" s="267"/>
      <c r="N1769" s="4"/>
      <c r="O1769" s="4"/>
    </row>
    <row r="1770" spans="1:15" x14ac:dyDescent="0.2">
      <c r="A1770" s="256"/>
      <c r="B1770" s="265"/>
      <c r="C1770" s="303"/>
      <c r="D1770" s="301"/>
      <c r="E1770" s="302"/>
      <c r="F1770" s="301"/>
      <c r="G1770" s="301"/>
      <c r="H1770" s="301"/>
      <c r="I1770" s="301"/>
      <c r="K1770" s="266"/>
      <c r="L1770" s="265"/>
      <c r="M1770" s="267"/>
      <c r="N1770" s="4"/>
      <c r="O1770" s="4"/>
    </row>
    <row r="1771" spans="1:15" x14ac:dyDescent="0.2">
      <c r="A1771" s="256"/>
      <c r="B1771" s="265"/>
      <c r="C1771" s="303"/>
      <c r="D1771" s="301"/>
      <c r="E1771" s="302"/>
      <c r="F1771" s="301"/>
      <c r="G1771" s="301"/>
      <c r="H1771" s="301"/>
      <c r="I1771" s="301"/>
      <c r="K1771" s="266"/>
      <c r="L1771" s="265"/>
      <c r="M1771" s="267"/>
      <c r="N1771" s="4"/>
      <c r="O1771" s="4"/>
    </row>
    <row r="1772" spans="1:15" x14ac:dyDescent="0.2">
      <c r="A1772" s="256"/>
      <c r="B1772" s="265"/>
      <c r="C1772" s="303"/>
      <c r="D1772" s="301"/>
      <c r="E1772" s="302"/>
      <c r="F1772" s="301"/>
      <c r="G1772" s="301"/>
      <c r="H1772" s="301"/>
      <c r="I1772" s="301"/>
      <c r="K1772" s="266"/>
      <c r="L1772" s="265"/>
      <c r="M1772" s="267"/>
      <c r="N1772" s="4"/>
      <c r="O1772" s="4"/>
    </row>
    <row r="1773" spans="1:15" x14ac:dyDescent="0.2">
      <c r="A1773" s="256"/>
      <c r="B1773" s="265"/>
      <c r="C1773" s="303"/>
      <c r="D1773" s="301"/>
      <c r="E1773" s="302"/>
      <c r="F1773" s="301"/>
      <c r="G1773" s="301"/>
      <c r="H1773" s="301"/>
      <c r="I1773" s="301"/>
      <c r="K1773" s="266"/>
      <c r="L1773" s="265"/>
      <c r="M1773" s="267"/>
      <c r="N1773" s="4"/>
      <c r="O1773" s="4"/>
    </row>
    <row r="1774" spans="1:15" x14ac:dyDescent="0.2">
      <c r="A1774" s="256"/>
      <c r="B1774" s="265"/>
      <c r="C1774" s="303"/>
      <c r="D1774" s="301"/>
      <c r="E1774" s="302"/>
      <c r="F1774" s="301"/>
      <c r="G1774" s="301"/>
      <c r="H1774" s="301"/>
      <c r="I1774" s="301"/>
      <c r="K1774" s="266"/>
      <c r="L1774" s="265"/>
      <c r="M1774" s="267"/>
      <c r="N1774" s="4"/>
      <c r="O1774" s="4"/>
    </row>
    <row r="1775" spans="1:15" x14ac:dyDescent="0.2">
      <c r="A1775" s="256"/>
      <c r="B1775" s="265"/>
      <c r="C1775" s="303"/>
      <c r="D1775" s="301"/>
      <c r="E1775" s="302"/>
      <c r="F1775" s="301"/>
      <c r="G1775" s="301"/>
      <c r="H1775" s="301"/>
      <c r="I1775" s="301"/>
      <c r="K1775" s="266"/>
      <c r="L1775" s="265"/>
      <c r="M1775" s="267"/>
      <c r="N1775" s="4"/>
      <c r="O1775" s="4"/>
    </row>
    <row r="1776" spans="1:15" x14ac:dyDescent="0.2">
      <c r="A1776" s="256"/>
      <c r="B1776" s="265"/>
      <c r="C1776" s="303"/>
      <c r="D1776" s="301"/>
      <c r="E1776" s="302"/>
      <c r="F1776" s="301"/>
      <c r="G1776" s="301"/>
      <c r="H1776" s="301"/>
      <c r="I1776" s="301"/>
      <c r="K1776" s="266"/>
      <c r="L1776" s="265"/>
      <c r="M1776" s="267"/>
      <c r="N1776" s="4"/>
      <c r="O1776" s="4"/>
    </row>
    <row r="1777" spans="1:15" x14ac:dyDescent="0.2">
      <c r="A1777" s="256"/>
      <c r="B1777" s="265"/>
      <c r="C1777" s="303"/>
      <c r="D1777" s="301"/>
      <c r="E1777" s="302"/>
      <c r="F1777" s="301"/>
      <c r="G1777" s="301"/>
      <c r="H1777" s="301"/>
      <c r="I1777" s="301"/>
      <c r="K1777" s="266"/>
      <c r="L1777" s="265"/>
      <c r="M1777" s="267"/>
      <c r="N1777" s="4"/>
      <c r="O1777" s="4"/>
    </row>
    <row r="1778" spans="1:15" x14ac:dyDescent="0.2">
      <c r="A1778" s="256"/>
      <c r="B1778" s="265"/>
      <c r="C1778" s="303"/>
      <c r="D1778" s="301"/>
      <c r="E1778" s="302"/>
      <c r="F1778" s="301"/>
      <c r="G1778" s="301"/>
      <c r="H1778" s="301"/>
      <c r="I1778" s="301"/>
      <c r="K1778" s="266"/>
      <c r="L1778" s="265"/>
      <c r="M1778" s="267"/>
      <c r="N1778" s="4"/>
      <c r="O1778" s="4"/>
    </row>
    <row r="1779" spans="1:15" x14ac:dyDescent="0.2">
      <c r="A1779" s="256"/>
      <c r="B1779" s="265"/>
      <c r="C1779" s="303"/>
      <c r="D1779" s="301"/>
      <c r="E1779" s="302"/>
      <c r="F1779" s="301"/>
      <c r="G1779" s="301"/>
      <c r="H1779" s="301"/>
      <c r="I1779" s="301"/>
      <c r="K1779" s="266"/>
      <c r="L1779" s="265"/>
      <c r="M1779" s="267"/>
      <c r="N1779" s="4"/>
      <c r="O1779" s="4"/>
    </row>
    <row r="1780" spans="1:15" x14ac:dyDescent="0.2">
      <c r="A1780" s="256"/>
      <c r="B1780" s="265"/>
      <c r="C1780" s="303"/>
      <c r="D1780" s="301"/>
      <c r="E1780" s="302"/>
      <c r="F1780" s="301"/>
      <c r="G1780" s="301"/>
      <c r="H1780" s="301"/>
      <c r="I1780" s="301"/>
      <c r="K1780" s="266"/>
      <c r="L1780" s="265"/>
      <c r="M1780" s="267"/>
      <c r="N1780" s="4"/>
      <c r="O1780" s="4"/>
    </row>
    <row r="1781" spans="1:15" x14ac:dyDescent="0.2">
      <c r="A1781" s="256"/>
      <c r="B1781" s="265"/>
      <c r="C1781" s="303"/>
      <c r="D1781" s="301"/>
      <c r="E1781" s="302"/>
      <c r="F1781" s="301"/>
      <c r="G1781" s="301"/>
      <c r="H1781" s="301"/>
      <c r="I1781" s="301"/>
      <c r="K1781" s="266"/>
      <c r="L1781" s="265"/>
      <c r="M1781" s="267"/>
      <c r="N1781" s="4"/>
      <c r="O1781" s="4"/>
    </row>
    <row r="1782" spans="1:15" x14ac:dyDescent="0.2">
      <c r="A1782" s="256"/>
      <c r="B1782" s="265"/>
      <c r="C1782" s="303"/>
      <c r="D1782" s="301"/>
      <c r="E1782" s="302"/>
      <c r="F1782" s="301"/>
      <c r="G1782" s="301"/>
      <c r="H1782" s="301"/>
      <c r="I1782" s="301"/>
      <c r="K1782" s="266"/>
      <c r="L1782" s="265"/>
      <c r="M1782" s="267"/>
      <c r="N1782" s="4"/>
      <c r="O1782" s="4"/>
    </row>
    <row r="1783" spans="1:15" x14ac:dyDescent="0.2">
      <c r="A1783" s="256"/>
      <c r="B1783" s="265"/>
      <c r="C1783" s="303"/>
      <c r="D1783" s="301"/>
      <c r="E1783" s="302"/>
      <c r="F1783" s="301"/>
      <c r="G1783" s="301"/>
      <c r="H1783" s="301"/>
      <c r="I1783" s="301"/>
      <c r="K1783" s="266"/>
      <c r="L1783" s="265"/>
      <c r="M1783" s="267"/>
      <c r="N1783" s="4"/>
      <c r="O1783" s="4"/>
    </row>
    <row r="1784" spans="1:15" x14ac:dyDescent="0.2">
      <c r="A1784" s="256"/>
      <c r="B1784" s="265"/>
      <c r="C1784" s="303"/>
      <c r="D1784" s="301"/>
      <c r="E1784" s="302"/>
      <c r="F1784" s="301"/>
      <c r="G1784" s="301"/>
      <c r="H1784" s="301"/>
      <c r="I1784" s="301"/>
      <c r="K1784" s="266"/>
      <c r="L1784" s="265"/>
      <c r="M1784" s="267"/>
      <c r="N1784" s="4"/>
      <c r="O1784" s="4"/>
    </row>
    <row r="1785" spans="1:15" x14ac:dyDescent="0.2">
      <c r="A1785" s="256"/>
      <c r="B1785" s="265"/>
      <c r="C1785" s="303"/>
      <c r="D1785" s="301"/>
      <c r="E1785" s="302"/>
      <c r="F1785" s="301"/>
      <c r="G1785" s="301"/>
      <c r="H1785" s="301"/>
      <c r="I1785" s="301"/>
      <c r="K1785" s="266"/>
      <c r="L1785" s="265"/>
      <c r="M1785" s="267"/>
      <c r="N1785" s="4"/>
      <c r="O1785" s="4"/>
    </row>
    <row r="1786" spans="1:15" x14ac:dyDescent="0.2">
      <c r="A1786" s="256"/>
      <c r="B1786" s="265"/>
      <c r="C1786" s="303"/>
      <c r="D1786" s="301"/>
      <c r="E1786" s="302"/>
      <c r="F1786" s="301"/>
      <c r="G1786" s="301"/>
      <c r="H1786" s="301"/>
      <c r="I1786" s="301"/>
      <c r="K1786" s="266"/>
      <c r="L1786" s="265"/>
      <c r="M1786" s="267"/>
      <c r="N1786" s="4"/>
      <c r="O1786" s="4"/>
    </row>
    <row r="1787" spans="1:15" x14ac:dyDescent="0.2">
      <c r="A1787" s="256"/>
      <c r="B1787" s="265"/>
      <c r="C1787" s="303"/>
      <c r="D1787" s="301"/>
      <c r="E1787" s="302"/>
      <c r="F1787" s="301"/>
      <c r="G1787" s="301"/>
      <c r="H1787" s="301"/>
      <c r="I1787" s="301"/>
      <c r="K1787" s="266"/>
      <c r="L1787" s="265"/>
      <c r="M1787" s="267"/>
      <c r="N1787" s="4"/>
      <c r="O1787" s="4"/>
    </row>
    <row r="1788" spans="1:15" x14ac:dyDescent="0.2">
      <c r="A1788" s="256"/>
      <c r="B1788" s="265"/>
      <c r="C1788" s="303"/>
      <c r="D1788" s="301"/>
      <c r="E1788" s="302"/>
      <c r="F1788" s="301"/>
      <c r="G1788" s="301"/>
      <c r="H1788" s="301"/>
      <c r="I1788" s="301"/>
      <c r="K1788" s="266"/>
      <c r="L1788" s="265"/>
      <c r="M1788" s="267"/>
      <c r="N1788" s="4"/>
      <c r="O1788" s="4"/>
    </row>
    <row r="1789" spans="1:15" x14ac:dyDescent="0.2">
      <c r="A1789" s="256"/>
      <c r="B1789" s="265"/>
      <c r="C1789" s="303"/>
      <c r="D1789" s="301"/>
      <c r="E1789" s="302"/>
      <c r="F1789" s="301"/>
      <c r="G1789" s="301"/>
      <c r="H1789" s="301"/>
      <c r="I1789" s="301"/>
      <c r="K1789" s="266"/>
      <c r="L1789" s="265"/>
      <c r="M1789" s="267"/>
      <c r="N1789" s="4"/>
      <c r="O1789" s="4"/>
    </row>
    <row r="1790" spans="1:15" x14ac:dyDescent="0.2">
      <c r="A1790" s="256"/>
      <c r="B1790" s="265"/>
      <c r="C1790" s="303"/>
      <c r="D1790" s="301"/>
      <c r="E1790" s="302"/>
      <c r="F1790" s="301"/>
      <c r="G1790" s="301"/>
      <c r="H1790" s="301"/>
      <c r="I1790" s="301"/>
      <c r="K1790" s="266"/>
      <c r="L1790" s="265"/>
      <c r="M1790" s="267"/>
      <c r="N1790" s="4"/>
      <c r="O1790" s="4"/>
    </row>
    <row r="1791" spans="1:15" x14ac:dyDescent="0.2">
      <c r="A1791" s="256"/>
      <c r="B1791" s="265"/>
      <c r="C1791" s="303"/>
      <c r="D1791" s="301"/>
      <c r="E1791" s="302"/>
      <c r="F1791" s="301"/>
      <c r="G1791" s="301"/>
      <c r="H1791" s="301"/>
      <c r="I1791" s="301"/>
      <c r="K1791" s="266"/>
      <c r="L1791" s="265"/>
      <c r="M1791" s="267"/>
      <c r="N1791" s="4"/>
      <c r="O1791" s="4"/>
    </row>
    <row r="1792" spans="1:15" x14ac:dyDescent="0.2">
      <c r="A1792" s="256"/>
      <c r="B1792" s="265"/>
      <c r="C1792" s="303"/>
      <c r="D1792" s="301"/>
      <c r="E1792" s="302"/>
      <c r="F1792" s="301"/>
      <c r="G1792" s="301"/>
      <c r="H1792" s="301"/>
      <c r="I1792" s="301"/>
      <c r="K1792" s="266"/>
      <c r="L1792" s="265"/>
      <c r="M1792" s="267"/>
      <c r="N1792" s="4"/>
      <c r="O1792" s="4"/>
    </row>
    <row r="1793" spans="1:15" x14ac:dyDescent="0.2">
      <c r="A1793" s="256"/>
      <c r="B1793" s="265"/>
      <c r="C1793" s="303"/>
      <c r="D1793" s="301"/>
      <c r="E1793" s="302"/>
      <c r="F1793" s="301"/>
      <c r="G1793" s="301"/>
      <c r="H1793" s="301"/>
      <c r="I1793" s="301"/>
      <c r="K1793" s="266"/>
      <c r="L1793" s="265"/>
      <c r="M1793" s="267"/>
      <c r="N1793" s="4"/>
      <c r="O1793" s="4"/>
    </row>
    <row r="1794" spans="1:15" x14ac:dyDescent="0.2">
      <c r="A1794" s="256"/>
      <c r="B1794" s="265"/>
      <c r="C1794" s="303"/>
      <c r="D1794" s="301"/>
      <c r="E1794" s="302"/>
      <c r="F1794" s="301"/>
      <c r="G1794" s="301"/>
      <c r="H1794" s="301"/>
      <c r="I1794" s="301"/>
      <c r="K1794" s="266"/>
      <c r="L1794" s="265"/>
      <c r="M1794" s="267"/>
      <c r="N1794" s="4"/>
      <c r="O1794" s="4"/>
    </row>
    <row r="1795" spans="1:15" x14ac:dyDescent="0.2">
      <c r="A1795" s="256"/>
      <c r="B1795" s="265"/>
      <c r="C1795" s="303"/>
      <c r="D1795" s="301"/>
      <c r="E1795" s="302"/>
      <c r="F1795" s="301"/>
      <c r="G1795" s="301"/>
      <c r="H1795" s="301"/>
      <c r="I1795" s="301"/>
      <c r="K1795" s="266"/>
      <c r="L1795" s="265"/>
      <c r="M1795" s="267"/>
      <c r="N1795" s="4"/>
      <c r="O1795" s="4"/>
    </row>
    <row r="1796" spans="1:15" x14ac:dyDescent="0.2">
      <c r="A1796" s="256"/>
      <c r="B1796" s="265"/>
      <c r="C1796" s="303"/>
      <c r="D1796" s="301"/>
      <c r="E1796" s="302"/>
      <c r="F1796" s="301"/>
      <c r="G1796" s="301"/>
      <c r="H1796" s="301"/>
      <c r="I1796" s="301"/>
      <c r="K1796" s="266"/>
      <c r="L1796" s="265"/>
      <c r="M1796" s="267"/>
      <c r="N1796" s="4"/>
      <c r="O1796" s="4"/>
    </row>
    <row r="1797" spans="1:15" x14ac:dyDescent="0.2">
      <c r="A1797" s="256"/>
      <c r="B1797" s="265"/>
      <c r="C1797" s="303"/>
      <c r="D1797" s="301"/>
      <c r="E1797" s="302"/>
      <c r="F1797" s="301"/>
      <c r="G1797" s="301"/>
      <c r="H1797" s="301"/>
      <c r="I1797" s="301"/>
      <c r="K1797" s="266"/>
      <c r="L1797" s="265"/>
      <c r="M1797" s="267"/>
      <c r="N1797" s="4"/>
      <c r="O1797" s="4"/>
    </row>
    <row r="1798" spans="1:15" x14ac:dyDescent="0.2">
      <c r="A1798" s="256"/>
      <c r="B1798" s="265"/>
      <c r="C1798" s="303"/>
      <c r="D1798" s="301"/>
      <c r="E1798" s="302"/>
      <c r="F1798" s="301"/>
      <c r="G1798" s="301"/>
      <c r="H1798" s="301"/>
      <c r="I1798" s="301"/>
      <c r="K1798" s="266"/>
      <c r="L1798" s="265"/>
      <c r="M1798" s="267"/>
      <c r="N1798" s="4"/>
      <c r="O1798" s="4"/>
    </row>
    <row r="1799" spans="1:15" x14ac:dyDescent="0.2">
      <c r="A1799" s="256"/>
      <c r="B1799" s="265"/>
      <c r="C1799" s="303"/>
      <c r="D1799" s="301"/>
      <c r="E1799" s="302"/>
      <c r="F1799" s="301"/>
      <c r="G1799" s="301"/>
      <c r="H1799" s="301"/>
      <c r="I1799" s="301"/>
      <c r="K1799" s="266"/>
      <c r="L1799" s="265"/>
      <c r="M1799" s="267"/>
      <c r="N1799" s="4"/>
      <c r="O1799" s="4"/>
    </row>
    <row r="1800" spans="1:15" x14ac:dyDescent="0.2">
      <c r="A1800" s="256"/>
      <c r="B1800" s="265"/>
      <c r="C1800" s="303"/>
      <c r="D1800" s="301"/>
      <c r="E1800" s="302"/>
      <c r="F1800" s="301"/>
      <c r="G1800" s="301"/>
      <c r="H1800" s="301"/>
      <c r="I1800" s="301"/>
      <c r="K1800" s="266"/>
      <c r="L1800" s="265"/>
      <c r="M1800" s="267"/>
      <c r="N1800" s="4"/>
      <c r="O1800" s="4"/>
    </row>
    <row r="1801" spans="1:15" x14ac:dyDescent="0.2">
      <c r="A1801" s="256"/>
      <c r="B1801" s="265"/>
      <c r="C1801" s="303"/>
      <c r="D1801" s="301"/>
      <c r="E1801" s="302"/>
      <c r="F1801" s="301"/>
      <c r="G1801" s="301"/>
      <c r="H1801" s="301"/>
      <c r="I1801" s="301"/>
      <c r="K1801" s="266"/>
      <c r="L1801" s="265"/>
      <c r="M1801" s="267"/>
      <c r="N1801" s="4"/>
      <c r="O1801" s="4"/>
    </row>
    <row r="1802" spans="1:15" x14ac:dyDescent="0.2">
      <c r="A1802" s="256"/>
      <c r="B1802" s="265"/>
      <c r="C1802" s="303"/>
      <c r="D1802" s="301"/>
      <c r="E1802" s="302"/>
      <c r="F1802" s="301"/>
      <c r="G1802" s="301"/>
      <c r="H1802" s="301"/>
      <c r="I1802" s="301"/>
      <c r="K1802" s="266"/>
      <c r="L1802" s="265"/>
      <c r="M1802" s="267"/>
      <c r="N1802" s="4"/>
      <c r="O1802" s="4"/>
    </row>
    <row r="1803" spans="1:15" x14ac:dyDescent="0.2">
      <c r="A1803" s="256"/>
      <c r="B1803" s="265"/>
      <c r="C1803" s="303"/>
      <c r="D1803" s="301"/>
      <c r="E1803" s="302"/>
      <c r="F1803" s="301"/>
      <c r="G1803" s="301"/>
      <c r="H1803" s="301"/>
      <c r="I1803" s="301"/>
      <c r="K1803" s="266"/>
      <c r="L1803" s="265"/>
      <c r="M1803" s="267"/>
      <c r="N1803" s="4"/>
      <c r="O1803" s="4"/>
    </row>
    <row r="1804" spans="1:15" x14ac:dyDescent="0.2">
      <c r="A1804" s="256"/>
      <c r="B1804" s="265"/>
      <c r="C1804" s="303"/>
      <c r="D1804" s="301"/>
      <c r="E1804" s="302"/>
      <c r="F1804" s="301"/>
      <c r="G1804" s="301"/>
      <c r="H1804" s="301"/>
      <c r="I1804" s="301"/>
      <c r="K1804" s="266"/>
      <c r="L1804" s="265"/>
      <c r="M1804" s="267"/>
      <c r="N1804" s="4"/>
      <c r="O1804" s="4"/>
    </row>
    <row r="1805" spans="1:15" x14ac:dyDescent="0.2">
      <c r="A1805" s="256"/>
      <c r="B1805" s="265"/>
      <c r="C1805" s="303"/>
      <c r="D1805" s="301"/>
      <c r="E1805" s="302"/>
      <c r="F1805" s="301"/>
      <c r="G1805" s="301"/>
      <c r="H1805" s="301"/>
      <c r="I1805" s="301"/>
      <c r="K1805" s="266"/>
      <c r="L1805" s="265"/>
      <c r="M1805" s="267"/>
      <c r="N1805" s="4"/>
      <c r="O1805" s="4"/>
    </row>
    <row r="1806" spans="1:15" x14ac:dyDescent="0.2">
      <c r="A1806" s="256"/>
      <c r="B1806" s="265"/>
      <c r="C1806" s="303"/>
      <c r="D1806" s="301"/>
      <c r="E1806" s="302"/>
      <c r="F1806" s="301"/>
      <c r="G1806" s="301"/>
      <c r="H1806" s="301"/>
      <c r="I1806" s="301"/>
      <c r="K1806" s="266"/>
      <c r="L1806" s="265"/>
      <c r="M1806" s="267"/>
      <c r="N1806" s="4"/>
      <c r="O1806" s="4"/>
    </row>
    <row r="1807" spans="1:15" x14ac:dyDescent="0.2">
      <c r="A1807" s="256"/>
      <c r="B1807" s="265"/>
      <c r="C1807" s="303"/>
      <c r="D1807" s="301"/>
      <c r="E1807" s="302"/>
      <c r="F1807" s="301"/>
      <c r="G1807" s="301"/>
      <c r="H1807" s="301"/>
      <c r="I1807" s="301"/>
      <c r="K1807" s="266"/>
      <c r="L1807" s="265"/>
      <c r="M1807" s="267"/>
      <c r="N1807" s="4"/>
      <c r="O1807" s="4"/>
    </row>
    <row r="1808" spans="1:15" x14ac:dyDescent="0.2">
      <c r="A1808" s="256"/>
      <c r="B1808" s="265"/>
      <c r="C1808" s="303"/>
      <c r="D1808" s="301"/>
      <c r="E1808" s="302"/>
      <c r="F1808" s="301"/>
      <c r="G1808" s="301"/>
      <c r="H1808" s="301"/>
      <c r="I1808" s="301"/>
      <c r="K1808" s="266"/>
      <c r="L1808" s="265"/>
      <c r="M1808" s="267"/>
      <c r="N1808" s="4"/>
      <c r="O1808" s="4"/>
    </row>
    <row r="1809" spans="1:15" x14ac:dyDescent="0.2">
      <c r="A1809" s="256"/>
      <c r="B1809" s="265"/>
      <c r="C1809" s="303"/>
      <c r="D1809" s="301"/>
      <c r="E1809" s="302"/>
      <c r="F1809" s="301"/>
      <c r="G1809" s="301"/>
      <c r="H1809" s="301"/>
      <c r="I1809" s="301"/>
      <c r="K1809" s="266"/>
      <c r="L1809" s="265"/>
      <c r="M1809" s="267"/>
      <c r="N1809" s="4"/>
      <c r="O1809" s="4"/>
    </row>
    <row r="1810" spans="1:15" x14ac:dyDescent="0.2">
      <c r="A1810" s="256"/>
      <c r="B1810" s="265"/>
      <c r="C1810" s="303"/>
      <c r="D1810" s="301"/>
      <c r="E1810" s="302"/>
      <c r="F1810" s="301"/>
      <c r="G1810" s="301"/>
      <c r="H1810" s="301"/>
      <c r="I1810" s="301"/>
      <c r="K1810" s="266"/>
      <c r="L1810" s="265"/>
      <c r="M1810" s="267"/>
      <c r="N1810" s="4"/>
      <c r="O1810" s="4"/>
    </row>
    <row r="1811" spans="1:15" x14ac:dyDescent="0.2">
      <c r="A1811" s="256"/>
      <c r="B1811" s="265"/>
      <c r="C1811" s="303"/>
      <c r="D1811" s="301"/>
      <c r="E1811" s="302"/>
      <c r="F1811" s="301"/>
      <c r="G1811" s="301"/>
      <c r="H1811" s="301"/>
      <c r="I1811" s="301"/>
      <c r="K1811" s="266"/>
      <c r="L1811" s="265"/>
      <c r="M1811" s="267"/>
      <c r="N1811" s="4"/>
      <c r="O1811" s="4"/>
    </row>
    <row r="1812" spans="1:15" x14ac:dyDescent="0.2">
      <c r="A1812" s="256"/>
      <c r="B1812" s="265"/>
      <c r="C1812" s="303"/>
      <c r="D1812" s="301"/>
      <c r="E1812" s="302"/>
      <c r="F1812" s="301"/>
      <c r="G1812" s="301"/>
      <c r="H1812" s="301"/>
      <c r="I1812" s="301"/>
      <c r="K1812" s="266"/>
      <c r="L1812" s="265"/>
      <c r="M1812" s="267"/>
      <c r="N1812" s="4"/>
      <c r="O1812" s="4"/>
    </row>
    <row r="1813" spans="1:15" x14ac:dyDescent="0.2">
      <c r="A1813" s="256"/>
      <c r="B1813" s="265"/>
      <c r="C1813" s="303"/>
      <c r="D1813" s="301"/>
      <c r="E1813" s="302"/>
      <c r="F1813" s="301"/>
      <c r="G1813" s="301"/>
      <c r="H1813" s="301"/>
      <c r="I1813" s="301"/>
      <c r="K1813" s="266"/>
      <c r="L1813" s="265"/>
      <c r="M1813" s="267"/>
      <c r="N1813" s="4"/>
      <c r="O1813" s="4"/>
    </row>
    <row r="1814" spans="1:15" x14ac:dyDescent="0.2">
      <c r="A1814" s="256"/>
      <c r="B1814" s="265"/>
      <c r="C1814" s="303"/>
      <c r="D1814" s="301"/>
      <c r="E1814" s="302"/>
      <c r="F1814" s="301"/>
      <c r="G1814" s="301"/>
      <c r="H1814" s="301"/>
      <c r="I1814" s="301"/>
      <c r="K1814" s="266"/>
      <c r="L1814" s="265"/>
      <c r="M1814" s="267"/>
      <c r="N1814" s="4"/>
      <c r="O1814" s="4"/>
    </row>
    <row r="1815" spans="1:15" x14ac:dyDescent="0.2">
      <c r="A1815" s="256"/>
      <c r="B1815" s="265"/>
      <c r="C1815" s="303"/>
      <c r="D1815" s="301"/>
      <c r="E1815" s="302"/>
      <c r="F1815" s="301"/>
      <c r="G1815" s="301"/>
      <c r="H1815" s="301"/>
      <c r="I1815" s="301"/>
      <c r="K1815" s="266"/>
      <c r="L1815" s="265"/>
      <c r="M1815" s="267"/>
      <c r="N1815" s="4"/>
      <c r="O1815" s="4"/>
    </row>
    <row r="1816" spans="1:15" x14ac:dyDescent="0.2">
      <c r="A1816" s="256"/>
      <c r="B1816" s="265"/>
      <c r="C1816" s="303"/>
      <c r="D1816" s="301"/>
      <c r="E1816" s="302"/>
      <c r="F1816" s="301"/>
      <c r="G1816" s="301"/>
      <c r="H1816" s="301"/>
      <c r="I1816" s="301"/>
      <c r="K1816" s="266"/>
      <c r="L1816" s="265"/>
      <c r="M1816" s="267"/>
      <c r="N1816" s="4"/>
      <c r="O1816" s="4"/>
    </row>
    <row r="1817" spans="1:15" x14ac:dyDescent="0.2">
      <c r="A1817" s="256"/>
      <c r="B1817" s="265"/>
      <c r="C1817" s="303"/>
      <c r="D1817" s="301"/>
      <c r="E1817" s="302"/>
      <c r="F1817" s="301"/>
      <c r="G1817" s="301"/>
      <c r="H1817" s="301"/>
      <c r="I1817" s="301"/>
      <c r="K1817" s="266"/>
      <c r="L1817" s="265"/>
      <c r="M1817" s="267"/>
      <c r="N1817" s="4"/>
      <c r="O1817" s="4"/>
    </row>
    <row r="1818" spans="1:15" x14ac:dyDescent="0.2">
      <c r="A1818" s="256"/>
      <c r="B1818" s="265"/>
      <c r="C1818" s="303"/>
      <c r="D1818" s="301"/>
      <c r="E1818" s="302"/>
      <c r="F1818" s="301"/>
      <c r="G1818" s="301"/>
      <c r="H1818" s="301"/>
      <c r="I1818" s="301"/>
      <c r="K1818" s="266"/>
      <c r="L1818" s="265"/>
      <c r="M1818" s="267"/>
      <c r="N1818" s="4"/>
      <c r="O1818" s="4"/>
    </row>
    <row r="1819" spans="1:15" x14ac:dyDescent="0.2">
      <c r="A1819" s="256"/>
      <c r="B1819" s="265"/>
      <c r="C1819" s="303"/>
      <c r="D1819" s="301"/>
      <c r="E1819" s="302"/>
      <c r="F1819" s="301"/>
      <c r="G1819" s="301"/>
      <c r="H1819" s="301"/>
      <c r="I1819" s="301"/>
      <c r="K1819" s="266"/>
      <c r="L1819" s="265"/>
      <c r="M1819" s="267"/>
      <c r="N1819" s="4"/>
      <c r="O1819" s="4"/>
    </row>
    <row r="1820" spans="1:15" x14ac:dyDescent="0.2">
      <c r="A1820" s="256"/>
      <c r="B1820" s="265"/>
      <c r="C1820" s="303"/>
      <c r="D1820" s="301"/>
      <c r="E1820" s="302"/>
      <c r="F1820" s="301"/>
      <c r="G1820" s="301"/>
      <c r="H1820" s="301"/>
      <c r="I1820" s="301"/>
      <c r="K1820" s="266"/>
      <c r="L1820" s="265"/>
      <c r="M1820" s="267"/>
      <c r="N1820" s="4"/>
      <c r="O1820" s="4"/>
    </row>
    <row r="1821" spans="1:15" x14ac:dyDescent="0.2">
      <c r="A1821" s="256"/>
      <c r="B1821" s="265"/>
      <c r="C1821" s="303"/>
      <c r="D1821" s="301"/>
      <c r="E1821" s="302"/>
      <c r="F1821" s="301"/>
      <c r="G1821" s="301"/>
      <c r="H1821" s="301"/>
      <c r="I1821" s="301"/>
      <c r="K1821" s="266"/>
      <c r="L1821" s="265"/>
      <c r="M1821" s="267"/>
      <c r="N1821" s="4"/>
      <c r="O1821" s="4"/>
    </row>
    <row r="1822" spans="1:15" x14ac:dyDescent="0.2">
      <c r="A1822" s="256"/>
      <c r="B1822" s="265"/>
      <c r="C1822" s="303"/>
      <c r="D1822" s="301"/>
      <c r="E1822" s="302"/>
      <c r="F1822" s="301"/>
      <c r="G1822" s="301"/>
      <c r="H1822" s="301"/>
      <c r="I1822" s="301"/>
      <c r="K1822" s="266"/>
      <c r="L1822" s="265"/>
      <c r="M1822" s="267"/>
      <c r="N1822" s="4"/>
      <c r="O1822" s="4"/>
    </row>
    <row r="1823" spans="1:15" x14ac:dyDescent="0.2">
      <c r="A1823" s="256"/>
      <c r="B1823" s="265"/>
      <c r="C1823" s="303"/>
      <c r="D1823" s="301"/>
      <c r="E1823" s="302"/>
      <c r="F1823" s="301"/>
      <c r="G1823" s="301"/>
      <c r="H1823" s="301"/>
      <c r="I1823" s="301"/>
      <c r="K1823" s="266"/>
      <c r="L1823" s="265"/>
      <c r="M1823" s="267"/>
      <c r="N1823" s="4"/>
      <c r="O1823" s="4"/>
    </row>
    <row r="1824" spans="1:15" x14ac:dyDescent="0.2">
      <c r="A1824" s="256"/>
      <c r="B1824" s="265"/>
      <c r="C1824" s="303"/>
      <c r="D1824" s="301"/>
      <c r="E1824" s="302"/>
      <c r="F1824" s="301"/>
      <c r="G1824" s="301"/>
      <c r="H1824" s="301"/>
      <c r="I1824" s="301"/>
      <c r="K1824" s="266"/>
      <c r="L1824" s="265"/>
      <c r="M1824" s="267"/>
      <c r="N1824" s="4"/>
      <c r="O1824" s="4"/>
    </row>
    <row r="1825" spans="1:15" x14ac:dyDescent="0.2">
      <c r="A1825" s="256"/>
      <c r="B1825" s="265"/>
      <c r="C1825" s="303"/>
      <c r="D1825" s="301"/>
      <c r="E1825" s="302"/>
      <c r="F1825" s="301"/>
      <c r="G1825" s="301"/>
      <c r="H1825" s="301"/>
      <c r="I1825" s="301"/>
      <c r="K1825" s="266"/>
      <c r="L1825" s="265"/>
      <c r="M1825" s="267"/>
      <c r="N1825" s="4"/>
      <c r="O1825" s="4"/>
    </row>
    <row r="1826" spans="1:15" x14ac:dyDescent="0.2">
      <c r="A1826" s="256"/>
      <c r="B1826" s="265"/>
      <c r="C1826" s="303"/>
      <c r="D1826" s="301"/>
      <c r="E1826" s="302"/>
      <c r="F1826" s="301"/>
      <c r="G1826" s="301"/>
      <c r="H1826" s="301"/>
      <c r="I1826" s="301"/>
      <c r="K1826" s="266"/>
      <c r="L1826" s="265"/>
      <c r="M1826" s="267"/>
      <c r="N1826" s="4"/>
      <c r="O1826" s="4"/>
    </row>
    <row r="1827" spans="1:15" x14ac:dyDescent="0.2">
      <c r="A1827" s="256"/>
      <c r="B1827" s="265"/>
      <c r="C1827" s="303"/>
      <c r="D1827" s="301"/>
      <c r="E1827" s="302"/>
      <c r="F1827" s="301"/>
      <c r="G1827" s="301"/>
      <c r="H1827" s="301"/>
      <c r="I1827" s="301"/>
      <c r="K1827" s="266"/>
      <c r="L1827" s="265"/>
      <c r="M1827" s="267"/>
      <c r="N1827" s="4"/>
      <c r="O1827" s="4"/>
    </row>
    <row r="1828" spans="1:15" x14ac:dyDescent="0.2">
      <c r="A1828" s="256"/>
      <c r="B1828" s="265"/>
      <c r="C1828" s="303"/>
      <c r="D1828" s="301"/>
      <c r="E1828" s="302"/>
      <c r="F1828" s="301"/>
      <c r="G1828" s="301"/>
      <c r="H1828" s="301"/>
      <c r="I1828" s="301"/>
      <c r="K1828" s="266"/>
      <c r="L1828" s="265"/>
      <c r="M1828" s="267"/>
      <c r="N1828" s="4"/>
      <c r="O1828" s="4"/>
    </row>
    <row r="1829" spans="1:15" x14ac:dyDescent="0.2">
      <c r="A1829" s="256"/>
      <c r="B1829" s="265"/>
      <c r="C1829" s="303"/>
      <c r="D1829" s="301"/>
      <c r="E1829" s="302"/>
      <c r="F1829" s="301"/>
      <c r="G1829" s="301"/>
      <c r="H1829" s="301"/>
      <c r="I1829" s="301"/>
      <c r="K1829" s="266"/>
      <c r="L1829" s="265"/>
      <c r="M1829" s="267"/>
      <c r="N1829" s="4"/>
      <c r="O1829" s="4"/>
    </row>
    <row r="1830" spans="1:15" x14ac:dyDescent="0.2">
      <c r="A1830" s="256"/>
      <c r="B1830" s="265"/>
      <c r="C1830" s="303"/>
      <c r="D1830" s="301"/>
      <c r="E1830" s="302"/>
      <c r="F1830" s="301"/>
      <c r="G1830" s="301"/>
      <c r="H1830" s="301"/>
      <c r="I1830" s="301"/>
      <c r="K1830" s="266"/>
      <c r="L1830" s="265"/>
      <c r="M1830" s="267"/>
      <c r="N1830" s="4"/>
      <c r="O1830" s="4"/>
    </row>
    <row r="1831" spans="1:15" x14ac:dyDescent="0.2">
      <c r="A1831" s="256"/>
      <c r="B1831" s="265"/>
      <c r="C1831" s="303"/>
      <c r="D1831" s="301"/>
      <c r="E1831" s="302"/>
      <c r="F1831" s="301"/>
      <c r="G1831" s="301"/>
      <c r="H1831" s="301"/>
      <c r="I1831" s="301"/>
      <c r="K1831" s="266"/>
      <c r="L1831" s="265"/>
      <c r="M1831" s="267"/>
      <c r="N1831" s="4"/>
      <c r="O1831" s="4"/>
    </row>
    <row r="1832" spans="1:15" x14ac:dyDescent="0.2">
      <c r="A1832" s="256"/>
      <c r="B1832" s="265"/>
      <c r="C1832" s="303"/>
      <c r="D1832" s="301"/>
      <c r="E1832" s="302"/>
      <c r="F1832" s="301"/>
      <c r="G1832" s="301"/>
      <c r="H1832" s="301"/>
      <c r="I1832" s="301"/>
      <c r="K1832" s="266"/>
      <c r="L1832" s="265"/>
      <c r="M1832" s="267"/>
      <c r="N1832" s="4"/>
      <c r="O1832" s="4"/>
    </row>
    <row r="1833" spans="1:15" x14ac:dyDescent="0.2">
      <c r="A1833" s="256"/>
      <c r="B1833" s="265"/>
      <c r="C1833" s="303"/>
      <c r="D1833" s="301"/>
      <c r="E1833" s="302"/>
      <c r="F1833" s="301"/>
      <c r="G1833" s="301"/>
      <c r="H1833" s="301"/>
      <c r="I1833" s="301"/>
      <c r="K1833" s="266"/>
      <c r="L1833" s="265"/>
      <c r="M1833" s="267"/>
      <c r="N1833" s="4"/>
      <c r="O1833" s="4"/>
    </row>
    <row r="1834" spans="1:15" x14ac:dyDescent="0.2">
      <c r="A1834" s="256"/>
      <c r="B1834" s="265"/>
      <c r="C1834" s="303"/>
      <c r="D1834" s="301"/>
      <c r="E1834" s="302"/>
      <c r="F1834" s="301"/>
      <c r="G1834" s="301"/>
      <c r="H1834" s="301"/>
      <c r="I1834" s="301"/>
      <c r="K1834" s="266"/>
      <c r="L1834" s="265"/>
      <c r="M1834" s="267"/>
      <c r="N1834" s="4"/>
      <c r="O1834" s="4"/>
    </row>
    <row r="1835" spans="1:15" x14ac:dyDescent="0.2">
      <c r="A1835" s="256"/>
      <c r="B1835" s="265"/>
      <c r="C1835" s="303"/>
      <c r="D1835" s="301"/>
      <c r="E1835" s="302"/>
      <c r="F1835" s="301"/>
      <c r="G1835" s="301"/>
      <c r="H1835" s="301"/>
      <c r="I1835" s="301"/>
      <c r="K1835" s="266"/>
      <c r="L1835" s="265"/>
      <c r="M1835" s="267"/>
      <c r="N1835" s="4"/>
      <c r="O1835" s="4"/>
    </row>
    <row r="1836" spans="1:15" x14ac:dyDescent="0.2">
      <c r="A1836" s="256"/>
      <c r="B1836" s="265"/>
      <c r="C1836" s="303"/>
      <c r="D1836" s="301"/>
      <c r="E1836" s="302"/>
      <c r="F1836" s="301"/>
      <c r="G1836" s="301"/>
      <c r="H1836" s="301"/>
      <c r="I1836" s="301"/>
      <c r="K1836" s="266"/>
      <c r="L1836" s="265"/>
      <c r="M1836" s="267"/>
      <c r="N1836" s="4"/>
      <c r="O1836" s="4"/>
    </row>
    <row r="1837" spans="1:15" x14ac:dyDescent="0.2">
      <c r="A1837" s="256"/>
      <c r="B1837" s="265"/>
      <c r="C1837" s="303"/>
      <c r="D1837" s="301"/>
      <c r="E1837" s="302"/>
      <c r="F1837" s="301"/>
      <c r="G1837" s="301"/>
      <c r="H1837" s="301"/>
      <c r="I1837" s="301"/>
      <c r="K1837" s="266"/>
      <c r="L1837" s="265"/>
      <c r="M1837" s="267"/>
      <c r="N1837" s="4"/>
      <c r="O1837" s="4"/>
    </row>
    <row r="1838" spans="1:15" x14ac:dyDescent="0.2">
      <c r="A1838" s="256"/>
      <c r="B1838" s="265"/>
      <c r="C1838" s="303"/>
      <c r="D1838" s="301"/>
      <c r="E1838" s="302"/>
      <c r="F1838" s="301"/>
      <c r="G1838" s="301"/>
      <c r="H1838" s="301"/>
      <c r="I1838" s="301"/>
      <c r="K1838" s="266"/>
      <c r="L1838" s="265"/>
      <c r="M1838" s="267"/>
      <c r="N1838" s="4"/>
      <c r="O1838" s="4"/>
    </row>
    <row r="1839" spans="1:15" x14ac:dyDescent="0.2">
      <c r="A1839" s="256"/>
      <c r="B1839" s="265"/>
      <c r="C1839" s="303"/>
      <c r="D1839" s="301"/>
      <c r="E1839" s="302"/>
      <c r="F1839" s="301"/>
      <c r="G1839" s="301"/>
      <c r="H1839" s="301"/>
      <c r="I1839" s="301"/>
      <c r="K1839" s="266"/>
      <c r="L1839" s="265"/>
      <c r="M1839" s="267"/>
      <c r="N1839" s="4"/>
      <c r="O1839" s="4"/>
    </row>
    <row r="1840" spans="1:15" x14ac:dyDescent="0.2">
      <c r="A1840" s="256"/>
      <c r="B1840" s="265"/>
      <c r="C1840" s="303"/>
      <c r="D1840" s="301"/>
      <c r="E1840" s="302"/>
      <c r="F1840" s="301"/>
      <c r="G1840" s="301"/>
      <c r="H1840" s="301"/>
      <c r="I1840" s="301"/>
      <c r="K1840" s="266"/>
      <c r="L1840" s="265"/>
      <c r="M1840" s="267"/>
      <c r="N1840" s="4"/>
      <c r="O1840" s="4"/>
    </row>
    <row r="1841" spans="1:15" x14ac:dyDescent="0.2">
      <c r="A1841" s="256"/>
      <c r="B1841" s="265"/>
      <c r="C1841" s="303"/>
      <c r="D1841" s="301"/>
      <c r="E1841" s="302"/>
      <c r="F1841" s="301"/>
      <c r="G1841" s="301"/>
      <c r="H1841" s="301"/>
      <c r="I1841" s="301"/>
      <c r="K1841" s="266"/>
      <c r="L1841" s="265"/>
      <c r="M1841" s="267"/>
      <c r="N1841" s="4"/>
      <c r="O1841" s="4"/>
    </row>
    <row r="1842" spans="1:15" x14ac:dyDescent="0.2">
      <c r="A1842" s="256"/>
      <c r="B1842" s="265"/>
      <c r="C1842" s="303"/>
      <c r="D1842" s="301"/>
      <c r="E1842" s="302"/>
      <c r="F1842" s="301"/>
      <c r="G1842" s="301"/>
      <c r="H1842" s="301"/>
      <c r="I1842" s="301"/>
      <c r="K1842" s="266"/>
      <c r="L1842" s="265"/>
      <c r="M1842" s="267"/>
      <c r="N1842" s="4"/>
      <c r="O1842" s="4"/>
    </row>
    <row r="1843" spans="1:15" x14ac:dyDescent="0.2">
      <c r="A1843" s="256"/>
      <c r="B1843" s="265"/>
      <c r="C1843" s="303"/>
      <c r="D1843" s="301"/>
      <c r="E1843" s="302"/>
      <c r="F1843" s="301"/>
      <c r="G1843" s="301"/>
      <c r="H1843" s="301"/>
      <c r="I1843" s="301"/>
      <c r="K1843" s="266"/>
      <c r="L1843" s="265"/>
      <c r="M1843" s="267"/>
      <c r="N1843" s="4"/>
      <c r="O1843" s="4"/>
    </row>
    <row r="1844" spans="1:15" x14ac:dyDescent="0.2">
      <c r="A1844" s="256"/>
      <c r="B1844" s="265"/>
      <c r="C1844" s="303"/>
      <c r="D1844" s="301"/>
      <c r="E1844" s="302"/>
      <c r="F1844" s="301"/>
      <c r="G1844" s="301"/>
      <c r="H1844" s="301"/>
      <c r="I1844" s="301"/>
      <c r="K1844" s="266"/>
      <c r="L1844" s="265"/>
      <c r="M1844" s="267"/>
      <c r="N1844" s="4"/>
      <c r="O1844" s="4"/>
    </row>
    <row r="1845" spans="1:15" x14ac:dyDescent="0.2">
      <c r="A1845" s="256"/>
      <c r="B1845" s="265"/>
      <c r="C1845" s="303"/>
      <c r="D1845" s="301"/>
      <c r="E1845" s="302"/>
      <c r="F1845" s="301"/>
      <c r="G1845" s="301"/>
      <c r="H1845" s="301"/>
      <c r="I1845" s="301"/>
      <c r="K1845" s="266"/>
      <c r="L1845" s="265"/>
      <c r="M1845" s="267"/>
      <c r="N1845" s="4"/>
      <c r="O1845" s="4"/>
    </row>
    <row r="1846" spans="1:15" x14ac:dyDescent="0.2">
      <c r="A1846" s="256"/>
      <c r="B1846" s="265"/>
      <c r="C1846" s="303"/>
      <c r="D1846" s="301"/>
      <c r="E1846" s="302"/>
      <c r="F1846" s="301"/>
      <c r="G1846" s="301"/>
      <c r="H1846" s="301"/>
      <c r="I1846" s="301"/>
      <c r="K1846" s="266"/>
      <c r="L1846" s="265"/>
      <c r="M1846" s="267"/>
      <c r="N1846" s="4"/>
      <c r="O1846" s="4"/>
    </row>
    <row r="1847" spans="1:15" x14ac:dyDescent="0.2">
      <c r="A1847" s="256"/>
      <c r="B1847" s="265"/>
      <c r="C1847" s="303"/>
      <c r="D1847" s="301"/>
      <c r="E1847" s="302"/>
      <c r="F1847" s="301"/>
      <c r="G1847" s="301"/>
      <c r="H1847" s="301"/>
      <c r="I1847" s="301"/>
      <c r="K1847" s="266"/>
      <c r="L1847" s="265"/>
      <c r="M1847" s="267"/>
      <c r="N1847" s="4"/>
      <c r="O1847" s="4"/>
    </row>
    <row r="1848" spans="1:15" x14ac:dyDescent="0.2">
      <c r="A1848" s="256"/>
      <c r="B1848" s="265"/>
      <c r="C1848" s="303"/>
      <c r="D1848" s="301"/>
      <c r="E1848" s="302"/>
      <c r="F1848" s="301"/>
      <c r="G1848" s="301"/>
      <c r="H1848" s="301"/>
      <c r="I1848" s="301"/>
      <c r="K1848" s="266"/>
      <c r="L1848" s="265"/>
      <c r="M1848" s="267"/>
      <c r="N1848" s="4"/>
      <c r="O1848" s="4"/>
    </row>
    <row r="1849" spans="1:15" x14ac:dyDescent="0.2">
      <c r="A1849" s="256"/>
      <c r="B1849" s="265"/>
      <c r="C1849" s="303"/>
      <c r="D1849" s="301"/>
      <c r="E1849" s="302"/>
      <c r="F1849" s="301"/>
      <c r="G1849" s="301"/>
      <c r="H1849" s="301"/>
      <c r="I1849" s="301"/>
      <c r="K1849" s="266"/>
      <c r="L1849" s="265"/>
      <c r="M1849" s="267"/>
      <c r="N1849" s="4"/>
      <c r="O1849" s="4"/>
    </row>
    <row r="1850" spans="1:15" x14ac:dyDescent="0.2">
      <c r="A1850" s="256"/>
      <c r="B1850" s="265"/>
      <c r="C1850" s="303"/>
      <c r="D1850" s="301"/>
      <c r="E1850" s="302"/>
      <c r="F1850" s="301"/>
      <c r="G1850" s="301"/>
      <c r="H1850" s="301"/>
      <c r="I1850" s="301"/>
      <c r="K1850" s="266"/>
      <c r="L1850" s="265"/>
      <c r="M1850" s="267"/>
      <c r="N1850" s="4"/>
      <c r="O1850" s="4"/>
    </row>
    <row r="1851" spans="1:15" x14ac:dyDescent="0.2">
      <c r="A1851" s="256"/>
      <c r="B1851" s="265"/>
      <c r="C1851" s="303"/>
      <c r="D1851" s="301"/>
      <c r="E1851" s="302"/>
      <c r="F1851" s="301"/>
      <c r="G1851" s="301"/>
      <c r="H1851" s="301"/>
      <c r="I1851" s="301"/>
      <c r="K1851" s="266"/>
      <c r="L1851" s="265"/>
      <c r="M1851" s="267"/>
      <c r="N1851" s="4"/>
      <c r="O1851" s="4"/>
    </row>
    <row r="1852" spans="1:15" x14ac:dyDescent="0.2">
      <c r="A1852" s="256"/>
      <c r="B1852" s="265"/>
      <c r="C1852" s="303"/>
      <c r="D1852" s="301"/>
      <c r="E1852" s="302"/>
      <c r="F1852" s="301"/>
      <c r="G1852" s="301"/>
      <c r="H1852" s="301"/>
      <c r="I1852" s="301"/>
      <c r="K1852" s="266"/>
      <c r="L1852" s="265"/>
      <c r="M1852" s="267"/>
      <c r="N1852" s="4"/>
      <c r="O1852" s="4"/>
    </row>
    <row r="1853" spans="1:15" x14ac:dyDescent="0.2">
      <c r="A1853" s="256"/>
      <c r="B1853" s="265"/>
      <c r="C1853" s="303"/>
      <c r="D1853" s="301"/>
      <c r="E1853" s="302"/>
      <c r="F1853" s="301"/>
      <c r="G1853" s="301"/>
      <c r="H1853" s="301"/>
      <c r="I1853" s="301"/>
      <c r="K1853" s="266"/>
      <c r="L1853" s="265"/>
      <c r="M1853" s="267"/>
      <c r="N1853" s="4"/>
      <c r="O1853" s="4"/>
    </row>
    <row r="1854" spans="1:15" x14ac:dyDescent="0.2">
      <c r="A1854" s="256"/>
      <c r="B1854" s="265"/>
      <c r="C1854" s="303"/>
      <c r="D1854" s="301"/>
      <c r="E1854" s="302"/>
      <c r="F1854" s="301"/>
      <c r="G1854" s="301"/>
      <c r="H1854" s="301"/>
      <c r="I1854" s="301"/>
      <c r="K1854" s="266"/>
      <c r="L1854" s="265"/>
      <c r="M1854" s="267"/>
      <c r="N1854" s="4"/>
      <c r="O1854" s="4"/>
    </row>
    <row r="1855" spans="1:15" x14ac:dyDescent="0.2">
      <c r="A1855" s="256"/>
      <c r="B1855" s="265"/>
      <c r="C1855" s="303"/>
      <c r="D1855" s="301"/>
      <c r="E1855" s="302"/>
      <c r="F1855" s="301"/>
      <c r="G1855" s="301"/>
      <c r="H1855" s="301"/>
      <c r="I1855" s="301"/>
      <c r="K1855" s="266"/>
      <c r="L1855" s="265"/>
      <c r="M1855" s="267"/>
      <c r="N1855" s="4"/>
      <c r="O1855" s="4"/>
    </row>
    <row r="1856" spans="1:15" x14ac:dyDescent="0.2">
      <c r="A1856" s="256"/>
      <c r="B1856" s="265"/>
      <c r="C1856" s="303"/>
      <c r="D1856" s="301"/>
      <c r="E1856" s="302"/>
      <c r="F1856" s="301"/>
      <c r="G1856" s="301"/>
      <c r="H1856" s="301"/>
      <c r="I1856" s="301"/>
      <c r="K1856" s="266"/>
      <c r="L1856" s="265"/>
      <c r="M1856" s="267"/>
      <c r="N1856" s="4"/>
      <c r="O1856" s="4"/>
    </row>
    <row r="1857" spans="1:15" x14ac:dyDescent="0.2">
      <c r="A1857" s="256"/>
      <c r="B1857" s="265"/>
      <c r="C1857" s="303"/>
      <c r="D1857" s="301"/>
      <c r="E1857" s="302"/>
      <c r="F1857" s="301"/>
      <c r="G1857" s="301"/>
      <c r="H1857" s="301"/>
      <c r="I1857" s="301"/>
      <c r="K1857" s="266"/>
      <c r="L1857" s="265"/>
      <c r="M1857" s="267"/>
      <c r="N1857" s="4"/>
      <c r="O1857" s="4"/>
    </row>
    <row r="1858" spans="1:15" x14ac:dyDescent="0.2">
      <c r="A1858" s="256"/>
      <c r="B1858" s="265"/>
      <c r="C1858" s="303"/>
      <c r="D1858" s="301"/>
      <c r="E1858" s="302"/>
      <c r="F1858" s="301"/>
      <c r="G1858" s="301"/>
      <c r="H1858" s="301"/>
      <c r="I1858" s="301"/>
      <c r="K1858" s="266"/>
      <c r="L1858" s="265"/>
      <c r="M1858" s="267"/>
      <c r="N1858" s="4"/>
      <c r="O1858" s="4"/>
    </row>
    <row r="1859" spans="1:15" x14ac:dyDescent="0.2">
      <c r="A1859" s="256"/>
      <c r="B1859" s="265"/>
      <c r="C1859" s="303"/>
      <c r="D1859" s="301"/>
      <c r="E1859" s="302"/>
      <c r="F1859" s="301"/>
      <c r="G1859" s="301"/>
      <c r="H1859" s="301"/>
      <c r="I1859" s="301"/>
      <c r="K1859" s="266"/>
      <c r="L1859" s="265"/>
      <c r="M1859" s="267"/>
      <c r="N1859" s="4"/>
      <c r="O1859" s="4"/>
    </row>
    <row r="1860" spans="1:15" x14ac:dyDescent="0.2">
      <c r="A1860" s="256"/>
      <c r="B1860" s="265"/>
      <c r="C1860" s="303"/>
      <c r="D1860" s="301"/>
      <c r="E1860" s="302"/>
      <c r="F1860" s="301"/>
      <c r="G1860" s="301"/>
      <c r="H1860" s="301"/>
      <c r="I1860" s="301"/>
      <c r="K1860" s="266"/>
      <c r="L1860" s="265"/>
      <c r="M1860" s="267"/>
      <c r="N1860" s="4"/>
      <c r="O1860" s="4"/>
    </row>
    <row r="1861" spans="1:15" x14ac:dyDescent="0.2">
      <c r="A1861" s="256"/>
      <c r="B1861" s="265"/>
      <c r="C1861" s="303"/>
      <c r="D1861" s="301"/>
      <c r="E1861" s="302"/>
      <c r="F1861" s="301"/>
      <c r="G1861" s="301"/>
      <c r="H1861" s="301"/>
      <c r="I1861" s="301"/>
      <c r="K1861" s="266"/>
      <c r="L1861" s="265"/>
      <c r="M1861" s="267"/>
      <c r="N1861" s="4"/>
      <c r="O1861" s="4"/>
    </row>
    <row r="1862" spans="1:15" x14ac:dyDescent="0.2">
      <c r="A1862" s="256"/>
      <c r="B1862" s="265"/>
      <c r="C1862" s="303"/>
      <c r="D1862" s="301"/>
      <c r="E1862" s="302"/>
      <c r="F1862" s="301"/>
      <c r="G1862" s="301"/>
      <c r="H1862" s="301"/>
      <c r="I1862" s="301"/>
      <c r="K1862" s="266"/>
      <c r="L1862" s="265"/>
      <c r="M1862" s="267"/>
      <c r="N1862" s="4"/>
      <c r="O1862" s="4"/>
    </row>
    <row r="1863" spans="1:15" x14ac:dyDescent="0.2">
      <c r="A1863" s="256"/>
      <c r="B1863" s="265"/>
      <c r="C1863" s="303"/>
      <c r="D1863" s="301"/>
      <c r="E1863" s="302"/>
      <c r="F1863" s="301"/>
      <c r="G1863" s="301"/>
      <c r="H1863" s="301"/>
      <c r="I1863" s="301"/>
      <c r="K1863" s="266"/>
      <c r="L1863" s="265"/>
      <c r="M1863" s="267"/>
      <c r="N1863" s="4"/>
      <c r="O1863" s="4"/>
    </row>
    <row r="1864" spans="1:15" x14ac:dyDescent="0.2">
      <c r="A1864" s="256"/>
      <c r="B1864" s="265"/>
      <c r="C1864" s="303"/>
      <c r="D1864" s="301"/>
      <c r="E1864" s="302"/>
      <c r="F1864" s="301"/>
      <c r="G1864" s="301"/>
      <c r="H1864" s="301"/>
      <c r="I1864" s="301"/>
      <c r="K1864" s="266"/>
      <c r="L1864" s="265"/>
      <c r="M1864" s="267"/>
      <c r="N1864" s="4"/>
      <c r="O1864" s="4"/>
    </row>
    <row r="1865" spans="1:15" x14ac:dyDescent="0.2">
      <c r="A1865" s="256"/>
      <c r="B1865" s="265"/>
      <c r="C1865" s="303"/>
      <c r="D1865" s="301"/>
      <c r="E1865" s="302"/>
      <c r="F1865" s="301"/>
      <c r="G1865" s="301"/>
      <c r="H1865" s="301"/>
      <c r="I1865" s="301"/>
      <c r="K1865" s="266"/>
      <c r="L1865" s="265"/>
      <c r="M1865" s="267"/>
      <c r="N1865" s="4"/>
      <c r="O1865" s="4"/>
    </row>
    <row r="1866" spans="1:15" x14ac:dyDescent="0.2">
      <c r="A1866" s="256"/>
      <c r="B1866" s="265"/>
      <c r="C1866" s="303"/>
      <c r="D1866" s="301"/>
      <c r="E1866" s="302"/>
      <c r="F1866" s="301"/>
      <c r="G1866" s="301"/>
      <c r="H1866" s="301"/>
      <c r="I1866" s="301"/>
      <c r="K1866" s="266"/>
      <c r="L1866" s="265"/>
      <c r="M1866" s="267"/>
      <c r="N1866" s="4"/>
      <c r="O1866" s="4"/>
    </row>
    <row r="1867" spans="1:15" x14ac:dyDescent="0.2">
      <c r="A1867" s="256"/>
      <c r="B1867" s="265"/>
      <c r="C1867" s="303"/>
      <c r="D1867" s="301"/>
      <c r="E1867" s="302"/>
      <c r="F1867" s="301"/>
      <c r="G1867" s="301"/>
      <c r="H1867" s="301"/>
      <c r="I1867" s="301"/>
      <c r="K1867" s="266"/>
      <c r="L1867" s="265"/>
      <c r="M1867" s="267"/>
      <c r="N1867" s="4"/>
      <c r="O1867" s="4"/>
    </row>
    <row r="1868" spans="1:15" x14ac:dyDescent="0.2">
      <c r="A1868" s="256"/>
      <c r="B1868" s="265"/>
      <c r="C1868" s="303"/>
      <c r="D1868" s="301"/>
      <c r="E1868" s="302"/>
      <c r="F1868" s="301"/>
      <c r="G1868" s="301"/>
      <c r="H1868" s="301"/>
      <c r="I1868" s="301"/>
      <c r="K1868" s="266"/>
      <c r="L1868" s="265"/>
      <c r="M1868" s="267"/>
      <c r="N1868" s="4"/>
      <c r="O1868" s="4"/>
    </row>
    <row r="1869" spans="1:15" x14ac:dyDescent="0.2">
      <c r="A1869" s="256"/>
      <c r="B1869" s="265"/>
      <c r="C1869" s="303"/>
      <c r="D1869" s="301"/>
      <c r="E1869" s="302"/>
      <c r="F1869" s="301"/>
      <c r="G1869" s="301"/>
      <c r="H1869" s="301"/>
      <c r="I1869" s="301"/>
      <c r="K1869" s="266"/>
      <c r="L1869" s="265"/>
      <c r="M1869" s="267"/>
      <c r="N1869" s="4"/>
      <c r="O1869" s="4"/>
    </row>
    <row r="1870" spans="1:15" x14ac:dyDescent="0.2">
      <c r="A1870" s="256"/>
      <c r="B1870" s="265"/>
      <c r="C1870" s="303"/>
      <c r="D1870" s="301"/>
      <c r="E1870" s="302"/>
      <c r="F1870" s="301"/>
      <c r="G1870" s="301"/>
      <c r="H1870" s="301"/>
      <c r="I1870" s="301"/>
      <c r="K1870" s="266"/>
      <c r="L1870" s="265"/>
      <c r="M1870" s="267"/>
      <c r="N1870" s="4"/>
      <c r="O1870" s="4"/>
    </row>
    <row r="1871" spans="1:15" x14ac:dyDescent="0.2">
      <c r="A1871" s="256"/>
      <c r="B1871" s="265"/>
      <c r="C1871" s="303"/>
      <c r="D1871" s="301"/>
      <c r="E1871" s="302"/>
      <c r="F1871" s="301"/>
      <c r="G1871" s="301"/>
      <c r="H1871" s="301"/>
      <c r="I1871" s="301"/>
      <c r="K1871" s="266"/>
      <c r="L1871" s="265"/>
      <c r="M1871" s="267"/>
      <c r="N1871" s="4"/>
      <c r="O1871" s="4"/>
    </row>
    <row r="1872" spans="1:15" x14ac:dyDescent="0.2">
      <c r="A1872" s="256"/>
      <c r="B1872" s="265"/>
      <c r="C1872" s="303"/>
      <c r="D1872" s="301"/>
      <c r="E1872" s="302"/>
      <c r="F1872" s="301"/>
      <c r="G1872" s="301"/>
      <c r="H1872" s="301"/>
      <c r="I1872" s="301"/>
      <c r="K1872" s="266"/>
      <c r="L1872" s="265"/>
      <c r="M1872" s="267"/>
      <c r="N1872" s="4"/>
      <c r="O1872" s="4"/>
    </row>
    <row r="1873" spans="1:15" x14ac:dyDescent="0.2">
      <c r="A1873" s="256"/>
      <c r="B1873" s="265"/>
      <c r="C1873" s="303"/>
      <c r="D1873" s="301"/>
      <c r="E1873" s="302"/>
      <c r="F1873" s="301"/>
      <c r="G1873" s="301"/>
      <c r="H1873" s="301"/>
      <c r="I1873" s="301"/>
      <c r="K1873" s="266"/>
      <c r="L1873" s="265"/>
      <c r="M1873" s="267"/>
      <c r="N1873" s="4"/>
      <c r="O1873" s="4"/>
    </row>
    <row r="1874" spans="1:15" x14ac:dyDescent="0.2">
      <c r="A1874" s="256"/>
      <c r="B1874" s="265"/>
      <c r="C1874" s="303"/>
      <c r="D1874" s="301"/>
      <c r="E1874" s="302"/>
      <c r="F1874" s="301"/>
      <c r="G1874" s="301"/>
      <c r="H1874" s="301"/>
      <c r="I1874" s="301"/>
      <c r="K1874" s="266"/>
      <c r="L1874" s="265"/>
      <c r="M1874" s="267"/>
      <c r="N1874" s="4"/>
      <c r="O1874" s="4"/>
    </row>
    <row r="1875" spans="1:15" x14ac:dyDescent="0.2">
      <c r="A1875" s="256"/>
      <c r="B1875" s="265"/>
      <c r="C1875" s="303"/>
      <c r="D1875" s="301"/>
      <c r="E1875" s="302"/>
      <c r="F1875" s="301"/>
      <c r="G1875" s="301"/>
      <c r="H1875" s="301"/>
      <c r="I1875" s="301"/>
      <c r="K1875" s="266"/>
      <c r="L1875" s="265"/>
      <c r="M1875" s="267"/>
      <c r="N1875" s="4"/>
      <c r="O1875" s="4"/>
    </row>
    <row r="1876" spans="1:15" x14ac:dyDescent="0.2">
      <c r="A1876" s="256"/>
      <c r="B1876" s="265"/>
      <c r="C1876" s="303"/>
      <c r="D1876" s="301"/>
      <c r="E1876" s="302"/>
      <c r="F1876" s="301"/>
      <c r="G1876" s="301"/>
      <c r="H1876" s="301"/>
      <c r="I1876" s="301"/>
      <c r="K1876" s="266"/>
      <c r="L1876" s="265"/>
      <c r="M1876" s="267"/>
      <c r="N1876" s="4"/>
      <c r="O1876" s="4"/>
    </row>
    <row r="1877" spans="1:15" x14ac:dyDescent="0.2">
      <c r="A1877" s="256"/>
      <c r="B1877" s="265"/>
      <c r="C1877" s="303"/>
      <c r="D1877" s="301"/>
      <c r="E1877" s="302"/>
      <c r="F1877" s="301"/>
      <c r="G1877" s="301"/>
      <c r="H1877" s="301"/>
      <c r="I1877" s="301"/>
      <c r="K1877" s="266"/>
      <c r="L1877" s="265"/>
      <c r="M1877" s="267"/>
      <c r="N1877" s="4"/>
      <c r="O1877" s="4"/>
    </row>
    <row r="1878" spans="1:15" x14ac:dyDescent="0.2">
      <c r="A1878" s="256"/>
      <c r="B1878" s="265"/>
      <c r="C1878" s="303"/>
      <c r="D1878" s="301"/>
      <c r="E1878" s="302"/>
      <c r="F1878" s="301"/>
      <c r="G1878" s="301"/>
      <c r="H1878" s="301"/>
      <c r="I1878" s="301"/>
      <c r="K1878" s="266"/>
      <c r="L1878" s="265"/>
      <c r="M1878" s="267"/>
      <c r="N1878" s="4"/>
      <c r="O1878" s="4"/>
    </row>
    <row r="1879" spans="1:15" x14ac:dyDescent="0.2">
      <c r="A1879" s="256"/>
      <c r="B1879" s="265"/>
      <c r="C1879" s="303"/>
      <c r="D1879" s="301"/>
      <c r="E1879" s="302"/>
      <c r="F1879" s="301"/>
      <c r="G1879" s="301"/>
      <c r="H1879" s="301"/>
      <c r="I1879" s="301"/>
      <c r="K1879" s="266"/>
      <c r="L1879" s="265"/>
      <c r="M1879" s="267"/>
      <c r="N1879" s="4"/>
      <c r="O1879" s="4"/>
    </row>
    <row r="1880" spans="1:15" x14ac:dyDescent="0.2">
      <c r="A1880" s="256"/>
      <c r="B1880" s="265"/>
      <c r="C1880" s="303"/>
      <c r="D1880" s="301"/>
      <c r="E1880" s="302"/>
      <c r="F1880" s="301"/>
      <c r="G1880" s="301"/>
      <c r="H1880" s="301"/>
      <c r="I1880" s="301"/>
      <c r="K1880" s="266"/>
      <c r="L1880" s="265"/>
      <c r="M1880" s="267"/>
      <c r="N1880" s="4"/>
      <c r="O1880" s="4"/>
    </row>
    <row r="1881" spans="1:15" x14ac:dyDescent="0.2">
      <c r="A1881" s="256"/>
      <c r="B1881" s="265"/>
      <c r="C1881" s="303"/>
      <c r="D1881" s="301"/>
      <c r="E1881" s="302"/>
      <c r="F1881" s="301"/>
      <c r="G1881" s="301"/>
      <c r="H1881" s="301"/>
      <c r="I1881" s="301"/>
      <c r="K1881" s="266"/>
      <c r="L1881" s="265"/>
      <c r="M1881" s="267"/>
      <c r="N1881" s="4"/>
      <c r="O1881" s="4"/>
    </row>
    <row r="1882" spans="1:15" x14ac:dyDescent="0.2">
      <c r="A1882" s="256"/>
      <c r="B1882" s="265"/>
      <c r="C1882" s="303"/>
      <c r="D1882" s="301"/>
      <c r="E1882" s="302"/>
      <c r="F1882" s="301"/>
      <c r="G1882" s="301"/>
      <c r="H1882" s="301"/>
      <c r="I1882" s="301"/>
      <c r="K1882" s="266"/>
      <c r="L1882" s="265"/>
      <c r="M1882" s="267"/>
      <c r="N1882" s="4"/>
      <c r="O1882" s="4"/>
    </row>
    <row r="1883" spans="1:15" x14ac:dyDescent="0.2">
      <c r="A1883" s="256"/>
      <c r="B1883" s="265"/>
      <c r="C1883" s="303"/>
      <c r="D1883" s="301"/>
      <c r="E1883" s="302"/>
      <c r="F1883" s="301"/>
      <c r="G1883" s="301"/>
      <c r="H1883" s="301"/>
      <c r="I1883" s="301"/>
      <c r="K1883" s="266"/>
      <c r="L1883" s="265"/>
      <c r="M1883" s="267"/>
      <c r="N1883" s="4"/>
      <c r="O1883" s="4"/>
    </row>
    <row r="1884" spans="1:15" x14ac:dyDescent="0.2">
      <c r="A1884" s="256"/>
      <c r="B1884" s="265"/>
      <c r="C1884" s="303"/>
      <c r="D1884" s="301"/>
      <c r="E1884" s="302"/>
      <c r="F1884" s="301"/>
      <c r="G1884" s="301"/>
      <c r="H1884" s="301"/>
      <c r="I1884" s="301"/>
      <c r="K1884" s="266"/>
      <c r="L1884" s="265"/>
      <c r="M1884" s="267"/>
      <c r="N1884" s="4"/>
      <c r="O1884" s="4"/>
    </row>
    <row r="1885" spans="1:15" x14ac:dyDescent="0.2">
      <c r="A1885" s="256"/>
      <c r="B1885" s="265"/>
      <c r="C1885" s="303"/>
      <c r="D1885" s="301"/>
      <c r="E1885" s="302"/>
      <c r="F1885" s="301"/>
      <c r="G1885" s="301"/>
      <c r="H1885" s="301"/>
      <c r="I1885" s="301"/>
      <c r="K1885" s="266"/>
      <c r="L1885" s="265"/>
      <c r="M1885" s="267"/>
      <c r="N1885" s="4"/>
      <c r="O1885" s="4"/>
    </row>
    <row r="1886" spans="1:15" x14ac:dyDescent="0.2">
      <c r="A1886" s="256"/>
      <c r="B1886" s="265"/>
      <c r="C1886" s="303"/>
      <c r="D1886" s="301"/>
      <c r="E1886" s="302"/>
      <c r="F1886" s="301"/>
      <c r="G1886" s="301"/>
      <c r="H1886" s="301"/>
      <c r="I1886" s="301"/>
      <c r="K1886" s="266"/>
      <c r="L1886" s="265"/>
      <c r="M1886" s="267"/>
      <c r="N1886" s="4"/>
      <c r="O1886" s="4"/>
    </row>
    <row r="1887" spans="1:15" x14ac:dyDescent="0.2">
      <c r="A1887" s="256"/>
      <c r="B1887" s="265"/>
      <c r="C1887" s="303"/>
      <c r="D1887" s="301"/>
      <c r="E1887" s="302"/>
      <c r="F1887" s="301"/>
      <c r="G1887" s="301"/>
      <c r="H1887" s="301"/>
      <c r="I1887" s="301"/>
      <c r="K1887" s="266"/>
      <c r="L1887" s="265"/>
      <c r="M1887" s="267"/>
      <c r="N1887" s="4"/>
      <c r="O1887" s="4"/>
    </row>
    <row r="1888" spans="1:15" x14ac:dyDescent="0.2">
      <c r="A1888" s="256"/>
      <c r="B1888" s="265"/>
      <c r="C1888" s="303"/>
      <c r="D1888" s="301"/>
      <c r="E1888" s="302"/>
      <c r="F1888" s="301"/>
      <c r="G1888" s="301"/>
      <c r="H1888" s="301"/>
      <c r="I1888" s="301"/>
      <c r="K1888" s="266"/>
      <c r="L1888" s="265"/>
      <c r="M1888" s="267"/>
      <c r="N1888" s="4"/>
      <c r="O1888" s="4"/>
    </row>
    <row r="1889" spans="1:15" x14ac:dyDescent="0.2">
      <c r="A1889" s="256"/>
      <c r="B1889" s="265"/>
      <c r="C1889" s="303"/>
      <c r="D1889" s="301"/>
      <c r="E1889" s="302"/>
      <c r="F1889" s="301"/>
      <c r="G1889" s="301"/>
      <c r="H1889" s="301"/>
      <c r="I1889" s="301"/>
      <c r="K1889" s="266"/>
      <c r="L1889" s="265"/>
      <c r="M1889" s="267"/>
      <c r="N1889" s="4"/>
      <c r="O1889" s="4"/>
    </row>
    <row r="1890" spans="1:15" x14ac:dyDescent="0.2">
      <c r="A1890" s="256"/>
      <c r="B1890" s="265"/>
      <c r="C1890" s="303"/>
      <c r="D1890" s="301"/>
      <c r="E1890" s="302"/>
      <c r="F1890" s="301"/>
      <c r="G1890" s="301"/>
      <c r="H1890" s="301"/>
      <c r="I1890" s="301"/>
      <c r="K1890" s="266"/>
      <c r="L1890" s="265"/>
      <c r="M1890" s="267"/>
      <c r="N1890" s="4"/>
      <c r="O1890" s="4"/>
    </row>
    <row r="1891" spans="1:15" x14ac:dyDescent="0.2">
      <c r="A1891" s="256"/>
      <c r="B1891" s="265"/>
      <c r="C1891" s="303"/>
      <c r="D1891" s="301"/>
      <c r="E1891" s="302"/>
      <c r="F1891" s="301"/>
      <c r="G1891" s="301"/>
      <c r="H1891" s="301"/>
      <c r="I1891" s="301"/>
      <c r="K1891" s="266"/>
      <c r="L1891" s="265"/>
      <c r="M1891" s="267"/>
      <c r="N1891" s="4"/>
      <c r="O1891" s="4"/>
    </row>
    <row r="1892" spans="1:15" x14ac:dyDescent="0.2">
      <c r="A1892" s="256"/>
      <c r="B1892" s="265"/>
      <c r="C1892" s="303"/>
      <c r="D1892" s="301"/>
      <c r="E1892" s="302"/>
      <c r="F1892" s="301"/>
      <c r="G1892" s="301"/>
      <c r="H1892" s="301"/>
      <c r="I1892" s="301"/>
      <c r="K1892" s="266"/>
      <c r="L1892" s="265"/>
      <c r="M1892" s="267"/>
      <c r="N1892" s="4"/>
      <c r="O1892" s="4"/>
    </row>
    <row r="1893" spans="1:15" x14ac:dyDescent="0.2">
      <c r="A1893" s="256"/>
      <c r="B1893" s="265"/>
      <c r="C1893" s="303"/>
      <c r="D1893" s="301"/>
      <c r="E1893" s="302"/>
      <c r="F1893" s="301"/>
      <c r="G1893" s="301"/>
      <c r="H1893" s="301"/>
      <c r="I1893" s="301"/>
      <c r="K1893" s="266"/>
      <c r="L1893" s="265"/>
      <c r="M1893" s="267"/>
      <c r="N1893" s="4"/>
      <c r="O1893" s="4"/>
    </row>
    <row r="1894" spans="1:15" x14ac:dyDescent="0.2">
      <c r="A1894" s="256"/>
      <c r="B1894" s="265"/>
      <c r="C1894" s="303"/>
      <c r="D1894" s="301"/>
      <c r="E1894" s="302"/>
      <c r="F1894" s="301"/>
      <c r="G1894" s="301"/>
      <c r="H1894" s="301"/>
      <c r="I1894" s="301"/>
      <c r="K1894" s="266"/>
      <c r="L1894" s="265"/>
      <c r="M1894" s="267"/>
      <c r="N1894" s="4"/>
      <c r="O1894" s="4"/>
    </row>
    <row r="1895" spans="1:15" x14ac:dyDescent="0.2">
      <c r="A1895" s="256"/>
      <c r="B1895" s="265"/>
      <c r="C1895" s="303"/>
      <c r="D1895" s="301"/>
      <c r="E1895" s="302"/>
      <c r="F1895" s="301"/>
      <c r="G1895" s="301"/>
      <c r="H1895" s="301"/>
      <c r="I1895" s="301"/>
      <c r="K1895" s="266"/>
      <c r="L1895" s="265"/>
      <c r="M1895" s="267"/>
      <c r="N1895" s="4"/>
      <c r="O1895" s="4"/>
    </row>
    <row r="1896" spans="1:15" x14ac:dyDescent="0.2">
      <c r="A1896" s="256"/>
      <c r="B1896" s="265"/>
      <c r="C1896" s="303"/>
      <c r="D1896" s="301"/>
      <c r="E1896" s="302"/>
      <c r="F1896" s="301"/>
      <c r="G1896" s="301"/>
      <c r="H1896" s="301"/>
      <c r="I1896" s="301"/>
      <c r="K1896" s="266"/>
      <c r="L1896" s="265"/>
      <c r="M1896" s="267"/>
      <c r="N1896" s="4"/>
      <c r="O1896" s="4"/>
    </row>
    <row r="1897" spans="1:15" x14ac:dyDescent="0.2">
      <c r="A1897" s="256"/>
      <c r="B1897" s="265"/>
      <c r="C1897" s="303"/>
      <c r="D1897" s="301"/>
      <c r="E1897" s="302"/>
      <c r="F1897" s="301"/>
      <c r="G1897" s="301"/>
      <c r="H1897" s="301"/>
      <c r="I1897" s="301"/>
      <c r="K1897" s="266"/>
      <c r="L1897" s="265"/>
      <c r="M1897" s="267"/>
      <c r="N1897" s="4"/>
      <c r="O1897" s="4"/>
    </row>
    <row r="1898" spans="1:15" x14ac:dyDescent="0.2">
      <c r="A1898" s="256"/>
      <c r="B1898" s="265"/>
      <c r="C1898" s="303"/>
      <c r="D1898" s="301"/>
      <c r="E1898" s="302"/>
      <c r="F1898" s="301"/>
      <c r="G1898" s="301"/>
      <c r="H1898" s="301"/>
      <c r="I1898" s="301"/>
      <c r="K1898" s="266"/>
      <c r="L1898" s="265"/>
      <c r="M1898" s="267"/>
      <c r="N1898" s="4"/>
      <c r="O1898" s="4"/>
    </row>
    <row r="1899" spans="1:15" x14ac:dyDescent="0.2">
      <c r="A1899" s="256"/>
      <c r="B1899" s="265"/>
      <c r="C1899" s="303"/>
      <c r="D1899" s="301"/>
      <c r="E1899" s="302"/>
      <c r="F1899" s="301"/>
      <c r="G1899" s="301"/>
      <c r="H1899" s="301"/>
      <c r="I1899" s="301"/>
      <c r="K1899" s="266"/>
      <c r="L1899" s="265"/>
      <c r="M1899" s="267"/>
      <c r="N1899" s="4"/>
      <c r="O1899" s="4"/>
    </row>
    <row r="1900" spans="1:15" x14ac:dyDescent="0.2">
      <c r="A1900" s="256"/>
      <c r="B1900" s="265"/>
      <c r="C1900" s="303"/>
      <c r="D1900" s="301"/>
      <c r="E1900" s="302"/>
      <c r="F1900" s="301"/>
      <c r="G1900" s="301"/>
      <c r="H1900" s="301"/>
      <c r="I1900" s="301"/>
      <c r="K1900" s="266"/>
      <c r="L1900" s="265"/>
      <c r="M1900" s="267"/>
      <c r="N1900" s="4"/>
      <c r="O1900" s="4"/>
    </row>
    <row r="1901" spans="1:15" x14ac:dyDescent="0.2">
      <c r="A1901" s="256"/>
      <c r="B1901" s="265"/>
      <c r="C1901" s="303"/>
      <c r="D1901" s="301"/>
      <c r="E1901" s="302"/>
      <c r="F1901" s="301"/>
      <c r="G1901" s="301"/>
      <c r="H1901" s="301"/>
      <c r="I1901" s="301"/>
      <c r="K1901" s="266"/>
      <c r="L1901" s="265"/>
      <c r="M1901" s="267"/>
      <c r="N1901" s="4"/>
      <c r="O1901" s="4"/>
    </row>
    <row r="1902" spans="1:15" x14ac:dyDescent="0.2">
      <c r="A1902" s="256"/>
      <c r="B1902" s="265"/>
      <c r="C1902" s="303"/>
      <c r="D1902" s="301"/>
      <c r="E1902" s="302"/>
      <c r="F1902" s="301"/>
      <c r="G1902" s="301"/>
      <c r="H1902" s="301"/>
      <c r="I1902" s="301"/>
      <c r="K1902" s="266"/>
      <c r="L1902" s="265"/>
      <c r="M1902" s="267"/>
      <c r="N1902" s="4"/>
      <c r="O1902" s="4"/>
    </row>
    <row r="1903" spans="1:15" x14ac:dyDescent="0.2">
      <c r="A1903" s="256"/>
      <c r="B1903" s="265"/>
      <c r="C1903" s="303"/>
      <c r="D1903" s="301"/>
      <c r="E1903" s="302"/>
      <c r="F1903" s="301"/>
      <c r="G1903" s="301"/>
      <c r="H1903" s="301"/>
      <c r="I1903" s="301"/>
      <c r="K1903" s="266"/>
      <c r="L1903" s="265"/>
      <c r="M1903" s="267"/>
      <c r="N1903" s="4"/>
      <c r="O1903" s="4"/>
    </row>
    <row r="1904" spans="1:15" x14ac:dyDescent="0.2">
      <c r="A1904" s="256"/>
      <c r="B1904" s="265"/>
      <c r="C1904" s="303"/>
      <c r="D1904" s="301"/>
      <c r="E1904" s="302"/>
      <c r="F1904" s="301"/>
      <c r="G1904" s="301"/>
      <c r="H1904" s="301"/>
      <c r="I1904" s="301"/>
      <c r="K1904" s="266"/>
      <c r="L1904" s="265"/>
      <c r="M1904" s="267"/>
      <c r="N1904" s="4"/>
      <c r="O1904" s="4"/>
    </row>
    <row r="1905" spans="1:15" x14ac:dyDescent="0.2">
      <c r="A1905" s="256"/>
      <c r="B1905" s="265"/>
      <c r="C1905" s="303"/>
      <c r="D1905" s="301"/>
      <c r="E1905" s="302"/>
      <c r="F1905" s="301"/>
      <c r="G1905" s="301"/>
      <c r="H1905" s="301"/>
      <c r="I1905" s="301"/>
      <c r="K1905" s="266"/>
      <c r="L1905" s="265"/>
      <c r="M1905" s="267"/>
      <c r="N1905" s="4"/>
      <c r="O1905" s="4"/>
    </row>
    <row r="1906" spans="1:15" x14ac:dyDescent="0.2">
      <c r="A1906" s="256"/>
      <c r="B1906" s="265"/>
      <c r="C1906" s="303"/>
      <c r="D1906" s="301"/>
      <c r="E1906" s="302"/>
      <c r="F1906" s="301"/>
      <c r="G1906" s="301"/>
      <c r="H1906" s="301"/>
      <c r="I1906" s="301"/>
      <c r="K1906" s="266"/>
      <c r="L1906" s="265"/>
      <c r="M1906" s="267"/>
      <c r="N1906" s="4"/>
      <c r="O1906" s="4"/>
    </row>
    <row r="1907" spans="1:15" x14ac:dyDescent="0.2">
      <c r="A1907" s="256"/>
      <c r="B1907" s="265"/>
      <c r="C1907" s="303"/>
      <c r="D1907" s="301"/>
      <c r="E1907" s="302"/>
      <c r="F1907" s="301"/>
      <c r="G1907" s="301"/>
      <c r="H1907" s="301"/>
      <c r="I1907" s="301"/>
      <c r="K1907" s="266"/>
      <c r="L1907" s="265"/>
      <c r="M1907" s="267"/>
      <c r="N1907" s="4"/>
      <c r="O1907" s="4"/>
    </row>
    <row r="1908" spans="1:15" x14ac:dyDescent="0.2">
      <c r="A1908" s="256"/>
      <c r="B1908" s="265"/>
      <c r="C1908" s="303"/>
      <c r="D1908" s="301"/>
      <c r="E1908" s="302"/>
      <c r="F1908" s="301"/>
      <c r="G1908" s="301"/>
      <c r="H1908" s="301"/>
      <c r="I1908" s="301"/>
      <c r="K1908" s="266"/>
      <c r="L1908" s="265"/>
      <c r="M1908" s="267"/>
      <c r="N1908" s="4"/>
      <c r="O1908" s="4"/>
    </row>
    <row r="1909" spans="1:15" x14ac:dyDescent="0.2">
      <c r="A1909" s="256"/>
      <c r="B1909" s="265"/>
      <c r="C1909" s="303"/>
      <c r="D1909" s="301"/>
      <c r="E1909" s="302"/>
      <c r="F1909" s="301"/>
      <c r="G1909" s="301"/>
      <c r="H1909" s="301"/>
      <c r="I1909" s="301"/>
      <c r="K1909" s="266"/>
      <c r="L1909" s="265"/>
      <c r="M1909" s="267"/>
      <c r="N1909" s="4"/>
      <c r="O1909" s="4"/>
    </row>
    <row r="1910" spans="1:15" x14ac:dyDescent="0.2">
      <c r="A1910" s="256"/>
      <c r="B1910" s="265"/>
      <c r="C1910" s="303"/>
      <c r="D1910" s="301"/>
      <c r="E1910" s="302"/>
      <c r="F1910" s="301"/>
      <c r="G1910" s="301"/>
      <c r="H1910" s="301"/>
      <c r="I1910" s="301"/>
      <c r="K1910" s="266"/>
      <c r="L1910" s="265"/>
      <c r="M1910" s="267"/>
      <c r="N1910" s="4"/>
      <c r="O1910" s="4"/>
    </row>
    <row r="1911" spans="1:15" x14ac:dyDescent="0.2">
      <c r="A1911" s="256"/>
      <c r="B1911" s="265"/>
      <c r="C1911" s="303"/>
      <c r="D1911" s="301"/>
      <c r="E1911" s="302"/>
      <c r="F1911" s="301"/>
      <c r="G1911" s="301"/>
      <c r="H1911" s="301"/>
      <c r="I1911" s="301"/>
      <c r="K1911" s="266"/>
      <c r="L1911" s="265"/>
      <c r="M1911" s="267"/>
      <c r="N1911" s="4"/>
      <c r="O1911" s="4"/>
    </row>
    <row r="1912" spans="1:15" x14ac:dyDescent="0.2">
      <c r="A1912" s="256"/>
      <c r="B1912" s="265"/>
      <c r="C1912" s="303"/>
      <c r="D1912" s="301"/>
      <c r="E1912" s="302"/>
      <c r="F1912" s="301"/>
      <c r="G1912" s="301"/>
      <c r="H1912" s="301"/>
      <c r="I1912" s="301"/>
      <c r="K1912" s="266"/>
      <c r="L1912" s="265"/>
      <c r="M1912" s="267"/>
      <c r="N1912" s="4"/>
      <c r="O1912" s="4"/>
    </row>
    <row r="1913" spans="1:15" x14ac:dyDescent="0.2">
      <c r="A1913" s="256"/>
      <c r="B1913" s="265"/>
      <c r="C1913" s="303"/>
      <c r="D1913" s="301"/>
      <c r="E1913" s="302"/>
      <c r="F1913" s="301"/>
      <c r="G1913" s="301"/>
      <c r="H1913" s="301"/>
      <c r="I1913" s="301"/>
      <c r="K1913" s="266"/>
      <c r="L1913" s="265"/>
      <c r="M1913" s="267"/>
      <c r="N1913" s="4"/>
      <c r="O1913" s="4"/>
    </row>
    <row r="1914" spans="1:15" x14ac:dyDescent="0.2">
      <c r="A1914" s="256"/>
      <c r="B1914" s="265"/>
      <c r="C1914" s="303"/>
      <c r="D1914" s="301"/>
      <c r="E1914" s="302"/>
      <c r="F1914" s="301"/>
      <c r="G1914" s="301"/>
      <c r="H1914" s="301"/>
      <c r="I1914" s="301"/>
      <c r="K1914" s="266"/>
      <c r="L1914" s="265"/>
      <c r="M1914" s="267"/>
      <c r="N1914" s="4"/>
      <c r="O1914" s="4"/>
    </row>
    <row r="1915" spans="1:15" x14ac:dyDescent="0.2">
      <c r="A1915" s="256"/>
      <c r="B1915" s="265"/>
      <c r="C1915" s="303"/>
      <c r="D1915" s="301"/>
      <c r="E1915" s="302"/>
      <c r="F1915" s="301"/>
      <c r="G1915" s="301"/>
      <c r="H1915" s="301"/>
      <c r="I1915" s="301"/>
      <c r="K1915" s="266"/>
      <c r="L1915" s="265"/>
      <c r="M1915" s="267"/>
      <c r="N1915" s="4"/>
      <c r="O1915" s="4"/>
    </row>
    <row r="1916" spans="1:15" x14ac:dyDescent="0.2">
      <c r="A1916" s="256"/>
      <c r="B1916" s="265"/>
      <c r="C1916" s="303"/>
      <c r="D1916" s="301"/>
      <c r="E1916" s="302"/>
      <c r="F1916" s="301"/>
      <c r="G1916" s="301"/>
      <c r="H1916" s="301"/>
      <c r="I1916" s="301"/>
      <c r="K1916" s="266"/>
      <c r="L1916" s="265"/>
      <c r="M1916" s="267"/>
      <c r="N1916" s="4"/>
      <c r="O1916" s="4"/>
    </row>
    <row r="1917" spans="1:15" x14ac:dyDescent="0.2">
      <c r="A1917" s="256"/>
      <c r="B1917" s="265"/>
      <c r="C1917" s="303"/>
      <c r="D1917" s="301"/>
      <c r="E1917" s="302"/>
      <c r="F1917" s="301"/>
      <c r="G1917" s="301"/>
      <c r="H1917" s="301"/>
      <c r="I1917" s="301"/>
      <c r="K1917" s="266"/>
      <c r="L1917" s="265"/>
      <c r="M1917" s="267"/>
      <c r="N1917" s="4"/>
      <c r="O1917" s="4"/>
    </row>
    <row r="1918" spans="1:15" x14ac:dyDescent="0.2">
      <c r="A1918" s="256"/>
      <c r="B1918" s="265"/>
      <c r="C1918" s="303"/>
      <c r="D1918" s="301"/>
      <c r="E1918" s="302"/>
      <c r="F1918" s="301"/>
      <c r="G1918" s="301"/>
      <c r="H1918" s="301"/>
      <c r="I1918" s="301"/>
      <c r="K1918" s="266"/>
      <c r="L1918" s="265"/>
      <c r="M1918" s="267"/>
      <c r="N1918" s="4"/>
      <c r="O1918" s="4"/>
    </row>
    <row r="1919" spans="1:15" x14ac:dyDescent="0.2">
      <c r="A1919" s="256"/>
      <c r="B1919" s="265"/>
      <c r="C1919" s="303"/>
      <c r="D1919" s="301"/>
      <c r="E1919" s="302"/>
      <c r="F1919" s="301"/>
      <c r="G1919" s="301"/>
      <c r="H1919" s="301"/>
      <c r="I1919" s="301"/>
      <c r="K1919" s="266"/>
      <c r="L1919" s="265"/>
      <c r="M1919" s="267"/>
      <c r="N1919" s="4"/>
      <c r="O1919" s="4"/>
    </row>
    <row r="1920" spans="1:15" x14ac:dyDescent="0.2">
      <c r="A1920" s="256"/>
      <c r="B1920" s="265"/>
      <c r="C1920" s="303"/>
      <c r="D1920" s="301"/>
      <c r="E1920" s="302"/>
      <c r="F1920" s="301"/>
      <c r="G1920" s="301"/>
      <c r="H1920" s="301"/>
      <c r="I1920" s="301"/>
      <c r="K1920" s="266"/>
      <c r="L1920" s="265"/>
      <c r="M1920" s="267"/>
      <c r="N1920" s="4"/>
      <c r="O1920" s="4"/>
    </row>
    <row r="1921" spans="1:15" x14ac:dyDescent="0.2">
      <c r="A1921" s="256"/>
      <c r="B1921" s="265"/>
      <c r="C1921" s="303"/>
      <c r="D1921" s="301"/>
      <c r="E1921" s="302"/>
      <c r="F1921" s="301"/>
      <c r="G1921" s="301"/>
      <c r="H1921" s="301"/>
      <c r="I1921" s="301"/>
      <c r="K1921" s="266"/>
      <c r="L1921" s="265"/>
      <c r="M1921" s="267"/>
      <c r="N1921" s="4"/>
      <c r="O1921" s="4"/>
    </row>
    <row r="1922" spans="1:15" x14ac:dyDescent="0.2">
      <c r="A1922" s="256"/>
      <c r="B1922" s="265"/>
      <c r="C1922" s="303"/>
      <c r="D1922" s="301"/>
      <c r="E1922" s="302"/>
      <c r="F1922" s="301"/>
      <c r="G1922" s="301"/>
      <c r="H1922" s="301"/>
      <c r="I1922" s="301"/>
      <c r="K1922" s="266"/>
      <c r="L1922" s="265"/>
      <c r="M1922" s="267"/>
      <c r="N1922" s="4"/>
      <c r="O1922" s="4"/>
    </row>
    <row r="1923" spans="1:15" x14ac:dyDescent="0.2">
      <c r="A1923" s="256"/>
      <c r="B1923" s="265"/>
      <c r="C1923" s="303"/>
      <c r="D1923" s="301"/>
      <c r="E1923" s="302"/>
      <c r="F1923" s="301"/>
      <c r="G1923" s="301"/>
      <c r="H1923" s="301"/>
      <c r="I1923" s="301"/>
      <c r="K1923" s="266"/>
      <c r="L1923" s="265"/>
      <c r="M1923" s="267"/>
      <c r="N1923" s="4"/>
      <c r="O1923" s="4"/>
    </row>
    <row r="1924" spans="1:15" x14ac:dyDescent="0.2">
      <c r="A1924" s="256"/>
      <c r="B1924" s="265"/>
      <c r="C1924" s="303"/>
      <c r="D1924" s="301"/>
      <c r="E1924" s="302"/>
      <c r="F1924" s="301"/>
      <c r="G1924" s="301"/>
      <c r="H1924" s="301"/>
      <c r="I1924" s="301"/>
      <c r="K1924" s="266"/>
      <c r="L1924" s="265"/>
      <c r="M1924" s="267"/>
      <c r="N1924" s="4"/>
      <c r="O1924" s="4"/>
    </row>
    <row r="1925" spans="1:15" x14ac:dyDescent="0.2">
      <c r="A1925" s="256"/>
      <c r="B1925" s="265"/>
      <c r="C1925" s="303"/>
      <c r="D1925" s="301"/>
      <c r="E1925" s="302"/>
      <c r="F1925" s="301"/>
      <c r="G1925" s="301"/>
      <c r="H1925" s="301"/>
      <c r="I1925" s="301"/>
      <c r="K1925" s="266"/>
      <c r="L1925" s="265"/>
      <c r="M1925" s="267"/>
      <c r="N1925" s="4"/>
      <c r="O1925" s="4"/>
    </row>
    <row r="1926" spans="1:15" x14ac:dyDescent="0.2">
      <c r="A1926" s="256"/>
      <c r="B1926" s="265"/>
      <c r="C1926" s="303"/>
      <c r="D1926" s="301"/>
      <c r="E1926" s="302"/>
      <c r="F1926" s="301"/>
      <c r="G1926" s="301"/>
      <c r="H1926" s="301"/>
      <c r="I1926" s="301"/>
      <c r="K1926" s="266"/>
      <c r="L1926" s="265"/>
      <c r="M1926" s="267"/>
      <c r="N1926" s="4"/>
      <c r="O1926" s="4"/>
    </row>
    <row r="1927" spans="1:15" x14ac:dyDescent="0.2">
      <c r="A1927" s="256"/>
      <c r="B1927" s="265"/>
      <c r="C1927" s="303"/>
      <c r="D1927" s="301"/>
      <c r="E1927" s="302"/>
      <c r="F1927" s="301"/>
      <c r="G1927" s="301"/>
      <c r="H1927" s="301"/>
      <c r="I1927" s="301"/>
      <c r="K1927" s="266"/>
      <c r="L1927" s="265"/>
      <c r="M1927" s="267"/>
      <c r="N1927" s="4"/>
      <c r="O1927" s="4"/>
    </row>
    <row r="1928" spans="1:15" x14ac:dyDescent="0.2">
      <c r="A1928" s="256"/>
      <c r="B1928" s="265"/>
      <c r="C1928" s="303"/>
      <c r="D1928" s="301"/>
      <c r="E1928" s="302"/>
      <c r="F1928" s="301"/>
      <c r="G1928" s="301"/>
      <c r="H1928" s="301"/>
      <c r="I1928" s="301"/>
      <c r="K1928" s="266"/>
      <c r="L1928" s="265"/>
      <c r="M1928" s="267"/>
      <c r="N1928" s="4"/>
      <c r="O1928" s="4"/>
    </row>
    <row r="1929" spans="1:15" x14ac:dyDescent="0.2">
      <c r="A1929" s="256"/>
      <c r="B1929" s="265"/>
      <c r="C1929" s="303"/>
      <c r="D1929" s="301"/>
      <c r="E1929" s="302"/>
      <c r="F1929" s="301"/>
      <c r="G1929" s="301"/>
      <c r="H1929" s="301"/>
      <c r="I1929" s="301"/>
      <c r="K1929" s="266"/>
      <c r="L1929" s="265"/>
      <c r="M1929" s="267"/>
      <c r="N1929" s="4"/>
      <c r="O1929" s="4"/>
    </row>
    <row r="1930" spans="1:15" x14ac:dyDescent="0.2">
      <c r="A1930" s="256"/>
      <c r="B1930" s="265"/>
      <c r="C1930" s="303"/>
      <c r="D1930" s="301"/>
      <c r="E1930" s="302"/>
      <c r="F1930" s="301"/>
      <c r="G1930" s="301"/>
      <c r="H1930" s="301"/>
      <c r="I1930" s="301"/>
      <c r="K1930" s="266"/>
      <c r="L1930" s="265"/>
      <c r="M1930" s="267"/>
      <c r="N1930" s="4"/>
      <c r="O1930" s="4"/>
    </row>
    <row r="1931" spans="1:15" x14ac:dyDescent="0.2">
      <c r="A1931" s="256"/>
      <c r="B1931" s="265"/>
      <c r="C1931" s="303"/>
      <c r="D1931" s="301"/>
      <c r="E1931" s="302"/>
      <c r="F1931" s="301"/>
      <c r="G1931" s="301"/>
      <c r="H1931" s="301"/>
      <c r="I1931" s="301"/>
      <c r="K1931" s="266"/>
      <c r="L1931" s="265"/>
      <c r="M1931" s="267"/>
      <c r="N1931" s="4"/>
      <c r="O1931" s="4"/>
    </row>
    <row r="1932" spans="1:15" x14ac:dyDescent="0.2">
      <c r="A1932" s="256"/>
      <c r="B1932" s="265"/>
      <c r="C1932" s="303"/>
      <c r="D1932" s="301"/>
      <c r="E1932" s="302"/>
      <c r="F1932" s="301"/>
      <c r="G1932" s="301"/>
      <c r="H1932" s="301"/>
      <c r="I1932" s="301"/>
      <c r="K1932" s="266"/>
      <c r="L1932" s="265"/>
      <c r="M1932" s="267"/>
      <c r="N1932" s="4"/>
      <c r="O1932" s="4"/>
    </row>
    <row r="1933" spans="1:15" x14ac:dyDescent="0.2">
      <c r="A1933" s="256"/>
      <c r="B1933" s="265"/>
      <c r="C1933" s="303"/>
      <c r="D1933" s="301"/>
      <c r="E1933" s="302"/>
      <c r="F1933" s="301"/>
      <c r="G1933" s="301"/>
      <c r="H1933" s="301"/>
      <c r="I1933" s="301"/>
      <c r="K1933" s="266"/>
      <c r="L1933" s="265"/>
      <c r="M1933" s="267"/>
      <c r="N1933" s="4"/>
      <c r="O1933" s="4"/>
    </row>
    <row r="1934" spans="1:15" x14ac:dyDescent="0.2">
      <c r="A1934" s="256"/>
      <c r="B1934" s="265"/>
      <c r="C1934" s="303"/>
      <c r="D1934" s="301"/>
      <c r="E1934" s="302"/>
      <c r="F1934" s="301"/>
      <c r="G1934" s="301"/>
      <c r="H1934" s="301"/>
      <c r="I1934" s="301"/>
      <c r="K1934" s="266"/>
      <c r="L1934" s="265"/>
      <c r="M1934" s="267"/>
      <c r="N1934" s="4"/>
      <c r="O1934" s="4"/>
    </row>
    <row r="1935" spans="1:15" x14ac:dyDescent="0.2">
      <c r="A1935" s="256"/>
      <c r="B1935" s="265"/>
      <c r="C1935" s="303"/>
      <c r="D1935" s="301"/>
      <c r="E1935" s="302"/>
      <c r="F1935" s="301"/>
      <c r="G1935" s="301"/>
      <c r="H1935" s="301"/>
      <c r="I1935" s="301"/>
      <c r="K1935" s="266"/>
      <c r="L1935" s="265"/>
      <c r="M1935" s="267"/>
      <c r="N1935" s="4"/>
      <c r="O1935" s="4"/>
    </row>
    <row r="1936" spans="1:15" x14ac:dyDescent="0.2">
      <c r="A1936" s="256"/>
      <c r="B1936" s="265"/>
      <c r="C1936" s="303"/>
      <c r="D1936" s="301"/>
      <c r="E1936" s="302"/>
      <c r="F1936" s="301"/>
      <c r="G1936" s="301"/>
      <c r="H1936" s="301"/>
      <c r="I1936" s="301"/>
      <c r="K1936" s="266"/>
      <c r="L1936" s="265"/>
      <c r="M1936" s="267"/>
      <c r="N1936" s="4"/>
      <c r="O1936" s="4"/>
    </row>
    <row r="1937" spans="1:15" x14ac:dyDescent="0.2">
      <c r="A1937" s="256"/>
      <c r="B1937" s="265"/>
      <c r="C1937" s="303"/>
      <c r="D1937" s="301"/>
      <c r="E1937" s="302"/>
      <c r="F1937" s="301"/>
      <c r="G1937" s="301"/>
      <c r="H1937" s="301"/>
      <c r="I1937" s="301"/>
      <c r="K1937" s="266"/>
      <c r="L1937" s="265"/>
      <c r="M1937" s="267"/>
      <c r="N1937" s="4"/>
      <c r="O1937" s="4"/>
    </row>
    <row r="1938" spans="1:15" x14ac:dyDescent="0.2">
      <c r="A1938" s="256"/>
      <c r="B1938" s="265"/>
      <c r="C1938" s="303"/>
      <c r="D1938" s="301"/>
      <c r="E1938" s="302"/>
      <c r="F1938" s="301"/>
      <c r="G1938" s="301"/>
      <c r="H1938" s="301"/>
      <c r="I1938" s="301"/>
      <c r="K1938" s="266"/>
      <c r="L1938" s="265"/>
      <c r="M1938" s="267"/>
      <c r="N1938" s="4"/>
      <c r="O1938" s="4"/>
    </row>
    <row r="1939" spans="1:15" x14ac:dyDescent="0.2">
      <c r="A1939" s="256"/>
      <c r="B1939" s="265"/>
      <c r="C1939" s="303"/>
      <c r="D1939" s="301"/>
      <c r="E1939" s="302"/>
      <c r="F1939" s="301"/>
      <c r="G1939" s="301"/>
      <c r="H1939" s="301"/>
      <c r="I1939" s="301"/>
      <c r="K1939" s="266"/>
      <c r="L1939" s="265"/>
      <c r="M1939" s="267"/>
      <c r="N1939" s="4"/>
      <c r="O1939" s="4"/>
    </row>
    <row r="1940" spans="1:15" x14ac:dyDescent="0.2">
      <c r="A1940" s="256"/>
      <c r="B1940" s="265"/>
      <c r="C1940" s="303"/>
      <c r="D1940" s="301"/>
      <c r="E1940" s="302"/>
      <c r="F1940" s="301"/>
      <c r="G1940" s="301"/>
      <c r="H1940" s="301"/>
      <c r="I1940" s="301"/>
      <c r="K1940" s="266"/>
      <c r="L1940" s="265"/>
      <c r="M1940" s="267"/>
      <c r="N1940" s="4"/>
      <c r="O1940" s="4"/>
    </row>
    <row r="1941" spans="1:15" x14ac:dyDescent="0.2">
      <c r="A1941" s="256"/>
      <c r="B1941" s="265"/>
      <c r="C1941" s="303"/>
      <c r="D1941" s="301"/>
      <c r="E1941" s="302"/>
      <c r="F1941" s="301"/>
      <c r="G1941" s="301"/>
      <c r="H1941" s="301"/>
      <c r="I1941" s="301"/>
      <c r="K1941" s="266"/>
      <c r="L1941" s="265"/>
      <c r="M1941" s="267"/>
      <c r="N1941" s="4"/>
      <c r="O1941" s="4"/>
    </row>
    <row r="1942" spans="1:15" x14ac:dyDescent="0.2">
      <c r="A1942" s="256"/>
      <c r="B1942" s="265"/>
      <c r="C1942" s="303"/>
      <c r="D1942" s="301"/>
      <c r="E1942" s="302"/>
      <c r="F1942" s="301"/>
      <c r="G1942" s="301"/>
      <c r="H1942" s="301"/>
      <c r="I1942" s="301"/>
      <c r="K1942" s="266"/>
      <c r="L1942" s="265"/>
      <c r="M1942" s="267"/>
      <c r="N1942" s="4"/>
      <c r="O1942" s="4"/>
    </row>
    <row r="1943" spans="1:15" x14ac:dyDescent="0.2">
      <c r="A1943" s="256"/>
      <c r="B1943" s="265"/>
      <c r="C1943" s="303"/>
      <c r="D1943" s="301"/>
      <c r="E1943" s="302"/>
      <c r="F1943" s="301"/>
      <c r="G1943" s="301"/>
      <c r="H1943" s="301"/>
      <c r="I1943" s="301"/>
      <c r="K1943" s="266"/>
      <c r="L1943" s="265"/>
      <c r="M1943" s="267"/>
      <c r="N1943" s="4"/>
      <c r="O1943" s="4"/>
    </row>
    <row r="1944" spans="1:15" x14ac:dyDescent="0.2">
      <c r="A1944" s="256"/>
      <c r="B1944" s="265"/>
      <c r="C1944" s="303"/>
      <c r="D1944" s="301"/>
      <c r="E1944" s="302"/>
      <c r="F1944" s="301"/>
      <c r="G1944" s="301"/>
      <c r="H1944" s="301"/>
      <c r="I1944" s="301"/>
      <c r="K1944" s="266"/>
      <c r="L1944" s="265"/>
      <c r="M1944" s="267"/>
      <c r="N1944" s="4"/>
      <c r="O1944" s="4"/>
    </row>
    <row r="1945" spans="1:15" x14ac:dyDescent="0.2">
      <c r="A1945" s="256"/>
      <c r="B1945" s="265"/>
      <c r="C1945" s="303"/>
      <c r="D1945" s="301"/>
      <c r="E1945" s="302"/>
      <c r="F1945" s="301"/>
      <c r="G1945" s="301"/>
      <c r="H1945" s="301"/>
      <c r="I1945" s="301"/>
      <c r="K1945" s="266"/>
      <c r="L1945" s="265"/>
      <c r="M1945" s="267"/>
      <c r="N1945" s="4"/>
      <c r="O1945" s="4"/>
    </row>
    <row r="1946" spans="1:15" x14ac:dyDescent="0.2">
      <c r="A1946" s="256"/>
      <c r="B1946" s="265"/>
      <c r="C1946" s="303"/>
      <c r="D1946" s="301"/>
      <c r="E1946" s="302"/>
      <c r="F1946" s="301"/>
      <c r="G1946" s="301"/>
      <c r="H1946" s="301"/>
      <c r="I1946" s="301"/>
      <c r="K1946" s="266"/>
      <c r="L1946" s="265"/>
      <c r="M1946" s="267"/>
      <c r="N1946" s="4"/>
      <c r="O1946" s="4"/>
    </row>
    <row r="1947" spans="1:15" x14ac:dyDescent="0.2">
      <c r="A1947" s="256"/>
      <c r="B1947" s="265"/>
      <c r="C1947" s="303"/>
      <c r="D1947" s="301"/>
      <c r="E1947" s="302"/>
      <c r="F1947" s="301"/>
      <c r="G1947" s="301"/>
      <c r="H1947" s="301"/>
      <c r="I1947" s="301"/>
      <c r="K1947" s="266"/>
      <c r="L1947" s="265"/>
      <c r="M1947" s="267"/>
      <c r="N1947" s="4"/>
      <c r="O1947" s="4"/>
    </row>
    <row r="1948" spans="1:15" x14ac:dyDescent="0.2">
      <c r="A1948" s="256"/>
      <c r="B1948" s="265"/>
      <c r="C1948" s="303"/>
      <c r="D1948" s="301"/>
      <c r="E1948" s="302"/>
      <c r="F1948" s="301"/>
      <c r="G1948" s="301"/>
      <c r="H1948" s="301"/>
      <c r="I1948" s="301"/>
      <c r="K1948" s="266"/>
      <c r="L1948" s="265"/>
      <c r="M1948" s="267"/>
      <c r="N1948" s="4"/>
      <c r="O1948" s="4"/>
    </row>
    <row r="1949" spans="1:15" x14ac:dyDescent="0.2">
      <c r="A1949" s="256"/>
      <c r="B1949" s="265"/>
      <c r="C1949" s="303"/>
      <c r="D1949" s="301"/>
      <c r="E1949" s="302"/>
      <c r="F1949" s="301"/>
      <c r="G1949" s="301"/>
      <c r="H1949" s="301"/>
      <c r="I1949" s="301"/>
      <c r="K1949" s="266"/>
      <c r="L1949" s="265"/>
      <c r="M1949" s="267"/>
      <c r="N1949" s="4"/>
      <c r="O1949" s="4"/>
    </row>
    <row r="1950" spans="1:15" x14ac:dyDescent="0.2">
      <c r="A1950" s="256"/>
      <c r="B1950" s="265"/>
      <c r="C1950" s="303"/>
      <c r="D1950" s="301"/>
      <c r="E1950" s="302"/>
      <c r="F1950" s="301"/>
      <c r="G1950" s="301"/>
      <c r="H1950" s="301"/>
      <c r="I1950" s="301"/>
      <c r="K1950" s="266"/>
      <c r="L1950" s="265"/>
      <c r="M1950" s="267"/>
      <c r="N1950" s="4"/>
      <c r="O1950" s="4"/>
    </row>
    <row r="1951" spans="1:15" x14ac:dyDescent="0.2">
      <c r="A1951" s="256"/>
      <c r="B1951" s="265"/>
      <c r="C1951" s="303"/>
      <c r="D1951" s="301"/>
      <c r="E1951" s="302"/>
      <c r="F1951" s="301"/>
      <c r="G1951" s="301"/>
      <c r="H1951" s="301"/>
      <c r="I1951" s="301"/>
      <c r="K1951" s="266"/>
      <c r="L1951" s="265"/>
      <c r="M1951" s="267"/>
      <c r="N1951" s="4"/>
      <c r="O1951" s="4"/>
    </row>
    <row r="1952" spans="1:15" x14ac:dyDescent="0.2">
      <c r="A1952" s="256"/>
      <c r="B1952" s="265"/>
      <c r="C1952" s="303"/>
      <c r="D1952" s="301"/>
      <c r="E1952" s="302"/>
      <c r="F1952" s="301"/>
      <c r="G1952" s="301"/>
      <c r="H1952" s="301"/>
      <c r="I1952" s="301"/>
      <c r="K1952" s="266"/>
      <c r="L1952" s="265"/>
      <c r="M1952" s="267"/>
      <c r="N1952" s="4"/>
      <c r="O1952" s="4"/>
    </row>
    <row r="1953" spans="1:15" x14ac:dyDescent="0.2">
      <c r="A1953" s="256"/>
      <c r="B1953" s="265"/>
      <c r="C1953" s="303"/>
      <c r="D1953" s="301"/>
      <c r="E1953" s="302"/>
      <c r="F1953" s="301"/>
      <c r="G1953" s="301"/>
      <c r="H1953" s="301"/>
      <c r="I1953" s="301"/>
      <c r="K1953" s="266"/>
      <c r="L1953" s="265"/>
      <c r="M1953" s="267"/>
      <c r="N1953" s="4"/>
      <c r="O1953" s="4"/>
    </row>
    <row r="1954" spans="1:15" x14ac:dyDescent="0.2">
      <c r="A1954" s="256"/>
      <c r="B1954" s="265"/>
      <c r="C1954" s="303"/>
      <c r="D1954" s="301"/>
      <c r="E1954" s="302"/>
      <c r="F1954" s="301"/>
      <c r="G1954" s="301"/>
      <c r="H1954" s="301"/>
      <c r="I1954" s="301"/>
      <c r="K1954" s="266"/>
      <c r="L1954" s="265"/>
      <c r="M1954" s="267"/>
      <c r="N1954" s="4"/>
      <c r="O1954" s="4"/>
    </row>
    <row r="1955" spans="1:15" x14ac:dyDescent="0.2">
      <c r="A1955" s="256"/>
      <c r="B1955" s="265"/>
      <c r="C1955" s="303"/>
      <c r="D1955" s="301"/>
      <c r="E1955" s="302"/>
      <c r="F1955" s="301"/>
      <c r="G1955" s="301"/>
      <c r="H1955" s="301"/>
      <c r="I1955" s="301"/>
      <c r="K1955" s="266"/>
      <c r="L1955" s="265"/>
      <c r="M1955" s="267"/>
      <c r="N1955" s="4"/>
      <c r="O1955" s="4"/>
    </row>
    <row r="1956" spans="1:15" x14ac:dyDescent="0.2">
      <c r="A1956" s="256"/>
      <c r="B1956" s="265"/>
      <c r="C1956" s="303"/>
      <c r="D1956" s="301"/>
      <c r="E1956" s="302"/>
      <c r="F1956" s="301"/>
      <c r="G1956" s="301"/>
      <c r="H1956" s="301"/>
      <c r="I1956" s="301"/>
      <c r="K1956" s="266"/>
      <c r="L1956" s="265"/>
      <c r="M1956" s="267"/>
      <c r="N1956" s="4"/>
      <c r="O1956" s="4"/>
    </row>
    <row r="1957" spans="1:15" x14ac:dyDescent="0.2">
      <c r="A1957" s="256"/>
      <c r="B1957" s="265"/>
      <c r="C1957" s="303"/>
      <c r="D1957" s="301"/>
      <c r="E1957" s="302"/>
      <c r="F1957" s="301"/>
      <c r="G1957" s="301"/>
      <c r="H1957" s="301"/>
      <c r="I1957" s="301"/>
      <c r="K1957" s="266"/>
      <c r="L1957" s="265"/>
      <c r="M1957" s="267"/>
      <c r="N1957" s="4"/>
      <c r="O1957" s="4"/>
    </row>
    <row r="1958" spans="1:15" x14ac:dyDescent="0.2">
      <c r="A1958" s="256"/>
      <c r="B1958" s="265"/>
      <c r="C1958" s="303"/>
      <c r="D1958" s="301"/>
      <c r="E1958" s="302"/>
      <c r="F1958" s="301"/>
      <c r="G1958" s="301"/>
      <c r="H1958" s="301"/>
      <c r="I1958" s="301"/>
      <c r="K1958" s="266"/>
      <c r="L1958" s="265"/>
      <c r="M1958" s="267"/>
      <c r="N1958" s="4"/>
      <c r="O1958" s="4"/>
    </row>
    <row r="1959" spans="1:15" x14ac:dyDescent="0.2">
      <c r="A1959" s="256"/>
      <c r="B1959" s="265"/>
      <c r="C1959" s="303"/>
      <c r="D1959" s="301"/>
      <c r="E1959" s="302"/>
      <c r="F1959" s="301"/>
      <c r="G1959" s="301"/>
      <c r="H1959" s="301"/>
      <c r="I1959" s="301"/>
      <c r="K1959" s="266"/>
      <c r="L1959" s="265"/>
      <c r="M1959" s="267"/>
      <c r="N1959" s="4"/>
      <c r="O1959" s="4"/>
    </row>
    <row r="1960" spans="1:15" x14ac:dyDescent="0.2">
      <c r="A1960" s="256"/>
      <c r="B1960" s="265"/>
      <c r="C1960" s="303"/>
      <c r="D1960" s="301"/>
      <c r="E1960" s="302"/>
      <c r="F1960" s="301"/>
      <c r="G1960" s="301"/>
      <c r="H1960" s="301"/>
      <c r="I1960" s="301"/>
      <c r="K1960" s="266"/>
      <c r="L1960" s="265"/>
      <c r="M1960" s="267"/>
      <c r="N1960" s="4"/>
      <c r="O1960" s="4"/>
    </row>
    <row r="1961" spans="1:15" x14ac:dyDescent="0.2">
      <c r="A1961" s="256"/>
      <c r="B1961" s="265"/>
      <c r="C1961" s="303"/>
      <c r="D1961" s="301"/>
      <c r="E1961" s="302"/>
      <c r="F1961" s="301"/>
      <c r="G1961" s="301"/>
      <c r="H1961" s="301"/>
      <c r="I1961" s="301"/>
      <c r="K1961" s="266"/>
      <c r="L1961" s="265"/>
      <c r="M1961" s="267"/>
      <c r="N1961" s="4"/>
      <c r="O1961" s="4"/>
    </row>
    <row r="1962" spans="1:15" x14ac:dyDescent="0.2">
      <c r="A1962" s="256"/>
      <c r="B1962" s="265"/>
      <c r="C1962" s="303"/>
      <c r="D1962" s="301"/>
      <c r="E1962" s="302"/>
      <c r="F1962" s="301"/>
      <c r="G1962" s="301"/>
      <c r="H1962" s="301"/>
      <c r="I1962" s="301"/>
      <c r="K1962" s="266"/>
      <c r="L1962" s="265"/>
      <c r="M1962" s="267"/>
      <c r="N1962" s="4"/>
      <c r="O1962" s="4"/>
    </row>
    <row r="1963" spans="1:15" x14ac:dyDescent="0.2">
      <c r="A1963" s="256"/>
      <c r="B1963" s="265"/>
      <c r="C1963" s="303"/>
      <c r="D1963" s="301"/>
      <c r="E1963" s="302"/>
      <c r="F1963" s="301"/>
      <c r="G1963" s="301"/>
      <c r="H1963" s="301"/>
      <c r="I1963" s="301"/>
      <c r="K1963" s="266"/>
      <c r="L1963" s="265"/>
      <c r="M1963" s="267"/>
      <c r="N1963" s="4"/>
      <c r="O1963" s="4"/>
    </row>
    <row r="1964" spans="1:15" x14ac:dyDescent="0.2">
      <c r="A1964" s="256"/>
      <c r="B1964" s="265"/>
      <c r="C1964" s="303"/>
      <c r="D1964" s="301"/>
      <c r="E1964" s="302"/>
      <c r="F1964" s="301"/>
      <c r="G1964" s="301"/>
      <c r="H1964" s="301"/>
      <c r="I1964" s="301"/>
      <c r="K1964" s="266"/>
      <c r="L1964" s="265"/>
      <c r="M1964" s="267"/>
      <c r="N1964" s="4"/>
      <c r="O1964" s="4"/>
    </row>
    <row r="1965" spans="1:15" x14ac:dyDescent="0.2">
      <c r="A1965" s="256"/>
      <c r="B1965" s="265"/>
      <c r="C1965" s="303"/>
      <c r="D1965" s="301"/>
      <c r="E1965" s="302"/>
      <c r="F1965" s="301"/>
      <c r="G1965" s="301"/>
      <c r="H1965" s="301"/>
      <c r="I1965" s="301"/>
      <c r="K1965" s="266"/>
      <c r="L1965" s="265"/>
      <c r="M1965" s="267"/>
      <c r="N1965" s="4"/>
      <c r="O1965" s="4"/>
    </row>
    <row r="1966" spans="1:15" x14ac:dyDescent="0.2">
      <c r="A1966" s="256"/>
      <c r="B1966" s="265"/>
      <c r="C1966" s="303"/>
      <c r="D1966" s="301"/>
      <c r="E1966" s="302"/>
      <c r="F1966" s="301"/>
      <c r="G1966" s="301"/>
      <c r="H1966" s="301"/>
      <c r="I1966" s="301"/>
      <c r="K1966" s="266"/>
      <c r="L1966" s="265"/>
      <c r="M1966" s="267"/>
      <c r="N1966" s="4"/>
      <c r="O1966" s="4"/>
    </row>
    <row r="1967" spans="1:15" x14ac:dyDescent="0.2">
      <c r="A1967" s="256"/>
      <c r="B1967" s="265"/>
      <c r="C1967" s="303"/>
      <c r="D1967" s="301"/>
      <c r="E1967" s="302"/>
      <c r="F1967" s="301"/>
      <c r="G1967" s="301"/>
      <c r="H1967" s="301"/>
      <c r="I1967" s="301"/>
      <c r="K1967" s="266"/>
      <c r="L1967" s="265"/>
      <c r="M1967" s="267"/>
      <c r="N1967" s="4"/>
      <c r="O1967" s="4"/>
    </row>
    <row r="1968" spans="1:15" x14ac:dyDescent="0.2">
      <c r="A1968" s="256"/>
      <c r="B1968" s="265"/>
      <c r="C1968" s="303"/>
      <c r="D1968" s="301"/>
      <c r="E1968" s="302"/>
      <c r="F1968" s="301"/>
      <c r="G1968" s="301"/>
      <c r="H1968" s="301"/>
      <c r="I1968" s="301"/>
      <c r="K1968" s="266"/>
      <c r="L1968" s="265"/>
      <c r="M1968" s="267"/>
      <c r="N1968" s="4"/>
      <c r="O1968" s="4"/>
    </row>
    <row r="1969" spans="1:15" x14ac:dyDescent="0.2">
      <c r="A1969" s="256"/>
      <c r="B1969" s="265"/>
      <c r="C1969" s="303"/>
      <c r="D1969" s="301"/>
      <c r="E1969" s="302"/>
      <c r="F1969" s="301"/>
      <c r="G1969" s="301"/>
      <c r="H1969" s="301"/>
      <c r="I1969" s="301"/>
      <c r="K1969" s="266"/>
      <c r="L1969" s="265"/>
      <c r="M1969" s="267"/>
      <c r="N1969" s="4"/>
      <c r="O1969" s="4"/>
    </row>
    <row r="1970" spans="1:15" x14ac:dyDescent="0.2">
      <c r="A1970" s="256"/>
      <c r="B1970" s="265"/>
      <c r="C1970" s="303"/>
      <c r="D1970" s="301"/>
      <c r="E1970" s="302"/>
      <c r="F1970" s="301"/>
      <c r="G1970" s="301"/>
      <c r="H1970" s="301"/>
      <c r="I1970" s="301"/>
      <c r="K1970" s="266"/>
      <c r="L1970" s="265"/>
      <c r="M1970" s="267"/>
      <c r="N1970" s="4"/>
      <c r="O1970" s="4"/>
    </row>
    <row r="1971" spans="1:15" x14ac:dyDescent="0.2">
      <c r="A1971" s="256"/>
      <c r="B1971" s="265"/>
      <c r="C1971" s="303"/>
      <c r="D1971" s="301"/>
      <c r="E1971" s="302"/>
      <c r="F1971" s="301"/>
      <c r="G1971" s="301"/>
      <c r="H1971" s="301"/>
      <c r="I1971" s="301"/>
      <c r="K1971" s="266"/>
      <c r="L1971" s="265"/>
      <c r="M1971" s="267"/>
      <c r="N1971" s="4"/>
      <c r="O1971" s="4"/>
    </row>
    <row r="1972" spans="1:15" x14ac:dyDescent="0.2">
      <c r="A1972" s="256"/>
      <c r="B1972" s="265"/>
      <c r="C1972" s="303"/>
      <c r="D1972" s="301"/>
      <c r="E1972" s="302"/>
      <c r="F1972" s="301"/>
      <c r="G1972" s="301"/>
      <c r="H1972" s="301"/>
      <c r="I1972" s="301"/>
      <c r="K1972" s="266"/>
      <c r="L1972" s="265"/>
      <c r="M1972" s="267"/>
      <c r="N1972" s="4"/>
      <c r="O1972" s="4"/>
    </row>
    <row r="1973" spans="1:15" x14ac:dyDescent="0.2">
      <c r="A1973" s="256"/>
      <c r="B1973" s="265"/>
      <c r="C1973" s="303"/>
      <c r="D1973" s="301"/>
      <c r="E1973" s="302"/>
      <c r="F1973" s="301"/>
      <c r="G1973" s="301"/>
      <c r="H1973" s="301"/>
      <c r="I1973" s="301"/>
      <c r="K1973" s="266"/>
      <c r="L1973" s="265"/>
      <c r="M1973" s="267"/>
      <c r="N1973" s="4"/>
      <c r="O1973" s="4"/>
    </row>
    <row r="1974" spans="1:15" x14ac:dyDescent="0.2">
      <c r="A1974" s="256"/>
      <c r="B1974" s="265"/>
      <c r="C1974" s="303"/>
      <c r="D1974" s="301"/>
      <c r="E1974" s="302"/>
      <c r="F1974" s="301"/>
      <c r="G1974" s="301"/>
      <c r="H1974" s="301"/>
      <c r="I1974" s="301"/>
      <c r="K1974" s="266"/>
      <c r="L1974" s="265"/>
      <c r="M1974" s="267"/>
      <c r="N1974" s="4"/>
      <c r="O1974" s="4"/>
    </row>
    <row r="1975" spans="1:15" x14ac:dyDescent="0.2">
      <c r="A1975" s="256"/>
      <c r="B1975" s="265"/>
      <c r="C1975" s="303"/>
      <c r="D1975" s="301"/>
      <c r="E1975" s="302"/>
      <c r="F1975" s="301"/>
      <c r="G1975" s="301"/>
      <c r="H1975" s="301"/>
      <c r="I1975" s="301"/>
      <c r="K1975" s="266"/>
      <c r="L1975" s="265"/>
      <c r="M1975" s="267"/>
      <c r="N1975" s="4"/>
      <c r="O1975" s="4"/>
    </row>
    <row r="1976" spans="1:15" x14ac:dyDescent="0.2">
      <c r="A1976" s="256"/>
      <c r="B1976" s="265"/>
      <c r="C1976" s="303"/>
      <c r="D1976" s="301"/>
      <c r="E1976" s="302"/>
      <c r="F1976" s="301"/>
      <c r="G1976" s="301"/>
      <c r="H1976" s="301"/>
      <c r="I1976" s="301"/>
      <c r="K1976" s="266"/>
      <c r="L1976" s="265"/>
      <c r="M1976" s="267"/>
      <c r="N1976" s="4"/>
      <c r="O1976" s="4"/>
    </row>
    <row r="1977" spans="1:15" x14ac:dyDescent="0.2">
      <c r="A1977" s="256"/>
      <c r="B1977" s="265"/>
      <c r="C1977" s="303"/>
      <c r="D1977" s="301"/>
      <c r="E1977" s="302"/>
      <c r="F1977" s="301"/>
      <c r="G1977" s="301"/>
      <c r="H1977" s="301"/>
      <c r="I1977" s="301"/>
      <c r="K1977" s="266"/>
      <c r="L1977" s="265"/>
      <c r="M1977" s="267"/>
      <c r="N1977" s="4"/>
      <c r="O1977" s="4"/>
    </row>
    <row r="1978" spans="1:15" x14ac:dyDescent="0.2">
      <c r="A1978" s="256"/>
      <c r="B1978" s="265"/>
      <c r="C1978" s="303"/>
      <c r="D1978" s="301"/>
      <c r="E1978" s="302"/>
      <c r="F1978" s="301"/>
      <c r="G1978" s="301"/>
      <c r="H1978" s="301"/>
      <c r="I1978" s="301"/>
      <c r="K1978" s="266"/>
      <c r="L1978" s="265"/>
      <c r="M1978" s="267"/>
      <c r="N1978" s="4"/>
      <c r="O1978" s="4"/>
    </row>
    <row r="1979" spans="1:15" x14ac:dyDescent="0.2">
      <c r="A1979" s="256"/>
      <c r="B1979" s="265"/>
      <c r="C1979" s="303"/>
      <c r="D1979" s="301"/>
      <c r="E1979" s="302"/>
      <c r="F1979" s="301"/>
      <c r="G1979" s="301"/>
      <c r="H1979" s="301"/>
      <c r="I1979" s="301"/>
      <c r="K1979" s="266"/>
      <c r="L1979" s="265"/>
      <c r="M1979" s="267"/>
      <c r="N1979" s="4"/>
      <c r="O1979" s="4"/>
    </row>
    <row r="1980" spans="1:15" x14ac:dyDescent="0.2">
      <c r="A1980" s="256"/>
      <c r="B1980" s="265"/>
      <c r="C1980" s="303"/>
      <c r="D1980" s="301"/>
      <c r="E1980" s="302"/>
      <c r="F1980" s="301"/>
      <c r="G1980" s="301"/>
      <c r="H1980" s="301"/>
      <c r="I1980" s="301"/>
      <c r="K1980" s="266"/>
      <c r="L1980" s="265"/>
      <c r="M1980" s="267"/>
      <c r="N1980" s="4"/>
      <c r="O1980" s="4"/>
    </row>
    <row r="1981" spans="1:15" x14ac:dyDescent="0.2">
      <c r="A1981" s="256"/>
      <c r="B1981" s="265"/>
      <c r="C1981" s="303"/>
      <c r="D1981" s="301"/>
      <c r="E1981" s="302"/>
      <c r="F1981" s="301"/>
      <c r="G1981" s="301"/>
      <c r="H1981" s="301"/>
      <c r="I1981" s="301"/>
      <c r="K1981" s="266"/>
      <c r="L1981" s="265"/>
      <c r="M1981" s="267"/>
      <c r="N1981" s="4"/>
      <c r="O1981" s="4"/>
    </row>
    <row r="1982" spans="1:15" x14ac:dyDescent="0.2">
      <c r="A1982" s="256"/>
      <c r="B1982" s="265"/>
      <c r="C1982" s="303"/>
      <c r="D1982" s="301"/>
      <c r="E1982" s="302"/>
      <c r="F1982" s="301"/>
      <c r="G1982" s="301"/>
      <c r="H1982" s="301"/>
      <c r="I1982" s="301"/>
      <c r="K1982" s="266"/>
      <c r="L1982" s="265"/>
      <c r="M1982" s="267"/>
      <c r="N1982" s="4"/>
      <c r="O1982" s="4"/>
    </row>
    <row r="1983" spans="1:15" x14ac:dyDescent="0.2">
      <c r="A1983" s="256"/>
      <c r="B1983" s="265"/>
      <c r="C1983" s="303"/>
      <c r="D1983" s="301"/>
      <c r="E1983" s="302"/>
      <c r="F1983" s="301"/>
      <c r="G1983" s="301"/>
      <c r="H1983" s="301"/>
      <c r="I1983" s="301"/>
      <c r="K1983" s="266"/>
      <c r="L1983" s="265"/>
      <c r="M1983" s="267"/>
      <c r="N1983" s="4"/>
      <c r="O1983" s="4"/>
    </row>
    <row r="1984" spans="1:15" x14ac:dyDescent="0.2">
      <c r="A1984" s="256"/>
      <c r="B1984" s="265"/>
      <c r="C1984" s="303"/>
      <c r="D1984" s="301"/>
      <c r="E1984" s="302"/>
      <c r="F1984" s="301"/>
      <c r="G1984" s="301"/>
      <c r="H1984" s="301"/>
      <c r="I1984" s="301"/>
      <c r="K1984" s="266"/>
      <c r="L1984" s="265"/>
      <c r="M1984" s="267"/>
      <c r="N1984" s="4"/>
      <c r="O1984" s="4"/>
    </row>
    <row r="1985" spans="1:15" x14ac:dyDescent="0.2">
      <c r="A1985" s="256"/>
      <c r="B1985" s="265"/>
      <c r="C1985" s="303"/>
      <c r="D1985" s="301"/>
      <c r="E1985" s="302"/>
      <c r="F1985" s="301"/>
      <c r="G1985" s="301"/>
      <c r="H1985" s="301"/>
      <c r="I1985" s="301"/>
      <c r="K1985" s="266"/>
      <c r="L1985" s="265"/>
      <c r="M1985" s="267"/>
      <c r="N1985" s="4"/>
      <c r="O1985" s="4"/>
    </row>
    <row r="1986" spans="1:15" x14ac:dyDescent="0.2">
      <c r="A1986" s="256"/>
      <c r="B1986" s="265"/>
      <c r="C1986" s="303"/>
      <c r="D1986" s="301"/>
      <c r="E1986" s="302"/>
      <c r="F1986" s="301"/>
      <c r="G1986" s="301"/>
      <c r="H1986" s="301"/>
      <c r="I1986" s="301"/>
      <c r="K1986" s="266"/>
      <c r="L1986" s="265"/>
      <c r="M1986" s="267"/>
      <c r="N1986" s="4"/>
      <c r="O1986" s="4"/>
    </row>
    <row r="1987" spans="1:15" x14ac:dyDescent="0.2">
      <c r="A1987" s="256"/>
      <c r="B1987" s="265"/>
      <c r="C1987" s="303"/>
      <c r="D1987" s="301"/>
      <c r="E1987" s="302"/>
      <c r="F1987" s="301"/>
      <c r="G1987" s="301"/>
      <c r="H1987" s="301"/>
      <c r="I1987" s="301"/>
      <c r="K1987" s="266"/>
      <c r="L1987" s="265"/>
      <c r="M1987" s="267"/>
      <c r="N1987" s="4"/>
      <c r="O1987" s="4"/>
    </row>
    <row r="1988" spans="1:15" x14ac:dyDescent="0.2">
      <c r="A1988" s="256"/>
      <c r="B1988" s="265"/>
      <c r="C1988" s="303"/>
      <c r="D1988" s="301"/>
      <c r="E1988" s="302"/>
      <c r="F1988" s="301"/>
      <c r="G1988" s="301"/>
      <c r="H1988" s="301"/>
      <c r="I1988" s="301"/>
      <c r="K1988" s="266"/>
      <c r="L1988" s="265"/>
      <c r="M1988" s="267"/>
      <c r="N1988" s="4"/>
      <c r="O1988" s="4"/>
    </row>
    <row r="1989" spans="1:15" x14ac:dyDescent="0.2">
      <c r="A1989" s="256"/>
      <c r="B1989" s="265"/>
      <c r="C1989" s="303"/>
      <c r="D1989" s="301"/>
      <c r="E1989" s="302"/>
      <c r="F1989" s="301"/>
      <c r="G1989" s="301"/>
      <c r="H1989" s="301"/>
      <c r="I1989" s="301"/>
      <c r="K1989" s="266"/>
      <c r="L1989" s="265"/>
      <c r="M1989" s="267"/>
      <c r="N1989" s="4"/>
      <c r="O1989" s="4"/>
    </row>
    <row r="1990" spans="1:15" x14ac:dyDescent="0.2">
      <c r="A1990" s="256"/>
      <c r="B1990" s="265"/>
      <c r="C1990" s="303"/>
      <c r="D1990" s="301"/>
      <c r="E1990" s="302"/>
      <c r="F1990" s="301"/>
      <c r="G1990" s="301"/>
      <c r="H1990" s="301"/>
      <c r="I1990" s="301"/>
      <c r="K1990" s="266"/>
      <c r="L1990" s="265"/>
      <c r="M1990" s="267"/>
      <c r="N1990" s="4"/>
      <c r="O1990" s="4"/>
    </row>
    <row r="1991" spans="1:15" x14ac:dyDescent="0.2">
      <c r="A1991" s="256"/>
      <c r="B1991" s="265"/>
      <c r="C1991" s="303"/>
      <c r="D1991" s="301"/>
      <c r="E1991" s="302"/>
      <c r="F1991" s="301"/>
      <c r="G1991" s="301"/>
      <c r="H1991" s="301"/>
      <c r="I1991" s="301"/>
      <c r="K1991" s="266"/>
      <c r="L1991" s="265"/>
      <c r="M1991" s="267"/>
      <c r="N1991" s="4"/>
      <c r="O1991" s="4"/>
    </row>
    <row r="1992" spans="1:15" x14ac:dyDescent="0.2">
      <c r="A1992" s="256"/>
      <c r="B1992" s="265"/>
      <c r="C1992" s="303"/>
      <c r="D1992" s="301"/>
      <c r="E1992" s="302"/>
      <c r="F1992" s="301"/>
      <c r="G1992" s="301"/>
      <c r="H1992" s="301"/>
      <c r="I1992" s="301"/>
      <c r="K1992" s="266"/>
      <c r="L1992" s="265"/>
      <c r="M1992" s="267"/>
      <c r="N1992" s="4"/>
      <c r="O1992" s="4"/>
    </row>
    <row r="1993" spans="1:15" x14ac:dyDescent="0.2">
      <c r="A1993" s="256"/>
      <c r="B1993" s="265"/>
      <c r="C1993" s="303"/>
      <c r="D1993" s="301"/>
      <c r="E1993" s="302"/>
      <c r="F1993" s="301"/>
      <c r="G1993" s="301"/>
      <c r="H1993" s="301"/>
      <c r="I1993" s="301"/>
      <c r="K1993" s="266"/>
      <c r="L1993" s="265"/>
      <c r="M1993" s="267"/>
      <c r="N1993" s="4"/>
      <c r="O1993" s="4"/>
    </row>
    <row r="1994" spans="1:15" x14ac:dyDescent="0.2">
      <c r="A1994" s="256"/>
      <c r="B1994" s="265"/>
      <c r="C1994" s="303"/>
      <c r="D1994" s="301"/>
      <c r="E1994" s="302"/>
      <c r="F1994" s="301"/>
      <c r="G1994" s="301"/>
      <c r="H1994" s="301"/>
      <c r="I1994" s="301"/>
      <c r="K1994" s="266"/>
      <c r="L1994" s="265"/>
      <c r="M1994" s="267"/>
      <c r="N1994" s="4"/>
      <c r="O1994" s="4"/>
    </row>
    <row r="1995" spans="1:15" x14ac:dyDescent="0.2">
      <c r="A1995" s="256"/>
      <c r="B1995" s="265"/>
      <c r="C1995" s="303"/>
      <c r="D1995" s="301"/>
      <c r="E1995" s="302"/>
      <c r="F1995" s="301"/>
      <c r="G1995" s="301"/>
      <c r="H1995" s="301"/>
      <c r="I1995" s="301"/>
      <c r="K1995" s="266"/>
      <c r="L1995" s="265"/>
      <c r="M1995" s="267"/>
      <c r="N1995" s="4"/>
      <c r="O1995" s="4"/>
    </row>
    <row r="1996" spans="1:15" x14ac:dyDescent="0.2">
      <c r="A1996" s="256"/>
      <c r="B1996" s="265"/>
      <c r="C1996" s="303"/>
      <c r="D1996" s="301"/>
      <c r="E1996" s="302"/>
      <c r="F1996" s="301"/>
      <c r="G1996" s="301"/>
      <c r="H1996" s="301"/>
      <c r="I1996" s="301"/>
      <c r="K1996" s="266"/>
      <c r="L1996" s="265"/>
      <c r="M1996" s="267"/>
      <c r="N1996" s="4"/>
      <c r="O1996" s="4"/>
    </row>
    <row r="1997" spans="1:15" x14ac:dyDescent="0.2">
      <c r="A1997" s="256"/>
      <c r="B1997" s="265"/>
      <c r="C1997" s="303"/>
      <c r="D1997" s="301"/>
      <c r="E1997" s="302"/>
      <c r="F1997" s="301"/>
      <c r="G1997" s="301"/>
      <c r="H1997" s="301"/>
      <c r="I1997" s="301"/>
      <c r="K1997" s="266"/>
      <c r="L1997" s="265"/>
      <c r="M1997" s="267"/>
      <c r="N1997" s="4"/>
      <c r="O1997" s="4"/>
    </row>
    <row r="1998" spans="1:15" x14ac:dyDescent="0.2">
      <c r="A1998" s="256"/>
      <c r="B1998" s="265"/>
      <c r="C1998" s="303"/>
      <c r="D1998" s="301"/>
      <c r="E1998" s="302"/>
      <c r="F1998" s="301"/>
      <c r="G1998" s="301"/>
      <c r="H1998" s="301"/>
      <c r="I1998" s="301"/>
      <c r="K1998" s="266"/>
      <c r="L1998" s="265"/>
      <c r="M1998" s="267"/>
      <c r="N1998" s="4"/>
      <c r="O1998" s="4"/>
    </row>
    <row r="1999" spans="1:15" x14ac:dyDescent="0.2">
      <c r="A1999" s="256"/>
      <c r="B1999" s="265"/>
      <c r="C1999" s="303"/>
      <c r="D1999" s="301"/>
      <c r="E1999" s="302"/>
      <c r="F1999" s="301"/>
      <c r="G1999" s="301"/>
      <c r="H1999" s="301"/>
      <c r="I1999" s="301"/>
      <c r="K1999" s="266"/>
      <c r="L1999" s="265"/>
      <c r="M1999" s="267"/>
      <c r="N1999" s="4"/>
      <c r="O1999" s="4"/>
    </row>
    <row r="2000" spans="1:15" x14ac:dyDescent="0.2">
      <c r="A2000" s="256"/>
      <c r="B2000" s="265"/>
      <c r="C2000" s="303"/>
      <c r="D2000" s="301"/>
      <c r="E2000" s="302"/>
      <c r="F2000" s="301"/>
      <c r="G2000" s="301"/>
      <c r="H2000" s="301"/>
      <c r="I2000" s="301"/>
      <c r="K2000" s="266"/>
      <c r="L2000" s="265"/>
      <c r="M2000" s="267"/>
      <c r="N2000" s="4"/>
      <c r="O2000" s="4"/>
    </row>
    <row r="2001" spans="1:15" x14ac:dyDescent="0.2">
      <c r="A2001" s="256"/>
      <c r="B2001" s="265"/>
      <c r="C2001" s="303"/>
      <c r="D2001" s="301"/>
      <c r="E2001" s="302"/>
      <c r="F2001" s="301"/>
      <c r="G2001" s="301"/>
      <c r="H2001" s="301"/>
      <c r="I2001" s="301"/>
      <c r="K2001" s="266"/>
      <c r="L2001" s="265"/>
      <c r="M2001" s="267"/>
      <c r="N2001" s="4"/>
      <c r="O2001" s="4"/>
    </row>
    <row r="2002" spans="1:15" x14ac:dyDescent="0.2">
      <c r="A2002" s="256"/>
      <c r="B2002" s="265"/>
      <c r="C2002" s="303"/>
      <c r="D2002" s="301"/>
      <c r="E2002" s="302"/>
      <c r="F2002" s="301"/>
      <c r="G2002" s="301"/>
      <c r="H2002" s="301"/>
      <c r="I2002" s="301"/>
      <c r="K2002" s="266"/>
      <c r="L2002" s="265"/>
      <c r="M2002" s="267"/>
      <c r="N2002" s="4"/>
      <c r="O2002" s="4"/>
    </row>
    <row r="2003" spans="1:15" x14ac:dyDescent="0.2">
      <c r="A2003" s="256"/>
      <c r="B2003" s="265"/>
      <c r="C2003" s="303"/>
      <c r="D2003" s="301"/>
      <c r="E2003" s="302"/>
      <c r="F2003" s="301"/>
      <c r="G2003" s="301"/>
      <c r="H2003" s="301"/>
      <c r="I2003" s="301"/>
      <c r="K2003" s="266"/>
      <c r="L2003" s="265"/>
      <c r="M2003" s="267"/>
      <c r="N2003" s="4"/>
      <c r="O2003" s="4"/>
    </row>
    <row r="2004" spans="1:15" x14ac:dyDescent="0.2">
      <c r="A2004" s="256"/>
      <c r="B2004" s="265"/>
      <c r="C2004" s="303"/>
      <c r="D2004" s="301"/>
      <c r="E2004" s="302"/>
      <c r="F2004" s="301"/>
      <c r="G2004" s="301"/>
      <c r="H2004" s="301"/>
      <c r="I2004" s="301"/>
      <c r="K2004" s="266"/>
      <c r="L2004" s="265"/>
      <c r="M2004" s="267"/>
      <c r="N2004" s="4"/>
      <c r="O2004" s="4"/>
    </row>
    <row r="2005" spans="1:15" x14ac:dyDescent="0.2">
      <c r="A2005" s="256"/>
      <c r="B2005" s="265"/>
      <c r="C2005" s="303"/>
      <c r="D2005" s="301"/>
      <c r="E2005" s="302"/>
      <c r="F2005" s="301"/>
      <c r="G2005" s="301"/>
      <c r="H2005" s="301"/>
      <c r="I2005" s="301"/>
      <c r="K2005" s="266"/>
      <c r="L2005" s="265"/>
      <c r="M2005" s="267"/>
      <c r="N2005" s="4"/>
      <c r="O2005" s="4"/>
    </row>
    <row r="2006" spans="1:15" x14ac:dyDescent="0.2">
      <c r="A2006" s="256"/>
      <c r="B2006" s="265"/>
      <c r="C2006" s="303"/>
      <c r="D2006" s="301"/>
      <c r="E2006" s="302"/>
      <c r="F2006" s="301"/>
      <c r="G2006" s="301"/>
      <c r="H2006" s="301"/>
      <c r="I2006" s="301"/>
      <c r="K2006" s="266"/>
      <c r="L2006" s="265"/>
      <c r="M2006" s="267"/>
      <c r="N2006" s="4"/>
      <c r="O2006" s="4"/>
    </row>
    <row r="2007" spans="1:15" x14ac:dyDescent="0.2">
      <c r="A2007" s="256"/>
      <c r="B2007" s="265"/>
      <c r="C2007" s="303"/>
      <c r="D2007" s="301"/>
      <c r="E2007" s="302"/>
      <c r="F2007" s="301"/>
      <c r="G2007" s="301"/>
      <c r="H2007" s="301"/>
      <c r="I2007" s="301"/>
      <c r="K2007" s="266"/>
      <c r="L2007" s="265"/>
      <c r="M2007" s="267"/>
      <c r="N2007" s="4"/>
      <c r="O2007" s="4"/>
    </row>
    <row r="2008" spans="1:15" x14ac:dyDescent="0.2">
      <c r="A2008" s="256"/>
      <c r="B2008" s="265"/>
      <c r="C2008" s="303"/>
      <c r="D2008" s="301"/>
      <c r="E2008" s="302"/>
      <c r="F2008" s="301"/>
      <c r="G2008" s="301"/>
      <c r="H2008" s="301"/>
      <c r="I2008" s="301"/>
      <c r="K2008" s="266"/>
      <c r="L2008" s="265"/>
      <c r="M2008" s="267"/>
      <c r="N2008" s="4"/>
      <c r="O2008" s="4"/>
    </row>
    <row r="2009" spans="1:15" x14ac:dyDescent="0.2">
      <c r="A2009" s="256"/>
      <c r="B2009" s="265"/>
      <c r="C2009" s="303"/>
      <c r="D2009" s="301"/>
      <c r="E2009" s="302"/>
      <c r="F2009" s="301"/>
      <c r="G2009" s="301"/>
      <c r="H2009" s="301"/>
      <c r="I2009" s="301"/>
      <c r="K2009" s="266"/>
      <c r="L2009" s="265"/>
      <c r="M2009" s="267"/>
      <c r="N2009" s="4"/>
      <c r="O2009" s="4"/>
    </row>
    <row r="2010" spans="1:15" x14ac:dyDescent="0.2">
      <c r="A2010" s="256"/>
      <c r="B2010" s="265"/>
      <c r="C2010" s="303"/>
      <c r="D2010" s="301"/>
      <c r="E2010" s="302"/>
      <c r="F2010" s="301"/>
      <c r="G2010" s="301"/>
      <c r="H2010" s="301"/>
      <c r="I2010" s="301"/>
      <c r="K2010" s="266"/>
      <c r="L2010" s="265"/>
      <c r="M2010" s="267"/>
      <c r="N2010" s="4"/>
      <c r="O2010" s="4"/>
    </row>
    <row r="2011" spans="1:15" x14ac:dyDescent="0.2">
      <c r="A2011" s="256"/>
      <c r="B2011" s="265"/>
      <c r="C2011" s="303"/>
      <c r="D2011" s="301"/>
      <c r="E2011" s="302"/>
      <c r="F2011" s="301"/>
      <c r="G2011" s="301"/>
      <c r="H2011" s="301"/>
      <c r="I2011" s="301"/>
      <c r="K2011" s="266"/>
      <c r="L2011" s="265"/>
      <c r="M2011" s="267"/>
      <c r="N2011" s="4"/>
      <c r="O2011" s="4"/>
    </row>
    <row r="2012" spans="1:15" x14ac:dyDescent="0.2">
      <c r="A2012" s="256"/>
      <c r="B2012" s="265"/>
      <c r="C2012" s="303"/>
      <c r="D2012" s="301"/>
      <c r="E2012" s="302"/>
      <c r="F2012" s="301"/>
      <c r="G2012" s="301"/>
      <c r="H2012" s="301"/>
      <c r="I2012" s="301"/>
      <c r="K2012" s="266"/>
      <c r="L2012" s="265"/>
      <c r="M2012" s="267"/>
      <c r="N2012" s="4"/>
      <c r="O2012" s="4"/>
    </row>
    <row r="2013" spans="1:15" x14ac:dyDescent="0.2">
      <c r="A2013" s="256"/>
      <c r="B2013" s="265"/>
      <c r="C2013" s="303"/>
      <c r="D2013" s="301"/>
      <c r="E2013" s="302"/>
      <c r="F2013" s="301"/>
      <c r="G2013" s="301"/>
      <c r="H2013" s="301"/>
      <c r="I2013" s="301"/>
      <c r="K2013" s="266"/>
      <c r="L2013" s="265"/>
      <c r="M2013" s="267"/>
      <c r="N2013" s="4"/>
      <c r="O2013" s="4"/>
    </row>
    <row r="2014" spans="1:15" x14ac:dyDescent="0.2">
      <c r="A2014" s="256"/>
      <c r="B2014" s="265"/>
      <c r="C2014" s="303"/>
      <c r="D2014" s="301"/>
      <c r="E2014" s="302"/>
      <c r="F2014" s="301"/>
      <c r="G2014" s="301"/>
      <c r="H2014" s="301"/>
      <c r="I2014" s="301"/>
      <c r="K2014" s="266"/>
      <c r="L2014" s="265"/>
      <c r="M2014" s="267"/>
      <c r="N2014" s="4"/>
      <c r="O2014" s="4"/>
    </row>
    <row r="2015" spans="1:15" x14ac:dyDescent="0.2">
      <c r="A2015" s="256"/>
      <c r="B2015" s="265"/>
      <c r="C2015" s="303"/>
      <c r="D2015" s="301"/>
      <c r="E2015" s="302"/>
      <c r="F2015" s="301"/>
      <c r="G2015" s="301"/>
      <c r="H2015" s="301"/>
      <c r="I2015" s="301"/>
      <c r="K2015" s="266"/>
      <c r="L2015" s="265"/>
      <c r="M2015" s="267"/>
      <c r="N2015" s="4"/>
      <c r="O2015" s="4"/>
    </row>
    <row r="2016" spans="1:15" x14ac:dyDescent="0.2">
      <c r="A2016" s="256"/>
      <c r="B2016" s="265"/>
      <c r="C2016" s="303"/>
      <c r="D2016" s="301"/>
      <c r="E2016" s="302"/>
      <c r="F2016" s="301"/>
      <c r="G2016" s="301"/>
      <c r="H2016" s="301"/>
      <c r="I2016" s="301"/>
      <c r="K2016" s="266"/>
      <c r="L2016" s="265"/>
      <c r="M2016" s="267"/>
      <c r="N2016" s="4"/>
      <c r="O2016" s="4"/>
    </row>
    <row r="2017" spans="1:15" x14ac:dyDescent="0.2">
      <c r="A2017" s="256"/>
      <c r="B2017" s="265"/>
      <c r="C2017" s="303"/>
      <c r="D2017" s="301"/>
      <c r="E2017" s="302"/>
      <c r="F2017" s="301"/>
      <c r="G2017" s="301"/>
      <c r="H2017" s="301"/>
      <c r="I2017" s="301"/>
      <c r="K2017" s="266"/>
      <c r="L2017" s="265"/>
      <c r="M2017" s="267"/>
      <c r="N2017" s="4"/>
      <c r="O2017" s="4"/>
    </row>
    <row r="2018" spans="1:15" x14ac:dyDescent="0.2">
      <c r="A2018" s="256"/>
      <c r="B2018" s="265"/>
      <c r="C2018" s="303"/>
      <c r="D2018" s="301"/>
      <c r="E2018" s="302"/>
      <c r="F2018" s="301"/>
      <c r="G2018" s="301"/>
      <c r="H2018" s="301"/>
      <c r="I2018" s="301"/>
      <c r="K2018" s="266"/>
      <c r="L2018" s="265"/>
      <c r="M2018" s="267"/>
      <c r="N2018" s="4"/>
      <c r="O2018" s="4"/>
    </row>
    <row r="2019" spans="1:15" x14ac:dyDescent="0.2">
      <c r="A2019" s="256"/>
      <c r="B2019" s="265"/>
      <c r="C2019" s="303"/>
      <c r="D2019" s="301"/>
      <c r="E2019" s="302"/>
      <c r="F2019" s="301"/>
      <c r="G2019" s="301"/>
      <c r="H2019" s="301"/>
      <c r="I2019" s="301"/>
      <c r="K2019" s="266"/>
      <c r="L2019" s="265"/>
      <c r="M2019" s="267"/>
      <c r="N2019" s="4"/>
      <c r="O2019" s="4"/>
    </row>
    <row r="2020" spans="1:15" x14ac:dyDescent="0.2">
      <c r="A2020" s="256"/>
      <c r="B2020" s="265"/>
      <c r="C2020" s="303"/>
      <c r="D2020" s="301"/>
      <c r="E2020" s="302"/>
      <c r="F2020" s="301"/>
      <c r="G2020" s="301"/>
      <c r="H2020" s="301"/>
      <c r="I2020" s="301"/>
      <c r="K2020" s="266"/>
      <c r="L2020" s="265"/>
      <c r="M2020" s="267"/>
      <c r="N2020" s="4"/>
      <c r="O2020" s="4"/>
    </row>
    <row r="2021" spans="1:15" x14ac:dyDescent="0.2">
      <c r="A2021" s="256"/>
      <c r="B2021" s="265"/>
      <c r="C2021" s="303"/>
      <c r="D2021" s="301"/>
      <c r="E2021" s="302"/>
      <c r="F2021" s="301"/>
      <c r="G2021" s="301"/>
      <c r="H2021" s="301"/>
      <c r="I2021" s="301"/>
      <c r="K2021" s="266"/>
      <c r="L2021" s="265"/>
      <c r="M2021" s="267"/>
      <c r="N2021" s="4"/>
      <c r="O2021" s="4"/>
    </row>
    <row r="2022" spans="1:15" x14ac:dyDescent="0.2">
      <c r="A2022" s="256"/>
      <c r="B2022" s="265"/>
      <c r="C2022" s="303"/>
      <c r="D2022" s="301"/>
      <c r="E2022" s="302"/>
      <c r="F2022" s="301"/>
      <c r="G2022" s="301"/>
      <c r="H2022" s="301"/>
      <c r="I2022" s="301"/>
      <c r="K2022" s="266"/>
      <c r="L2022" s="265"/>
      <c r="M2022" s="267"/>
      <c r="N2022" s="4"/>
      <c r="O2022" s="4"/>
    </row>
    <row r="2023" spans="1:15" x14ac:dyDescent="0.2">
      <c r="A2023" s="256"/>
      <c r="B2023" s="265"/>
      <c r="C2023" s="303"/>
      <c r="D2023" s="301"/>
      <c r="E2023" s="302"/>
      <c r="F2023" s="301"/>
      <c r="G2023" s="301"/>
      <c r="H2023" s="301"/>
      <c r="I2023" s="301"/>
      <c r="K2023" s="266"/>
      <c r="L2023" s="265"/>
      <c r="M2023" s="267"/>
      <c r="N2023" s="4"/>
      <c r="O2023" s="4"/>
    </row>
    <row r="2024" spans="1:15" x14ac:dyDescent="0.2">
      <c r="A2024" s="256"/>
      <c r="B2024" s="265"/>
      <c r="C2024" s="303"/>
      <c r="D2024" s="301"/>
      <c r="E2024" s="302"/>
      <c r="F2024" s="301"/>
      <c r="G2024" s="301"/>
      <c r="H2024" s="301"/>
      <c r="I2024" s="301"/>
      <c r="K2024" s="266"/>
      <c r="L2024" s="265"/>
      <c r="M2024" s="267"/>
      <c r="N2024" s="4"/>
      <c r="O2024" s="4"/>
    </row>
    <row r="2025" spans="1:15" x14ac:dyDescent="0.2">
      <c r="A2025" s="256"/>
      <c r="B2025" s="265"/>
      <c r="C2025" s="303"/>
      <c r="D2025" s="301"/>
      <c r="E2025" s="302"/>
      <c r="F2025" s="301"/>
      <c r="G2025" s="301"/>
      <c r="H2025" s="301"/>
      <c r="I2025" s="301"/>
      <c r="K2025" s="266"/>
      <c r="L2025" s="265"/>
      <c r="M2025" s="267"/>
      <c r="N2025" s="4"/>
      <c r="O2025" s="4"/>
    </row>
    <row r="2026" spans="1:15" x14ac:dyDescent="0.2">
      <c r="A2026" s="256"/>
      <c r="B2026" s="265"/>
      <c r="C2026" s="303"/>
      <c r="D2026" s="301"/>
      <c r="E2026" s="302"/>
      <c r="F2026" s="301"/>
      <c r="G2026" s="301"/>
      <c r="H2026" s="301"/>
      <c r="I2026" s="301"/>
      <c r="K2026" s="266"/>
      <c r="L2026" s="265"/>
      <c r="M2026" s="267"/>
      <c r="N2026" s="4"/>
      <c r="O2026" s="4"/>
    </row>
    <row r="2027" spans="1:15" x14ac:dyDescent="0.2">
      <c r="A2027" s="256"/>
      <c r="B2027" s="265"/>
      <c r="C2027" s="303"/>
      <c r="D2027" s="301"/>
      <c r="E2027" s="302"/>
      <c r="F2027" s="301"/>
      <c r="G2027" s="301"/>
      <c r="H2027" s="301"/>
      <c r="I2027" s="301"/>
      <c r="K2027" s="266"/>
      <c r="L2027" s="265"/>
      <c r="M2027" s="267"/>
      <c r="N2027" s="4"/>
      <c r="O2027" s="4"/>
    </row>
    <row r="2028" spans="1:15" x14ac:dyDescent="0.2">
      <c r="A2028" s="256"/>
      <c r="B2028" s="265"/>
      <c r="C2028" s="303"/>
      <c r="D2028" s="301"/>
      <c r="E2028" s="302"/>
      <c r="F2028" s="301"/>
      <c r="G2028" s="301"/>
      <c r="H2028" s="301"/>
      <c r="I2028" s="301"/>
      <c r="K2028" s="266"/>
      <c r="L2028" s="265"/>
      <c r="M2028" s="267"/>
      <c r="N2028" s="4"/>
      <c r="O2028" s="4"/>
    </row>
    <row r="2029" spans="1:15" x14ac:dyDescent="0.2">
      <c r="A2029" s="256"/>
      <c r="B2029" s="265"/>
      <c r="C2029" s="303"/>
      <c r="D2029" s="301"/>
      <c r="E2029" s="302"/>
      <c r="F2029" s="301"/>
      <c r="G2029" s="301"/>
      <c r="H2029" s="301"/>
      <c r="I2029" s="301"/>
      <c r="K2029" s="266"/>
      <c r="L2029" s="265"/>
      <c r="M2029" s="267"/>
      <c r="N2029" s="4"/>
      <c r="O2029" s="4"/>
    </row>
    <row r="2030" spans="1:15" x14ac:dyDescent="0.2">
      <c r="A2030" s="256"/>
      <c r="B2030" s="265"/>
      <c r="C2030" s="303"/>
      <c r="D2030" s="301"/>
      <c r="E2030" s="302"/>
      <c r="F2030" s="301"/>
      <c r="G2030" s="301"/>
      <c r="H2030" s="301"/>
      <c r="I2030" s="301"/>
      <c r="K2030" s="266"/>
      <c r="L2030" s="265"/>
      <c r="M2030" s="267"/>
      <c r="N2030" s="4"/>
      <c r="O2030" s="4"/>
    </row>
    <row r="2031" spans="1:15" x14ac:dyDescent="0.2">
      <c r="A2031" s="256"/>
      <c r="B2031" s="265"/>
      <c r="C2031" s="303"/>
      <c r="D2031" s="301"/>
      <c r="E2031" s="302"/>
      <c r="F2031" s="301"/>
      <c r="G2031" s="301"/>
      <c r="H2031" s="301"/>
      <c r="I2031" s="301"/>
      <c r="K2031" s="266"/>
      <c r="L2031" s="265"/>
      <c r="M2031" s="267"/>
      <c r="N2031" s="4"/>
      <c r="O2031" s="4"/>
    </row>
    <row r="2032" spans="1:15" x14ac:dyDescent="0.2">
      <c r="A2032" s="256"/>
      <c r="B2032" s="265"/>
      <c r="C2032" s="303"/>
      <c r="D2032" s="301"/>
      <c r="E2032" s="302"/>
      <c r="F2032" s="301"/>
      <c r="G2032" s="301"/>
      <c r="H2032" s="301"/>
      <c r="I2032" s="301"/>
      <c r="K2032" s="266"/>
      <c r="L2032" s="265"/>
      <c r="M2032" s="267"/>
      <c r="N2032" s="4"/>
      <c r="O2032" s="4"/>
    </row>
    <row r="2033" spans="1:15" x14ac:dyDescent="0.2">
      <c r="A2033" s="256"/>
      <c r="B2033" s="265"/>
      <c r="C2033" s="303"/>
      <c r="D2033" s="301"/>
      <c r="E2033" s="302"/>
      <c r="F2033" s="301"/>
      <c r="G2033" s="301"/>
      <c r="H2033" s="301"/>
      <c r="I2033" s="301"/>
      <c r="K2033" s="266"/>
      <c r="L2033" s="265"/>
      <c r="M2033" s="267"/>
      <c r="N2033" s="4"/>
      <c r="O2033" s="4"/>
    </row>
    <row r="2034" spans="1:15" x14ac:dyDescent="0.2">
      <c r="A2034" s="256"/>
      <c r="B2034" s="265"/>
      <c r="C2034" s="303"/>
      <c r="D2034" s="301"/>
      <c r="E2034" s="302"/>
      <c r="F2034" s="301"/>
      <c r="G2034" s="301"/>
      <c r="H2034" s="301"/>
      <c r="I2034" s="301"/>
      <c r="K2034" s="266"/>
      <c r="L2034" s="265"/>
      <c r="M2034" s="267"/>
      <c r="N2034" s="4"/>
      <c r="O2034" s="4"/>
    </row>
    <row r="2035" spans="1:15" x14ac:dyDescent="0.2">
      <c r="A2035" s="256"/>
      <c r="B2035" s="265"/>
      <c r="C2035" s="303"/>
      <c r="D2035" s="301"/>
      <c r="E2035" s="302"/>
      <c r="F2035" s="301"/>
      <c r="G2035" s="301"/>
      <c r="H2035" s="301"/>
      <c r="I2035" s="301"/>
      <c r="K2035" s="266"/>
      <c r="L2035" s="265"/>
      <c r="M2035" s="267"/>
      <c r="N2035" s="4"/>
      <c r="O2035" s="4"/>
    </row>
    <row r="2036" spans="1:15" x14ac:dyDescent="0.2">
      <c r="A2036" s="256"/>
      <c r="B2036" s="265"/>
      <c r="C2036" s="303"/>
      <c r="D2036" s="301"/>
      <c r="E2036" s="302"/>
      <c r="F2036" s="301"/>
      <c r="G2036" s="301"/>
      <c r="H2036" s="301"/>
      <c r="I2036" s="301"/>
      <c r="K2036" s="266"/>
      <c r="L2036" s="265"/>
      <c r="M2036" s="267"/>
      <c r="N2036" s="4"/>
      <c r="O2036" s="4"/>
    </row>
    <row r="2037" spans="1:15" x14ac:dyDescent="0.2">
      <c r="A2037" s="256"/>
      <c r="B2037" s="265"/>
      <c r="C2037" s="303"/>
      <c r="D2037" s="301"/>
      <c r="E2037" s="302"/>
      <c r="F2037" s="301"/>
      <c r="G2037" s="301"/>
      <c r="H2037" s="301"/>
      <c r="I2037" s="301"/>
      <c r="K2037" s="266"/>
      <c r="L2037" s="265"/>
      <c r="M2037" s="267"/>
      <c r="N2037" s="4"/>
      <c r="O2037" s="4"/>
    </row>
    <row r="2038" spans="1:15" x14ac:dyDescent="0.2">
      <c r="A2038" s="256"/>
      <c r="B2038" s="265"/>
      <c r="C2038" s="303"/>
      <c r="D2038" s="301"/>
      <c r="E2038" s="302"/>
      <c r="F2038" s="301"/>
      <c r="G2038" s="301"/>
      <c r="H2038" s="301"/>
      <c r="I2038" s="301"/>
      <c r="K2038" s="266"/>
      <c r="L2038" s="265"/>
      <c r="M2038" s="267"/>
      <c r="N2038" s="4"/>
      <c r="O2038" s="4"/>
    </row>
    <row r="2039" spans="1:15" x14ac:dyDescent="0.2">
      <c r="A2039" s="256"/>
      <c r="B2039" s="265"/>
      <c r="C2039" s="303"/>
      <c r="D2039" s="301"/>
      <c r="E2039" s="302"/>
      <c r="F2039" s="301"/>
      <c r="G2039" s="301"/>
      <c r="H2039" s="301"/>
      <c r="I2039" s="301"/>
      <c r="K2039" s="266"/>
      <c r="L2039" s="265"/>
      <c r="M2039" s="267"/>
      <c r="N2039" s="4"/>
      <c r="O2039" s="4"/>
    </row>
    <row r="2040" spans="1:15" x14ac:dyDescent="0.2">
      <c r="A2040" s="256"/>
      <c r="B2040" s="265"/>
      <c r="C2040" s="303"/>
      <c r="D2040" s="301"/>
      <c r="E2040" s="302"/>
      <c r="F2040" s="301"/>
      <c r="G2040" s="301"/>
      <c r="H2040" s="301"/>
      <c r="I2040" s="301"/>
      <c r="K2040" s="266"/>
      <c r="L2040" s="265"/>
      <c r="M2040" s="267"/>
      <c r="N2040" s="4"/>
      <c r="O2040" s="4"/>
    </row>
    <row r="2041" spans="1:15" x14ac:dyDescent="0.2">
      <c r="A2041" s="256"/>
      <c r="B2041" s="265"/>
      <c r="C2041" s="303"/>
      <c r="D2041" s="301"/>
      <c r="E2041" s="302"/>
      <c r="F2041" s="301"/>
      <c r="G2041" s="301"/>
      <c r="H2041" s="301"/>
      <c r="I2041" s="301"/>
      <c r="K2041" s="266"/>
      <c r="L2041" s="265"/>
      <c r="M2041" s="267"/>
      <c r="N2041" s="4"/>
      <c r="O2041" s="4"/>
    </row>
    <row r="2042" spans="1:15" x14ac:dyDescent="0.2">
      <c r="A2042" s="256"/>
      <c r="B2042" s="265"/>
      <c r="C2042" s="303"/>
      <c r="D2042" s="301"/>
      <c r="E2042" s="302"/>
      <c r="F2042" s="301"/>
      <c r="G2042" s="301"/>
      <c r="H2042" s="301"/>
      <c r="I2042" s="301"/>
      <c r="K2042" s="266"/>
      <c r="L2042" s="265"/>
      <c r="M2042" s="267"/>
      <c r="N2042" s="4"/>
      <c r="O2042" s="4"/>
    </row>
    <row r="2043" spans="1:15" x14ac:dyDescent="0.2">
      <c r="A2043" s="256"/>
      <c r="B2043" s="265"/>
      <c r="C2043" s="303"/>
      <c r="D2043" s="301"/>
      <c r="E2043" s="302"/>
      <c r="F2043" s="301"/>
      <c r="G2043" s="301"/>
      <c r="H2043" s="301"/>
      <c r="I2043" s="301"/>
      <c r="K2043" s="266"/>
      <c r="L2043" s="265"/>
      <c r="M2043" s="267"/>
      <c r="N2043" s="4"/>
      <c r="O2043" s="4"/>
    </row>
    <row r="2044" spans="1:15" x14ac:dyDescent="0.2">
      <c r="A2044" s="256"/>
      <c r="B2044" s="265"/>
      <c r="C2044" s="303"/>
      <c r="D2044" s="301"/>
      <c r="E2044" s="302"/>
      <c r="F2044" s="301"/>
      <c r="G2044" s="301"/>
      <c r="H2044" s="301"/>
      <c r="I2044" s="301"/>
      <c r="K2044" s="266"/>
      <c r="L2044" s="265"/>
      <c r="M2044" s="267"/>
      <c r="N2044" s="4"/>
      <c r="O2044" s="4"/>
    </row>
    <row r="2045" spans="1:15" x14ac:dyDescent="0.2">
      <c r="A2045" s="256"/>
      <c r="B2045" s="265"/>
      <c r="C2045" s="303"/>
      <c r="D2045" s="301"/>
      <c r="E2045" s="302"/>
      <c r="F2045" s="301"/>
      <c r="G2045" s="301"/>
      <c r="H2045" s="301"/>
      <c r="I2045" s="301"/>
      <c r="K2045" s="266"/>
      <c r="L2045" s="265"/>
      <c r="M2045" s="267"/>
      <c r="N2045" s="4"/>
      <c r="O2045" s="4"/>
    </row>
    <row r="2046" spans="1:15" x14ac:dyDescent="0.2">
      <c r="A2046" s="256"/>
      <c r="B2046" s="265"/>
      <c r="C2046" s="303"/>
      <c r="D2046" s="301"/>
      <c r="E2046" s="302"/>
      <c r="F2046" s="301"/>
      <c r="G2046" s="301"/>
      <c r="H2046" s="301"/>
      <c r="I2046" s="301"/>
      <c r="K2046" s="266"/>
      <c r="L2046" s="265"/>
      <c r="M2046" s="267"/>
      <c r="N2046" s="4"/>
      <c r="O2046" s="4"/>
    </row>
    <row r="2047" spans="1:15" x14ac:dyDescent="0.2">
      <c r="A2047" s="256"/>
      <c r="B2047" s="265"/>
      <c r="C2047" s="303"/>
      <c r="D2047" s="301"/>
      <c r="E2047" s="302"/>
      <c r="F2047" s="301"/>
      <c r="G2047" s="301"/>
      <c r="H2047" s="301"/>
      <c r="I2047" s="301"/>
      <c r="K2047" s="266"/>
      <c r="L2047" s="265"/>
      <c r="M2047" s="267"/>
      <c r="N2047" s="4"/>
      <c r="O2047" s="4"/>
    </row>
    <row r="2048" spans="1:15" x14ac:dyDescent="0.2">
      <c r="A2048" s="256"/>
      <c r="B2048" s="265"/>
      <c r="C2048" s="303"/>
      <c r="D2048" s="301"/>
      <c r="E2048" s="302"/>
      <c r="F2048" s="301"/>
      <c r="G2048" s="301"/>
      <c r="H2048" s="301"/>
      <c r="I2048" s="301"/>
      <c r="K2048" s="266"/>
      <c r="L2048" s="265"/>
      <c r="M2048" s="267"/>
      <c r="N2048" s="4"/>
      <c r="O2048" s="4"/>
    </row>
    <row r="2049" spans="1:15" x14ac:dyDescent="0.2">
      <c r="A2049" s="256"/>
      <c r="B2049" s="265"/>
      <c r="C2049" s="303"/>
      <c r="D2049" s="301"/>
      <c r="E2049" s="302"/>
      <c r="F2049" s="301"/>
      <c r="G2049" s="301"/>
      <c r="H2049" s="301"/>
      <c r="I2049" s="301"/>
      <c r="K2049" s="266"/>
      <c r="L2049" s="265"/>
      <c r="M2049" s="267"/>
      <c r="N2049" s="4"/>
      <c r="O2049" s="4"/>
    </row>
    <row r="2050" spans="1:15" x14ac:dyDescent="0.2">
      <c r="A2050" s="256"/>
      <c r="B2050" s="265"/>
      <c r="C2050" s="303"/>
      <c r="D2050" s="301"/>
      <c r="E2050" s="302"/>
      <c r="F2050" s="301"/>
      <c r="G2050" s="301"/>
      <c r="H2050" s="301"/>
      <c r="I2050" s="301"/>
      <c r="K2050" s="266"/>
      <c r="L2050" s="265"/>
      <c r="M2050" s="267"/>
      <c r="N2050" s="4"/>
      <c r="O2050" s="4"/>
    </row>
    <row r="2051" spans="1:15" x14ac:dyDescent="0.2">
      <c r="A2051" s="256"/>
      <c r="B2051" s="265"/>
      <c r="C2051" s="303"/>
      <c r="D2051" s="301"/>
      <c r="E2051" s="302"/>
      <c r="F2051" s="301"/>
      <c r="G2051" s="301"/>
      <c r="H2051" s="301"/>
      <c r="I2051" s="301"/>
      <c r="K2051" s="266"/>
      <c r="L2051" s="265"/>
      <c r="M2051" s="267"/>
      <c r="N2051" s="4"/>
      <c r="O2051" s="4"/>
    </row>
    <row r="2052" spans="1:15" x14ac:dyDescent="0.2">
      <c r="A2052" s="256"/>
      <c r="B2052" s="265"/>
      <c r="C2052" s="303"/>
      <c r="D2052" s="301"/>
      <c r="E2052" s="302"/>
      <c r="F2052" s="301"/>
      <c r="G2052" s="301"/>
      <c r="H2052" s="301"/>
      <c r="I2052" s="301"/>
      <c r="K2052" s="266"/>
      <c r="L2052" s="265"/>
      <c r="M2052" s="267"/>
      <c r="N2052" s="4"/>
      <c r="O2052" s="4"/>
    </row>
    <row r="2053" spans="1:15" x14ac:dyDescent="0.2">
      <c r="A2053" s="256"/>
      <c r="B2053" s="265"/>
      <c r="C2053" s="303"/>
      <c r="D2053" s="301"/>
      <c r="E2053" s="302"/>
      <c r="F2053" s="301"/>
      <c r="G2053" s="301"/>
      <c r="H2053" s="301"/>
      <c r="I2053" s="301"/>
      <c r="K2053" s="266"/>
      <c r="L2053" s="265"/>
      <c r="M2053" s="267"/>
      <c r="N2053" s="4"/>
      <c r="O2053" s="4"/>
    </row>
    <row r="2054" spans="1:15" x14ac:dyDescent="0.2">
      <c r="A2054" s="256"/>
      <c r="B2054" s="265"/>
      <c r="C2054" s="303"/>
      <c r="D2054" s="301"/>
      <c r="E2054" s="302"/>
      <c r="F2054" s="301"/>
      <c r="G2054" s="301"/>
      <c r="H2054" s="301"/>
      <c r="I2054" s="301"/>
      <c r="K2054" s="266"/>
      <c r="L2054" s="265"/>
      <c r="M2054" s="267"/>
      <c r="N2054" s="4"/>
      <c r="O2054" s="4"/>
    </row>
    <row r="2055" spans="1:15" x14ac:dyDescent="0.2">
      <c r="A2055" s="256"/>
      <c r="B2055" s="265"/>
      <c r="C2055" s="303"/>
      <c r="D2055" s="301"/>
      <c r="E2055" s="302"/>
      <c r="F2055" s="301"/>
      <c r="G2055" s="301"/>
      <c r="H2055" s="301"/>
      <c r="I2055" s="301"/>
      <c r="K2055" s="266"/>
      <c r="L2055" s="265"/>
      <c r="M2055" s="267"/>
      <c r="N2055" s="4"/>
      <c r="O2055" s="4"/>
    </row>
    <row r="2056" spans="1:15" x14ac:dyDescent="0.2">
      <c r="A2056" s="256"/>
      <c r="B2056" s="265"/>
      <c r="C2056" s="303"/>
      <c r="D2056" s="301"/>
      <c r="E2056" s="302"/>
      <c r="F2056" s="301"/>
      <c r="G2056" s="301"/>
      <c r="H2056" s="301"/>
      <c r="I2056" s="301"/>
      <c r="K2056" s="266"/>
      <c r="L2056" s="265"/>
      <c r="M2056" s="267"/>
      <c r="N2056" s="4"/>
      <c r="O2056" s="4"/>
    </row>
    <row r="2057" spans="1:15" x14ac:dyDescent="0.2">
      <c r="A2057" s="256"/>
      <c r="B2057" s="265"/>
      <c r="C2057" s="303"/>
      <c r="D2057" s="301"/>
      <c r="E2057" s="302"/>
      <c r="F2057" s="301"/>
      <c r="G2057" s="301"/>
      <c r="H2057" s="301"/>
      <c r="I2057" s="301"/>
      <c r="K2057" s="266"/>
      <c r="L2057" s="265"/>
      <c r="M2057" s="267"/>
      <c r="N2057" s="4"/>
      <c r="O2057" s="4"/>
    </row>
    <row r="2058" spans="1:15" x14ac:dyDescent="0.2">
      <c r="A2058" s="256"/>
      <c r="B2058" s="265"/>
      <c r="C2058" s="303"/>
      <c r="D2058" s="301"/>
      <c r="E2058" s="302"/>
      <c r="F2058" s="301"/>
      <c r="G2058" s="301"/>
      <c r="H2058" s="301"/>
      <c r="I2058" s="301"/>
      <c r="K2058" s="266"/>
      <c r="L2058" s="265"/>
      <c r="M2058" s="267"/>
      <c r="N2058" s="4"/>
      <c r="O2058" s="4"/>
    </row>
    <row r="2059" spans="1:15" x14ac:dyDescent="0.2">
      <c r="A2059" s="256"/>
      <c r="B2059" s="265"/>
      <c r="C2059" s="303"/>
      <c r="D2059" s="301"/>
      <c r="E2059" s="302"/>
      <c r="F2059" s="301"/>
      <c r="G2059" s="301"/>
      <c r="H2059" s="301"/>
      <c r="I2059" s="301"/>
      <c r="K2059" s="266"/>
      <c r="L2059" s="265"/>
      <c r="M2059" s="267"/>
      <c r="N2059" s="4"/>
      <c r="O2059" s="4"/>
    </row>
    <row r="2060" spans="1:15" x14ac:dyDescent="0.2">
      <c r="A2060" s="256"/>
      <c r="B2060" s="265"/>
      <c r="C2060" s="303"/>
      <c r="D2060" s="301"/>
      <c r="E2060" s="302"/>
      <c r="F2060" s="301"/>
      <c r="G2060" s="301"/>
      <c r="H2060" s="301"/>
      <c r="I2060" s="301"/>
      <c r="K2060" s="266"/>
      <c r="L2060" s="265"/>
      <c r="M2060" s="267"/>
      <c r="N2060" s="4"/>
      <c r="O2060" s="4"/>
    </row>
    <row r="2061" spans="1:15" x14ac:dyDescent="0.2">
      <c r="A2061" s="256"/>
      <c r="B2061" s="265"/>
      <c r="C2061" s="303"/>
      <c r="D2061" s="301"/>
      <c r="E2061" s="302"/>
      <c r="F2061" s="301"/>
      <c r="G2061" s="301"/>
      <c r="H2061" s="301"/>
      <c r="I2061" s="301"/>
      <c r="K2061" s="266"/>
      <c r="L2061" s="265"/>
      <c r="M2061" s="267"/>
      <c r="N2061" s="4"/>
      <c r="O2061" s="4"/>
    </row>
    <row r="2062" spans="1:15" x14ac:dyDescent="0.2">
      <c r="A2062" s="256"/>
      <c r="B2062" s="265"/>
      <c r="C2062" s="303"/>
      <c r="D2062" s="301"/>
      <c r="E2062" s="302"/>
      <c r="F2062" s="301"/>
      <c r="G2062" s="301"/>
      <c r="H2062" s="301"/>
      <c r="I2062" s="301"/>
      <c r="K2062" s="266"/>
      <c r="L2062" s="265"/>
      <c r="M2062" s="267"/>
      <c r="N2062" s="4"/>
      <c r="O2062" s="4"/>
    </row>
    <row r="2063" spans="1:15" x14ac:dyDescent="0.2">
      <c r="A2063" s="256"/>
      <c r="B2063" s="265"/>
      <c r="C2063" s="303"/>
      <c r="D2063" s="301"/>
      <c r="E2063" s="302"/>
      <c r="F2063" s="301"/>
      <c r="G2063" s="301"/>
      <c r="H2063" s="301"/>
      <c r="I2063" s="301"/>
      <c r="K2063" s="266"/>
      <c r="L2063" s="265"/>
      <c r="M2063" s="267"/>
      <c r="N2063" s="4"/>
      <c r="O2063" s="4"/>
    </row>
    <row r="2064" spans="1:15" x14ac:dyDescent="0.2">
      <c r="A2064" s="256"/>
      <c r="B2064" s="265"/>
      <c r="C2064" s="303"/>
      <c r="D2064" s="301"/>
      <c r="E2064" s="302"/>
      <c r="F2064" s="301"/>
      <c r="G2064" s="301"/>
      <c r="H2064" s="301"/>
      <c r="I2064" s="301"/>
      <c r="K2064" s="266"/>
      <c r="L2064" s="265"/>
      <c r="M2064" s="267"/>
      <c r="N2064" s="4"/>
      <c r="O2064" s="4"/>
    </row>
    <row r="2065" spans="1:15" x14ac:dyDescent="0.2">
      <c r="A2065" s="256"/>
      <c r="B2065" s="265"/>
      <c r="C2065" s="303"/>
      <c r="D2065" s="301"/>
      <c r="E2065" s="302"/>
      <c r="F2065" s="301"/>
      <c r="G2065" s="301"/>
      <c r="H2065" s="301"/>
      <c r="I2065" s="301"/>
      <c r="K2065" s="266"/>
      <c r="L2065" s="265"/>
      <c r="M2065" s="267"/>
      <c r="N2065" s="4"/>
      <c r="O2065" s="4"/>
    </row>
    <row r="2066" spans="1:15" x14ac:dyDescent="0.2">
      <c r="A2066" s="256"/>
      <c r="B2066" s="265"/>
      <c r="C2066" s="303"/>
      <c r="D2066" s="301"/>
      <c r="E2066" s="302"/>
      <c r="F2066" s="301"/>
      <c r="G2066" s="301"/>
      <c r="H2066" s="301"/>
      <c r="I2066" s="301"/>
      <c r="K2066" s="266"/>
      <c r="L2066" s="265"/>
      <c r="M2066" s="267"/>
      <c r="N2066" s="4"/>
      <c r="O2066" s="4"/>
    </row>
    <row r="2067" spans="1:15" x14ac:dyDescent="0.2">
      <c r="A2067" s="256"/>
      <c r="B2067" s="265"/>
      <c r="C2067" s="303"/>
      <c r="D2067" s="301"/>
      <c r="E2067" s="302"/>
      <c r="F2067" s="301"/>
      <c r="G2067" s="301"/>
      <c r="H2067" s="301"/>
      <c r="I2067" s="301"/>
      <c r="K2067" s="266"/>
      <c r="L2067" s="265"/>
      <c r="M2067" s="267"/>
      <c r="N2067" s="4"/>
      <c r="O2067" s="4"/>
    </row>
    <row r="2068" spans="1:15" x14ac:dyDescent="0.2">
      <c r="A2068" s="256"/>
      <c r="B2068" s="265"/>
      <c r="C2068" s="303"/>
      <c r="D2068" s="301"/>
      <c r="E2068" s="302"/>
      <c r="F2068" s="301"/>
      <c r="G2068" s="301"/>
      <c r="H2068" s="301"/>
      <c r="I2068" s="301"/>
      <c r="K2068" s="266"/>
      <c r="L2068" s="265"/>
      <c r="M2068" s="267"/>
      <c r="N2068" s="4"/>
      <c r="O2068" s="4"/>
    </row>
    <row r="2069" spans="1:15" x14ac:dyDescent="0.2">
      <c r="A2069" s="256"/>
      <c r="B2069" s="265"/>
      <c r="C2069" s="303"/>
      <c r="D2069" s="301"/>
      <c r="E2069" s="302"/>
      <c r="F2069" s="301"/>
      <c r="G2069" s="301"/>
      <c r="H2069" s="301"/>
      <c r="I2069" s="301"/>
      <c r="K2069" s="266"/>
      <c r="L2069" s="265"/>
      <c r="M2069" s="267"/>
      <c r="N2069" s="4"/>
      <c r="O2069" s="4"/>
    </row>
    <row r="2070" spans="1:15" x14ac:dyDescent="0.2">
      <c r="A2070" s="256"/>
      <c r="B2070" s="265"/>
      <c r="C2070" s="303"/>
      <c r="D2070" s="301"/>
      <c r="E2070" s="302"/>
      <c r="F2070" s="301"/>
      <c r="G2070" s="301"/>
      <c r="H2070" s="301"/>
      <c r="I2070" s="301"/>
      <c r="K2070" s="266"/>
      <c r="L2070" s="265"/>
      <c r="M2070" s="267"/>
      <c r="N2070" s="4"/>
      <c r="O2070" s="4"/>
    </row>
    <row r="2071" spans="1:15" x14ac:dyDescent="0.2">
      <c r="A2071" s="256"/>
      <c r="B2071" s="265"/>
      <c r="C2071" s="303"/>
      <c r="D2071" s="301"/>
      <c r="E2071" s="302"/>
      <c r="F2071" s="301"/>
      <c r="G2071" s="301"/>
      <c r="H2071" s="301"/>
      <c r="I2071" s="301"/>
      <c r="K2071" s="266"/>
      <c r="L2071" s="265"/>
      <c r="M2071" s="267"/>
      <c r="N2071" s="4"/>
      <c r="O2071" s="4"/>
    </row>
    <row r="2072" spans="1:15" x14ac:dyDescent="0.2">
      <c r="A2072" s="256"/>
      <c r="B2072" s="265"/>
      <c r="C2072" s="303"/>
      <c r="D2072" s="301"/>
      <c r="E2072" s="302"/>
      <c r="F2072" s="301"/>
      <c r="G2072" s="301"/>
      <c r="H2072" s="301"/>
      <c r="I2072" s="301"/>
      <c r="K2072" s="266"/>
      <c r="L2072" s="265"/>
      <c r="M2072" s="267"/>
      <c r="N2072" s="4"/>
      <c r="O2072" s="4"/>
    </row>
    <row r="2073" spans="1:15" x14ac:dyDescent="0.2">
      <c r="A2073" s="256"/>
      <c r="B2073" s="265"/>
      <c r="C2073" s="303"/>
      <c r="D2073" s="301"/>
      <c r="E2073" s="302"/>
      <c r="F2073" s="301"/>
      <c r="G2073" s="301"/>
      <c r="H2073" s="301"/>
      <c r="I2073" s="301"/>
      <c r="K2073" s="266"/>
      <c r="L2073" s="265"/>
      <c r="M2073" s="267"/>
      <c r="N2073" s="4"/>
      <c r="O2073" s="4"/>
    </row>
    <row r="2074" spans="1:15" x14ac:dyDescent="0.2">
      <c r="A2074" s="256"/>
      <c r="B2074" s="265"/>
      <c r="C2074" s="303"/>
      <c r="D2074" s="301"/>
      <c r="E2074" s="302"/>
      <c r="F2074" s="301"/>
      <c r="G2074" s="301"/>
      <c r="H2074" s="301"/>
      <c r="I2074" s="301"/>
      <c r="K2074" s="266"/>
      <c r="L2074" s="265"/>
      <c r="M2074" s="267"/>
      <c r="N2074" s="4"/>
      <c r="O2074" s="4"/>
    </row>
    <row r="2075" spans="1:15" x14ac:dyDescent="0.2">
      <c r="A2075" s="256"/>
      <c r="B2075" s="265"/>
      <c r="C2075" s="303"/>
      <c r="D2075" s="301"/>
      <c r="E2075" s="302"/>
      <c r="F2075" s="301"/>
      <c r="G2075" s="301"/>
      <c r="H2075" s="301"/>
      <c r="I2075" s="301"/>
      <c r="K2075" s="266"/>
      <c r="L2075" s="265"/>
      <c r="M2075" s="267"/>
      <c r="N2075" s="4"/>
      <c r="O2075" s="4"/>
    </row>
    <row r="2076" spans="1:15" x14ac:dyDescent="0.2">
      <c r="A2076" s="256"/>
      <c r="B2076" s="265"/>
      <c r="C2076" s="303"/>
      <c r="D2076" s="301"/>
      <c r="E2076" s="302"/>
      <c r="F2076" s="301"/>
      <c r="G2076" s="301"/>
      <c r="H2076" s="301"/>
      <c r="I2076" s="301"/>
      <c r="K2076" s="266"/>
      <c r="L2076" s="265"/>
      <c r="M2076" s="267"/>
      <c r="N2076" s="4"/>
      <c r="O2076" s="4"/>
    </row>
    <row r="2077" spans="1:15" x14ac:dyDescent="0.2">
      <c r="A2077" s="256"/>
      <c r="B2077" s="265"/>
      <c r="C2077" s="303"/>
      <c r="D2077" s="301"/>
      <c r="E2077" s="302"/>
      <c r="F2077" s="301"/>
      <c r="G2077" s="301"/>
      <c r="H2077" s="301"/>
      <c r="I2077" s="301"/>
      <c r="K2077" s="266"/>
      <c r="L2077" s="265"/>
      <c r="M2077" s="267"/>
      <c r="N2077" s="4"/>
      <c r="O2077" s="4"/>
    </row>
    <row r="2078" spans="1:15" x14ac:dyDescent="0.2">
      <c r="A2078" s="256"/>
      <c r="B2078" s="265"/>
      <c r="C2078" s="303"/>
      <c r="D2078" s="301"/>
      <c r="E2078" s="302"/>
      <c r="F2078" s="301"/>
      <c r="G2078" s="301"/>
      <c r="H2078" s="301"/>
      <c r="I2078" s="301"/>
      <c r="K2078" s="266"/>
      <c r="L2078" s="265"/>
      <c r="M2078" s="267"/>
      <c r="N2078" s="4"/>
      <c r="O2078" s="4"/>
    </row>
    <row r="2079" spans="1:15" x14ac:dyDescent="0.2">
      <c r="A2079" s="256"/>
      <c r="B2079" s="265"/>
      <c r="C2079" s="303"/>
      <c r="D2079" s="301"/>
      <c r="E2079" s="302"/>
      <c r="F2079" s="301"/>
      <c r="G2079" s="301"/>
      <c r="H2079" s="301"/>
      <c r="I2079" s="301"/>
      <c r="K2079" s="266"/>
      <c r="L2079" s="265"/>
      <c r="M2079" s="267"/>
      <c r="N2079" s="4"/>
      <c r="O2079" s="4"/>
    </row>
    <row r="2080" spans="1:15" x14ac:dyDescent="0.2">
      <c r="A2080" s="256"/>
      <c r="B2080" s="265"/>
      <c r="C2080" s="303"/>
      <c r="D2080" s="301"/>
      <c r="E2080" s="302"/>
      <c r="F2080" s="301"/>
      <c r="G2080" s="301"/>
      <c r="H2080" s="301"/>
      <c r="I2080" s="301"/>
      <c r="K2080" s="266"/>
      <c r="L2080" s="265"/>
      <c r="M2080" s="267"/>
      <c r="N2080" s="4"/>
      <c r="O2080" s="4"/>
    </row>
    <row r="2081" spans="1:15" x14ac:dyDescent="0.2">
      <c r="A2081" s="256"/>
      <c r="B2081" s="265"/>
      <c r="C2081" s="303"/>
      <c r="D2081" s="301"/>
      <c r="E2081" s="302"/>
      <c r="F2081" s="301"/>
      <c r="G2081" s="301"/>
      <c r="H2081" s="301"/>
      <c r="I2081" s="301"/>
      <c r="K2081" s="266"/>
      <c r="L2081" s="265"/>
      <c r="M2081" s="267"/>
      <c r="N2081" s="4"/>
      <c r="O2081" s="4"/>
    </row>
    <row r="2082" spans="1:15" x14ac:dyDescent="0.2">
      <c r="A2082" s="256"/>
      <c r="B2082" s="265"/>
      <c r="C2082" s="303"/>
      <c r="D2082" s="301"/>
      <c r="E2082" s="302"/>
      <c r="F2082" s="301"/>
      <c r="G2082" s="301"/>
      <c r="H2082" s="301"/>
      <c r="I2082" s="301"/>
      <c r="K2082" s="266"/>
      <c r="L2082" s="265"/>
      <c r="M2082" s="267"/>
      <c r="N2082" s="4"/>
      <c r="O2082" s="4"/>
    </row>
    <row r="2083" spans="1:15" x14ac:dyDescent="0.2">
      <c r="A2083" s="256"/>
      <c r="B2083" s="265"/>
      <c r="C2083" s="303"/>
      <c r="D2083" s="301"/>
      <c r="E2083" s="302"/>
      <c r="F2083" s="301"/>
      <c r="G2083" s="301"/>
      <c r="H2083" s="301"/>
      <c r="I2083" s="301"/>
      <c r="K2083" s="266"/>
      <c r="L2083" s="265"/>
      <c r="M2083" s="267"/>
      <c r="N2083" s="4"/>
      <c r="O2083" s="4"/>
    </row>
    <row r="2084" spans="1:15" x14ac:dyDescent="0.2">
      <c r="A2084" s="256"/>
      <c r="B2084" s="265"/>
      <c r="C2084" s="303"/>
      <c r="D2084" s="301"/>
      <c r="E2084" s="302"/>
      <c r="F2084" s="301"/>
      <c r="G2084" s="301"/>
      <c r="H2084" s="301"/>
      <c r="I2084" s="301"/>
      <c r="K2084" s="266"/>
      <c r="L2084" s="265"/>
      <c r="M2084" s="267"/>
      <c r="N2084" s="4"/>
      <c r="O2084" s="4"/>
    </row>
    <row r="2085" spans="1:15" x14ac:dyDescent="0.2">
      <c r="A2085" s="256"/>
      <c r="B2085" s="265"/>
      <c r="C2085" s="303"/>
      <c r="D2085" s="301"/>
      <c r="E2085" s="302"/>
      <c r="F2085" s="301"/>
      <c r="G2085" s="301"/>
      <c r="H2085" s="301"/>
      <c r="I2085" s="301"/>
      <c r="K2085" s="266"/>
      <c r="L2085" s="265"/>
      <c r="M2085" s="267"/>
      <c r="N2085" s="4"/>
      <c r="O2085" s="4"/>
    </row>
    <row r="2086" spans="1:15" x14ac:dyDescent="0.2">
      <c r="A2086" s="256"/>
      <c r="B2086" s="265"/>
      <c r="C2086" s="303"/>
      <c r="D2086" s="301"/>
      <c r="E2086" s="302"/>
      <c r="F2086" s="301"/>
      <c r="G2086" s="301"/>
      <c r="H2086" s="301"/>
      <c r="I2086" s="301"/>
      <c r="K2086" s="266"/>
      <c r="L2086" s="265"/>
      <c r="M2086" s="267"/>
      <c r="N2086" s="4"/>
      <c r="O2086" s="4"/>
    </row>
    <row r="2087" spans="1:15" x14ac:dyDescent="0.2">
      <c r="A2087" s="256"/>
      <c r="B2087" s="265"/>
      <c r="C2087" s="303"/>
      <c r="D2087" s="301"/>
      <c r="E2087" s="302"/>
      <c r="F2087" s="301"/>
      <c r="G2087" s="301"/>
      <c r="H2087" s="301"/>
      <c r="I2087" s="301"/>
      <c r="K2087" s="266"/>
      <c r="L2087" s="265"/>
      <c r="M2087" s="267"/>
      <c r="N2087" s="4"/>
      <c r="O2087" s="4"/>
    </row>
    <row r="2088" spans="1:15" x14ac:dyDescent="0.2">
      <c r="A2088" s="256"/>
      <c r="B2088" s="265"/>
      <c r="C2088" s="303"/>
      <c r="D2088" s="301"/>
      <c r="E2088" s="302"/>
      <c r="F2088" s="301"/>
      <c r="G2088" s="301"/>
      <c r="H2088" s="301"/>
      <c r="I2088" s="301"/>
      <c r="K2088" s="266"/>
      <c r="L2088" s="265"/>
      <c r="M2088" s="267"/>
      <c r="N2088" s="4"/>
      <c r="O2088" s="4"/>
    </row>
    <row r="2089" spans="1:15" x14ac:dyDescent="0.2">
      <c r="A2089" s="256"/>
      <c r="B2089" s="265"/>
      <c r="C2089" s="303"/>
      <c r="D2089" s="301"/>
      <c r="E2089" s="302"/>
      <c r="F2089" s="301"/>
      <c r="G2089" s="301"/>
      <c r="H2089" s="301"/>
      <c r="I2089" s="301"/>
      <c r="K2089" s="266"/>
      <c r="L2089" s="265"/>
      <c r="M2089" s="267"/>
      <c r="N2089" s="4"/>
      <c r="O2089" s="4"/>
    </row>
    <row r="2090" spans="1:15" x14ac:dyDescent="0.2">
      <c r="A2090" s="256"/>
      <c r="B2090" s="265"/>
      <c r="C2090" s="303"/>
      <c r="D2090" s="301"/>
      <c r="E2090" s="302"/>
      <c r="F2090" s="301"/>
      <c r="G2090" s="301"/>
      <c r="H2090" s="301"/>
      <c r="I2090" s="301"/>
      <c r="K2090" s="266"/>
      <c r="L2090" s="265"/>
      <c r="M2090" s="267"/>
      <c r="N2090" s="4"/>
      <c r="O2090" s="4"/>
    </row>
    <row r="2091" spans="1:15" x14ac:dyDescent="0.2">
      <c r="A2091" s="256"/>
      <c r="B2091" s="265"/>
      <c r="C2091" s="303"/>
      <c r="D2091" s="301"/>
      <c r="E2091" s="302"/>
      <c r="F2091" s="301"/>
      <c r="G2091" s="301"/>
      <c r="H2091" s="301"/>
      <c r="I2091" s="301"/>
      <c r="K2091" s="266"/>
      <c r="L2091" s="265"/>
      <c r="M2091" s="267"/>
      <c r="N2091" s="4"/>
      <c r="O2091" s="4"/>
    </row>
    <row r="2092" spans="1:15" x14ac:dyDescent="0.2">
      <c r="A2092" s="256"/>
      <c r="B2092" s="265"/>
      <c r="C2092" s="303"/>
      <c r="D2092" s="301"/>
      <c r="E2092" s="302"/>
      <c r="F2092" s="301"/>
      <c r="G2092" s="301"/>
      <c r="H2092" s="301"/>
      <c r="I2092" s="301"/>
      <c r="K2092" s="266"/>
      <c r="L2092" s="265"/>
      <c r="M2092" s="267"/>
      <c r="N2092" s="4"/>
      <c r="O2092" s="4"/>
    </row>
    <row r="2093" spans="1:15" x14ac:dyDescent="0.2">
      <c r="A2093" s="256"/>
      <c r="B2093" s="265"/>
      <c r="C2093" s="303"/>
      <c r="D2093" s="301"/>
      <c r="E2093" s="302"/>
      <c r="F2093" s="301"/>
      <c r="G2093" s="301"/>
      <c r="H2093" s="301"/>
      <c r="I2093" s="301"/>
      <c r="K2093" s="266"/>
      <c r="L2093" s="265"/>
      <c r="M2093" s="267"/>
      <c r="N2093" s="4"/>
      <c r="O2093" s="4"/>
    </row>
    <row r="2094" spans="1:15" x14ac:dyDescent="0.2">
      <c r="A2094" s="256"/>
      <c r="B2094" s="265"/>
      <c r="C2094" s="303"/>
      <c r="D2094" s="301"/>
      <c r="E2094" s="302"/>
      <c r="F2094" s="301"/>
      <c r="G2094" s="301"/>
      <c r="H2094" s="301"/>
      <c r="I2094" s="301"/>
      <c r="K2094" s="266"/>
      <c r="L2094" s="265"/>
      <c r="M2094" s="267"/>
      <c r="N2094" s="4"/>
      <c r="O2094" s="4"/>
    </row>
    <row r="2095" spans="1:15" x14ac:dyDescent="0.2">
      <c r="A2095" s="256"/>
      <c r="B2095" s="265"/>
      <c r="C2095" s="303"/>
      <c r="D2095" s="301"/>
      <c r="E2095" s="302"/>
      <c r="F2095" s="301"/>
      <c r="G2095" s="301"/>
      <c r="H2095" s="301"/>
      <c r="I2095" s="301"/>
      <c r="K2095" s="266"/>
      <c r="L2095" s="265"/>
      <c r="M2095" s="267"/>
      <c r="N2095" s="4"/>
      <c r="O2095" s="4"/>
    </row>
    <row r="2096" spans="1:15" x14ac:dyDescent="0.2">
      <c r="A2096" s="256"/>
      <c r="B2096" s="265"/>
      <c r="C2096" s="303"/>
      <c r="D2096" s="301"/>
      <c r="E2096" s="302"/>
      <c r="F2096" s="301"/>
      <c r="G2096" s="301"/>
      <c r="H2096" s="301"/>
      <c r="I2096" s="301"/>
      <c r="K2096" s="266"/>
      <c r="L2096" s="265"/>
      <c r="M2096" s="267"/>
      <c r="N2096" s="4"/>
      <c r="O2096" s="4"/>
    </row>
    <row r="2097" spans="1:15" x14ac:dyDescent="0.2">
      <c r="A2097" s="256"/>
      <c r="B2097" s="265"/>
      <c r="C2097" s="303"/>
      <c r="D2097" s="301"/>
      <c r="E2097" s="302"/>
      <c r="F2097" s="301"/>
      <c r="G2097" s="301"/>
      <c r="H2097" s="301"/>
      <c r="I2097" s="301"/>
      <c r="K2097" s="266"/>
      <c r="L2097" s="265"/>
      <c r="M2097" s="267"/>
      <c r="N2097" s="4"/>
      <c r="O2097" s="4"/>
    </row>
    <row r="2098" spans="1:15" x14ac:dyDescent="0.2">
      <c r="A2098" s="256"/>
      <c r="B2098" s="265"/>
      <c r="C2098" s="303"/>
      <c r="D2098" s="301"/>
      <c r="E2098" s="302"/>
      <c r="F2098" s="301"/>
      <c r="G2098" s="301"/>
      <c r="H2098" s="301"/>
      <c r="I2098" s="301"/>
      <c r="K2098" s="266"/>
      <c r="L2098" s="265"/>
      <c r="M2098" s="267"/>
      <c r="N2098" s="4"/>
      <c r="O2098" s="4"/>
    </row>
    <row r="2099" spans="1:15" x14ac:dyDescent="0.2">
      <c r="A2099" s="256"/>
      <c r="B2099" s="265"/>
      <c r="C2099" s="303"/>
      <c r="D2099" s="301"/>
      <c r="E2099" s="302"/>
      <c r="F2099" s="301"/>
      <c r="G2099" s="301"/>
      <c r="H2099" s="301"/>
      <c r="I2099" s="301"/>
      <c r="K2099" s="266"/>
      <c r="L2099" s="265"/>
      <c r="M2099" s="267"/>
      <c r="N2099" s="4"/>
      <c r="O2099" s="4"/>
    </row>
    <row r="2100" spans="1:15" x14ac:dyDescent="0.2">
      <c r="A2100" s="256"/>
      <c r="B2100" s="265"/>
      <c r="C2100" s="303"/>
      <c r="D2100" s="301"/>
      <c r="E2100" s="302"/>
      <c r="F2100" s="301"/>
      <c r="G2100" s="301"/>
      <c r="H2100" s="301"/>
      <c r="I2100" s="301"/>
      <c r="K2100" s="266"/>
      <c r="L2100" s="265"/>
      <c r="M2100" s="267"/>
      <c r="N2100" s="4"/>
      <c r="O2100" s="4"/>
    </row>
    <row r="2101" spans="1:15" x14ac:dyDescent="0.2">
      <c r="A2101" s="256"/>
      <c r="B2101" s="265"/>
      <c r="C2101" s="303"/>
      <c r="D2101" s="301"/>
      <c r="E2101" s="302"/>
      <c r="F2101" s="301"/>
      <c r="G2101" s="301"/>
      <c r="H2101" s="301"/>
      <c r="I2101" s="301"/>
      <c r="K2101" s="266"/>
      <c r="L2101" s="265"/>
      <c r="M2101" s="267"/>
      <c r="N2101" s="4"/>
      <c r="O2101" s="4"/>
    </row>
    <row r="2102" spans="1:15" x14ac:dyDescent="0.2">
      <c r="A2102" s="256"/>
      <c r="B2102" s="265"/>
      <c r="C2102" s="303"/>
      <c r="D2102" s="301"/>
      <c r="E2102" s="302"/>
      <c r="F2102" s="301"/>
      <c r="G2102" s="301"/>
      <c r="H2102" s="301"/>
      <c r="I2102" s="301"/>
      <c r="K2102" s="266"/>
      <c r="L2102" s="265"/>
      <c r="M2102" s="267"/>
      <c r="N2102" s="4"/>
      <c r="O2102" s="4"/>
    </row>
    <row r="2103" spans="1:15" x14ac:dyDescent="0.2">
      <c r="A2103" s="256"/>
      <c r="B2103" s="265"/>
      <c r="C2103" s="303"/>
      <c r="D2103" s="301"/>
      <c r="E2103" s="302"/>
      <c r="F2103" s="301"/>
      <c r="G2103" s="301"/>
      <c r="H2103" s="301"/>
      <c r="I2103" s="301"/>
      <c r="K2103" s="266"/>
      <c r="L2103" s="265"/>
      <c r="M2103" s="267"/>
      <c r="N2103" s="4"/>
      <c r="O2103" s="4"/>
    </row>
    <row r="2104" spans="1:15" x14ac:dyDescent="0.2">
      <c r="A2104" s="256"/>
      <c r="B2104" s="265"/>
      <c r="C2104" s="303"/>
      <c r="D2104" s="301"/>
      <c r="E2104" s="302"/>
      <c r="F2104" s="301"/>
      <c r="G2104" s="301"/>
      <c r="H2104" s="301"/>
      <c r="I2104" s="301"/>
      <c r="K2104" s="266"/>
      <c r="L2104" s="265"/>
      <c r="M2104" s="267"/>
      <c r="N2104" s="4"/>
      <c r="O2104" s="4"/>
    </row>
    <row r="2105" spans="1:15" x14ac:dyDescent="0.2">
      <c r="A2105" s="256"/>
      <c r="B2105" s="265"/>
      <c r="C2105" s="303"/>
      <c r="D2105" s="301"/>
      <c r="E2105" s="302"/>
      <c r="F2105" s="301"/>
      <c r="G2105" s="301"/>
      <c r="H2105" s="301"/>
      <c r="I2105" s="301"/>
      <c r="K2105" s="266"/>
      <c r="L2105" s="265"/>
      <c r="M2105" s="267"/>
      <c r="N2105" s="4"/>
      <c r="O2105" s="4"/>
    </row>
    <row r="2106" spans="1:15" x14ac:dyDescent="0.2">
      <c r="A2106" s="256"/>
      <c r="B2106" s="265"/>
      <c r="C2106" s="303"/>
      <c r="D2106" s="301"/>
      <c r="E2106" s="302"/>
      <c r="F2106" s="301"/>
      <c r="G2106" s="301"/>
      <c r="H2106" s="301"/>
      <c r="I2106" s="301"/>
      <c r="K2106" s="266"/>
      <c r="L2106" s="265"/>
      <c r="M2106" s="267"/>
      <c r="N2106" s="4"/>
      <c r="O2106" s="4"/>
    </row>
    <row r="2107" spans="1:15" x14ac:dyDescent="0.2">
      <c r="A2107" s="256"/>
      <c r="B2107" s="265"/>
      <c r="C2107" s="303"/>
      <c r="D2107" s="301"/>
      <c r="E2107" s="302"/>
      <c r="F2107" s="301"/>
      <c r="G2107" s="301"/>
      <c r="H2107" s="301"/>
      <c r="I2107" s="301"/>
      <c r="K2107" s="266"/>
      <c r="L2107" s="265"/>
      <c r="M2107" s="267"/>
      <c r="N2107" s="4"/>
      <c r="O2107" s="4"/>
    </row>
    <row r="2108" spans="1:15" x14ac:dyDescent="0.2">
      <c r="A2108" s="256"/>
      <c r="B2108" s="265"/>
      <c r="C2108" s="303"/>
      <c r="D2108" s="301"/>
      <c r="E2108" s="302"/>
      <c r="F2108" s="301"/>
      <c r="G2108" s="301"/>
      <c r="H2108" s="301"/>
      <c r="I2108" s="301"/>
      <c r="K2108" s="266"/>
      <c r="L2108" s="265"/>
      <c r="M2108" s="267"/>
      <c r="N2108" s="4"/>
      <c r="O2108" s="4"/>
    </row>
    <row r="2109" spans="1:15" x14ac:dyDescent="0.2">
      <c r="A2109" s="256"/>
      <c r="B2109" s="265"/>
      <c r="C2109" s="303"/>
      <c r="D2109" s="301"/>
      <c r="E2109" s="302"/>
      <c r="F2109" s="301"/>
      <c r="G2109" s="301"/>
      <c r="H2109" s="301"/>
      <c r="I2109" s="301"/>
      <c r="K2109" s="266"/>
      <c r="L2109" s="265"/>
      <c r="M2109" s="267"/>
      <c r="N2109" s="4"/>
      <c r="O2109" s="4"/>
    </row>
    <row r="2110" spans="1:15" x14ac:dyDescent="0.2">
      <c r="A2110" s="256"/>
      <c r="B2110" s="265"/>
      <c r="C2110" s="303"/>
      <c r="D2110" s="301"/>
      <c r="E2110" s="302"/>
      <c r="F2110" s="301"/>
      <c r="G2110" s="301"/>
      <c r="H2110" s="301"/>
      <c r="I2110" s="301"/>
      <c r="K2110" s="266"/>
      <c r="L2110" s="265"/>
      <c r="M2110" s="267"/>
      <c r="N2110" s="4"/>
      <c r="O2110" s="4"/>
    </row>
    <row r="2111" spans="1:15" x14ac:dyDescent="0.2">
      <c r="A2111" s="256"/>
      <c r="B2111" s="265"/>
      <c r="C2111" s="303"/>
      <c r="D2111" s="301"/>
      <c r="E2111" s="302"/>
      <c r="F2111" s="301"/>
      <c r="G2111" s="301"/>
      <c r="H2111" s="301"/>
      <c r="I2111" s="301"/>
      <c r="K2111" s="266"/>
      <c r="L2111" s="265"/>
      <c r="M2111" s="267"/>
      <c r="N2111" s="4"/>
      <c r="O2111" s="4"/>
    </row>
    <row r="2112" spans="1:15" x14ac:dyDescent="0.2">
      <c r="A2112" s="256"/>
      <c r="B2112" s="265"/>
      <c r="C2112" s="303"/>
      <c r="D2112" s="301"/>
      <c r="E2112" s="302"/>
      <c r="F2112" s="301"/>
      <c r="G2112" s="301"/>
      <c r="H2112" s="301"/>
      <c r="I2112" s="301"/>
      <c r="K2112" s="266"/>
      <c r="L2112" s="265"/>
      <c r="M2112" s="267"/>
      <c r="N2112" s="4"/>
      <c r="O2112" s="4"/>
    </row>
    <row r="2113" spans="1:15" x14ac:dyDescent="0.2">
      <c r="A2113" s="256"/>
      <c r="B2113" s="265"/>
      <c r="C2113" s="303"/>
      <c r="D2113" s="301"/>
      <c r="E2113" s="302"/>
      <c r="F2113" s="301"/>
      <c r="G2113" s="301"/>
      <c r="H2113" s="301"/>
      <c r="I2113" s="301"/>
      <c r="K2113" s="266"/>
      <c r="L2113" s="265"/>
      <c r="M2113" s="267"/>
      <c r="N2113" s="4"/>
      <c r="O2113" s="4"/>
    </row>
    <row r="2114" spans="1:15" x14ac:dyDescent="0.2">
      <c r="A2114" s="256"/>
      <c r="B2114" s="265"/>
      <c r="C2114" s="303"/>
      <c r="D2114" s="301"/>
      <c r="E2114" s="302"/>
      <c r="F2114" s="301"/>
      <c r="G2114" s="301"/>
      <c r="H2114" s="301"/>
      <c r="I2114" s="301"/>
      <c r="K2114" s="266"/>
      <c r="L2114" s="265"/>
      <c r="M2114" s="267"/>
      <c r="N2114" s="4"/>
      <c r="O2114" s="4"/>
    </row>
    <row r="2115" spans="1:15" x14ac:dyDescent="0.2">
      <c r="A2115" s="256"/>
      <c r="B2115" s="265"/>
      <c r="C2115" s="303"/>
      <c r="D2115" s="301"/>
      <c r="E2115" s="302"/>
      <c r="F2115" s="301"/>
      <c r="G2115" s="301"/>
      <c r="H2115" s="301"/>
      <c r="I2115" s="301"/>
      <c r="K2115" s="266"/>
      <c r="L2115" s="265"/>
      <c r="M2115" s="267"/>
      <c r="N2115" s="4"/>
      <c r="O2115" s="4"/>
    </row>
    <row r="2116" spans="1:15" x14ac:dyDescent="0.2">
      <c r="A2116" s="256"/>
      <c r="B2116" s="265"/>
      <c r="C2116" s="303"/>
      <c r="D2116" s="301"/>
      <c r="E2116" s="302"/>
      <c r="F2116" s="301"/>
      <c r="G2116" s="301"/>
      <c r="H2116" s="301"/>
      <c r="I2116" s="301"/>
      <c r="K2116" s="266"/>
      <c r="L2116" s="265"/>
      <c r="M2116" s="267"/>
      <c r="N2116" s="4"/>
      <c r="O2116" s="4"/>
    </row>
    <row r="2117" spans="1:15" x14ac:dyDescent="0.2">
      <c r="A2117" s="256"/>
      <c r="B2117" s="265"/>
      <c r="C2117" s="303"/>
      <c r="D2117" s="301"/>
      <c r="E2117" s="302"/>
      <c r="F2117" s="301"/>
      <c r="G2117" s="301"/>
      <c r="H2117" s="301"/>
      <c r="I2117" s="301"/>
      <c r="K2117" s="266"/>
      <c r="L2117" s="265"/>
      <c r="M2117" s="267"/>
      <c r="N2117" s="4"/>
      <c r="O2117" s="4"/>
    </row>
    <row r="2118" spans="1:15" x14ac:dyDescent="0.2">
      <c r="A2118" s="256"/>
      <c r="B2118" s="265"/>
      <c r="C2118" s="303"/>
      <c r="D2118" s="301"/>
      <c r="E2118" s="302"/>
      <c r="F2118" s="301"/>
      <c r="G2118" s="301"/>
      <c r="H2118" s="301"/>
      <c r="I2118" s="301"/>
      <c r="K2118" s="266"/>
      <c r="L2118" s="265"/>
      <c r="M2118" s="267"/>
      <c r="N2118" s="4"/>
      <c r="O2118" s="4"/>
    </row>
    <row r="2119" spans="1:15" x14ac:dyDescent="0.2">
      <c r="A2119" s="256"/>
      <c r="B2119" s="265"/>
      <c r="C2119" s="303"/>
      <c r="D2119" s="301"/>
      <c r="E2119" s="302"/>
      <c r="F2119" s="301"/>
      <c r="G2119" s="301"/>
      <c r="H2119" s="301"/>
      <c r="I2119" s="301"/>
      <c r="K2119" s="266"/>
      <c r="L2119" s="265"/>
      <c r="M2119" s="267"/>
      <c r="N2119" s="4"/>
      <c r="O2119" s="4"/>
    </row>
    <row r="2120" spans="1:15" x14ac:dyDescent="0.2">
      <c r="A2120" s="256"/>
      <c r="B2120" s="265"/>
      <c r="C2120" s="303"/>
      <c r="D2120" s="301"/>
      <c r="E2120" s="302"/>
      <c r="F2120" s="301"/>
      <c r="G2120" s="301"/>
      <c r="H2120" s="301"/>
      <c r="I2120" s="301"/>
      <c r="K2120" s="266"/>
      <c r="L2120" s="265"/>
      <c r="M2120" s="267"/>
      <c r="N2120" s="4"/>
      <c r="O2120" s="4"/>
    </row>
    <row r="2121" spans="1:15" x14ac:dyDescent="0.2">
      <c r="A2121" s="256"/>
      <c r="B2121" s="265"/>
      <c r="C2121" s="303"/>
      <c r="D2121" s="301"/>
      <c r="E2121" s="302"/>
      <c r="F2121" s="301"/>
      <c r="G2121" s="301"/>
      <c r="H2121" s="301"/>
      <c r="I2121" s="301"/>
      <c r="K2121" s="266"/>
      <c r="L2121" s="265"/>
      <c r="M2121" s="267"/>
      <c r="N2121" s="4"/>
      <c r="O2121" s="4"/>
    </row>
    <row r="2122" spans="1:15" x14ac:dyDescent="0.2">
      <c r="A2122" s="256"/>
      <c r="B2122" s="265"/>
      <c r="C2122" s="303"/>
      <c r="D2122" s="301"/>
      <c r="E2122" s="302"/>
      <c r="F2122" s="301"/>
      <c r="G2122" s="301"/>
      <c r="H2122" s="301"/>
      <c r="I2122" s="301"/>
      <c r="K2122" s="266"/>
      <c r="L2122" s="265"/>
      <c r="M2122" s="267"/>
      <c r="N2122" s="4"/>
      <c r="O2122" s="4"/>
    </row>
    <row r="2123" spans="1:15" x14ac:dyDescent="0.2">
      <c r="A2123" s="256"/>
      <c r="B2123" s="265"/>
      <c r="C2123" s="303"/>
      <c r="D2123" s="301"/>
      <c r="E2123" s="302"/>
      <c r="F2123" s="301"/>
      <c r="G2123" s="301"/>
      <c r="H2123" s="301"/>
      <c r="I2123" s="301"/>
      <c r="K2123" s="266"/>
      <c r="L2123" s="265"/>
      <c r="M2123" s="267"/>
      <c r="N2123" s="4"/>
      <c r="O2123" s="4"/>
    </row>
    <row r="2124" spans="1:15" x14ac:dyDescent="0.2">
      <c r="A2124" s="256"/>
      <c r="B2124" s="265"/>
      <c r="C2124" s="303"/>
      <c r="D2124" s="301"/>
      <c r="E2124" s="302"/>
      <c r="F2124" s="301"/>
      <c r="G2124" s="301"/>
      <c r="H2124" s="301"/>
      <c r="I2124" s="301"/>
      <c r="K2124" s="266"/>
      <c r="L2124" s="265"/>
      <c r="M2124" s="267"/>
      <c r="N2124" s="4"/>
      <c r="O2124" s="4"/>
    </row>
    <row r="2125" spans="1:15" x14ac:dyDescent="0.2">
      <c r="A2125" s="256"/>
      <c r="B2125" s="265"/>
      <c r="C2125" s="303"/>
      <c r="D2125" s="301"/>
      <c r="E2125" s="302"/>
      <c r="F2125" s="301"/>
      <c r="G2125" s="301"/>
      <c r="H2125" s="301"/>
      <c r="I2125" s="301"/>
      <c r="K2125" s="266"/>
      <c r="L2125" s="265"/>
      <c r="M2125" s="267"/>
      <c r="N2125" s="4"/>
      <c r="O2125" s="4"/>
    </row>
    <row r="2126" spans="1:15" x14ac:dyDescent="0.2">
      <c r="A2126" s="256"/>
      <c r="B2126" s="265"/>
      <c r="C2126" s="303"/>
      <c r="D2126" s="301"/>
      <c r="E2126" s="302"/>
      <c r="F2126" s="301"/>
      <c r="G2126" s="301"/>
      <c r="H2126" s="301"/>
      <c r="I2126" s="301"/>
      <c r="K2126" s="266"/>
      <c r="L2126" s="265"/>
      <c r="M2126" s="267"/>
      <c r="N2126" s="4"/>
      <c r="O2126" s="4"/>
    </row>
    <row r="2127" spans="1:15" x14ac:dyDescent="0.2">
      <c r="A2127" s="256"/>
      <c r="B2127" s="265"/>
      <c r="C2127" s="303"/>
      <c r="D2127" s="301"/>
      <c r="E2127" s="302"/>
      <c r="F2127" s="301"/>
      <c r="G2127" s="301"/>
      <c r="H2127" s="301"/>
      <c r="I2127" s="301"/>
      <c r="K2127" s="266"/>
      <c r="L2127" s="265"/>
      <c r="M2127" s="267"/>
      <c r="N2127" s="4"/>
      <c r="O2127" s="4"/>
    </row>
    <row r="2128" spans="1:15" x14ac:dyDescent="0.2">
      <c r="A2128" s="256"/>
      <c r="B2128" s="265"/>
      <c r="C2128" s="303"/>
      <c r="D2128" s="301"/>
      <c r="E2128" s="302"/>
      <c r="F2128" s="301"/>
      <c r="G2128" s="301"/>
      <c r="H2128" s="301"/>
      <c r="I2128" s="301"/>
      <c r="K2128" s="266"/>
      <c r="L2128" s="265"/>
      <c r="M2128" s="267"/>
      <c r="N2128" s="4"/>
      <c r="O2128" s="4"/>
    </row>
    <row r="2129" spans="1:15" x14ac:dyDescent="0.2">
      <c r="A2129" s="256"/>
      <c r="B2129" s="265"/>
      <c r="C2129" s="303"/>
      <c r="D2129" s="301"/>
      <c r="E2129" s="302"/>
      <c r="F2129" s="301"/>
      <c r="G2129" s="301"/>
      <c r="H2129" s="301"/>
      <c r="I2129" s="301"/>
      <c r="K2129" s="266"/>
      <c r="L2129" s="265"/>
      <c r="M2129" s="267"/>
      <c r="N2129" s="4"/>
      <c r="O2129" s="4"/>
    </row>
    <row r="2130" spans="1:15" x14ac:dyDescent="0.2">
      <c r="A2130" s="256"/>
      <c r="B2130" s="265"/>
      <c r="C2130" s="303"/>
      <c r="D2130" s="301"/>
      <c r="E2130" s="302"/>
      <c r="F2130" s="301"/>
      <c r="G2130" s="301"/>
      <c r="H2130" s="301"/>
      <c r="I2130" s="301"/>
      <c r="K2130" s="266"/>
      <c r="L2130" s="265"/>
      <c r="M2130" s="267"/>
      <c r="N2130" s="4"/>
      <c r="O2130" s="4"/>
    </row>
    <row r="2131" spans="1:15" x14ac:dyDescent="0.2">
      <c r="A2131" s="256"/>
      <c r="B2131" s="265"/>
      <c r="C2131" s="303"/>
      <c r="D2131" s="301"/>
      <c r="E2131" s="302"/>
      <c r="F2131" s="301"/>
      <c r="G2131" s="301"/>
      <c r="H2131" s="301"/>
      <c r="I2131" s="301"/>
      <c r="K2131" s="266"/>
      <c r="L2131" s="265"/>
      <c r="M2131" s="267"/>
      <c r="N2131" s="4"/>
      <c r="O2131" s="4"/>
    </row>
    <row r="2132" spans="1:15" x14ac:dyDescent="0.2">
      <c r="A2132" s="256"/>
      <c r="B2132" s="265"/>
      <c r="C2132" s="303"/>
      <c r="D2132" s="301"/>
      <c r="E2132" s="302"/>
      <c r="F2132" s="301"/>
      <c r="G2132" s="301"/>
      <c r="H2132" s="301"/>
      <c r="I2132" s="301"/>
      <c r="K2132" s="266"/>
      <c r="L2132" s="265"/>
      <c r="M2132" s="267"/>
      <c r="N2132" s="4"/>
      <c r="O2132" s="4"/>
    </row>
    <row r="2133" spans="1:15" x14ac:dyDescent="0.2">
      <c r="A2133" s="256"/>
      <c r="B2133" s="265"/>
      <c r="C2133" s="303"/>
      <c r="D2133" s="301"/>
      <c r="E2133" s="302"/>
      <c r="F2133" s="301"/>
      <c r="G2133" s="301"/>
      <c r="H2133" s="301"/>
      <c r="I2133" s="301"/>
      <c r="K2133" s="266"/>
      <c r="L2133" s="265"/>
      <c r="M2133" s="267"/>
      <c r="N2133" s="4"/>
      <c r="O2133" s="4"/>
    </row>
    <row r="2134" spans="1:15" x14ac:dyDescent="0.2">
      <c r="A2134" s="256"/>
      <c r="B2134" s="265"/>
      <c r="C2134" s="303"/>
      <c r="D2134" s="301"/>
      <c r="E2134" s="302"/>
      <c r="F2134" s="301"/>
      <c r="G2134" s="301"/>
      <c r="H2134" s="301"/>
      <c r="I2134" s="301"/>
      <c r="K2134" s="266"/>
      <c r="L2134" s="265"/>
      <c r="M2134" s="267"/>
      <c r="N2134" s="4"/>
      <c r="O2134" s="4"/>
    </row>
    <row r="2135" spans="1:15" x14ac:dyDescent="0.2">
      <c r="A2135" s="256"/>
      <c r="B2135" s="265"/>
      <c r="C2135" s="303"/>
      <c r="D2135" s="301"/>
      <c r="E2135" s="302"/>
      <c r="F2135" s="301"/>
      <c r="G2135" s="301"/>
      <c r="H2135" s="301"/>
      <c r="I2135" s="301"/>
      <c r="K2135" s="266"/>
      <c r="L2135" s="265"/>
      <c r="M2135" s="267"/>
      <c r="N2135" s="4"/>
      <c r="O2135" s="4"/>
    </row>
    <row r="2136" spans="1:15" x14ac:dyDescent="0.2">
      <c r="A2136" s="256"/>
      <c r="B2136" s="265"/>
      <c r="C2136" s="303"/>
      <c r="D2136" s="301"/>
      <c r="E2136" s="302"/>
      <c r="F2136" s="301"/>
      <c r="G2136" s="301"/>
      <c r="H2136" s="301"/>
      <c r="I2136" s="301"/>
      <c r="K2136" s="266"/>
      <c r="L2136" s="265"/>
      <c r="M2136" s="267"/>
      <c r="N2136" s="4"/>
      <c r="O2136" s="4"/>
    </row>
    <row r="2137" spans="1:15" x14ac:dyDescent="0.2">
      <c r="A2137" s="256"/>
      <c r="B2137" s="265"/>
      <c r="C2137" s="303"/>
      <c r="D2137" s="301"/>
      <c r="E2137" s="302"/>
      <c r="F2137" s="301"/>
      <c r="G2137" s="301"/>
      <c r="H2137" s="301"/>
      <c r="I2137" s="301"/>
      <c r="K2137" s="266"/>
      <c r="L2137" s="265"/>
      <c r="M2137" s="267"/>
      <c r="N2137" s="4"/>
      <c r="O2137" s="4"/>
    </row>
    <row r="2138" spans="1:15" x14ac:dyDescent="0.2">
      <c r="A2138" s="256"/>
      <c r="B2138" s="265"/>
      <c r="C2138" s="303"/>
      <c r="D2138" s="301"/>
      <c r="E2138" s="302"/>
      <c r="F2138" s="301"/>
      <c r="G2138" s="301"/>
      <c r="H2138" s="301"/>
      <c r="I2138" s="301"/>
      <c r="K2138" s="266"/>
      <c r="L2138" s="265"/>
      <c r="M2138" s="267"/>
      <c r="N2138" s="4"/>
      <c r="O2138" s="4"/>
    </row>
    <row r="2139" spans="1:15" x14ac:dyDescent="0.2">
      <c r="A2139" s="256"/>
      <c r="B2139" s="265"/>
      <c r="C2139" s="303"/>
      <c r="D2139" s="301"/>
      <c r="E2139" s="302"/>
      <c r="F2139" s="301"/>
      <c r="G2139" s="301"/>
      <c r="H2139" s="301"/>
      <c r="I2139" s="301"/>
      <c r="K2139" s="266"/>
      <c r="L2139" s="265"/>
      <c r="M2139" s="267"/>
      <c r="N2139" s="4"/>
      <c r="O2139" s="4"/>
    </row>
    <row r="2140" spans="1:15" x14ac:dyDescent="0.2">
      <c r="A2140" s="256"/>
      <c r="B2140" s="265"/>
      <c r="C2140" s="303"/>
      <c r="D2140" s="301"/>
      <c r="E2140" s="302"/>
      <c r="F2140" s="301"/>
      <c r="G2140" s="301"/>
      <c r="H2140" s="301"/>
      <c r="I2140" s="301"/>
      <c r="K2140" s="266"/>
      <c r="L2140" s="265"/>
      <c r="M2140" s="267"/>
      <c r="N2140" s="4"/>
      <c r="O2140" s="4"/>
    </row>
    <row r="2141" spans="1:15" x14ac:dyDescent="0.2">
      <c r="A2141" s="256"/>
      <c r="B2141" s="265"/>
      <c r="C2141" s="303"/>
      <c r="D2141" s="301"/>
      <c r="E2141" s="302"/>
      <c r="F2141" s="301"/>
      <c r="G2141" s="301"/>
      <c r="H2141" s="301"/>
      <c r="I2141" s="301"/>
      <c r="K2141" s="266"/>
      <c r="L2141" s="265"/>
      <c r="M2141" s="267"/>
      <c r="N2141" s="4"/>
      <c r="O2141" s="4"/>
    </row>
    <row r="2142" spans="1:15" x14ac:dyDescent="0.2">
      <c r="A2142" s="256"/>
      <c r="B2142" s="265"/>
      <c r="C2142" s="303"/>
      <c r="D2142" s="301"/>
      <c r="E2142" s="302"/>
      <c r="F2142" s="301"/>
      <c r="G2142" s="301"/>
      <c r="H2142" s="301"/>
      <c r="I2142" s="301"/>
      <c r="K2142" s="266"/>
      <c r="L2142" s="265"/>
      <c r="M2142" s="267"/>
      <c r="N2142" s="4"/>
      <c r="O2142" s="4"/>
    </row>
    <row r="2143" spans="1:15" x14ac:dyDescent="0.2">
      <c r="A2143" s="256"/>
      <c r="B2143" s="265"/>
      <c r="C2143" s="303"/>
      <c r="D2143" s="301"/>
      <c r="E2143" s="302"/>
      <c r="F2143" s="301"/>
      <c r="G2143" s="301"/>
      <c r="H2143" s="301"/>
      <c r="I2143" s="301"/>
      <c r="K2143" s="266"/>
      <c r="L2143" s="265"/>
      <c r="M2143" s="267"/>
      <c r="N2143" s="4"/>
      <c r="O2143" s="4"/>
    </row>
    <row r="2144" spans="1:15" x14ac:dyDescent="0.2">
      <c r="A2144" s="256"/>
      <c r="B2144" s="265"/>
      <c r="C2144" s="303"/>
      <c r="D2144" s="301"/>
      <c r="E2144" s="302"/>
      <c r="F2144" s="301"/>
      <c r="G2144" s="301"/>
      <c r="H2144" s="301"/>
      <c r="I2144" s="301"/>
      <c r="K2144" s="266"/>
      <c r="L2144" s="265"/>
      <c r="M2144" s="267"/>
      <c r="N2144" s="4"/>
      <c r="O2144" s="4"/>
    </row>
    <row r="2145" spans="1:15" x14ac:dyDescent="0.2">
      <c r="A2145" s="256"/>
      <c r="B2145" s="265"/>
      <c r="C2145" s="303"/>
      <c r="D2145" s="301"/>
      <c r="E2145" s="302"/>
      <c r="F2145" s="301"/>
      <c r="G2145" s="301"/>
      <c r="H2145" s="301"/>
      <c r="I2145" s="301"/>
      <c r="K2145" s="266"/>
      <c r="L2145" s="265"/>
      <c r="M2145" s="267"/>
      <c r="N2145" s="4"/>
      <c r="O2145" s="4"/>
    </row>
    <row r="2146" spans="1:15" x14ac:dyDescent="0.2">
      <c r="A2146" s="256"/>
      <c r="B2146" s="265"/>
      <c r="C2146" s="303"/>
      <c r="D2146" s="301"/>
      <c r="E2146" s="302"/>
      <c r="F2146" s="301"/>
      <c r="G2146" s="301"/>
      <c r="H2146" s="301"/>
      <c r="I2146" s="301"/>
      <c r="K2146" s="266"/>
      <c r="L2146" s="265"/>
      <c r="M2146" s="267"/>
      <c r="N2146" s="4"/>
      <c r="O2146" s="4"/>
    </row>
    <row r="2147" spans="1:15" x14ac:dyDescent="0.2">
      <c r="A2147" s="256"/>
      <c r="B2147" s="265"/>
      <c r="C2147" s="303"/>
      <c r="D2147" s="301"/>
      <c r="E2147" s="302"/>
      <c r="F2147" s="301"/>
      <c r="G2147" s="301"/>
      <c r="H2147" s="301"/>
      <c r="I2147" s="301"/>
      <c r="K2147" s="266"/>
      <c r="L2147" s="265"/>
      <c r="M2147" s="267"/>
      <c r="N2147" s="4"/>
      <c r="O2147" s="4"/>
    </row>
    <row r="2148" spans="1:15" x14ac:dyDescent="0.2">
      <c r="A2148" s="256"/>
      <c r="B2148" s="265"/>
      <c r="C2148" s="303"/>
      <c r="D2148" s="301"/>
      <c r="E2148" s="302"/>
      <c r="F2148" s="301"/>
      <c r="G2148" s="301"/>
      <c r="H2148" s="301"/>
      <c r="I2148" s="301"/>
      <c r="K2148" s="266"/>
      <c r="L2148" s="265"/>
      <c r="M2148" s="267"/>
      <c r="N2148" s="4"/>
      <c r="O2148" s="4"/>
    </row>
    <row r="2149" spans="1:15" x14ac:dyDescent="0.2">
      <c r="A2149" s="256"/>
      <c r="B2149" s="265"/>
      <c r="C2149" s="303"/>
      <c r="D2149" s="301"/>
      <c r="E2149" s="302"/>
      <c r="F2149" s="301"/>
      <c r="G2149" s="301"/>
      <c r="H2149" s="301"/>
      <c r="I2149" s="301"/>
      <c r="K2149" s="266"/>
      <c r="L2149" s="265"/>
      <c r="M2149" s="267"/>
      <c r="N2149" s="4"/>
      <c r="O2149" s="4"/>
    </row>
    <row r="2150" spans="1:15" x14ac:dyDescent="0.2">
      <c r="A2150" s="256"/>
      <c r="B2150" s="265"/>
      <c r="C2150" s="303"/>
      <c r="D2150" s="301"/>
      <c r="E2150" s="302"/>
      <c r="F2150" s="301"/>
      <c r="G2150" s="301"/>
      <c r="H2150" s="301"/>
      <c r="I2150" s="301"/>
      <c r="K2150" s="266"/>
      <c r="L2150" s="265"/>
      <c r="M2150" s="267"/>
      <c r="N2150" s="4"/>
      <c r="O2150" s="4"/>
    </row>
    <row r="2151" spans="1:15" x14ac:dyDescent="0.2">
      <c r="A2151" s="256"/>
      <c r="B2151" s="265"/>
      <c r="C2151" s="303"/>
      <c r="D2151" s="301"/>
      <c r="E2151" s="302"/>
      <c r="F2151" s="301"/>
      <c r="G2151" s="301"/>
      <c r="H2151" s="301"/>
      <c r="I2151" s="301"/>
      <c r="K2151" s="266"/>
      <c r="L2151" s="265"/>
      <c r="M2151" s="267"/>
      <c r="N2151" s="4"/>
      <c r="O2151" s="4"/>
    </row>
    <row r="2152" spans="1:15" x14ac:dyDescent="0.2">
      <c r="A2152" s="256"/>
      <c r="B2152" s="265"/>
      <c r="C2152" s="303"/>
      <c r="D2152" s="301"/>
      <c r="E2152" s="302"/>
      <c r="F2152" s="301"/>
      <c r="G2152" s="301"/>
      <c r="H2152" s="301"/>
      <c r="I2152" s="301"/>
      <c r="K2152" s="266"/>
      <c r="L2152" s="265"/>
      <c r="M2152" s="267"/>
      <c r="N2152" s="4"/>
      <c r="O2152" s="4"/>
    </row>
    <row r="2153" spans="1:15" x14ac:dyDescent="0.2">
      <c r="A2153" s="256"/>
      <c r="B2153" s="265"/>
      <c r="C2153" s="303"/>
      <c r="D2153" s="301"/>
      <c r="E2153" s="302"/>
      <c r="F2153" s="301"/>
      <c r="G2153" s="301"/>
      <c r="H2153" s="301"/>
      <c r="I2153" s="301"/>
      <c r="K2153" s="266"/>
      <c r="L2153" s="265"/>
      <c r="M2153" s="267"/>
      <c r="N2153" s="4"/>
      <c r="O2153" s="4"/>
    </row>
    <row r="2154" spans="1:15" x14ac:dyDescent="0.2">
      <c r="A2154" s="256"/>
      <c r="B2154" s="265"/>
      <c r="C2154" s="303"/>
      <c r="D2154" s="301"/>
      <c r="E2154" s="302"/>
      <c r="F2154" s="301"/>
      <c r="G2154" s="301"/>
      <c r="H2154" s="301"/>
      <c r="I2154" s="301"/>
      <c r="K2154" s="266"/>
      <c r="L2154" s="265"/>
      <c r="M2154" s="267"/>
      <c r="N2154" s="4"/>
      <c r="O2154" s="4"/>
    </row>
    <row r="2155" spans="1:15" x14ac:dyDescent="0.2">
      <c r="A2155" s="256"/>
      <c r="B2155" s="265"/>
      <c r="C2155" s="303"/>
      <c r="D2155" s="301"/>
      <c r="E2155" s="302"/>
      <c r="F2155" s="301"/>
      <c r="G2155" s="301"/>
      <c r="H2155" s="301"/>
      <c r="I2155" s="301"/>
      <c r="K2155" s="266"/>
      <c r="L2155" s="265"/>
      <c r="M2155" s="267"/>
      <c r="N2155" s="4"/>
      <c r="O2155" s="4"/>
    </row>
    <row r="2156" spans="1:15" x14ac:dyDescent="0.2">
      <c r="A2156" s="256"/>
      <c r="B2156" s="265"/>
      <c r="C2156" s="303"/>
      <c r="D2156" s="301"/>
      <c r="E2156" s="302"/>
      <c r="F2156" s="301"/>
      <c r="G2156" s="301"/>
      <c r="H2156" s="301"/>
      <c r="I2156" s="301"/>
      <c r="K2156" s="266"/>
      <c r="L2156" s="265"/>
      <c r="M2156" s="267"/>
      <c r="N2156" s="4"/>
      <c r="O2156" s="4"/>
    </row>
    <row r="2157" spans="1:15" x14ac:dyDescent="0.2">
      <c r="A2157" s="256"/>
      <c r="B2157" s="265"/>
      <c r="C2157" s="303"/>
      <c r="D2157" s="301"/>
      <c r="E2157" s="302"/>
      <c r="F2157" s="301"/>
      <c r="G2157" s="301"/>
      <c r="H2157" s="301"/>
      <c r="I2157" s="301"/>
      <c r="K2157" s="266"/>
      <c r="L2157" s="265"/>
      <c r="M2157" s="267"/>
      <c r="N2157" s="4"/>
      <c r="O2157" s="4"/>
    </row>
    <row r="2158" spans="1:15" x14ac:dyDescent="0.2">
      <c r="A2158" s="256"/>
      <c r="B2158" s="265"/>
      <c r="C2158" s="303"/>
      <c r="D2158" s="301"/>
      <c r="E2158" s="302"/>
      <c r="F2158" s="301"/>
      <c r="G2158" s="301"/>
      <c r="H2158" s="301"/>
      <c r="I2158" s="301"/>
      <c r="K2158" s="266"/>
      <c r="L2158" s="265"/>
      <c r="M2158" s="267"/>
      <c r="N2158" s="4"/>
      <c r="O2158" s="4"/>
    </row>
    <row r="2159" spans="1:15" x14ac:dyDescent="0.2">
      <c r="A2159" s="256"/>
      <c r="B2159" s="265"/>
      <c r="C2159" s="303"/>
      <c r="D2159" s="301"/>
      <c r="E2159" s="302"/>
      <c r="F2159" s="301"/>
      <c r="G2159" s="301"/>
      <c r="H2159" s="301"/>
      <c r="I2159" s="301"/>
      <c r="K2159" s="266"/>
      <c r="L2159" s="265"/>
      <c r="M2159" s="267"/>
      <c r="N2159" s="4"/>
      <c r="O2159" s="4"/>
    </row>
    <row r="2160" spans="1:15" x14ac:dyDescent="0.2">
      <c r="A2160" s="256"/>
      <c r="B2160" s="265"/>
      <c r="C2160" s="303"/>
      <c r="D2160" s="301"/>
      <c r="E2160" s="302"/>
      <c r="F2160" s="301"/>
      <c r="G2160" s="301"/>
      <c r="H2160" s="301"/>
      <c r="I2160" s="301"/>
      <c r="K2160" s="266"/>
      <c r="L2160" s="265"/>
      <c r="M2160" s="267"/>
      <c r="N2160" s="4"/>
      <c r="O2160" s="4"/>
    </row>
    <row r="2161" spans="1:15" x14ac:dyDescent="0.2">
      <c r="A2161" s="256"/>
      <c r="B2161" s="265"/>
      <c r="C2161" s="303"/>
      <c r="D2161" s="301"/>
      <c r="E2161" s="302"/>
      <c r="F2161" s="301"/>
      <c r="G2161" s="301"/>
      <c r="H2161" s="301"/>
      <c r="I2161" s="301"/>
      <c r="K2161" s="266"/>
      <c r="L2161" s="265"/>
      <c r="M2161" s="267"/>
      <c r="N2161" s="4"/>
      <c r="O2161" s="4"/>
    </row>
    <row r="2162" spans="1:15" x14ac:dyDescent="0.2">
      <c r="A2162" s="256"/>
      <c r="B2162" s="265"/>
      <c r="C2162" s="303"/>
      <c r="D2162" s="301"/>
      <c r="E2162" s="302"/>
      <c r="F2162" s="301"/>
      <c r="G2162" s="301"/>
      <c r="H2162" s="301"/>
      <c r="I2162" s="301"/>
      <c r="K2162" s="266"/>
      <c r="L2162" s="265"/>
      <c r="M2162" s="267"/>
      <c r="N2162" s="4"/>
      <c r="O2162" s="4"/>
    </row>
    <row r="2163" spans="1:15" x14ac:dyDescent="0.2">
      <c r="A2163" s="256"/>
      <c r="B2163" s="265"/>
      <c r="C2163" s="303"/>
      <c r="D2163" s="301"/>
      <c r="E2163" s="302"/>
      <c r="F2163" s="301"/>
      <c r="G2163" s="301"/>
      <c r="H2163" s="301"/>
      <c r="I2163" s="301"/>
      <c r="K2163" s="266"/>
      <c r="L2163" s="265"/>
      <c r="M2163" s="267"/>
      <c r="N2163" s="4"/>
      <c r="O2163" s="4"/>
    </row>
    <row r="2164" spans="1:15" x14ac:dyDescent="0.2">
      <c r="A2164" s="256"/>
      <c r="B2164" s="265"/>
      <c r="C2164" s="303"/>
      <c r="D2164" s="301"/>
      <c r="E2164" s="302"/>
      <c r="F2164" s="301"/>
      <c r="G2164" s="301"/>
      <c r="H2164" s="301"/>
      <c r="I2164" s="301"/>
      <c r="K2164" s="266"/>
      <c r="L2164" s="265"/>
      <c r="M2164" s="267"/>
      <c r="N2164" s="4"/>
      <c r="O2164" s="4"/>
    </row>
    <row r="2165" spans="1:15" x14ac:dyDescent="0.2">
      <c r="A2165" s="256"/>
      <c r="B2165" s="265"/>
      <c r="C2165" s="303"/>
      <c r="D2165" s="301"/>
      <c r="E2165" s="302"/>
      <c r="F2165" s="301"/>
      <c r="G2165" s="301"/>
      <c r="H2165" s="301"/>
      <c r="I2165" s="301"/>
      <c r="K2165" s="266"/>
      <c r="L2165" s="265"/>
      <c r="M2165" s="267"/>
      <c r="N2165" s="4"/>
      <c r="O2165" s="4"/>
    </row>
    <row r="2166" spans="1:15" x14ac:dyDescent="0.2">
      <c r="A2166" s="256"/>
      <c r="B2166" s="265"/>
      <c r="C2166" s="303"/>
      <c r="D2166" s="301"/>
      <c r="E2166" s="302"/>
      <c r="F2166" s="301"/>
      <c r="G2166" s="301"/>
      <c r="H2166" s="301"/>
      <c r="I2166" s="301"/>
      <c r="K2166" s="266"/>
      <c r="L2166" s="265"/>
      <c r="M2166" s="267"/>
      <c r="N2166" s="4"/>
      <c r="O2166" s="4"/>
    </row>
    <row r="2167" spans="1:15" x14ac:dyDescent="0.2">
      <c r="A2167" s="256"/>
      <c r="B2167" s="265"/>
      <c r="C2167" s="303"/>
      <c r="D2167" s="301"/>
      <c r="E2167" s="302"/>
      <c r="F2167" s="301"/>
      <c r="G2167" s="301"/>
      <c r="H2167" s="301"/>
      <c r="I2167" s="301"/>
      <c r="K2167" s="266"/>
      <c r="L2167" s="265"/>
      <c r="M2167" s="267"/>
      <c r="N2167" s="4"/>
      <c r="O2167" s="4"/>
    </row>
    <row r="2168" spans="1:15" x14ac:dyDescent="0.2">
      <c r="A2168" s="256"/>
      <c r="B2168" s="265"/>
      <c r="C2168" s="303"/>
      <c r="D2168" s="301"/>
      <c r="E2168" s="302"/>
      <c r="F2168" s="301"/>
      <c r="G2168" s="301"/>
      <c r="H2168" s="301"/>
      <c r="I2168" s="301"/>
      <c r="K2168" s="266"/>
      <c r="L2168" s="265"/>
      <c r="M2168" s="267"/>
      <c r="N2168" s="4"/>
      <c r="O2168" s="4"/>
    </row>
    <row r="2169" spans="1:15" x14ac:dyDescent="0.2">
      <c r="A2169" s="256"/>
      <c r="B2169" s="265"/>
      <c r="C2169" s="303"/>
      <c r="D2169" s="301"/>
      <c r="E2169" s="302"/>
      <c r="F2169" s="301"/>
      <c r="G2169" s="301"/>
      <c r="H2169" s="301"/>
      <c r="I2169" s="301"/>
      <c r="K2169" s="266"/>
      <c r="L2169" s="265"/>
      <c r="M2169" s="267"/>
      <c r="N2169" s="4"/>
      <c r="O2169" s="4"/>
    </row>
    <row r="2170" spans="1:15" x14ac:dyDescent="0.2">
      <c r="A2170" s="256"/>
      <c r="B2170" s="265"/>
      <c r="C2170" s="303"/>
      <c r="D2170" s="301"/>
      <c r="E2170" s="302"/>
      <c r="F2170" s="301"/>
      <c r="G2170" s="301"/>
      <c r="H2170" s="301"/>
      <c r="I2170" s="301"/>
      <c r="K2170" s="266"/>
      <c r="L2170" s="265"/>
      <c r="M2170" s="267"/>
      <c r="N2170" s="4"/>
      <c r="O2170" s="4"/>
    </row>
    <row r="2171" spans="1:15" x14ac:dyDescent="0.2">
      <c r="A2171" s="256"/>
      <c r="B2171" s="265"/>
      <c r="C2171" s="303"/>
      <c r="D2171" s="301"/>
      <c r="E2171" s="302"/>
      <c r="F2171" s="301"/>
      <c r="G2171" s="301"/>
      <c r="H2171" s="301"/>
      <c r="I2171" s="301"/>
      <c r="K2171" s="266"/>
      <c r="L2171" s="265"/>
      <c r="M2171" s="267"/>
      <c r="N2171" s="4"/>
      <c r="O2171" s="4"/>
    </row>
    <row r="2172" spans="1:15" x14ac:dyDescent="0.2">
      <c r="A2172" s="256"/>
      <c r="B2172" s="265"/>
      <c r="C2172" s="303"/>
      <c r="D2172" s="301"/>
      <c r="E2172" s="302"/>
      <c r="F2172" s="301"/>
      <c r="G2172" s="301"/>
      <c r="H2172" s="301"/>
      <c r="I2172" s="301"/>
      <c r="K2172" s="265"/>
      <c r="L2172" s="265"/>
      <c r="M2172" s="267"/>
      <c r="N2172" s="4"/>
      <c r="O2172" s="4"/>
    </row>
    <row r="2173" spans="1:15" x14ac:dyDescent="0.2">
      <c r="A2173" s="256"/>
      <c r="B2173" s="265"/>
      <c r="C2173" s="303"/>
      <c r="D2173" s="301"/>
      <c r="E2173" s="302"/>
      <c r="F2173" s="301"/>
      <c r="G2173" s="301"/>
      <c r="H2173" s="301"/>
      <c r="I2173" s="301"/>
      <c r="K2173" s="265"/>
      <c r="L2173" s="265"/>
      <c r="M2173" s="267"/>
      <c r="N2173" s="4"/>
      <c r="O2173" s="4"/>
    </row>
    <row r="2174" spans="1:15" x14ac:dyDescent="0.2">
      <c r="A2174" s="256"/>
      <c r="B2174" s="265"/>
      <c r="C2174" s="303"/>
      <c r="D2174" s="301"/>
      <c r="E2174" s="302"/>
      <c r="F2174" s="301"/>
      <c r="G2174" s="301"/>
      <c r="H2174" s="301"/>
      <c r="I2174" s="301"/>
      <c r="K2174" s="265"/>
      <c r="L2174" s="265"/>
      <c r="M2174" s="267"/>
      <c r="N2174" s="4"/>
      <c r="O2174" s="4"/>
    </row>
    <row r="2175" spans="1:15" x14ac:dyDescent="0.2">
      <c r="A2175" s="256"/>
      <c r="B2175" s="265"/>
      <c r="C2175" s="303"/>
      <c r="D2175" s="301"/>
      <c r="E2175" s="302"/>
      <c r="F2175" s="301"/>
      <c r="G2175" s="301"/>
      <c r="H2175" s="301"/>
      <c r="I2175" s="301"/>
      <c r="K2175" s="265"/>
      <c r="L2175" s="265"/>
      <c r="M2175" s="267"/>
      <c r="N2175" s="4"/>
      <c r="O2175" s="4"/>
    </row>
    <row r="2176" spans="1:15" x14ac:dyDescent="0.2">
      <c r="A2176" s="256"/>
      <c r="B2176" s="265"/>
      <c r="C2176" s="303"/>
      <c r="D2176" s="301"/>
      <c r="E2176" s="302"/>
      <c r="F2176" s="301"/>
      <c r="G2176" s="301"/>
      <c r="H2176" s="301"/>
      <c r="I2176" s="301"/>
      <c r="K2176" s="265"/>
      <c r="L2176" s="265"/>
      <c r="M2176" s="267"/>
      <c r="N2176" s="4"/>
      <c r="O2176" s="4"/>
    </row>
    <row r="2177" spans="1:15" x14ac:dyDescent="0.2">
      <c r="A2177" s="256"/>
      <c r="B2177" s="265"/>
      <c r="C2177" s="303"/>
      <c r="D2177" s="301"/>
      <c r="E2177" s="302"/>
      <c r="F2177" s="301"/>
      <c r="G2177" s="301"/>
      <c r="H2177" s="301"/>
      <c r="I2177" s="301"/>
      <c r="K2177" s="265"/>
      <c r="L2177" s="265"/>
      <c r="M2177" s="267"/>
      <c r="N2177" s="4"/>
      <c r="O2177" s="4"/>
    </row>
    <row r="2178" spans="1:15" x14ac:dyDescent="0.2">
      <c r="A2178" s="256"/>
      <c r="B2178" s="265"/>
      <c r="C2178" s="303"/>
      <c r="D2178" s="301"/>
      <c r="E2178" s="302"/>
      <c r="F2178" s="301"/>
      <c r="G2178" s="301"/>
      <c r="H2178" s="301"/>
      <c r="I2178" s="301"/>
      <c r="K2178" s="265"/>
      <c r="L2178" s="265"/>
      <c r="M2178" s="267"/>
      <c r="N2178" s="4"/>
      <c r="O2178" s="4"/>
    </row>
    <row r="2179" spans="1:15" x14ac:dyDescent="0.2">
      <c r="A2179" s="256"/>
      <c r="B2179" s="265"/>
      <c r="C2179" s="303"/>
      <c r="D2179" s="301"/>
      <c r="E2179" s="302"/>
      <c r="F2179" s="301"/>
      <c r="G2179" s="301"/>
      <c r="H2179" s="301"/>
      <c r="I2179" s="301"/>
      <c r="K2179" s="265"/>
      <c r="L2179" s="265"/>
      <c r="M2179" s="267"/>
      <c r="N2179" s="4"/>
      <c r="O2179" s="4"/>
    </row>
    <row r="2180" spans="1:15" x14ac:dyDescent="0.2">
      <c r="A2180" s="256"/>
      <c r="B2180" s="265"/>
      <c r="C2180" s="303"/>
      <c r="D2180" s="301"/>
      <c r="E2180" s="302"/>
      <c r="F2180" s="301"/>
      <c r="G2180" s="301"/>
      <c r="H2180" s="301"/>
      <c r="I2180" s="301"/>
      <c r="K2180" s="265"/>
      <c r="L2180" s="265"/>
      <c r="M2180" s="267"/>
      <c r="N2180" s="4"/>
      <c r="O2180" s="4"/>
    </row>
    <row r="2181" spans="1:15" x14ac:dyDescent="0.2">
      <c r="A2181" s="256"/>
      <c r="B2181" s="265"/>
      <c r="C2181" s="303"/>
      <c r="D2181" s="301"/>
      <c r="E2181" s="302"/>
      <c r="F2181" s="301"/>
      <c r="G2181" s="301"/>
      <c r="H2181" s="301"/>
      <c r="I2181" s="301"/>
      <c r="K2181" s="265"/>
      <c r="L2181" s="265"/>
      <c r="M2181" s="267"/>
      <c r="N2181" s="4"/>
      <c r="O2181" s="4"/>
    </row>
    <row r="2182" spans="1:15" x14ac:dyDescent="0.2">
      <c r="A2182" s="256"/>
      <c r="B2182" s="265"/>
      <c r="C2182" s="303"/>
      <c r="D2182" s="301"/>
      <c r="E2182" s="302"/>
      <c r="F2182" s="301"/>
      <c r="G2182" s="301"/>
      <c r="H2182" s="301"/>
      <c r="I2182" s="301"/>
      <c r="K2182" s="265"/>
      <c r="L2182" s="265"/>
      <c r="M2182" s="267"/>
      <c r="N2182" s="4"/>
      <c r="O2182" s="4"/>
    </row>
    <row r="2183" spans="1:15" x14ac:dyDescent="0.2">
      <c r="A2183" s="256"/>
      <c r="B2183" s="265"/>
      <c r="C2183" s="303"/>
      <c r="D2183" s="301"/>
      <c r="E2183" s="302"/>
      <c r="F2183" s="301"/>
      <c r="G2183" s="301"/>
      <c r="H2183" s="301"/>
      <c r="I2183" s="301"/>
      <c r="K2183" s="265"/>
      <c r="L2183" s="265"/>
      <c r="M2183" s="267"/>
      <c r="N2183" s="4"/>
      <c r="O2183" s="4"/>
    </row>
    <row r="2184" spans="1:15" x14ac:dyDescent="0.2">
      <c r="A2184" s="256"/>
      <c r="B2184" s="265"/>
      <c r="C2184" s="303"/>
      <c r="D2184" s="301"/>
      <c r="E2184" s="302"/>
      <c r="F2184" s="301"/>
      <c r="G2184" s="301"/>
      <c r="H2184" s="301"/>
      <c r="I2184" s="301"/>
      <c r="K2184" s="265"/>
      <c r="L2184" s="265"/>
      <c r="M2184" s="267"/>
      <c r="N2184" s="4"/>
      <c r="O2184" s="4"/>
    </row>
    <row r="2185" spans="1:15" x14ac:dyDescent="0.2">
      <c r="A2185" s="256"/>
      <c r="B2185" s="265"/>
      <c r="C2185" s="303"/>
      <c r="D2185" s="301"/>
      <c r="E2185" s="302"/>
      <c r="F2185" s="301"/>
      <c r="G2185" s="301"/>
      <c r="H2185" s="301"/>
      <c r="I2185" s="301"/>
      <c r="K2185" s="265"/>
      <c r="L2185" s="265"/>
      <c r="M2185" s="267"/>
      <c r="N2185" s="4"/>
      <c r="O2185" s="4"/>
    </row>
    <row r="2186" spans="1:15" x14ac:dyDescent="0.2">
      <c r="A2186" s="256"/>
      <c r="B2186" s="265"/>
      <c r="C2186" s="303"/>
      <c r="D2186" s="301"/>
      <c r="E2186" s="302"/>
      <c r="F2186" s="301"/>
      <c r="G2186" s="301"/>
      <c r="H2186" s="301"/>
      <c r="I2186" s="301"/>
      <c r="K2186" s="265"/>
      <c r="L2186" s="265"/>
      <c r="M2186" s="267"/>
      <c r="N2186" s="4"/>
      <c r="O2186" s="4"/>
    </row>
    <row r="2187" spans="1:15" x14ac:dyDescent="0.2">
      <c r="A2187" s="256"/>
      <c r="B2187" s="265"/>
      <c r="C2187" s="303"/>
      <c r="D2187" s="301"/>
      <c r="E2187" s="302"/>
      <c r="F2187" s="301"/>
      <c r="G2187" s="301"/>
      <c r="H2187" s="301"/>
      <c r="I2187" s="301"/>
      <c r="K2187" s="265"/>
      <c r="L2187" s="265"/>
      <c r="M2187" s="267"/>
      <c r="N2187" s="4"/>
      <c r="O2187" s="4"/>
    </row>
    <row r="2188" spans="1:15" x14ac:dyDescent="0.2">
      <c r="A2188" s="256"/>
      <c r="B2188" s="265"/>
      <c r="C2188" s="303"/>
      <c r="D2188" s="301"/>
      <c r="E2188" s="302"/>
      <c r="F2188" s="301"/>
      <c r="G2188" s="301"/>
      <c r="H2188" s="301"/>
      <c r="I2188" s="301"/>
      <c r="K2188" s="265"/>
      <c r="L2188" s="265"/>
      <c r="M2188" s="267"/>
      <c r="N2188" s="4"/>
      <c r="O2188" s="4"/>
    </row>
    <row r="2189" spans="1:15" x14ac:dyDescent="0.2">
      <c r="A2189" s="256"/>
      <c r="B2189" s="265"/>
      <c r="C2189" s="303"/>
      <c r="D2189" s="301"/>
      <c r="E2189" s="302"/>
      <c r="F2189" s="301"/>
      <c r="G2189" s="301"/>
      <c r="H2189" s="301"/>
      <c r="I2189" s="301"/>
      <c r="K2189" s="265"/>
      <c r="L2189" s="265"/>
      <c r="M2189" s="267"/>
      <c r="N2189" s="4"/>
      <c r="O2189" s="4"/>
    </row>
    <row r="2190" spans="1:15" x14ac:dyDescent="0.2">
      <c r="A2190" s="256"/>
      <c r="B2190" s="265"/>
      <c r="C2190" s="303"/>
      <c r="D2190" s="301"/>
      <c r="E2190" s="302"/>
      <c r="F2190" s="301"/>
      <c r="G2190" s="301"/>
      <c r="H2190" s="301"/>
      <c r="I2190" s="301"/>
      <c r="K2190" s="265"/>
      <c r="L2190" s="265"/>
      <c r="M2190" s="267"/>
      <c r="N2190" s="4"/>
      <c r="O2190" s="4"/>
    </row>
    <row r="2191" spans="1:15" x14ac:dyDescent="0.2">
      <c r="A2191" s="256"/>
      <c r="B2191" s="265"/>
      <c r="C2191" s="303"/>
      <c r="D2191" s="301"/>
      <c r="E2191" s="302"/>
      <c r="F2191" s="301"/>
      <c r="G2191" s="301"/>
      <c r="H2191" s="301"/>
      <c r="I2191" s="301"/>
      <c r="K2191" s="265"/>
      <c r="L2191" s="265"/>
      <c r="M2191" s="267"/>
      <c r="N2191" s="4"/>
      <c r="O2191" s="4"/>
    </row>
    <row r="2192" spans="1:15" x14ac:dyDescent="0.2">
      <c r="A2192" s="256"/>
      <c r="B2192" s="265"/>
      <c r="C2192" s="303"/>
      <c r="D2192" s="301"/>
      <c r="E2192" s="302"/>
      <c r="F2192" s="301"/>
      <c r="G2192" s="301"/>
      <c r="H2192" s="301"/>
      <c r="I2192" s="301"/>
      <c r="K2192" s="265"/>
      <c r="L2192" s="265"/>
      <c r="M2192" s="267"/>
      <c r="N2192" s="4"/>
      <c r="O2192" s="4"/>
    </row>
    <row r="2193" spans="1:15" x14ac:dyDescent="0.2">
      <c r="A2193" s="256"/>
      <c r="B2193" s="265"/>
      <c r="C2193" s="303"/>
      <c r="D2193" s="301"/>
      <c r="E2193" s="302"/>
      <c r="F2193" s="301"/>
      <c r="G2193" s="301"/>
      <c r="H2193" s="301"/>
      <c r="I2193" s="301"/>
      <c r="K2193" s="265"/>
      <c r="L2193" s="265"/>
      <c r="M2193" s="267"/>
      <c r="N2193" s="4"/>
      <c r="O2193" s="4"/>
    </row>
    <row r="2194" spans="1:15" x14ac:dyDescent="0.2">
      <c r="A2194" s="256"/>
      <c r="B2194" s="265"/>
      <c r="C2194" s="303"/>
      <c r="D2194" s="301"/>
      <c r="E2194" s="302"/>
      <c r="F2194" s="301"/>
      <c r="G2194" s="301"/>
      <c r="H2194" s="301"/>
      <c r="I2194" s="301"/>
      <c r="K2194" s="265"/>
      <c r="L2194" s="265"/>
      <c r="M2194" s="267"/>
      <c r="N2194" s="4"/>
      <c r="O2194" s="4"/>
    </row>
    <row r="2195" spans="1:15" x14ac:dyDescent="0.2">
      <c r="A2195" s="256"/>
      <c r="B2195" s="265"/>
      <c r="C2195" s="303"/>
      <c r="D2195" s="301"/>
      <c r="E2195" s="302"/>
      <c r="F2195" s="301"/>
      <c r="G2195" s="301"/>
      <c r="H2195" s="301"/>
      <c r="I2195" s="301"/>
      <c r="K2195" s="265"/>
      <c r="L2195" s="265"/>
      <c r="M2195" s="267"/>
      <c r="N2195" s="4"/>
      <c r="O2195" s="4"/>
    </row>
    <row r="2196" spans="1:15" x14ac:dyDescent="0.2">
      <c r="A2196" s="256"/>
      <c r="B2196" s="265"/>
      <c r="C2196" s="303"/>
      <c r="D2196" s="301"/>
      <c r="E2196" s="302"/>
      <c r="F2196" s="301"/>
      <c r="G2196" s="301"/>
      <c r="H2196" s="301"/>
      <c r="I2196" s="301"/>
      <c r="K2196" s="265"/>
      <c r="L2196" s="265"/>
      <c r="M2196" s="267"/>
      <c r="N2196" s="4"/>
      <c r="O2196" s="4"/>
    </row>
    <row r="2197" spans="1:15" x14ac:dyDescent="0.2">
      <c r="A2197" s="256"/>
      <c r="B2197" s="265"/>
      <c r="C2197" s="303"/>
      <c r="D2197" s="301"/>
      <c r="E2197" s="302"/>
      <c r="F2197" s="301"/>
      <c r="G2197" s="301"/>
      <c r="H2197" s="301"/>
      <c r="I2197" s="301"/>
      <c r="K2197" s="265"/>
      <c r="L2197" s="265"/>
      <c r="M2197" s="267"/>
      <c r="N2197" s="4"/>
      <c r="O2197" s="4"/>
    </row>
    <row r="2198" spans="1:15" x14ac:dyDescent="0.2">
      <c r="A2198" s="256"/>
      <c r="B2198" s="265"/>
      <c r="C2198" s="303"/>
      <c r="D2198" s="301"/>
      <c r="E2198" s="302"/>
      <c r="F2198" s="301"/>
      <c r="G2198" s="301"/>
      <c r="H2198" s="301"/>
      <c r="I2198" s="301"/>
      <c r="K2198" s="265"/>
      <c r="L2198" s="265"/>
      <c r="M2198" s="267"/>
      <c r="N2198" s="4"/>
      <c r="O2198" s="4"/>
    </row>
    <row r="2199" spans="1:15" x14ac:dyDescent="0.2">
      <c r="A2199" s="256"/>
      <c r="B2199" s="265"/>
      <c r="C2199" s="303"/>
      <c r="D2199" s="301"/>
      <c r="E2199" s="302"/>
      <c r="F2199" s="301"/>
      <c r="G2199" s="301"/>
      <c r="H2199" s="301"/>
      <c r="I2199" s="301"/>
      <c r="K2199" s="265"/>
      <c r="L2199" s="265"/>
      <c r="M2199" s="267"/>
      <c r="N2199" s="4"/>
      <c r="O2199" s="4"/>
    </row>
    <row r="2200" spans="1:15" x14ac:dyDescent="0.2">
      <c r="A2200" s="256"/>
      <c r="B2200" s="265"/>
      <c r="C2200" s="303"/>
      <c r="D2200" s="301"/>
      <c r="E2200" s="302"/>
      <c r="F2200" s="301"/>
      <c r="G2200" s="301"/>
      <c r="H2200" s="301"/>
      <c r="I2200" s="301"/>
      <c r="K2200" s="265"/>
      <c r="L2200" s="265"/>
      <c r="M2200" s="267"/>
      <c r="N2200" s="4"/>
      <c r="O2200" s="4"/>
    </row>
    <row r="2201" spans="1:15" x14ac:dyDescent="0.2">
      <c r="A2201" s="256"/>
      <c r="B2201" s="265"/>
      <c r="C2201" s="303"/>
      <c r="D2201" s="301"/>
      <c r="E2201" s="302"/>
      <c r="F2201" s="301"/>
      <c r="G2201" s="301"/>
      <c r="H2201" s="301"/>
      <c r="I2201" s="301"/>
      <c r="K2201" s="265"/>
      <c r="L2201" s="265"/>
      <c r="M2201" s="267"/>
      <c r="N2201" s="4"/>
      <c r="O2201" s="4"/>
    </row>
    <row r="2202" spans="1:15" x14ac:dyDescent="0.2">
      <c r="A2202" s="256"/>
      <c r="B2202" s="265"/>
      <c r="C2202" s="303"/>
      <c r="D2202" s="301"/>
      <c r="E2202" s="302"/>
      <c r="F2202" s="301"/>
      <c r="G2202" s="301"/>
      <c r="H2202" s="301"/>
      <c r="I2202" s="301"/>
      <c r="K2202" s="265"/>
      <c r="L2202" s="265"/>
      <c r="M2202" s="267"/>
      <c r="N2202" s="4"/>
      <c r="O2202" s="4"/>
    </row>
    <row r="2203" spans="1:15" x14ac:dyDescent="0.2">
      <c r="A2203" s="256"/>
      <c r="B2203" s="265"/>
      <c r="C2203" s="303"/>
      <c r="D2203" s="301"/>
      <c r="E2203" s="302"/>
      <c r="F2203" s="301"/>
      <c r="G2203" s="301"/>
      <c r="H2203" s="301"/>
      <c r="I2203" s="301"/>
      <c r="K2203" s="265"/>
      <c r="L2203" s="265"/>
      <c r="M2203" s="267"/>
      <c r="N2203" s="4"/>
      <c r="O2203" s="4"/>
    </row>
    <row r="2204" spans="1:15" x14ac:dyDescent="0.2">
      <c r="A2204" s="256"/>
      <c r="B2204" s="265"/>
      <c r="C2204" s="303"/>
      <c r="D2204" s="301"/>
      <c r="E2204" s="302"/>
      <c r="F2204" s="301"/>
      <c r="G2204" s="301"/>
      <c r="H2204" s="301"/>
      <c r="I2204" s="301"/>
      <c r="K2204" s="265"/>
      <c r="L2204" s="265"/>
      <c r="M2204" s="267"/>
      <c r="N2204" s="4"/>
      <c r="O2204" s="4"/>
    </row>
    <row r="2205" spans="1:15" x14ac:dyDescent="0.2">
      <c r="A2205" s="256"/>
      <c r="B2205" s="265"/>
      <c r="C2205" s="303"/>
      <c r="D2205" s="301"/>
      <c r="E2205" s="302"/>
      <c r="F2205" s="301"/>
      <c r="G2205" s="301"/>
      <c r="H2205" s="301"/>
      <c r="I2205" s="301"/>
      <c r="K2205" s="265"/>
      <c r="L2205" s="265"/>
      <c r="M2205" s="267"/>
      <c r="N2205" s="4"/>
      <c r="O2205" s="4"/>
    </row>
    <row r="2206" spans="1:15" x14ac:dyDescent="0.2">
      <c r="A2206" s="256"/>
      <c r="B2206" s="265"/>
      <c r="C2206" s="303"/>
      <c r="D2206" s="301"/>
      <c r="E2206" s="302"/>
      <c r="F2206" s="301"/>
      <c r="G2206" s="301"/>
      <c r="H2206" s="301"/>
      <c r="I2206" s="301"/>
      <c r="K2206" s="265"/>
      <c r="L2206" s="265"/>
      <c r="M2206" s="267"/>
      <c r="N2206" s="4"/>
      <c r="O2206" s="4"/>
    </row>
    <row r="2207" spans="1:15" x14ac:dyDescent="0.2">
      <c r="A2207" s="256"/>
      <c r="B2207" s="265"/>
      <c r="C2207" s="303"/>
      <c r="D2207" s="301"/>
      <c r="E2207" s="302"/>
      <c r="F2207" s="301"/>
      <c r="G2207" s="301"/>
      <c r="H2207" s="301"/>
      <c r="I2207" s="301"/>
      <c r="K2207" s="265"/>
      <c r="L2207" s="265"/>
      <c r="M2207" s="267"/>
      <c r="N2207" s="4"/>
      <c r="O2207" s="4"/>
    </row>
    <row r="2208" spans="1:15" x14ac:dyDescent="0.2">
      <c r="A2208" s="256"/>
      <c r="B2208" s="265"/>
      <c r="C2208" s="303"/>
      <c r="D2208" s="301"/>
      <c r="E2208" s="302"/>
      <c r="F2208" s="301"/>
      <c r="G2208" s="301"/>
      <c r="H2208" s="301"/>
      <c r="I2208" s="301"/>
      <c r="K2208" s="265"/>
      <c r="L2208" s="265"/>
      <c r="M2208" s="267"/>
      <c r="N2208" s="4"/>
      <c r="O2208" s="4"/>
    </row>
    <row r="2209" spans="1:15" x14ac:dyDescent="0.2">
      <c r="A2209" s="256"/>
      <c r="B2209" s="265"/>
      <c r="C2209" s="303"/>
      <c r="D2209" s="301"/>
      <c r="E2209" s="302"/>
      <c r="F2209" s="301"/>
      <c r="G2209" s="301"/>
      <c r="H2209" s="301"/>
      <c r="I2209" s="301"/>
      <c r="K2209" s="265"/>
      <c r="L2209" s="265"/>
      <c r="M2209" s="267"/>
      <c r="N2209" s="4"/>
      <c r="O2209" s="4"/>
    </row>
    <row r="2210" spans="1:15" x14ac:dyDescent="0.2">
      <c r="A2210" s="256"/>
      <c r="B2210" s="265"/>
      <c r="C2210" s="303"/>
      <c r="D2210" s="301"/>
      <c r="E2210" s="302"/>
      <c r="F2210" s="301"/>
      <c r="G2210" s="301"/>
      <c r="H2210" s="301"/>
      <c r="I2210" s="301"/>
      <c r="K2210" s="265"/>
      <c r="L2210" s="265"/>
      <c r="M2210" s="267"/>
      <c r="N2210" s="4"/>
      <c r="O2210" s="4"/>
    </row>
    <row r="2211" spans="1:15" x14ac:dyDescent="0.2">
      <c r="A2211" s="256"/>
      <c r="B2211" s="265"/>
      <c r="C2211" s="303"/>
      <c r="D2211" s="301"/>
      <c r="E2211" s="302"/>
      <c r="F2211" s="301"/>
      <c r="G2211" s="301"/>
      <c r="H2211" s="301"/>
      <c r="I2211" s="301"/>
      <c r="K2211" s="265"/>
      <c r="L2211" s="265"/>
      <c r="M2211" s="267"/>
      <c r="N2211" s="4"/>
      <c r="O2211" s="4"/>
    </row>
    <row r="2212" spans="1:15" x14ac:dyDescent="0.2">
      <c r="A2212" s="256"/>
      <c r="B2212" s="265"/>
      <c r="C2212" s="303"/>
      <c r="D2212" s="301"/>
      <c r="E2212" s="302"/>
      <c r="F2212" s="301"/>
      <c r="G2212" s="301"/>
      <c r="H2212" s="301"/>
      <c r="I2212" s="301"/>
      <c r="K2212" s="265"/>
      <c r="L2212" s="265"/>
      <c r="M2212" s="267"/>
      <c r="N2212" s="4"/>
      <c r="O2212" s="4"/>
    </row>
    <row r="2213" spans="1:15" x14ac:dyDescent="0.2">
      <c r="A2213" s="256"/>
      <c r="B2213" s="265"/>
      <c r="C2213" s="303"/>
      <c r="D2213" s="301"/>
      <c r="E2213" s="302"/>
      <c r="F2213" s="301"/>
      <c r="G2213" s="301"/>
      <c r="H2213" s="301"/>
      <c r="I2213" s="301"/>
      <c r="K2213" s="265"/>
      <c r="L2213" s="265"/>
      <c r="M2213" s="267"/>
      <c r="N2213" s="4"/>
      <c r="O2213" s="4"/>
    </row>
    <row r="2214" spans="1:15" x14ac:dyDescent="0.2">
      <c r="A2214" s="256"/>
      <c r="B2214" s="265"/>
      <c r="C2214" s="303"/>
      <c r="D2214" s="301"/>
      <c r="E2214" s="302"/>
      <c r="F2214" s="301"/>
      <c r="G2214" s="301"/>
      <c r="H2214" s="301"/>
      <c r="I2214" s="301"/>
      <c r="K2214" s="265"/>
      <c r="L2214" s="265"/>
      <c r="M2214" s="267"/>
      <c r="N2214" s="4"/>
      <c r="O2214" s="4"/>
    </row>
    <row r="2215" spans="1:15" x14ac:dyDescent="0.2">
      <c r="A2215" s="256"/>
      <c r="B2215" s="265"/>
      <c r="C2215" s="303"/>
      <c r="D2215" s="301"/>
      <c r="E2215" s="302"/>
      <c r="F2215" s="301"/>
      <c r="G2215" s="301"/>
      <c r="H2215" s="301"/>
      <c r="I2215" s="301"/>
      <c r="K2215" s="265"/>
      <c r="L2215" s="265"/>
      <c r="M2215" s="267"/>
      <c r="N2215" s="4"/>
      <c r="O2215" s="4"/>
    </row>
    <row r="2216" spans="1:15" x14ac:dyDescent="0.2">
      <c r="A2216" s="256"/>
      <c r="B2216" s="265"/>
      <c r="C2216" s="303"/>
      <c r="D2216" s="301"/>
      <c r="E2216" s="302"/>
      <c r="F2216" s="301"/>
      <c r="G2216" s="301"/>
      <c r="H2216" s="301"/>
      <c r="I2216" s="301"/>
      <c r="K2216" s="265"/>
      <c r="L2216" s="265"/>
      <c r="M2216" s="267"/>
      <c r="N2216" s="4"/>
      <c r="O2216" s="4"/>
    </row>
    <row r="2217" spans="1:15" x14ac:dyDescent="0.2">
      <c r="A2217" s="256"/>
      <c r="B2217" s="265"/>
      <c r="C2217" s="303"/>
      <c r="D2217" s="301"/>
      <c r="E2217" s="302"/>
      <c r="F2217" s="301"/>
      <c r="G2217" s="301"/>
      <c r="H2217" s="301"/>
      <c r="I2217" s="301"/>
      <c r="K2217" s="265"/>
      <c r="L2217" s="265"/>
      <c r="M2217" s="267"/>
      <c r="N2217" s="4"/>
      <c r="O2217" s="4"/>
    </row>
    <row r="2218" spans="1:15" x14ac:dyDescent="0.2">
      <c r="A2218" s="256"/>
      <c r="B2218" s="265"/>
      <c r="C2218" s="303"/>
      <c r="D2218" s="301"/>
      <c r="E2218" s="302"/>
      <c r="F2218" s="301"/>
      <c r="G2218" s="301"/>
      <c r="H2218" s="301"/>
      <c r="I2218" s="301"/>
      <c r="K2218" s="265"/>
      <c r="L2218" s="265"/>
      <c r="M2218" s="267"/>
      <c r="N2218" s="4"/>
      <c r="O2218" s="4"/>
    </row>
    <row r="2219" spans="1:15" x14ac:dyDescent="0.2">
      <c r="A2219" s="256"/>
      <c r="B2219" s="265"/>
      <c r="C2219" s="303"/>
      <c r="D2219" s="301"/>
      <c r="E2219" s="302"/>
      <c r="F2219" s="301"/>
      <c r="G2219" s="301"/>
      <c r="H2219" s="301"/>
      <c r="I2219" s="301"/>
      <c r="K2219" s="265"/>
      <c r="L2219" s="265"/>
      <c r="M2219" s="267"/>
      <c r="N2219" s="4"/>
      <c r="O2219" s="4"/>
    </row>
    <row r="2220" spans="1:15" x14ac:dyDescent="0.2">
      <c r="A2220" s="256"/>
      <c r="B2220" s="265"/>
      <c r="C2220" s="303"/>
      <c r="D2220" s="301"/>
      <c r="E2220" s="302"/>
      <c r="F2220" s="301"/>
      <c r="G2220" s="301"/>
      <c r="H2220" s="301"/>
      <c r="I2220" s="301"/>
      <c r="K2220" s="265"/>
      <c r="L2220" s="265"/>
      <c r="M2220" s="267"/>
      <c r="N2220" s="4"/>
      <c r="O2220" s="4"/>
    </row>
    <row r="2221" spans="1:15" x14ac:dyDescent="0.2">
      <c r="A2221" s="256"/>
      <c r="B2221" s="265"/>
      <c r="C2221" s="303"/>
      <c r="D2221" s="301"/>
      <c r="E2221" s="302"/>
      <c r="F2221" s="301"/>
      <c r="G2221" s="301"/>
      <c r="H2221" s="301"/>
      <c r="I2221" s="301"/>
      <c r="K2221" s="265"/>
      <c r="L2221" s="265"/>
      <c r="M2221" s="267"/>
      <c r="N2221" s="4"/>
      <c r="O2221" s="4"/>
    </row>
    <row r="2222" spans="1:15" x14ac:dyDescent="0.2">
      <c r="A2222" s="256"/>
      <c r="B2222" s="265"/>
      <c r="C2222" s="303"/>
      <c r="D2222" s="301"/>
      <c r="E2222" s="302"/>
      <c r="F2222" s="301"/>
      <c r="G2222" s="301"/>
      <c r="H2222" s="301"/>
      <c r="I2222" s="301"/>
      <c r="K2222" s="265"/>
      <c r="L2222" s="265"/>
      <c r="M2222" s="267"/>
      <c r="N2222" s="4"/>
      <c r="O2222" s="4"/>
    </row>
    <row r="2223" spans="1:15" x14ac:dyDescent="0.2">
      <c r="A2223" s="256"/>
      <c r="B2223" s="265"/>
      <c r="C2223" s="303"/>
      <c r="D2223" s="301"/>
      <c r="E2223" s="302"/>
      <c r="F2223" s="301"/>
      <c r="G2223" s="301"/>
      <c r="H2223" s="301"/>
      <c r="I2223" s="301"/>
      <c r="K2223" s="265"/>
      <c r="L2223" s="265"/>
      <c r="M2223" s="267"/>
      <c r="N2223" s="4"/>
      <c r="O2223" s="4"/>
    </row>
    <row r="2224" spans="1:15" x14ac:dyDescent="0.2">
      <c r="A2224" s="256"/>
      <c r="B2224" s="265"/>
      <c r="C2224" s="303"/>
      <c r="D2224" s="301"/>
      <c r="E2224" s="302"/>
      <c r="F2224" s="301"/>
      <c r="G2224" s="301"/>
      <c r="H2224" s="301"/>
      <c r="I2224" s="301"/>
      <c r="K2224" s="265"/>
      <c r="L2224" s="265"/>
      <c r="M2224" s="267"/>
      <c r="N2224" s="4"/>
      <c r="O2224" s="4"/>
    </row>
    <row r="2225" spans="1:15" x14ac:dyDescent="0.2">
      <c r="A2225" s="256"/>
      <c r="B2225" s="265"/>
      <c r="C2225" s="303"/>
      <c r="D2225" s="301"/>
      <c r="E2225" s="302"/>
      <c r="F2225" s="301"/>
      <c r="G2225" s="301"/>
      <c r="H2225" s="301"/>
      <c r="I2225" s="301"/>
      <c r="K2225" s="265"/>
      <c r="L2225" s="265"/>
      <c r="M2225" s="267"/>
      <c r="N2225" s="4"/>
      <c r="O2225" s="4"/>
    </row>
    <row r="2226" spans="1:15" x14ac:dyDescent="0.2">
      <c r="A2226" s="256"/>
      <c r="B2226" s="265"/>
      <c r="C2226" s="303"/>
      <c r="D2226" s="301"/>
      <c r="E2226" s="302"/>
      <c r="F2226" s="301"/>
      <c r="G2226" s="301"/>
      <c r="H2226" s="301"/>
      <c r="I2226" s="301"/>
      <c r="K2226" s="265"/>
      <c r="L2226" s="265"/>
      <c r="M2226" s="267"/>
      <c r="N2226" s="4"/>
      <c r="O2226" s="4"/>
    </row>
    <row r="2227" spans="1:15" x14ac:dyDescent="0.2">
      <c r="A2227" s="256"/>
      <c r="B2227" s="265"/>
      <c r="C2227" s="303"/>
      <c r="D2227" s="301"/>
      <c r="E2227" s="302"/>
      <c r="F2227" s="301"/>
      <c r="G2227" s="301"/>
      <c r="H2227" s="301"/>
      <c r="I2227" s="301"/>
      <c r="K2227" s="265"/>
      <c r="L2227" s="265"/>
      <c r="M2227" s="267"/>
      <c r="N2227" s="4"/>
      <c r="O2227" s="4"/>
    </row>
    <row r="2228" spans="1:15" x14ac:dyDescent="0.2">
      <c r="A2228" s="256"/>
      <c r="B2228" s="265"/>
      <c r="C2228" s="303"/>
      <c r="D2228" s="301"/>
      <c r="E2228" s="302"/>
      <c r="F2228" s="301"/>
      <c r="G2228" s="301"/>
      <c r="H2228" s="301"/>
      <c r="I2228" s="301"/>
      <c r="K2228" s="265"/>
      <c r="L2228" s="265"/>
      <c r="M2228" s="267"/>
      <c r="N2228" s="4"/>
      <c r="O2228" s="4"/>
    </row>
    <row r="2229" spans="1:15" x14ac:dyDescent="0.2">
      <c r="A2229" s="256"/>
      <c r="B2229" s="265"/>
      <c r="C2229" s="303"/>
      <c r="D2229" s="301"/>
      <c r="E2229" s="302"/>
      <c r="F2229" s="301"/>
      <c r="G2229" s="301"/>
      <c r="H2229" s="301"/>
      <c r="I2229" s="301"/>
      <c r="K2229" s="265"/>
      <c r="L2229" s="265"/>
      <c r="M2229" s="267"/>
      <c r="N2229" s="4"/>
      <c r="O2229" s="4"/>
    </row>
    <row r="2230" spans="1:15" x14ac:dyDescent="0.2">
      <c r="A2230" s="256"/>
      <c r="B2230" s="265"/>
      <c r="C2230" s="303"/>
      <c r="D2230" s="301"/>
      <c r="E2230" s="302"/>
      <c r="F2230" s="301"/>
      <c r="G2230" s="301"/>
      <c r="H2230" s="301"/>
      <c r="I2230" s="301"/>
      <c r="K2230" s="265"/>
      <c r="L2230" s="265"/>
      <c r="M2230" s="267"/>
      <c r="N2230" s="4"/>
      <c r="O2230" s="4"/>
    </row>
    <row r="2231" spans="1:15" x14ac:dyDescent="0.2">
      <c r="A2231" s="256"/>
      <c r="B2231" s="265"/>
      <c r="C2231" s="303"/>
      <c r="D2231" s="301"/>
      <c r="E2231" s="302"/>
      <c r="F2231" s="301"/>
      <c r="G2231" s="301"/>
      <c r="H2231" s="301"/>
      <c r="I2231" s="301"/>
      <c r="K2231" s="265"/>
      <c r="L2231" s="265"/>
      <c r="M2231" s="267"/>
      <c r="N2231" s="4"/>
      <c r="O2231" s="4"/>
    </row>
    <row r="2232" spans="1:15" x14ac:dyDescent="0.2">
      <c r="A2232" s="256"/>
      <c r="B2232" s="265"/>
      <c r="C2232" s="303"/>
      <c r="D2232" s="301"/>
      <c r="E2232" s="302"/>
      <c r="F2232" s="301"/>
      <c r="G2232" s="301"/>
      <c r="H2232" s="301"/>
      <c r="I2232" s="301"/>
      <c r="K2232" s="265"/>
      <c r="L2232" s="265"/>
      <c r="M2232" s="267"/>
      <c r="N2232" s="4"/>
      <c r="O2232" s="4"/>
    </row>
    <row r="2233" spans="1:15" x14ac:dyDescent="0.2">
      <c r="A2233" s="256"/>
      <c r="B2233" s="265"/>
      <c r="C2233" s="303"/>
      <c r="D2233" s="301"/>
      <c r="E2233" s="302"/>
      <c r="F2233" s="301"/>
      <c r="G2233" s="301"/>
      <c r="H2233" s="301"/>
      <c r="I2233" s="301"/>
      <c r="K2233" s="265"/>
      <c r="L2233" s="265"/>
      <c r="M2233" s="267"/>
      <c r="N2233" s="4"/>
      <c r="O2233" s="4"/>
    </row>
    <row r="2234" spans="1:15" x14ac:dyDescent="0.2">
      <c r="A2234" s="256"/>
      <c r="B2234" s="265"/>
      <c r="C2234" s="303"/>
      <c r="D2234" s="301"/>
      <c r="E2234" s="302"/>
      <c r="F2234" s="301"/>
      <c r="G2234" s="301"/>
      <c r="H2234" s="301"/>
      <c r="I2234" s="301"/>
      <c r="K2234" s="265"/>
      <c r="L2234" s="265"/>
      <c r="M2234" s="267"/>
      <c r="N2234" s="4"/>
      <c r="O2234" s="4"/>
    </row>
    <row r="2235" spans="1:15" x14ac:dyDescent="0.2">
      <c r="A2235" s="256"/>
      <c r="B2235" s="265"/>
      <c r="C2235" s="303"/>
      <c r="D2235" s="301"/>
      <c r="E2235" s="302"/>
      <c r="F2235" s="301"/>
      <c r="G2235" s="301"/>
      <c r="H2235" s="301"/>
      <c r="I2235" s="301"/>
      <c r="K2235" s="265"/>
      <c r="L2235" s="265"/>
      <c r="M2235" s="267"/>
      <c r="N2235" s="4"/>
      <c r="O2235" s="4"/>
    </row>
    <row r="2236" spans="1:15" x14ac:dyDescent="0.2">
      <c r="A2236" s="256"/>
      <c r="B2236" s="265"/>
      <c r="C2236" s="303"/>
      <c r="D2236" s="301"/>
      <c r="E2236" s="302"/>
      <c r="F2236" s="301"/>
      <c r="G2236" s="301"/>
      <c r="H2236" s="301"/>
      <c r="I2236" s="301"/>
      <c r="K2236" s="265"/>
      <c r="L2236" s="265"/>
      <c r="M2236" s="267"/>
      <c r="N2236" s="4"/>
      <c r="O2236" s="4"/>
    </row>
    <row r="2237" spans="1:15" x14ac:dyDescent="0.2">
      <c r="A2237" s="256"/>
      <c r="B2237" s="265"/>
      <c r="C2237" s="303"/>
      <c r="D2237" s="301"/>
      <c r="E2237" s="302"/>
      <c r="F2237" s="301"/>
      <c r="G2237" s="301"/>
      <c r="H2237" s="301"/>
      <c r="I2237" s="301"/>
      <c r="K2237" s="265"/>
      <c r="L2237" s="265"/>
      <c r="M2237" s="267"/>
      <c r="N2237" s="4"/>
      <c r="O2237" s="4"/>
    </row>
    <row r="2238" spans="1:15" x14ac:dyDescent="0.2">
      <c r="A2238" s="256"/>
      <c r="B2238" s="265"/>
      <c r="C2238" s="303"/>
      <c r="D2238" s="301"/>
      <c r="E2238" s="302"/>
      <c r="F2238" s="301"/>
      <c r="G2238" s="301"/>
      <c r="H2238" s="301"/>
      <c r="I2238" s="301"/>
      <c r="K2238" s="265"/>
      <c r="L2238" s="265"/>
      <c r="M2238" s="267"/>
      <c r="N2238" s="4"/>
      <c r="O2238" s="4"/>
    </row>
    <row r="2239" spans="1:15" x14ac:dyDescent="0.2">
      <c r="A2239" s="256"/>
      <c r="B2239" s="265"/>
      <c r="C2239" s="303"/>
      <c r="D2239" s="301"/>
      <c r="E2239" s="302"/>
      <c r="F2239" s="301"/>
      <c r="G2239" s="301"/>
      <c r="H2239" s="301"/>
      <c r="I2239" s="301"/>
      <c r="K2239" s="265"/>
      <c r="L2239" s="265"/>
      <c r="M2239" s="267"/>
      <c r="N2239" s="4"/>
      <c r="O2239" s="4"/>
    </row>
    <row r="2240" spans="1:15" x14ac:dyDescent="0.2">
      <c r="A2240" s="256"/>
      <c r="B2240" s="265"/>
      <c r="C2240" s="303"/>
      <c r="D2240" s="301"/>
      <c r="E2240" s="302"/>
      <c r="F2240" s="301"/>
      <c r="G2240" s="301"/>
      <c r="H2240" s="301"/>
      <c r="I2240" s="301"/>
      <c r="K2240" s="265"/>
      <c r="L2240" s="265"/>
      <c r="M2240" s="267"/>
      <c r="N2240" s="4"/>
      <c r="O2240" s="4"/>
    </row>
    <row r="2241" spans="1:15" x14ac:dyDescent="0.2">
      <c r="A2241" s="256"/>
      <c r="B2241" s="265"/>
      <c r="C2241" s="303"/>
      <c r="D2241" s="301"/>
      <c r="E2241" s="302"/>
      <c r="F2241" s="301"/>
      <c r="G2241" s="301"/>
      <c r="H2241" s="301"/>
      <c r="I2241" s="301"/>
      <c r="K2241" s="265"/>
      <c r="L2241" s="265"/>
      <c r="M2241" s="267"/>
      <c r="N2241" s="4"/>
      <c r="O2241" s="4"/>
    </row>
    <row r="2242" spans="1:15" x14ac:dyDescent="0.2">
      <c r="A2242" s="256"/>
      <c r="B2242" s="265"/>
      <c r="C2242" s="303"/>
      <c r="D2242" s="301"/>
      <c r="E2242" s="302"/>
      <c r="F2242" s="301"/>
      <c r="G2242" s="301"/>
      <c r="H2242" s="301"/>
      <c r="I2242" s="301"/>
      <c r="K2242" s="265"/>
      <c r="L2242" s="265"/>
      <c r="M2242" s="267"/>
      <c r="N2242" s="4"/>
      <c r="O2242" s="4"/>
    </row>
    <row r="2243" spans="1:15" x14ac:dyDescent="0.2">
      <c r="A2243" s="256"/>
      <c r="B2243" s="265"/>
      <c r="C2243" s="303"/>
      <c r="D2243" s="301"/>
      <c r="E2243" s="302"/>
      <c r="F2243" s="301"/>
      <c r="G2243" s="301"/>
      <c r="H2243" s="301"/>
      <c r="I2243" s="301"/>
      <c r="K2243" s="265"/>
      <c r="L2243" s="265"/>
      <c r="M2243" s="267"/>
      <c r="N2243" s="4"/>
      <c r="O2243" s="4"/>
    </row>
    <row r="2244" spans="1:15" x14ac:dyDescent="0.2">
      <c r="A2244" s="256"/>
      <c r="B2244" s="265"/>
      <c r="C2244" s="303"/>
      <c r="D2244" s="301"/>
      <c r="E2244" s="302"/>
      <c r="F2244" s="301"/>
      <c r="G2244" s="301"/>
      <c r="H2244" s="301"/>
      <c r="I2244" s="301"/>
      <c r="K2244" s="265"/>
      <c r="L2244" s="265"/>
      <c r="M2244" s="267"/>
      <c r="N2244" s="4"/>
      <c r="O2244" s="4"/>
    </row>
    <row r="2245" spans="1:15" x14ac:dyDescent="0.2">
      <c r="A2245" s="256"/>
      <c r="B2245" s="265"/>
      <c r="C2245" s="303"/>
      <c r="D2245" s="301"/>
      <c r="E2245" s="302"/>
      <c r="F2245" s="301"/>
      <c r="G2245" s="301"/>
      <c r="H2245" s="301"/>
      <c r="I2245" s="301"/>
      <c r="K2245" s="265"/>
      <c r="L2245" s="265"/>
      <c r="M2245" s="267"/>
      <c r="N2245" s="4"/>
      <c r="O2245" s="4"/>
    </row>
    <row r="2246" spans="1:15" x14ac:dyDescent="0.2">
      <c r="A2246" s="256"/>
      <c r="B2246" s="265"/>
      <c r="C2246" s="303"/>
      <c r="D2246" s="301"/>
      <c r="E2246" s="302"/>
      <c r="F2246" s="301"/>
      <c r="G2246" s="301"/>
      <c r="H2246" s="301"/>
      <c r="I2246" s="301"/>
      <c r="K2246" s="265"/>
      <c r="L2246" s="265"/>
      <c r="M2246" s="267"/>
      <c r="N2246" s="4"/>
      <c r="O2246" s="4"/>
    </row>
    <row r="2247" spans="1:15" x14ac:dyDescent="0.2">
      <c r="A2247" s="256"/>
      <c r="B2247" s="265"/>
      <c r="C2247" s="303"/>
      <c r="D2247" s="301"/>
      <c r="E2247" s="302"/>
      <c r="F2247" s="301"/>
      <c r="G2247" s="301"/>
      <c r="H2247" s="301"/>
      <c r="I2247" s="301"/>
      <c r="K2247" s="265"/>
      <c r="L2247" s="265"/>
      <c r="M2247" s="267"/>
      <c r="N2247" s="4"/>
      <c r="O2247" s="4"/>
    </row>
    <row r="2248" spans="1:15" x14ac:dyDescent="0.2">
      <c r="A2248" s="256"/>
      <c r="B2248" s="265"/>
      <c r="C2248" s="303"/>
      <c r="D2248" s="301"/>
      <c r="E2248" s="302"/>
      <c r="F2248" s="301"/>
      <c r="G2248" s="301"/>
      <c r="H2248" s="301"/>
      <c r="I2248" s="301"/>
      <c r="K2248" s="265"/>
      <c r="L2248" s="265"/>
      <c r="M2248" s="267"/>
      <c r="N2248" s="4"/>
      <c r="O2248" s="4"/>
    </row>
    <row r="2249" spans="1:15" x14ac:dyDescent="0.2">
      <c r="A2249" s="256"/>
      <c r="B2249" s="265"/>
      <c r="C2249" s="303"/>
      <c r="D2249" s="301"/>
      <c r="E2249" s="302"/>
      <c r="F2249" s="301"/>
      <c r="G2249" s="301"/>
      <c r="H2249" s="301"/>
      <c r="I2249" s="301"/>
      <c r="K2249" s="265"/>
      <c r="L2249" s="265"/>
      <c r="M2249" s="267"/>
      <c r="N2249" s="4"/>
      <c r="O2249" s="4"/>
    </row>
    <row r="2250" spans="1:15" x14ac:dyDescent="0.2">
      <c r="A2250" s="256"/>
      <c r="B2250" s="265"/>
      <c r="C2250" s="303"/>
      <c r="D2250" s="301"/>
      <c r="E2250" s="302"/>
      <c r="F2250" s="301"/>
      <c r="G2250" s="301"/>
      <c r="H2250" s="301"/>
      <c r="I2250" s="301"/>
      <c r="K2250" s="265"/>
      <c r="L2250" s="265"/>
      <c r="M2250" s="267"/>
      <c r="N2250" s="4"/>
      <c r="O2250" s="4"/>
    </row>
    <row r="2251" spans="1:15" x14ac:dyDescent="0.2">
      <c r="A2251" s="256"/>
      <c r="B2251" s="265"/>
      <c r="C2251" s="303"/>
      <c r="D2251" s="301"/>
      <c r="E2251" s="302"/>
      <c r="F2251" s="301"/>
      <c r="G2251" s="301"/>
      <c r="H2251" s="301"/>
      <c r="I2251" s="301"/>
      <c r="K2251" s="265"/>
      <c r="L2251" s="265"/>
      <c r="M2251" s="267"/>
      <c r="N2251" s="4"/>
      <c r="O2251" s="4"/>
    </row>
    <row r="2252" spans="1:15" x14ac:dyDescent="0.2">
      <c r="A2252" s="256"/>
      <c r="B2252" s="265"/>
      <c r="C2252" s="303"/>
      <c r="D2252" s="301"/>
      <c r="E2252" s="302"/>
      <c r="F2252" s="301"/>
      <c r="G2252" s="301"/>
      <c r="H2252" s="301"/>
      <c r="I2252" s="301"/>
      <c r="K2252" s="265"/>
      <c r="L2252" s="265"/>
      <c r="M2252" s="267"/>
      <c r="N2252" s="4"/>
      <c r="O2252" s="4"/>
    </row>
    <row r="2253" spans="1:15" x14ac:dyDescent="0.2">
      <c r="A2253" s="256"/>
      <c r="B2253" s="265"/>
      <c r="C2253" s="303"/>
      <c r="D2253" s="301"/>
      <c r="E2253" s="302"/>
      <c r="F2253" s="301"/>
      <c r="G2253" s="301"/>
      <c r="H2253" s="301"/>
      <c r="I2253" s="301"/>
      <c r="K2253" s="265"/>
      <c r="L2253" s="265"/>
      <c r="M2253" s="267"/>
      <c r="N2253" s="4"/>
      <c r="O2253" s="4"/>
    </row>
    <row r="2254" spans="1:15" x14ac:dyDescent="0.2">
      <c r="A2254" s="256"/>
      <c r="B2254" s="265"/>
      <c r="C2254" s="303"/>
      <c r="D2254" s="301"/>
      <c r="E2254" s="302"/>
      <c r="F2254" s="301"/>
      <c r="G2254" s="301"/>
      <c r="H2254" s="301"/>
      <c r="I2254" s="301"/>
      <c r="K2254" s="265"/>
      <c r="L2254" s="265"/>
      <c r="M2254" s="267"/>
      <c r="N2254" s="4"/>
      <c r="O2254" s="4"/>
    </row>
    <row r="2255" spans="1:15" x14ac:dyDescent="0.2">
      <c r="A2255" s="256"/>
      <c r="B2255" s="265"/>
      <c r="C2255" s="303"/>
      <c r="D2255" s="301"/>
      <c r="E2255" s="302"/>
      <c r="F2255" s="301"/>
      <c r="G2255" s="301"/>
      <c r="H2255" s="301"/>
      <c r="I2255" s="301"/>
      <c r="K2255" s="265"/>
      <c r="L2255" s="265"/>
      <c r="M2255" s="267"/>
      <c r="N2255" s="4"/>
      <c r="O2255" s="4"/>
    </row>
    <row r="2256" spans="1:15" x14ac:dyDescent="0.2">
      <c r="A2256" s="256"/>
      <c r="B2256" s="265"/>
      <c r="C2256" s="303"/>
      <c r="D2256" s="301"/>
      <c r="E2256" s="302"/>
      <c r="F2256" s="301"/>
      <c r="G2256" s="301"/>
      <c r="H2256" s="301"/>
      <c r="I2256" s="301"/>
      <c r="K2256" s="265"/>
      <c r="L2256" s="265"/>
      <c r="M2256" s="267"/>
      <c r="N2256" s="4"/>
      <c r="O2256" s="4"/>
    </row>
    <row r="2257" spans="1:15" x14ac:dyDescent="0.2">
      <c r="A2257" s="256"/>
      <c r="B2257" s="265"/>
      <c r="C2257" s="303"/>
      <c r="D2257" s="301"/>
      <c r="E2257" s="302"/>
      <c r="F2257" s="301"/>
      <c r="G2257" s="301"/>
      <c r="H2257" s="301"/>
      <c r="I2257" s="301"/>
      <c r="K2257" s="265"/>
      <c r="L2257" s="265"/>
      <c r="M2257" s="267"/>
      <c r="N2257" s="4"/>
      <c r="O2257" s="4"/>
    </row>
    <row r="2258" spans="1:15" x14ac:dyDescent="0.2">
      <c r="A2258" s="256"/>
      <c r="B2258" s="265"/>
      <c r="C2258" s="303"/>
      <c r="D2258" s="301"/>
      <c r="E2258" s="302"/>
      <c r="F2258" s="301"/>
      <c r="G2258" s="301"/>
      <c r="H2258" s="301"/>
      <c r="I2258" s="301"/>
      <c r="K2258" s="265"/>
      <c r="L2258" s="265"/>
      <c r="M2258" s="267"/>
      <c r="N2258" s="4"/>
      <c r="O2258" s="4"/>
    </row>
    <row r="2259" spans="1:15" x14ac:dyDescent="0.2">
      <c r="A2259" s="256"/>
      <c r="B2259" s="265"/>
      <c r="C2259" s="303"/>
      <c r="D2259" s="301"/>
      <c r="E2259" s="302"/>
      <c r="F2259" s="301"/>
      <c r="G2259" s="301"/>
      <c r="H2259" s="301"/>
      <c r="I2259" s="301"/>
      <c r="K2259" s="265"/>
      <c r="L2259" s="265"/>
      <c r="M2259" s="267"/>
      <c r="N2259" s="4"/>
      <c r="O2259" s="4"/>
    </row>
    <row r="2260" spans="1:15" x14ac:dyDescent="0.2">
      <c r="A2260" s="256"/>
      <c r="B2260" s="265"/>
      <c r="C2260" s="303"/>
      <c r="D2260" s="301"/>
      <c r="E2260" s="302"/>
      <c r="F2260" s="301"/>
      <c r="G2260" s="301"/>
      <c r="H2260" s="301"/>
      <c r="I2260" s="301"/>
      <c r="K2260" s="265"/>
      <c r="L2260" s="265"/>
      <c r="M2260" s="267"/>
      <c r="N2260" s="4"/>
      <c r="O2260" s="4"/>
    </row>
    <row r="2261" spans="1:15" x14ac:dyDescent="0.2">
      <c r="A2261" s="256"/>
      <c r="B2261" s="265"/>
      <c r="C2261" s="303"/>
      <c r="D2261" s="301"/>
      <c r="E2261" s="302"/>
      <c r="F2261" s="301"/>
      <c r="G2261" s="301"/>
      <c r="H2261" s="301"/>
      <c r="I2261" s="301"/>
      <c r="K2261" s="265"/>
      <c r="L2261" s="265"/>
      <c r="M2261" s="267"/>
      <c r="N2261" s="4"/>
      <c r="O2261" s="4"/>
    </row>
    <row r="2262" spans="1:15" x14ac:dyDescent="0.2">
      <c r="A2262" s="256"/>
      <c r="B2262" s="265"/>
      <c r="C2262" s="303"/>
      <c r="D2262" s="301"/>
      <c r="E2262" s="302"/>
      <c r="F2262" s="301"/>
      <c r="G2262" s="301"/>
      <c r="H2262" s="301"/>
      <c r="I2262" s="301"/>
      <c r="K2262" s="265"/>
      <c r="L2262" s="265"/>
      <c r="M2262" s="267"/>
      <c r="N2262" s="4"/>
      <c r="O2262" s="4"/>
    </row>
    <row r="2263" spans="1:15" x14ac:dyDescent="0.2">
      <c r="A2263" s="256"/>
      <c r="B2263" s="265"/>
      <c r="C2263" s="303"/>
      <c r="D2263" s="301"/>
      <c r="E2263" s="302"/>
      <c r="F2263" s="301"/>
      <c r="G2263" s="301"/>
      <c r="H2263" s="301"/>
      <c r="I2263" s="301"/>
      <c r="K2263" s="265"/>
      <c r="L2263" s="265"/>
      <c r="M2263" s="267"/>
      <c r="N2263" s="4"/>
      <c r="O2263" s="4"/>
    </row>
    <row r="2264" spans="1:15" x14ac:dyDescent="0.2">
      <c r="A2264" s="256"/>
      <c r="B2264" s="265"/>
      <c r="C2264" s="303"/>
      <c r="D2264" s="301"/>
      <c r="E2264" s="302"/>
      <c r="F2264" s="301"/>
      <c r="G2264" s="301"/>
      <c r="H2264" s="301"/>
      <c r="I2264" s="301"/>
      <c r="K2264" s="265"/>
      <c r="L2264" s="265"/>
      <c r="M2264" s="267"/>
      <c r="N2264" s="4"/>
      <c r="O2264" s="4"/>
    </row>
    <row r="2265" spans="1:15" x14ac:dyDescent="0.2">
      <c r="A2265" s="256"/>
      <c r="B2265" s="265"/>
      <c r="C2265" s="303"/>
      <c r="D2265" s="301"/>
      <c r="E2265" s="302"/>
      <c r="F2265" s="301"/>
      <c r="G2265" s="301"/>
      <c r="H2265" s="301"/>
      <c r="I2265" s="301"/>
      <c r="K2265" s="265"/>
      <c r="L2265" s="265"/>
      <c r="M2265" s="267"/>
      <c r="N2265" s="4"/>
      <c r="O2265" s="4"/>
    </row>
    <row r="2266" spans="1:15" x14ac:dyDescent="0.2">
      <c r="A2266" s="256"/>
      <c r="B2266" s="265"/>
      <c r="C2266" s="303"/>
      <c r="D2266" s="301"/>
      <c r="E2266" s="302"/>
      <c r="F2266" s="301"/>
      <c r="G2266" s="301"/>
      <c r="H2266" s="301"/>
      <c r="I2266" s="301"/>
      <c r="K2266" s="265"/>
      <c r="L2266" s="265"/>
      <c r="M2266" s="267"/>
      <c r="N2266" s="4"/>
      <c r="O2266" s="4"/>
    </row>
    <row r="2267" spans="1:15" x14ac:dyDescent="0.2">
      <c r="A2267" s="256"/>
      <c r="B2267" s="265"/>
      <c r="C2267" s="303"/>
      <c r="D2267" s="301"/>
      <c r="E2267" s="302"/>
      <c r="F2267" s="301"/>
      <c r="G2267" s="301"/>
      <c r="H2267" s="301"/>
      <c r="I2267" s="301"/>
      <c r="K2267" s="265"/>
      <c r="L2267" s="265"/>
      <c r="M2267" s="267"/>
      <c r="N2267" s="4"/>
      <c r="O2267" s="4"/>
    </row>
    <row r="2268" spans="1:15" x14ac:dyDescent="0.2">
      <c r="A2268" s="256"/>
      <c r="B2268" s="265"/>
      <c r="C2268" s="303"/>
      <c r="D2268" s="301"/>
      <c r="E2268" s="302"/>
      <c r="F2268" s="301"/>
      <c r="G2268" s="301"/>
      <c r="H2268" s="301"/>
      <c r="I2268" s="301"/>
      <c r="K2268" s="265"/>
      <c r="L2268" s="265"/>
      <c r="M2268" s="267"/>
      <c r="N2268" s="4"/>
      <c r="O2268" s="4"/>
    </row>
    <row r="2269" spans="1:15" x14ac:dyDescent="0.2">
      <c r="A2269" s="256"/>
      <c r="B2269" s="265"/>
      <c r="C2269" s="303"/>
      <c r="D2269" s="301"/>
      <c r="E2269" s="302"/>
      <c r="F2269" s="301"/>
      <c r="G2269" s="301"/>
      <c r="H2269" s="301"/>
      <c r="I2269" s="301"/>
      <c r="K2269" s="265"/>
      <c r="L2269" s="265"/>
      <c r="M2269" s="267"/>
      <c r="N2269" s="4"/>
      <c r="O2269" s="4"/>
    </row>
    <row r="2270" spans="1:15" x14ac:dyDescent="0.2">
      <c r="A2270" s="256"/>
      <c r="B2270" s="265"/>
      <c r="C2270" s="303"/>
      <c r="D2270" s="301"/>
      <c r="E2270" s="302"/>
      <c r="F2270" s="301"/>
      <c r="G2270" s="301"/>
      <c r="H2270" s="301"/>
      <c r="I2270" s="301"/>
      <c r="K2270" s="265"/>
      <c r="L2270" s="265"/>
      <c r="M2270" s="267"/>
      <c r="N2270" s="4"/>
      <c r="O2270" s="4"/>
    </row>
    <row r="2271" spans="1:15" x14ac:dyDescent="0.2">
      <c r="A2271" s="256"/>
      <c r="B2271" s="265"/>
      <c r="C2271" s="303"/>
      <c r="D2271" s="301"/>
      <c r="E2271" s="302"/>
      <c r="F2271" s="301"/>
      <c r="G2271" s="301"/>
      <c r="H2271" s="301"/>
      <c r="I2271" s="301"/>
      <c r="K2271" s="265"/>
      <c r="L2271" s="265"/>
      <c r="M2271" s="267"/>
      <c r="N2271" s="4"/>
      <c r="O2271" s="4"/>
    </row>
    <row r="2272" spans="1:15" x14ac:dyDescent="0.2">
      <c r="A2272" s="256"/>
      <c r="B2272" s="265"/>
      <c r="C2272" s="303"/>
      <c r="D2272" s="301"/>
      <c r="E2272" s="302"/>
      <c r="F2272" s="301"/>
      <c r="G2272" s="301"/>
      <c r="H2272" s="301"/>
      <c r="I2272" s="301"/>
      <c r="K2272" s="265"/>
      <c r="L2272" s="265"/>
      <c r="M2272" s="267"/>
      <c r="N2272" s="4"/>
      <c r="O2272" s="4"/>
    </row>
    <row r="2273" spans="1:15" x14ac:dyDescent="0.2">
      <c r="A2273" s="256"/>
      <c r="B2273" s="265"/>
      <c r="C2273" s="303"/>
      <c r="D2273" s="301"/>
      <c r="E2273" s="302"/>
      <c r="F2273" s="301"/>
      <c r="G2273" s="301"/>
      <c r="H2273" s="301"/>
      <c r="I2273" s="301"/>
      <c r="K2273" s="265"/>
      <c r="L2273" s="265"/>
      <c r="M2273" s="267"/>
      <c r="N2273" s="4"/>
      <c r="O2273" s="4"/>
    </row>
    <row r="2274" spans="1:15" x14ac:dyDescent="0.2">
      <c r="A2274" s="256"/>
      <c r="B2274" s="265"/>
      <c r="C2274" s="303"/>
      <c r="D2274" s="301"/>
      <c r="E2274" s="302"/>
      <c r="F2274" s="301"/>
      <c r="G2274" s="301"/>
      <c r="H2274" s="301"/>
      <c r="I2274" s="301"/>
      <c r="K2274" s="265"/>
      <c r="L2274" s="265"/>
      <c r="M2274" s="267"/>
      <c r="N2274" s="4"/>
      <c r="O2274" s="4"/>
    </row>
    <row r="2275" spans="1:15" x14ac:dyDescent="0.2">
      <c r="A2275" s="256"/>
      <c r="B2275" s="265"/>
      <c r="C2275" s="303"/>
      <c r="D2275" s="301"/>
      <c r="E2275" s="302"/>
      <c r="F2275" s="301"/>
      <c r="G2275" s="301"/>
      <c r="H2275" s="301"/>
      <c r="I2275" s="301"/>
      <c r="K2275" s="265"/>
      <c r="L2275" s="265"/>
      <c r="M2275" s="267"/>
      <c r="N2275" s="4"/>
      <c r="O2275" s="4"/>
    </row>
    <row r="2276" spans="1:15" x14ac:dyDescent="0.2">
      <c r="A2276" s="256"/>
      <c r="B2276" s="265"/>
      <c r="C2276" s="303"/>
      <c r="D2276" s="301"/>
      <c r="E2276" s="302"/>
      <c r="F2276" s="301"/>
      <c r="G2276" s="301"/>
      <c r="H2276" s="301"/>
      <c r="I2276" s="301"/>
      <c r="K2276" s="265"/>
      <c r="L2276" s="265"/>
      <c r="M2276" s="267"/>
      <c r="N2276" s="4"/>
      <c r="O2276" s="4"/>
    </row>
    <row r="2277" spans="1:15" x14ac:dyDescent="0.2">
      <c r="A2277" s="256"/>
      <c r="B2277" s="265"/>
      <c r="C2277" s="303"/>
      <c r="D2277" s="301"/>
      <c r="E2277" s="302"/>
      <c r="F2277" s="301"/>
      <c r="G2277" s="301"/>
      <c r="H2277" s="301"/>
      <c r="I2277" s="301"/>
      <c r="K2277" s="265"/>
      <c r="L2277" s="265"/>
      <c r="M2277" s="267"/>
      <c r="N2277" s="4"/>
      <c r="O2277" s="4"/>
    </row>
    <row r="2278" spans="1:15" x14ac:dyDescent="0.2">
      <c r="A2278" s="256"/>
      <c r="B2278" s="265"/>
      <c r="C2278" s="303"/>
      <c r="D2278" s="301"/>
      <c r="E2278" s="302"/>
      <c r="F2278" s="301"/>
      <c r="G2278" s="301"/>
      <c r="H2278" s="301"/>
      <c r="I2278" s="301"/>
      <c r="K2278" s="265"/>
      <c r="L2278" s="265"/>
      <c r="M2278" s="267"/>
      <c r="N2278" s="4"/>
      <c r="O2278" s="4"/>
    </row>
    <row r="2279" spans="1:15" x14ac:dyDescent="0.2">
      <c r="A2279" s="256"/>
      <c r="B2279" s="265"/>
      <c r="C2279" s="303"/>
      <c r="D2279" s="301"/>
      <c r="E2279" s="302"/>
      <c r="F2279" s="301"/>
      <c r="G2279" s="301"/>
      <c r="H2279" s="301"/>
      <c r="I2279" s="301"/>
      <c r="K2279" s="265"/>
      <c r="L2279" s="265"/>
      <c r="M2279" s="267"/>
      <c r="N2279" s="4"/>
      <c r="O2279" s="4"/>
    </row>
    <row r="2280" spans="1:15" x14ac:dyDescent="0.2">
      <c r="A2280" s="256"/>
      <c r="B2280" s="265"/>
      <c r="C2280" s="303"/>
      <c r="D2280" s="301"/>
      <c r="E2280" s="302"/>
      <c r="F2280" s="301"/>
      <c r="G2280" s="301"/>
      <c r="H2280" s="301"/>
      <c r="I2280" s="301"/>
      <c r="K2280" s="265"/>
      <c r="L2280" s="265"/>
      <c r="M2280" s="267"/>
      <c r="N2280" s="4"/>
      <c r="O2280" s="4"/>
    </row>
    <row r="2281" spans="1:15" x14ac:dyDescent="0.2">
      <c r="A2281" s="256"/>
      <c r="B2281" s="265"/>
      <c r="C2281" s="303"/>
      <c r="D2281" s="301"/>
      <c r="E2281" s="302"/>
      <c r="F2281" s="301"/>
      <c r="G2281" s="301"/>
      <c r="H2281" s="301"/>
      <c r="I2281" s="301"/>
      <c r="K2281" s="265"/>
      <c r="L2281" s="265"/>
      <c r="M2281" s="267"/>
      <c r="N2281" s="4"/>
      <c r="O2281" s="4"/>
    </row>
    <row r="2282" spans="1:15" x14ac:dyDescent="0.2">
      <c r="A2282" s="256"/>
      <c r="B2282" s="265"/>
      <c r="C2282" s="303"/>
      <c r="D2282" s="301"/>
      <c r="E2282" s="302"/>
      <c r="F2282" s="301"/>
      <c r="G2282" s="301"/>
      <c r="H2282" s="301"/>
      <c r="I2282" s="301"/>
      <c r="K2282" s="265"/>
      <c r="L2282" s="265"/>
      <c r="M2282" s="267"/>
      <c r="N2282" s="4"/>
      <c r="O2282" s="4"/>
    </row>
    <row r="2283" spans="1:15" x14ac:dyDescent="0.2">
      <c r="A2283" s="256"/>
      <c r="B2283" s="265"/>
      <c r="C2283" s="303"/>
      <c r="D2283" s="301"/>
      <c r="E2283" s="302"/>
      <c r="F2283" s="301"/>
      <c r="G2283" s="301"/>
      <c r="H2283" s="301"/>
      <c r="I2283" s="301"/>
      <c r="K2283" s="265"/>
      <c r="L2283" s="265"/>
      <c r="M2283" s="267"/>
      <c r="N2283" s="4"/>
      <c r="O2283" s="4"/>
    </row>
    <row r="2284" spans="1:15" x14ac:dyDescent="0.2">
      <c r="A2284" s="256"/>
      <c r="B2284" s="265"/>
      <c r="C2284" s="303"/>
      <c r="D2284" s="301"/>
      <c r="E2284" s="302"/>
      <c r="F2284" s="301"/>
      <c r="G2284" s="301"/>
      <c r="H2284" s="301"/>
      <c r="I2284" s="301"/>
      <c r="K2284" s="265"/>
      <c r="L2284" s="265"/>
      <c r="M2284" s="267"/>
      <c r="N2284" s="4"/>
      <c r="O2284" s="4"/>
    </row>
    <row r="2285" spans="1:15" x14ac:dyDescent="0.2">
      <c r="A2285" s="256"/>
      <c r="B2285" s="265"/>
      <c r="C2285" s="303"/>
      <c r="D2285" s="301"/>
      <c r="E2285" s="302"/>
      <c r="F2285" s="301"/>
      <c r="G2285" s="301"/>
      <c r="H2285" s="301"/>
      <c r="I2285" s="301"/>
      <c r="K2285" s="265"/>
      <c r="L2285" s="265"/>
      <c r="M2285" s="267"/>
      <c r="N2285" s="4"/>
      <c r="O2285" s="4"/>
    </row>
    <row r="2286" spans="1:15" x14ac:dyDescent="0.2">
      <c r="A2286" s="256"/>
      <c r="B2286" s="265"/>
      <c r="C2286" s="303"/>
      <c r="D2286" s="301"/>
      <c r="E2286" s="302"/>
      <c r="F2286" s="301"/>
      <c r="G2286" s="301"/>
      <c r="H2286" s="301"/>
      <c r="I2286" s="301"/>
      <c r="K2286" s="265"/>
      <c r="L2286" s="265"/>
      <c r="M2286" s="267"/>
      <c r="N2286" s="4"/>
      <c r="O2286" s="4"/>
    </row>
    <row r="2287" spans="1:15" x14ac:dyDescent="0.2">
      <c r="A2287" s="256"/>
      <c r="B2287" s="265"/>
      <c r="C2287" s="303"/>
      <c r="D2287" s="301"/>
      <c r="E2287" s="302"/>
      <c r="F2287" s="301"/>
      <c r="G2287" s="301"/>
      <c r="H2287" s="301"/>
      <c r="I2287" s="301"/>
      <c r="K2287" s="265"/>
      <c r="L2287" s="265"/>
      <c r="M2287" s="267"/>
      <c r="N2287" s="4"/>
      <c r="O2287" s="4"/>
    </row>
    <row r="2288" spans="1:15" x14ac:dyDescent="0.2">
      <c r="A2288" s="256"/>
      <c r="B2288" s="265"/>
      <c r="C2288" s="303"/>
      <c r="D2288" s="301"/>
      <c r="E2288" s="302"/>
      <c r="F2288" s="301"/>
      <c r="G2288" s="301"/>
      <c r="H2288" s="301"/>
      <c r="I2288" s="301"/>
      <c r="K2288" s="265"/>
      <c r="L2288" s="265"/>
      <c r="M2288" s="267"/>
      <c r="N2288" s="4"/>
      <c r="O2288" s="4"/>
    </row>
    <row r="2289" spans="1:15" x14ac:dyDescent="0.2">
      <c r="A2289" s="256"/>
      <c r="B2289" s="265"/>
      <c r="C2289" s="303"/>
      <c r="D2289" s="301"/>
      <c r="E2289" s="302"/>
      <c r="F2289" s="301"/>
      <c r="G2289" s="301"/>
      <c r="H2289" s="301"/>
      <c r="I2289" s="301"/>
      <c r="K2289" s="265"/>
      <c r="L2289" s="265"/>
      <c r="M2289" s="267"/>
      <c r="N2289" s="4"/>
      <c r="O2289" s="4"/>
    </row>
    <row r="2290" spans="1:15" x14ac:dyDescent="0.2">
      <c r="A2290" s="256"/>
      <c r="B2290" s="265"/>
      <c r="C2290" s="303"/>
      <c r="D2290" s="301"/>
      <c r="E2290" s="302"/>
      <c r="F2290" s="301"/>
      <c r="G2290" s="301"/>
      <c r="H2290" s="301"/>
      <c r="I2290" s="301"/>
      <c r="K2290" s="265"/>
      <c r="L2290" s="265"/>
      <c r="M2290" s="267"/>
      <c r="N2290" s="4"/>
      <c r="O2290" s="4"/>
    </row>
    <row r="2291" spans="1:15" x14ac:dyDescent="0.2">
      <c r="A2291" s="256"/>
      <c r="B2291" s="265"/>
      <c r="C2291" s="303"/>
      <c r="D2291" s="301"/>
      <c r="E2291" s="302"/>
      <c r="F2291" s="301"/>
      <c r="G2291" s="301"/>
      <c r="H2291" s="301"/>
      <c r="I2291" s="301"/>
      <c r="K2291" s="265"/>
      <c r="L2291" s="265"/>
      <c r="M2291" s="267"/>
      <c r="N2291" s="4"/>
      <c r="O2291" s="4"/>
    </row>
    <row r="2292" spans="1:15" x14ac:dyDescent="0.2">
      <c r="A2292" s="256"/>
      <c r="B2292" s="265"/>
      <c r="C2292" s="303"/>
      <c r="D2292" s="301"/>
      <c r="E2292" s="302"/>
      <c r="F2292" s="301"/>
      <c r="G2292" s="301"/>
      <c r="H2292" s="301"/>
      <c r="I2292" s="301"/>
      <c r="K2292" s="265"/>
      <c r="L2292" s="265"/>
      <c r="M2292" s="267"/>
      <c r="N2292" s="4"/>
      <c r="O2292" s="4"/>
    </row>
    <row r="2293" spans="1:15" x14ac:dyDescent="0.2">
      <c r="A2293" s="256"/>
      <c r="B2293" s="265"/>
      <c r="C2293" s="303"/>
      <c r="D2293" s="301"/>
      <c r="E2293" s="302"/>
      <c r="F2293" s="301"/>
      <c r="G2293" s="301"/>
      <c r="H2293" s="301"/>
      <c r="I2293" s="301"/>
      <c r="K2293" s="265"/>
      <c r="L2293" s="265"/>
      <c r="M2293" s="267"/>
      <c r="N2293" s="4"/>
      <c r="O2293" s="4"/>
    </row>
    <row r="2294" spans="1:15" x14ac:dyDescent="0.2">
      <c r="A2294" s="256"/>
      <c r="B2294" s="265"/>
      <c r="C2294" s="303"/>
      <c r="D2294" s="301"/>
      <c r="E2294" s="302"/>
      <c r="F2294" s="301"/>
      <c r="G2294" s="301"/>
      <c r="H2294" s="301"/>
      <c r="I2294" s="301"/>
      <c r="K2294" s="265"/>
      <c r="L2294" s="265"/>
      <c r="M2294" s="267"/>
      <c r="N2294" s="4"/>
      <c r="O2294" s="4"/>
    </row>
    <row r="2295" spans="1:15" x14ac:dyDescent="0.2">
      <c r="A2295" s="256"/>
      <c r="B2295" s="265"/>
      <c r="C2295" s="303"/>
      <c r="D2295" s="301"/>
      <c r="E2295" s="302"/>
      <c r="F2295" s="301"/>
      <c r="G2295" s="301"/>
      <c r="H2295" s="301"/>
      <c r="I2295" s="301"/>
      <c r="K2295" s="265"/>
      <c r="L2295" s="265"/>
      <c r="M2295" s="267"/>
      <c r="N2295" s="4"/>
      <c r="O2295" s="4"/>
    </row>
    <row r="2296" spans="1:15" x14ac:dyDescent="0.2">
      <c r="A2296" s="256"/>
      <c r="B2296" s="265"/>
      <c r="C2296" s="303"/>
      <c r="D2296" s="301"/>
      <c r="E2296" s="302"/>
      <c r="F2296" s="301"/>
      <c r="G2296" s="301"/>
      <c r="H2296" s="301"/>
      <c r="I2296" s="301"/>
      <c r="K2296" s="265"/>
      <c r="L2296" s="265"/>
      <c r="M2296" s="267"/>
      <c r="N2296" s="4"/>
      <c r="O2296" s="4"/>
    </row>
    <row r="2297" spans="1:15" x14ac:dyDescent="0.2">
      <c r="A2297" s="256"/>
      <c r="B2297" s="265"/>
      <c r="C2297" s="303"/>
      <c r="D2297" s="301"/>
      <c r="E2297" s="302"/>
      <c r="F2297" s="301"/>
      <c r="G2297" s="301"/>
      <c r="H2297" s="301"/>
      <c r="I2297" s="301"/>
      <c r="K2297" s="265"/>
      <c r="L2297" s="265"/>
      <c r="M2297" s="267"/>
      <c r="N2297" s="4"/>
      <c r="O2297" s="4"/>
    </row>
    <row r="2298" spans="1:15" x14ac:dyDescent="0.2">
      <c r="A2298" s="256"/>
      <c r="B2298" s="265"/>
      <c r="C2298" s="303"/>
      <c r="D2298" s="301"/>
      <c r="E2298" s="302"/>
      <c r="F2298" s="301"/>
      <c r="G2298" s="301"/>
      <c r="H2298" s="301"/>
      <c r="I2298" s="301"/>
      <c r="K2298" s="265"/>
      <c r="L2298" s="265"/>
      <c r="M2298" s="267"/>
      <c r="N2298" s="4"/>
      <c r="O2298" s="4"/>
    </row>
    <row r="2299" spans="1:15" x14ac:dyDescent="0.2">
      <c r="A2299" s="256"/>
      <c r="B2299" s="265"/>
      <c r="C2299" s="303"/>
      <c r="D2299" s="301"/>
      <c r="E2299" s="302"/>
      <c r="F2299" s="301"/>
      <c r="G2299" s="301"/>
      <c r="H2299" s="301"/>
      <c r="I2299" s="301"/>
      <c r="K2299" s="265"/>
      <c r="L2299" s="265"/>
      <c r="M2299" s="267"/>
      <c r="N2299" s="4"/>
      <c r="O2299" s="4"/>
    </row>
    <row r="2300" spans="1:15" x14ac:dyDescent="0.2">
      <c r="A2300" s="256"/>
      <c r="B2300" s="265"/>
      <c r="C2300" s="303"/>
      <c r="D2300" s="301"/>
      <c r="E2300" s="302"/>
      <c r="F2300" s="301"/>
      <c r="G2300" s="301"/>
      <c r="H2300" s="301"/>
      <c r="I2300" s="301"/>
      <c r="K2300" s="265"/>
      <c r="L2300" s="265"/>
      <c r="M2300" s="267"/>
      <c r="N2300" s="4"/>
      <c r="O2300" s="4"/>
    </row>
    <row r="2301" spans="1:15" x14ac:dyDescent="0.2">
      <c r="A2301" s="256"/>
      <c r="B2301" s="265"/>
      <c r="C2301" s="303"/>
      <c r="D2301" s="301"/>
      <c r="E2301" s="302"/>
      <c r="F2301" s="301"/>
      <c r="G2301" s="301"/>
      <c r="H2301" s="301"/>
      <c r="I2301" s="301"/>
      <c r="K2301" s="265"/>
      <c r="L2301" s="265"/>
      <c r="M2301" s="267"/>
      <c r="N2301" s="4"/>
      <c r="O2301" s="4"/>
    </row>
    <row r="2302" spans="1:15" x14ac:dyDescent="0.2">
      <c r="A2302" s="256"/>
      <c r="B2302" s="265"/>
      <c r="C2302" s="303"/>
      <c r="D2302" s="301"/>
      <c r="E2302" s="302"/>
      <c r="F2302" s="301"/>
      <c r="G2302" s="301"/>
      <c r="H2302" s="301"/>
      <c r="I2302" s="301"/>
      <c r="K2302" s="265"/>
      <c r="L2302" s="265"/>
      <c r="M2302" s="267"/>
      <c r="N2302" s="4"/>
      <c r="O2302" s="4"/>
    </row>
    <row r="2303" spans="1:15" x14ac:dyDescent="0.2">
      <c r="A2303" s="256"/>
      <c r="B2303" s="265"/>
      <c r="C2303" s="303"/>
      <c r="D2303" s="301"/>
      <c r="E2303" s="302"/>
      <c r="F2303" s="301"/>
      <c r="G2303" s="301"/>
      <c r="H2303" s="301"/>
      <c r="I2303" s="301"/>
      <c r="K2303" s="265"/>
      <c r="L2303" s="265"/>
      <c r="M2303" s="267"/>
      <c r="N2303" s="4"/>
      <c r="O2303" s="4"/>
    </row>
    <row r="2304" spans="1:15" x14ac:dyDescent="0.2">
      <c r="A2304" s="256"/>
      <c r="B2304" s="265"/>
      <c r="C2304" s="303"/>
      <c r="D2304" s="301"/>
      <c r="E2304" s="302"/>
      <c r="F2304" s="301"/>
      <c r="G2304" s="301"/>
      <c r="H2304" s="301"/>
      <c r="I2304" s="301"/>
      <c r="K2304" s="265"/>
      <c r="L2304" s="265"/>
      <c r="M2304" s="267"/>
      <c r="N2304" s="4"/>
      <c r="O2304" s="4"/>
    </row>
    <row r="2305" spans="1:15" x14ac:dyDescent="0.2">
      <c r="A2305" s="256"/>
      <c r="B2305" s="265"/>
      <c r="C2305" s="303"/>
      <c r="D2305" s="301"/>
      <c r="E2305" s="302"/>
      <c r="F2305" s="301"/>
      <c r="G2305" s="301"/>
      <c r="H2305" s="301"/>
      <c r="I2305" s="301"/>
      <c r="K2305" s="265"/>
      <c r="L2305" s="265"/>
      <c r="M2305" s="267"/>
      <c r="N2305" s="4"/>
      <c r="O2305" s="4"/>
    </row>
    <row r="2306" spans="1:15" x14ac:dyDescent="0.2">
      <c r="A2306" s="256"/>
      <c r="B2306" s="265"/>
      <c r="C2306" s="303"/>
      <c r="D2306" s="301"/>
      <c r="E2306" s="302"/>
      <c r="F2306" s="301"/>
      <c r="G2306" s="301"/>
      <c r="H2306" s="301"/>
      <c r="I2306" s="301"/>
      <c r="K2306" s="265"/>
      <c r="L2306" s="265"/>
      <c r="M2306" s="267"/>
      <c r="N2306" s="4"/>
      <c r="O2306" s="4"/>
    </row>
    <row r="2307" spans="1:15" x14ac:dyDescent="0.2">
      <c r="A2307" s="256"/>
      <c r="B2307" s="265"/>
      <c r="C2307" s="303"/>
      <c r="D2307" s="301"/>
      <c r="E2307" s="302"/>
      <c r="F2307" s="301"/>
      <c r="G2307" s="301"/>
      <c r="H2307" s="301"/>
      <c r="I2307" s="301"/>
      <c r="K2307" s="265"/>
      <c r="L2307" s="265"/>
      <c r="M2307" s="267"/>
      <c r="N2307" s="4"/>
      <c r="O2307" s="4"/>
    </row>
    <row r="2308" spans="1:15" x14ac:dyDescent="0.2">
      <c r="A2308" s="256"/>
      <c r="B2308" s="265"/>
      <c r="C2308" s="303"/>
      <c r="D2308" s="301"/>
      <c r="E2308" s="302"/>
      <c r="F2308" s="301"/>
      <c r="G2308" s="301"/>
      <c r="H2308" s="301"/>
      <c r="I2308" s="301"/>
      <c r="K2308" s="265"/>
      <c r="L2308" s="265"/>
      <c r="M2308" s="267"/>
      <c r="N2308" s="4"/>
      <c r="O2308" s="4"/>
    </row>
    <row r="2309" spans="1:15" x14ac:dyDescent="0.2">
      <c r="A2309" s="256"/>
      <c r="B2309" s="265"/>
      <c r="C2309" s="303"/>
      <c r="D2309" s="301"/>
      <c r="E2309" s="302"/>
      <c r="F2309" s="301"/>
      <c r="G2309" s="301"/>
      <c r="H2309" s="301"/>
      <c r="I2309" s="301"/>
      <c r="K2309" s="265"/>
      <c r="L2309" s="265"/>
      <c r="M2309" s="267"/>
      <c r="N2309" s="4"/>
      <c r="O2309" s="4"/>
    </row>
    <row r="2310" spans="1:15" x14ac:dyDescent="0.2">
      <c r="A2310" s="256"/>
      <c r="B2310" s="265"/>
      <c r="C2310" s="303"/>
      <c r="D2310" s="301"/>
      <c r="E2310" s="302"/>
      <c r="F2310" s="301"/>
      <c r="G2310" s="301"/>
      <c r="H2310" s="301"/>
      <c r="I2310" s="301"/>
      <c r="K2310" s="265"/>
      <c r="L2310" s="265"/>
      <c r="M2310" s="267"/>
      <c r="N2310" s="4"/>
      <c r="O2310" s="4"/>
    </row>
    <row r="2311" spans="1:15" x14ac:dyDescent="0.2">
      <c r="A2311" s="256"/>
      <c r="B2311" s="265"/>
      <c r="C2311" s="303"/>
      <c r="D2311" s="301"/>
      <c r="E2311" s="302"/>
      <c r="F2311" s="301"/>
      <c r="G2311" s="301"/>
      <c r="H2311" s="301"/>
      <c r="I2311" s="301"/>
      <c r="K2311" s="265"/>
      <c r="L2311" s="265"/>
      <c r="M2311" s="267"/>
      <c r="N2311" s="4"/>
      <c r="O2311" s="4"/>
    </row>
    <row r="2312" spans="1:15" x14ac:dyDescent="0.2">
      <c r="A2312" s="256"/>
      <c r="B2312" s="265"/>
      <c r="C2312" s="303"/>
      <c r="D2312" s="301"/>
      <c r="E2312" s="302"/>
      <c r="F2312" s="301"/>
      <c r="G2312" s="301"/>
      <c r="H2312" s="301"/>
      <c r="I2312" s="301"/>
      <c r="K2312" s="265"/>
      <c r="L2312" s="265"/>
      <c r="M2312" s="267"/>
      <c r="N2312" s="4"/>
      <c r="O2312" s="4"/>
    </row>
    <row r="2313" spans="1:15" x14ac:dyDescent="0.2">
      <c r="A2313" s="256"/>
      <c r="B2313" s="265"/>
      <c r="C2313" s="303"/>
      <c r="D2313" s="301"/>
      <c r="E2313" s="302"/>
      <c r="F2313" s="301"/>
      <c r="G2313" s="301"/>
      <c r="H2313" s="301"/>
      <c r="I2313" s="301"/>
      <c r="K2313" s="265"/>
      <c r="L2313" s="265"/>
      <c r="M2313" s="267"/>
      <c r="N2313" s="4"/>
      <c r="O2313" s="4"/>
    </row>
    <row r="2314" spans="1:15" x14ac:dyDescent="0.2">
      <c r="A2314" s="256"/>
      <c r="B2314" s="265"/>
      <c r="C2314" s="303"/>
      <c r="D2314" s="301"/>
      <c r="E2314" s="302"/>
      <c r="F2314" s="301"/>
      <c r="G2314" s="301"/>
      <c r="H2314" s="301"/>
      <c r="I2314" s="301"/>
      <c r="K2314" s="265"/>
      <c r="L2314" s="265"/>
      <c r="M2314" s="267"/>
      <c r="N2314" s="4"/>
      <c r="O2314" s="4"/>
    </row>
    <row r="2315" spans="1:15" x14ac:dyDescent="0.2">
      <c r="A2315" s="256"/>
      <c r="B2315" s="265"/>
      <c r="C2315" s="303"/>
      <c r="D2315" s="301"/>
      <c r="E2315" s="302"/>
      <c r="F2315" s="301"/>
      <c r="G2315" s="301"/>
      <c r="H2315" s="301"/>
      <c r="I2315" s="301"/>
      <c r="K2315" s="265"/>
      <c r="L2315" s="265"/>
      <c r="M2315" s="267"/>
      <c r="N2315" s="4"/>
      <c r="O2315" s="4"/>
    </row>
    <row r="2316" spans="1:15" x14ac:dyDescent="0.2">
      <c r="A2316" s="256"/>
      <c r="B2316" s="265"/>
      <c r="C2316" s="303"/>
      <c r="D2316" s="301"/>
      <c r="E2316" s="302"/>
      <c r="F2316" s="301"/>
      <c r="G2316" s="301"/>
      <c r="H2316" s="301"/>
      <c r="I2316" s="301"/>
      <c r="K2316" s="265"/>
      <c r="L2316" s="265"/>
      <c r="M2316" s="267"/>
      <c r="N2316" s="4"/>
      <c r="O2316" s="4"/>
    </row>
    <row r="2317" spans="1:15" x14ac:dyDescent="0.2">
      <c r="A2317" s="256"/>
      <c r="B2317" s="265"/>
      <c r="C2317" s="303"/>
      <c r="D2317" s="301"/>
      <c r="E2317" s="302"/>
      <c r="F2317" s="301"/>
      <c r="G2317" s="301"/>
      <c r="H2317" s="301"/>
      <c r="I2317" s="301"/>
      <c r="K2317" s="265"/>
      <c r="L2317" s="265"/>
      <c r="M2317" s="267"/>
      <c r="N2317" s="4"/>
      <c r="O2317" s="4"/>
    </row>
    <row r="2318" spans="1:15" x14ac:dyDescent="0.2">
      <c r="A2318" s="256"/>
      <c r="B2318" s="265"/>
      <c r="C2318" s="303"/>
      <c r="D2318" s="301"/>
      <c r="E2318" s="302"/>
      <c r="F2318" s="301"/>
      <c r="G2318" s="301"/>
      <c r="H2318" s="301"/>
      <c r="I2318" s="301"/>
      <c r="K2318" s="265"/>
      <c r="L2318" s="265"/>
      <c r="M2318" s="267"/>
      <c r="N2318" s="4"/>
      <c r="O2318" s="4"/>
    </row>
    <row r="2319" spans="1:15" x14ac:dyDescent="0.2">
      <c r="A2319" s="256"/>
      <c r="B2319" s="265"/>
      <c r="C2319" s="303"/>
      <c r="D2319" s="301"/>
      <c r="E2319" s="302"/>
      <c r="F2319" s="301"/>
      <c r="G2319" s="301"/>
      <c r="H2319" s="301"/>
      <c r="I2319" s="301"/>
      <c r="K2319" s="265"/>
      <c r="L2319" s="265"/>
      <c r="M2319" s="267"/>
      <c r="N2319" s="4"/>
      <c r="O2319" s="4"/>
    </row>
    <row r="2320" spans="1:15" x14ac:dyDescent="0.2">
      <c r="A2320" s="256"/>
      <c r="B2320" s="265"/>
      <c r="C2320" s="303"/>
      <c r="D2320" s="301"/>
      <c r="E2320" s="302"/>
      <c r="F2320" s="301"/>
      <c r="G2320" s="301"/>
      <c r="H2320" s="301"/>
      <c r="I2320" s="301"/>
      <c r="K2320" s="265"/>
      <c r="L2320" s="265"/>
      <c r="M2320" s="267"/>
      <c r="N2320" s="4"/>
      <c r="O2320" s="4"/>
    </row>
    <row r="2321" spans="1:15" x14ac:dyDescent="0.2">
      <c r="A2321" s="256"/>
      <c r="B2321" s="265"/>
      <c r="C2321" s="303"/>
      <c r="D2321" s="301"/>
      <c r="E2321" s="302"/>
      <c r="F2321" s="301"/>
      <c r="G2321" s="301"/>
      <c r="H2321" s="301"/>
      <c r="I2321" s="301"/>
      <c r="K2321" s="265"/>
      <c r="L2321" s="265"/>
      <c r="M2321" s="267"/>
      <c r="N2321" s="4"/>
      <c r="O2321" s="4"/>
    </row>
    <row r="2322" spans="1:15" x14ac:dyDescent="0.2">
      <c r="A2322" s="256"/>
      <c r="B2322" s="265"/>
      <c r="C2322" s="303"/>
      <c r="D2322" s="301"/>
      <c r="E2322" s="302"/>
      <c r="F2322" s="301"/>
      <c r="G2322" s="301"/>
      <c r="H2322" s="301"/>
      <c r="I2322" s="301"/>
      <c r="K2322" s="265"/>
      <c r="L2322" s="265"/>
      <c r="M2322" s="267"/>
      <c r="N2322" s="4"/>
      <c r="O2322" s="4"/>
    </row>
    <row r="2323" spans="1:15" x14ac:dyDescent="0.2">
      <c r="A2323" s="256"/>
      <c r="B2323" s="265"/>
      <c r="C2323" s="303"/>
      <c r="D2323" s="301"/>
      <c r="E2323" s="302"/>
      <c r="F2323" s="301"/>
      <c r="G2323" s="301"/>
      <c r="H2323" s="301"/>
      <c r="I2323" s="301"/>
      <c r="K2323" s="265"/>
      <c r="L2323" s="265"/>
      <c r="M2323" s="267"/>
      <c r="N2323" s="4"/>
      <c r="O2323" s="4"/>
    </row>
    <row r="2324" spans="1:15" x14ac:dyDescent="0.2">
      <c r="A2324" s="256"/>
      <c r="B2324" s="265"/>
      <c r="C2324" s="303"/>
      <c r="D2324" s="301"/>
      <c r="E2324" s="302"/>
      <c r="F2324" s="301"/>
      <c r="G2324" s="301"/>
      <c r="H2324" s="301"/>
      <c r="I2324" s="301"/>
      <c r="K2324" s="265"/>
      <c r="L2324" s="265"/>
      <c r="M2324" s="267"/>
      <c r="N2324" s="4"/>
      <c r="O2324" s="4"/>
    </row>
    <row r="2325" spans="1:15" x14ac:dyDescent="0.2">
      <c r="A2325" s="256"/>
      <c r="B2325" s="265"/>
      <c r="C2325" s="303"/>
      <c r="D2325" s="301"/>
      <c r="E2325" s="302"/>
      <c r="F2325" s="301"/>
      <c r="G2325" s="301"/>
      <c r="H2325" s="301"/>
      <c r="I2325" s="301"/>
      <c r="K2325" s="265"/>
      <c r="L2325" s="265"/>
      <c r="M2325" s="267"/>
      <c r="N2325" s="4"/>
      <c r="O2325" s="4"/>
    </row>
    <row r="2326" spans="1:15" x14ac:dyDescent="0.2">
      <c r="A2326" s="256"/>
      <c r="B2326" s="265"/>
      <c r="C2326" s="303"/>
      <c r="D2326" s="301"/>
      <c r="E2326" s="302"/>
      <c r="F2326" s="301"/>
      <c r="G2326" s="301"/>
      <c r="H2326" s="301"/>
      <c r="I2326" s="301"/>
      <c r="K2326" s="265"/>
      <c r="L2326" s="265"/>
      <c r="M2326" s="267"/>
      <c r="N2326" s="4"/>
      <c r="O2326" s="4"/>
    </row>
    <row r="2327" spans="1:15" x14ac:dyDescent="0.2">
      <c r="A2327" s="256"/>
      <c r="B2327" s="265"/>
      <c r="C2327" s="303"/>
      <c r="D2327" s="301"/>
      <c r="E2327" s="302"/>
      <c r="F2327" s="301"/>
      <c r="G2327" s="301"/>
      <c r="H2327" s="301"/>
      <c r="I2327" s="301"/>
      <c r="K2327" s="265"/>
      <c r="L2327" s="265"/>
      <c r="M2327" s="267"/>
      <c r="N2327" s="4"/>
      <c r="O2327" s="4"/>
    </row>
    <row r="2328" spans="1:15" x14ac:dyDescent="0.2">
      <c r="A2328" s="256"/>
      <c r="B2328" s="265"/>
      <c r="C2328" s="303"/>
      <c r="D2328" s="301"/>
      <c r="E2328" s="302"/>
      <c r="F2328" s="301"/>
      <c r="G2328" s="301"/>
      <c r="H2328" s="301"/>
      <c r="I2328" s="301"/>
      <c r="K2328" s="265"/>
      <c r="L2328" s="265"/>
      <c r="M2328" s="267"/>
      <c r="N2328" s="4"/>
      <c r="O2328" s="4"/>
    </row>
    <row r="2329" spans="1:15" x14ac:dyDescent="0.2">
      <c r="A2329" s="256"/>
      <c r="B2329" s="265"/>
      <c r="C2329" s="303"/>
      <c r="D2329" s="301"/>
      <c r="E2329" s="302"/>
      <c r="F2329" s="301"/>
      <c r="G2329" s="301"/>
      <c r="H2329" s="301"/>
      <c r="I2329" s="301"/>
      <c r="K2329" s="265"/>
      <c r="L2329" s="265"/>
      <c r="M2329" s="267"/>
      <c r="N2329" s="4"/>
      <c r="O2329" s="4"/>
    </row>
    <row r="2330" spans="1:15" x14ac:dyDescent="0.2">
      <c r="A2330" s="256"/>
      <c r="B2330" s="265"/>
      <c r="C2330" s="303"/>
      <c r="D2330" s="301"/>
      <c r="E2330" s="302"/>
      <c r="F2330" s="301"/>
      <c r="G2330" s="301"/>
      <c r="H2330" s="301"/>
      <c r="I2330" s="301"/>
      <c r="K2330" s="265"/>
      <c r="L2330" s="265"/>
      <c r="M2330" s="267"/>
      <c r="N2330" s="4"/>
      <c r="O2330" s="4"/>
    </row>
    <row r="2331" spans="1:15" x14ac:dyDescent="0.2">
      <c r="A2331" s="256"/>
      <c r="B2331" s="265"/>
      <c r="C2331" s="303"/>
      <c r="D2331" s="301"/>
      <c r="E2331" s="302"/>
      <c r="F2331" s="301"/>
      <c r="G2331" s="301"/>
      <c r="H2331" s="301"/>
      <c r="I2331" s="301"/>
      <c r="K2331" s="265"/>
      <c r="L2331" s="265"/>
      <c r="M2331" s="267"/>
      <c r="N2331" s="4"/>
      <c r="O2331" s="4"/>
    </row>
    <row r="2332" spans="1:15" x14ac:dyDescent="0.2">
      <c r="A2332" s="256"/>
      <c r="B2332" s="265"/>
      <c r="C2332" s="303"/>
      <c r="D2332" s="301"/>
      <c r="E2332" s="302"/>
      <c r="F2332" s="301"/>
      <c r="G2332" s="301"/>
      <c r="H2332" s="301"/>
      <c r="I2332" s="301"/>
      <c r="K2332" s="265"/>
      <c r="L2332" s="265"/>
      <c r="M2332" s="267"/>
      <c r="N2332" s="4"/>
      <c r="O2332" s="4"/>
    </row>
    <row r="2333" spans="1:15" x14ac:dyDescent="0.2">
      <c r="A2333" s="256"/>
      <c r="B2333" s="265"/>
      <c r="C2333" s="303"/>
      <c r="D2333" s="301"/>
      <c r="E2333" s="302"/>
      <c r="F2333" s="301"/>
      <c r="G2333" s="301"/>
      <c r="H2333" s="301"/>
      <c r="I2333" s="301"/>
      <c r="K2333" s="265"/>
      <c r="L2333" s="265"/>
      <c r="M2333" s="267"/>
      <c r="N2333" s="4"/>
      <c r="O2333" s="4"/>
    </row>
    <row r="2334" spans="1:15" x14ac:dyDescent="0.2">
      <c r="A2334" s="256"/>
      <c r="B2334" s="265"/>
      <c r="C2334" s="303"/>
      <c r="D2334" s="301"/>
      <c r="E2334" s="302"/>
      <c r="F2334" s="301"/>
      <c r="G2334" s="301"/>
      <c r="H2334" s="301"/>
      <c r="I2334" s="301"/>
      <c r="K2334" s="265"/>
      <c r="L2334" s="265"/>
      <c r="M2334" s="267"/>
      <c r="N2334" s="4"/>
      <c r="O2334" s="4"/>
    </row>
    <row r="2335" spans="1:15" x14ac:dyDescent="0.2">
      <c r="A2335" s="256"/>
      <c r="B2335" s="265"/>
      <c r="C2335" s="303"/>
      <c r="D2335" s="301"/>
      <c r="E2335" s="302"/>
      <c r="F2335" s="301"/>
      <c r="G2335" s="301"/>
      <c r="H2335" s="301"/>
      <c r="I2335" s="301"/>
      <c r="K2335" s="265"/>
      <c r="L2335" s="265"/>
      <c r="M2335" s="267"/>
      <c r="N2335" s="4"/>
      <c r="O2335" s="4"/>
    </row>
    <row r="2336" spans="1:15" x14ac:dyDescent="0.2">
      <c r="A2336" s="256"/>
      <c r="B2336" s="265"/>
      <c r="C2336" s="303"/>
      <c r="D2336" s="301"/>
      <c r="E2336" s="302"/>
      <c r="F2336" s="301"/>
      <c r="G2336" s="301"/>
      <c r="H2336" s="301"/>
      <c r="I2336" s="301"/>
      <c r="K2336" s="265"/>
      <c r="L2336" s="265"/>
      <c r="M2336" s="267"/>
      <c r="N2336" s="4"/>
      <c r="O2336" s="4"/>
    </row>
    <row r="2337" spans="1:15" x14ac:dyDescent="0.2">
      <c r="A2337" s="256"/>
      <c r="B2337" s="265"/>
      <c r="C2337" s="303"/>
      <c r="D2337" s="301"/>
      <c r="E2337" s="302"/>
      <c r="F2337" s="301"/>
      <c r="G2337" s="301"/>
      <c r="H2337" s="301"/>
      <c r="I2337" s="301"/>
      <c r="K2337" s="265"/>
      <c r="L2337" s="265"/>
      <c r="M2337" s="267"/>
      <c r="N2337" s="4"/>
      <c r="O2337" s="4"/>
    </row>
    <row r="2338" spans="1:15" x14ac:dyDescent="0.2">
      <c r="A2338" s="256"/>
      <c r="B2338" s="265"/>
      <c r="C2338" s="303"/>
      <c r="D2338" s="301"/>
      <c r="E2338" s="302"/>
      <c r="F2338" s="301"/>
      <c r="G2338" s="301"/>
      <c r="H2338" s="301"/>
      <c r="I2338" s="301"/>
      <c r="K2338" s="265"/>
      <c r="L2338" s="265"/>
      <c r="M2338" s="267"/>
      <c r="N2338" s="4"/>
      <c r="O2338" s="4"/>
    </row>
    <row r="2339" spans="1:15" x14ac:dyDescent="0.2">
      <c r="A2339" s="256"/>
      <c r="B2339" s="265"/>
      <c r="C2339" s="303"/>
      <c r="D2339" s="301"/>
      <c r="E2339" s="302"/>
      <c r="F2339" s="301"/>
      <c r="G2339" s="301"/>
      <c r="H2339" s="301"/>
      <c r="I2339" s="301"/>
      <c r="K2339" s="265"/>
      <c r="L2339" s="265"/>
      <c r="M2339" s="267"/>
      <c r="N2339" s="4"/>
      <c r="O2339" s="4"/>
    </row>
    <row r="2340" spans="1:15" x14ac:dyDescent="0.2">
      <c r="A2340" s="256"/>
      <c r="B2340" s="265"/>
      <c r="C2340" s="303"/>
      <c r="D2340" s="301"/>
      <c r="E2340" s="302"/>
      <c r="F2340" s="301"/>
      <c r="G2340" s="301"/>
      <c r="H2340" s="301"/>
      <c r="I2340" s="301"/>
      <c r="K2340" s="265"/>
      <c r="L2340" s="265"/>
      <c r="M2340" s="267"/>
      <c r="N2340" s="4"/>
      <c r="O2340" s="4"/>
    </row>
    <row r="2341" spans="1:15" x14ac:dyDescent="0.2">
      <c r="A2341" s="256"/>
      <c r="B2341" s="265"/>
      <c r="C2341" s="303"/>
      <c r="D2341" s="301"/>
      <c r="E2341" s="302"/>
      <c r="F2341" s="301"/>
      <c r="G2341" s="301"/>
      <c r="H2341" s="301"/>
      <c r="I2341" s="301"/>
      <c r="K2341" s="265"/>
      <c r="L2341" s="265"/>
      <c r="M2341" s="267"/>
      <c r="N2341" s="4"/>
      <c r="O2341" s="4"/>
    </row>
    <row r="2342" spans="1:15" x14ac:dyDescent="0.2">
      <c r="A2342" s="256"/>
      <c r="B2342" s="265"/>
      <c r="C2342" s="303"/>
      <c r="D2342" s="301"/>
      <c r="E2342" s="302"/>
      <c r="F2342" s="301"/>
      <c r="G2342" s="301"/>
      <c r="H2342" s="301"/>
      <c r="I2342" s="301"/>
      <c r="K2342" s="265"/>
      <c r="L2342" s="265"/>
      <c r="M2342" s="267"/>
      <c r="N2342" s="4"/>
      <c r="O2342" s="4"/>
    </row>
    <row r="2343" spans="1:15" x14ac:dyDescent="0.2">
      <c r="A2343" s="256"/>
      <c r="B2343" s="265"/>
      <c r="C2343" s="303"/>
      <c r="D2343" s="301"/>
      <c r="E2343" s="302"/>
      <c r="F2343" s="301"/>
      <c r="G2343" s="301"/>
      <c r="H2343" s="301"/>
      <c r="I2343" s="301"/>
      <c r="K2343" s="265"/>
      <c r="L2343" s="265"/>
      <c r="M2343" s="267"/>
      <c r="N2343" s="4"/>
      <c r="O2343" s="4"/>
    </row>
    <row r="2344" spans="1:15" x14ac:dyDescent="0.2">
      <c r="A2344" s="258"/>
      <c r="B2344" s="265"/>
      <c r="C2344" s="301"/>
      <c r="D2344" s="301"/>
      <c r="E2344" s="301"/>
      <c r="F2344" s="302"/>
      <c r="G2344" s="301"/>
      <c r="H2344" s="301"/>
      <c r="I2344" s="301"/>
      <c r="K2344" s="267"/>
      <c r="L2344" s="265"/>
      <c r="M2344" s="297"/>
      <c r="N2344" s="4"/>
      <c r="O2344" s="4"/>
    </row>
    <row r="2345" spans="1:15" x14ac:dyDescent="0.2">
      <c r="A2345" s="258"/>
      <c r="B2345" s="265"/>
      <c r="C2345" s="301"/>
      <c r="D2345" s="301"/>
      <c r="E2345" s="301"/>
      <c r="F2345" s="302"/>
      <c r="G2345" s="301"/>
      <c r="H2345" s="301"/>
      <c r="I2345" s="301"/>
      <c r="K2345" s="267"/>
      <c r="L2345" s="265"/>
      <c r="M2345" s="297"/>
      <c r="N2345" s="5"/>
      <c r="O2345" s="4"/>
    </row>
    <row r="2346" spans="1:15" x14ac:dyDescent="0.2">
      <c r="A2346" s="258"/>
      <c r="B2346" s="265"/>
      <c r="C2346" s="301"/>
      <c r="D2346" s="301"/>
      <c r="E2346" s="301"/>
      <c r="F2346" s="302"/>
      <c r="G2346" s="301"/>
      <c r="H2346" s="301"/>
      <c r="I2346" s="301"/>
      <c r="K2346" s="267"/>
      <c r="L2346" s="265"/>
      <c r="M2346" s="297"/>
      <c r="N2346" s="5"/>
      <c r="O2346" s="4"/>
    </row>
    <row r="2347" spans="1:15" x14ac:dyDescent="0.2">
      <c r="A2347" s="258"/>
      <c r="B2347" s="265"/>
      <c r="C2347" s="301"/>
      <c r="D2347" s="301"/>
      <c r="E2347" s="301"/>
      <c r="F2347" s="302"/>
      <c r="G2347" s="301"/>
      <c r="H2347" s="301"/>
      <c r="I2347" s="301"/>
      <c r="K2347" s="267"/>
      <c r="L2347" s="265"/>
      <c r="M2347" s="297"/>
      <c r="N2347" s="5"/>
      <c r="O2347" s="4"/>
    </row>
    <row r="2348" spans="1:15" x14ac:dyDescent="0.2">
      <c r="A2348" s="258"/>
      <c r="B2348" s="265"/>
      <c r="C2348" s="301"/>
      <c r="D2348" s="301"/>
      <c r="E2348" s="301"/>
      <c r="F2348" s="302"/>
      <c r="G2348" s="301"/>
      <c r="H2348" s="301"/>
      <c r="I2348" s="301"/>
      <c r="K2348" s="267"/>
      <c r="L2348" s="265"/>
      <c r="M2348" s="297"/>
      <c r="N2348" s="5"/>
      <c r="O2348" s="4"/>
    </row>
    <row r="2349" spans="1:15" x14ac:dyDescent="0.2">
      <c r="A2349" s="258"/>
      <c r="B2349" s="265"/>
      <c r="C2349" s="301"/>
      <c r="D2349" s="301"/>
      <c r="E2349" s="301"/>
      <c r="F2349" s="302"/>
      <c r="G2349" s="301"/>
      <c r="H2349" s="301"/>
      <c r="I2349" s="301"/>
      <c r="K2349" s="267"/>
      <c r="L2349" s="265"/>
      <c r="M2349" s="297"/>
      <c r="N2349" s="5"/>
      <c r="O2349" s="4"/>
    </row>
    <row r="2350" spans="1:15" x14ac:dyDescent="0.2">
      <c r="A2350" s="258"/>
      <c r="B2350" s="265"/>
      <c r="C2350" s="301"/>
      <c r="D2350" s="301"/>
      <c r="E2350" s="301"/>
      <c r="F2350" s="302"/>
      <c r="G2350" s="301"/>
      <c r="H2350" s="301"/>
      <c r="I2350" s="301"/>
      <c r="K2350" s="267"/>
      <c r="L2350" s="265"/>
      <c r="M2350" s="297"/>
      <c r="N2350" s="5"/>
      <c r="O2350" s="4"/>
    </row>
    <row r="2351" spans="1:15" x14ac:dyDescent="0.2">
      <c r="A2351" s="258"/>
      <c r="B2351" s="265"/>
      <c r="C2351" s="301"/>
      <c r="D2351" s="301"/>
      <c r="E2351" s="301"/>
      <c r="F2351" s="302"/>
      <c r="G2351" s="301"/>
      <c r="H2351" s="301"/>
      <c r="I2351" s="301"/>
      <c r="K2351" s="267"/>
      <c r="L2351" s="265"/>
      <c r="M2351" s="297"/>
      <c r="N2351" s="5"/>
      <c r="O2351" s="4"/>
    </row>
    <row r="2352" spans="1:15" x14ac:dyDescent="0.2">
      <c r="A2352" s="258"/>
      <c r="B2352" s="265"/>
      <c r="C2352" s="301"/>
      <c r="D2352" s="301"/>
      <c r="E2352" s="301"/>
      <c r="F2352" s="302"/>
      <c r="G2352" s="301"/>
      <c r="H2352" s="301"/>
      <c r="I2352" s="301"/>
      <c r="K2352" s="267"/>
      <c r="L2352" s="265"/>
      <c r="M2352" s="297"/>
      <c r="N2352" s="5"/>
      <c r="O2352" s="4"/>
    </row>
    <row r="2353" spans="1:15" x14ac:dyDescent="0.2">
      <c r="A2353" s="258"/>
      <c r="B2353" s="265"/>
      <c r="C2353" s="301"/>
      <c r="D2353" s="301"/>
      <c r="E2353" s="301"/>
      <c r="F2353" s="302"/>
      <c r="G2353" s="301"/>
      <c r="H2353" s="301"/>
      <c r="I2353" s="301"/>
      <c r="K2353" s="267"/>
      <c r="L2353" s="265"/>
      <c r="M2353" s="297"/>
      <c r="N2353" s="5"/>
      <c r="O2353" s="4"/>
    </row>
    <row r="2354" spans="1:15" x14ac:dyDescent="0.2">
      <c r="A2354" s="258"/>
      <c r="B2354" s="265"/>
      <c r="C2354" s="301"/>
      <c r="D2354" s="301"/>
      <c r="E2354" s="301"/>
      <c r="F2354" s="302"/>
      <c r="G2354" s="301"/>
      <c r="H2354" s="301"/>
      <c r="I2354" s="301"/>
      <c r="K2354" s="267"/>
      <c r="L2354" s="265"/>
      <c r="M2354" s="297"/>
      <c r="N2354" s="5"/>
      <c r="O2354" s="4"/>
    </row>
    <row r="2355" spans="1:15" x14ac:dyDescent="0.2">
      <c r="A2355" s="258"/>
      <c r="B2355" s="265"/>
      <c r="C2355" s="301"/>
      <c r="D2355" s="301"/>
      <c r="E2355" s="301"/>
      <c r="F2355" s="302"/>
      <c r="G2355" s="301"/>
      <c r="H2355" s="301"/>
      <c r="I2355" s="301"/>
      <c r="K2355" s="267"/>
      <c r="L2355" s="265"/>
      <c r="M2355" s="297"/>
      <c r="N2355" s="5"/>
      <c r="O2355" s="4"/>
    </row>
    <row r="2356" spans="1:15" x14ac:dyDescent="0.2">
      <c r="A2356" s="258"/>
      <c r="B2356" s="265"/>
      <c r="C2356" s="301"/>
      <c r="D2356" s="301"/>
      <c r="E2356" s="301"/>
      <c r="F2356" s="302"/>
      <c r="G2356" s="301"/>
      <c r="H2356" s="301"/>
      <c r="I2356" s="301"/>
      <c r="K2356" s="267"/>
      <c r="L2356" s="265"/>
      <c r="M2356" s="297"/>
      <c r="N2356" s="5"/>
      <c r="O2356" s="4"/>
    </row>
    <row r="2357" spans="1:15" x14ac:dyDescent="0.2">
      <c r="A2357" s="258"/>
      <c r="B2357" s="265"/>
      <c r="C2357" s="301"/>
      <c r="D2357" s="301"/>
      <c r="E2357" s="301"/>
      <c r="F2357" s="302"/>
      <c r="G2357" s="301"/>
      <c r="H2357" s="301"/>
      <c r="I2357" s="301"/>
      <c r="K2357" s="267"/>
      <c r="L2357" s="265"/>
      <c r="M2357" s="297"/>
      <c r="N2357" s="5"/>
      <c r="O2357" s="4"/>
    </row>
    <row r="2358" spans="1:15" x14ac:dyDescent="0.2">
      <c r="A2358" s="258"/>
      <c r="B2358" s="265"/>
      <c r="C2358" s="301"/>
      <c r="D2358" s="301"/>
      <c r="E2358" s="301"/>
      <c r="F2358" s="302"/>
      <c r="G2358" s="301"/>
      <c r="H2358" s="301"/>
      <c r="I2358" s="301"/>
      <c r="K2358" s="267"/>
      <c r="L2358" s="265"/>
      <c r="M2358" s="297"/>
      <c r="N2358" s="5"/>
      <c r="O2358" s="4"/>
    </row>
    <row r="2359" spans="1:15" x14ac:dyDescent="0.2">
      <c r="A2359" s="258"/>
      <c r="B2359" s="265"/>
      <c r="C2359" s="301"/>
      <c r="D2359" s="301"/>
      <c r="E2359" s="301"/>
      <c r="F2359" s="302"/>
      <c r="G2359" s="301"/>
      <c r="H2359" s="301"/>
      <c r="I2359" s="301"/>
      <c r="K2359" s="267"/>
      <c r="L2359" s="265"/>
      <c r="M2359" s="297"/>
      <c r="N2359" s="5"/>
      <c r="O2359" s="4"/>
    </row>
    <row r="2360" spans="1:15" x14ac:dyDescent="0.2">
      <c r="A2360" s="258"/>
      <c r="B2360" s="265"/>
      <c r="C2360" s="301"/>
      <c r="D2360" s="301"/>
      <c r="E2360" s="301"/>
      <c r="F2360" s="302"/>
      <c r="G2360" s="301"/>
      <c r="H2360" s="301"/>
      <c r="I2360" s="301"/>
      <c r="K2360" s="267"/>
      <c r="L2360" s="265"/>
      <c r="M2360" s="297"/>
      <c r="N2360" s="5"/>
      <c r="O2360" s="4"/>
    </row>
    <row r="2361" spans="1:15" x14ac:dyDescent="0.2">
      <c r="A2361" s="258"/>
      <c r="B2361" s="265"/>
      <c r="C2361" s="301"/>
      <c r="D2361" s="301"/>
      <c r="E2361" s="301"/>
      <c r="F2361" s="302"/>
      <c r="G2361" s="301"/>
      <c r="H2361" s="301"/>
      <c r="I2361" s="301"/>
      <c r="K2361" s="267"/>
      <c r="L2361" s="265"/>
      <c r="M2361" s="297"/>
      <c r="N2361" s="5"/>
      <c r="O2361" s="4"/>
    </row>
    <row r="2362" spans="1:15" x14ac:dyDescent="0.2">
      <c r="A2362" s="258"/>
      <c r="B2362" s="265"/>
      <c r="C2362" s="301"/>
      <c r="D2362" s="301"/>
      <c r="E2362" s="301"/>
      <c r="F2362" s="302"/>
      <c r="G2362" s="301"/>
      <c r="H2362" s="301"/>
      <c r="I2362" s="301"/>
      <c r="K2362" s="267"/>
      <c r="L2362" s="265"/>
      <c r="M2362" s="297"/>
      <c r="N2362" s="5"/>
      <c r="O2362" s="4"/>
    </row>
    <row r="2363" spans="1:15" x14ac:dyDescent="0.2">
      <c r="A2363" s="258"/>
      <c r="B2363" s="265"/>
      <c r="C2363" s="301"/>
      <c r="D2363" s="301"/>
      <c r="E2363" s="301"/>
      <c r="F2363" s="302"/>
      <c r="G2363" s="301"/>
      <c r="H2363" s="301"/>
      <c r="I2363" s="301"/>
      <c r="K2363" s="267"/>
      <c r="L2363" s="265"/>
      <c r="M2363" s="297"/>
      <c r="N2363" s="5"/>
      <c r="O2363" s="4"/>
    </row>
    <row r="2364" spans="1:15" x14ac:dyDescent="0.2">
      <c r="A2364" s="258"/>
      <c r="B2364" s="265"/>
      <c r="C2364" s="301"/>
      <c r="D2364" s="301"/>
      <c r="E2364" s="301"/>
      <c r="F2364" s="302"/>
      <c r="G2364" s="301"/>
      <c r="H2364" s="301"/>
      <c r="I2364" s="301"/>
      <c r="K2364" s="267"/>
      <c r="L2364" s="265"/>
      <c r="M2364" s="297"/>
      <c r="N2364" s="5"/>
      <c r="O2364" s="4"/>
    </row>
    <row r="2365" spans="1:15" x14ac:dyDescent="0.2">
      <c r="A2365" s="258"/>
      <c r="B2365" s="265"/>
      <c r="C2365" s="301"/>
      <c r="D2365" s="301"/>
      <c r="E2365" s="301"/>
      <c r="F2365" s="302"/>
      <c r="G2365" s="301"/>
      <c r="H2365" s="301"/>
      <c r="I2365" s="301"/>
      <c r="K2365" s="267"/>
      <c r="L2365" s="265"/>
      <c r="M2365" s="297"/>
      <c r="N2365" s="5"/>
      <c r="O2365" s="4"/>
    </row>
    <row r="2366" spans="1:15" x14ac:dyDescent="0.2">
      <c r="A2366" s="258"/>
      <c r="B2366" s="265"/>
      <c r="C2366" s="301"/>
      <c r="D2366" s="301"/>
      <c r="E2366" s="301"/>
      <c r="F2366" s="302"/>
      <c r="G2366" s="301"/>
      <c r="H2366" s="301"/>
      <c r="I2366" s="301"/>
      <c r="K2366" s="267"/>
      <c r="L2366" s="265"/>
      <c r="M2366" s="297"/>
      <c r="N2366" s="5"/>
      <c r="O2366" s="4"/>
    </row>
    <row r="2367" spans="1:15" x14ac:dyDescent="0.2">
      <c r="A2367" s="258"/>
      <c r="B2367" s="265"/>
      <c r="C2367" s="301"/>
      <c r="D2367" s="301"/>
      <c r="E2367" s="301"/>
      <c r="F2367" s="302"/>
      <c r="G2367" s="301"/>
      <c r="H2367" s="301"/>
      <c r="I2367" s="301"/>
      <c r="K2367" s="267"/>
      <c r="L2367" s="265"/>
      <c r="M2367" s="297"/>
      <c r="N2367" s="5"/>
      <c r="O2367" s="4"/>
    </row>
    <row r="2368" spans="1:15" x14ac:dyDescent="0.2">
      <c r="A2368" s="258"/>
      <c r="B2368" s="265"/>
      <c r="C2368" s="301"/>
      <c r="D2368" s="301"/>
      <c r="E2368" s="301"/>
      <c r="F2368" s="302"/>
      <c r="G2368" s="301"/>
      <c r="H2368" s="301"/>
      <c r="I2368" s="301"/>
      <c r="K2368" s="267"/>
      <c r="L2368" s="265"/>
      <c r="M2368" s="297"/>
      <c r="N2368" s="5"/>
      <c r="O2368" s="4"/>
    </row>
    <row r="2369" spans="1:15" x14ac:dyDescent="0.2">
      <c r="A2369" s="258"/>
      <c r="B2369" s="265"/>
      <c r="C2369" s="301"/>
      <c r="D2369" s="301"/>
      <c r="E2369" s="301"/>
      <c r="F2369" s="302"/>
      <c r="G2369" s="301"/>
      <c r="H2369" s="301"/>
      <c r="I2369" s="301"/>
      <c r="K2369" s="267"/>
      <c r="L2369" s="265"/>
      <c r="M2369" s="297"/>
      <c r="N2369" s="5"/>
      <c r="O2369" s="4"/>
    </row>
    <row r="2370" spans="1:15" x14ac:dyDescent="0.2">
      <c r="A2370" s="258"/>
      <c r="B2370" s="265"/>
      <c r="C2370" s="301"/>
      <c r="D2370" s="301"/>
      <c r="E2370" s="301"/>
      <c r="F2370" s="302"/>
      <c r="G2370" s="301"/>
      <c r="H2370" s="301"/>
      <c r="I2370" s="301"/>
      <c r="K2370" s="267"/>
      <c r="L2370" s="265"/>
      <c r="M2370" s="297"/>
      <c r="N2370" s="5"/>
      <c r="O2370" s="4"/>
    </row>
    <row r="2371" spans="1:15" x14ac:dyDescent="0.2">
      <c r="A2371" s="258"/>
      <c r="B2371" s="265"/>
      <c r="C2371" s="301"/>
      <c r="D2371" s="301"/>
      <c r="E2371" s="301"/>
      <c r="F2371" s="302"/>
      <c r="G2371" s="301"/>
      <c r="H2371" s="301"/>
      <c r="I2371" s="301"/>
      <c r="K2371" s="267"/>
      <c r="L2371" s="265"/>
      <c r="M2371" s="297"/>
      <c r="N2371" s="5"/>
      <c r="O2371" s="4"/>
    </row>
    <row r="2372" spans="1:15" x14ac:dyDescent="0.2">
      <c r="A2372" s="258"/>
      <c r="B2372" s="265"/>
      <c r="C2372" s="301"/>
      <c r="D2372" s="301"/>
      <c r="E2372" s="301"/>
      <c r="F2372" s="302"/>
      <c r="G2372" s="301"/>
      <c r="H2372" s="301"/>
      <c r="I2372" s="301"/>
      <c r="K2372" s="267"/>
      <c r="L2372" s="265"/>
      <c r="M2372" s="297"/>
      <c r="N2372" s="5"/>
      <c r="O2372" s="4"/>
    </row>
    <row r="2373" spans="1:15" x14ac:dyDescent="0.2">
      <c r="A2373" s="258"/>
      <c r="B2373" s="265"/>
      <c r="C2373" s="301"/>
      <c r="D2373" s="301"/>
      <c r="E2373" s="301"/>
      <c r="F2373" s="302"/>
      <c r="G2373" s="301"/>
      <c r="H2373" s="301"/>
      <c r="I2373" s="301"/>
      <c r="K2373" s="267"/>
      <c r="L2373" s="265"/>
      <c r="M2373" s="297"/>
      <c r="N2373" s="5"/>
      <c r="O2373" s="4"/>
    </row>
    <row r="2374" spans="1:15" x14ac:dyDescent="0.2">
      <c r="A2374" s="258"/>
      <c r="B2374" s="265"/>
      <c r="C2374" s="301"/>
      <c r="D2374" s="301"/>
      <c r="E2374" s="301"/>
      <c r="F2374" s="302"/>
      <c r="G2374" s="301"/>
      <c r="H2374" s="301"/>
      <c r="I2374" s="301"/>
      <c r="K2374" s="267"/>
      <c r="L2374" s="265"/>
      <c r="M2374" s="297"/>
      <c r="N2374" s="5"/>
      <c r="O2374" s="4"/>
    </row>
    <row r="2375" spans="1:15" x14ac:dyDescent="0.2">
      <c r="A2375" s="258"/>
      <c r="B2375" s="265"/>
      <c r="C2375" s="301"/>
      <c r="D2375" s="301"/>
      <c r="E2375" s="301"/>
      <c r="F2375" s="302"/>
      <c r="G2375" s="301"/>
      <c r="H2375" s="301"/>
      <c r="I2375" s="301"/>
      <c r="K2375" s="267"/>
      <c r="L2375" s="265"/>
      <c r="M2375" s="297"/>
      <c r="N2375" s="5"/>
      <c r="O2375" s="4"/>
    </row>
    <row r="2376" spans="1:15" x14ac:dyDescent="0.2">
      <c r="A2376" s="258"/>
      <c r="B2376" s="265"/>
      <c r="C2376" s="301"/>
      <c r="D2376" s="301"/>
      <c r="E2376" s="301"/>
      <c r="F2376" s="302"/>
      <c r="G2376" s="301"/>
      <c r="H2376" s="301"/>
      <c r="I2376" s="301"/>
      <c r="K2376" s="267"/>
      <c r="L2376" s="265"/>
      <c r="M2376" s="297"/>
      <c r="N2376" s="5"/>
      <c r="O2376" s="4"/>
    </row>
    <row r="2377" spans="1:15" x14ac:dyDescent="0.2">
      <c r="A2377" s="258"/>
      <c r="B2377" s="265"/>
      <c r="C2377" s="301"/>
      <c r="D2377" s="301"/>
      <c r="E2377" s="301"/>
      <c r="F2377" s="302"/>
      <c r="G2377" s="301"/>
      <c r="H2377" s="301"/>
      <c r="I2377" s="301"/>
      <c r="K2377" s="267"/>
      <c r="L2377" s="265"/>
      <c r="M2377" s="297"/>
      <c r="N2377" s="5"/>
      <c r="O2377" s="4"/>
    </row>
    <row r="2378" spans="1:15" x14ac:dyDescent="0.2">
      <c r="A2378" s="258"/>
      <c r="B2378" s="265"/>
      <c r="C2378" s="301"/>
      <c r="D2378" s="301"/>
      <c r="E2378" s="301"/>
      <c r="F2378" s="302"/>
      <c r="G2378" s="301"/>
      <c r="H2378" s="301"/>
      <c r="I2378" s="301"/>
      <c r="K2378" s="267"/>
      <c r="L2378" s="265"/>
      <c r="M2378" s="297"/>
      <c r="N2378" s="5"/>
      <c r="O2378" s="4"/>
    </row>
    <row r="2379" spans="1:15" x14ac:dyDescent="0.2">
      <c r="A2379" s="258"/>
      <c r="B2379" s="265"/>
      <c r="C2379" s="301"/>
      <c r="D2379" s="301"/>
      <c r="E2379" s="301"/>
      <c r="F2379" s="302"/>
      <c r="G2379" s="301"/>
      <c r="H2379" s="301"/>
      <c r="I2379" s="301"/>
      <c r="K2379" s="267"/>
      <c r="L2379" s="265"/>
      <c r="M2379" s="297"/>
      <c r="N2379" s="5"/>
      <c r="O2379" s="4"/>
    </row>
    <row r="2380" spans="1:15" x14ac:dyDescent="0.2">
      <c r="A2380" s="258"/>
      <c r="B2380" s="265"/>
      <c r="C2380" s="301"/>
      <c r="D2380" s="301"/>
      <c r="E2380" s="301"/>
      <c r="F2380" s="302"/>
      <c r="G2380" s="301"/>
      <c r="H2380" s="301"/>
      <c r="I2380" s="301"/>
      <c r="K2380" s="267"/>
      <c r="L2380" s="265"/>
      <c r="M2380" s="297"/>
      <c r="N2380" s="5"/>
      <c r="O2380" s="4"/>
    </row>
    <row r="2381" spans="1:15" x14ac:dyDescent="0.2">
      <c r="A2381" s="258"/>
      <c r="B2381" s="265"/>
      <c r="C2381" s="301"/>
      <c r="D2381" s="301"/>
      <c r="E2381" s="301"/>
      <c r="F2381" s="302"/>
      <c r="G2381" s="301"/>
      <c r="H2381" s="301"/>
      <c r="I2381" s="301"/>
      <c r="K2381" s="267"/>
      <c r="L2381" s="265"/>
      <c r="M2381" s="297"/>
      <c r="N2381" s="5"/>
      <c r="O2381" s="4"/>
    </row>
    <row r="2382" spans="1:15" x14ac:dyDescent="0.2">
      <c r="A2382" s="258"/>
      <c r="B2382" s="265"/>
      <c r="C2382" s="301"/>
      <c r="D2382" s="301"/>
      <c r="E2382" s="301"/>
      <c r="F2382" s="302"/>
      <c r="G2382" s="301"/>
      <c r="H2382" s="301"/>
      <c r="I2382" s="301"/>
      <c r="K2382" s="267"/>
      <c r="L2382" s="265"/>
      <c r="M2382" s="297"/>
      <c r="N2382" s="5"/>
      <c r="O2382" s="4"/>
    </row>
    <row r="2383" spans="1:15" x14ac:dyDescent="0.2">
      <c r="A2383" s="258"/>
      <c r="B2383" s="265"/>
      <c r="C2383" s="301"/>
      <c r="D2383" s="301"/>
      <c r="E2383" s="301"/>
      <c r="F2383" s="302"/>
      <c r="G2383" s="301"/>
      <c r="H2383" s="301"/>
      <c r="I2383" s="301"/>
      <c r="K2383" s="267"/>
      <c r="L2383" s="265"/>
      <c r="M2383" s="297"/>
      <c r="N2383" s="5"/>
      <c r="O2383" s="4"/>
    </row>
    <row r="2384" spans="1:15" x14ac:dyDescent="0.2">
      <c r="A2384" s="258"/>
      <c r="B2384" s="265"/>
      <c r="C2384" s="301"/>
      <c r="D2384" s="301"/>
      <c r="E2384" s="301"/>
      <c r="F2384" s="302"/>
      <c r="G2384" s="301"/>
      <c r="H2384" s="301"/>
      <c r="I2384" s="301"/>
      <c r="K2384" s="267"/>
      <c r="L2384" s="265"/>
      <c r="M2384" s="297"/>
      <c r="N2384" s="5"/>
      <c r="O2384" s="4"/>
    </row>
    <row r="2385" spans="1:15" x14ac:dyDescent="0.2">
      <c r="A2385" s="258"/>
      <c r="B2385" s="265"/>
      <c r="C2385" s="301"/>
      <c r="D2385" s="301"/>
      <c r="E2385" s="301"/>
      <c r="F2385" s="302"/>
      <c r="G2385" s="301"/>
      <c r="H2385" s="301"/>
      <c r="I2385" s="301"/>
      <c r="K2385" s="267"/>
      <c r="L2385" s="265"/>
      <c r="M2385" s="297"/>
      <c r="N2385" s="5"/>
      <c r="O2385" s="4"/>
    </row>
    <row r="2386" spans="1:15" x14ac:dyDescent="0.2">
      <c r="A2386" s="258"/>
      <c r="B2386" s="265"/>
      <c r="C2386" s="301"/>
      <c r="D2386" s="301"/>
      <c r="E2386" s="301"/>
      <c r="F2386" s="302"/>
      <c r="G2386" s="301"/>
      <c r="H2386" s="301"/>
      <c r="I2386" s="301"/>
      <c r="K2386" s="267"/>
      <c r="L2386" s="265"/>
      <c r="M2386" s="297"/>
      <c r="N2386" s="5"/>
      <c r="O2386" s="4"/>
    </row>
    <row r="2387" spans="1:15" x14ac:dyDescent="0.2">
      <c r="A2387" s="258"/>
      <c r="B2387" s="265"/>
      <c r="C2387" s="301"/>
      <c r="D2387" s="301"/>
      <c r="E2387" s="301"/>
      <c r="F2387" s="302"/>
      <c r="G2387" s="301"/>
      <c r="H2387" s="301"/>
      <c r="I2387" s="301"/>
      <c r="K2387" s="267"/>
      <c r="L2387" s="265"/>
      <c r="M2387" s="297"/>
      <c r="N2387" s="5"/>
      <c r="O2387" s="4"/>
    </row>
    <row r="2388" spans="1:15" x14ac:dyDescent="0.2">
      <c r="A2388" s="258"/>
      <c r="B2388" s="265"/>
      <c r="C2388" s="301"/>
      <c r="D2388" s="301"/>
      <c r="E2388" s="301"/>
      <c r="F2388" s="302"/>
      <c r="G2388" s="301"/>
      <c r="H2388" s="301"/>
      <c r="I2388" s="301"/>
      <c r="K2388" s="267"/>
      <c r="L2388" s="265"/>
      <c r="M2388" s="297"/>
      <c r="N2388" s="5"/>
      <c r="O2388" s="4"/>
    </row>
    <row r="2389" spans="1:15" x14ac:dyDescent="0.2">
      <c r="A2389" s="258"/>
      <c r="B2389" s="265"/>
      <c r="C2389" s="301"/>
      <c r="D2389" s="301"/>
      <c r="E2389" s="301"/>
      <c r="F2389" s="302"/>
      <c r="G2389" s="301"/>
      <c r="H2389" s="301"/>
      <c r="I2389" s="301"/>
      <c r="K2389" s="267"/>
      <c r="L2389" s="265"/>
      <c r="M2389" s="297"/>
      <c r="N2389" s="5"/>
      <c r="O2389" s="4"/>
    </row>
    <row r="2390" spans="1:15" x14ac:dyDescent="0.2">
      <c r="A2390" s="258"/>
      <c r="B2390" s="265"/>
      <c r="C2390" s="301"/>
      <c r="D2390" s="301"/>
      <c r="E2390" s="301"/>
      <c r="F2390" s="302"/>
      <c r="G2390" s="301"/>
      <c r="H2390" s="301"/>
      <c r="I2390" s="301"/>
      <c r="K2390" s="267"/>
      <c r="L2390" s="265"/>
      <c r="M2390" s="297"/>
      <c r="N2390" s="5"/>
      <c r="O2390" s="4"/>
    </row>
    <row r="2391" spans="1:15" x14ac:dyDescent="0.2">
      <c r="A2391" s="258"/>
      <c r="B2391" s="265"/>
      <c r="C2391" s="301"/>
      <c r="D2391" s="301"/>
      <c r="E2391" s="301"/>
      <c r="F2391" s="302"/>
      <c r="G2391" s="301"/>
      <c r="H2391" s="301"/>
      <c r="I2391" s="301"/>
      <c r="K2391" s="267"/>
      <c r="L2391" s="265"/>
      <c r="M2391" s="297"/>
      <c r="N2391" s="5"/>
      <c r="O2391" s="4"/>
    </row>
    <row r="2392" spans="1:15" x14ac:dyDescent="0.2">
      <c r="A2392" s="258"/>
      <c r="B2392" s="265"/>
      <c r="C2392" s="301"/>
      <c r="D2392" s="301"/>
      <c r="E2392" s="301"/>
      <c r="F2392" s="302"/>
      <c r="G2392" s="301"/>
      <c r="H2392" s="301"/>
      <c r="I2392" s="301"/>
      <c r="K2392" s="267"/>
      <c r="L2392" s="265"/>
      <c r="M2392" s="297"/>
      <c r="N2392" s="5"/>
      <c r="O2392" s="4"/>
    </row>
    <row r="2393" spans="1:15" x14ac:dyDescent="0.2">
      <c r="A2393" s="258"/>
      <c r="B2393" s="265"/>
      <c r="C2393" s="301"/>
      <c r="D2393" s="301"/>
      <c r="E2393" s="301"/>
      <c r="F2393" s="302"/>
      <c r="G2393" s="301"/>
      <c r="H2393" s="301"/>
      <c r="I2393" s="301"/>
      <c r="K2393" s="267"/>
      <c r="L2393" s="265"/>
      <c r="M2393" s="297"/>
      <c r="N2393" s="5"/>
      <c r="O2393" s="4"/>
    </row>
    <row r="2394" spans="1:15" x14ac:dyDescent="0.2">
      <c r="A2394" s="258"/>
      <c r="B2394" s="265"/>
      <c r="C2394" s="301"/>
      <c r="D2394" s="301"/>
      <c r="E2394" s="301"/>
      <c r="F2394" s="302"/>
      <c r="G2394" s="301"/>
      <c r="H2394" s="301"/>
      <c r="I2394" s="301"/>
      <c r="K2394" s="267"/>
      <c r="L2394" s="265"/>
      <c r="M2394" s="297"/>
      <c r="N2394" s="5"/>
      <c r="O2394" s="4"/>
    </row>
    <row r="2395" spans="1:15" x14ac:dyDescent="0.2">
      <c r="A2395" s="258"/>
      <c r="B2395" s="265"/>
      <c r="C2395" s="301"/>
      <c r="D2395" s="301"/>
      <c r="E2395" s="301"/>
      <c r="F2395" s="302"/>
      <c r="G2395" s="301"/>
      <c r="H2395" s="301"/>
      <c r="I2395" s="301"/>
      <c r="K2395" s="267"/>
      <c r="L2395" s="265"/>
      <c r="M2395" s="297"/>
      <c r="N2395" s="5"/>
      <c r="O2395" s="4"/>
    </row>
    <row r="2396" spans="1:15" x14ac:dyDescent="0.2">
      <c r="A2396" s="258"/>
      <c r="B2396" s="265"/>
      <c r="C2396" s="301"/>
      <c r="D2396" s="301"/>
      <c r="E2396" s="301"/>
      <c r="F2396" s="302"/>
      <c r="G2396" s="301"/>
      <c r="H2396" s="301"/>
      <c r="I2396" s="301"/>
      <c r="K2396" s="267"/>
      <c r="L2396" s="265"/>
      <c r="M2396" s="297"/>
      <c r="N2396" s="5"/>
      <c r="O2396" s="4"/>
    </row>
    <row r="2397" spans="1:15" x14ac:dyDescent="0.2">
      <c r="A2397" s="258"/>
      <c r="B2397" s="265"/>
      <c r="C2397" s="301"/>
      <c r="D2397" s="301"/>
      <c r="E2397" s="301"/>
      <c r="F2397" s="302"/>
      <c r="G2397" s="301"/>
      <c r="H2397" s="301"/>
      <c r="I2397" s="301"/>
      <c r="K2397" s="267"/>
      <c r="L2397" s="265"/>
      <c r="M2397" s="297"/>
      <c r="N2397" s="5"/>
      <c r="O2397" s="4"/>
    </row>
    <row r="2398" spans="1:15" x14ac:dyDescent="0.2">
      <c r="A2398" s="258"/>
      <c r="B2398" s="265"/>
      <c r="C2398" s="301"/>
      <c r="D2398" s="301"/>
      <c r="E2398" s="301"/>
      <c r="F2398" s="302"/>
      <c r="G2398" s="301"/>
      <c r="H2398" s="301"/>
      <c r="I2398" s="301"/>
      <c r="K2398" s="267"/>
      <c r="L2398" s="265"/>
      <c r="M2398" s="297"/>
      <c r="N2398" s="5"/>
      <c r="O2398" s="4"/>
    </row>
    <row r="2399" spans="1:15" x14ac:dyDescent="0.2">
      <c r="A2399" s="258"/>
      <c r="B2399" s="265"/>
      <c r="C2399" s="301"/>
      <c r="D2399" s="301"/>
      <c r="E2399" s="301"/>
      <c r="F2399" s="302"/>
      <c r="G2399" s="301"/>
      <c r="H2399" s="301"/>
      <c r="I2399" s="301"/>
      <c r="K2399" s="267"/>
      <c r="L2399" s="265"/>
      <c r="M2399" s="297"/>
      <c r="N2399" s="5"/>
      <c r="O2399" s="4"/>
    </row>
    <row r="2400" spans="1:15" x14ac:dyDescent="0.2">
      <c r="A2400" s="258"/>
      <c r="B2400" s="265"/>
      <c r="C2400" s="301"/>
      <c r="D2400" s="301"/>
      <c r="E2400" s="301"/>
      <c r="F2400" s="302"/>
      <c r="G2400" s="301"/>
      <c r="H2400" s="301"/>
      <c r="I2400" s="301"/>
      <c r="K2400" s="267"/>
      <c r="L2400" s="265"/>
      <c r="M2400" s="297"/>
      <c r="N2400" s="5"/>
      <c r="O2400" s="4"/>
    </row>
    <row r="2401" spans="1:15" x14ac:dyDescent="0.2">
      <c r="A2401" s="258"/>
      <c r="B2401" s="265"/>
      <c r="C2401" s="301"/>
      <c r="D2401" s="301"/>
      <c r="E2401" s="301"/>
      <c r="F2401" s="302"/>
      <c r="G2401" s="301"/>
      <c r="H2401" s="301"/>
      <c r="I2401" s="301"/>
      <c r="K2401" s="267"/>
      <c r="L2401" s="265"/>
      <c r="M2401" s="297"/>
      <c r="N2401" s="5"/>
      <c r="O2401" s="4"/>
    </row>
    <row r="2402" spans="1:15" x14ac:dyDescent="0.2">
      <c r="A2402" s="258"/>
      <c r="B2402" s="265"/>
      <c r="C2402" s="301"/>
      <c r="D2402" s="301"/>
      <c r="E2402" s="301"/>
      <c r="F2402" s="302"/>
      <c r="G2402" s="301"/>
      <c r="H2402" s="301"/>
      <c r="I2402" s="301"/>
      <c r="K2402" s="267"/>
      <c r="L2402" s="265"/>
      <c r="M2402" s="297"/>
      <c r="N2402" s="5"/>
      <c r="O2402" s="4"/>
    </row>
    <row r="2403" spans="1:15" x14ac:dyDescent="0.2">
      <c r="A2403" s="258"/>
      <c r="B2403" s="265"/>
      <c r="C2403" s="301"/>
      <c r="D2403" s="301"/>
      <c r="E2403" s="301"/>
      <c r="F2403" s="302"/>
      <c r="G2403" s="301"/>
      <c r="H2403" s="301"/>
      <c r="I2403" s="301"/>
      <c r="K2403" s="267"/>
      <c r="L2403" s="265"/>
      <c r="M2403" s="297"/>
      <c r="N2403" s="5"/>
      <c r="O2403" s="4"/>
    </row>
    <row r="2404" spans="1:15" x14ac:dyDescent="0.2">
      <c r="A2404" s="258"/>
      <c r="B2404" s="265"/>
      <c r="C2404" s="301"/>
      <c r="D2404" s="301"/>
      <c r="E2404" s="301"/>
      <c r="F2404" s="302"/>
      <c r="G2404" s="301"/>
      <c r="H2404" s="301"/>
      <c r="I2404" s="301"/>
      <c r="K2404" s="267"/>
      <c r="L2404" s="265"/>
      <c r="M2404" s="297"/>
      <c r="N2404" s="5"/>
      <c r="O2404" s="4"/>
    </row>
    <row r="2405" spans="1:15" x14ac:dyDescent="0.2">
      <c r="A2405" s="258"/>
      <c r="B2405" s="265"/>
      <c r="C2405" s="301"/>
      <c r="D2405" s="301"/>
      <c r="E2405" s="301"/>
      <c r="F2405" s="302"/>
      <c r="G2405" s="301"/>
      <c r="H2405" s="301"/>
      <c r="I2405" s="301"/>
      <c r="K2405" s="267"/>
      <c r="L2405" s="265"/>
      <c r="M2405" s="297"/>
      <c r="N2405" s="5"/>
      <c r="O2405" s="4"/>
    </row>
    <row r="2406" spans="1:15" x14ac:dyDescent="0.2">
      <c r="A2406" s="258"/>
      <c r="B2406" s="265"/>
      <c r="C2406" s="301"/>
      <c r="D2406" s="301"/>
      <c r="E2406" s="301"/>
      <c r="F2406" s="302"/>
      <c r="G2406" s="301"/>
      <c r="H2406" s="301"/>
      <c r="I2406" s="301"/>
      <c r="K2406" s="267"/>
      <c r="L2406" s="265"/>
      <c r="M2406" s="297"/>
      <c r="N2406" s="5"/>
      <c r="O2406" s="4"/>
    </row>
    <row r="2407" spans="1:15" x14ac:dyDescent="0.2">
      <c r="A2407" s="258"/>
      <c r="B2407" s="265"/>
      <c r="C2407" s="301"/>
      <c r="D2407" s="301"/>
      <c r="E2407" s="301"/>
      <c r="F2407" s="302"/>
      <c r="G2407" s="301"/>
      <c r="H2407" s="301"/>
      <c r="I2407" s="301"/>
      <c r="K2407" s="267"/>
      <c r="L2407" s="265"/>
      <c r="M2407" s="297"/>
      <c r="N2407" s="5"/>
      <c r="O2407" s="4"/>
    </row>
    <row r="2408" spans="1:15" x14ac:dyDescent="0.2">
      <c r="A2408" s="258"/>
      <c r="B2408" s="265"/>
      <c r="C2408" s="301"/>
      <c r="D2408" s="301"/>
      <c r="E2408" s="301"/>
      <c r="F2408" s="302"/>
      <c r="G2408" s="301"/>
      <c r="H2408" s="301"/>
      <c r="I2408" s="301"/>
      <c r="K2408" s="267"/>
      <c r="L2408" s="265"/>
      <c r="M2408" s="297"/>
      <c r="N2408" s="5"/>
      <c r="O2408" s="4"/>
    </row>
    <row r="2409" spans="1:15" x14ac:dyDescent="0.2">
      <c r="A2409" s="258"/>
      <c r="B2409" s="265"/>
      <c r="C2409" s="301"/>
      <c r="D2409" s="301"/>
      <c r="E2409" s="301"/>
      <c r="F2409" s="302"/>
      <c r="G2409" s="301"/>
      <c r="H2409" s="301"/>
      <c r="I2409" s="301"/>
      <c r="K2409" s="267"/>
      <c r="L2409" s="265"/>
      <c r="M2409" s="297"/>
      <c r="N2409" s="5"/>
      <c r="O2409" s="4"/>
    </row>
    <row r="2410" spans="1:15" x14ac:dyDescent="0.2">
      <c r="A2410" s="258"/>
      <c r="B2410" s="265"/>
      <c r="C2410" s="301"/>
      <c r="D2410" s="301"/>
      <c r="E2410" s="301"/>
      <c r="F2410" s="302"/>
      <c r="G2410" s="301"/>
      <c r="H2410" s="301"/>
      <c r="I2410" s="301"/>
      <c r="K2410" s="267"/>
      <c r="L2410" s="265"/>
      <c r="M2410" s="297"/>
      <c r="N2410" s="5"/>
      <c r="O2410" s="4"/>
    </row>
    <row r="2411" spans="1:15" x14ac:dyDescent="0.2">
      <c r="A2411" s="258"/>
      <c r="B2411" s="265"/>
      <c r="C2411" s="301"/>
      <c r="D2411" s="301"/>
      <c r="E2411" s="301"/>
      <c r="F2411" s="302"/>
      <c r="G2411" s="301"/>
      <c r="H2411" s="301"/>
      <c r="I2411" s="301"/>
      <c r="K2411" s="267"/>
      <c r="L2411" s="265"/>
      <c r="M2411" s="297"/>
      <c r="N2411" s="5"/>
      <c r="O2411" s="4"/>
    </row>
    <row r="2412" spans="1:15" x14ac:dyDescent="0.2">
      <c r="A2412" s="258"/>
      <c r="B2412" s="265"/>
      <c r="C2412" s="301"/>
      <c r="D2412" s="301"/>
      <c r="E2412" s="301"/>
      <c r="F2412" s="302"/>
      <c r="G2412" s="301"/>
      <c r="H2412" s="301"/>
      <c r="I2412" s="301"/>
      <c r="K2412" s="267"/>
      <c r="L2412" s="265"/>
      <c r="M2412" s="297"/>
      <c r="N2412" s="5"/>
      <c r="O2412" s="4"/>
    </row>
    <row r="2413" spans="1:15" x14ac:dyDescent="0.2">
      <c r="A2413" s="258"/>
      <c r="B2413" s="265"/>
      <c r="C2413" s="301"/>
      <c r="D2413" s="301"/>
      <c r="E2413" s="301"/>
      <c r="F2413" s="302"/>
      <c r="G2413" s="301"/>
      <c r="H2413" s="301"/>
      <c r="I2413" s="301"/>
      <c r="K2413" s="267"/>
      <c r="L2413" s="265"/>
      <c r="M2413" s="297"/>
      <c r="N2413" s="5"/>
      <c r="O2413" s="4"/>
    </row>
    <row r="2414" spans="1:15" x14ac:dyDescent="0.2">
      <c r="A2414" s="258"/>
      <c r="B2414" s="265"/>
      <c r="C2414" s="301"/>
      <c r="D2414" s="301"/>
      <c r="E2414" s="301"/>
      <c r="F2414" s="302"/>
      <c r="G2414" s="301"/>
      <c r="H2414" s="301"/>
      <c r="I2414" s="301"/>
      <c r="K2414" s="267"/>
      <c r="L2414" s="265"/>
      <c r="M2414" s="297"/>
      <c r="N2414" s="5"/>
      <c r="O2414" s="4"/>
    </row>
    <row r="2415" spans="1:15" x14ac:dyDescent="0.2">
      <c r="A2415" s="258"/>
      <c r="B2415" s="265"/>
      <c r="C2415" s="301"/>
      <c r="D2415" s="301"/>
      <c r="E2415" s="301"/>
      <c r="F2415" s="302"/>
      <c r="G2415" s="301"/>
      <c r="H2415" s="301"/>
      <c r="I2415" s="301"/>
      <c r="K2415" s="267"/>
      <c r="L2415" s="265"/>
      <c r="M2415" s="297"/>
      <c r="N2415" s="5"/>
      <c r="O2415" s="4"/>
    </row>
    <row r="2416" spans="1:15" x14ac:dyDescent="0.2">
      <c r="A2416" s="258"/>
      <c r="B2416" s="265"/>
      <c r="C2416" s="301"/>
      <c r="D2416" s="301"/>
      <c r="E2416" s="301"/>
      <c r="F2416" s="302"/>
      <c r="G2416" s="301"/>
      <c r="H2416" s="301"/>
      <c r="I2416" s="301"/>
      <c r="K2416" s="267"/>
      <c r="L2416" s="265"/>
      <c r="M2416" s="297"/>
      <c r="N2416" s="5"/>
      <c r="O2416" s="4"/>
    </row>
    <row r="2417" spans="1:15" x14ac:dyDescent="0.2">
      <c r="A2417" s="258"/>
      <c r="B2417" s="265"/>
      <c r="C2417" s="301"/>
      <c r="D2417" s="301"/>
      <c r="E2417" s="301"/>
      <c r="F2417" s="302"/>
      <c r="G2417" s="301"/>
      <c r="H2417" s="301"/>
      <c r="I2417" s="301"/>
      <c r="K2417" s="267"/>
      <c r="L2417" s="265"/>
      <c r="M2417" s="297"/>
      <c r="N2417" s="5"/>
      <c r="O2417" s="4"/>
    </row>
    <row r="2418" spans="1:15" x14ac:dyDescent="0.2">
      <c r="A2418" s="258"/>
      <c r="B2418" s="265"/>
      <c r="C2418" s="301"/>
      <c r="D2418" s="301"/>
      <c r="E2418" s="301"/>
      <c r="F2418" s="302"/>
      <c r="G2418" s="301"/>
      <c r="H2418" s="301"/>
      <c r="I2418" s="301"/>
      <c r="K2418" s="267"/>
      <c r="L2418" s="265"/>
      <c r="M2418" s="297"/>
      <c r="N2418" s="5"/>
      <c r="O2418" s="4"/>
    </row>
    <row r="2419" spans="1:15" x14ac:dyDescent="0.2">
      <c r="A2419" s="258"/>
      <c r="B2419" s="265"/>
      <c r="C2419" s="301"/>
      <c r="D2419" s="301"/>
      <c r="E2419" s="301"/>
      <c r="F2419" s="302"/>
      <c r="G2419" s="301"/>
      <c r="H2419" s="301"/>
      <c r="I2419" s="301"/>
      <c r="K2419" s="267"/>
      <c r="L2419" s="265"/>
      <c r="M2419" s="297"/>
      <c r="N2419" s="5"/>
      <c r="O2419" s="4"/>
    </row>
    <row r="2420" spans="1:15" x14ac:dyDescent="0.2">
      <c r="A2420" s="258"/>
      <c r="B2420" s="265"/>
      <c r="C2420" s="301"/>
      <c r="D2420" s="301"/>
      <c r="E2420" s="301"/>
      <c r="F2420" s="302"/>
      <c r="G2420" s="301"/>
      <c r="H2420" s="301"/>
      <c r="I2420" s="301"/>
      <c r="K2420" s="267"/>
      <c r="L2420" s="265"/>
      <c r="M2420" s="297"/>
      <c r="N2420" s="5"/>
      <c r="O2420" s="4"/>
    </row>
    <row r="2421" spans="1:15" x14ac:dyDescent="0.2">
      <c r="A2421" s="258"/>
      <c r="B2421" s="265"/>
      <c r="C2421" s="301"/>
      <c r="D2421" s="301"/>
      <c r="E2421" s="301"/>
      <c r="F2421" s="302"/>
      <c r="G2421" s="301"/>
      <c r="H2421" s="301"/>
      <c r="I2421" s="301"/>
      <c r="K2421" s="267"/>
      <c r="L2421" s="265"/>
      <c r="M2421" s="297"/>
      <c r="N2421" s="5"/>
      <c r="O2421" s="4"/>
    </row>
    <row r="2422" spans="1:15" x14ac:dyDescent="0.2">
      <c r="A2422" s="258"/>
      <c r="B2422" s="265"/>
      <c r="C2422" s="301"/>
      <c r="D2422" s="301"/>
      <c r="E2422" s="301"/>
      <c r="F2422" s="302"/>
      <c r="G2422" s="301"/>
      <c r="H2422" s="301"/>
      <c r="I2422" s="301"/>
      <c r="K2422" s="267"/>
      <c r="L2422" s="265"/>
      <c r="M2422" s="297"/>
      <c r="N2422" s="5"/>
      <c r="O2422" s="4"/>
    </row>
    <row r="2423" spans="1:15" x14ac:dyDescent="0.2">
      <c r="A2423" s="258"/>
      <c r="B2423" s="265"/>
      <c r="C2423" s="301"/>
      <c r="D2423" s="301"/>
      <c r="E2423" s="301"/>
      <c r="F2423" s="302"/>
      <c r="G2423" s="301"/>
      <c r="H2423" s="301"/>
      <c r="I2423" s="301"/>
      <c r="K2423" s="267"/>
      <c r="L2423" s="265"/>
      <c r="M2423" s="297"/>
      <c r="N2423" s="5"/>
      <c r="O2423" s="4"/>
    </row>
    <row r="2424" spans="1:15" x14ac:dyDescent="0.2">
      <c r="A2424" s="258"/>
      <c r="B2424" s="265"/>
      <c r="C2424" s="301"/>
      <c r="D2424" s="301"/>
      <c r="E2424" s="301"/>
      <c r="F2424" s="302"/>
      <c r="G2424" s="301"/>
      <c r="H2424" s="301"/>
      <c r="I2424" s="301"/>
      <c r="K2424" s="267"/>
      <c r="L2424" s="265"/>
      <c r="M2424" s="297"/>
      <c r="N2424" s="5"/>
      <c r="O2424" s="4"/>
    </row>
    <row r="2425" spans="1:15" x14ac:dyDescent="0.2">
      <c r="A2425" s="258"/>
      <c r="B2425" s="265"/>
      <c r="C2425" s="301"/>
      <c r="D2425" s="301"/>
      <c r="E2425" s="301"/>
      <c r="F2425" s="302"/>
      <c r="G2425" s="301"/>
      <c r="H2425" s="301"/>
      <c r="I2425" s="301"/>
      <c r="K2425" s="267"/>
      <c r="L2425" s="265"/>
      <c r="M2425" s="297"/>
      <c r="N2425" s="5"/>
      <c r="O2425" s="4"/>
    </row>
    <row r="2426" spans="1:15" x14ac:dyDescent="0.2">
      <c r="A2426" s="258"/>
      <c r="B2426" s="265"/>
      <c r="C2426" s="301"/>
      <c r="D2426" s="301"/>
      <c r="E2426" s="301"/>
      <c r="F2426" s="302"/>
      <c r="G2426" s="301"/>
      <c r="H2426" s="301"/>
      <c r="I2426" s="301"/>
      <c r="K2426" s="267"/>
      <c r="L2426" s="265"/>
      <c r="M2426" s="297"/>
      <c r="N2426" s="5"/>
      <c r="O2426" s="4"/>
    </row>
    <row r="2427" spans="1:15" x14ac:dyDescent="0.2">
      <c r="A2427" s="258"/>
      <c r="B2427" s="265"/>
      <c r="C2427" s="301"/>
      <c r="D2427" s="301"/>
      <c r="E2427" s="301"/>
      <c r="F2427" s="302"/>
      <c r="G2427" s="301"/>
      <c r="H2427" s="301"/>
      <c r="I2427" s="301"/>
      <c r="K2427" s="267"/>
      <c r="L2427" s="265"/>
      <c r="M2427" s="297"/>
      <c r="N2427" s="5"/>
      <c r="O2427" s="4"/>
    </row>
    <row r="2428" spans="1:15" x14ac:dyDescent="0.2">
      <c r="A2428" s="258"/>
      <c r="B2428" s="265"/>
      <c r="C2428" s="301"/>
      <c r="D2428" s="301"/>
      <c r="E2428" s="301"/>
      <c r="F2428" s="302"/>
      <c r="G2428" s="301"/>
      <c r="H2428" s="301"/>
      <c r="I2428" s="301"/>
      <c r="K2428" s="267"/>
      <c r="L2428" s="265"/>
      <c r="M2428" s="297"/>
      <c r="N2428" s="5"/>
      <c r="O2428" s="4"/>
    </row>
    <row r="2429" spans="1:15" x14ac:dyDescent="0.2">
      <c r="A2429" s="258"/>
      <c r="B2429" s="265"/>
      <c r="C2429" s="301"/>
      <c r="D2429" s="301"/>
      <c r="E2429" s="301"/>
      <c r="F2429" s="302"/>
      <c r="G2429" s="301"/>
      <c r="H2429" s="301"/>
      <c r="I2429" s="301"/>
      <c r="K2429" s="267"/>
      <c r="L2429" s="265"/>
      <c r="M2429" s="297"/>
      <c r="N2429" s="5"/>
      <c r="O2429" s="4"/>
    </row>
    <row r="2430" spans="1:15" x14ac:dyDescent="0.2">
      <c r="A2430" s="258"/>
      <c r="B2430" s="265"/>
      <c r="C2430" s="301"/>
      <c r="D2430" s="301"/>
      <c r="E2430" s="301"/>
      <c r="F2430" s="302"/>
      <c r="G2430" s="301"/>
      <c r="H2430" s="301"/>
      <c r="I2430" s="301"/>
      <c r="K2430" s="267"/>
      <c r="L2430" s="265"/>
      <c r="M2430" s="297"/>
      <c r="N2430" s="5"/>
      <c r="O2430" s="4"/>
    </row>
    <row r="2431" spans="1:15" x14ac:dyDescent="0.2">
      <c r="A2431" s="258"/>
      <c r="B2431" s="265"/>
      <c r="C2431" s="301"/>
      <c r="D2431" s="301"/>
      <c r="E2431" s="301"/>
      <c r="F2431" s="302"/>
      <c r="G2431" s="301"/>
      <c r="H2431" s="301"/>
      <c r="I2431" s="301"/>
      <c r="K2431" s="267"/>
      <c r="L2431" s="265"/>
      <c r="M2431" s="297"/>
      <c r="N2431" s="5"/>
      <c r="O2431" s="4"/>
    </row>
    <row r="2432" spans="1:15" x14ac:dyDescent="0.2">
      <c r="A2432" s="258"/>
      <c r="B2432" s="265"/>
      <c r="C2432" s="301"/>
      <c r="D2432" s="301"/>
      <c r="E2432" s="301"/>
      <c r="F2432" s="302"/>
      <c r="G2432" s="301"/>
      <c r="H2432" s="301"/>
      <c r="I2432" s="301"/>
      <c r="K2432" s="267"/>
      <c r="L2432" s="265"/>
      <c r="M2432" s="297"/>
      <c r="N2432" s="5"/>
      <c r="O2432" s="4"/>
    </row>
    <row r="2433" spans="1:15" x14ac:dyDescent="0.2">
      <c r="A2433" s="258"/>
      <c r="B2433" s="265"/>
      <c r="C2433" s="301"/>
      <c r="D2433" s="301"/>
      <c r="E2433" s="301"/>
      <c r="F2433" s="302"/>
      <c r="G2433" s="301"/>
      <c r="H2433" s="301"/>
      <c r="I2433" s="301"/>
      <c r="K2433" s="267"/>
      <c r="L2433" s="265"/>
      <c r="M2433" s="297"/>
      <c r="N2433" s="5"/>
      <c r="O2433" s="4"/>
    </row>
    <row r="2434" spans="1:15" x14ac:dyDescent="0.2">
      <c r="A2434" s="258"/>
      <c r="B2434" s="265"/>
      <c r="C2434" s="301"/>
      <c r="D2434" s="301"/>
      <c r="E2434" s="301"/>
      <c r="F2434" s="302"/>
      <c r="G2434" s="301"/>
      <c r="H2434" s="301"/>
      <c r="I2434" s="301"/>
      <c r="K2434" s="267"/>
      <c r="L2434" s="265"/>
      <c r="M2434" s="297"/>
      <c r="N2434" s="5"/>
      <c r="O2434" s="4"/>
    </row>
    <row r="2435" spans="1:15" x14ac:dyDescent="0.2">
      <c r="A2435" s="258"/>
      <c r="B2435" s="265"/>
      <c r="C2435" s="301"/>
      <c r="D2435" s="301"/>
      <c r="E2435" s="301"/>
      <c r="F2435" s="302"/>
      <c r="G2435" s="301"/>
      <c r="H2435" s="301"/>
      <c r="I2435" s="301"/>
      <c r="K2435" s="267"/>
      <c r="L2435" s="265"/>
      <c r="M2435" s="297"/>
      <c r="N2435" s="5"/>
      <c r="O2435" s="4"/>
    </row>
    <row r="2436" spans="1:15" x14ac:dyDescent="0.2">
      <c r="A2436" s="258"/>
      <c r="B2436" s="265"/>
      <c r="C2436" s="301"/>
      <c r="D2436" s="301"/>
      <c r="E2436" s="301"/>
      <c r="F2436" s="302"/>
      <c r="G2436" s="301"/>
      <c r="H2436" s="301"/>
      <c r="I2436" s="301"/>
      <c r="K2436" s="267"/>
      <c r="L2436" s="265"/>
      <c r="M2436" s="297"/>
      <c r="N2436" s="5"/>
      <c r="O2436" s="4"/>
    </row>
    <row r="2437" spans="1:15" x14ac:dyDescent="0.2">
      <c r="A2437" s="258"/>
      <c r="B2437" s="265"/>
      <c r="C2437" s="301"/>
      <c r="D2437" s="301"/>
      <c r="E2437" s="301"/>
      <c r="F2437" s="302"/>
      <c r="G2437" s="301"/>
      <c r="H2437" s="301"/>
      <c r="I2437" s="301"/>
      <c r="K2437" s="267"/>
      <c r="L2437" s="265"/>
      <c r="M2437" s="297"/>
      <c r="N2437" s="5"/>
      <c r="O2437" s="4"/>
    </row>
    <row r="2438" spans="1:15" x14ac:dyDescent="0.2">
      <c r="A2438" s="258"/>
      <c r="B2438" s="265"/>
      <c r="C2438" s="301"/>
      <c r="D2438" s="301"/>
      <c r="E2438" s="301"/>
      <c r="F2438" s="302"/>
      <c r="G2438" s="301"/>
      <c r="H2438" s="301"/>
      <c r="I2438" s="301"/>
      <c r="K2438" s="267"/>
      <c r="L2438" s="265"/>
      <c r="M2438" s="297"/>
      <c r="N2438" s="5"/>
      <c r="O2438" s="4"/>
    </row>
    <row r="2439" spans="1:15" x14ac:dyDescent="0.2">
      <c r="A2439" s="258"/>
      <c r="B2439" s="265"/>
      <c r="C2439" s="301"/>
      <c r="D2439" s="301"/>
      <c r="E2439" s="301"/>
      <c r="F2439" s="302"/>
      <c r="G2439" s="301"/>
      <c r="H2439" s="301"/>
      <c r="I2439" s="301"/>
      <c r="K2439" s="267"/>
      <c r="L2439" s="265"/>
      <c r="M2439" s="297"/>
      <c r="N2439" s="5"/>
      <c r="O2439" s="4"/>
    </row>
    <row r="2440" spans="1:15" x14ac:dyDescent="0.2">
      <c r="A2440" s="258"/>
      <c r="B2440" s="265"/>
      <c r="C2440" s="301"/>
      <c r="D2440" s="301"/>
      <c r="E2440" s="301"/>
      <c r="F2440" s="302"/>
      <c r="G2440" s="301"/>
      <c r="H2440" s="301"/>
      <c r="I2440" s="301"/>
      <c r="K2440" s="267"/>
      <c r="L2440" s="265"/>
      <c r="M2440" s="297"/>
      <c r="N2440" s="5"/>
      <c r="O2440" s="4"/>
    </row>
    <row r="2441" spans="1:15" x14ac:dyDescent="0.2">
      <c r="A2441" s="258"/>
      <c r="B2441" s="265"/>
      <c r="C2441" s="301"/>
      <c r="D2441" s="301"/>
      <c r="E2441" s="301"/>
      <c r="F2441" s="302"/>
      <c r="G2441" s="301"/>
      <c r="H2441" s="301"/>
      <c r="I2441" s="301"/>
      <c r="K2441" s="267"/>
      <c r="L2441" s="265"/>
      <c r="M2441" s="297"/>
      <c r="N2441" s="5"/>
      <c r="O2441" s="4"/>
    </row>
    <row r="2442" spans="1:15" x14ac:dyDescent="0.2">
      <c r="A2442" s="258"/>
      <c r="B2442" s="265"/>
      <c r="C2442" s="301"/>
      <c r="D2442" s="301"/>
      <c r="E2442" s="301"/>
      <c r="F2442" s="302"/>
      <c r="G2442" s="301"/>
      <c r="H2442" s="301"/>
      <c r="I2442" s="301"/>
      <c r="K2442" s="267"/>
      <c r="L2442" s="265"/>
      <c r="M2442" s="297"/>
      <c r="N2442" s="5"/>
      <c r="O2442" s="4"/>
    </row>
    <row r="2443" spans="1:15" x14ac:dyDescent="0.2">
      <c r="A2443" s="258"/>
      <c r="B2443" s="265"/>
      <c r="C2443" s="301"/>
      <c r="D2443" s="301"/>
      <c r="E2443" s="301"/>
      <c r="F2443" s="302"/>
      <c r="G2443" s="301"/>
      <c r="H2443" s="301"/>
      <c r="I2443" s="301"/>
      <c r="K2443" s="267"/>
      <c r="L2443" s="265"/>
      <c r="M2443" s="297"/>
      <c r="N2443" s="5"/>
      <c r="O2443" s="4"/>
    </row>
    <row r="2444" spans="1:15" x14ac:dyDescent="0.2">
      <c r="A2444" s="258"/>
      <c r="B2444" s="265"/>
      <c r="C2444" s="301"/>
      <c r="D2444" s="301"/>
      <c r="E2444" s="301"/>
      <c r="F2444" s="302"/>
      <c r="G2444" s="301"/>
      <c r="H2444" s="301"/>
      <c r="I2444" s="301"/>
      <c r="K2444" s="267"/>
      <c r="L2444" s="265"/>
      <c r="M2444" s="297"/>
      <c r="N2444" s="5"/>
      <c r="O2444" s="4"/>
    </row>
    <row r="2445" spans="1:15" x14ac:dyDescent="0.2">
      <c r="A2445" s="258"/>
      <c r="B2445" s="265"/>
      <c r="C2445" s="301"/>
      <c r="D2445" s="301"/>
      <c r="E2445" s="301"/>
      <c r="F2445" s="302"/>
      <c r="G2445" s="301"/>
      <c r="H2445" s="301"/>
      <c r="I2445" s="301"/>
      <c r="K2445" s="267"/>
      <c r="L2445" s="265"/>
      <c r="M2445" s="297"/>
      <c r="N2445" s="5"/>
      <c r="O2445" s="4"/>
    </row>
    <row r="2446" spans="1:15" x14ac:dyDescent="0.2">
      <c r="A2446" s="258"/>
      <c r="B2446" s="265"/>
      <c r="C2446" s="301"/>
      <c r="D2446" s="301"/>
      <c r="E2446" s="301"/>
      <c r="F2446" s="302"/>
      <c r="G2446" s="301"/>
      <c r="H2446" s="301"/>
      <c r="I2446" s="301"/>
      <c r="K2446" s="267"/>
      <c r="L2446" s="265"/>
      <c r="M2446" s="297"/>
      <c r="N2446" s="5"/>
      <c r="O2446" s="4"/>
    </row>
    <row r="2447" spans="1:15" x14ac:dyDescent="0.2">
      <c r="A2447" s="258"/>
      <c r="B2447" s="265"/>
      <c r="C2447" s="301"/>
      <c r="D2447" s="301"/>
      <c r="E2447" s="301"/>
      <c r="F2447" s="302"/>
      <c r="G2447" s="301"/>
      <c r="H2447" s="301"/>
      <c r="I2447" s="301"/>
      <c r="K2447" s="267"/>
      <c r="L2447" s="265"/>
      <c r="M2447" s="297"/>
      <c r="N2447" s="5"/>
      <c r="O2447" s="4"/>
    </row>
    <row r="2448" spans="1:15" x14ac:dyDescent="0.2">
      <c r="A2448" s="258"/>
      <c r="B2448" s="265"/>
      <c r="C2448" s="301"/>
      <c r="D2448" s="301"/>
      <c r="E2448" s="301"/>
      <c r="F2448" s="302"/>
      <c r="G2448" s="301"/>
      <c r="H2448" s="301"/>
      <c r="I2448" s="301"/>
      <c r="K2448" s="267"/>
      <c r="L2448" s="265"/>
      <c r="M2448" s="297"/>
      <c r="N2448" s="5"/>
      <c r="O2448" s="4"/>
    </row>
    <row r="2449" spans="1:15" x14ac:dyDescent="0.2">
      <c r="A2449" s="258"/>
      <c r="B2449" s="265"/>
      <c r="C2449" s="301"/>
      <c r="D2449" s="301"/>
      <c r="E2449" s="301"/>
      <c r="F2449" s="302"/>
      <c r="G2449" s="301"/>
      <c r="H2449" s="301"/>
      <c r="I2449" s="301"/>
      <c r="K2449" s="267"/>
      <c r="L2449" s="265"/>
      <c r="M2449" s="297"/>
      <c r="N2449" s="5"/>
      <c r="O2449" s="4"/>
    </row>
    <row r="2450" spans="1:15" x14ac:dyDescent="0.2">
      <c r="A2450" s="258"/>
      <c r="B2450" s="265"/>
      <c r="C2450" s="301"/>
      <c r="D2450" s="301"/>
      <c r="E2450" s="301"/>
      <c r="F2450" s="302"/>
      <c r="G2450" s="301"/>
      <c r="H2450" s="301"/>
      <c r="I2450" s="301"/>
      <c r="K2450" s="267"/>
      <c r="L2450" s="265"/>
      <c r="M2450" s="297"/>
      <c r="N2450" s="5"/>
      <c r="O2450" s="4"/>
    </row>
    <row r="2451" spans="1:15" x14ac:dyDescent="0.2">
      <c r="A2451" s="258"/>
      <c r="B2451" s="265"/>
      <c r="C2451" s="301"/>
      <c r="D2451" s="301"/>
      <c r="E2451" s="301"/>
      <c r="F2451" s="302"/>
      <c r="G2451" s="301"/>
      <c r="H2451" s="301"/>
      <c r="I2451" s="301"/>
      <c r="K2451" s="267"/>
      <c r="L2451" s="265"/>
      <c r="M2451" s="297"/>
      <c r="N2451" s="5"/>
      <c r="O2451" s="4"/>
    </row>
    <row r="2452" spans="1:15" x14ac:dyDescent="0.2">
      <c r="A2452" s="258"/>
      <c r="B2452" s="265"/>
      <c r="C2452" s="301"/>
      <c r="D2452" s="301"/>
      <c r="E2452" s="301"/>
      <c r="F2452" s="302"/>
      <c r="G2452" s="301"/>
      <c r="H2452" s="301"/>
      <c r="I2452" s="301"/>
      <c r="K2452" s="267"/>
      <c r="L2452" s="265"/>
      <c r="M2452" s="297"/>
      <c r="N2452" s="5"/>
      <c r="O2452" s="4"/>
    </row>
    <row r="2453" spans="1:15" x14ac:dyDescent="0.2">
      <c r="A2453" s="258"/>
      <c r="B2453" s="265"/>
      <c r="C2453" s="301"/>
      <c r="D2453" s="301"/>
      <c r="E2453" s="301"/>
      <c r="F2453" s="302"/>
      <c r="G2453" s="301"/>
      <c r="H2453" s="301"/>
      <c r="I2453" s="301"/>
      <c r="K2453" s="267"/>
      <c r="L2453" s="265"/>
      <c r="M2453" s="297"/>
      <c r="N2453" s="5"/>
      <c r="O2453" s="4"/>
    </row>
    <row r="2454" spans="1:15" x14ac:dyDescent="0.2">
      <c r="A2454" s="258"/>
      <c r="B2454" s="265"/>
      <c r="C2454" s="258"/>
      <c r="D2454" s="257"/>
      <c r="E2454" s="259"/>
      <c r="F2454" s="260"/>
      <c r="G2454" s="257"/>
      <c r="H2454" s="256"/>
      <c r="I2454" s="256"/>
      <c r="K2454" s="267"/>
      <c r="L2454" s="265"/>
      <c r="M2454" s="297"/>
      <c r="N2454" s="5"/>
      <c r="O2454" s="4"/>
    </row>
    <row r="2455" spans="1:15" x14ac:dyDescent="0.2">
      <c r="A2455" s="258"/>
      <c r="B2455" s="265"/>
      <c r="C2455" s="258"/>
      <c r="D2455" s="257"/>
      <c r="E2455" s="259"/>
      <c r="F2455" s="260"/>
      <c r="G2455" s="257"/>
      <c r="H2455" s="256"/>
      <c r="I2455" s="256"/>
      <c r="K2455" s="267"/>
      <c r="L2455" s="265"/>
      <c r="M2455" s="297"/>
      <c r="N2455" s="5"/>
      <c r="O2455" s="4"/>
    </row>
    <row r="2456" spans="1:15" x14ac:dyDescent="0.2">
      <c r="A2456" s="258"/>
      <c r="B2456" s="265"/>
      <c r="C2456" s="258"/>
      <c r="D2456" s="257"/>
      <c r="E2456" s="259"/>
      <c r="F2456" s="260"/>
      <c r="G2456" s="257"/>
      <c r="H2456" s="256"/>
      <c r="I2456" s="256"/>
      <c r="K2456" s="267"/>
      <c r="L2456" s="265"/>
      <c r="M2456" s="297"/>
      <c r="N2456" s="5"/>
      <c r="O2456" s="4"/>
    </row>
    <row r="2457" spans="1:15" x14ac:dyDescent="0.2">
      <c r="A2457" s="258"/>
      <c r="B2457" s="265"/>
      <c r="C2457" s="258"/>
      <c r="D2457" s="257"/>
      <c r="E2457" s="259"/>
      <c r="F2457" s="260"/>
      <c r="G2457" s="257"/>
      <c r="H2457" s="256"/>
      <c r="I2457" s="256"/>
      <c r="K2457" s="267"/>
      <c r="L2457" s="265"/>
      <c r="M2457" s="297"/>
      <c r="N2457" s="5"/>
      <c r="O2457" s="4"/>
    </row>
    <row r="2458" spans="1:15" x14ac:dyDescent="0.2">
      <c r="A2458" s="258"/>
      <c r="B2458" s="265"/>
      <c r="C2458" s="258"/>
      <c r="D2458" s="257"/>
      <c r="E2458" s="259"/>
      <c r="F2458" s="260"/>
      <c r="G2458" s="257"/>
      <c r="H2458" s="256"/>
      <c r="I2458" s="256"/>
      <c r="K2458" s="267"/>
      <c r="L2458" s="265"/>
      <c r="M2458" s="297"/>
      <c r="N2458" s="5"/>
      <c r="O2458" s="4"/>
    </row>
    <row r="2459" spans="1:15" x14ac:dyDescent="0.2">
      <c r="A2459" s="258"/>
      <c r="B2459" s="265"/>
      <c r="C2459" s="258"/>
      <c r="D2459" s="257"/>
      <c r="E2459" s="259"/>
      <c r="F2459" s="260"/>
      <c r="G2459" s="257"/>
      <c r="H2459" s="256"/>
      <c r="I2459" s="256"/>
      <c r="K2459" s="267"/>
      <c r="L2459" s="265"/>
      <c r="M2459" s="297"/>
      <c r="N2459" s="5"/>
      <c r="O2459" s="4"/>
    </row>
    <row r="2460" spans="1:15" x14ac:dyDescent="0.2">
      <c r="A2460" s="258"/>
      <c r="B2460" s="265"/>
      <c r="C2460" s="258"/>
      <c r="D2460" s="257"/>
      <c r="E2460" s="259"/>
      <c r="F2460" s="260"/>
      <c r="G2460" s="257"/>
      <c r="H2460" s="256"/>
      <c r="I2460" s="256"/>
      <c r="K2460" s="267"/>
      <c r="L2460" s="265"/>
      <c r="M2460" s="297"/>
      <c r="N2460" s="5"/>
      <c r="O2460" s="4"/>
    </row>
    <row r="2461" spans="1:15" x14ac:dyDescent="0.2">
      <c r="A2461" s="258"/>
      <c r="B2461" s="265"/>
      <c r="C2461" s="258"/>
      <c r="D2461" s="257"/>
      <c r="E2461" s="259"/>
      <c r="F2461" s="260"/>
      <c r="G2461" s="257"/>
      <c r="H2461" s="256"/>
      <c r="I2461" s="256"/>
      <c r="K2461" s="267"/>
      <c r="L2461" s="265"/>
      <c r="M2461" s="297"/>
      <c r="N2461" s="5"/>
      <c r="O2461" s="4"/>
    </row>
    <row r="2462" spans="1:15" x14ac:dyDescent="0.2">
      <c r="A2462" s="258"/>
      <c r="B2462" s="265"/>
      <c r="C2462" s="258"/>
      <c r="D2462" s="257"/>
      <c r="E2462" s="259"/>
      <c r="F2462" s="260"/>
      <c r="G2462" s="257"/>
      <c r="H2462" s="256"/>
      <c r="I2462" s="256"/>
      <c r="K2462" s="267"/>
      <c r="L2462" s="265"/>
      <c r="M2462" s="297"/>
      <c r="N2462" s="5"/>
      <c r="O2462" s="4"/>
    </row>
    <row r="2463" spans="1:15" x14ac:dyDescent="0.2">
      <c r="A2463" s="258"/>
      <c r="B2463" s="265"/>
      <c r="C2463" s="258"/>
      <c r="D2463" s="257"/>
      <c r="E2463" s="259"/>
      <c r="F2463" s="260"/>
      <c r="G2463" s="257"/>
      <c r="H2463" s="256"/>
      <c r="I2463" s="256"/>
      <c r="K2463" s="267"/>
      <c r="L2463" s="265"/>
      <c r="M2463" s="297"/>
      <c r="N2463" s="5"/>
      <c r="O2463" s="4"/>
    </row>
    <row r="2464" spans="1:15" x14ac:dyDescent="0.2">
      <c r="A2464" s="258"/>
      <c r="B2464" s="265"/>
      <c r="C2464" s="258"/>
      <c r="D2464" s="257"/>
      <c r="E2464" s="259"/>
      <c r="F2464" s="260"/>
      <c r="G2464" s="257"/>
      <c r="H2464" s="256"/>
      <c r="I2464" s="256"/>
      <c r="K2464" s="267"/>
      <c r="L2464" s="265"/>
      <c r="M2464" s="297"/>
      <c r="N2464" s="5"/>
      <c r="O2464" s="4"/>
    </row>
    <row r="2465" spans="1:15" x14ac:dyDescent="0.2">
      <c r="A2465" s="258"/>
      <c r="B2465" s="265"/>
      <c r="C2465" s="258"/>
      <c r="D2465" s="257"/>
      <c r="E2465" s="259"/>
      <c r="F2465" s="260"/>
      <c r="G2465" s="257"/>
      <c r="H2465" s="256"/>
      <c r="I2465" s="256"/>
      <c r="K2465" s="267"/>
      <c r="L2465" s="265"/>
      <c r="M2465" s="297"/>
      <c r="N2465" s="5"/>
      <c r="O2465" s="4"/>
    </row>
    <row r="2466" spans="1:15" x14ac:dyDescent="0.2">
      <c r="A2466" s="258"/>
      <c r="B2466" s="265"/>
      <c r="C2466" s="258"/>
      <c r="D2466" s="257"/>
      <c r="E2466" s="259"/>
      <c r="F2466" s="260"/>
      <c r="G2466" s="257"/>
      <c r="H2466" s="256"/>
      <c r="I2466" s="256"/>
      <c r="K2466" s="267"/>
      <c r="L2466" s="265"/>
      <c r="M2466" s="297"/>
      <c r="N2466" s="5"/>
      <c r="O2466" s="4"/>
    </row>
    <row r="2467" spans="1:15" x14ac:dyDescent="0.2">
      <c r="A2467" s="258"/>
      <c r="B2467" s="265"/>
      <c r="C2467" s="258"/>
      <c r="D2467" s="257"/>
      <c r="E2467" s="259"/>
      <c r="F2467" s="260"/>
      <c r="G2467" s="257"/>
      <c r="H2467" s="256"/>
      <c r="I2467" s="256"/>
      <c r="K2467" s="267"/>
      <c r="L2467" s="265"/>
      <c r="M2467" s="297"/>
      <c r="N2467" s="5"/>
      <c r="O2467" s="4"/>
    </row>
    <row r="2468" spans="1:15" x14ac:dyDescent="0.2">
      <c r="A2468" s="258"/>
      <c r="B2468" s="265"/>
      <c r="C2468" s="258"/>
      <c r="D2468" s="257"/>
      <c r="E2468" s="259"/>
      <c r="F2468" s="260"/>
      <c r="G2468" s="257"/>
      <c r="H2468" s="256"/>
      <c r="I2468" s="256"/>
      <c r="K2468" s="267"/>
      <c r="L2468" s="265"/>
      <c r="M2468" s="297"/>
      <c r="N2468" s="5"/>
      <c r="O2468" s="4"/>
    </row>
    <row r="2469" spans="1:15" x14ac:dyDescent="0.2">
      <c r="A2469" s="258"/>
      <c r="B2469" s="265"/>
      <c r="C2469" s="258"/>
      <c r="D2469" s="257"/>
      <c r="E2469" s="259"/>
      <c r="F2469" s="260"/>
      <c r="G2469" s="257"/>
      <c r="H2469" s="256"/>
      <c r="I2469" s="256"/>
      <c r="K2469" s="267"/>
      <c r="L2469" s="265"/>
      <c r="M2469" s="297"/>
      <c r="N2469" s="5"/>
      <c r="O2469" s="4"/>
    </row>
    <row r="2470" spans="1:15" x14ac:dyDescent="0.2">
      <c r="A2470" s="258"/>
      <c r="B2470" s="265"/>
      <c r="C2470" s="258"/>
      <c r="D2470" s="257"/>
      <c r="E2470" s="259"/>
      <c r="F2470" s="260"/>
      <c r="G2470" s="257"/>
      <c r="H2470" s="256"/>
      <c r="I2470" s="256"/>
      <c r="K2470" s="267"/>
      <c r="L2470" s="265"/>
      <c r="M2470" s="297"/>
      <c r="N2470" s="5"/>
      <c r="O2470" s="4"/>
    </row>
    <row r="2471" spans="1:15" x14ac:dyDescent="0.2">
      <c r="A2471" s="258"/>
      <c r="B2471" s="265"/>
      <c r="C2471" s="258"/>
      <c r="D2471" s="257"/>
      <c r="E2471" s="259"/>
      <c r="F2471" s="260"/>
      <c r="G2471" s="257"/>
      <c r="H2471" s="256"/>
      <c r="I2471" s="256"/>
      <c r="K2471" s="267"/>
      <c r="L2471" s="265"/>
      <c r="M2471" s="297"/>
      <c r="N2471" s="5"/>
      <c r="O2471" s="4"/>
    </row>
    <row r="2472" spans="1:15" x14ac:dyDescent="0.2">
      <c r="A2472" s="258"/>
      <c r="B2472" s="265"/>
      <c r="C2472" s="258"/>
      <c r="D2472" s="257"/>
      <c r="E2472" s="259"/>
      <c r="F2472" s="260"/>
      <c r="G2472" s="257"/>
      <c r="H2472" s="256"/>
      <c r="I2472" s="256"/>
      <c r="K2472" s="267"/>
      <c r="L2472" s="265"/>
      <c r="M2472" s="297"/>
      <c r="N2472" s="5"/>
      <c r="O2472" s="4"/>
    </row>
    <row r="2473" spans="1:15" x14ac:dyDescent="0.2">
      <c r="A2473" s="258"/>
      <c r="B2473" s="265"/>
      <c r="C2473" s="258"/>
      <c r="D2473" s="257"/>
      <c r="E2473" s="259"/>
      <c r="F2473" s="260"/>
      <c r="G2473" s="257"/>
      <c r="H2473" s="256"/>
      <c r="I2473" s="256"/>
      <c r="K2473" s="267"/>
      <c r="L2473" s="265"/>
      <c r="M2473" s="297"/>
      <c r="N2473" s="5"/>
      <c r="O2473" s="4"/>
    </row>
    <row r="2474" spans="1:15" x14ac:dyDescent="0.2">
      <c r="A2474" s="258"/>
      <c r="B2474" s="265"/>
      <c r="C2474" s="258"/>
      <c r="D2474" s="257"/>
      <c r="E2474" s="259"/>
      <c r="F2474" s="260"/>
      <c r="G2474" s="257"/>
      <c r="H2474" s="256"/>
      <c r="I2474" s="256"/>
      <c r="K2474" s="267"/>
      <c r="L2474" s="265"/>
      <c r="M2474" s="297"/>
      <c r="N2474" s="5"/>
      <c r="O2474" s="4"/>
    </row>
    <row r="2475" spans="1:15" x14ac:dyDescent="0.2">
      <c r="A2475" s="258"/>
      <c r="B2475" s="265"/>
      <c r="C2475" s="258"/>
      <c r="D2475" s="257"/>
      <c r="E2475" s="259"/>
      <c r="F2475" s="260"/>
      <c r="G2475" s="257"/>
      <c r="H2475" s="256"/>
      <c r="I2475" s="256"/>
      <c r="K2475" s="267"/>
      <c r="L2475" s="265"/>
      <c r="M2475" s="297"/>
      <c r="N2475" s="5"/>
      <c r="O2475" s="4"/>
    </row>
    <row r="2476" spans="1:15" x14ac:dyDescent="0.2">
      <c r="A2476" s="258"/>
      <c r="B2476" s="265"/>
      <c r="C2476" s="258"/>
      <c r="D2476" s="257"/>
      <c r="E2476" s="259"/>
      <c r="F2476" s="260"/>
      <c r="G2476" s="257"/>
      <c r="H2476" s="256"/>
      <c r="I2476" s="256"/>
      <c r="K2476" s="267"/>
      <c r="L2476" s="265"/>
      <c r="M2476" s="297"/>
      <c r="N2476" s="5"/>
      <c r="O2476" s="4"/>
    </row>
    <row r="2477" spans="1:15" x14ac:dyDescent="0.2">
      <c r="A2477" s="258"/>
      <c r="B2477" s="265"/>
      <c r="C2477" s="258"/>
      <c r="D2477" s="257"/>
      <c r="E2477" s="259"/>
      <c r="F2477" s="260"/>
      <c r="G2477" s="257"/>
      <c r="H2477" s="256"/>
      <c r="I2477" s="256"/>
      <c r="K2477" s="267"/>
      <c r="L2477" s="265"/>
      <c r="M2477" s="297"/>
      <c r="N2477" s="5"/>
      <c r="O2477" s="4"/>
    </row>
    <row r="2478" spans="1:15" x14ac:dyDescent="0.2">
      <c r="A2478" s="258"/>
      <c r="B2478" s="265"/>
      <c r="C2478" s="258"/>
      <c r="D2478" s="257"/>
      <c r="E2478" s="259"/>
      <c r="F2478" s="260"/>
      <c r="G2478" s="257"/>
      <c r="H2478" s="256"/>
      <c r="I2478" s="256"/>
      <c r="K2478" s="267"/>
      <c r="L2478" s="265"/>
      <c r="M2478" s="297"/>
      <c r="N2478" s="5"/>
      <c r="O2478" s="4"/>
    </row>
    <row r="2479" spans="1:15" x14ac:dyDescent="0.2">
      <c r="A2479" s="258"/>
      <c r="B2479" s="265"/>
      <c r="C2479" s="258"/>
      <c r="D2479" s="257"/>
      <c r="E2479" s="259"/>
      <c r="F2479" s="260"/>
      <c r="G2479" s="257"/>
      <c r="H2479" s="256"/>
      <c r="I2479" s="256"/>
      <c r="K2479" s="267"/>
      <c r="L2479" s="265"/>
      <c r="M2479" s="297"/>
      <c r="N2479" s="5"/>
      <c r="O2479" s="4"/>
    </row>
    <row r="2480" spans="1:15" x14ac:dyDescent="0.2">
      <c r="A2480" s="258"/>
      <c r="B2480" s="265"/>
      <c r="C2480" s="258"/>
      <c r="D2480" s="257"/>
      <c r="E2480" s="259"/>
      <c r="F2480" s="260"/>
      <c r="G2480" s="257"/>
      <c r="H2480" s="256"/>
      <c r="I2480" s="256"/>
      <c r="K2480" s="267"/>
      <c r="L2480" s="265"/>
      <c r="M2480" s="297"/>
      <c r="N2480" s="5"/>
      <c r="O2480" s="4"/>
    </row>
    <row r="2481" spans="1:15" x14ac:dyDescent="0.2">
      <c r="A2481" s="258"/>
      <c r="B2481" s="265"/>
      <c r="C2481" s="258"/>
      <c r="D2481" s="257"/>
      <c r="E2481" s="259"/>
      <c r="F2481" s="260"/>
      <c r="G2481" s="257"/>
      <c r="H2481" s="256"/>
      <c r="I2481" s="256"/>
      <c r="K2481" s="267"/>
      <c r="L2481" s="265"/>
      <c r="M2481" s="297"/>
      <c r="N2481" s="5"/>
      <c r="O2481" s="4"/>
    </row>
    <row r="2482" spans="1:15" x14ac:dyDescent="0.2">
      <c r="A2482" s="258"/>
      <c r="B2482" s="265"/>
      <c r="C2482" s="258"/>
      <c r="D2482" s="257"/>
      <c r="E2482" s="259"/>
      <c r="F2482" s="260"/>
      <c r="G2482" s="257"/>
      <c r="H2482" s="256"/>
      <c r="I2482" s="256"/>
      <c r="K2482" s="267"/>
      <c r="L2482" s="265"/>
      <c r="M2482" s="297"/>
      <c r="N2482" s="5"/>
      <c r="O2482" s="4"/>
    </row>
    <row r="2483" spans="1:15" x14ac:dyDescent="0.2">
      <c r="A2483" s="258"/>
      <c r="B2483" s="265"/>
      <c r="C2483" s="258"/>
      <c r="D2483" s="257"/>
      <c r="E2483" s="259"/>
      <c r="F2483" s="260"/>
      <c r="G2483" s="257"/>
      <c r="H2483" s="256"/>
      <c r="I2483" s="256"/>
      <c r="K2483" s="267"/>
      <c r="L2483" s="265"/>
      <c r="M2483" s="297"/>
      <c r="N2483" s="5"/>
      <c r="O2483" s="4"/>
    </row>
    <row r="2484" spans="1:15" x14ac:dyDescent="0.2">
      <c r="A2484" s="258"/>
      <c r="B2484" s="265"/>
      <c r="C2484" s="258"/>
      <c r="D2484" s="257"/>
      <c r="E2484" s="259"/>
      <c r="F2484" s="260"/>
      <c r="G2484" s="257"/>
      <c r="H2484" s="256"/>
      <c r="I2484" s="256"/>
      <c r="K2484" s="267"/>
      <c r="L2484" s="265"/>
      <c r="M2484" s="297"/>
      <c r="N2484" s="5"/>
      <c r="O2484" s="4"/>
    </row>
    <row r="2485" spans="1:15" x14ac:dyDescent="0.2">
      <c r="A2485" s="258"/>
      <c r="B2485" s="257"/>
      <c r="C2485" s="258"/>
      <c r="D2485" s="257"/>
      <c r="E2485" s="259"/>
      <c r="F2485" s="260"/>
      <c r="G2485" s="257"/>
      <c r="H2485" s="256"/>
      <c r="I2485" s="256"/>
      <c r="K2485" s="267"/>
      <c r="L2485" s="265"/>
      <c r="M2485" s="297"/>
      <c r="N2485" s="5"/>
      <c r="O2485" s="4"/>
    </row>
    <row r="2486" spans="1:15" x14ac:dyDescent="0.2">
      <c r="A2486" s="258"/>
      <c r="B2486" s="257"/>
      <c r="C2486" s="258"/>
      <c r="D2486" s="257"/>
      <c r="E2486" s="259"/>
      <c r="F2486" s="260"/>
      <c r="G2486" s="257"/>
      <c r="H2486" s="256"/>
      <c r="I2486" s="256"/>
      <c r="K2486" s="267"/>
      <c r="L2486" s="265"/>
      <c r="M2486" s="297"/>
      <c r="N2486" s="5"/>
      <c r="O2486" s="4"/>
    </row>
    <row r="2487" spans="1:15" x14ac:dyDescent="0.2">
      <c r="A2487" s="258"/>
      <c r="B2487" s="257"/>
      <c r="C2487" s="258"/>
      <c r="D2487" s="257"/>
      <c r="E2487" s="259"/>
      <c r="F2487" s="260"/>
      <c r="G2487" s="257"/>
      <c r="H2487" s="256"/>
      <c r="I2487" s="256"/>
      <c r="K2487" s="267"/>
      <c r="L2487" s="265"/>
      <c r="M2487" s="297"/>
      <c r="N2487" s="5"/>
      <c r="O2487" s="4"/>
    </row>
    <row r="2488" spans="1:15" x14ac:dyDescent="0.2">
      <c r="A2488" s="258"/>
      <c r="B2488" s="257"/>
      <c r="C2488" s="258"/>
      <c r="D2488" s="257"/>
      <c r="E2488" s="259"/>
      <c r="F2488" s="260"/>
      <c r="G2488" s="257"/>
      <c r="H2488" s="256"/>
      <c r="I2488" s="256"/>
      <c r="K2488" s="267"/>
      <c r="L2488" s="265"/>
      <c r="M2488" s="297"/>
      <c r="N2488" s="5"/>
      <c r="O2488" s="4"/>
    </row>
    <row r="2489" spans="1:15" x14ac:dyDescent="0.2">
      <c r="A2489" s="258"/>
      <c r="B2489" s="257"/>
      <c r="C2489" s="258"/>
      <c r="D2489" s="257"/>
      <c r="E2489" s="259"/>
      <c r="F2489" s="260"/>
      <c r="G2489" s="257"/>
      <c r="H2489" s="256"/>
      <c r="I2489" s="256"/>
      <c r="K2489" s="267"/>
      <c r="L2489" s="265"/>
      <c r="M2489" s="297"/>
      <c r="N2489" s="5"/>
      <c r="O2489" s="4"/>
    </row>
    <row r="2490" spans="1:15" x14ac:dyDescent="0.2">
      <c r="A2490" s="258"/>
      <c r="B2490" s="257"/>
      <c r="C2490" s="258"/>
      <c r="D2490" s="257"/>
      <c r="E2490" s="259"/>
      <c r="F2490" s="260"/>
      <c r="G2490" s="257"/>
      <c r="H2490" s="256"/>
      <c r="I2490" s="256"/>
      <c r="K2490" s="267"/>
      <c r="L2490" s="265"/>
      <c r="M2490" s="297"/>
      <c r="N2490" s="5"/>
      <c r="O2490" s="4"/>
    </row>
    <row r="2491" spans="1:15" x14ac:dyDescent="0.2">
      <c r="A2491" s="258"/>
      <c r="B2491" s="257"/>
      <c r="C2491" s="258"/>
      <c r="D2491" s="257"/>
      <c r="E2491" s="259"/>
      <c r="F2491" s="260"/>
      <c r="G2491" s="257"/>
      <c r="H2491" s="256"/>
      <c r="I2491" s="256"/>
      <c r="K2491" s="267"/>
      <c r="L2491" s="265"/>
      <c r="M2491" s="297"/>
      <c r="N2491" s="5"/>
      <c r="O2491" s="4"/>
    </row>
    <row r="2492" spans="1:15" x14ac:dyDescent="0.2">
      <c r="A2492" s="258"/>
      <c r="B2492" s="257"/>
      <c r="C2492" s="258"/>
      <c r="D2492" s="257"/>
      <c r="E2492" s="259"/>
      <c r="F2492" s="260"/>
      <c r="G2492" s="257"/>
      <c r="H2492" s="256"/>
      <c r="I2492" s="256"/>
      <c r="K2492" s="267"/>
      <c r="L2492" s="265"/>
      <c r="M2492" s="297"/>
      <c r="N2492" s="5"/>
      <c r="O2492" s="4"/>
    </row>
    <row r="2493" spans="1:15" x14ac:dyDescent="0.2">
      <c r="A2493" s="258"/>
      <c r="B2493" s="257"/>
      <c r="C2493" s="258"/>
      <c r="D2493" s="257"/>
      <c r="E2493" s="259"/>
      <c r="F2493" s="260"/>
      <c r="G2493" s="257"/>
      <c r="H2493" s="256"/>
      <c r="I2493" s="256"/>
      <c r="K2493" s="267"/>
      <c r="L2493" s="265"/>
      <c r="M2493" s="297"/>
      <c r="N2493" s="5"/>
      <c r="O2493" s="4"/>
    </row>
    <row r="2494" spans="1:15" x14ac:dyDescent="0.2">
      <c r="A2494" s="258"/>
      <c r="B2494" s="257"/>
      <c r="C2494" s="258"/>
      <c r="D2494" s="257"/>
      <c r="E2494" s="259"/>
      <c r="F2494" s="260"/>
      <c r="G2494" s="257"/>
      <c r="H2494" s="256"/>
      <c r="I2494" s="256"/>
      <c r="K2494" s="267"/>
      <c r="L2494" s="265"/>
      <c r="M2494" s="297"/>
      <c r="N2494" s="5"/>
      <c r="O2494" s="4"/>
    </row>
    <row r="2495" spans="1:15" x14ac:dyDescent="0.2">
      <c r="A2495" s="258"/>
      <c r="B2495" s="257"/>
      <c r="C2495" s="258"/>
      <c r="D2495" s="257"/>
      <c r="E2495" s="259"/>
      <c r="F2495" s="260"/>
      <c r="G2495" s="257"/>
      <c r="H2495" s="256"/>
      <c r="I2495" s="256"/>
      <c r="K2495" s="267"/>
      <c r="L2495" s="265"/>
      <c r="M2495" s="297"/>
      <c r="N2495" s="5"/>
      <c r="O2495" s="4"/>
    </row>
    <row r="2496" spans="1:15" x14ac:dyDescent="0.2">
      <c r="A2496" s="258"/>
      <c r="B2496" s="257"/>
      <c r="C2496" s="258"/>
      <c r="D2496" s="257"/>
      <c r="E2496" s="259"/>
      <c r="F2496" s="260"/>
      <c r="G2496" s="257"/>
      <c r="H2496" s="256"/>
      <c r="I2496" s="256"/>
      <c r="K2496" s="267"/>
      <c r="L2496" s="265"/>
      <c r="M2496" s="297"/>
      <c r="N2496" s="5"/>
      <c r="O2496" s="4"/>
    </row>
    <row r="2497" spans="1:15" x14ac:dyDescent="0.2">
      <c r="A2497" s="258"/>
      <c r="B2497" s="257"/>
      <c r="C2497" s="258"/>
      <c r="D2497" s="257"/>
      <c r="E2497" s="259"/>
      <c r="F2497" s="260"/>
      <c r="G2497" s="257"/>
      <c r="H2497" s="256"/>
      <c r="I2497" s="256"/>
      <c r="K2497" s="267"/>
      <c r="L2497" s="265"/>
      <c r="M2497" s="297"/>
      <c r="N2497" s="5"/>
      <c r="O2497" s="4"/>
    </row>
    <row r="2498" spans="1:15" x14ac:dyDescent="0.2">
      <c r="A2498" s="258"/>
      <c r="B2498" s="257"/>
      <c r="C2498" s="258"/>
      <c r="D2498" s="257"/>
      <c r="E2498" s="259"/>
      <c r="F2498" s="260"/>
      <c r="G2498" s="257"/>
      <c r="H2498" s="256"/>
      <c r="I2498" s="256"/>
      <c r="K2498" s="267"/>
      <c r="L2498" s="265"/>
      <c r="M2498" s="297"/>
      <c r="N2498" s="5"/>
      <c r="O2498" s="4"/>
    </row>
    <row r="2499" spans="1:15" x14ac:dyDescent="0.2">
      <c r="A2499" s="258"/>
      <c r="B2499" s="257"/>
      <c r="C2499" s="258"/>
      <c r="D2499" s="257"/>
      <c r="E2499" s="259"/>
      <c r="F2499" s="260"/>
      <c r="G2499" s="257"/>
      <c r="H2499" s="256"/>
      <c r="I2499" s="256"/>
      <c r="K2499" s="267"/>
      <c r="L2499" s="265"/>
      <c r="M2499" s="297"/>
      <c r="N2499" s="5"/>
      <c r="O2499" s="4"/>
    </row>
    <row r="2500" spans="1:15" x14ac:dyDescent="0.2">
      <c r="A2500" s="258"/>
      <c r="B2500" s="257"/>
      <c r="C2500" s="258"/>
      <c r="D2500" s="257"/>
      <c r="E2500" s="259"/>
      <c r="F2500" s="260"/>
      <c r="G2500" s="257"/>
      <c r="H2500" s="256"/>
      <c r="I2500" s="256"/>
      <c r="K2500" s="267"/>
      <c r="L2500" s="265"/>
      <c r="M2500" s="297"/>
      <c r="N2500" s="5"/>
      <c r="O2500" s="4"/>
    </row>
    <row r="2501" spans="1:15" x14ac:dyDescent="0.2">
      <c r="A2501" s="258"/>
      <c r="B2501" s="257"/>
      <c r="C2501" s="258"/>
      <c r="D2501" s="257"/>
      <c r="E2501" s="259"/>
      <c r="F2501" s="260"/>
      <c r="G2501" s="257"/>
      <c r="H2501" s="256"/>
      <c r="I2501" s="256"/>
      <c r="K2501" s="267"/>
      <c r="L2501" s="265"/>
      <c r="M2501" s="297"/>
      <c r="N2501" s="5"/>
      <c r="O2501" s="4"/>
    </row>
    <row r="2502" spans="1:15" x14ac:dyDescent="0.2">
      <c r="A2502" s="258"/>
      <c r="B2502" s="257"/>
      <c r="C2502" s="258"/>
      <c r="D2502" s="257"/>
      <c r="E2502" s="259"/>
      <c r="F2502" s="260"/>
      <c r="G2502" s="257"/>
      <c r="H2502" s="256"/>
      <c r="I2502" s="256"/>
      <c r="K2502" s="267"/>
      <c r="L2502" s="265"/>
      <c r="M2502" s="297"/>
      <c r="N2502" s="5"/>
      <c r="O2502" s="4"/>
    </row>
    <row r="2503" spans="1:15" x14ac:dyDescent="0.2">
      <c r="A2503" s="258"/>
      <c r="B2503" s="257"/>
      <c r="C2503" s="258"/>
      <c r="D2503" s="257"/>
      <c r="E2503" s="259"/>
      <c r="F2503" s="260"/>
      <c r="G2503" s="257"/>
      <c r="H2503" s="256"/>
      <c r="I2503" s="256"/>
      <c r="K2503" s="267"/>
      <c r="L2503" s="265"/>
      <c r="M2503" s="297"/>
      <c r="N2503" s="5"/>
      <c r="O2503" s="4"/>
    </row>
    <row r="2504" spans="1:15" x14ac:dyDescent="0.2">
      <c r="A2504" s="258"/>
      <c r="B2504" s="257"/>
      <c r="C2504" s="258"/>
      <c r="D2504" s="257"/>
      <c r="E2504" s="259"/>
      <c r="F2504" s="260"/>
      <c r="G2504" s="257"/>
      <c r="H2504" s="256"/>
      <c r="I2504" s="256"/>
      <c r="K2504" s="267"/>
      <c r="L2504" s="265"/>
      <c r="M2504" s="297"/>
      <c r="N2504" s="5"/>
      <c r="O2504" s="4"/>
    </row>
    <row r="2505" spans="1:15" x14ac:dyDescent="0.2">
      <c r="A2505" s="258"/>
      <c r="B2505" s="257"/>
      <c r="C2505" s="258"/>
      <c r="D2505" s="257"/>
      <c r="E2505" s="259"/>
      <c r="F2505" s="260"/>
      <c r="G2505" s="257"/>
      <c r="H2505" s="256"/>
      <c r="I2505" s="256"/>
      <c r="K2505" s="267"/>
      <c r="L2505" s="265"/>
      <c r="M2505" s="297"/>
      <c r="N2505" s="5"/>
      <c r="O2505" s="4"/>
    </row>
    <row r="2506" spans="1:15" x14ac:dyDescent="0.2">
      <c r="A2506" s="258"/>
      <c r="B2506" s="257"/>
      <c r="C2506" s="258"/>
      <c r="D2506" s="257"/>
      <c r="E2506" s="259"/>
      <c r="F2506" s="260"/>
      <c r="G2506" s="257"/>
      <c r="H2506" s="256"/>
      <c r="I2506" s="256"/>
      <c r="K2506" s="267"/>
      <c r="L2506" s="265"/>
      <c r="M2506" s="297"/>
      <c r="N2506" s="5"/>
      <c r="O2506" s="4"/>
    </row>
    <row r="2507" spans="1:15" x14ac:dyDescent="0.2">
      <c r="A2507" s="258"/>
      <c r="B2507" s="257"/>
      <c r="C2507" s="258"/>
      <c r="D2507" s="257"/>
      <c r="E2507" s="259"/>
      <c r="F2507" s="260"/>
      <c r="G2507" s="257"/>
      <c r="H2507" s="256"/>
      <c r="I2507" s="256"/>
      <c r="K2507" s="261"/>
      <c r="L2507" s="256"/>
      <c r="M2507" s="253"/>
      <c r="N2507" s="5"/>
      <c r="O2507" s="4"/>
    </row>
    <row r="2508" spans="1:15" x14ac:dyDescent="0.2">
      <c r="A2508" s="258"/>
      <c r="B2508" s="257"/>
      <c r="C2508" s="258"/>
      <c r="D2508" s="257"/>
      <c r="E2508" s="259"/>
      <c r="F2508" s="260"/>
      <c r="G2508" s="257"/>
      <c r="H2508" s="256"/>
      <c r="I2508" s="256"/>
      <c r="K2508" s="261"/>
      <c r="L2508" s="256"/>
      <c r="M2508" s="253"/>
      <c r="N2508" s="5"/>
      <c r="O2508" s="4"/>
    </row>
    <row r="2509" spans="1:15" x14ac:dyDescent="0.2">
      <c r="A2509" s="258"/>
      <c r="B2509" s="257"/>
      <c r="C2509" s="258"/>
      <c r="D2509" s="257"/>
      <c r="E2509" s="259"/>
      <c r="F2509" s="260"/>
      <c r="G2509" s="257"/>
      <c r="H2509" s="256"/>
      <c r="I2509" s="256"/>
      <c r="K2509" s="261"/>
      <c r="L2509" s="256"/>
      <c r="M2509" s="253"/>
      <c r="N2509" s="5"/>
      <c r="O2509" s="4"/>
    </row>
    <row r="2510" spans="1:15" x14ac:dyDescent="0.2">
      <c r="A2510" s="258"/>
      <c r="B2510" s="257"/>
      <c r="C2510" s="258"/>
      <c r="D2510" s="257"/>
      <c r="E2510" s="259"/>
      <c r="F2510" s="260"/>
      <c r="G2510" s="257"/>
      <c r="H2510" s="256"/>
      <c r="I2510" s="256"/>
      <c r="K2510" s="261"/>
      <c r="L2510" s="256"/>
      <c r="M2510" s="253"/>
      <c r="N2510" s="5"/>
      <c r="O2510" s="4"/>
    </row>
    <row r="2511" spans="1:15" x14ac:dyDescent="0.2">
      <c r="A2511" s="258"/>
      <c r="B2511" s="257"/>
      <c r="C2511" s="258"/>
      <c r="D2511" s="257"/>
      <c r="E2511" s="259"/>
      <c r="F2511" s="260"/>
      <c r="G2511" s="257"/>
      <c r="H2511" s="256"/>
      <c r="I2511" s="256"/>
      <c r="K2511" s="261"/>
      <c r="L2511" s="256"/>
      <c r="M2511" s="253"/>
      <c r="N2511" s="5"/>
      <c r="O2511" s="4"/>
    </row>
    <row r="2512" spans="1:15" x14ac:dyDescent="0.2">
      <c r="A2512" s="258"/>
      <c r="B2512" s="257"/>
      <c r="C2512" s="258"/>
      <c r="D2512" s="257"/>
      <c r="E2512" s="259"/>
      <c r="F2512" s="260"/>
      <c r="G2512" s="257"/>
      <c r="H2512" s="256"/>
      <c r="I2512" s="256"/>
      <c r="K2512" s="261"/>
      <c r="L2512" s="256"/>
      <c r="M2512" s="253"/>
      <c r="N2512" s="5"/>
      <c r="O2512" s="4"/>
    </row>
    <row r="2513" spans="1:15" x14ac:dyDescent="0.2">
      <c r="A2513" s="258"/>
      <c r="B2513" s="257"/>
      <c r="C2513" s="258"/>
      <c r="D2513" s="257"/>
      <c r="E2513" s="259"/>
      <c r="F2513" s="260"/>
      <c r="G2513" s="257"/>
      <c r="H2513" s="256"/>
      <c r="I2513" s="256"/>
      <c r="K2513" s="261"/>
      <c r="L2513" s="256"/>
      <c r="M2513" s="253"/>
      <c r="N2513" s="5"/>
      <c r="O2513" s="4"/>
    </row>
    <row r="2514" spans="1:15" x14ac:dyDescent="0.2">
      <c r="A2514" s="258"/>
      <c r="B2514" s="257"/>
      <c r="C2514" s="258"/>
      <c r="D2514" s="257"/>
      <c r="E2514" s="259"/>
      <c r="F2514" s="260"/>
      <c r="G2514" s="257"/>
      <c r="H2514" s="256"/>
      <c r="I2514" s="256"/>
      <c r="K2514" s="261"/>
      <c r="L2514" s="256"/>
      <c r="M2514" s="253"/>
      <c r="N2514" s="5"/>
      <c r="O2514" s="4"/>
    </row>
    <row r="2515" spans="1:15" x14ac:dyDescent="0.2">
      <c r="A2515" s="258"/>
      <c r="B2515" s="257"/>
      <c r="C2515" s="258"/>
      <c r="D2515" s="257"/>
      <c r="E2515" s="259"/>
      <c r="F2515" s="260"/>
      <c r="G2515" s="257"/>
      <c r="H2515" s="256"/>
      <c r="I2515" s="256"/>
      <c r="K2515" s="261"/>
      <c r="L2515" s="256"/>
      <c r="M2515" s="253"/>
      <c r="N2515" s="5"/>
      <c r="O2515" s="4"/>
    </row>
    <row r="2516" spans="1:15" x14ac:dyDescent="0.2">
      <c r="A2516" s="258"/>
      <c r="B2516" s="257"/>
      <c r="C2516" s="258"/>
      <c r="D2516" s="257"/>
      <c r="E2516" s="259"/>
      <c r="F2516" s="260"/>
      <c r="G2516" s="257"/>
      <c r="H2516" s="256"/>
      <c r="I2516" s="256"/>
      <c r="K2516" s="261"/>
      <c r="L2516" s="256"/>
      <c r="M2516" s="253"/>
      <c r="N2516" s="5"/>
      <c r="O2516" s="4"/>
    </row>
    <row r="2517" spans="1:15" x14ac:dyDescent="0.2">
      <c r="A2517" s="258"/>
      <c r="B2517" s="257"/>
      <c r="C2517" s="258"/>
      <c r="D2517" s="257"/>
      <c r="E2517" s="259"/>
      <c r="F2517" s="260"/>
      <c r="G2517" s="257"/>
      <c r="H2517" s="256"/>
      <c r="I2517" s="256"/>
      <c r="K2517" s="261"/>
      <c r="L2517" s="256"/>
      <c r="M2517" s="253"/>
      <c r="N2517" s="5"/>
      <c r="O2517" s="4"/>
    </row>
    <row r="2518" spans="1:15" x14ac:dyDescent="0.2">
      <c r="A2518" s="258"/>
      <c r="B2518" s="257"/>
      <c r="C2518" s="258"/>
      <c r="D2518" s="257"/>
      <c r="E2518" s="259"/>
      <c r="F2518" s="260"/>
      <c r="G2518" s="257"/>
      <c r="H2518" s="256"/>
      <c r="I2518" s="256"/>
      <c r="K2518" s="261"/>
      <c r="L2518" s="256"/>
      <c r="M2518" s="253"/>
      <c r="N2518" s="5"/>
      <c r="O2518" s="4"/>
    </row>
    <row r="2519" spans="1:15" x14ac:dyDescent="0.2">
      <c r="A2519" s="258"/>
      <c r="B2519" s="257"/>
      <c r="C2519" s="258"/>
      <c r="D2519" s="257"/>
      <c r="E2519" s="259"/>
      <c r="F2519" s="260"/>
      <c r="G2519" s="257"/>
      <c r="H2519" s="256"/>
      <c r="I2519" s="256"/>
      <c r="K2519" s="261"/>
      <c r="L2519" s="256"/>
      <c r="M2519" s="253"/>
      <c r="N2519" s="5"/>
      <c r="O2519" s="4"/>
    </row>
    <row r="2520" spans="1:15" x14ac:dyDescent="0.2">
      <c r="A2520" s="258"/>
      <c r="B2520" s="257"/>
      <c r="C2520" s="258"/>
      <c r="D2520" s="257"/>
      <c r="E2520" s="259"/>
      <c r="F2520" s="260"/>
      <c r="G2520" s="257"/>
      <c r="H2520" s="256"/>
      <c r="I2520" s="256"/>
      <c r="K2520" s="261"/>
      <c r="L2520" s="256"/>
      <c r="M2520" s="253"/>
      <c r="N2520" s="5"/>
      <c r="O2520" s="4"/>
    </row>
    <row r="2521" spans="1:15" x14ac:dyDescent="0.2">
      <c r="A2521" s="258"/>
      <c r="B2521" s="257"/>
      <c r="C2521" s="258"/>
      <c r="D2521" s="257"/>
      <c r="E2521" s="259"/>
      <c r="F2521" s="260"/>
      <c r="G2521" s="257"/>
      <c r="H2521" s="256"/>
      <c r="I2521" s="256"/>
      <c r="K2521" s="261"/>
      <c r="L2521" s="256"/>
      <c r="M2521" s="253"/>
      <c r="N2521" s="5"/>
      <c r="O2521" s="4"/>
    </row>
    <row r="2522" spans="1:15" x14ac:dyDescent="0.2">
      <c r="A2522" s="258"/>
      <c r="B2522" s="257"/>
      <c r="C2522" s="258"/>
      <c r="D2522" s="257"/>
      <c r="E2522" s="259"/>
      <c r="F2522" s="260"/>
      <c r="G2522" s="257"/>
      <c r="H2522" s="256"/>
      <c r="I2522" s="256"/>
      <c r="K2522" s="261"/>
      <c r="L2522" s="256"/>
      <c r="M2522" s="253"/>
      <c r="N2522" s="5"/>
      <c r="O2522" s="4"/>
    </row>
    <row r="2523" spans="1:15" x14ac:dyDescent="0.2">
      <c r="A2523" s="258"/>
      <c r="B2523" s="257"/>
      <c r="C2523" s="258"/>
      <c r="D2523" s="257"/>
      <c r="E2523" s="259"/>
      <c r="F2523" s="260"/>
      <c r="G2523" s="257"/>
      <c r="H2523" s="256"/>
      <c r="I2523" s="256"/>
      <c r="K2523" s="261"/>
      <c r="L2523" s="256"/>
      <c r="M2523" s="253"/>
      <c r="N2523" s="5"/>
      <c r="O2523" s="4"/>
    </row>
    <row r="2524" spans="1:15" x14ac:dyDescent="0.2">
      <c r="A2524" s="258"/>
      <c r="B2524" s="257"/>
      <c r="C2524" s="258"/>
      <c r="D2524" s="257"/>
      <c r="E2524" s="259"/>
      <c r="F2524" s="260"/>
      <c r="G2524" s="257"/>
      <c r="H2524" s="256"/>
      <c r="I2524" s="256"/>
      <c r="K2524" s="261"/>
      <c r="L2524" s="256"/>
      <c r="M2524" s="253"/>
      <c r="N2524" s="5"/>
      <c r="O2524" s="4"/>
    </row>
    <row r="2525" spans="1:15" x14ac:dyDescent="0.2">
      <c r="A2525" s="258"/>
      <c r="B2525" s="257"/>
      <c r="C2525" s="258"/>
      <c r="D2525" s="257"/>
      <c r="E2525" s="259"/>
      <c r="F2525" s="260"/>
      <c r="G2525" s="257"/>
      <c r="H2525" s="256"/>
      <c r="I2525" s="256"/>
      <c r="K2525" s="261"/>
      <c r="L2525" s="256"/>
      <c r="M2525" s="253"/>
      <c r="N2525" s="5"/>
      <c r="O2525" s="4"/>
    </row>
    <row r="2526" spans="1:15" x14ac:dyDescent="0.2">
      <c r="A2526" s="258"/>
      <c r="B2526" s="257"/>
      <c r="C2526" s="258"/>
      <c r="D2526" s="257"/>
      <c r="E2526" s="259"/>
      <c r="F2526" s="260"/>
      <c r="G2526" s="257"/>
      <c r="H2526" s="256"/>
      <c r="I2526" s="256"/>
      <c r="K2526" s="261"/>
      <c r="L2526" s="256"/>
      <c r="M2526" s="253"/>
      <c r="N2526" s="5"/>
      <c r="O2526" s="4"/>
    </row>
    <row r="2527" spans="1:15" x14ac:dyDescent="0.2">
      <c r="A2527" s="258"/>
      <c r="B2527" s="257"/>
      <c r="C2527" s="258"/>
      <c r="D2527" s="257"/>
      <c r="E2527" s="259"/>
      <c r="F2527" s="260"/>
      <c r="G2527" s="257"/>
      <c r="H2527" s="256"/>
      <c r="I2527" s="256"/>
      <c r="K2527" s="261"/>
      <c r="L2527" s="256"/>
      <c r="M2527" s="253"/>
      <c r="N2527" s="5"/>
      <c r="O2527" s="4"/>
    </row>
    <row r="2528" spans="1:15" x14ac:dyDescent="0.2">
      <c r="A2528" s="258"/>
      <c r="B2528" s="257"/>
      <c r="C2528" s="258"/>
      <c r="D2528" s="257"/>
      <c r="E2528" s="259"/>
      <c r="F2528" s="260"/>
      <c r="G2528" s="257"/>
      <c r="H2528" s="256"/>
      <c r="I2528" s="256"/>
      <c r="K2528" s="261"/>
      <c r="L2528" s="256"/>
      <c r="M2528" s="253"/>
      <c r="N2528" s="5"/>
      <c r="O2528" s="4"/>
    </row>
    <row r="2529" spans="1:15" x14ac:dyDescent="0.2">
      <c r="A2529" s="258"/>
      <c r="B2529" s="257"/>
      <c r="C2529" s="258"/>
      <c r="D2529" s="257"/>
      <c r="E2529" s="259"/>
      <c r="F2529" s="260"/>
      <c r="G2529" s="257"/>
      <c r="H2529" s="256"/>
      <c r="I2529" s="256"/>
      <c r="K2529" s="261"/>
      <c r="L2529" s="256"/>
      <c r="M2529" s="253"/>
      <c r="N2529" s="5"/>
      <c r="O2529" s="4"/>
    </row>
    <row r="2530" spans="1:15" x14ac:dyDescent="0.2">
      <c r="A2530" s="258"/>
      <c r="B2530" s="257"/>
      <c r="C2530" s="258"/>
      <c r="D2530" s="257"/>
      <c r="E2530" s="259"/>
      <c r="F2530" s="260"/>
      <c r="G2530" s="257"/>
      <c r="H2530" s="256"/>
      <c r="I2530" s="256"/>
      <c r="K2530" s="261"/>
      <c r="L2530" s="256"/>
      <c r="M2530" s="253"/>
      <c r="N2530" s="5"/>
      <c r="O2530" s="4"/>
    </row>
    <row r="2531" spans="1:15" x14ac:dyDescent="0.2">
      <c r="A2531" s="258"/>
      <c r="B2531" s="257"/>
      <c r="C2531" s="258"/>
      <c r="D2531" s="257"/>
      <c r="E2531" s="259"/>
      <c r="F2531" s="260"/>
      <c r="G2531" s="257"/>
      <c r="H2531" s="256"/>
      <c r="I2531" s="256"/>
      <c r="K2531" s="261"/>
      <c r="L2531" s="256"/>
      <c r="M2531" s="253"/>
      <c r="N2531" s="5"/>
      <c r="O2531" s="4"/>
    </row>
    <row r="2532" spans="1:15" x14ac:dyDescent="0.2">
      <c r="A2532" s="258"/>
      <c r="B2532" s="257"/>
      <c r="C2532" s="258"/>
      <c r="D2532" s="257"/>
      <c r="E2532" s="259"/>
      <c r="F2532" s="260"/>
      <c r="G2532" s="257"/>
      <c r="H2532" s="256"/>
      <c r="I2532" s="256"/>
      <c r="K2532" s="261"/>
      <c r="L2532" s="256"/>
      <c r="M2532" s="253"/>
      <c r="N2532" s="5"/>
      <c r="O2532" s="4"/>
    </row>
    <row r="2533" spans="1:15" x14ac:dyDescent="0.2">
      <c r="A2533" s="258"/>
      <c r="B2533" s="257"/>
      <c r="C2533" s="258"/>
      <c r="D2533" s="257"/>
      <c r="E2533" s="259"/>
      <c r="F2533" s="260"/>
      <c r="G2533" s="257"/>
      <c r="H2533" s="256"/>
      <c r="I2533" s="256"/>
      <c r="K2533" s="261"/>
      <c r="L2533" s="256"/>
      <c r="M2533" s="253"/>
      <c r="N2533" s="5"/>
      <c r="O2533" s="4"/>
    </row>
    <row r="2534" spans="1:15" x14ac:dyDescent="0.2">
      <c r="A2534" s="258"/>
      <c r="B2534" s="257"/>
      <c r="C2534" s="258"/>
      <c r="D2534" s="257"/>
      <c r="E2534" s="259"/>
      <c r="F2534" s="260"/>
      <c r="G2534" s="257"/>
      <c r="H2534" s="256"/>
      <c r="I2534" s="256"/>
      <c r="K2534" s="261"/>
      <c r="L2534" s="256"/>
      <c r="M2534" s="253"/>
      <c r="N2534" s="5"/>
      <c r="O2534" s="4"/>
    </row>
    <row r="2535" spans="1:15" x14ac:dyDescent="0.2">
      <c r="A2535" s="258"/>
      <c r="B2535" s="257"/>
      <c r="C2535" s="258"/>
      <c r="D2535" s="257"/>
      <c r="E2535" s="259"/>
      <c r="F2535" s="260"/>
      <c r="G2535" s="257"/>
      <c r="H2535" s="256"/>
      <c r="I2535" s="256"/>
      <c r="K2535" s="261"/>
      <c r="L2535" s="256"/>
      <c r="M2535" s="253"/>
      <c r="N2535" s="5"/>
      <c r="O2535" s="4"/>
    </row>
    <row r="2536" spans="1:15" x14ac:dyDescent="0.2">
      <c r="A2536" s="258"/>
      <c r="B2536" s="257"/>
      <c r="C2536" s="258"/>
      <c r="D2536" s="257"/>
      <c r="E2536" s="259"/>
      <c r="F2536" s="260"/>
      <c r="G2536" s="257"/>
      <c r="H2536" s="256"/>
      <c r="I2536" s="256"/>
      <c r="K2536" s="261"/>
      <c r="L2536" s="256"/>
      <c r="M2536" s="253"/>
      <c r="N2536" s="5"/>
      <c r="O2536" s="4"/>
    </row>
    <row r="2537" spans="1:15" x14ac:dyDescent="0.2">
      <c r="A2537" s="258"/>
      <c r="B2537" s="257"/>
      <c r="C2537" s="258"/>
      <c r="D2537" s="257"/>
      <c r="E2537" s="259"/>
      <c r="F2537" s="260"/>
      <c r="G2537" s="257"/>
      <c r="H2537" s="256"/>
      <c r="I2537" s="256"/>
      <c r="K2537" s="261"/>
      <c r="L2537" s="256"/>
      <c r="M2537" s="253"/>
      <c r="N2537" s="5"/>
      <c r="O2537" s="4"/>
    </row>
    <row r="2538" spans="1:15" x14ac:dyDescent="0.2">
      <c r="A2538" s="258"/>
      <c r="B2538" s="257"/>
      <c r="C2538" s="258"/>
      <c r="D2538" s="257"/>
      <c r="E2538" s="259"/>
      <c r="F2538" s="260"/>
      <c r="G2538" s="257"/>
      <c r="H2538" s="256"/>
      <c r="I2538" s="256"/>
      <c r="K2538" s="261"/>
      <c r="L2538" s="256"/>
      <c r="M2538" s="253"/>
      <c r="N2538" s="5"/>
      <c r="O2538" s="4"/>
    </row>
    <row r="2539" spans="1:15" x14ac:dyDescent="0.2">
      <c r="A2539" s="258"/>
      <c r="B2539" s="257"/>
      <c r="C2539" s="258"/>
      <c r="D2539" s="257"/>
      <c r="E2539" s="259"/>
      <c r="F2539" s="260"/>
      <c r="G2539" s="257"/>
      <c r="H2539" s="256"/>
      <c r="I2539" s="256"/>
      <c r="K2539" s="261"/>
      <c r="L2539" s="256"/>
      <c r="M2539" s="253"/>
      <c r="N2539" s="5"/>
      <c r="O2539" s="4"/>
    </row>
    <row r="2540" spans="1:15" x14ac:dyDescent="0.2">
      <c r="A2540" s="258"/>
      <c r="B2540" s="257"/>
      <c r="C2540" s="258"/>
      <c r="D2540" s="257"/>
      <c r="E2540" s="259"/>
      <c r="F2540" s="260"/>
      <c r="G2540" s="257"/>
      <c r="H2540" s="256"/>
      <c r="I2540" s="256"/>
      <c r="K2540" s="261"/>
      <c r="L2540" s="256"/>
      <c r="M2540" s="253"/>
      <c r="N2540" s="5"/>
      <c r="O2540" s="4"/>
    </row>
    <row r="2541" spans="1:15" x14ac:dyDescent="0.2">
      <c r="A2541" s="258"/>
      <c r="B2541" s="257"/>
      <c r="C2541" s="258"/>
      <c r="D2541" s="257"/>
      <c r="E2541" s="259"/>
      <c r="F2541" s="260"/>
      <c r="G2541" s="257"/>
      <c r="H2541" s="256"/>
      <c r="I2541" s="256"/>
      <c r="K2541" s="261"/>
      <c r="L2541" s="256"/>
      <c r="M2541" s="253"/>
      <c r="N2541" s="5"/>
      <c r="O2541" s="4"/>
    </row>
    <row r="2542" spans="1:15" x14ac:dyDescent="0.2">
      <c r="A2542" s="258"/>
      <c r="B2542" s="257"/>
      <c r="C2542" s="258"/>
      <c r="D2542" s="257"/>
      <c r="E2542" s="259"/>
      <c r="F2542" s="260"/>
      <c r="G2542" s="257"/>
      <c r="H2542" s="256"/>
      <c r="I2542" s="256"/>
      <c r="K2542" s="261"/>
      <c r="L2542" s="256"/>
      <c r="M2542" s="253"/>
      <c r="N2542" s="5"/>
      <c r="O2542" s="4"/>
    </row>
    <row r="2543" spans="1:15" x14ac:dyDescent="0.2">
      <c r="A2543" s="258"/>
      <c r="B2543" s="257"/>
      <c r="C2543" s="258"/>
      <c r="D2543" s="257"/>
      <c r="E2543" s="259"/>
      <c r="F2543" s="260"/>
      <c r="G2543" s="257"/>
      <c r="H2543" s="256"/>
      <c r="I2543" s="256"/>
      <c r="K2543" s="261"/>
      <c r="L2543" s="256"/>
      <c r="M2543" s="253"/>
      <c r="N2543" s="5"/>
      <c r="O2543" s="4"/>
    </row>
    <row r="2544" spans="1:15" x14ac:dyDescent="0.2">
      <c r="A2544" s="13"/>
      <c r="B2544" s="12"/>
      <c r="C2544" s="13"/>
      <c r="D2544" s="12"/>
      <c r="E2544" s="14"/>
      <c r="F2544" s="15"/>
      <c r="G2544" s="12"/>
      <c r="H2544" s="7"/>
      <c r="I2544" s="7"/>
      <c r="K2544" s="18"/>
      <c r="L2544" s="7"/>
      <c r="N2544" s="5"/>
      <c r="O2544" s="4"/>
    </row>
    <row r="2545" spans="1:15" x14ac:dyDescent="0.2">
      <c r="A2545" s="13"/>
      <c r="B2545" s="12"/>
      <c r="C2545" s="13"/>
      <c r="D2545" s="12"/>
      <c r="E2545" s="14"/>
      <c r="F2545" s="15"/>
      <c r="G2545" s="12"/>
      <c r="H2545" s="7"/>
      <c r="I2545" s="7"/>
      <c r="K2545" s="18"/>
      <c r="L2545" s="7"/>
      <c r="N2545" s="5"/>
      <c r="O2545" s="4"/>
    </row>
    <row r="2546" spans="1:15" x14ac:dyDescent="0.2">
      <c r="A2546" s="13"/>
      <c r="B2546" s="12"/>
      <c r="C2546" s="13"/>
      <c r="D2546" s="12"/>
      <c r="E2546" s="14"/>
      <c r="F2546" s="15"/>
      <c r="G2546" s="12"/>
      <c r="H2546" s="7"/>
      <c r="I2546" s="7"/>
      <c r="K2546" s="18"/>
      <c r="L2546" s="7"/>
      <c r="N2546" s="5"/>
      <c r="O2546" s="4"/>
    </row>
    <row r="2547" spans="1:15" x14ac:dyDescent="0.2">
      <c r="A2547" s="13"/>
      <c r="B2547" s="12"/>
      <c r="C2547" s="13"/>
      <c r="D2547" s="12"/>
      <c r="E2547" s="14"/>
      <c r="F2547" s="15"/>
      <c r="G2547" s="12"/>
      <c r="H2547" s="7"/>
      <c r="I2547" s="7"/>
      <c r="K2547" s="18"/>
      <c r="L2547" s="7"/>
      <c r="N2547" s="5"/>
      <c r="O2547" s="4"/>
    </row>
    <row r="2548" spans="1:15" x14ac:dyDescent="0.2">
      <c r="A2548" s="13"/>
      <c r="B2548" s="12"/>
      <c r="C2548" s="13"/>
      <c r="D2548" s="12"/>
      <c r="E2548" s="14"/>
      <c r="F2548" s="15"/>
      <c r="G2548" s="12"/>
      <c r="H2548" s="7"/>
      <c r="I2548" s="7"/>
      <c r="K2548" s="18"/>
      <c r="L2548" s="7"/>
      <c r="N2548" s="5"/>
      <c r="O2548" s="4"/>
    </row>
    <row r="2549" spans="1:15" x14ac:dyDescent="0.2">
      <c r="A2549" s="13"/>
      <c r="B2549" s="12"/>
      <c r="C2549" s="13"/>
      <c r="D2549" s="12"/>
      <c r="E2549" s="14"/>
      <c r="F2549" s="15"/>
      <c r="G2549" s="12"/>
      <c r="H2549" s="7"/>
      <c r="I2549" s="7"/>
      <c r="K2549" s="18"/>
      <c r="L2549" s="7"/>
      <c r="N2549" s="5"/>
      <c r="O2549" s="4"/>
    </row>
    <row r="2550" spans="1:15" x14ac:dyDescent="0.2">
      <c r="A2550" s="13"/>
      <c r="B2550" s="12"/>
      <c r="C2550" s="13"/>
      <c r="D2550" s="12"/>
      <c r="E2550" s="14"/>
      <c r="F2550" s="15"/>
      <c r="G2550" s="12"/>
      <c r="H2550" s="7"/>
      <c r="I2550" s="7"/>
      <c r="K2550" s="18"/>
      <c r="L2550" s="7"/>
      <c r="N2550" s="5"/>
      <c r="O2550" s="4"/>
    </row>
    <row r="2551" spans="1:15" x14ac:dyDescent="0.2">
      <c r="A2551" s="13"/>
      <c r="B2551" s="12"/>
      <c r="C2551" s="13"/>
      <c r="D2551" s="12"/>
      <c r="E2551" s="14"/>
      <c r="F2551" s="15"/>
      <c r="G2551" s="12"/>
      <c r="H2551" s="7"/>
      <c r="I2551" s="7"/>
      <c r="K2551" s="18"/>
      <c r="L2551" s="7"/>
      <c r="N2551" s="5"/>
      <c r="O2551" s="4"/>
    </row>
    <row r="2552" spans="1:15" x14ac:dyDescent="0.2">
      <c r="A2552" s="13"/>
      <c r="B2552" s="12"/>
      <c r="C2552" s="13"/>
      <c r="D2552" s="12"/>
      <c r="E2552" s="14"/>
      <c r="F2552" s="15"/>
      <c r="G2552" s="12"/>
      <c r="H2552" s="7"/>
      <c r="I2552" s="7"/>
      <c r="K2552" s="18"/>
      <c r="L2552" s="7"/>
      <c r="N2552" s="5"/>
      <c r="O2552" s="4"/>
    </row>
    <row r="2553" spans="1:15" x14ac:dyDescent="0.2">
      <c r="A2553" s="13"/>
      <c r="B2553" s="12"/>
      <c r="C2553" s="13"/>
      <c r="D2553" s="12"/>
      <c r="E2553" s="14"/>
      <c r="F2553" s="15"/>
      <c r="G2553" s="12"/>
      <c r="H2553" s="7"/>
      <c r="I2553" s="7"/>
      <c r="K2553" s="18"/>
      <c r="L2553" s="7"/>
      <c r="N2553" s="5"/>
      <c r="O2553" s="4"/>
    </row>
    <row r="2554" spans="1:15" x14ac:dyDescent="0.2">
      <c r="A2554" s="13"/>
      <c r="B2554" s="12"/>
      <c r="C2554" s="13"/>
      <c r="D2554" s="12"/>
      <c r="E2554" s="14"/>
      <c r="F2554" s="15"/>
      <c r="G2554" s="12"/>
      <c r="H2554" s="7"/>
      <c r="I2554" s="7"/>
      <c r="K2554" s="18"/>
      <c r="L2554" s="7"/>
      <c r="N2554" s="5"/>
      <c r="O2554" s="4"/>
    </row>
    <row r="2555" spans="1:15" x14ac:dyDescent="0.2">
      <c r="A2555" s="13"/>
      <c r="B2555" s="12"/>
      <c r="C2555" s="13"/>
      <c r="D2555" s="12"/>
      <c r="E2555" s="14"/>
      <c r="F2555" s="15"/>
      <c r="G2555" s="12"/>
      <c r="H2555" s="7"/>
      <c r="I2555" s="7"/>
      <c r="K2555" s="18"/>
      <c r="L2555" s="7"/>
      <c r="N2555" s="5"/>
      <c r="O2555" s="4"/>
    </row>
    <row r="2556" spans="1:15" x14ac:dyDescent="0.2">
      <c r="A2556" s="13"/>
      <c r="B2556" s="12"/>
      <c r="C2556" s="13"/>
      <c r="D2556" s="12"/>
      <c r="E2556" s="14"/>
      <c r="F2556" s="15"/>
      <c r="G2556" s="12"/>
      <c r="H2556" s="7"/>
      <c r="I2556" s="7"/>
      <c r="K2556" s="18"/>
      <c r="L2556" s="7"/>
      <c r="N2556" s="5"/>
      <c r="O2556" s="4"/>
    </row>
    <row r="2557" spans="1:15" x14ac:dyDescent="0.2">
      <c r="A2557" s="13"/>
      <c r="B2557" s="12"/>
      <c r="C2557" s="13"/>
      <c r="D2557" s="12"/>
      <c r="E2557" s="14"/>
      <c r="F2557" s="15"/>
      <c r="G2557" s="12"/>
      <c r="H2557" s="7"/>
      <c r="I2557" s="7"/>
      <c r="K2557" s="18"/>
      <c r="L2557" s="7"/>
      <c r="N2557" s="5"/>
      <c r="O2557" s="4"/>
    </row>
    <row r="2558" spans="1:15" x14ac:dyDescent="0.2">
      <c r="A2558" s="13"/>
      <c r="B2558" s="12"/>
      <c r="C2558" s="13"/>
      <c r="D2558" s="12"/>
      <c r="E2558" s="14"/>
      <c r="F2558" s="15"/>
      <c r="G2558" s="12"/>
      <c r="H2558" s="7"/>
      <c r="I2558" s="7"/>
      <c r="K2558" s="18"/>
      <c r="L2558" s="7"/>
      <c r="N2558" s="5"/>
      <c r="O2558" s="4"/>
    </row>
    <row r="2559" spans="1:15" x14ac:dyDescent="0.2">
      <c r="A2559" s="13"/>
      <c r="B2559" s="12"/>
      <c r="C2559" s="13"/>
      <c r="D2559" s="12"/>
      <c r="E2559" s="14"/>
      <c r="F2559" s="15"/>
      <c r="G2559" s="12"/>
      <c r="H2559" s="7"/>
      <c r="I2559" s="7"/>
      <c r="K2559" s="18"/>
      <c r="L2559" s="7"/>
      <c r="N2559" s="5"/>
      <c r="O2559" s="4"/>
    </row>
    <row r="2560" spans="1:15" x14ac:dyDescent="0.2">
      <c r="A2560" s="13"/>
      <c r="B2560" s="12"/>
      <c r="C2560" s="13"/>
      <c r="D2560" s="12"/>
      <c r="E2560" s="14"/>
      <c r="F2560" s="15"/>
      <c r="G2560" s="12"/>
      <c r="H2560" s="7"/>
      <c r="I2560" s="7"/>
      <c r="K2560" s="18"/>
      <c r="L2560" s="7"/>
      <c r="N2560" s="5"/>
      <c r="O2560" s="4"/>
    </row>
    <row r="2561" spans="1:15" x14ac:dyDescent="0.2">
      <c r="A2561" s="13"/>
      <c r="B2561" s="12"/>
      <c r="C2561" s="13"/>
      <c r="D2561" s="12"/>
      <c r="E2561" s="14"/>
      <c r="F2561" s="15"/>
      <c r="G2561" s="12"/>
      <c r="H2561" s="7"/>
      <c r="I2561" s="7"/>
      <c r="K2561" s="18"/>
      <c r="L2561" s="7"/>
      <c r="N2561" s="5"/>
      <c r="O2561" s="4"/>
    </row>
    <row r="2562" spans="1:15" x14ac:dyDescent="0.2">
      <c r="A2562" s="13"/>
      <c r="B2562" s="12"/>
      <c r="C2562" s="13"/>
      <c r="D2562" s="12"/>
      <c r="E2562" s="14"/>
      <c r="F2562" s="15"/>
      <c r="G2562" s="12"/>
      <c r="H2562" s="7"/>
      <c r="I2562" s="7"/>
      <c r="K2562" s="18"/>
      <c r="L2562" s="7"/>
      <c r="N2562" s="5"/>
      <c r="O2562" s="4"/>
    </row>
    <row r="2563" spans="1:15" x14ac:dyDescent="0.2">
      <c r="A2563" s="13"/>
      <c r="B2563" s="12"/>
      <c r="C2563" s="13"/>
      <c r="D2563" s="12"/>
      <c r="E2563" s="14"/>
      <c r="F2563" s="15"/>
      <c r="G2563" s="12"/>
      <c r="H2563" s="7"/>
      <c r="I2563" s="7"/>
      <c r="K2563" s="18"/>
      <c r="L2563" s="7"/>
      <c r="N2563" s="5"/>
      <c r="O2563" s="4"/>
    </row>
    <row r="2564" spans="1:15" x14ac:dyDescent="0.2">
      <c r="A2564" s="13"/>
      <c r="B2564" s="12"/>
      <c r="C2564" s="13"/>
      <c r="D2564" s="12"/>
      <c r="E2564" s="14"/>
      <c r="F2564" s="15"/>
      <c r="G2564" s="12"/>
      <c r="H2564" s="7"/>
      <c r="I2564" s="7"/>
      <c r="K2564" s="18"/>
      <c r="L2564" s="7"/>
      <c r="N2564" s="5"/>
      <c r="O2564" s="4"/>
    </row>
    <row r="2565" spans="1:15" x14ac:dyDescent="0.2">
      <c r="A2565" s="13"/>
      <c r="B2565" s="12"/>
      <c r="C2565" s="13"/>
      <c r="D2565" s="12"/>
      <c r="E2565" s="14"/>
      <c r="F2565" s="15"/>
      <c r="G2565" s="12"/>
      <c r="H2565" s="7"/>
      <c r="I2565" s="7"/>
      <c r="K2565" s="18"/>
      <c r="L2565" s="7"/>
      <c r="N2565" s="5"/>
      <c r="O2565" s="4"/>
    </row>
    <row r="2566" spans="1:15" x14ac:dyDescent="0.2">
      <c r="A2566" s="13"/>
      <c r="B2566" s="12"/>
      <c r="C2566" s="13"/>
      <c r="D2566" s="12"/>
      <c r="E2566" s="14"/>
      <c r="F2566" s="15"/>
      <c r="G2566" s="12"/>
      <c r="H2566" s="7"/>
      <c r="I2566" s="7"/>
      <c r="K2566" s="18"/>
      <c r="L2566" s="7"/>
      <c r="N2566" s="5"/>
      <c r="O2566" s="4"/>
    </row>
    <row r="2567" spans="1:15" x14ac:dyDescent="0.2">
      <c r="A2567" s="13"/>
      <c r="B2567" s="12"/>
      <c r="C2567" s="13"/>
      <c r="D2567" s="12"/>
      <c r="E2567" s="14"/>
      <c r="F2567" s="15"/>
      <c r="G2567" s="12"/>
      <c r="H2567" s="7"/>
      <c r="I2567" s="7"/>
      <c r="K2567" s="18"/>
      <c r="L2567" s="7"/>
      <c r="N2567" s="5"/>
      <c r="O2567" s="4"/>
    </row>
    <row r="2568" spans="1:15" x14ac:dyDescent="0.2">
      <c r="A2568" s="13"/>
      <c r="B2568" s="12"/>
      <c r="C2568" s="13"/>
      <c r="D2568" s="12"/>
      <c r="E2568" s="14"/>
      <c r="F2568" s="15"/>
      <c r="G2568" s="12"/>
      <c r="H2568" s="7"/>
      <c r="I2568" s="7"/>
      <c r="K2568" s="18"/>
      <c r="L2568" s="7"/>
      <c r="N2568" s="5"/>
      <c r="O2568" s="4"/>
    </row>
    <row r="2569" spans="1:15" x14ac:dyDescent="0.2">
      <c r="A2569" s="13"/>
      <c r="B2569" s="12"/>
      <c r="C2569" s="13"/>
      <c r="D2569" s="12"/>
      <c r="E2569" s="14"/>
      <c r="F2569" s="15"/>
      <c r="G2569" s="12"/>
      <c r="H2569" s="7"/>
      <c r="I2569" s="7"/>
      <c r="K2569" s="18"/>
      <c r="L2569" s="7"/>
      <c r="N2569" s="5"/>
      <c r="O2569" s="4"/>
    </row>
    <row r="2570" spans="1:15" x14ac:dyDescent="0.2">
      <c r="A2570" s="13"/>
      <c r="B2570" s="12"/>
      <c r="C2570" s="13"/>
      <c r="D2570" s="12"/>
      <c r="E2570" s="14"/>
      <c r="F2570" s="15"/>
      <c r="G2570" s="12"/>
      <c r="H2570" s="7"/>
      <c r="I2570" s="7"/>
      <c r="K2570" s="18"/>
      <c r="L2570" s="7"/>
      <c r="N2570" s="5"/>
      <c r="O2570" s="4"/>
    </row>
    <row r="2571" spans="1:15" x14ac:dyDescent="0.2">
      <c r="A2571" s="13"/>
      <c r="B2571" s="12"/>
      <c r="C2571" s="13"/>
      <c r="D2571" s="12"/>
      <c r="E2571" s="14"/>
      <c r="F2571" s="15"/>
      <c r="G2571" s="12"/>
      <c r="H2571" s="7"/>
      <c r="I2571" s="7"/>
      <c r="K2571" s="18"/>
      <c r="L2571" s="7"/>
      <c r="N2571" s="5"/>
      <c r="O2571" s="4"/>
    </row>
    <row r="2572" spans="1:15" x14ac:dyDescent="0.2">
      <c r="A2572" s="13"/>
      <c r="B2572" s="12"/>
      <c r="C2572" s="13"/>
      <c r="D2572" s="12"/>
      <c r="E2572" s="14"/>
      <c r="F2572" s="15"/>
      <c r="G2572" s="12"/>
      <c r="H2572" s="7"/>
      <c r="I2572" s="7"/>
      <c r="K2572" s="18"/>
      <c r="L2572" s="7"/>
      <c r="N2572" s="5"/>
      <c r="O2572" s="4"/>
    </row>
    <row r="2573" spans="1:15" x14ac:dyDescent="0.2">
      <c r="A2573" s="13"/>
      <c r="B2573" s="12"/>
      <c r="C2573" s="13"/>
      <c r="D2573" s="12"/>
      <c r="E2573" s="14"/>
      <c r="F2573" s="15"/>
      <c r="G2573" s="12"/>
      <c r="H2573" s="7"/>
      <c r="I2573" s="7"/>
      <c r="K2573" s="18"/>
      <c r="L2573" s="7"/>
      <c r="N2573" s="5"/>
      <c r="O2573" s="4"/>
    </row>
    <row r="2574" spans="1:15" x14ac:dyDescent="0.2">
      <c r="A2574" s="13"/>
      <c r="B2574" s="12"/>
      <c r="C2574" s="13"/>
      <c r="D2574" s="12"/>
      <c r="E2574" s="14"/>
      <c r="F2574" s="15"/>
      <c r="G2574" s="12"/>
      <c r="H2574" s="7"/>
      <c r="I2574" s="7"/>
      <c r="K2574" s="18"/>
      <c r="L2574" s="7"/>
      <c r="N2574" s="5"/>
      <c r="O2574" s="4"/>
    </row>
    <row r="2575" spans="1:15" x14ac:dyDescent="0.2">
      <c r="A2575" s="13"/>
      <c r="B2575" s="12"/>
      <c r="C2575" s="13"/>
      <c r="D2575" s="12"/>
      <c r="E2575" s="14"/>
      <c r="F2575" s="15"/>
      <c r="G2575" s="12"/>
      <c r="H2575" s="7"/>
      <c r="I2575" s="7"/>
      <c r="K2575" s="18"/>
      <c r="L2575" s="7"/>
      <c r="N2575" s="5"/>
      <c r="O2575" s="4"/>
    </row>
    <row r="2576" spans="1:15" x14ac:dyDescent="0.2">
      <c r="A2576" s="13"/>
      <c r="B2576" s="12"/>
      <c r="C2576" s="13"/>
      <c r="D2576" s="12"/>
      <c r="E2576" s="14"/>
      <c r="F2576" s="15"/>
      <c r="G2576" s="12"/>
      <c r="H2576" s="7"/>
      <c r="I2576" s="7"/>
      <c r="K2576" s="18"/>
      <c r="L2576" s="7"/>
      <c r="N2576" s="5"/>
      <c r="O2576" s="4"/>
    </row>
    <row r="2577" spans="1:15" x14ac:dyDescent="0.2">
      <c r="A2577" s="13"/>
      <c r="B2577" s="12"/>
      <c r="C2577" s="13"/>
      <c r="D2577" s="12"/>
      <c r="E2577" s="14"/>
      <c r="F2577" s="15"/>
      <c r="G2577" s="12"/>
      <c r="H2577" s="7"/>
      <c r="I2577" s="7"/>
      <c r="K2577" s="18"/>
      <c r="L2577" s="7"/>
      <c r="N2577" s="5"/>
      <c r="O2577" s="4"/>
    </row>
    <row r="2578" spans="1:15" x14ac:dyDescent="0.2">
      <c r="A2578" s="13"/>
      <c r="B2578" s="12"/>
      <c r="C2578" s="13"/>
      <c r="D2578" s="12"/>
      <c r="E2578" s="14"/>
      <c r="F2578" s="15"/>
      <c r="G2578" s="12"/>
      <c r="H2578" s="7"/>
      <c r="I2578" s="7"/>
      <c r="K2578" s="18"/>
      <c r="L2578" s="7"/>
      <c r="N2578" s="5"/>
      <c r="O2578" s="4"/>
    </row>
    <row r="2579" spans="1:15" x14ac:dyDescent="0.2">
      <c r="A2579" s="13"/>
      <c r="B2579" s="12"/>
      <c r="C2579" s="13"/>
      <c r="D2579" s="12"/>
      <c r="E2579" s="14"/>
      <c r="F2579" s="15"/>
      <c r="G2579" s="12"/>
      <c r="H2579" s="7"/>
      <c r="I2579" s="7"/>
      <c r="K2579" s="18"/>
      <c r="L2579" s="7"/>
      <c r="N2579" s="5"/>
      <c r="O2579" s="4"/>
    </row>
    <row r="2580" spans="1:15" x14ac:dyDescent="0.2">
      <c r="A2580" s="13"/>
      <c r="B2580" s="12"/>
      <c r="C2580" s="13"/>
      <c r="D2580" s="12"/>
      <c r="E2580" s="14"/>
      <c r="F2580" s="15"/>
      <c r="G2580" s="12"/>
      <c r="H2580" s="7"/>
      <c r="I2580" s="7"/>
      <c r="K2580" s="18"/>
      <c r="L2580" s="7"/>
      <c r="N2580" s="5"/>
      <c r="O2580" s="4"/>
    </row>
    <row r="2581" spans="1:15" x14ac:dyDescent="0.2">
      <c r="A2581" s="13"/>
      <c r="B2581" s="12"/>
      <c r="C2581" s="13"/>
      <c r="D2581" s="12"/>
      <c r="E2581" s="14"/>
      <c r="F2581" s="15"/>
      <c r="G2581" s="12"/>
      <c r="H2581" s="7"/>
      <c r="I2581" s="7"/>
      <c r="K2581" s="18"/>
      <c r="L2581" s="7"/>
      <c r="N2581" s="5"/>
      <c r="O2581" s="4"/>
    </row>
    <row r="2582" spans="1:15" x14ac:dyDescent="0.2">
      <c r="A2582" s="13"/>
      <c r="B2582" s="12"/>
      <c r="C2582" s="13"/>
      <c r="D2582" s="12"/>
      <c r="E2582" s="14"/>
      <c r="F2582" s="15"/>
      <c r="G2582" s="12"/>
      <c r="H2582" s="7"/>
      <c r="I2582" s="7"/>
      <c r="K2582" s="18"/>
      <c r="L2582" s="7"/>
      <c r="N2582" s="5"/>
      <c r="O2582" s="4"/>
    </row>
    <row r="2583" spans="1:15" x14ac:dyDescent="0.2">
      <c r="A2583" s="13"/>
      <c r="B2583" s="12"/>
      <c r="C2583" s="13"/>
      <c r="D2583" s="12"/>
      <c r="E2583" s="14"/>
      <c r="F2583" s="15"/>
      <c r="G2583" s="12"/>
      <c r="H2583" s="7"/>
      <c r="I2583" s="7"/>
      <c r="K2583" s="18"/>
      <c r="L2583" s="7"/>
      <c r="N2583" s="5"/>
      <c r="O2583" s="4"/>
    </row>
    <row r="2584" spans="1:15" x14ac:dyDescent="0.2">
      <c r="A2584" s="13"/>
      <c r="B2584" s="12"/>
      <c r="C2584" s="13"/>
      <c r="D2584" s="12"/>
      <c r="E2584" s="14"/>
      <c r="F2584" s="15"/>
      <c r="G2584" s="12"/>
      <c r="H2584" s="7"/>
      <c r="I2584" s="7"/>
      <c r="K2584" s="18"/>
      <c r="L2584" s="7"/>
      <c r="N2584" s="5"/>
      <c r="O2584" s="4"/>
    </row>
    <row r="2585" spans="1:15" x14ac:dyDescent="0.2">
      <c r="A2585" s="13"/>
      <c r="B2585" s="12"/>
      <c r="C2585" s="13"/>
      <c r="D2585" s="12"/>
      <c r="E2585" s="14"/>
      <c r="F2585" s="15"/>
      <c r="G2585" s="12"/>
      <c r="H2585" s="7"/>
      <c r="I2585" s="7"/>
      <c r="K2585" s="18"/>
      <c r="L2585" s="7"/>
      <c r="N2585" s="5"/>
      <c r="O2585" s="4"/>
    </row>
    <row r="2586" spans="1:15" x14ac:dyDescent="0.2">
      <c r="A2586" s="13"/>
      <c r="B2586" s="12"/>
      <c r="C2586" s="13"/>
      <c r="D2586" s="12"/>
      <c r="E2586" s="14"/>
      <c r="F2586" s="15"/>
      <c r="G2586" s="12"/>
      <c r="H2586" s="7"/>
      <c r="I2586" s="7"/>
      <c r="K2586" s="18"/>
      <c r="L2586" s="7"/>
      <c r="N2586" s="5"/>
      <c r="O2586" s="4"/>
    </row>
    <row r="2587" spans="1:15" x14ac:dyDescent="0.2">
      <c r="A2587" s="13"/>
      <c r="B2587" s="12"/>
      <c r="C2587" s="13"/>
      <c r="D2587" s="12"/>
      <c r="E2587" s="14"/>
      <c r="F2587" s="15"/>
      <c r="G2587" s="12"/>
      <c r="H2587" s="7"/>
      <c r="I2587" s="7"/>
      <c r="K2587" s="18"/>
      <c r="L2587" s="7"/>
      <c r="N2587" s="5"/>
      <c r="O2587" s="4"/>
    </row>
    <row r="2588" spans="1:15" x14ac:dyDescent="0.2">
      <c r="A2588" s="13"/>
      <c r="B2588" s="12"/>
      <c r="C2588" s="13"/>
      <c r="D2588" s="12"/>
      <c r="E2588" s="14"/>
      <c r="F2588" s="15"/>
      <c r="G2588" s="12"/>
      <c r="H2588" s="7"/>
      <c r="I2588" s="7"/>
      <c r="K2588" s="18"/>
      <c r="L2588" s="7"/>
      <c r="N2588" s="5"/>
      <c r="O2588" s="4"/>
    </row>
    <row r="2589" spans="1:15" x14ac:dyDescent="0.2">
      <c r="A2589" s="13"/>
      <c r="B2589" s="12"/>
      <c r="C2589" s="13"/>
      <c r="D2589" s="12"/>
      <c r="E2589" s="14"/>
      <c r="F2589" s="15"/>
      <c r="G2589" s="12"/>
      <c r="H2589" s="7"/>
      <c r="I2589" s="7"/>
      <c r="K2589" s="18"/>
      <c r="L2589" s="7"/>
      <c r="N2589" s="5"/>
      <c r="O2589" s="4"/>
    </row>
    <row r="2590" spans="1:15" x14ac:dyDescent="0.2">
      <c r="A2590" s="13"/>
      <c r="B2590" s="12"/>
      <c r="C2590" s="13"/>
      <c r="D2590" s="12"/>
      <c r="E2590" s="14"/>
      <c r="F2590" s="15"/>
      <c r="G2590" s="12"/>
      <c r="H2590" s="7"/>
      <c r="I2590" s="7"/>
      <c r="K2590" s="18"/>
      <c r="L2590" s="7"/>
      <c r="N2590" s="5"/>
      <c r="O2590" s="4"/>
    </row>
    <row r="2591" spans="1:15" x14ac:dyDescent="0.2">
      <c r="A2591" s="13"/>
      <c r="B2591" s="12"/>
      <c r="C2591" s="13"/>
      <c r="D2591" s="12"/>
      <c r="E2591" s="14"/>
      <c r="F2591" s="15"/>
      <c r="G2591" s="12"/>
      <c r="H2591" s="7"/>
      <c r="I2591" s="7"/>
      <c r="K2591" s="18"/>
      <c r="L2591" s="7"/>
      <c r="N2591" s="5"/>
      <c r="O2591" s="4"/>
    </row>
    <row r="2592" spans="1:15" x14ac:dyDescent="0.2">
      <c r="A2592" s="13"/>
      <c r="B2592" s="12"/>
      <c r="C2592" s="13"/>
      <c r="D2592" s="12"/>
      <c r="E2592" s="14"/>
      <c r="F2592" s="15"/>
      <c r="G2592" s="12"/>
      <c r="H2592" s="7"/>
      <c r="I2592" s="7"/>
      <c r="K2592" s="18"/>
      <c r="L2592" s="7"/>
      <c r="N2592" s="5"/>
      <c r="O2592" s="4"/>
    </row>
    <row r="2593" spans="1:15" x14ac:dyDescent="0.2">
      <c r="A2593" s="13"/>
      <c r="B2593" s="12"/>
      <c r="C2593" s="13"/>
      <c r="D2593" s="12"/>
      <c r="E2593" s="14"/>
      <c r="F2593" s="15"/>
      <c r="G2593" s="12"/>
      <c r="H2593" s="7"/>
      <c r="I2593" s="7"/>
      <c r="K2593" s="18"/>
      <c r="L2593" s="7"/>
      <c r="N2593" s="5"/>
      <c r="O2593" s="4"/>
    </row>
    <row r="2594" spans="1:15" x14ac:dyDescent="0.2">
      <c r="A2594" s="13"/>
      <c r="B2594" s="12"/>
      <c r="C2594" s="13"/>
      <c r="D2594" s="12"/>
      <c r="E2594" s="14"/>
      <c r="F2594" s="15"/>
      <c r="G2594" s="12"/>
      <c r="H2594" s="7"/>
      <c r="I2594" s="7"/>
      <c r="K2594" s="18"/>
      <c r="L2594" s="7"/>
      <c r="N2594" s="5"/>
      <c r="O2594" s="4"/>
    </row>
    <row r="2595" spans="1:15" x14ac:dyDescent="0.2">
      <c r="A2595" s="13"/>
      <c r="B2595" s="12"/>
      <c r="C2595" s="13"/>
      <c r="D2595" s="12"/>
      <c r="E2595" s="14"/>
      <c r="F2595" s="15"/>
      <c r="G2595" s="12"/>
      <c r="H2595" s="7"/>
      <c r="I2595" s="7"/>
      <c r="K2595" s="18"/>
      <c r="L2595" s="7"/>
      <c r="N2595" s="5"/>
      <c r="O2595" s="4"/>
    </row>
    <row r="2596" spans="1:15" x14ac:dyDescent="0.2">
      <c r="A2596" s="13"/>
      <c r="B2596" s="12"/>
      <c r="C2596" s="13"/>
      <c r="D2596" s="12"/>
      <c r="E2596" s="14"/>
      <c r="F2596" s="15"/>
      <c r="G2596" s="12"/>
      <c r="H2596" s="7"/>
      <c r="I2596" s="7"/>
      <c r="K2596" s="18"/>
      <c r="L2596" s="7"/>
      <c r="N2596" s="5"/>
      <c r="O2596" s="4"/>
    </row>
    <row r="2597" spans="1:15" x14ac:dyDescent="0.2">
      <c r="A2597" s="13"/>
      <c r="B2597" s="12"/>
      <c r="C2597" s="13"/>
      <c r="D2597" s="12"/>
      <c r="E2597" s="14"/>
      <c r="F2597" s="15"/>
      <c r="G2597" s="12"/>
      <c r="H2597" s="7"/>
      <c r="I2597" s="7"/>
      <c r="K2597" s="18"/>
      <c r="L2597" s="7"/>
      <c r="N2597" s="5"/>
      <c r="O2597" s="4"/>
    </row>
    <row r="2598" spans="1:15" x14ac:dyDescent="0.2">
      <c r="A2598" s="13"/>
      <c r="B2598" s="12"/>
      <c r="C2598" s="13"/>
      <c r="D2598" s="12"/>
      <c r="E2598" s="14"/>
      <c r="F2598" s="15"/>
      <c r="G2598" s="12"/>
      <c r="H2598" s="7"/>
      <c r="I2598" s="7"/>
      <c r="K2598" s="18"/>
      <c r="L2598" s="7"/>
      <c r="N2598" s="5"/>
      <c r="O2598" s="4"/>
    </row>
    <row r="2599" spans="1:15" x14ac:dyDescent="0.2">
      <c r="A2599" s="13"/>
      <c r="B2599" s="12"/>
      <c r="C2599" s="13"/>
      <c r="D2599" s="12"/>
      <c r="E2599" s="14"/>
      <c r="F2599" s="15"/>
      <c r="G2599" s="12"/>
      <c r="H2599" s="7"/>
      <c r="I2599" s="7"/>
      <c r="K2599" s="18"/>
      <c r="L2599" s="7"/>
      <c r="N2599" s="5"/>
      <c r="O2599" s="4"/>
    </row>
    <row r="2600" spans="1:15" x14ac:dyDescent="0.2">
      <c r="A2600" s="13"/>
      <c r="B2600" s="12"/>
      <c r="C2600" s="13"/>
      <c r="D2600" s="12"/>
      <c r="E2600" s="14"/>
      <c r="F2600" s="15"/>
      <c r="G2600" s="12"/>
      <c r="H2600" s="7"/>
      <c r="I2600" s="7"/>
      <c r="K2600" s="18"/>
      <c r="L2600" s="7"/>
      <c r="N2600" s="5"/>
      <c r="O2600" s="4"/>
    </row>
    <row r="2601" spans="1:15" x14ac:dyDescent="0.2">
      <c r="A2601" s="13"/>
      <c r="B2601" s="12"/>
      <c r="C2601" s="13"/>
      <c r="D2601" s="12"/>
      <c r="E2601" s="14"/>
      <c r="F2601" s="15"/>
      <c r="G2601" s="12"/>
      <c r="H2601" s="7"/>
      <c r="I2601" s="7"/>
      <c r="K2601" s="18"/>
      <c r="L2601" s="7"/>
      <c r="N2601" s="5"/>
      <c r="O2601" s="4"/>
    </row>
    <row r="2602" spans="1:15" x14ac:dyDescent="0.2">
      <c r="A2602" s="13"/>
      <c r="B2602" s="12"/>
      <c r="C2602" s="13"/>
      <c r="D2602" s="12"/>
      <c r="E2602" s="14"/>
      <c r="F2602" s="15"/>
      <c r="G2602" s="12"/>
      <c r="H2602" s="7"/>
      <c r="I2602" s="7"/>
      <c r="K2602" s="18"/>
      <c r="L2602" s="7"/>
      <c r="N2602" s="5"/>
      <c r="O2602" s="4"/>
    </row>
    <row r="2603" spans="1:15" x14ac:dyDescent="0.2">
      <c r="A2603" s="13"/>
      <c r="B2603" s="12"/>
      <c r="C2603" s="13"/>
      <c r="D2603" s="12"/>
      <c r="E2603" s="14"/>
      <c r="F2603" s="15"/>
      <c r="G2603" s="12"/>
      <c r="H2603" s="7"/>
      <c r="I2603" s="7"/>
      <c r="K2603" s="18"/>
      <c r="L2603" s="7"/>
      <c r="N2603" s="5"/>
      <c r="O2603" s="4"/>
    </row>
    <row r="2604" spans="1:15" x14ac:dyDescent="0.2">
      <c r="A2604" s="13"/>
      <c r="B2604" s="12"/>
      <c r="C2604" s="13"/>
      <c r="D2604" s="12"/>
      <c r="E2604" s="14"/>
      <c r="F2604" s="15"/>
      <c r="G2604" s="12"/>
      <c r="H2604" s="7"/>
      <c r="I2604" s="7"/>
      <c r="K2604" s="18"/>
      <c r="L2604" s="7"/>
      <c r="N2604" s="5"/>
      <c r="O2604" s="4"/>
    </row>
    <row r="2605" spans="1:15" x14ac:dyDescent="0.2">
      <c r="A2605" s="13"/>
      <c r="B2605" s="12"/>
      <c r="C2605" s="13"/>
      <c r="D2605" s="12"/>
      <c r="E2605" s="14"/>
      <c r="F2605" s="15"/>
      <c r="G2605" s="12"/>
      <c r="H2605" s="7"/>
      <c r="I2605" s="7"/>
      <c r="K2605" s="18"/>
      <c r="L2605" s="7"/>
      <c r="N2605" s="5"/>
      <c r="O2605" s="4"/>
    </row>
    <row r="2606" spans="1:15" x14ac:dyDescent="0.2">
      <c r="A2606" s="13"/>
      <c r="B2606" s="12"/>
      <c r="C2606" s="13"/>
      <c r="D2606" s="12"/>
      <c r="E2606" s="14"/>
      <c r="F2606" s="15"/>
      <c r="G2606" s="12"/>
      <c r="H2606" s="7"/>
      <c r="I2606" s="7"/>
      <c r="K2606" s="18"/>
      <c r="L2606" s="7"/>
      <c r="N2606" s="5"/>
      <c r="O2606" s="4"/>
    </row>
    <row r="2607" spans="1:15" x14ac:dyDescent="0.2">
      <c r="A2607" s="13"/>
      <c r="B2607" s="12"/>
      <c r="C2607" s="13"/>
      <c r="D2607" s="12"/>
      <c r="E2607" s="14"/>
      <c r="F2607" s="15"/>
      <c r="G2607" s="12"/>
      <c r="H2607" s="7"/>
      <c r="I2607" s="7"/>
      <c r="K2607" s="18"/>
      <c r="L2607" s="7"/>
      <c r="N2607" s="5"/>
      <c r="O2607" s="4"/>
    </row>
    <row r="2608" spans="1:15" x14ac:dyDescent="0.2">
      <c r="A2608" s="13"/>
      <c r="B2608" s="12"/>
      <c r="C2608" s="13"/>
      <c r="D2608" s="12"/>
      <c r="E2608" s="14"/>
      <c r="F2608" s="15"/>
      <c r="G2608" s="12"/>
      <c r="H2608" s="7"/>
      <c r="I2608" s="7"/>
      <c r="K2608" s="18"/>
      <c r="L2608" s="7"/>
      <c r="N2608" s="5"/>
      <c r="O2608" s="4"/>
    </row>
    <row r="2609" spans="1:15" x14ac:dyDescent="0.2">
      <c r="A2609" s="13"/>
      <c r="B2609" s="12"/>
      <c r="C2609" s="13"/>
      <c r="D2609" s="12"/>
      <c r="E2609" s="14"/>
      <c r="F2609" s="15"/>
      <c r="G2609" s="12"/>
      <c r="H2609" s="7"/>
      <c r="I2609" s="7"/>
      <c r="K2609" s="18"/>
      <c r="L2609" s="7"/>
      <c r="N2609" s="5"/>
      <c r="O2609" s="4"/>
    </row>
    <row r="2610" spans="1:15" x14ac:dyDescent="0.2">
      <c r="A2610" s="13"/>
      <c r="B2610" s="12"/>
      <c r="C2610" s="13"/>
      <c r="D2610" s="12"/>
      <c r="E2610" s="14"/>
      <c r="F2610" s="15"/>
      <c r="G2610" s="12"/>
      <c r="H2610" s="7"/>
      <c r="I2610" s="7"/>
      <c r="K2610" s="18"/>
      <c r="L2610" s="7"/>
      <c r="N2610" s="5"/>
      <c r="O2610" s="4"/>
    </row>
    <row r="2611" spans="1:15" x14ac:dyDescent="0.2">
      <c r="A2611" s="13"/>
      <c r="B2611" s="12"/>
      <c r="C2611" s="13"/>
      <c r="D2611" s="12"/>
      <c r="E2611" s="14"/>
      <c r="F2611" s="15"/>
      <c r="G2611" s="12"/>
      <c r="H2611" s="7"/>
      <c r="I2611" s="7"/>
      <c r="K2611" s="18"/>
      <c r="L2611" s="7"/>
      <c r="N2611" s="5"/>
      <c r="O2611" s="4"/>
    </row>
    <row r="2612" spans="1:15" x14ac:dyDescent="0.2">
      <c r="A2612" s="13"/>
      <c r="B2612" s="12"/>
      <c r="C2612" s="13"/>
      <c r="D2612" s="12"/>
      <c r="E2612" s="14"/>
      <c r="F2612" s="15"/>
      <c r="G2612" s="12"/>
      <c r="H2612" s="7"/>
      <c r="I2612" s="7"/>
      <c r="K2612" s="18"/>
      <c r="L2612" s="7"/>
      <c r="N2612" s="5"/>
      <c r="O2612" s="4"/>
    </row>
    <row r="2613" spans="1:15" x14ac:dyDescent="0.2">
      <c r="A2613" s="13"/>
      <c r="B2613" s="12"/>
      <c r="C2613" s="13"/>
      <c r="D2613" s="12"/>
      <c r="E2613" s="14"/>
      <c r="F2613" s="15"/>
      <c r="G2613" s="12"/>
      <c r="H2613" s="7"/>
      <c r="I2613" s="7"/>
      <c r="K2613" s="18"/>
      <c r="L2613" s="7"/>
      <c r="N2613" s="5"/>
      <c r="O2613" s="4"/>
    </row>
    <row r="2614" spans="1:15" x14ac:dyDescent="0.2">
      <c r="A2614" s="13"/>
      <c r="B2614" s="12"/>
      <c r="C2614" s="13"/>
      <c r="D2614" s="12"/>
      <c r="E2614" s="14"/>
      <c r="F2614" s="15"/>
      <c r="G2614" s="12"/>
      <c r="H2614" s="7"/>
      <c r="I2614" s="7"/>
      <c r="K2614" s="18"/>
      <c r="L2614" s="7"/>
      <c r="N2614" s="5"/>
      <c r="O2614" s="4"/>
    </row>
    <row r="2615" spans="1:15" x14ac:dyDescent="0.2">
      <c r="A2615" s="13"/>
      <c r="B2615" s="12"/>
      <c r="C2615" s="13"/>
      <c r="D2615" s="12"/>
      <c r="E2615" s="14"/>
      <c r="F2615" s="15"/>
      <c r="G2615" s="12"/>
      <c r="H2615" s="7"/>
      <c r="I2615" s="7"/>
      <c r="K2615" s="18"/>
      <c r="L2615" s="7"/>
      <c r="N2615" s="5"/>
      <c r="O2615" s="4"/>
    </row>
    <row r="2616" spans="1:15" x14ac:dyDescent="0.2">
      <c r="A2616" s="13"/>
      <c r="B2616" s="12"/>
      <c r="C2616" s="13"/>
      <c r="D2616" s="12"/>
      <c r="E2616" s="14"/>
      <c r="F2616" s="15"/>
      <c r="G2616" s="12"/>
      <c r="H2616" s="7"/>
      <c r="I2616" s="7"/>
      <c r="K2616" s="18"/>
      <c r="L2616" s="7"/>
      <c r="N2616" s="5"/>
      <c r="O2616" s="4"/>
    </row>
    <row r="2617" spans="1:15" x14ac:dyDescent="0.2">
      <c r="A2617" s="13"/>
      <c r="B2617" s="12"/>
      <c r="C2617" s="13"/>
      <c r="D2617" s="12"/>
      <c r="E2617" s="14"/>
      <c r="F2617" s="15"/>
      <c r="G2617" s="12"/>
      <c r="H2617" s="7"/>
      <c r="I2617" s="7"/>
      <c r="K2617" s="18"/>
      <c r="L2617" s="7"/>
      <c r="N2617" s="5"/>
      <c r="O2617" s="4"/>
    </row>
    <row r="2618" spans="1:15" x14ac:dyDescent="0.2">
      <c r="A2618" s="13"/>
      <c r="B2618" s="12"/>
      <c r="C2618" s="13"/>
      <c r="D2618" s="12"/>
      <c r="E2618" s="14"/>
      <c r="F2618" s="15"/>
      <c r="G2618" s="12"/>
      <c r="H2618" s="7"/>
      <c r="I2618" s="7"/>
      <c r="K2618" s="18"/>
      <c r="L2618" s="7"/>
      <c r="N2618" s="5"/>
      <c r="O2618" s="4"/>
    </row>
    <row r="2619" spans="1:15" x14ac:dyDescent="0.2">
      <c r="A2619" s="13"/>
      <c r="B2619" s="12"/>
      <c r="C2619" s="13"/>
      <c r="D2619" s="12"/>
      <c r="E2619" s="14"/>
      <c r="F2619" s="15"/>
      <c r="G2619" s="12"/>
      <c r="H2619" s="7"/>
      <c r="I2619" s="7"/>
      <c r="K2619" s="18"/>
      <c r="L2619" s="7"/>
      <c r="N2619" s="5"/>
      <c r="O2619" s="4"/>
    </row>
    <row r="2620" spans="1:15" x14ac:dyDescent="0.2">
      <c r="A2620" s="13"/>
      <c r="B2620" s="12"/>
      <c r="C2620" s="13"/>
      <c r="D2620" s="12"/>
      <c r="E2620" s="14"/>
      <c r="F2620" s="15"/>
      <c r="G2620" s="12"/>
      <c r="H2620" s="7"/>
      <c r="I2620" s="7"/>
      <c r="K2620" s="18"/>
      <c r="L2620" s="7"/>
      <c r="N2620" s="5"/>
      <c r="O2620" s="4"/>
    </row>
    <row r="2621" spans="1:15" x14ac:dyDescent="0.2">
      <c r="A2621" s="13"/>
      <c r="B2621" s="12"/>
      <c r="C2621" s="13"/>
      <c r="D2621" s="12"/>
      <c r="E2621" s="14"/>
      <c r="F2621" s="15"/>
      <c r="G2621" s="12"/>
      <c r="H2621" s="7"/>
      <c r="I2621" s="7"/>
      <c r="K2621" s="18"/>
      <c r="L2621" s="7"/>
      <c r="N2621" s="5"/>
      <c r="O2621" s="4"/>
    </row>
    <row r="2622" spans="1:15" x14ac:dyDescent="0.2">
      <c r="A2622" s="13"/>
      <c r="B2622" s="12"/>
      <c r="C2622" s="13"/>
      <c r="D2622" s="12"/>
      <c r="E2622" s="14"/>
      <c r="F2622" s="15"/>
      <c r="G2622" s="12"/>
      <c r="H2622" s="7"/>
      <c r="I2622" s="7"/>
      <c r="K2622" s="18"/>
      <c r="L2622" s="7"/>
      <c r="N2622" s="5"/>
      <c r="O2622" s="4"/>
    </row>
    <row r="2623" spans="1:15" x14ac:dyDescent="0.2">
      <c r="A2623" s="13"/>
      <c r="B2623" s="12"/>
      <c r="C2623" s="13"/>
      <c r="D2623" s="12"/>
      <c r="E2623" s="14"/>
      <c r="F2623" s="15"/>
      <c r="G2623" s="12"/>
      <c r="H2623" s="7"/>
      <c r="I2623" s="7"/>
      <c r="K2623" s="18"/>
      <c r="L2623" s="7"/>
      <c r="N2623" s="5"/>
      <c r="O2623" s="4"/>
    </row>
    <row r="2624" spans="1:15" x14ac:dyDescent="0.2">
      <c r="A2624" s="13"/>
      <c r="B2624" s="12"/>
      <c r="C2624" s="13"/>
      <c r="D2624" s="12"/>
      <c r="E2624" s="14"/>
      <c r="F2624" s="15"/>
      <c r="G2624" s="12"/>
      <c r="H2624" s="7"/>
      <c r="I2624" s="7"/>
      <c r="K2624" s="18"/>
      <c r="L2624" s="7"/>
      <c r="N2624" s="5"/>
      <c r="O2624" s="4"/>
    </row>
    <row r="2625" spans="1:15" x14ac:dyDescent="0.2">
      <c r="A2625" s="13"/>
      <c r="B2625" s="12"/>
      <c r="C2625" s="13"/>
      <c r="D2625" s="12"/>
      <c r="E2625" s="14"/>
      <c r="F2625" s="15"/>
      <c r="G2625" s="12"/>
      <c r="H2625" s="7"/>
      <c r="I2625" s="7"/>
      <c r="K2625" s="18"/>
      <c r="L2625" s="7"/>
      <c r="N2625" s="5"/>
      <c r="O2625" s="4"/>
    </row>
    <row r="2626" spans="1:15" x14ac:dyDescent="0.2">
      <c r="A2626" s="13"/>
      <c r="B2626" s="12"/>
      <c r="C2626" s="13"/>
      <c r="D2626" s="12"/>
      <c r="E2626" s="14"/>
      <c r="F2626" s="15"/>
      <c r="G2626" s="12"/>
      <c r="H2626" s="7"/>
      <c r="I2626" s="7"/>
      <c r="K2626" s="18"/>
      <c r="L2626" s="7"/>
      <c r="N2626" s="5"/>
      <c r="O2626" s="4"/>
    </row>
    <row r="2627" spans="1:15" x14ac:dyDescent="0.2">
      <c r="A2627" s="13"/>
      <c r="B2627" s="12"/>
      <c r="C2627" s="13"/>
      <c r="D2627" s="12"/>
      <c r="E2627" s="14"/>
      <c r="F2627" s="15"/>
      <c r="G2627" s="12"/>
      <c r="H2627" s="7"/>
      <c r="I2627" s="7"/>
      <c r="K2627" s="18"/>
      <c r="L2627" s="7"/>
      <c r="N2627" s="5"/>
      <c r="O2627" s="4"/>
    </row>
    <row r="2628" spans="1:15" x14ac:dyDescent="0.2">
      <c r="A2628" s="13"/>
      <c r="B2628" s="12"/>
      <c r="C2628" s="13"/>
      <c r="D2628" s="12"/>
      <c r="E2628" s="14"/>
      <c r="F2628" s="15"/>
      <c r="G2628" s="12"/>
      <c r="H2628" s="7"/>
      <c r="I2628" s="7"/>
      <c r="K2628" s="18"/>
      <c r="L2628" s="7"/>
      <c r="N2628" s="5"/>
      <c r="O2628" s="4"/>
    </row>
    <row r="2629" spans="1:15" x14ac:dyDescent="0.2">
      <c r="A2629" s="13"/>
      <c r="B2629" s="12"/>
      <c r="C2629" s="13"/>
      <c r="D2629" s="12"/>
      <c r="E2629" s="14"/>
      <c r="F2629" s="15"/>
      <c r="G2629" s="12"/>
      <c r="H2629" s="7"/>
      <c r="I2629" s="7"/>
      <c r="K2629" s="18"/>
      <c r="L2629" s="7"/>
      <c r="N2629" s="5"/>
      <c r="O2629" s="4"/>
    </row>
    <row r="2630" spans="1:15" x14ac:dyDescent="0.2">
      <c r="A2630" s="13"/>
      <c r="B2630" s="12"/>
      <c r="C2630" s="13"/>
      <c r="D2630" s="12"/>
      <c r="E2630" s="14"/>
      <c r="F2630" s="15"/>
      <c r="G2630" s="12"/>
      <c r="H2630" s="7"/>
      <c r="I2630" s="7"/>
      <c r="K2630" s="18"/>
      <c r="L2630" s="7"/>
      <c r="N2630" s="5"/>
      <c r="O2630" s="4"/>
    </row>
    <row r="2631" spans="1:15" x14ac:dyDescent="0.2">
      <c r="A2631" s="13"/>
      <c r="B2631" s="12"/>
      <c r="C2631" s="13"/>
      <c r="D2631" s="12"/>
      <c r="E2631" s="14"/>
      <c r="F2631" s="15"/>
      <c r="G2631" s="12"/>
      <c r="H2631" s="7"/>
      <c r="I2631" s="7"/>
      <c r="K2631" s="18"/>
      <c r="L2631" s="7"/>
      <c r="N2631" s="5"/>
      <c r="O2631" s="4"/>
    </row>
    <row r="2632" spans="1:15" x14ac:dyDescent="0.2">
      <c r="A2632" s="13"/>
      <c r="B2632" s="12"/>
      <c r="C2632" s="13"/>
      <c r="D2632" s="12"/>
      <c r="E2632" s="14"/>
      <c r="F2632" s="15"/>
      <c r="G2632" s="12"/>
      <c r="H2632" s="7"/>
      <c r="I2632" s="7"/>
      <c r="K2632" s="18"/>
      <c r="L2632" s="7"/>
      <c r="N2632" s="5"/>
      <c r="O2632" s="4"/>
    </row>
    <row r="2633" spans="1:15" x14ac:dyDescent="0.2">
      <c r="A2633" s="13"/>
      <c r="B2633" s="12"/>
      <c r="C2633" s="13"/>
      <c r="D2633" s="12"/>
      <c r="E2633" s="14"/>
      <c r="F2633" s="15"/>
      <c r="G2633" s="12"/>
      <c r="H2633" s="7"/>
      <c r="I2633" s="7"/>
      <c r="K2633" s="18"/>
      <c r="L2633" s="7"/>
      <c r="N2633" s="5"/>
      <c r="O2633" s="4"/>
    </row>
    <row r="2634" spans="1:15" x14ac:dyDescent="0.2">
      <c r="A2634" s="13"/>
      <c r="B2634" s="12"/>
      <c r="C2634" s="13"/>
      <c r="D2634" s="12"/>
      <c r="E2634" s="14"/>
      <c r="F2634" s="15"/>
      <c r="G2634" s="12"/>
      <c r="H2634" s="7"/>
      <c r="I2634" s="7"/>
      <c r="K2634" s="18"/>
      <c r="L2634" s="7"/>
      <c r="N2634" s="5"/>
      <c r="O2634" s="4"/>
    </row>
    <row r="2635" spans="1:15" x14ac:dyDescent="0.2">
      <c r="A2635" s="13"/>
      <c r="B2635" s="12"/>
      <c r="C2635" s="13"/>
      <c r="D2635" s="12"/>
      <c r="E2635" s="14"/>
      <c r="F2635" s="15"/>
      <c r="G2635" s="12"/>
      <c r="H2635" s="7"/>
      <c r="I2635" s="7"/>
      <c r="K2635" s="18"/>
      <c r="L2635" s="7"/>
      <c r="N2635" s="5"/>
      <c r="O2635" s="4"/>
    </row>
    <row r="2636" spans="1:15" x14ac:dyDescent="0.2">
      <c r="A2636" s="13"/>
      <c r="B2636" s="12"/>
      <c r="C2636" s="13"/>
      <c r="D2636" s="12"/>
      <c r="E2636" s="14"/>
      <c r="F2636" s="15"/>
      <c r="G2636" s="12"/>
      <c r="H2636" s="7"/>
      <c r="I2636" s="7"/>
      <c r="K2636" s="18"/>
      <c r="L2636" s="7"/>
      <c r="N2636" s="5"/>
      <c r="O2636" s="4"/>
    </row>
    <row r="2637" spans="1:15" x14ac:dyDescent="0.2">
      <c r="A2637" s="13"/>
      <c r="B2637" s="12"/>
      <c r="C2637" s="13"/>
      <c r="D2637" s="12"/>
      <c r="E2637" s="14"/>
      <c r="F2637" s="15"/>
      <c r="G2637" s="12"/>
      <c r="H2637" s="7"/>
      <c r="I2637" s="7"/>
      <c r="K2637" s="18"/>
      <c r="L2637" s="7"/>
      <c r="N2637" s="5"/>
      <c r="O2637" s="4"/>
    </row>
    <row r="2638" spans="1:15" x14ac:dyDescent="0.2">
      <c r="A2638" s="13"/>
      <c r="B2638" s="12"/>
      <c r="C2638" s="13"/>
      <c r="D2638" s="12"/>
      <c r="E2638" s="14"/>
      <c r="F2638" s="15"/>
      <c r="G2638" s="12"/>
      <c r="H2638" s="7"/>
      <c r="I2638" s="7"/>
      <c r="K2638" s="18"/>
      <c r="L2638" s="7"/>
      <c r="N2638" s="5"/>
      <c r="O2638" s="4"/>
    </row>
    <row r="2639" spans="1:15" x14ac:dyDescent="0.2">
      <c r="A2639" s="13"/>
      <c r="B2639" s="12"/>
      <c r="C2639" s="13"/>
      <c r="D2639" s="12"/>
      <c r="E2639" s="14"/>
      <c r="F2639" s="15"/>
      <c r="G2639" s="12"/>
      <c r="H2639" s="7"/>
      <c r="I2639" s="7"/>
      <c r="K2639" s="18"/>
      <c r="L2639" s="7"/>
      <c r="N2639" s="5"/>
      <c r="O2639" s="4"/>
    </row>
    <row r="2640" spans="1:15" x14ac:dyDescent="0.2">
      <c r="A2640" s="13"/>
      <c r="B2640" s="12"/>
      <c r="C2640" s="13"/>
      <c r="D2640" s="12"/>
      <c r="E2640" s="14"/>
      <c r="F2640" s="15"/>
      <c r="G2640" s="12"/>
      <c r="H2640" s="7"/>
      <c r="I2640" s="7"/>
      <c r="K2640" s="18"/>
      <c r="L2640" s="7"/>
      <c r="N2640" s="5"/>
      <c r="O2640" s="4"/>
    </row>
    <row r="2641" spans="1:15" x14ac:dyDescent="0.2">
      <c r="A2641" s="13"/>
      <c r="B2641" s="12"/>
      <c r="C2641" s="13"/>
      <c r="D2641" s="12"/>
      <c r="E2641" s="14"/>
      <c r="F2641" s="15"/>
      <c r="G2641" s="12"/>
      <c r="H2641" s="7"/>
      <c r="I2641" s="7"/>
      <c r="K2641" s="18"/>
      <c r="L2641" s="7"/>
      <c r="N2641" s="5"/>
      <c r="O2641" s="4"/>
    </row>
    <row r="2642" spans="1:15" x14ac:dyDescent="0.2">
      <c r="A2642" s="13"/>
      <c r="B2642" s="12"/>
      <c r="C2642" s="13"/>
      <c r="D2642" s="12"/>
      <c r="E2642" s="14"/>
      <c r="F2642" s="15"/>
      <c r="G2642" s="12"/>
      <c r="H2642" s="7"/>
      <c r="I2642" s="7"/>
      <c r="K2642" s="18"/>
      <c r="L2642" s="7"/>
      <c r="N2642" s="5"/>
      <c r="O2642" s="4"/>
    </row>
    <row r="2643" spans="1:15" x14ac:dyDescent="0.2">
      <c r="A2643" s="13"/>
      <c r="B2643" s="12"/>
      <c r="C2643" s="13"/>
      <c r="D2643" s="12"/>
      <c r="E2643" s="14"/>
      <c r="F2643" s="15"/>
      <c r="G2643" s="12"/>
      <c r="H2643" s="7"/>
      <c r="I2643" s="7"/>
      <c r="K2643" s="18"/>
      <c r="L2643" s="7"/>
      <c r="N2643" s="5"/>
      <c r="O2643" s="4"/>
    </row>
    <row r="2644" spans="1:15" x14ac:dyDescent="0.2">
      <c r="A2644" s="13"/>
      <c r="B2644" s="12"/>
      <c r="C2644" s="13"/>
      <c r="D2644" s="12"/>
      <c r="E2644" s="14"/>
      <c r="F2644" s="15"/>
      <c r="G2644" s="12"/>
      <c r="H2644" s="7"/>
      <c r="I2644" s="7"/>
      <c r="K2644" s="18"/>
      <c r="L2644" s="7"/>
      <c r="N2644" s="5"/>
      <c r="O2644" s="4"/>
    </row>
    <row r="2645" spans="1:15" x14ac:dyDescent="0.2">
      <c r="A2645" s="13"/>
      <c r="B2645" s="12"/>
      <c r="C2645" s="13"/>
      <c r="D2645" s="12"/>
      <c r="E2645" s="14"/>
      <c r="F2645" s="15"/>
      <c r="G2645" s="12"/>
      <c r="H2645" s="7"/>
      <c r="I2645" s="7"/>
      <c r="K2645" s="18"/>
      <c r="L2645" s="7"/>
      <c r="N2645" s="5"/>
      <c r="O2645" s="4"/>
    </row>
    <row r="2646" spans="1:15" x14ac:dyDescent="0.2">
      <c r="A2646" s="13"/>
      <c r="B2646" s="12"/>
      <c r="C2646" s="13"/>
      <c r="D2646" s="12"/>
      <c r="E2646" s="14"/>
      <c r="F2646" s="15"/>
      <c r="G2646" s="12"/>
      <c r="H2646" s="7"/>
      <c r="I2646" s="7"/>
      <c r="K2646" s="18"/>
      <c r="L2646" s="7"/>
      <c r="N2646" s="5"/>
      <c r="O2646" s="4"/>
    </row>
    <row r="2647" spans="1:15" x14ac:dyDescent="0.2">
      <c r="A2647" s="13"/>
      <c r="B2647" s="12"/>
      <c r="C2647" s="13"/>
      <c r="D2647" s="12"/>
      <c r="E2647" s="14"/>
      <c r="F2647" s="15"/>
      <c r="G2647" s="12"/>
      <c r="H2647" s="7"/>
      <c r="I2647" s="7"/>
      <c r="K2647" s="18"/>
      <c r="L2647" s="7"/>
      <c r="N2647" s="5"/>
      <c r="O2647" s="4"/>
    </row>
    <row r="2648" spans="1:15" x14ac:dyDescent="0.2">
      <c r="A2648" s="13"/>
      <c r="B2648" s="12"/>
      <c r="C2648" s="13"/>
      <c r="D2648" s="12"/>
      <c r="E2648" s="14"/>
      <c r="F2648" s="15"/>
      <c r="G2648" s="12"/>
      <c r="H2648" s="7"/>
      <c r="I2648" s="7"/>
      <c r="K2648" s="18"/>
      <c r="L2648" s="7"/>
      <c r="N2648" s="5"/>
      <c r="O2648" s="4"/>
    </row>
    <row r="2649" spans="1:15" x14ac:dyDescent="0.2">
      <c r="A2649" s="13"/>
      <c r="B2649" s="12"/>
      <c r="C2649" s="13"/>
      <c r="D2649" s="12"/>
      <c r="E2649" s="14"/>
      <c r="F2649" s="15"/>
      <c r="G2649" s="12"/>
      <c r="H2649" s="7"/>
      <c r="I2649" s="7"/>
      <c r="K2649" s="18"/>
      <c r="L2649" s="7"/>
      <c r="N2649" s="5"/>
      <c r="O2649" s="4"/>
    </row>
    <row r="2650" spans="1:15" x14ac:dyDescent="0.2">
      <c r="A2650" s="13"/>
      <c r="B2650" s="12"/>
      <c r="C2650" s="13"/>
      <c r="D2650" s="12"/>
      <c r="E2650" s="14"/>
      <c r="F2650" s="15"/>
      <c r="G2650" s="12"/>
      <c r="H2650" s="7"/>
      <c r="I2650" s="7"/>
      <c r="K2650" s="18"/>
      <c r="L2650" s="7"/>
      <c r="N2650" s="5"/>
      <c r="O2650" s="4"/>
    </row>
    <row r="2651" spans="1:15" x14ac:dyDescent="0.2">
      <c r="A2651" s="13"/>
      <c r="B2651" s="12"/>
      <c r="C2651" s="13"/>
      <c r="D2651" s="12"/>
      <c r="E2651" s="14"/>
      <c r="F2651" s="15"/>
      <c r="G2651" s="12"/>
      <c r="H2651" s="7"/>
      <c r="I2651" s="7"/>
      <c r="K2651" s="18"/>
      <c r="L2651" s="7"/>
      <c r="N2651" s="5"/>
      <c r="O2651" s="4"/>
    </row>
    <row r="2652" spans="1:15" x14ac:dyDescent="0.2">
      <c r="A2652" s="13"/>
      <c r="B2652" s="12"/>
      <c r="C2652" s="13"/>
      <c r="D2652" s="12"/>
      <c r="E2652" s="14"/>
      <c r="F2652" s="15"/>
      <c r="G2652" s="12"/>
      <c r="H2652" s="7"/>
      <c r="I2652" s="7"/>
      <c r="K2652" s="18"/>
      <c r="L2652" s="7"/>
      <c r="N2652" s="5"/>
      <c r="O2652" s="4"/>
    </row>
    <row r="2653" spans="1:15" x14ac:dyDescent="0.2">
      <c r="A2653" s="13"/>
      <c r="B2653" s="12"/>
      <c r="C2653" s="13"/>
      <c r="D2653" s="12"/>
      <c r="E2653" s="14"/>
      <c r="F2653" s="15"/>
      <c r="G2653" s="12"/>
      <c r="H2653" s="7"/>
      <c r="I2653" s="7"/>
      <c r="K2653" s="18"/>
      <c r="L2653" s="7"/>
      <c r="N2653" s="5"/>
      <c r="O2653" s="4"/>
    </row>
    <row r="2654" spans="1:15" x14ac:dyDescent="0.2">
      <c r="A2654" s="13"/>
      <c r="B2654" s="12"/>
      <c r="C2654" s="13"/>
      <c r="D2654" s="12"/>
      <c r="E2654" s="14"/>
      <c r="F2654" s="15"/>
      <c r="G2654" s="12"/>
      <c r="H2654" s="7"/>
      <c r="I2654" s="7"/>
      <c r="K2654" s="18"/>
      <c r="L2654" s="7"/>
      <c r="N2654" s="5"/>
      <c r="O2654" s="4"/>
    </row>
    <row r="2655" spans="1:15" x14ac:dyDescent="0.2">
      <c r="A2655" s="13"/>
      <c r="B2655" s="12"/>
      <c r="C2655" s="13"/>
      <c r="D2655" s="12"/>
      <c r="E2655" s="14"/>
      <c r="F2655" s="15"/>
      <c r="G2655" s="12"/>
      <c r="H2655" s="7"/>
      <c r="I2655" s="7"/>
      <c r="K2655" s="18"/>
      <c r="L2655" s="7"/>
      <c r="N2655" s="5"/>
      <c r="O2655" s="4"/>
    </row>
    <row r="2656" spans="1:15" x14ac:dyDescent="0.2">
      <c r="A2656" s="13"/>
      <c r="B2656" s="12"/>
      <c r="C2656" s="13"/>
      <c r="D2656" s="12"/>
      <c r="E2656" s="14"/>
      <c r="F2656" s="15"/>
      <c r="G2656" s="12"/>
      <c r="H2656" s="7"/>
      <c r="I2656" s="7"/>
      <c r="K2656" s="18"/>
      <c r="L2656" s="7"/>
      <c r="N2656" s="5"/>
      <c r="O2656" s="4"/>
    </row>
    <row r="2657" spans="1:15" x14ac:dyDescent="0.2">
      <c r="A2657" s="13"/>
      <c r="B2657" s="12"/>
      <c r="C2657" s="13"/>
      <c r="D2657" s="12"/>
      <c r="E2657" s="14"/>
      <c r="F2657" s="15"/>
      <c r="G2657" s="12"/>
      <c r="H2657" s="7"/>
      <c r="I2657" s="7"/>
      <c r="K2657" s="18"/>
      <c r="L2657" s="7"/>
      <c r="N2657" s="5"/>
      <c r="O2657" s="4"/>
    </row>
    <row r="2658" spans="1:15" x14ac:dyDescent="0.2">
      <c r="A2658" s="13"/>
      <c r="B2658" s="12"/>
      <c r="C2658" s="13"/>
      <c r="D2658" s="12"/>
      <c r="E2658" s="14"/>
      <c r="F2658" s="15"/>
      <c r="G2658" s="12"/>
      <c r="H2658" s="7"/>
      <c r="I2658" s="7"/>
      <c r="K2658" s="18"/>
      <c r="L2658" s="7"/>
      <c r="N2658" s="5"/>
      <c r="O2658" s="4"/>
    </row>
    <row r="2659" spans="1:15" x14ac:dyDescent="0.2">
      <c r="A2659" s="13"/>
      <c r="B2659" s="12"/>
      <c r="C2659" s="13"/>
      <c r="D2659" s="12"/>
      <c r="E2659" s="14"/>
      <c r="F2659" s="15"/>
      <c r="G2659" s="12"/>
      <c r="H2659" s="7"/>
      <c r="I2659" s="7"/>
      <c r="K2659" s="18"/>
      <c r="L2659" s="7"/>
      <c r="N2659" s="5"/>
      <c r="O2659" s="4"/>
    </row>
    <row r="2660" spans="1:15" x14ac:dyDescent="0.2">
      <c r="A2660" s="13"/>
      <c r="B2660" s="12"/>
      <c r="C2660" s="13"/>
      <c r="D2660" s="12"/>
      <c r="E2660" s="14"/>
      <c r="F2660" s="15"/>
      <c r="G2660" s="12"/>
      <c r="H2660" s="7"/>
      <c r="I2660" s="7"/>
      <c r="K2660" s="18"/>
      <c r="L2660" s="7"/>
      <c r="N2660" s="5"/>
      <c r="O2660" s="4"/>
    </row>
    <row r="2661" spans="1:15" x14ac:dyDescent="0.2">
      <c r="A2661" s="13"/>
      <c r="B2661" s="12"/>
      <c r="C2661" s="13"/>
      <c r="D2661" s="12"/>
      <c r="E2661" s="14"/>
      <c r="F2661" s="15"/>
      <c r="G2661" s="12"/>
      <c r="H2661" s="7"/>
      <c r="I2661" s="7"/>
      <c r="K2661" s="18"/>
      <c r="L2661" s="7"/>
      <c r="N2661" s="5"/>
      <c r="O2661" s="4"/>
    </row>
    <row r="2662" spans="1:15" x14ac:dyDescent="0.2">
      <c r="A2662" s="13"/>
      <c r="B2662" s="12"/>
      <c r="C2662" s="13"/>
      <c r="D2662" s="12"/>
      <c r="E2662" s="14"/>
      <c r="F2662" s="15"/>
      <c r="G2662" s="12"/>
      <c r="H2662" s="7"/>
      <c r="I2662" s="7"/>
      <c r="K2662" s="18"/>
      <c r="L2662" s="7"/>
      <c r="N2662" s="5"/>
      <c r="O2662" s="4"/>
    </row>
    <row r="2663" spans="1:15" x14ac:dyDescent="0.2">
      <c r="A2663" s="13"/>
      <c r="B2663" s="12"/>
      <c r="C2663" s="13"/>
      <c r="D2663" s="12"/>
      <c r="E2663" s="14"/>
      <c r="F2663" s="15"/>
      <c r="G2663" s="12"/>
      <c r="H2663" s="7"/>
      <c r="I2663" s="7"/>
      <c r="K2663" s="18"/>
      <c r="L2663" s="7"/>
      <c r="N2663" s="5"/>
      <c r="O2663" s="4"/>
    </row>
    <row r="2664" spans="1:15" x14ac:dyDescent="0.2">
      <c r="A2664" s="13"/>
      <c r="B2664" s="12"/>
      <c r="C2664" s="13"/>
      <c r="D2664" s="12"/>
      <c r="E2664" s="14"/>
      <c r="F2664" s="15"/>
      <c r="G2664" s="12"/>
      <c r="H2664" s="7"/>
      <c r="I2664" s="7"/>
      <c r="K2664" s="18"/>
      <c r="L2664" s="7"/>
      <c r="N2664" s="5"/>
      <c r="O2664" s="4"/>
    </row>
    <row r="2665" spans="1:15" x14ac:dyDescent="0.2">
      <c r="N2665" s="5"/>
      <c r="O2665" s="4"/>
    </row>
  </sheetData>
  <sheetProtection formatColumns="0" selectLockedCells="1" sort="0"/>
  <sortState ref="A23:M877">
    <sortCondition descending="1" ref="E22"/>
  </sortState>
  <phoneticPr fontId="12" type="noConversion"/>
  <pageMargins left="0.15" right="0.24" top="0.6692913385826772" bottom="0.59055118110236227" header="0.51181102362204722" footer="0.51181102362204722"/>
  <pageSetup paperSize="9" scale="45" fitToHeight="0" pageOrder="overThenDown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53" r:id="rId4" name="Button 137">
              <controlPr defaultSize="0" print="0" autoFill="0" autoPict="0" macro="[0]!ResetSort">
                <anchor moveWithCells="1">
                  <from>
                    <xdr:col>0</xdr:col>
                    <xdr:colOff>352425</xdr:colOff>
                    <xdr:row>15</xdr:row>
                    <xdr:rowOff>47625</xdr:rowOff>
                  </from>
                  <to>
                    <xdr:col>1</xdr:col>
                    <xdr:colOff>714375</xdr:colOff>
                    <xdr:row>16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8">
    <pageSetUpPr fitToPage="1"/>
  </sheetPr>
  <dimension ref="A2:P55"/>
  <sheetViews>
    <sheetView showGridLines="0" showRowColHeaders="0" workbookViewId="0"/>
  </sheetViews>
  <sheetFormatPr defaultRowHeight="12.75" x14ac:dyDescent="0.2"/>
  <cols>
    <col min="1" max="1" width="2.7109375" style="98" customWidth="1"/>
    <col min="2" max="2" width="56.85546875" style="98" customWidth="1"/>
    <col min="3" max="5" width="10.7109375" style="98" customWidth="1"/>
    <col min="6" max="7" width="16.140625" style="98" customWidth="1"/>
    <col min="8" max="8" width="16.5703125" style="98" customWidth="1"/>
    <col min="9" max="9" width="15.85546875" style="98" bestFit="1" customWidth="1"/>
    <col min="10" max="10" width="12" style="98" customWidth="1"/>
    <col min="11" max="11" width="12.85546875" style="98" bestFit="1" customWidth="1"/>
    <col min="12" max="12" width="11.5703125" style="98" customWidth="1"/>
    <col min="13" max="13" width="20.28515625" style="98" customWidth="1"/>
    <col min="14" max="14" width="18.7109375" style="98" customWidth="1"/>
    <col min="15" max="15" width="13.5703125" style="98" bestFit="1" customWidth="1"/>
    <col min="16" max="16384" width="9.140625" style="98"/>
  </cols>
  <sheetData>
    <row r="2" spans="1:16" ht="24.95" customHeight="1" x14ac:dyDescent="0.2">
      <c r="B2" s="104"/>
      <c r="C2" s="104"/>
      <c r="D2" s="104"/>
      <c r="E2" s="104"/>
      <c r="F2" s="104"/>
      <c r="G2" s="104"/>
      <c r="H2" s="104"/>
      <c r="I2" s="104"/>
      <c r="J2" s="104"/>
    </row>
    <row r="3" spans="1:16" ht="24.95" customHeight="1" x14ac:dyDescent="0.2">
      <c r="B3" s="104"/>
      <c r="C3" s="104"/>
      <c r="D3" s="104"/>
      <c r="E3" s="104"/>
      <c r="F3" s="104"/>
      <c r="G3" s="104"/>
      <c r="H3" s="104"/>
      <c r="I3" s="104"/>
      <c r="J3" s="104"/>
    </row>
    <row r="4" spans="1:16" x14ac:dyDescent="0.2">
      <c r="B4" s="104"/>
      <c r="C4" s="104"/>
      <c r="D4" s="104"/>
      <c r="E4" s="104"/>
      <c r="F4" s="104"/>
      <c r="G4" s="104"/>
      <c r="H4" s="104"/>
      <c r="I4" s="104"/>
      <c r="J4" s="104"/>
    </row>
    <row r="5" spans="1:16" ht="15.75" x14ac:dyDescent="0.25">
      <c r="B5" s="349" t="str">
        <f>Fondstatistik!A5</f>
        <v>Fondstatistik per 2017-10-31</v>
      </c>
      <c r="C5" s="104"/>
      <c r="D5" s="104"/>
      <c r="E5" s="104"/>
      <c r="F5" s="104"/>
      <c r="G5" s="104"/>
      <c r="H5" s="104"/>
      <c r="I5" s="104"/>
      <c r="J5" s="104"/>
    </row>
    <row r="6" spans="1:16" x14ac:dyDescent="0.2">
      <c r="B6" s="322" t="str">
        <f>'Fondval &amp; marknadsvärde'!A7</f>
        <v>Nästa uppdatering: 2017-12-08</v>
      </c>
      <c r="C6" s="104"/>
      <c r="D6" s="113"/>
      <c r="E6" s="104"/>
      <c r="F6" s="104"/>
      <c r="G6" s="104"/>
      <c r="H6" s="104"/>
      <c r="I6" s="104"/>
      <c r="J6" s="104"/>
    </row>
    <row r="7" spans="1:16" x14ac:dyDescent="0.2">
      <c r="B7" s="104"/>
      <c r="C7" s="104"/>
      <c r="D7" s="104"/>
      <c r="E7" s="104"/>
      <c r="F7" s="104"/>
      <c r="G7" s="104"/>
      <c r="H7" s="104"/>
      <c r="I7" s="104"/>
      <c r="J7" s="104"/>
    </row>
    <row r="8" spans="1:16" x14ac:dyDescent="0.2">
      <c r="B8" s="114"/>
      <c r="C8" s="104"/>
      <c r="D8" s="104"/>
      <c r="E8" s="104"/>
      <c r="F8" s="104"/>
      <c r="G8" s="104"/>
      <c r="H8" s="104"/>
      <c r="I8" s="104"/>
      <c r="J8" s="104"/>
      <c r="M8" s="397"/>
      <c r="N8" s="397"/>
      <c r="O8" s="397"/>
      <c r="P8" s="397"/>
    </row>
    <row r="9" spans="1:16" ht="15.75" x14ac:dyDescent="0.25">
      <c r="B9" s="115" t="s">
        <v>22</v>
      </c>
      <c r="C9" s="104"/>
      <c r="D9" s="104"/>
      <c r="E9" s="104"/>
      <c r="F9" s="104"/>
      <c r="G9" s="104"/>
      <c r="H9" s="104"/>
      <c r="I9" s="107"/>
      <c r="J9" s="104"/>
      <c r="M9" s="397"/>
      <c r="N9" s="397"/>
      <c r="O9" s="397"/>
      <c r="P9" s="397"/>
    </row>
    <row r="10" spans="1:16" x14ac:dyDescent="0.2">
      <c r="B10" s="122" t="s">
        <v>69</v>
      </c>
      <c r="C10" s="410" t="s">
        <v>110</v>
      </c>
      <c r="D10" s="411"/>
      <c r="E10" s="412"/>
      <c r="F10" s="410" t="s">
        <v>72</v>
      </c>
      <c r="G10" s="411"/>
      <c r="H10" s="412"/>
      <c r="I10" s="123" t="s">
        <v>84</v>
      </c>
      <c r="J10" s="107"/>
      <c r="L10" s="423" t="s">
        <v>2042</v>
      </c>
      <c r="M10" s="396"/>
      <c r="N10" s="396"/>
      <c r="O10" s="396"/>
      <c r="P10" s="396"/>
    </row>
    <row r="11" spans="1:16" ht="15" customHeight="1" x14ac:dyDescent="0.2">
      <c r="A11" s="109"/>
      <c r="B11" s="122"/>
      <c r="C11" s="124" t="s">
        <v>74</v>
      </c>
      <c r="D11" s="125" t="s">
        <v>75</v>
      </c>
      <c r="E11" s="125" t="s">
        <v>76</v>
      </c>
      <c r="F11" s="125" t="s">
        <v>74</v>
      </c>
      <c r="G11" s="125" t="s">
        <v>75</v>
      </c>
      <c r="H11" s="125" t="s">
        <v>76</v>
      </c>
      <c r="I11" s="126">
        <v>2017</v>
      </c>
      <c r="J11" s="104"/>
      <c r="K11" s="98" t="s">
        <v>2030</v>
      </c>
      <c r="L11" s="98" t="s">
        <v>2043</v>
      </c>
      <c r="M11" s="396"/>
      <c r="N11" s="424" t="s">
        <v>180</v>
      </c>
      <c r="O11" s="396" t="s">
        <v>160</v>
      </c>
      <c r="P11" s="396"/>
    </row>
    <row r="12" spans="1:16" ht="12.75" customHeight="1" x14ac:dyDescent="0.2">
      <c r="A12" s="109"/>
      <c r="B12" s="270" t="s">
        <v>839</v>
      </c>
      <c r="C12" s="306">
        <v>1771311</v>
      </c>
      <c r="D12" s="306">
        <v>1897886</v>
      </c>
      <c r="E12" s="306">
        <v>3669197</v>
      </c>
      <c r="F12" s="306">
        <v>168390624316</v>
      </c>
      <c r="G12" s="306">
        <v>209950614110</v>
      </c>
      <c r="H12" s="306">
        <v>378341238426</v>
      </c>
      <c r="I12" s="409"/>
      <c r="J12" s="104"/>
      <c r="K12" s="425">
        <v>0</v>
      </c>
      <c r="L12" s="426"/>
      <c r="M12" s="396"/>
      <c r="N12" s="396">
        <f>VLOOKUP(N11,Fondstatistik!B22:H850,2,)</f>
        <v>15</v>
      </c>
      <c r="O12" s="396">
        <f>VLOOKUP(O11,Fondstatistik!B22:I850,2,)</f>
        <v>0</v>
      </c>
      <c r="P12" s="396"/>
    </row>
    <row r="13" spans="1:16" ht="12.75" customHeight="1" x14ac:dyDescent="0.2">
      <c r="A13" s="109"/>
      <c r="B13" s="269" t="s">
        <v>128</v>
      </c>
      <c r="C13" s="306">
        <v>138430</v>
      </c>
      <c r="D13" s="306">
        <v>149001</v>
      </c>
      <c r="E13" s="306">
        <v>287431</v>
      </c>
      <c r="F13" s="306">
        <v>9213315707</v>
      </c>
      <c r="G13" s="306">
        <v>12600799051</v>
      </c>
      <c r="H13" s="306">
        <v>21814114758</v>
      </c>
      <c r="I13" s="116">
        <f>VLOOKUP($B$12:$B$21,Fondstatistik!$B$24:$Q$998,2,FALSE)</f>
        <v>32</v>
      </c>
      <c r="J13" s="104"/>
      <c r="L13" s="108"/>
      <c r="M13" s="396"/>
      <c r="N13" s="396"/>
      <c r="O13" s="396"/>
      <c r="P13" s="396"/>
    </row>
    <row r="14" spans="1:16" ht="12.75" customHeight="1" x14ac:dyDescent="0.2">
      <c r="A14" s="109"/>
      <c r="B14" s="269" t="s">
        <v>96</v>
      </c>
      <c r="C14" s="306">
        <v>112475</v>
      </c>
      <c r="D14" s="306">
        <v>125383</v>
      </c>
      <c r="E14" s="306">
        <v>237858</v>
      </c>
      <c r="F14" s="306">
        <v>11203406784</v>
      </c>
      <c r="G14" s="306">
        <v>14895689604</v>
      </c>
      <c r="H14" s="306">
        <v>26099096388</v>
      </c>
      <c r="I14" s="116">
        <f>VLOOKUP($B$12:$B$21,Fondstatistik!$B$24:$Q$998,2,FALSE)</f>
        <v>15</v>
      </c>
      <c r="J14" s="104"/>
      <c r="L14" s="398"/>
      <c r="M14" s="397"/>
      <c r="N14" s="397"/>
      <c r="O14" s="397"/>
      <c r="P14" s="397"/>
    </row>
    <row r="15" spans="1:16" ht="12.75" customHeight="1" x14ac:dyDescent="0.2">
      <c r="A15" s="109"/>
      <c r="B15" s="269" t="s">
        <v>107</v>
      </c>
      <c r="C15" s="306">
        <v>110581</v>
      </c>
      <c r="D15" s="306">
        <v>117140</v>
      </c>
      <c r="E15" s="306">
        <v>227721</v>
      </c>
      <c r="F15" s="306">
        <v>9013880765</v>
      </c>
      <c r="G15" s="306">
        <v>11935027240</v>
      </c>
      <c r="H15" s="306">
        <v>20948908005</v>
      </c>
      <c r="I15" s="116">
        <f>VLOOKUP($B$12:$B$21,Fondstatistik!$B$24:$Q$998,2,FALSE)</f>
        <v>14</v>
      </c>
      <c r="J15" s="104"/>
      <c r="M15" s="397"/>
      <c r="N15" s="397"/>
      <c r="O15" s="397"/>
      <c r="P15" s="397"/>
    </row>
    <row r="16" spans="1:16" ht="12.75" customHeight="1" x14ac:dyDescent="0.2">
      <c r="A16" s="109"/>
      <c r="B16" s="269" t="s">
        <v>106</v>
      </c>
      <c r="C16" s="306">
        <v>101639</v>
      </c>
      <c r="D16" s="306">
        <v>104386</v>
      </c>
      <c r="E16" s="306">
        <v>206025</v>
      </c>
      <c r="F16" s="306">
        <v>7555990874</v>
      </c>
      <c r="G16" s="306">
        <v>9798696627</v>
      </c>
      <c r="H16" s="306">
        <v>17354687501</v>
      </c>
      <c r="I16" s="116">
        <f>VLOOKUP($B$12:$B$21,Fondstatistik!$B$24:$Q$998,2,FALSE)</f>
        <v>11</v>
      </c>
      <c r="J16" s="104"/>
    </row>
    <row r="17" spans="1:10" ht="12.75" customHeight="1" x14ac:dyDescent="0.2">
      <c r="A17" s="109"/>
      <c r="B17" s="269" t="s">
        <v>60</v>
      </c>
      <c r="C17" s="306">
        <v>86440</v>
      </c>
      <c r="D17" s="306">
        <v>74226</v>
      </c>
      <c r="E17" s="306">
        <v>160666</v>
      </c>
      <c r="F17" s="306">
        <v>7386601392</v>
      </c>
      <c r="G17" s="306">
        <v>7700400916</v>
      </c>
      <c r="H17" s="306">
        <v>15087002308</v>
      </c>
      <c r="I17" s="116">
        <f>VLOOKUP($B$12:$B$21,Fondstatistik!$B$24:$Q$998,2,FALSE)</f>
        <v>16</v>
      </c>
      <c r="J17" s="104"/>
    </row>
    <row r="18" spans="1:10" ht="12.75" customHeight="1" x14ac:dyDescent="0.2">
      <c r="A18" s="109"/>
      <c r="B18" s="269" t="s">
        <v>58</v>
      </c>
      <c r="C18" s="306">
        <v>64293</v>
      </c>
      <c r="D18" s="306">
        <v>64365</v>
      </c>
      <c r="E18" s="306">
        <v>128658</v>
      </c>
      <c r="F18" s="306">
        <v>9522707325</v>
      </c>
      <c r="G18" s="306">
        <v>11753248847</v>
      </c>
      <c r="H18" s="306">
        <v>21275956172</v>
      </c>
      <c r="I18" s="116">
        <f>VLOOKUP($B$12:$B$21,Fondstatistik!$B$24:$Q$998,2,FALSE)</f>
        <v>10</v>
      </c>
      <c r="J18" s="104"/>
    </row>
    <row r="19" spans="1:10" ht="12.75" customHeight="1" x14ac:dyDescent="0.2">
      <c r="A19" s="109"/>
      <c r="B19" s="269" t="s">
        <v>59</v>
      </c>
      <c r="C19" s="306">
        <v>66269</v>
      </c>
      <c r="D19" s="306">
        <v>51018</v>
      </c>
      <c r="E19" s="306">
        <v>117287</v>
      </c>
      <c r="F19" s="306">
        <v>10286632637</v>
      </c>
      <c r="G19" s="306">
        <v>9331625729</v>
      </c>
      <c r="H19" s="306">
        <v>19618258367</v>
      </c>
      <c r="I19" s="116">
        <f>VLOOKUP($B$12:$B$21,Fondstatistik!$B$24:$Q$998,2,FALSE)</f>
        <v>8</v>
      </c>
      <c r="J19" s="104"/>
    </row>
    <row r="20" spans="1:10" ht="12.75" customHeight="1" x14ac:dyDescent="0.2">
      <c r="A20" s="109"/>
      <c r="B20" s="269" t="s">
        <v>105</v>
      </c>
      <c r="C20" s="306">
        <v>61014</v>
      </c>
      <c r="D20" s="306">
        <v>55233</v>
      </c>
      <c r="E20" s="306">
        <v>116247</v>
      </c>
      <c r="F20" s="306">
        <v>4049831027</v>
      </c>
      <c r="G20" s="306">
        <v>4583303085</v>
      </c>
      <c r="H20" s="306">
        <v>8633134113</v>
      </c>
      <c r="I20" s="116">
        <f>VLOOKUP($B$12:$B$21,Fondstatistik!$B$24:$Q$998,2,FALSE)</f>
        <v>7</v>
      </c>
      <c r="J20" s="104"/>
    </row>
    <row r="21" spans="1:10" ht="12.75" customHeight="1" x14ac:dyDescent="0.2">
      <c r="A21" s="109"/>
      <c r="B21" s="307" t="s">
        <v>61</v>
      </c>
      <c r="C21" s="308">
        <v>59871</v>
      </c>
      <c r="D21" s="308">
        <v>55996</v>
      </c>
      <c r="E21" s="308">
        <v>115867</v>
      </c>
      <c r="F21" s="308">
        <v>2395150878</v>
      </c>
      <c r="G21" s="308">
        <v>2875311793</v>
      </c>
      <c r="H21" s="308">
        <v>5270462671</v>
      </c>
      <c r="I21" s="116">
        <f>VLOOKUP($B$12:$B$21,Fondstatistik!$B$24:$Q$998,2,FALSE)</f>
        <v>-2</v>
      </c>
      <c r="J21" s="104"/>
    </row>
    <row r="22" spans="1:10" x14ac:dyDescent="0.2">
      <c r="A22" s="109"/>
      <c r="B22" s="251"/>
      <c r="C22" s="117"/>
      <c r="D22" s="113"/>
      <c r="E22" s="118"/>
      <c r="F22" s="113"/>
      <c r="G22" s="117"/>
      <c r="H22" s="113"/>
      <c r="I22" s="116"/>
      <c r="J22" s="104"/>
    </row>
    <row r="23" spans="1:10" x14ac:dyDescent="0.2">
      <c r="A23" s="109"/>
      <c r="B23" s="250"/>
      <c r="C23" s="110"/>
      <c r="D23" s="272"/>
      <c r="E23" s="271"/>
      <c r="F23" s="272"/>
      <c r="G23" s="110"/>
      <c r="H23" s="272"/>
      <c r="I23" s="252"/>
      <c r="J23" s="104"/>
    </row>
    <row r="24" spans="1:10" ht="15.75" x14ac:dyDescent="0.25">
      <c r="A24" s="109"/>
      <c r="B24" s="115" t="s">
        <v>23</v>
      </c>
      <c r="C24" s="104"/>
      <c r="D24" s="104"/>
      <c r="E24" s="104"/>
      <c r="F24" s="104"/>
      <c r="G24" s="104"/>
      <c r="H24" s="104"/>
      <c r="I24" s="116"/>
      <c r="J24" s="104"/>
    </row>
    <row r="25" spans="1:10" x14ac:dyDescent="0.2">
      <c r="A25" s="109"/>
      <c r="B25" s="122" t="s">
        <v>69</v>
      </c>
      <c r="C25" s="410" t="s">
        <v>110</v>
      </c>
      <c r="D25" s="411"/>
      <c r="E25" s="412"/>
      <c r="F25" s="410" t="s">
        <v>72</v>
      </c>
      <c r="G25" s="411"/>
      <c r="H25" s="412"/>
      <c r="I25" s="123" t="s">
        <v>84</v>
      </c>
      <c r="J25" s="104"/>
    </row>
    <row r="26" spans="1:10" x14ac:dyDescent="0.2">
      <c r="A26" s="109"/>
      <c r="B26" s="122"/>
      <c r="C26" s="124" t="s">
        <v>74</v>
      </c>
      <c r="D26" s="125" t="s">
        <v>75</v>
      </c>
      <c r="E26" s="125" t="s">
        <v>76</v>
      </c>
      <c r="F26" s="125" t="s">
        <v>74</v>
      </c>
      <c r="G26" s="125" t="s">
        <v>75</v>
      </c>
      <c r="H26" s="125" t="s">
        <v>76</v>
      </c>
      <c r="I26" s="126">
        <v>2017</v>
      </c>
      <c r="J26" s="104"/>
    </row>
    <row r="27" spans="1:10" ht="12.75" customHeight="1" x14ac:dyDescent="0.25">
      <c r="A27" s="109"/>
      <c r="B27" s="319" t="s">
        <v>839</v>
      </c>
      <c r="C27" s="331">
        <v>1771311</v>
      </c>
      <c r="D27" s="331">
        <v>1897886</v>
      </c>
      <c r="E27" s="331">
        <v>3669197</v>
      </c>
      <c r="F27" s="331">
        <v>168390624316</v>
      </c>
      <c r="G27" s="331">
        <v>209950614110</v>
      </c>
      <c r="H27" s="331">
        <v>378341238426</v>
      </c>
      <c r="I27" s="403"/>
      <c r="J27" s="104"/>
    </row>
    <row r="28" spans="1:10" ht="12.75" customHeight="1" x14ac:dyDescent="0.25">
      <c r="A28" s="109"/>
      <c r="B28" s="319" t="s">
        <v>96</v>
      </c>
      <c r="C28" s="331">
        <v>112475</v>
      </c>
      <c r="D28" s="331">
        <v>125383</v>
      </c>
      <c r="E28" s="331">
        <v>237858</v>
      </c>
      <c r="F28" s="331">
        <v>11203406784</v>
      </c>
      <c r="G28" s="331">
        <v>14895689604</v>
      </c>
      <c r="H28" s="331">
        <v>26099096388</v>
      </c>
      <c r="I28" s="403">
        <f>VLOOKUP($B$28:$B$36,Fondstatistik!$B$24:$Q$998,2,FALSE)</f>
        <v>15</v>
      </c>
      <c r="J28" s="104"/>
    </row>
    <row r="29" spans="1:10" ht="12.75" customHeight="1" x14ac:dyDescent="0.25">
      <c r="A29" s="109"/>
      <c r="B29" s="319" t="s">
        <v>128</v>
      </c>
      <c r="C29" s="331">
        <v>138430</v>
      </c>
      <c r="D29" s="331">
        <v>149001</v>
      </c>
      <c r="E29" s="331">
        <v>287431</v>
      </c>
      <c r="F29" s="331">
        <v>9213315707</v>
      </c>
      <c r="G29" s="331">
        <v>12600799051</v>
      </c>
      <c r="H29" s="331">
        <v>21814114758</v>
      </c>
      <c r="I29" s="403">
        <f>VLOOKUP($B$28:$B$36,Fondstatistik!$B$24:$Q$998,2,FALSE)</f>
        <v>32</v>
      </c>
      <c r="J29" s="104"/>
    </row>
    <row r="30" spans="1:10" ht="12.75" customHeight="1" x14ac:dyDescent="0.25">
      <c r="A30" s="109"/>
      <c r="B30" s="319" t="s">
        <v>58</v>
      </c>
      <c r="C30" s="331">
        <v>64293</v>
      </c>
      <c r="D30" s="331">
        <v>64365</v>
      </c>
      <c r="E30" s="331">
        <v>128658</v>
      </c>
      <c r="F30" s="331">
        <v>9522707325</v>
      </c>
      <c r="G30" s="331">
        <v>11753248847</v>
      </c>
      <c r="H30" s="331">
        <v>21275956172</v>
      </c>
      <c r="I30" s="403">
        <f>VLOOKUP($B$28:$B$36,Fondstatistik!$B$24:$Q$998,2,FALSE)</f>
        <v>10</v>
      </c>
      <c r="J30" s="104"/>
    </row>
    <row r="31" spans="1:10" ht="12.75" customHeight="1" x14ac:dyDescent="0.25">
      <c r="A31" s="109"/>
      <c r="B31" s="319" t="s">
        <v>107</v>
      </c>
      <c r="C31" s="331">
        <v>110581</v>
      </c>
      <c r="D31" s="331">
        <v>117140</v>
      </c>
      <c r="E31" s="331">
        <v>227721</v>
      </c>
      <c r="F31" s="331">
        <v>9013880765</v>
      </c>
      <c r="G31" s="331">
        <v>11935027240</v>
      </c>
      <c r="H31" s="331">
        <v>20948908005</v>
      </c>
      <c r="I31" s="403">
        <f>VLOOKUP($B$28:$B$36,Fondstatistik!$B$24:$Q$998,2,FALSE)</f>
        <v>14</v>
      </c>
      <c r="J31" s="104"/>
    </row>
    <row r="32" spans="1:10" ht="12.75" customHeight="1" x14ac:dyDescent="0.25">
      <c r="A32" s="109"/>
      <c r="B32" s="319" t="s">
        <v>59</v>
      </c>
      <c r="C32" s="331">
        <v>66269</v>
      </c>
      <c r="D32" s="331">
        <v>51018</v>
      </c>
      <c r="E32" s="331">
        <v>117287</v>
      </c>
      <c r="F32" s="331">
        <v>10286632637</v>
      </c>
      <c r="G32" s="331">
        <v>9331625729</v>
      </c>
      <c r="H32" s="331">
        <v>19618258367</v>
      </c>
      <c r="I32" s="403">
        <f>VLOOKUP($B$28:$B$36,Fondstatistik!$B$24:$Q$998,2,FALSE)</f>
        <v>8</v>
      </c>
      <c r="J32" s="104"/>
    </row>
    <row r="33" spans="1:13" ht="12.75" customHeight="1" x14ac:dyDescent="0.25">
      <c r="A33" s="109"/>
      <c r="B33" s="319" t="s">
        <v>106</v>
      </c>
      <c r="C33" s="331">
        <v>101639</v>
      </c>
      <c r="D33" s="331">
        <v>104386</v>
      </c>
      <c r="E33" s="331">
        <v>206025</v>
      </c>
      <c r="F33" s="331">
        <v>7555990874</v>
      </c>
      <c r="G33" s="331">
        <v>9798696627</v>
      </c>
      <c r="H33" s="331">
        <v>17354687501</v>
      </c>
      <c r="I33" s="403">
        <f>VLOOKUP($B$28:$B$36,Fondstatistik!$B$24:$Q$998,2,FALSE)</f>
        <v>11</v>
      </c>
      <c r="J33" s="104"/>
    </row>
    <row r="34" spans="1:13" ht="12.75" customHeight="1" x14ac:dyDescent="0.25">
      <c r="A34" s="109"/>
      <c r="B34" s="319" t="s">
        <v>130</v>
      </c>
      <c r="C34" s="331">
        <v>44883</v>
      </c>
      <c r="D34" s="331">
        <v>35565</v>
      </c>
      <c r="E34" s="331">
        <v>80448</v>
      </c>
      <c r="F34" s="331">
        <v>8344799079</v>
      </c>
      <c r="G34" s="331">
        <v>7789692755</v>
      </c>
      <c r="H34" s="331">
        <v>16134491833</v>
      </c>
      <c r="I34" s="403">
        <f>VLOOKUP($B$28:$B$36,Fondstatistik!$B$24:$Q$998,2,FALSE)</f>
        <v>12</v>
      </c>
      <c r="J34" s="104"/>
    </row>
    <row r="35" spans="1:13" ht="12.75" customHeight="1" x14ac:dyDescent="0.25">
      <c r="A35" s="109"/>
      <c r="B35" s="319" t="s">
        <v>60</v>
      </c>
      <c r="C35" s="331">
        <v>86440</v>
      </c>
      <c r="D35" s="331">
        <v>74226</v>
      </c>
      <c r="E35" s="331">
        <v>160666</v>
      </c>
      <c r="F35" s="331">
        <v>7386601392</v>
      </c>
      <c r="G35" s="331">
        <v>7700400916</v>
      </c>
      <c r="H35" s="331">
        <v>15087002308</v>
      </c>
      <c r="I35" s="403">
        <f>VLOOKUP($B$28:$B$36,Fondstatistik!$B$24:$Q$998,2,FALSE)</f>
        <v>16</v>
      </c>
      <c r="J35" s="104"/>
    </row>
    <row r="36" spans="1:13" ht="12.75" customHeight="1" x14ac:dyDescent="0.25">
      <c r="A36" s="109"/>
      <c r="B36" s="319" t="s">
        <v>248</v>
      </c>
      <c r="C36" s="331">
        <v>42618</v>
      </c>
      <c r="D36" s="331">
        <v>35315</v>
      </c>
      <c r="E36" s="331">
        <v>77933</v>
      </c>
      <c r="F36" s="331">
        <v>6726908405</v>
      </c>
      <c r="G36" s="331">
        <v>6562105615</v>
      </c>
      <c r="H36" s="331">
        <v>13289014020</v>
      </c>
      <c r="I36" s="403">
        <f>VLOOKUP($B$28:$B$36,Fondstatistik!$B$24:$Q$998,2,FALSE)</f>
        <v>12</v>
      </c>
      <c r="J36" s="107"/>
    </row>
    <row r="37" spans="1:13" x14ac:dyDescent="0.2">
      <c r="A37" s="109"/>
      <c r="B37" s="119"/>
      <c r="C37" s="3"/>
      <c r="D37" s="3"/>
      <c r="E37" s="3"/>
      <c r="F37" s="3"/>
      <c r="G37" s="3"/>
      <c r="H37" s="3"/>
      <c r="I37" s="120"/>
      <c r="J37" s="121"/>
    </row>
    <row r="38" spans="1:13" x14ac:dyDescent="0.2">
      <c r="A38" s="109"/>
      <c r="B38" s="268"/>
      <c r="J38" s="101"/>
    </row>
    <row r="39" spans="1:13" ht="15.75" x14ac:dyDescent="0.25">
      <c r="A39" s="109"/>
      <c r="B39" s="334" t="s">
        <v>24</v>
      </c>
      <c r="C39" s="104"/>
      <c r="D39" s="104"/>
      <c r="E39" s="104"/>
      <c r="F39" s="104"/>
      <c r="G39" s="104"/>
      <c r="H39" s="104"/>
      <c r="I39" s="104"/>
      <c r="J39" s="104"/>
    </row>
    <row r="40" spans="1:13" ht="12.75" customHeight="1" x14ac:dyDescent="0.2">
      <c r="A40" s="109"/>
      <c r="B40" s="127" t="s">
        <v>69</v>
      </c>
      <c r="C40" s="128">
        <v>2017</v>
      </c>
      <c r="D40" s="128" t="s">
        <v>2029</v>
      </c>
      <c r="E40" s="129" t="s">
        <v>38</v>
      </c>
      <c r="F40" s="129" t="s">
        <v>39</v>
      </c>
      <c r="G40" s="129" t="s">
        <v>40</v>
      </c>
      <c r="H40" s="129" t="s">
        <v>41</v>
      </c>
      <c r="I40" s="129" t="s">
        <v>42</v>
      </c>
      <c r="J40" s="126" t="s">
        <v>103</v>
      </c>
    </row>
    <row r="41" spans="1:13" ht="12.75" customHeight="1" x14ac:dyDescent="0.25">
      <c r="A41" s="109"/>
      <c r="B41" s="319" t="s">
        <v>992</v>
      </c>
      <c r="C41" s="353">
        <v>24</v>
      </c>
      <c r="D41" s="353">
        <v>9</v>
      </c>
      <c r="E41" s="353">
        <v>13</v>
      </c>
      <c r="F41" s="353">
        <v>10</v>
      </c>
      <c r="G41" s="353">
        <v>28</v>
      </c>
      <c r="H41" s="353">
        <v>104</v>
      </c>
      <c r="I41" s="116">
        <v>288</v>
      </c>
      <c r="J41" s="395">
        <v>31.1</v>
      </c>
    </row>
    <row r="42" spans="1:13" ht="12.75" customHeight="1" x14ac:dyDescent="0.25">
      <c r="A42" s="109"/>
      <c r="B42" s="319" t="s">
        <v>439</v>
      </c>
      <c r="C42" s="353">
        <v>23</v>
      </c>
      <c r="D42" s="353">
        <v>8</v>
      </c>
      <c r="E42" s="353">
        <v>12</v>
      </c>
      <c r="F42" s="353">
        <v>10</v>
      </c>
      <c r="G42" s="353">
        <v>26</v>
      </c>
      <c r="H42" s="353">
        <v>105</v>
      </c>
      <c r="I42" s="116">
        <v>241</v>
      </c>
      <c r="J42" s="395">
        <v>27.8</v>
      </c>
    </row>
    <row r="43" spans="1:13" ht="12.75" customHeight="1" x14ac:dyDescent="0.25">
      <c r="A43" s="109"/>
      <c r="B43" s="319" t="s">
        <v>1027</v>
      </c>
      <c r="C43" s="353">
        <v>17</v>
      </c>
      <c r="D43" s="353">
        <v>1</v>
      </c>
      <c r="E43" s="353">
        <v>3</v>
      </c>
      <c r="F43" s="353">
        <v>6</v>
      </c>
      <c r="G43" s="353">
        <v>24</v>
      </c>
      <c r="H43" s="353">
        <v>98</v>
      </c>
      <c r="I43" s="116">
        <v>234</v>
      </c>
      <c r="J43" s="395">
        <v>27.3</v>
      </c>
    </row>
    <row r="44" spans="1:13" ht="12.75" customHeight="1" x14ac:dyDescent="0.25">
      <c r="A44" s="109"/>
      <c r="B44" s="319" t="s">
        <v>891</v>
      </c>
      <c r="C44" s="353">
        <v>16</v>
      </c>
      <c r="D44" s="353">
        <v>3</v>
      </c>
      <c r="E44" s="353">
        <v>8</v>
      </c>
      <c r="F44" s="353">
        <v>7</v>
      </c>
      <c r="G44" s="353">
        <v>21</v>
      </c>
      <c r="H44" s="353">
        <v>81</v>
      </c>
      <c r="I44" s="116">
        <v>220</v>
      </c>
      <c r="J44" s="395">
        <v>26.2</v>
      </c>
    </row>
    <row r="45" spans="1:13" ht="12.75" customHeight="1" x14ac:dyDescent="0.25">
      <c r="A45" s="109"/>
      <c r="B45" s="319" t="s">
        <v>463</v>
      </c>
      <c r="C45" s="353">
        <v>20</v>
      </c>
      <c r="D45" s="353">
        <v>10</v>
      </c>
      <c r="E45" s="353">
        <v>10</v>
      </c>
      <c r="F45" s="353">
        <v>9</v>
      </c>
      <c r="G45" s="353">
        <v>19</v>
      </c>
      <c r="H45" s="353">
        <v>90</v>
      </c>
      <c r="I45" s="116">
        <v>214</v>
      </c>
      <c r="J45" s="395">
        <v>25.7</v>
      </c>
      <c r="M45" s="110"/>
    </row>
    <row r="46" spans="1:13" ht="12.75" customHeight="1" x14ac:dyDescent="0.25">
      <c r="A46" s="109"/>
      <c r="B46" s="319" t="s">
        <v>401</v>
      </c>
      <c r="C46" s="353">
        <v>6</v>
      </c>
      <c r="D46" s="353">
        <v>0</v>
      </c>
      <c r="E46" s="353">
        <v>0</v>
      </c>
      <c r="F46" s="353">
        <v>-1</v>
      </c>
      <c r="G46" s="353">
        <v>8</v>
      </c>
      <c r="H46" s="353">
        <v>63</v>
      </c>
      <c r="I46" s="116">
        <v>210</v>
      </c>
      <c r="J46" s="395">
        <v>25.4</v>
      </c>
      <c r="L46" s="110"/>
      <c r="M46" s="110"/>
    </row>
    <row r="47" spans="1:13" ht="12.75" customHeight="1" x14ac:dyDescent="0.25">
      <c r="A47" s="109"/>
      <c r="B47" s="319" t="s">
        <v>461</v>
      </c>
      <c r="C47" s="353">
        <v>14</v>
      </c>
      <c r="D47" s="353">
        <v>3</v>
      </c>
      <c r="E47" s="353">
        <v>6</v>
      </c>
      <c r="F47" s="353">
        <v>3</v>
      </c>
      <c r="G47" s="353">
        <v>18</v>
      </c>
      <c r="H47" s="353">
        <v>75</v>
      </c>
      <c r="I47" s="116">
        <v>205</v>
      </c>
      <c r="J47" s="395">
        <v>25</v>
      </c>
      <c r="L47" s="110"/>
      <c r="M47" s="110"/>
    </row>
    <row r="48" spans="1:13" ht="12.75" customHeight="1" x14ac:dyDescent="0.25">
      <c r="A48" s="109"/>
      <c r="B48" s="319" t="s">
        <v>524</v>
      </c>
      <c r="C48" s="353">
        <v>25</v>
      </c>
      <c r="D48" s="353">
        <v>8</v>
      </c>
      <c r="E48" s="353">
        <v>12</v>
      </c>
      <c r="F48" s="353">
        <v>10</v>
      </c>
      <c r="G48" s="353">
        <v>26</v>
      </c>
      <c r="H48" s="353">
        <v>92</v>
      </c>
      <c r="I48" s="116">
        <v>203</v>
      </c>
      <c r="J48" s="395">
        <v>24.9</v>
      </c>
      <c r="L48" s="110"/>
      <c r="M48" s="110"/>
    </row>
    <row r="49" spans="1:14" ht="12.75" customHeight="1" x14ac:dyDescent="0.25">
      <c r="A49" s="109"/>
      <c r="B49" s="319" t="s">
        <v>794</v>
      </c>
      <c r="C49" s="353">
        <v>37</v>
      </c>
      <c r="D49" s="353">
        <v>11</v>
      </c>
      <c r="E49" s="353">
        <v>16</v>
      </c>
      <c r="F49" s="353">
        <v>19</v>
      </c>
      <c r="G49" s="353">
        <v>38</v>
      </c>
      <c r="H49" s="353">
        <v>90</v>
      </c>
      <c r="I49" s="116">
        <v>204</v>
      </c>
      <c r="J49" s="395">
        <v>24.9</v>
      </c>
      <c r="L49" s="110"/>
      <c r="M49" s="110"/>
    </row>
    <row r="50" spans="1:14" ht="12.75" customHeight="1" x14ac:dyDescent="0.25">
      <c r="A50" s="109"/>
      <c r="B50" s="319" t="s">
        <v>391</v>
      </c>
      <c r="C50" s="353">
        <v>14</v>
      </c>
      <c r="D50" s="353">
        <v>4</v>
      </c>
      <c r="E50" s="353">
        <v>8</v>
      </c>
      <c r="F50" s="353">
        <v>3</v>
      </c>
      <c r="G50" s="353">
        <v>15</v>
      </c>
      <c r="H50" s="353">
        <v>77</v>
      </c>
      <c r="I50" s="116">
        <v>201</v>
      </c>
      <c r="J50" s="395">
        <v>24.7</v>
      </c>
      <c r="L50" s="110"/>
      <c r="M50" s="110"/>
    </row>
    <row r="51" spans="1:14" x14ac:dyDescent="0.2">
      <c r="B51" s="270"/>
      <c r="C51" s="306"/>
      <c r="D51" s="306"/>
      <c r="E51" s="306"/>
      <c r="F51" s="306"/>
      <c r="G51" s="306"/>
      <c r="H51" s="306"/>
      <c r="I51" s="116"/>
      <c r="J51" s="107"/>
      <c r="L51" s="112"/>
      <c r="M51" s="110"/>
      <c r="N51" s="110"/>
    </row>
    <row r="52" spans="1:14" x14ac:dyDescent="0.2">
      <c r="K52" s="99"/>
      <c r="L52" s="112"/>
      <c r="M52" s="110"/>
      <c r="N52" s="110"/>
    </row>
    <row r="53" spans="1:14" x14ac:dyDescent="0.2">
      <c r="K53" s="99"/>
      <c r="L53" s="112"/>
      <c r="M53" s="110"/>
      <c r="N53" s="110"/>
    </row>
    <row r="54" spans="1:14" x14ac:dyDescent="0.2">
      <c r="K54" s="99"/>
      <c r="L54" s="112"/>
      <c r="M54" s="110"/>
    </row>
    <row r="55" spans="1:14" x14ac:dyDescent="0.2">
      <c r="L55" s="112"/>
    </row>
  </sheetData>
  <mergeCells count="4">
    <mergeCell ref="C10:E10"/>
    <mergeCell ref="F10:H10"/>
    <mergeCell ref="F25:H25"/>
    <mergeCell ref="C25:E25"/>
  </mergeCells>
  <phoneticPr fontId="12" type="noConversion"/>
  <pageMargins left="0.75" right="0.75" top="0.45" bottom="0.59" header="0.34" footer="0.5"/>
  <pageSetup paperSize="9" scale="83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/>
  <dimension ref="A1:U1057"/>
  <sheetViews>
    <sheetView showGridLines="0" showRowColHeaders="0" zoomScale="85" zoomScaleNormal="85" workbookViewId="0">
      <pane ySplit="21" topLeftCell="A22" activePane="bottomLeft" state="frozen"/>
      <selection pane="bottomLeft"/>
    </sheetView>
  </sheetViews>
  <sheetFormatPr defaultRowHeight="12.75" x14ac:dyDescent="0.2"/>
  <cols>
    <col min="1" max="1" width="14.85546875" style="39" bestFit="1" customWidth="1"/>
    <col min="2" max="2" width="61" style="54" customWidth="1"/>
    <col min="3" max="9" width="8" style="38" customWidth="1"/>
    <col min="10" max="10" width="9.28515625" style="39" customWidth="1"/>
    <col min="11" max="11" width="9.42578125" style="39" customWidth="1"/>
    <col min="12" max="12" width="13.140625" style="39" customWidth="1"/>
    <col min="13" max="13" width="6" style="40" bestFit="1" customWidth="1"/>
    <col min="14" max="14" width="8.140625" style="41" bestFit="1" customWidth="1"/>
    <col min="15" max="15" width="11.5703125" style="41" bestFit="1" customWidth="1"/>
    <col min="16" max="16" width="14.42578125" style="39" bestFit="1" customWidth="1"/>
    <col min="17" max="17" width="11" style="39" bestFit="1" customWidth="1"/>
    <col min="18" max="18" width="16" style="42" bestFit="1" customWidth="1"/>
    <col min="19" max="19" width="44.5703125" style="382" customWidth="1"/>
    <col min="20" max="20" width="25.5703125" style="43" bestFit="1" customWidth="1"/>
    <col min="21" max="21" width="34.85546875" style="377" bestFit="1" customWidth="1"/>
    <col min="22" max="16384" width="9.140625" style="42"/>
  </cols>
  <sheetData>
    <row r="1" spans="1:21" ht="45" customHeight="1" x14ac:dyDescent="0.2">
      <c r="A1" s="54"/>
      <c r="B1" s="38"/>
      <c r="I1" s="39"/>
      <c r="L1" s="40"/>
      <c r="M1" s="41"/>
      <c r="O1" s="39"/>
      <c r="Q1" s="44"/>
      <c r="R1" s="46"/>
      <c r="T1" s="377"/>
    </row>
    <row r="2" spans="1:21" x14ac:dyDescent="0.2">
      <c r="A2" s="54"/>
      <c r="B2" s="38"/>
      <c r="I2" s="39"/>
      <c r="L2" s="40"/>
      <c r="M2" s="41"/>
      <c r="O2" s="39"/>
      <c r="Q2" s="44"/>
      <c r="R2" s="46"/>
      <c r="T2" s="377"/>
    </row>
    <row r="3" spans="1:21" x14ac:dyDescent="0.2">
      <c r="A3" s="54"/>
      <c r="B3" s="38"/>
      <c r="I3" s="39"/>
      <c r="L3" s="40"/>
      <c r="M3" s="41"/>
      <c r="O3" s="39"/>
      <c r="Q3" s="44"/>
      <c r="R3" s="46"/>
      <c r="T3" s="377"/>
    </row>
    <row r="4" spans="1:21" x14ac:dyDescent="0.2">
      <c r="A4" s="54"/>
      <c r="B4" s="38"/>
      <c r="I4" s="39"/>
      <c r="L4" s="40"/>
      <c r="M4" s="41"/>
      <c r="O4" s="39"/>
      <c r="Q4" s="44"/>
      <c r="R4" s="46"/>
      <c r="T4" s="377"/>
    </row>
    <row r="5" spans="1:21" ht="20.25" x14ac:dyDescent="0.3">
      <c r="A5" s="357" t="s">
        <v>2033</v>
      </c>
      <c r="C5" s="45"/>
      <c r="D5" s="45"/>
      <c r="E5" s="45"/>
      <c r="F5" s="45"/>
      <c r="G5" s="45"/>
      <c r="H5" s="45"/>
      <c r="I5" s="39"/>
      <c r="L5" s="40"/>
      <c r="M5" s="41"/>
      <c r="O5" s="39"/>
      <c r="Q5" s="44"/>
      <c r="R5" s="46"/>
      <c r="T5" s="377"/>
    </row>
    <row r="6" spans="1:21" ht="14.25" x14ac:dyDescent="0.2">
      <c r="A6" s="359" t="str">
        <f>'Fondval &amp; marknadsvärde'!A7</f>
        <v>Nästa uppdatering: 2017-12-08</v>
      </c>
      <c r="B6" s="38"/>
      <c r="I6" s="39"/>
      <c r="L6" s="40"/>
      <c r="M6" s="41"/>
      <c r="O6" s="39"/>
      <c r="Q6" s="44"/>
      <c r="R6" s="46"/>
      <c r="T6" s="377"/>
    </row>
    <row r="7" spans="1:21" x14ac:dyDescent="0.2">
      <c r="A7" s="358"/>
      <c r="B7" s="44"/>
      <c r="C7" s="39"/>
      <c r="D7" s="39"/>
      <c r="E7" s="39"/>
      <c r="F7" s="39"/>
      <c r="G7" s="39"/>
      <c r="I7" s="39"/>
      <c r="L7" s="40"/>
      <c r="M7" s="41"/>
      <c r="O7" s="39"/>
      <c r="Q7" s="44"/>
      <c r="R7" s="46"/>
      <c r="T7" s="377"/>
    </row>
    <row r="8" spans="1:21" s="4" customFormat="1" x14ac:dyDescent="0.2">
      <c r="A8" s="338"/>
      <c r="B8" s="11"/>
      <c r="C8" s="13"/>
      <c r="D8" s="13"/>
      <c r="E8" s="13"/>
      <c r="F8" s="27"/>
      <c r="G8" s="27"/>
      <c r="H8" s="27"/>
      <c r="I8" s="27"/>
      <c r="J8" s="389"/>
      <c r="K8" s="389"/>
      <c r="L8" s="390"/>
      <c r="M8" s="13"/>
      <c r="N8" s="13"/>
      <c r="O8" s="8"/>
      <c r="P8" s="8"/>
      <c r="R8" s="8"/>
      <c r="S8" s="11"/>
      <c r="T8" s="6"/>
      <c r="U8" s="6"/>
    </row>
    <row r="9" spans="1:21" s="4" customFormat="1" x14ac:dyDescent="0.2">
      <c r="A9" s="341"/>
      <c r="B9" s="11"/>
      <c r="C9" s="13"/>
      <c r="D9" s="13"/>
      <c r="E9" s="13"/>
      <c r="F9" s="27"/>
      <c r="G9" s="27"/>
      <c r="H9" s="27"/>
      <c r="I9" s="27"/>
      <c r="J9" s="389"/>
      <c r="K9" s="389"/>
      <c r="L9" s="390"/>
      <c r="M9" s="13"/>
      <c r="N9" s="13"/>
      <c r="O9" s="8"/>
      <c r="P9" s="8"/>
      <c r="R9" s="8"/>
      <c r="S9" s="11"/>
      <c r="T9" s="6"/>
      <c r="U9" s="6"/>
    </row>
    <row r="10" spans="1:21" s="4" customFormat="1" x14ac:dyDescent="0.2">
      <c r="A10" s="342" t="s">
        <v>50</v>
      </c>
      <c r="B10" s="11"/>
      <c r="C10" s="13"/>
      <c r="D10" s="13"/>
      <c r="E10" s="27"/>
      <c r="F10" s="27"/>
      <c r="G10" s="27"/>
      <c r="H10" s="27"/>
      <c r="I10" s="27"/>
      <c r="J10" s="27"/>
      <c r="K10" s="27"/>
      <c r="L10" s="13"/>
      <c r="M10" s="13"/>
      <c r="N10" s="13"/>
      <c r="O10" s="8"/>
      <c r="P10" s="8"/>
      <c r="R10" s="8"/>
      <c r="S10" s="11"/>
      <c r="T10" s="6"/>
      <c r="U10" s="6"/>
    </row>
    <row r="11" spans="1:21" s="4" customFormat="1" x14ac:dyDescent="0.2">
      <c r="A11" s="342"/>
      <c r="B11" s="11"/>
      <c r="C11" s="13"/>
      <c r="D11" s="13"/>
      <c r="E11" s="27"/>
      <c r="F11" s="27"/>
      <c r="G11" s="27"/>
      <c r="H11" s="27"/>
      <c r="I11" s="27"/>
      <c r="J11" s="27"/>
      <c r="K11" s="27"/>
      <c r="L11" s="390"/>
      <c r="M11" s="13"/>
      <c r="N11" s="13"/>
      <c r="O11" s="8"/>
      <c r="P11" s="8"/>
      <c r="R11" s="8"/>
      <c r="S11" s="11"/>
      <c r="T11" s="6"/>
      <c r="U11" s="6"/>
    </row>
    <row r="12" spans="1:21" s="4" customFormat="1" x14ac:dyDescent="0.2">
      <c r="A12" s="342"/>
      <c r="B12" s="11"/>
      <c r="C12" s="13"/>
      <c r="D12" s="13"/>
      <c r="E12" s="13"/>
      <c r="F12" s="27"/>
      <c r="G12" s="27"/>
      <c r="H12" s="27"/>
      <c r="I12" s="27"/>
      <c r="J12" s="27"/>
      <c r="K12" s="27"/>
      <c r="L12" s="390"/>
      <c r="M12" s="13"/>
      <c r="N12" s="13"/>
      <c r="O12" s="8"/>
      <c r="P12" s="8"/>
      <c r="R12" s="8"/>
      <c r="S12" s="11"/>
      <c r="T12" s="6"/>
      <c r="U12" s="6"/>
    </row>
    <row r="13" spans="1:21" s="4" customFormat="1" x14ac:dyDescent="0.2">
      <c r="A13" s="342"/>
      <c r="B13" s="11"/>
      <c r="C13" s="13"/>
      <c r="D13" s="13"/>
      <c r="E13" s="13"/>
      <c r="F13" s="27"/>
      <c r="G13" s="27"/>
      <c r="H13" s="27"/>
      <c r="I13" s="27"/>
      <c r="J13" s="27"/>
      <c r="K13" s="27"/>
      <c r="L13" s="390"/>
      <c r="M13" s="13"/>
      <c r="N13" s="13"/>
      <c r="O13" s="8"/>
      <c r="P13" s="8"/>
      <c r="R13" s="8"/>
      <c r="S13" s="11"/>
      <c r="T13" s="6"/>
      <c r="U13" s="6"/>
    </row>
    <row r="14" spans="1:21" s="4" customFormat="1" ht="15" customHeight="1" x14ac:dyDescent="0.2">
      <c r="A14" s="53"/>
      <c r="B14" s="11"/>
      <c r="C14" s="391"/>
      <c r="D14" s="391"/>
      <c r="E14" s="27"/>
      <c r="F14" s="27"/>
      <c r="G14" s="27"/>
      <c r="H14" s="27"/>
      <c r="I14" s="27"/>
      <c r="J14" s="27"/>
      <c r="K14" s="27"/>
      <c r="L14" s="390"/>
      <c r="M14" s="13"/>
      <c r="N14" s="13"/>
      <c r="O14" s="8"/>
      <c r="P14" s="8"/>
      <c r="R14" s="8"/>
      <c r="S14" s="11"/>
      <c r="T14" s="6"/>
      <c r="U14" s="6"/>
    </row>
    <row r="15" spans="1:21" s="4" customFormat="1" ht="15" customHeight="1" x14ac:dyDescent="0.2">
      <c r="A15" s="338"/>
      <c r="B15" s="30"/>
      <c r="C15" s="13"/>
      <c r="D15" s="13"/>
      <c r="E15" s="27"/>
      <c r="F15" s="27"/>
      <c r="G15" s="27"/>
      <c r="H15" s="27"/>
      <c r="I15" s="27"/>
      <c r="J15" s="27"/>
      <c r="K15" s="27"/>
      <c r="L15" s="390"/>
      <c r="M15" s="13"/>
      <c r="N15" s="13"/>
      <c r="O15" s="8"/>
      <c r="P15" s="8"/>
      <c r="R15" s="8"/>
      <c r="S15" s="11"/>
      <c r="T15" s="6"/>
      <c r="U15" s="6"/>
    </row>
    <row r="16" spans="1:21" s="4" customFormat="1" ht="15" customHeight="1" x14ac:dyDescent="0.2">
      <c r="A16" s="343"/>
      <c r="B16" s="30"/>
      <c r="C16" s="13"/>
      <c r="D16" s="13"/>
      <c r="E16" s="27"/>
      <c r="F16" s="27"/>
      <c r="G16" s="27"/>
      <c r="H16" s="27"/>
      <c r="I16" s="27"/>
      <c r="J16" s="27"/>
      <c r="K16" s="27"/>
      <c r="L16" s="390"/>
      <c r="M16" s="13"/>
      <c r="N16" s="13"/>
      <c r="O16" s="8"/>
      <c r="P16" s="8"/>
      <c r="R16" s="8"/>
      <c r="S16" s="6"/>
      <c r="T16" s="6"/>
      <c r="U16" s="6"/>
    </row>
    <row r="17" spans="1:21" s="4" customFormat="1" ht="15" customHeight="1" x14ac:dyDescent="0.2">
      <c r="A17" s="344"/>
      <c r="B17" s="30"/>
      <c r="C17" s="13"/>
      <c r="D17" s="13"/>
      <c r="E17" s="27"/>
      <c r="F17" s="13"/>
      <c r="G17" s="13"/>
      <c r="H17" s="5"/>
      <c r="I17" s="13"/>
      <c r="J17" s="13"/>
      <c r="K17" s="13"/>
      <c r="L17" s="390"/>
      <c r="M17" s="13"/>
      <c r="N17" s="13"/>
      <c r="O17" s="8"/>
      <c r="R17" s="8"/>
      <c r="S17" s="6"/>
      <c r="T17" s="6"/>
      <c r="U17" s="6"/>
    </row>
    <row r="18" spans="1:21" s="4" customFormat="1" ht="15" customHeight="1" x14ac:dyDescent="0.2">
      <c r="A18" s="350" t="s">
        <v>1165</v>
      </c>
      <c r="B18" s="30"/>
      <c r="C18" s="355"/>
      <c r="D18" s="355"/>
      <c r="E18" s="355"/>
      <c r="F18" s="355"/>
      <c r="G18" s="355"/>
      <c r="H18" s="355"/>
      <c r="I18" s="355"/>
      <c r="J18" s="355"/>
      <c r="K18" s="355"/>
      <c r="L18" s="355"/>
      <c r="M18" s="355"/>
      <c r="N18" s="13"/>
      <c r="O18" s="380"/>
      <c r="P18" s="380"/>
      <c r="R18" s="8"/>
      <c r="S18" s="11"/>
      <c r="T18" s="6"/>
      <c r="U18" s="6"/>
    </row>
    <row r="19" spans="1:21" ht="15" customHeight="1" x14ac:dyDescent="0.2">
      <c r="A19" s="351"/>
      <c r="B19" s="345"/>
      <c r="C19" s="46"/>
      <c r="D19" s="46"/>
      <c r="E19" s="46"/>
      <c r="F19" s="46"/>
      <c r="G19" s="46"/>
      <c r="H19" s="46"/>
      <c r="I19" s="46"/>
      <c r="J19" s="46"/>
      <c r="K19" s="47"/>
      <c r="L19" s="47"/>
      <c r="M19" s="48"/>
      <c r="N19" s="49"/>
      <c r="O19" s="50"/>
      <c r="P19" s="46"/>
      <c r="Q19" s="46"/>
      <c r="S19" s="377"/>
      <c r="T19" s="384"/>
    </row>
    <row r="20" spans="1:21" ht="12.75" customHeight="1" x14ac:dyDescent="0.2">
      <c r="A20" s="352"/>
      <c r="B20" s="346"/>
      <c r="C20" s="413" t="s">
        <v>78</v>
      </c>
      <c r="D20" s="414"/>
      <c r="E20" s="414"/>
      <c r="F20" s="414"/>
      <c r="G20" s="414"/>
      <c r="H20" s="414"/>
      <c r="I20" s="414"/>
      <c r="J20" s="415"/>
      <c r="K20" s="413" t="s">
        <v>93</v>
      </c>
      <c r="L20" s="414"/>
      <c r="M20" s="75"/>
      <c r="N20" s="76" t="s">
        <v>79</v>
      </c>
      <c r="O20" s="77" t="s">
        <v>82</v>
      </c>
      <c r="P20" s="352"/>
      <c r="Q20" s="77" t="s">
        <v>92</v>
      </c>
      <c r="R20" s="77"/>
      <c r="S20" s="383"/>
      <c r="T20" s="385"/>
      <c r="U20" s="387"/>
    </row>
    <row r="21" spans="1:21" s="1" customFormat="1" x14ac:dyDescent="0.2">
      <c r="A21" s="78" t="s">
        <v>83</v>
      </c>
      <c r="B21" s="347" t="s">
        <v>69</v>
      </c>
      <c r="C21" s="356" t="s">
        <v>37</v>
      </c>
      <c r="D21" s="80" t="s">
        <v>1167</v>
      </c>
      <c r="E21" s="80" t="s">
        <v>38</v>
      </c>
      <c r="F21" s="78" t="s">
        <v>39</v>
      </c>
      <c r="G21" s="78" t="s">
        <v>40</v>
      </c>
      <c r="H21" s="78" t="s">
        <v>41</v>
      </c>
      <c r="I21" s="78" t="s">
        <v>42</v>
      </c>
      <c r="J21" s="78" t="s">
        <v>103</v>
      </c>
      <c r="K21" s="78" t="s">
        <v>48</v>
      </c>
      <c r="L21" s="78" t="s">
        <v>49</v>
      </c>
      <c r="M21" s="79" t="s">
        <v>71</v>
      </c>
      <c r="N21" s="80" t="s">
        <v>80</v>
      </c>
      <c r="O21" s="78" t="s">
        <v>81</v>
      </c>
      <c r="P21" s="78" t="s">
        <v>125</v>
      </c>
      <c r="Q21" s="78" t="s">
        <v>68</v>
      </c>
      <c r="R21" s="78" t="s">
        <v>1166</v>
      </c>
      <c r="S21" s="381" t="s">
        <v>73</v>
      </c>
      <c r="T21" s="386" t="s">
        <v>70</v>
      </c>
      <c r="U21" s="388" t="s">
        <v>14</v>
      </c>
    </row>
    <row r="22" spans="1:21" x14ac:dyDescent="0.2">
      <c r="A22" s="353">
        <v>734491</v>
      </c>
      <c r="B22" s="340" t="s">
        <v>156</v>
      </c>
      <c r="C22" s="353">
        <v>14</v>
      </c>
      <c r="D22" s="353">
        <v>2</v>
      </c>
      <c r="E22" s="353">
        <v>8</v>
      </c>
      <c r="F22" s="353">
        <v>3</v>
      </c>
      <c r="G22" s="353">
        <v>20</v>
      </c>
      <c r="H22" s="353">
        <v>32</v>
      </c>
      <c r="I22" s="353">
        <v>91</v>
      </c>
      <c r="J22" s="353">
        <v>13.9</v>
      </c>
      <c r="K22" s="353">
        <v>0</v>
      </c>
      <c r="L22" s="353">
        <v>0</v>
      </c>
      <c r="M22" s="353">
        <v>13.2</v>
      </c>
      <c r="N22" s="353">
        <v>0.8</v>
      </c>
      <c r="O22" s="353" t="s">
        <v>153</v>
      </c>
      <c r="P22" s="353">
        <v>2006</v>
      </c>
      <c r="Q22" t="s">
        <v>154</v>
      </c>
      <c r="R22" t="s">
        <v>1304</v>
      </c>
      <c r="S22" s="378" t="s">
        <v>157</v>
      </c>
      <c r="T22" s="378" t="s">
        <v>219</v>
      </c>
    </row>
    <row r="23" spans="1:21" x14ac:dyDescent="0.2">
      <c r="A23" s="353">
        <v>717611</v>
      </c>
      <c r="B23" s="340" t="s">
        <v>190</v>
      </c>
      <c r="C23" s="353">
        <v>0</v>
      </c>
      <c r="D23" s="353">
        <v>0</v>
      </c>
      <c r="E23" s="353">
        <v>0</v>
      </c>
      <c r="F23" s="353">
        <v>0</v>
      </c>
      <c r="G23" s="353">
        <v>0</v>
      </c>
      <c r="H23" s="353">
        <v>0</v>
      </c>
      <c r="I23" s="353">
        <v>1</v>
      </c>
      <c r="J23" s="353">
        <v>0.3</v>
      </c>
      <c r="K23" s="353">
        <v>0</v>
      </c>
      <c r="L23" s="353">
        <v>0</v>
      </c>
      <c r="M23" s="353">
        <v>0.1</v>
      </c>
      <c r="N23" s="353">
        <v>1.6</v>
      </c>
      <c r="O23" s="353" t="s">
        <v>153</v>
      </c>
      <c r="P23" s="353">
        <v>2000</v>
      </c>
      <c r="Q23" t="s">
        <v>154</v>
      </c>
      <c r="R23" t="s">
        <v>1520</v>
      </c>
      <c r="S23" s="378" t="s">
        <v>171</v>
      </c>
      <c r="T23" s="378" t="s">
        <v>1031</v>
      </c>
      <c r="U23" s="377" t="s">
        <v>162</v>
      </c>
    </row>
    <row r="24" spans="1:21" x14ac:dyDescent="0.2">
      <c r="A24" s="353">
        <v>278853</v>
      </c>
      <c r="B24" s="340" t="s">
        <v>1126</v>
      </c>
      <c r="C24" s="353">
        <v>14</v>
      </c>
      <c r="D24" s="353">
        <v>3</v>
      </c>
      <c r="E24" s="353">
        <v>7</v>
      </c>
      <c r="F24" s="353">
        <v>5</v>
      </c>
      <c r="G24" s="353">
        <v>18</v>
      </c>
      <c r="H24" s="353">
        <v>39</v>
      </c>
      <c r="I24" s="353">
        <v>104</v>
      </c>
      <c r="J24" s="353">
        <v>15.3</v>
      </c>
      <c r="K24" s="353">
        <v>0.01</v>
      </c>
      <c r="L24" s="353">
        <v>0.01</v>
      </c>
      <c r="M24" s="353">
        <v>12.3</v>
      </c>
      <c r="N24" s="353">
        <v>1</v>
      </c>
      <c r="O24" s="353" t="s">
        <v>153</v>
      </c>
      <c r="P24" s="353">
        <v>2012</v>
      </c>
      <c r="Q24" t="s">
        <v>68</v>
      </c>
      <c r="R24" t="s">
        <v>1759</v>
      </c>
      <c r="S24" s="378" t="s">
        <v>158</v>
      </c>
      <c r="T24" s="378" t="s">
        <v>1022</v>
      </c>
    </row>
    <row r="25" spans="1:21" x14ac:dyDescent="0.2">
      <c r="A25" s="353">
        <v>243022</v>
      </c>
      <c r="B25" s="340" t="s">
        <v>1125</v>
      </c>
      <c r="C25" s="353">
        <v>14</v>
      </c>
      <c r="D25" s="353">
        <v>3</v>
      </c>
      <c r="E25" s="353">
        <v>7</v>
      </c>
      <c r="F25" s="353">
        <v>5</v>
      </c>
      <c r="G25" s="353">
        <v>18</v>
      </c>
      <c r="H25" s="353">
        <v>39</v>
      </c>
      <c r="I25" s="353">
        <v>104</v>
      </c>
      <c r="J25" s="353">
        <v>15.3</v>
      </c>
      <c r="K25" s="353">
        <v>0.01</v>
      </c>
      <c r="L25" s="353">
        <v>0.01</v>
      </c>
      <c r="M25" s="353">
        <v>12.3</v>
      </c>
      <c r="N25" s="353">
        <v>1</v>
      </c>
      <c r="O25" s="353" t="s">
        <v>153</v>
      </c>
      <c r="P25" s="353">
        <v>2012</v>
      </c>
      <c r="Q25" t="s">
        <v>68</v>
      </c>
      <c r="R25" t="s">
        <v>1982</v>
      </c>
      <c r="S25" s="378" t="s">
        <v>158</v>
      </c>
      <c r="T25" s="378" t="s">
        <v>1022</v>
      </c>
    </row>
    <row r="26" spans="1:21" x14ac:dyDescent="0.2">
      <c r="A26" s="353">
        <v>350512</v>
      </c>
      <c r="B26" s="340" t="s">
        <v>1128</v>
      </c>
      <c r="C26" s="353">
        <v>13</v>
      </c>
      <c r="D26" s="353">
        <v>3</v>
      </c>
      <c r="E26" s="353">
        <v>7</v>
      </c>
      <c r="F26" s="353">
        <v>4</v>
      </c>
      <c r="G26" s="353">
        <v>17</v>
      </c>
      <c r="H26" s="353">
        <v>37</v>
      </c>
      <c r="I26" s="353">
        <v>101</v>
      </c>
      <c r="J26" s="353">
        <v>15</v>
      </c>
      <c r="K26" s="353">
        <v>0.01</v>
      </c>
      <c r="L26" s="353">
        <v>0.01</v>
      </c>
      <c r="M26" s="353">
        <v>12.2</v>
      </c>
      <c r="N26" s="353">
        <v>1</v>
      </c>
      <c r="O26" s="353" t="s">
        <v>153</v>
      </c>
      <c r="P26" s="353">
        <v>2012</v>
      </c>
      <c r="Q26" t="s">
        <v>68</v>
      </c>
      <c r="R26" t="s">
        <v>1760</v>
      </c>
      <c r="S26" s="378" t="s">
        <v>158</v>
      </c>
      <c r="T26" s="378" t="s">
        <v>1022</v>
      </c>
    </row>
    <row r="27" spans="1:21" x14ac:dyDescent="0.2">
      <c r="A27" s="353">
        <v>314682</v>
      </c>
      <c r="B27" s="340" t="s">
        <v>1137</v>
      </c>
      <c r="C27" s="353">
        <v>8</v>
      </c>
      <c r="D27" s="353">
        <v>2</v>
      </c>
      <c r="E27" s="353">
        <v>4</v>
      </c>
      <c r="F27" s="353">
        <v>3</v>
      </c>
      <c r="G27" s="353">
        <v>10</v>
      </c>
      <c r="H27" s="353">
        <v>24</v>
      </c>
      <c r="I27" s="353">
        <v>65</v>
      </c>
      <c r="J27" s="353">
        <v>10.5</v>
      </c>
      <c r="K27" s="353">
        <v>0.01</v>
      </c>
      <c r="L27" s="353">
        <v>0.01</v>
      </c>
      <c r="M27" s="353">
        <v>7.7</v>
      </c>
      <c r="N27" s="353">
        <v>1</v>
      </c>
      <c r="O27" s="353" t="s">
        <v>153</v>
      </c>
      <c r="P27" s="353">
        <v>2012</v>
      </c>
      <c r="Q27" t="s">
        <v>68</v>
      </c>
      <c r="R27" t="s">
        <v>1983</v>
      </c>
      <c r="S27" s="378" t="s">
        <v>158</v>
      </c>
      <c r="T27" s="378" t="s">
        <v>159</v>
      </c>
    </row>
    <row r="28" spans="1:21" x14ac:dyDescent="0.2">
      <c r="A28" s="353">
        <v>167114</v>
      </c>
      <c r="B28" s="340" t="s">
        <v>1141</v>
      </c>
      <c r="C28" s="353">
        <v>4</v>
      </c>
      <c r="D28" s="353">
        <v>1</v>
      </c>
      <c r="E28" s="353">
        <v>2</v>
      </c>
      <c r="F28" s="353">
        <v>2</v>
      </c>
      <c r="G28" s="353">
        <v>4</v>
      </c>
      <c r="H28" s="353">
        <v>11</v>
      </c>
      <c r="I28" s="353">
        <v>31</v>
      </c>
      <c r="J28" s="353">
        <v>5.5</v>
      </c>
      <c r="K28" s="353">
        <v>0.01</v>
      </c>
      <c r="L28" s="353">
        <v>0.01</v>
      </c>
      <c r="M28" s="353">
        <v>3.5</v>
      </c>
      <c r="N28" s="353">
        <v>1.1000000000000001</v>
      </c>
      <c r="O28" s="353" t="s">
        <v>153</v>
      </c>
      <c r="P28" s="353">
        <v>2012</v>
      </c>
      <c r="Q28" t="s">
        <v>68</v>
      </c>
      <c r="R28" t="s">
        <v>1582</v>
      </c>
      <c r="S28" s="378" t="s">
        <v>158</v>
      </c>
      <c r="T28" s="378" t="s">
        <v>159</v>
      </c>
    </row>
    <row r="29" spans="1:21" x14ac:dyDescent="0.2">
      <c r="A29" s="353">
        <v>337709</v>
      </c>
      <c r="B29" s="340" t="s">
        <v>1155</v>
      </c>
      <c r="C29" s="353">
        <v>14</v>
      </c>
      <c r="D29" s="353">
        <v>3</v>
      </c>
      <c r="E29" s="353">
        <v>7</v>
      </c>
      <c r="F29" s="353">
        <v>5</v>
      </c>
      <c r="G29" s="353">
        <v>18</v>
      </c>
      <c r="H29" s="353"/>
      <c r="I29" s="353"/>
      <c r="J29" s="353"/>
      <c r="K29" s="353">
        <v>0.01</v>
      </c>
      <c r="L29" s="353">
        <v>0.01</v>
      </c>
      <c r="M29" s="353"/>
      <c r="N29" s="353"/>
      <c r="O29" s="353" t="s">
        <v>153</v>
      </c>
      <c r="P29" s="353">
        <v>2015</v>
      </c>
      <c r="Q29" t="s">
        <v>68</v>
      </c>
      <c r="R29" t="s">
        <v>1981</v>
      </c>
      <c r="S29" s="378" t="s">
        <v>158</v>
      </c>
      <c r="T29" s="378" t="s">
        <v>1022</v>
      </c>
    </row>
    <row r="30" spans="1:21" x14ac:dyDescent="0.2">
      <c r="A30" s="353">
        <v>545541</v>
      </c>
      <c r="B30" s="340" t="s">
        <v>160</v>
      </c>
      <c r="C30" s="353">
        <v>0</v>
      </c>
      <c r="D30" s="353">
        <v>0</v>
      </c>
      <c r="E30" s="353">
        <v>0</v>
      </c>
      <c r="F30" s="353">
        <v>0</v>
      </c>
      <c r="G30" s="353">
        <v>0</v>
      </c>
      <c r="H30" s="353">
        <v>1</v>
      </c>
      <c r="I30" s="353">
        <v>7</v>
      </c>
      <c r="J30" s="353">
        <v>1.3</v>
      </c>
      <c r="K30" s="353">
        <v>0.04</v>
      </c>
      <c r="L30" s="353">
        <v>0.04</v>
      </c>
      <c r="M30" s="353">
        <v>0.5</v>
      </c>
      <c r="N30" s="353">
        <v>1.6</v>
      </c>
      <c r="O30" s="353" t="s">
        <v>153</v>
      </c>
      <c r="P30" s="353">
        <v>2010</v>
      </c>
      <c r="Q30" t="s">
        <v>154</v>
      </c>
      <c r="R30" t="s">
        <v>1416</v>
      </c>
      <c r="S30" s="378" t="s">
        <v>161</v>
      </c>
      <c r="T30" s="378" t="s">
        <v>1040</v>
      </c>
      <c r="U30" s="377" t="s">
        <v>162</v>
      </c>
    </row>
    <row r="31" spans="1:21" x14ac:dyDescent="0.2">
      <c r="A31" s="353">
        <v>574293</v>
      </c>
      <c r="B31" s="340" t="s">
        <v>170</v>
      </c>
      <c r="C31" s="353">
        <v>1</v>
      </c>
      <c r="D31" s="353">
        <v>0</v>
      </c>
      <c r="E31" s="353">
        <v>1</v>
      </c>
      <c r="F31" s="353">
        <v>0</v>
      </c>
      <c r="G31" s="353">
        <v>0</v>
      </c>
      <c r="H31" s="353">
        <v>5</v>
      </c>
      <c r="I31" s="353">
        <v>14</v>
      </c>
      <c r="J31" s="353">
        <v>2.7</v>
      </c>
      <c r="K31" s="353">
        <v>0.1</v>
      </c>
      <c r="L31" s="353">
        <v>0.1</v>
      </c>
      <c r="M31" s="353">
        <v>2</v>
      </c>
      <c r="N31" s="353">
        <v>1</v>
      </c>
      <c r="O31" s="353" t="s">
        <v>153</v>
      </c>
      <c r="P31" s="353">
        <v>2000</v>
      </c>
      <c r="Q31" t="s">
        <v>154</v>
      </c>
      <c r="R31" t="s">
        <v>1564</v>
      </c>
      <c r="S31" s="378" t="s">
        <v>168</v>
      </c>
      <c r="T31" s="378" t="s">
        <v>1040</v>
      </c>
    </row>
    <row r="32" spans="1:21" x14ac:dyDescent="0.2">
      <c r="A32" s="353">
        <v>972497</v>
      </c>
      <c r="B32" s="340" t="s">
        <v>163</v>
      </c>
      <c r="C32" s="353">
        <v>2</v>
      </c>
      <c r="D32" s="353">
        <v>0</v>
      </c>
      <c r="E32" s="353">
        <v>0</v>
      </c>
      <c r="F32" s="353">
        <v>1</v>
      </c>
      <c r="G32" s="353">
        <v>2</v>
      </c>
      <c r="H32" s="353">
        <v>5</v>
      </c>
      <c r="I32" s="353">
        <v>11</v>
      </c>
      <c r="J32" s="353">
        <v>2.1</v>
      </c>
      <c r="K32" s="353">
        <v>0.1</v>
      </c>
      <c r="L32" s="353">
        <v>0.1</v>
      </c>
      <c r="M32" s="353">
        <v>0.6</v>
      </c>
      <c r="N32" s="353">
        <v>3.4</v>
      </c>
      <c r="O32" s="353" t="s">
        <v>153</v>
      </c>
      <c r="P32" s="353">
        <v>2008</v>
      </c>
      <c r="Q32" t="s">
        <v>154</v>
      </c>
      <c r="R32" t="s">
        <v>1386</v>
      </c>
      <c r="S32" s="378" t="s">
        <v>164</v>
      </c>
      <c r="T32" s="378" t="s">
        <v>1031</v>
      </c>
    </row>
    <row r="33" spans="1:21" x14ac:dyDescent="0.2">
      <c r="A33" s="353">
        <v>305185</v>
      </c>
      <c r="B33" s="340" t="s">
        <v>167</v>
      </c>
      <c r="C33" s="353">
        <v>0</v>
      </c>
      <c r="D33" s="353">
        <v>0</v>
      </c>
      <c r="E33" s="353">
        <v>0</v>
      </c>
      <c r="F33" s="353">
        <v>0</v>
      </c>
      <c r="G33" s="353">
        <v>0</v>
      </c>
      <c r="H33" s="353">
        <v>0</v>
      </c>
      <c r="I33" s="353">
        <v>4</v>
      </c>
      <c r="J33" s="353">
        <v>0.7</v>
      </c>
      <c r="K33" s="353">
        <v>0.1</v>
      </c>
      <c r="L33" s="353">
        <v>0.1</v>
      </c>
      <c r="M33" s="353">
        <v>0.2</v>
      </c>
      <c r="N33" s="353">
        <v>0.5</v>
      </c>
      <c r="O33" s="353" t="s">
        <v>153</v>
      </c>
      <c r="P33" s="353">
        <v>2004</v>
      </c>
      <c r="Q33" t="s">
        <v>154</v>
      </c>
      <c r="R33" t="s">
        <v>1588</v>
      </c>
      <c r="S33" s="378" t="s">
        <v>168</v>
      </c>
      <c r="T33" s="378" t="s">
        <v>1031</v>
      </c>
    </row>
    <row r="34" spans="1:21" x14ac:dyDescent="0.2">
      <c r="A34" s="353">
        <v>188664</v>
      </c>
      <c r="B34" s="340" t="s">
        <v>186</v>
      </c>
      <c r="C34" s="353">
        <v>0</v>
      </c>
      <c r="D34" s="353">
        <v>0</v>
      </c>
      <c r="E34" s="353">
        <v>0</v>
      </c>
      <c r="F34" s="353">
        <v>0</v>
      </c>
      <c r="G34" s="353">
        <v>0</v>
      </c>
      <c r="H34" s="353">
        <v>-1</v>
      </c>
      <c r="I34" s="353">
        <v>1</v>
      </c>
      <c r="J34" s="353">
        <v>0.2</v>
      </c>
      <c r="K34" s="353">
        <v>0.1</v>
      </c>
      <c r="L34" s="353">
        <v>0.11</v>
      </c>
      <c r="M34" s="353">
        <v>0.1</v>
      </c>
      <c r="N34" s="353">
        <v>0.3</v>
      </c>
      <c r="O34" s="353" t="s">
        <v>153</v>
      </c>
      <c r="P34" s="353">
        <v>2000</v>
      </c>
      <c r="Q34" t="s">
        <v>154</v>
      </c>
      <c r="R34" t="s">
        <v>1574</v>
      </c>
      <c r="S34" s="378" t="s">
        <v>171</v>
      </c>
      <c r="T34" s="378" t="s">
        <v>1031</v>
      </c>
      <c r="U34" s="377" t="s">
        <v>162</v>
      </c>
    </row>
    <row r="35" spans="1:21" x14ac:dyDescent="0.2">
      <c r="A35" s="353">
        <v>294918</v>
      </c>
      <c r="B35" s="340" t="s">
        <v>165</v>
      </c>
      <c r="C35" s="353">
        <v>-1</v>
      </c>
      <c r="D35" s="353">
        <v>0</v>
      </c>
      <c r="E35" s="353">
        <v>0</v>
      </c>
      <c r="F35" s="353">
        <v>0</v>
      </c>
      <c r="G35" s="353">
        <v>-1</v>
      </c>
      <c r="H35" s="353">
        <v>-2</v>
      </c>
      <c r="I35" s="353">
        <v>0</v>
      </c>
      <c r="J35" s="353">
        <v>-0.1</v>
      </c>
      <c r="K35" s="353">
        <v>0.1</v>
      </c>
      <c r="L35" s="353">
        <v>0.11</v>
      </c>
      <c r="M35" s="353">
        <v>0.1</v>
      </c>
      <c r="N35" s="353">
        <v>-4.0999999999999996</v>
      </c>
      <c r="O35" s="353" t="s">
        <v>153</v>
      </c>
      <c r="P35" s="353">
        <v>2001</v>
      </c>
      <c r="Q35" t="s">
        <v>154</v>
      </c>
      <c r="R35" t="s">
        <v>1638</v>
      </c>
      <c r="S35" s="378" t="s">
        <v>166</v>
      </c>
      <c r="T35" s="378" t="s">
        <v>1031</v>
      </c>
      <c r="U35" s="377" t="s">
        <v>162</v>
      </c>
    </row>
    <row r="36" spans="1:21" x14ac:dyDescent="0.2">
      <c r="A36" s="353">
        <v>581371</v>
      </c>
      <c r="B36" s="340" t="s">
        <v>180</v>
      </c>
      <c r="C36" s="353">
        <v>15</v>
      </c>
      <c r="D36" s="353">
        <v>5</v>
      </c>
      <c r="E36" s="353">
        <v>9</v>
      </c>
      <c r="F36" s="353">
        <v>7</v>
      </c>
      <c r="G36" s="353">
        <v>20</v>
      </c>
      <c r="H36" s="353">
        <v>52</v>
      </c>
      <c r="I36" s="353">
        <v>157</v>
      </c>
      <c r="J36" s="353">
        <v>20.8</v>
      </c>
      <c r="K36" s="353">
        <v>0.11</v>
      </c>
      <c r="L36" s="353">
        <v>0.11</v>
      </c>
      <c r="M36" s="353">
        <v>15</v>
      </c>
      <c r="N36" s="353">
        <v>1</v>
      </c>
      <c r="O36" s="353" t="s">
        <v>153</v>
      </c>
      <c r="P36" s="353">
        <v>2010</v>
      </c>
      <c r="Q36" t="s">
        <v>154</v>
      </c>
      <c r="R36" t="s">
        <v>1244</v>
      </c>
      <c r="S36" s="378" t="s">
        <v>161</v>
      </c>
      <c r="T36" s="378" t="s">
        <v>181</v>
      </c>
      <c r="U36" s="377" t="s">
        <v>162</v>
      </c>
    </row>
    <row r="37" spans="1:21" x14ac:dyDescent="0.2">
      <c r="A37" s="353">
        <v>534800</v>
      </c>
      <c r="B37" s="340" t="s">
        <v>177</v>
      </c>
      <c r="C37" s="353">
        <v>1</v>
      </c>
      <c r="D37" s="353">
        <v>0</v>
      </c>
      <c r="E37" s="353">
        <v>1</v>
      </c>
      <c r="F37" s="353">
        <v>0</v>
      </c>
      <c r="G37" s="353">
        <v>0</v>
      </c>
      <c r="H37" s="353">
        <v>5</v>
      </c>
      <c r="I37" s="353">
        <v>14</v>
      </c>
      <c r="J37" s="353">
        <v>2.6</v>
      </c>
      <c r="K37" s="353">
        <v>0.11</v>
      </c>
      <c r="L37" s="353">
        <v>0.21</v>
      </c>
      <c r="M37" s="353">
        <v>2.2999999999999998</v>
      </c>
      <c r="N37" s="353">
        <v>0.8</v>
      </c>
      <c r="O37" s="353" t="s">
        <v>153</v>
      </c>
      <c r="P37" s="353">
        <v>2000</v>
      </c>
      <c r="Q37" t="s">
        <v>154</v>
      </c>
      <c r="R37" t="s">
        <v>1593</v>
      </c>
      <c r="S37" s="378" t="s">
        <v>178</v>
      </c>
      <c r="T37" s="378" t="s">
        <v>1040</v>
      </c>
      <c r="U37" s="377" t="s">
        <v>162</v>
      </c>
    </row>
    <row r="38" spans="1:21" x14ac:dyDescent="0.2">
      <c r="A38" s="353">
        <v>330746</v>
      </c>
      <c r="B38" s="340" t="s">
        <v>169</v>
      </c>
      <c r="C38" s="353">
        <v>0</v>
      </c>
      <c r="D38" s="353">
        <v>0</v>
      </c>
      <c r="E38" s="353">
        <v>0</v>
      </c>
      <c r="F38" s="353">
        <v>0</v>
      </c>
      <c r="G38" s="353">
        <v>-1</v>
      </c>
      <c r="H38" s="353">
        <v>4</v>
      </c>
      <c r="I38" s="353">
        <v>10</v>
      </c>
      <c r="J38" s="353">
        <v>2</v>
      </c>
      <c r="K38" s="353">
        <v>0.11</v>
      </c>
      <c r="L38" s="353">
        <v>0.13</v>
      </c>
      <c r="M38" s="353">
        <v>1.8</v>
      </c>
      <c r="N38" s="353">
        <v>0.8</v>
      </c>
      <c r="O38" s="353" t="s">
        <v>153</v>
      </c>
      <c r="P38" s="353">
        <v>2001</v>
      </c>
      <c r="Q38" t="s">
        <v>154</v>
      </c>
      <c r="R38" t="s">
        <v>1763</v>
      </c>
      <c r="S38" s="378" t="s">
        <v>166</v>
      </c>
      <c r="T38" s="378" t="s">
        <v>1040</v>
      </c>
      <c r="U38" s="377" t="s">
        <v>162</v>
      </c>
    </row>
    <row r="39" spans="1:21" x14ac:dyDescent="0.2">
      <c r="A39" s="353">
        <v>613133</v>
      </c>
      <c r="B39" s="340" t="s">
        <v>1032</v>
      </c>
      <c r="C39" s="353">
        <v>0</v>
      </c>
      <c r="D39" s="353">
        <v>0</v>
      </c>
      <c r="E39" s="353">
        <v>0</v>
      </c>
      <c r="F39" s="353">
        <v>0</v>
      </c>
      <c r="G39" s="353">
        <v>0</v>
      </c>
      <c r="H39" s="353">
        <v>1</v>
      </c>
      <c r="I39" s="353">
        <v>3</v>
      </c>
      <c r="J39" s="353">
        <v>0.6</v>
      </c>
      <c r="K39" s="353">
        <v>0.11</v>
      </c>
      <c r="L39" s="353">
        <v>0.2</v>
      </c>
      <c r="M39" s="353">
        <v>0.2</v>
      </c>
      <c r="N39" s="353">
        <v>1.7</v>
      </c>
      <c r="O39" s="353" t="s">
        <v>153</v>
      </c>
      <c r="P39" s="353">
        <v>2001</v>
      </c>
      <c r="Q39" t="s">
        <v>154</v>
      </c>
      <c r="R39" t="s">
        <v>1900</v>
      </c>
      <c r="S39" s="378" t="s">
        <v>191</v>
      </c>
      <c r="T39" s="378" t="s">
        <v>1031</v>
      </c>
      <c r="U39" s="377" t="s">
        <v>162</v>
      </c>
    </row>
    <row r="40" spans="1:21" x14ac:dyDescent="0.2">
      <c r="A40" s="353">
        <v>442897</v>
      </c>
      <c r="B40" s="340" t="s">
        <v>179</v>
      </c>
      <c r="C40" s="353">
        <v>0</v>
      </c>
      <c r="D40" s="353">
        <v>0</v>
      </c>
      <c r="E40" s="353">
        <v>0</v>
      </c>
      <c r="F40" s="353">
        <v>0</v>
      </c>
      <c r="G40" s="353">
        <v>0</v>
      </c>
      <c r="H40" s="353">
        <v>0</v>
      </c>
      <c r="I40" s="353">
        <v>2</v>
      </c>
      <c r="J40" s="353">
        <v>0.5</v>
      </c>
      <c r="K40" s="353">
        <v>0.11</v>
      </c>
      <c r="L40" s="353">
        <v>0.21</v>
      </c>
      <c r="M40" s="353">
        <v>0.1</v>
      </c>
      <c r="N40" s="353">
        <v>0.9</v>
      </c>
      <c r="O40" s="353" t="s">
        <v>153</v>
      </c>
      <c r="P40" s="353">
        <v>2010</v>
      </c>
      <c r="Q40" t="s">
        <v>154</v>
      </c>
      <c r="R40" t="s">
        <v>1378</v>
      </c>
      <c r="S40" s="378" t="s">
        <v>178</v>
      </c>
      <c r="T40" s="378" t="s">
        <v>1031</v>
      </c>
      <c r="U40" s="377" t="s">
        <v>162</v>
      </c>
    </row>
    <row r="41" spans="1:21" x14ac:dyDescent="0.2">
      <c r="A41" s="353">
        <v>718205</v>
      </c>
      <c r="B41" s="340" t="s">
        <v>1146</v>
      </c>
      <c r="C41" s="353">
        <v>0</v>
      </c>
      <c r="D41" s="353">
        <v>0</v>
      </c>
      <c r="E41" s="353">
        <v>0</v>
      </c>
      <c r="F41" s="353">
        <v>0</v>
      </c>
      <c r="G41" s="353">
        <v>0</v>
      </c>
      <c r="H41" s="353">
        <v>0</v>
      </c>
      <c r="I41" s="353">
        <v>3</v>
      </c>
      <c r="J41" s="353">
        <v>0.5</v>
      </c>
      <c r="K41" s="353">
        <v>0.11</v>
      </c>
      <c r="L41" s="353">
        <v>0.16</v>
      </c>
      <c r="M41" s="353">
        <v>0.1</v>
      </c>
      <c r="N41" s="353">
        <v>2.4</v>
      </c>
      <c r="O41" s="353" t="s">
        <v>153</v>
      </c>
      <c r="P41" s="353">
        <v>2000</v>
      </c>
      <c r="Q41" t="s">
        <v>68</v>
      </c>
      <c r="R41" t="s">
        <v>2011</v>
      </c>
      <c r="S41" s="378" t="s">
        <v>158</v>
      </c>
      <c r="T41" s="378" t="s">
        <v>1031</v>
      </c>
    </row>
    <row r="42" spans="1:21" x14ac:dyDescent="0.2">
      <c r="A42" s="353">
        <v>265512</v>
      </c>
      <c r="B42" s="340" t="s">
        <v>182</v>
      </c>
      <c r="C42" s="353">
        <v>0</v>
      </c>
      <c r="D42" s="353">
        <v>0</v>
      </c>
      <c r="E42" s="353">
        <v>0</v>
      </c>
      <c r="F42" s="353">
        <v>0</v>
      </c>
      <c r="G42" s="353">
        <v>-1</v>
      </c>
      <c r="H42" s="353">
        <v>4</v>
      </c>
      <c r="I42" s="353">
        <v>12</v>
      </c>
      <c r="J42" s="353">
        <v>2.4</v>
      </c>
      <c r="K42" s="353">
        <v>0.12</v>
      </c>
      <c r="L42" s="353">
        <v>0.3</v>
      </c>
      <c r="M42" s="353">
        <v>2.4</v>
      </c>
      <c r="N42" s="353">
        <v>0.7</v>
      </c>
      <c r="O42" s="353" t="s">
        <v>153</v>
      </c>
      <c r="P42" s="353">
        <v>2012</v>
      </c>
      <c r="Q42" t="s">
        <v>154</v>
      </c>
      <c r="R42" t="s">
        <v>1407</v>
      </c>
      <c r="S42" s="378" t="s">
        <v>168</v>
      </c>
      <c r="T42" s="378" t="s">
        <v>1040</v>
      </c>
    </row>
    <row r="43" spans="1:21" x14ac:dyDescent="0.2">
      <c r="A43" s="353">
        <v>869438</v>
      </c>
      <c r="B43" s="340" t="s">
        <v>174</v>
      </c>
      <c r="C43" s="353">
        <v>0</v>
      </c>
      <c r="D43" s="353">
        <v>0</v>
      </c>
      <c r="E43" s="353">
        <v>0</v>
      </c>
      <c r="F43" s="353">
        <v>0</v>
      </c>
      <c r="G43" s="353">
        <v>-1</v>
      </c>
      <c r="H43" s="353">
        <v>4</v>
      </c>
      <c r="I43" s="353">
        <v>10</v>
      </c>
      <c r="J43" s="353">
        <v>1.9</v>
      </c>
      <c r="K43" s="353">
        <v>0.12</v>
      </c>
      <c r="L43" s="353">
        <v>0.3</v>
      </c>
      <c r="M43" s="353">
        <v>2</v>
      </c>
      <c r="N43" s="353">
        <v>0.7</v>
      </c>
      <c r="O43" s="353" t="s">
        <v>153</v>
      </c>
      <c r="P43" s="353">
        <v>2000</v>
      </c>
      <c r="Q43" t="s">
        <v>154</v>
      </c>
      <c r="R43" t="s">
        <v>1483</v>
      </c>
      <c r="S43" s="378" t="s">
        <v>171</v>
      </c>
      <c r="T43" s="378" t="s">
        <v>1040</v>
      </c>
      <c r="U43" s="377" t="s">
        <v>162</v>
      </c>
    </row>
    <row r="44" spans="1:21" x14ac:dyDescent="0.2">
      <c r="A44" s="353">
        <v>478313</v>
      </c>
      <c r="B44" s="340" t="s">
        <v>195</v>
      </c>
      <c r="C44" s="353">
        <v>1</v>
      </c>
      <c r="D44" s="353">
        <v>0</v>
      </c>
      <c r="E44" s="353">
        <v>0</v>
      </c>
      <c r="F44" s="353">
        <v>0</v>
      </c>
      <c r="G44" s="353">
        <v>1</v>
      </c>
      <c r="H44" s="353">
        <v>2</v>
      </c>
      <c r="I44" s="353">
        <v>6</v>
      </c>
      <c r="J44" s="353">
        <v>1.2</v>
      </c>
      <c r="K44" s="353">
        <v>0.12</v>
      </c>
      <c r="L44" s="353">
        <v>0.2</v>
      </c>
      <c r="M44" s="353">
        <v>0.3</v>
      </c>
      <c r="N44" s="353">
        <v>2.6</v>
      </c>
      <c r="O44" s="353" t="s">
        <v>153</v>
      </c>
      <c r="P44" s="353">
        <v>2001</v>
      </c>
      <c r="Q44" t="s">
        <v>154</v>
      </c>
      <c r="R44" t="s">
        <v>1379</v>
      </c>
      <c r="S44" s="378" t="s">
        <v>196</v>
      </c>
      <c r="T44" s="378" t="s">
        <v>1031</v>
      </c>
      <c r="U44" s="377" t="s">
        <v>162</v>
      </c>
    </row>
    <row r="45" spans="1:21" x14ac:dyDescent="0.2">
      <c r="A45" s="353">
        <v>418699</v>
      </c>
      <c r="B45" s="340" t="s">
        <v>183</v>
      </c>
      <c r="C45" s="353">
        <v>1</v>
      </c>
      <c r="D45" s="353">
        <v>0</v>
      </c>
      <c r="E45" s="353">
        <v>0</v>
      </c>
      <c r="F45" s="353">
        <v>0</v>
      </c>
      <c r="G45" s="353">
        <v>1</v>
      </c>
      <c r="H45" s="353">
        <v>2</v>
      </c>
      <c r="I45" s="353">
        <v>5</v>
      </c>
      <c r="J45" s="353">
        <v>1</v>
      </c>
      <c r="K45" s="353">
        <v>0.12</v>
      </c>
      <c r="L45" s="353">
        <v>0.17</v>
      </c>
      <c r="M45" s="353">
        <v>0.2</v>
      </c>
      <c r="N45" s="353">
        <v>4.5</v>
      </c>
      <c r="O45" s="353" t="s">
        <v>153</v>
      </c>
      <c r="P45" s="353">
        <v>2006</v>
      </c>
      <c r="Q45" t="s">
        <v>154</v>
      </c>
      <c r="R45" t="s">
        <v>1409</v>
      </c>
      <c r="S45" s="378" t="s">
        <v>184</v>
      </c>
      <c r="T45" s="378" t="s">
        <v>1040</v>
      </c>
      <c r="U45" s="377" t="s">
        <v>162</v>
      </c>
    </row>
    <row r="46" spans="1:21" x14ac:dyDescent="0.2">
      <c r="A46" s="353">
        <v>870493</v>
      </c>
      <c r="B46" s="340" t="s">
        <v>175</v>
      </c>
      <c r="C46" s="353">
        <v>0</v>
      </c>
      <c r="D46" s="353">
        <v>0</v>
      </c>
      <c r="E46" s="353">
        <v>0</v>
      </c>
      <c r="F46" s="353">
        <v>0</v>
      </c>
      <c r="G46" s="353">
        <v>0</v>
      </c>
      <c r="H46" s="353">
        <v>1</v>
      </c>
      <c r="I46" s="353">
        <v>4</v>
      </c>
      <c r="J46" s="353">
        <v>0.9</v>
      </c>
      <c r="K46" s="353">
        <v>0.12</v>
      </c>
      <c r="L46" s="353">
        <v>0.2</v>
      </c>
      <c r="M46" s="353">
        <v>0.1</v>
      </c>
      <c r="N46" s="353">
        <v>5.0999999999999996</v>
      </c>
      <c r="O46" s="353" t="s">
        <v>153</v>
      </c>
      <c r="P46" s="353">
        <v>2007</v>
      </c>
      <c r="Q46" t="s">
        <v>68</v>
      </c>
      <c r="R46" t="s">
        <v>1591</v>
      </c>
      <c r="S46" s="378" t="s">
        <v>176</v>
      </c>
      <c r="T46" s="378" t="s">
        <v>1031</v>
      </c>
    </row>
    <row r="47" spans="1:21" x14ac:dyDescent="0.2">
      <c r="A47" s="353">
        <v>420646</v>
      </c>
      <c r="B47" s="340" t="s">
        <v>172</v>
      </c>
      <c r="C47" s="353">
        <v>0</v>
      </c>
      <c r="D47" s="353">
        <v>0</v>
      </c>
      <c r="E47" s="353">
        <v>0</v>
      </c>
      <c r="F47" s="353">
        <v>0</v>
      </c>
      <c r="G47" s="353">
        <v>0</v>
      </c>
      <c r="H47" s="353">
        <v>0</v>
      </c>
      <c r="I47" s="353">
        <v>2</v>
      </c>
      <c r="J47" s="353">
        <v>0.4</v>
      </c>
      <c r="K47" s="353">
        <v>0.12</v>
      </c>
      <c r="L47" s="353">
        <v>0.21</v>
      </c>
      <c r="M47" s="353">
        <v>0.1</v>
      </c>
      <c r="N47" s="353">
        <v>0.8</v>
      </c>
      <c r="O47" s="353" t="s">
        <v>153</v>
      </c>
      <c r="P47" s="353">
        <v>2000</v>
      </c>
      <c r="Q47" t="s">
        <v>154</v>
      </c>
      <c r="R47" t="s">
        <v>1377</v>
      </c>
      <c r="S47" s="378" t="s">
        <v>173</v>
      </c>
      <c r="T47" s="378" t="s">
        <v>1031</v>
      </c>
      <c r="U47" s="377" t="s">
        <v>162</v>
      </c>
    </row>
    <row r="48" spans="1:21" x14ac:dyDescent="0.2">
      <c r="A48" s="353">
        <v>843284</v>
      </c>
      <c r="B48" s="340" t="s">
        <v>208</v>
      </c>
      <c r="C48" s="353">
        <v>0</v>
      </c>
      <c r="D48" s="353">
        <v>0</v>
      </c>
      <c r="E48" s="353">
        <v>0</v>
      </c>
      <c r="F48" s="353">
        <v>0</v>
      </c>
      <c r="G48" s="353">
        <v>0</v>
      </c>
      <c r="H48" s="353">
        <v>-1</v>
      </c>
      <c r="I48" s="353">
        <v>1</v>
      </c>
      <c r="J48" s="353">
        <v>0.2</v>
      </c>
      <c r="K48" s="353">
        <v>0.12</v>
      </c>
      <c r="L48" s="353">
        <v>0.2</v>
      </c>
      <c r="M48" s="353">
        <v>0.1</v>
      </c>
      <c r="N48" s="353">
        <v>0</v>
      </c>
      <c r="O48" s="353" t="s">
        <v>153</v>
      </c>
      <c r="P48" s="353">
        <v>2002</v>
      </c>
      <c r="Q48" t="s">
        <v>154</v>
      </c>
      <c r="R48" t="s">
        <v>1385</v>
      </c>
      <c r="S48" s="378" t="s">
        <v>209</v>
      </c>
      <c r="T48" s="378" t="s">
        <v>1031</v>
      </c>
      <c r="U48" s="377" t="s">
        <v>162</v>
      </c>
    </row>
    <row r="49" spans="1:21" x14ac:dyDescent="0.2">
      <c r="A49" s="353">
        <v>787382</v>
      </c>
      <c r="B49" s="340" t="s">
        <v>193</v>
      </c>
      <c r="C49" s="353">
        <v>1</v>
      </c>
      <c r="D49" s="353">
        <v>0</v>
      </c>
      <c r="E49" s="353">
        <v>1</v>
      </c>
      <c r="F49" s="353">
        <v>1</v>
      </c>
      <c r="G49" s="353">
        <v>0</v>
      </c>
      <c r="H49" s="353">
        <v>8</v>
      </c>
      <c r="I49" s="353">
        <v>11</v>
      </c>
      <c r="J49" s="353">
        <v>2.2000000000000002</v>
      </c>
      <c r="K49" s="353">
        <v>0.13</v>
      </c>
      <c r="L49" s="353">
        <v>0.26</v>
      </c>
      <c r="M49" s="353">
        <v>4.8</v>
      </c>
      <c r="N49" s="353">
        <v>0.6</v>
      </c>
      <c r="O49" s="353" t="s">
        <v>153</v>
      </c>
      <c r="P49" s="353">
        <v>2003</v>
      </c>
      <c r="Q49" t="s">
        <v>154</v>
      </c>
      <c r="R49" t="s">
        <v>1530</v>
      </c>
      <c r="S49" s="378" t="s">
        <v>166</v>
      </c>
      <c r="T49" s="378" t="s">
        <v>1040</v>
      </c>
      <c r="U49" s="377" t="s">
        <v>162</v>
      </c>
    </row>
    <row r="50" spans="1:21" x14ac:dyDescent="0.2">
      <c r="A50" s="353">
        <v>677534</v>
      </c>
      <c r="B50" s="340" t="s">
        <v>936</v>
      </c>
      <c r="C50" s="353">
        <v>0</v>
      </c>
      <c r="D50" s="353">
        <v>0</v>
      </c>
      <c r="E50" s="353">
        <v>0</v>
      </c>
      <c r="F50" s="353">
        <v>0</v>
      </c>
      <c r="G50" s="353">
        <v>-1</v>
      </c>
      <c r="H50" s="353">
        <v>3</v>
      </c>
      <c r="I50" s="353">
        <v>10</v>
      </c>
      <c r="J50" s="353">
        <v>1.9</v>
      </c>
      <c r="K50" s="353">
        <v>0.13</v>
      </c>
      <c r="L50" s="353">
        <v>0.4</v>
      </c>
      <c r="M50" s="353">
        <v>1.9</v>
      </c>
      <c r="N50" s="353">
        <v>0.7</v>
      </c>
      <c r="O50" s="353" t="s">
        <v>153</v>
      </c>
      <c r="P50" s="353">
        <v>2000</v>
      </c>
      <c r="Q50" t="s">
        <v>154</v>
      </c>
      <c r="R50" t="s">
        <v>1522</v>
      </c>
      <c r="S50" s="378" t="s">
        <v>171</v>
      </c>
      <c r="T50" s="378" t="s">
        <v>1040</v>
      </c>
      <c r="U50" s="377" t="s">
        <v>162</v>
      </c>
    </row>
    <row r="51" spans="1:21" x14ac:dyDescent="0.2">
      <c r="A51" s="353">
        <v>865774</v>
      </c>
      <c r="B51" s="340" t="s">
        <v>206</v>
      </c>
      <c r="C51" s="353">
        <v>0</v>
      </c>
      <c r="D51" s="353">
        <v>0</v>
      </c>
      <c r="E51" s="353">
        <v>0</v>
      </c>
      <c r="F51" s="353">
        <v>0</v>
      </c>
      <c r="G51" s="353">
        <v>0</v>
      </c>
      <c r="H51" s="353">
        <v>1</v>
      </c>
      <c r="I51" s="353">
        <v>5</v>
      </c>
      <c r="J51" s="353">
        <v>1</v>
      </c>
      <c r="K51" s="353">
        <v>0.13</v>
      </c>
      <c r="L51" s="353">
        <v>0.2</v>
      </c>
      <c r="M51" s="353">
        <v>0.3</v>
      </c>
      <c r="N51" s="353">
        <v>1.6</v>
      </c>
      <c r="O51" s="353" t="s">
        <v>153</v>
      </c>
      <c r="P51" s="353">
        <v>2000</v>
      </c>
      <c r="Q51" t="s">
        <v>154</v>
      </c>
      <c r="R51" t="s">
        <v>1475</v>
      </c>
      <c r="S51" s="378" t="s">
        <v>207</v>
      </c>
      <c r="T51" s="378" t="s">
        <v>1031</v>
      </c>
      <c r="U51" s="377" t="s">
        <v>162</v>
      </c>
    </row>
    <row r="52" spans="1:21" x14ac:dyDescent="0.2">
      <c r="A52" s="353">
        <v>214163</v>
      </c>
      <c r="B52" s="340" t="s">
        <v>187</v>
      </c>
      <c r="C52" s="353">
        <v>0</v>
      </c>
      <c r="D52" s="353">
        <v>0</v>
      </c>
      <c r="E52" s="353">
        <v>0</v>
      </c>
      <c r="F52" s="353">
        <v>0</v>
      </c>
      <c r="G52" s="353">
        <v>0</v>
      </c>
      <c r="H52" s="353">
        <v>1</v>
      </c>
      <c r="I52" s="353">
        <v>5</v>
      </c>
      <c r="J52" s="353">
        <v>0.9</v>
      </c>
      <c r="K52" s="353">
        <v>0.13</v>
      </c>
      <c r="L52" s="353">
        <v>0.3</v>
      </c>
      <c r="M52" s="353">
        <v>0.2</v>
      </c>
      <c r="N52" s="353">
        <v>1.6</v>
      </c>
      <c r="O52" s="353" t="s">
        <v>153</v>
      </c>
      <c r="P52" s="353">
        <v>2000</v>
      </c>
      <c r="Q52" t="s">
        <v>154</v>
      </c>
      <c r="R52" t="s">
        <v>1565</v>
      </c>
      <c r="S52" s="378" t="s">
        <v>188</v>
      </c>
      <c r="T52" s="378" t="s">
        <v>1031</v>
      </c>
    </row>
    <row r="53" spans="1:21" x14ac:dyDescent="0.2">
      <c r="A53" s="353">
        <v>134593</v>
      </c>
      <c r="B53" s="340" t="s">
        <v>1002</v>
      </c>
      <c r="C53" s="353">
        <v>2</v>
      </c>
      <c r="D53" s="353">
        <v>0</v>
      </c>
      <c r="E53" s="353">
        <v>1</v>
      </c>
      <c r="F53" s="353">
        <v>1</v>
      </c>
      <c r="G53" s="353">
        <v>2</v>
      </c>
      <c r="H53" s="353">
        <v>2</v>
      </c>
      <c r="I53" s="353">
        <v>4</v>
      </c>
      <c r="J53" s="353">
        <v>0.8</v>
      </c>
      <c r="K53" s="353">
        <v>0.13</v>
      </c>
      <c r="L53" s="353">
        <v>0.19</v>
      </c>
      <c r="M53" s="353">
        <v>0.3</v>
      </c>
      <c r="N53" s="353">
        <v>2.4</v>
      </c>
      <c r="O53" s="353" t="s">
        <v>153</v>
      </c>
      <c r="P53" s="353">
        <v>2001</v>
      </c>
      <c r="Q53" t="s">
        <v>154</v>
      </c>
      <c r="R53" t="s">
        <v>1373</v>
      </c>
      <c r="S53" s="378" t="s">
        <v>237</v>
      </c>
      <c r="T53" s="378" t="s">
        <v>1031</v>
      </c>
      <c r="U53" s="377" t="s">
        <v>162</v>
      </c>
    </row>
    <row r="54" spans="1:21" x14ac:dyDescent="0.2">
      <c r="A54" s="353">
        <v>838730</v>
      </c>
      <c r="B54" s="340" t="s">
        <v>185</v>
      </c>
      <c r="C54" s="353">
        <v>0</v>
      </c>
      <c r="D54" s="353">
        <v>0</v>
      </c>
      <c r="E54" s="353">
        <v>0</v>
      </c>
      <c r="F54" s="353">
        <v>0</v>
      </c>
      <c r="G54" s="353">
        <v>0</v>
      </c>
      <c r="H54" s="353">
        <v>0</v>
      </c>
      <c r="I54" s="353"/>
      <c r="J54" s="353"/>
      <c r="K54" s="353">
        <v>0.13</v>
      </c>
      <c r="L54" s="353">
        <v>0.3</v>
      </c>
      <c r="M54" s="353">
        <v>0.3</v>
      </c>
      <c r="N54" s="353">
        <v>1.3</v>
      </c>
      <c r="O54" s="353" t="s">
        <v>153</v>
      </c>
      <c r="P54" s="353">
        <v>2014</v>
      </c>
      <c r="Q54" t="s">
        <v>154</v>
      </c>
      <c r="R54" t="s">
        <v>1384</v>
      </c>
      <c r="S54" s="378" t="s">
        <v>173</v>
      </c>
      <c r="T54" s="378" t="s">
        <v>1031</v>
      </c>
      <c r="U54" s="377" t="s">
        <v>162</v>
      </c>
    </row>
    <row r="55" spans="1:21" x14ac:dyDescent="0.2">
      <c r="A55" s="353">
        <v>721506</v>
      </c>
      <c r="B55" s="340" t="s">
        <v>810</v>
      </c>
      <c r="C55" s="353">
        <v>1</v>
      </c>
      <c r="D55" s="353">
        <v>0</v>
      </c>
      <c r="E55" s="353">
        <v>0</v>
      </c>
      <c r="F55" s="353">
        <v>1</v>
      </c>
      <c r="G55" s="353">
        <v>0</v>
      </c>
      <c r="H55" s="353"/>
      <c r="I55" s="353"/>
      <c r="J55" s="353"/>
      <c r="K55" s="353">
        <v>0.13</v>
      </c>
      <c r="L55" s="353">
        <v>0.32</v>
      </c>
      <c r="M55" s="353"/>
      <c r="N55" s="353"/>
      <c r="O55" s="353" t="s">
        <v>153</v>
      </c>
      <c r="P55" s="353">
        <v>2015</v>
      </c>
      <c r="Q55" t="s">
        <v>154</v>
      </c>
      <c r="R55" t="s">
        <v>1545</v>
      </c>
      <c r="S55" s="378" t="s">
        <v>178</v>
      </c>
      <c r="T55" s="378" t="s">
        <v>1033</v>
      </c>
      <c r="U55" s="377" t="s">
        <v>162</v>
      </c>
    </row>
    <row r="56" spans="1:21" x14ac:dyDescent="0.2">
      <c r="A56" s="353">
        <v>331686</v>
      </c>
      <c r="B56" s="340" t="s">
        <v>189</v>
      </c>
      <c r="C56" s="353">
        <v>2</v>
      </c>
      <c r="D56" s="353">
        <v>0</v>
      </c>
      <c r="E56" s="353">
        <v>0</v>
      </c>
      <c r="F56" s="353">
        <v>1</v>
      </c>
      <c r="G56" s="353">
        <v>2</v>
      </c>
      <c r="H56" s="353">
        <v>3</v>
      </c>
      <c r="I56" s="353">
        <v>10</v>
      </c>
      <c r="J56" s="353">
        <v>2</v>
      </c>
      <c r="K56" s="353">
        <v>0.14000000000000001</v>
      </c>
      <c r="L56" s="353">
        <v>0.41</v>
      </c>
      <c r="M56" s="353">
        <v>0.9</v>
      </c>
      <c r="N56" s="353">
        <v>1.3</v>
      </c>
      <c r="O56" s="353" t="s">
        <v>153</v>
      </c>
      <c r="P56" s="353">
        <v>2012</v>
      </c>
      <c r="Q56" t="s">
        <v>154</v>
      </c>
      <c r="R56" t="s">
        <v>1623</v>
      </c>
      <c r="S56" s="378" t="s">
        <v>178</v>
      </c>
      <c r="T56" s="378" t="s">
        <v>1044</v>
      </c>
      <c r="U56" s="377" t="s">
        <v>162</v>
      </c>
    </row>
    <row r="57" spans="1:21" x14ac:dyDescent="0.2">
      <c r="A57" s="353">
        <v>331983</v>
      </c>
      <c r="B57" s="340" t="s">
        <v>225</v>
      </c>
      <c r="C57" s="353">
        <v>0</v>
      </c>
      <c r="D57" s="353">
        <v>0</v>
      </c>
      <c r="E57" s="353">
        <v>0</v>
      </c>
      <c r="F57" s="353">
        <v>0</v>
      </c>
      <c r="G57" s="353">
        <v>0</v>
      </c>
      <c r="H57" s="353">
        <v>0</v>
      </c>
      <c r="I57" s="353">
        <v>2</v>
      </c>
      <c r="J57" s="353">
        <v>0.3</v>
      </c>
      <c r="K57" s="353">
        <v>0.14000000000000001</v>
      </c>
      <c r="L57" s="353">
        <v>0.3</v>
      </c>
      <c r="M57" s="353">
        <v>0.2</v>
      </c>
      <c r="N57" s="353">
        <v>0.6</v>
      </c>
      <c r="O57" s="353" t="s">
        <v>153</v>
      </c>
      <c r="P57" s="353">
        <v>2000</v>
      </c>
      <c r="Q57" t="s">
        <v>154</v>
      </c>
      <c r="R57" t="s">
        <v>1495</v>
      </c>
      <c r="S57" s="378" t="s">
        <v>226</v>
      </c>
      <c r="T57" s="378" t="s">
        <v>1031</v>
      </c>
      <c r="U57" s="377" t="s">
        <v>162</v>
      </c>
    </row>
    <row r="58" spans="1:21" x14ac:dyDescent="0.2">
      <c r="A58" s="353">
        <v>553271</v>
      </c>
      <c r="B58" s="340" t="s">
        <v>866</v>
      </c>
      <c r="C58" s="353">
        <v>0</v>
      </c>
      <c r="D58" s="353">
        <v>0</v>
      </c>
      <c r="E58" s="353">
        <v>0</v>
      </c>
      <c r="F58" s="353">
        <v>0</v>
      </c>
      <c r="G58" s="353">
        <v>0</v>
      </c>
      <c r="H58" s="353"/>
      <c r="I58" s="353"/>
      <c r="J58" s="353"/>
      <c r="K58" s="353">
        <v>0.14000000000000001</v>
      </c>
      <c r="L58" s="353">
        <v>0.3</v>
      </c>
      <c r="M58" s="353"/>
      <c r="N58" s="353"/>
      <c r="O58" s="353" t="s">
        <v>153</v>
      </c>
      <c r="P58" s="353">
        <v>2015</v>
      </c>
      <c r="Q58" t="s">
        <v>68</v>
      </c>
      <c r="R58" t="s">
        <v>2006</v>
      </c>
      <c r="S58" s="378" t="s">
        <v>323</v>
      </c>
      <c r="T58" s="378" t="s">
        <v>1031</v>
      </c>
      <c r="U58" s="377" t="s">
        <v>162</v>
      </c>
    </row>
    <row r="59" spans="1:21" x14ac:dyDescent="0.2">
      <c r="A59" s="353">
        <v>178335</v>
      </c>
      <c r="B59" s="340" t="s">
        <v>192</v>
      </c>
      <c r="C59" s="353">
        <v>0</v>
      </c>
      <c r="D59" s="353">
        <v>0</v>
      </c>
      <c r="E59" s="353">
        <v>0</v>
      </c>
      <c r="F59" s="353">
        <v>0</v>
      </c>
      <c r="G59" s="353">
        <v>-1</v>
      </c>
      <c r="H59" s="353">
        <v>2</v>
      </c>
      <c r="I59" s="353">
        <v>9</v>
      </c>
      <c r="J59" s="353">
        <v>1.7</v>
      </c>
      <c r="K59" s="353">
        <v>0.15</v>
      </c>
      <c r="L59" s="353">
        <v>0.4</v>
      </c>
      <c r="M59" s="353">
        <v>1.6</v>
      </c>
      <c r="N59" s="353">
        <v>0.6</v>
      </c>
      <c r="O59" s="353" t="s">
        <v>153</v>
      </c>
      <c r="P59" s="353">
        <v>2000</v>
      </c>
      <c r="Q59" t="s">
        <v>154</v>
      </c>
      <c r="R59" t="s">
        <v>1590</v>
      </c>
      <c r="S59" s="378" t="s">
        <v>188</v>
      </c>
      <c r="T59" s="378" t="s">
        <v>1040</v>
      </c>
    </row>
    <row r="60" spans="1:21" x14ac:dyDescent="0.2">
      <c r="A60" s="353">
        <v>248161</v>
      </c>
      <c r="B60" s="340" t="s">
        <v>205</v>
      </c>
      <c r="C60" s="353">
        <v>7</v>
      </c>
      <c r="D60" s="353">
        <v>5</v>
      </c>
      <c r="E60" s="353">
        <v>8</v>
      </c>
      <c r="F60" s="353">
        <v>3</v>
      </c>
      <c r="G60" s="353">
        <v>13</v>
      </c>
      <c r="H60" s="353">
        <v>50</v>
      </c>
      <c r="I60" s="353">
        <v>145</v>
      </c>
      <c r="J60" s="353">
        <v>19.600000000000001</v>
      </c>
      <c r="K60" s="353">
        <v>0.16</v>
      </c>
      <c r="L60" s="353">
        <v>0.21</v>
      </c>
      <c r="M60" s="353">
        <v>14.1</v>
      </c>
      <c r="N60" s="353">
        <v>1</v>
      </c>
      <c r="O60" s="353" t="s">
        <v>153</v>
      </c>
      <c r="P60" s="353">
        <v>2000</v>
      </c>
      <c r="Q60" t="s">
        <v>154</v>
      </c>
      <c r="R60" t="s">
        <v>1927</v>
      </c>
      <c r="S60" s="378" t="s">
        <v>178</v>
      </c>
      <c r="T60" s="378" t="s">
        <v>1047</v>
      </c>
      <c r="U60" s="377" t="s">
        <v>162</v>
      </c>
    </row>
    <row r="61" spans="1:21" x14ac:dyDescent="0.2">
      <c r="A61" s="353">
        <v>929224</v>
      </c>
      <c r="B61" s="340" t="s">
        <v>1093</v>
      </c>
      <c r="C61" s="353">
        <v>7</v>
      </c>
      <c r="D61" s="353">
        <v>5</v>
      </c>
      <c r="E61" s="353">
        <v>8</v>
      </c>
      <c r="F61" s="353">
        <v>3</v>
      </c>
      <c r="G61" s="353">
        <v>14</v>
      </c>
      <c r="H61" s="353">
        <v>50</v>
      </c>
      <c r="I61" s="353">
        <v>144</v>
      </c>
      <c r="J61" s="353">
        <v>19.5</v>
      </c>
      <c r="K61" s="353">
        <v>0.16</v>
      </c>
      <c r="L61" s="353">
        <v>0.2</v>
      </c>
      <c r="M61" s="353">
        <v>14.1</v>
      </c>
      <c r="N61" s="353">
        <v>1.1000000000000001</v>
      </c>
      <c r="O61" s="353" t="s">
        <v>153</v>
      </c>
      <c r="P61" s="353">
        <v>2013</v>
      </c>
      <c r="Q61" t="s">
        <v>154</v>
      </c>
      <c r="R61" t="s">
        <v>1554</v>
      </c>
      <c r="S61" s="378" t="s">
        <v>888</v>
      </c>
      <c r="T61" s="378" t="s">
        <v>1047</v>
      </c>
    </row>
    <row r="62" spans="1:21" x14ac:dyDescent="0.2">
      <c r="A62" s="353">
        <v>551507</v>
      </c>
      <c r="B62" s="340" t="s">
        <v>956</v>
      </c>
      <c r="C62" s="353">
        <v>7</v>
      </c>
      <c r="D62" s="353">
        <v>5</v>
      </c>
      <c r="E62" s="353">
        <v>8</v>
      </c>
      <c r="F62" s="353">
        <v>3</v>
      </c>
      <c r="G62" s="353">
        <v>14</v>
      </c>
      <c r="H62" s="353">
        <v>51</v>
      </c>
      <c r="I62" s="353">
        <v>143</v>
      </c>
      <c r="J62" s="353">
        <v>19.399999999999999</v>
      </c>
      <c r="K62" s="353">
        <v>0.16</v>
      </c>
      <c r="L62" s="353">
        <v>0.2</v>
      </c>
      <c r="M62" s="353">
        <v>13.8</v>
      </c>
      <c r="N62" s="353">
        <v>1.1000000000000001</v>
      </c>
      <c r="O62" s="353" t="s">
        <v>153</v>
      </c>
      <c r="P62" s="353">
        <v>2013</v>
      </c>
      <c r="Q62" t="s">
        <v>154</v>
      </c>
      <c r="R62" t="s">
        <v>2017</v>
      </c>
      <c r="S62" s="378" t="s">
        <v>173</v>
      </c>
      <c r="T62" s="378" t="s">
        <v>1047</v>
      </c>
      <c r="U62" s="377" t="s">
        <v>162</v>
      </c>
    </row>
    <row r="63" spans="1:21" x14ac:dyDescent="0.2">
      <c r="A63" s="353">
        <v>176503</v>
      </c>
      <c r="B63" s="340" t="s">
        <v>200</v>
      </c>
      <c r="C63" s="353">
        <v>11</v>
      </c>
      <c r="D63" s="353">
        <v>7</v>
      </c>
      <c r="E63" s="353">
        <v>10</v>
      </c>
      <c r="F63" s="353">
        <v>8</v>
      </c>
      <c r="G63" s="353">
        <v>10</v>
      </c>
      <c r="H63" s="353">
        <v>50</v>
      </c>
      <c r="I63" s="353">
        <v>120</v>
      </c>
      <c r="J63" s="353">
        <v>17.100000000000001</v>
      </c>
      <c r="K63" s="353">
        <v>0.16</v>
      </c>
      <c r="L63" s="353">
        <v>0.22</v>
      </c>
      <c r="M63" s="353">
        <v>15.4</v>
      </c>
      <c r="N63" s="353">
        <v>1</v>
      </c>
      <c r="O63" s="353" t="s">
        <v>153</v>
      </c>
      <c r="P63" s="353">
        <v>2000</v>
      </c>
      <c r="Q63" t="s">
        <v>154</v>
      </c>
      <c r="R63" t="s">
        <v>1443</v>
      </c>
      <c r="S63" s="378" t="s">
        <v>178</v>
      </c>
      <c r="T63" s="378" t="s">
        <v>201</v>
      </c>
      <c r="U63" s="377" t="s">
        <v>162</v>
      </c>
    </row>
    <row r="64" spans="1:21" x14ac:dyDescent="0.2">
      <c r="A64" s="353">
        <v>212332</v>
      </c>
      <c r="B64" s="340" t="s">
        <v>210</v>
      </c>
      <c r="C64" s="353">
        <v>16</v>
      </c>
      <c r="D64" s="353">
        <v>3</v>
      </c>
      <c r="E64" s="353">
        <v>7</v>
      </c>
      <c r="F64" s="353">
        <v>3</v>
      </c>
      <c r="G64" s="353">
        <v>21</v>
      </c>
      <c r="H64" s="353">
        <v>41</v>
      </c>
      <c r="I64" s="353">
        <v>106</v>
      </c>
      <c r="J64" s="353">
        <v>15.6</v>
      </c>
      <c r="K64" s="353">
        <v>0.16</v>
      </c>
      <c r="L64" s="353">
        <v>0.21</v>
      </c>
      <c r="M64" s="353">
        <v>13.5</v>
      </c>
      <c r="N64" s="353">
        <v>0.9</v>
      </c>
      <c r="O64" s="353" t="s">
        <v>153</v>
      </c>
      <c r="P64" s="353">
        <v>2000</v>
      </c>
      <c r="Q64" t="s">
        <v>154</v>
      </c>
      <c r="R64" t="s">
        <v>1264</v>
      </c>
      <c r="S64" s="378" t="s">
        <v>178</v>
      </c>
      <c r="T64" s="378" t="s">
        <v>219</v>
      </c>
      <c r="U64" s="377" t="s">
        <v>162</v>
      </c>
    </row>
    <row r="65" spans="1:21" x14ac:dyDescent="0.2">
      <c r="A65" s="353">
        <v>465914</v>
      </c>
      <c r="B65" s="340" t="s">
        <v>236</v>
      </c>
      <c r="C65" s="353">
        <v>15</v>
      </c>
      <c r="D65" s="353">
        <v>3</v>
      </c>
      <c r="E65" s="353">
        <v>7</v>
      </c>
      <c r="F65" s="353">
        <v>3</v>
      </c>
      <c r="G65" s="353">
        <v>21</v>
      </c>
      <c r="H65" s="353">
        <v>38</v>
      </c>
      <c r="I65" s="353">
        <v>99</v>
      </c>
      <c r="J65" s="353">
        <v>14.8</v>
      </c>
      <c r="K65" s="353">
        <v>0.16</v>
      </c>
      <c r="L65" s="353">
        <v>0.2</v>
      </c>
      <c r="M65" s="353">
        <v>13.4</v>
      </c>
      <c r="N65" s="353">
        <v>0.9</v>
      </c>
      <c r="O65" s="353" t="s">
        <v>153</v>
      </c>
      <c r="P65" s="353">
        <v>2012</v>
      </c>
      <c r="Q65" t="s">
        <v>154</v>
      </c>
      <c r="R65" t="s">
        <v>1282</v>
      </c>
      <c r="S65" s="378" t="s">
        <v>888</v>
      </c>
      <c r="T65" s="378" t="s">
        <v>219</v>
      </c>
    </row>
    <row r="66" spans="1:21" x14ac:dyDescent="0.2">
      <c r="A66" s="353">
        <v>587337</v>
      </c>
      <c r="B66" s="340" t="s">
        <v>1124</v>
      </c>
      <c r="C66" s="353">
        <v>16</v>
      </c>
      <c r="D66" s="353">
        <v>3</v>
      </c>
      <c r="E66" s="353">
        <v>7</v>
      </c>
      <c r="F66" s="353">
        <v>3</v>
      </c>
      <c r="G66" s="353">
        <v>21</v>
      </c>
      <c r="H66" s="353">
        <v>38</v>
      </c>
      <c r="I66" s="353">
        <v>99</v>
      </c>
      <c r="J66" s="353">
        <v>14.8</v>
      </c>
      <c r="K66" s="353">
        <v>0.16</v>
      </c>
      <c r="L66" s="353">
        <v>0.2</v>
      </c>
      <c r="M66" s="353">
        <v>13.3</v>
      </c>
      <c r="N66" s="353">
        <v>0.9</v>
      </c>
      <c r="O66" s="353" t="s">
        <v>153</v>
      </c>
      <c r="P66" s="353">
        <v>2013</v>
      </c>
      <c r="Q66" t="s">
        <v>154</v>
      </c>
      <c r="R66" t="s">
        <v>1758</v>
      </c>
      <c r="S66" s="378" t="s">
        <v>173</v>
      </c>
      <c r="T66" s="378" t="s">
        <v>219</v>
      </c>
      <c r="U66" s="377" t="s">
        <v>162</v>
      </c>
    </row>
    <row r="67" spans="1:21" x14ac:dyDescent="0.2">
      <c r="A67" s="353">
        <v>479840</v>
      </c>
      <c r="B67" s="340" t="s">
        <v>1131</v>
      </c>
      <c r="C67" s="353">
        <v>14</v>
      </c>
      <c r="D67" s="353">
        <v>3</v>
      </c>
      <c r="E67" s="353">
        <v>7</v>
      </c>
      <c r="F67" s="353">
        <v>5</v>
      </c>
      <c r="G67" s="353">
        <v>18</v>
      </c>
      <c r="H67" s="353">
        <v>33</v>
      </c>
      <c r="I67" s="353">
        <v>83</v>
      </c>
      <c r="J67" s="353">
        <v>12.9</v>
      </c>
      <c r="K67" s="353">
        <v>0.16</v>
      </c>
      <c r="L67" s="353">
        <v>0.21</v>
      </c>
      <c r="M67" s="353">
        <v>13.6</v>
      </c>
      <c r="N67" s="353">
        <v>0.8</v>
      </c>
      <c r="O67" s="353" t="s">
        <v>153</v>
      </c>
      <c r="P67" s="353">
        <v>2013</v>
      </c>
      <c r="Q67" t="s">
        <v>154</v>
      </c>
      <c r="R67" t="s">
        <v>1979</v>
      </c>
      <c r="S67" s="378" t="s">
        <v>173</v>
      </c>
      <c r="T67" s="378" t="s">
        <v>215</v>
      </c>
      <c r="U67" s="377" t="s">
        <v>162</v>
      </c>
    </row>
    <row r="68" spans="1:21" x14ac:dyDescent="0.2">
      <c r="A68" s="353">
        <v>629543</v>
      </c>
      <c r="B68" s="340" t="s">
        <v>750</v>
      </c>
      <c r="C68" s="353">
        <v>13</v>
      </c>
      <c r="D68" s="353">
        <v>3</v>
      </c>
      <c r="E68" s="353">
        <v>6</v>
      </c>
      <c r="F68" s="353">
        <v>4</v>
      </c>
      <c r="G68" s="353">
        <v>17</v>
      </c>
      <c r="H68" s="353">
        <v>31</v>
      </c>
      <c r="I68" s="353">
        <v>82</v>
      </c>
      <c r="J68" s="353">
        <v>12.7</v>
      </c>
      <c r="K68" s="353">
        <v>0.16</v>
      </c>
      <c r="L68" s="353">
        <v>0.2</v>
      </c>
      <c r="M68" s="353">
        <v>13.6</v>
      </c>
      <c r="N68" s="353">
        <v>0.7</v>
      </c>
      <c r="O68" s="353" t="s">
        <v>153</v>
      </c>
      <c r="P68" s="353">
        <v>2000</v>
      </c>
      <c r="Q68" t="s">
        <v>154</v>
      </c>
      <c r="R68" t="s">
        <v>1786</v>
      </c>
      <c r="S68" s="378" t="s">
        <v>888</v>
      </c>
      <c r="T68" s="378" t="s">
        <v>215</v>
      </c>
    </row>
    <row r="69" spans="1:21" x14ac:dyDescent="0.2">
      <c r="A69" s="353">
        <v>140673</v>
      </c>
      <c r="B69" s="340" t="s">
        <v>199</v>
      </c>
      <c r="C69" s="353">
        <v>14</v>
      </c>
      <c r="D69" s="353">
        <v>3</v>
      </c>
      <c r="E69" s="353">
        <v>7</v>
      </c>
      <c r="F69" s="353">
        <v>5</v>
      </c>
      <c r="G69" s="353">
        <v>18</v>
      </c>
      <c r="H69" s="353">
        <v>31</v>
      </c>
      <c r="I69" s="353">
        <v>80</v>
      </c>
      <c r="J69" s="353">
        <v>12.4</v>
      </c>
      <c r="K69" s="353">
        <v>0.16</v>
      </c>
      <c r="L69" s="353">
        <v>0.21</v>
      </c>
      <c r="M69" s="353">
        <v>13.6</v>
      </c>
      <c r="N69" s="353">
        <v>0.7</v>
      </c>
      <c r="O69" s="353" t="s">
        <v>153</v>
      </c>
      <c r="P69" s="353">
        <v>2000</v>
      </c>
      <c r="Q69" t="s">
        <v>154</v>
      </c>
      <c r="R69" t="s">
        <v>1342</v>
      </c>
      <c r="S69" s="378" t="s">
        <v>178</v>
      </c>
      <c r="T69" s="378" t="s">
        <v>215</v>
      </c>
      <c r="U69" s="377" t="s">
        <v>162</v>
      </c>
    </row>
    <row r="70" spans="1:21" x14ac:dyDescent="0.2">
      <c r="A70" s="353">
        <v>443721</v>
      </c>
      <c r="B70" s="340" t="s">
        <v>202</v>
      </c>
      <c r="C70" s="353">
        <v>2</v>
      </c>
      <c r="D70" s="353">
        <v>3</v>
      </c>
      <c r="E70" s="353">
        <v>3</v>
      </c>
      <c r="F70" s="353">
        <v>3</v>
      </c>
      <c r="G70" s="353">
        <v>-2</v>
      </c>
      <c r="H70" s="353">
        <v>13</v>
      </c>
      <c r="I70" s="353">
        <v>41</v>
      </c>
      <c r="J70" s="353">
        <v>7</v>
      </c>
      <c r="K70" s="353">
        <v>0.16</v>
      </c>
      <c r="L70" s="353">
        <v>0.28000000000000003</v>
      </c>
      <c r="M70" s="353">
        <v>7</v>
      </c>
      <c r="N70" s="353">
        <v>0.6</v>
      </c>
      <c r="O70" s="353" t="s">
        <v>203</v>
      </c>
      <c r="P70" s="353">
        <v>2000</v>
      </c>
      <c r="Q70" t="s">
        <v>68</v>
      </c>
      <c r="R70" t="s">
        <v>1597</v>
      </c>
      <c r="S70" s="378" t="s">
        <v>204</v>
      </c>
      <c r="T70" s="378" t="s">
        <v>1043</v>
      </c>
    </row>
    <row r="71" spans="1:21" x14ac:dyDescent="0.2">
      <c r="A71" s="353">
        <v>405704</v>
      </c>
      <c r="B71" s="340" t="s">
        <v>853</v>
      </c>
      <c r="C71" s="353">
        <v>0</v>
      </c>
      <c r="D71" s="353">
        <v>0</v>
      </c>
      <c r="E71" s="353">
        <v>0</v>
      </c>
      <c r="F71" s="353">
        <v>0</v>
      </c>
      <c r="G71" s="353">
        <v>-1</v>
      </c>
      <c r="H71" s="353">
        <v>14</v>
      </c>
      <c r="I71" s="353">
        <v>17</v>
      </c>
      <c r="J71" s="353">
        <v>3.3</v>
      </c>
      <c r="K71" s="353">
        <v>0.16</v>
      </c>
      <c r="L71" s="353">
        <v>0.47</v>
      </c>
      <c r="M71" s="353">
        <v>5.4</v>
      </c>
      <c r="N71" s="353">
        <v>0.9</v>
      </c>
      <c r="O71" s="353" t="s">
        <v>153</v>
      </c>
      <c r="P71" s="353">
        <v>2015</v>
      </c>
      <c r="Q71" t="s">
        <v>68</v>
      </c>
      <c r="R71" t="s">
        <v>1595</v>
      </c>
      <c r="S71" s="378" t="s">
        <v>209</v>
      </c>
      <c r="T71" s="378" t="s">
        <v>1038</v>
      </c>
      <c r="U71" s="377" t="s">
        <v>162</v>
      </c>
    </row>
    <row r="72" spans="1:21" x14ac:dyDescent="0.2">
      <c r="A72" s="353">
        <v>242081</v>
      </c>
      <c r="B72" s="340" t="s">
        <v>211</v>
      </c>
      <c r="C72" s="353">
        <v>0</v>
      </c>
      <c r="D72" s="353">
        <v>0</v>
      </c>
      <c r="E72" s="353">
        <v>0</v>
      </c>
      <c r="F72" s="353">
        <v>0</v>
      </c>
      <c r="G72" s="353">
        <v>-1</v>
      </c>
      <c r="H72" s="353">
        <v>3</v>
      </c>
      <c r="I72" s="353">
        <v>10</v>
      </c>
      <c r="J72" s="353">
        <v>1.9</v>
      </c>
      <c r="K72" s="353">
        <v>0.16</v>
      </c>
      <c r="L72" s="353">
        <v>0.5</v>
      </c>
      <c r="M72" s="353">
        <v>2</v>
      </c>
      <c r="N72" s="353">
        <v>0.7</v>
      </c>
      <c r="O72" s="353" t="s">
        <v>153</v>
      </c>
      <c r="P72" s="353">
        <v>2001</v>
      </c>
      <c r="Q72" t="s">
        <v>154</v>
      </c>
      <c r="R72" t="s">
        <v>1406</v>
      </c>
      <c r="S72" s="378" t="s">
        <v>173</v>
      </c>
      <c r="T72" s="378" t="s">
        <v>1040</v>
      </c>
      <c r="U72" s="377" t="s">
        <v>162</v>
      </c>
    </row>
    <row r="73" spans="1:21" x14ac:dyDescent="0.2">
      <c r="A73" s="353">
        <v>114819</v>
      </c>
      <c r="B73" s="340" t="s">
        <v>871</v>
      </c>
      <c r="C73" s="353">
        <v>9</v>
      </c>
      <c r="D73" s="353">
        <v>5</v>
      </c>
      <c r="E73" s="353">
        <v>7</v>
      </c>
      <c r="F73" s="353">
        <v>4</v>
      </c>
      <c r="G73" s="353">
        <v>14</v>
      </c>
      <c r="H73" s="353"/>
      <c r="I73" s="353"/>
      <c r="J73" s="353"/>
      <c r="K73" s="353">
        <v>0.16</v>
      </c>
      <c r="L73" s="353">
        <v>0.2</v>
      </c>
      <c r="M73" s="353"/>
      <c r="N73" s="353"/>
      <c r="O73" s="353" t="s">
        <v>153</v>
      </c>
      <c r="P73" s="353">
        <v>2015</v>
      </c>
      <c r="Q73" t="s">
        <v>154</v>
      </c>
      <c r="R73" t="s">
        <v>1232</v>
      </c>
      <c r="S73" s="378" t="s">
        <v>171</v>
      </c>
      <c r="T73" s="378" t="s">
        <v>181</v>
      </c>
    </row>
    <row r="74" spans="1:21" x14ac:dyDescent="0.2">
      <c r="A74" s="353">
        <v>658997</v>
      </c>
      <c r="B74" s="340" t="s">
        <v>951</v>
      </c>
      <c r="C74" s="353">
        <v>9</v>
      </c>
      <c r="D74" s="353">
        <v>5</v>
      </c>
      <c r="E74" s="353">
        <v>7</v>
      </c>
      <c r="F74" s="353">
        <v>4</v>
      </c>
      <c r="G74" s="353">
        <v>14</v>
      </c>
      <c r="H74" s="353">
        <v>42</v>
      </c>
      <c r="I74" s="353"/>
      <c r="J74" s="353"/>
      <c r="K74" s="353">
        <v>0.16</v>
      </c>
      <c r="L74" s="353">
        <v>0.2</v>
      </c>
      <c r="M74" s="353">
        <v>13</v>
      </c>
      <c r="N74" s="353">
        <v>1</v>
      </c>
      <c r="O74" s="353" t="s">
        <v>153</v>
      </c>
      <c r="P74" s="353">
        <v>2013</v>
      </c>
      <c r="Q74" t="s">
        <v>154</v>
      </c>
      <c r="R74" t="s">
        <v>1426</v>
      </c>
      <c r="S74" s="378" t="s">
        <v>173</v>
      </c>
      <c r="T74" s="378" t="s">
        <v>181</v>
      </c>
      <c r="U74" s="377" t="s">
        <v>162</v>
      </c>
    </row>
    <row r="75" spans="1:21" x14ac:dyDescent="0.2">
      <c r="A75" s="353">
        <v>943159</v>
      </c>
      <c r="B75" s="340" t="s">
        <v>872</v>
      </c>
      <c r="C75" s="353">
        <v>11</v>
      </c>
      <c r="D75" s="353">
        <v>7</v>
      </c>
      <c r="E75" s="353">
        <v>10</v>
      </c>
      <c r="F75" s="353">
        <v>8</v>
      </c>
      <c r="G75" s="353">
        <v>10</v>
      </c>
      <c r="H75" s="353"/>
      <c r="I75" s="353"/>
      <c r="J75" s="353"/>
      <c r="K75" s="353">
        <v>0.16</v>
      </c>
      <c r="L75" s="353">
        <v>0.2</v>
      </c>
      <c r="M75" s="353"/>
      <c r="N75" s="353"/>
      <c r="O75" s="353" t="s">
        <v>153</v>
      </c>
      <c r="P75" s="353">
        <v>2015</v>
      </c>
      <c r="Q75" t="s">
        <v>154</v>
      </c>
      <c r="R75" t="s">
        <v>1432</v>
      </c>
      <c r="S75" s="378" t="s">
        <v>171</v>
      </c>
      <c r="T75" s="378" t="s">
        <v>201</v>
      </c>
    </row>
    <row r="76" spans="1:21" x14ac:dyDescent="0.2">
      <c r="A76" s="353">
        <v>574582</v>
      </c>
      <c r="B76" s="340" t="s">
        <v>197</v>
      </c>
      <c r="C76" s="353">
        <v>0</v>
      </c>
      <c r="D76" s="353">
        <v>0</v>
      </c>
      <c r="E76" s="353">
        <v>0</v>
      </c>
      <c r="F76" s="353">
        <v>0</v>
      </c>
      <c r="G76" s="353">
        <v>0</v>
      </c>
      <c r="H76" s="353">
        <v>2</v>
      </c>
      <c r="I76" s="353"/>
      <c r="J76" s="353"/>
      <c r="K76" s="353">
        <v>0.16</v>
      </c>
      <c r="L76" s="353">
        <v>0.3</v>
      </c>
      <c r="M76" s="353">
        <v>0.2</v>
      </c>
      <c r="N76" s="353">
        <v>3.7</v>
      </c>
      <c r="O76" s="353" t="s">
        <v>153</v>
      </c>
      <c r="P76" s="353">
        <v>2013</v>
      </c>
      <c r="Q76" t="s">
        <v>68</v>
      </c>
      <c r="R76" t="s">
        <v>1478</v>
      </c>
      <c r="S76" s="378" t="s">
        <v>198</v>
      </c>
      <c r="T76" s="378" t="s">
        <v>1044</v>
      </c>
    </row>
    <row r="77" spans="1:21" x14ac:dyDescent="0.2">
      <c r="A77" s="353">
        <v>719674</v>
      </c>
      <c r="B77" s="340" t="s">
        <v>856</v>
      </c>
      <c r="C77" s="353">
        <v>16</v>
      </c>
      <c r="D77" s="353">
        <v>3</v>
      </c>
      <c r="E77" s="353">
        <v>7</v>
      </c>
      <c r="F77" s="353">
        <v>3</v>
      </c>
      <c r="G77" s="353">
        <v>21</v>
      </c>
      <c r="H77" s="353"/>
      <c r="I77" s="353"/>
      <c r="J77" s="353"/>
      <c r="K77" s="353">
        <v>0.16</v>
      </c>
      <c r="L77" s="353">
        <v>0.2</v>
      </c>
      <c r="M77" s="353"/>
      <c r="N77" s="353"/>
      <c r="O77" s="353" t="s">
        <v>153</v>
      </c>
      <c r="P77" s="353">
        <v>2015</v>
      </c>
      <c r="Q77" t="s">
        <v>154</v>
      </c>
      <c r="R77" t="s">
        <v>1491</v>
      </c>
      <c r="S77" s="378" t="s">
        <v>171</v>
      </c>
      <c r="T77" s="378" t="s">
        <v>219</v>
      </c>
    </row>
    <row r="78" spans="1:21" x14ac:dyDescent="0.2">
      <c r="A78" s="353">
        <v>470104</v>
      </c>
      <c r="B78" s="340" t="s">
        <v>1065</v>
      </c>
      <c r="C78" s="353">
        <v>12</v>
      </c>
      <c r="D78" s="353">
        <v>7</v>
      </c>
      <c r="E78" s="353">
        <v>10</v>
      </c>
      <c r="F78" s="353">
        <v>7</v>
      </c>
      <c r="G78" s="353">
        <v>9</v>
      </c>
      <c r="H78" s="353">
        <v>56</v>
      </c>
      <c r="I78" s="353"/>
      <c r="J78" s="353"/>
      <c r="K78" s="353">
        <v>0.16</v>
      </c>
      <c r="L78" s="353">
        <v>0.2</v>
      </c>
      <c r="M78" s="353">
        <v>16.600000000000001</v>
      </c>
      <c r="N78" s="353">
        <v>1</v>
      </c>
      <c r="O78" s="353" t="s">
        <v>153</v>
      </c>
      <c r="P78" s="353">
        <v>2014</v>
      </c>
      <c r="Q78" t="s">
        <v>154</v>
      </c>
      <c r="R78" t="s">
        <v>1575</v>
      </c>
      <c r="S78" s="378" t="s">
        <v>173</v>
      </c>
      <c r="T78" s="378" t="s">
        <v>201</v>
      </c>
      <c r="U78" s="377" t="s">
        <v>162</v>
      </c>
    </row>
    <row r="79" spans="1:21" x14ac:dyDescent="0.2">
      <c r="A79" s="353">
        <v>203471</v>
      </c>
      <c r="B79" s="340" t="s">
        <v>883</v>
      </c>
      <c r="C79" s="353">
        <v>1</v>
      </c>
      <c r="D79" s="353">
        <v>1</v>
      </c>
      <c r="E79" s="353">
        <v>1</v>
      </c>
      <c r="F79" s="353">
        <v>1</v>
      </c>
      <c r="G79" s="353">
        <v>0</v>
      </c>
      <c r="H79" s="353"/>
      <c r="I79" s="353"/>
      <c r="J79" s="353"/>
      <c r="K79" s="353">
        <v>0.16</v>
      </c>
      <c r="L79" s="353">
        <v>0.4</v>
      </c>
      <c r="M79" s="353"/>
      <c r="N79" s="353"/>
      <c r="O79" s="353" t="s">
        <v>153</v>
      </c>
      <c r="P79" s="353">
        <v>2015</v>
      </c>
      <c r="Q79" t="s">
        <v>68</v>
      </c>
      <c r="R79" t="s">
        <v>1599</v>
      </c>
      <c r="S79" s="378" t="s">
        <v>323</v>
      </c>
      <c r="T79" s="378" t="s">
        <v>1040</v>
      </c>
      <c r="U79" s="377" t="s">
        <v>162</v>
      </c>
    </row>
    <row r="80" spans="1:21" x14ac:dyDescent="0.2">
      <c r="A80" s="353">
        <v>755504</v>
      </c>
      <c r="B80" s="340" t="s">
        <v>861</v>
      </c>
      <c r="C80" s="353">
        <v>14</v>
      </c>
      <c r="D80" s="353">
        <v>3</v>
      </c>
      <c r="E80" s="353">
        <v>7</v>
      </c>
      <c r="F80" s="353">
        <v>5</v>
      </c>
      <c r="G80" s="353">
        <v>18</v>
      </c>
      <c r="H80" s="353"/>
      <c r="I80" s="353"/>
      <c r="J80" s="353"/>
      <c r="K80" s="353">
        <v>0.16</v>
      </c>
      <c r="L80" s="353">
        <v>0.2</v>
      </c>
      <c r="M80" s="353"/>
      <c r="N80" s="353"/>
      <c r="O80" s="353" t="s">
        <v>153</v>
      </c>
      <c r="P80" s="353">
        <v>2015</v>
      </c>
      <c r="Q80" t="s">
        <v>154</v>
      </c>
      <c r="R80" t="s">
        <v>1612</v>
      </c>
      <c r="S80" s="378" t="s">
        <v>171</v>
      </c>
      <c r="T80" s="378" t="s">
        <v>215</v>
      </c>
    </row>
    <row r="81" spans="1:21" x14ac:dyDescent="0.2">
      <c r="A81" s="353">
        <v>978981</v>
      </c>
      <c r="B81" s="340" t="s">
        <v>857</v>
      </c>
      <c r="C81" s="353">
        <v>27</v>
      </c>
      <c r="D81" s="353">
        <v>7</v>
      </c>
      <c r="E81" s="353">
        <v>9</v>
      </c>
      <c r="F81" s="353">
        <v>12</v>
      </c>
      <c r="G81" s="353">
        <v>21</v>
      </c>
      <c r="H81" s="353"/>
      <c r="I81" s="353"/>
      <c r="J81" s="353"/>
      <c r="K81" s="353">
        <v>0.16</v>
      </c>
      <c r="L81" s="353">
        <v>0.2</v>
      </c>
      <c r="M81" s="353"/>
      <c r="N81" s="353"/>
      <c r="O81" s="353" t="s">
        <v>153</v>
      </c>
      <c r="P81" s="353">
        <v>2015</v>
      </c>
      <c r="Q81" t="s">
        <v>154</v>
      </c>
      <c r="R81" t="s">
        <v>1843</v>
      </c>
      <c r="S81" s="378" t="s">
        <v>171</v>
      </c>
      <c r="T81" s="378" t="s">
        <v>1048</v>
      </c>
    </row>
    <row r="82" spans="1:21" x14ac:dyDescent="0.2">
      <c r="A82" s="353">
        <v>150649</v>
      </c>
      <c r="B82" s="340" t="s">
        <v>863</v>
      </c>
      <c r="C82" s="353">
        <v>7</v>
      </c>
      <c r="D82" s="353">
        <v>5</v>
      </c>
      <c r="E82" s="353">
        <v>8</v>
      </c>
      <c r="F82" s="353">
        <v>3</v>
      </c>
      <c r="G82" s="353">
        <v>14</v>
      </c>
      <c r="H82" s="353"/>
      <c r="I82" s="353"/>
      <c r="J82" s="353"/>
      <c r="K82" s="353">
        <v>0.16</v>
      </c>
      <c r="L82" s="353">
        <v>0.2</v>
      </c>
      <c r="M82" s="353"/>
      <c r="N82" s="353"/>
      <c r="O82" s="353" t="s">
        <v>153</v>
      </c>
      <c r="P82" s="353">
        <v>2015</v>
      </c>
      <c r="Q82" t="s">
        <v>154</v>
      </c>
      <c r="R82" t="s">
        <v>1925</v>
      </c>
      <c r="S82" s="378" t="s">
        <v>171</v>
      </c>
      <c r="T82" s="378" t="s">
        <v>1047</v>
      </c>
    </row>
    <row r="83" spans="1:21" x14ac:dyDescent="0.2">
      <c r="A83" s="353">
        <v>407064</v>
      </c>
      <c r="B83" s="340" t="s">
        <v>212</v>
      </c>
      <c r="C83" s="353">
        <v>10</v>
      </c>
      <c r="D83" s="353">
        <v>5</v>
      </c>
      <c r="E83" s="353">
        <v>7</v>
      </c>
      <c r="F83" s="353">
        <v>4</v>
      </c>
      <c r="G83" s="353">
        <v>14</v>
      </c>
      <c r="H83" s="353">
        <v>40</v>
      </c>
      <c r="I83" s="353">
        <v>107</v>
      </c>
      <c r="J83" s="353">
        <v>15.7</v>
      </c>
      <c r="K83" s="353">
        <v>0.17</v>
      </c>
      <c r="L83" s="353">
        <v>0.32</v>
      </c>
      <c r="M83" s="353">
        <v>12.9</v>
      </c>
      <c r="N83" s="353">
        <v>1</v>
      </c>
      <c r="O83" s="353" t="s">
        <v>153</v>
      </c>
      <c r="P83" s="353">
        <v>2010</v>
      </c>
      <c r="Q83" t="s">
        <v>154</v>
      </c>
      <c r="R83" t="s">
        <v>1444</v>
      </c>
      <c r="S83" s="378" t="s">
        <v>178</v>
      </c>
      <c r="T83" s="378" t="s">
        <v>181</v>
      </c>
      <c r="U83" s="377" t="s">
        <v>162</v>
      </c>
    </row>
    <row r="84" spans="1:21" x14ac:dyDescent="0.2">
      <c r="A84" s="353">
        <v>840090</v>
      </c>
      <c r="B84" s="340" t="s">
        <v>222</v>
      </c>
      <c r="C84" s="353">
        <v>2</v>
      </c>
      <c r="D84" s="353">
        <v>0</v>
      </c>
      <c r="E84" s="353">
        <v>1</v>
      </c>
      <c r="F84" s="353">
        <v>1</v>
      </c>
      <c r="G84" s="353">
        <v>0</v>
      </c>
      <c r="H84" s="353">
        <v>5</v>
      </c>
      <c r="I84" s="353">
        <v>15</v>
      </c>
      <c r="J84" s="353">
        <v>2.9</v>
      </c>
      <c r="K84" s="353">
        <v>0.17</v>
      </c>
      <c r="L84" s="353">
        <v>0.69</v>
      </c>
      <c r="M84" s="353">
        <v>2.1</v>
      </c>
      <c r="N84" s="353">
        <v>0.9</v>
      </c>
      <c r="O84" s="353" t="s">
        <v>153</v>
      </c>
      <c r="P84" s="353">
        <v>2013</v>
      </c>
      <c r="Q84" t="s">
        <v>68</v>
      </c>
      <c r="R84" t="s">
        <v>1556</v>
      </c>
      <c r="S84" s="378" t="s">
        <v>191</v>
      </c>
      <c r="T84" s="378" t="s">
        <v>1033</v>
      </c>
      <c r="U84" s="377" t="s">
        <v>162</v>
      </c>
    </row>
    <row r="85" spans="1:21" x14ac:dyDescent="0.2">
      <c r="A85" s="353">
        <v>131409</v>
      </c>
      <c r="B85" s="340" t="s">
        <v>234</v>
      </c>
      <c r="C85" s="353">
        <v>0</v>
      </c>
      <c r="D85" s="353">
        <v>0</v>
      </c>
      <c r="E85" s="353">
        <v>1</v>
      </c>
      <c r="F85" s="353">
        <v>1</v>
      </c>
      <c r="G85" s="353">
        <v>0</v>
      </c>
      <c r="H85" s="353">
        <v>8</v>
      </c>
      <c r="I85" s="353">
        <v>12</v>
      </c>
      <c r="J85" s="353">
        <v>2.2000000000000002</v>
      </c>
      <c r="K85" s="353">
        <v>0.17</v>
      </c>
      <c r="L85" s="353">
        <v>0.65</v>
      </c>
      <c r="M85" s="353">
        <v>4.8</v>
      </c>
      <c r="N85" s="353">
        <v>0.6</v>
      </c>
      <c r="O85" s="353" t="s">
        <v>153</v>
      </c>
      <c r="P85" s="353">
        <v>2008</v>
      </c>
      <c r="Q85" t="s">
        <v>68</v>
      </c>
      <c r="R85" t="s">
        <v>1898</v>
      </c>
      <c r="S85" s="378" t="s">
        <v>191</v>
      </c>
      <c r="T85" s="378" t="s">
        <v>1040</v>
      </c>
      <c r="U85" s="377" t="s">
        <v>162</v>
      </c>
    </row>
    <row r="86" spans="1:21" x14ac:dyDescent="0.2">
      <c r="A86" s="353">
        <v>648964</v>
      </c>
      <c r="B86" s="340" t="s">
        <v>233</v>
      </c>
      <c r="C86" s="353">
        <v>0</v>
      </c>
      <c r="D86" s="353">
        <v>1</v>
      </c>
      <c r="E86" s="353">
        <v>1</v>
      </c>
      <c r="F86" s="353">
        <v>0</v>
      </c>
      <c r="G86" s="353">
        <v>-2</v>
      </c>
      <c r="H86" s="353">
        <v>5</v>
      </c>
      <c r="I86" s="353">
        <v>11</v>
      </c>
      <c r="J86" s="353">
        <v>2.1</v>
      </c>
      <c r="K86" s="353">
        <v>0.17</v>
      </c>
      <c r="L86" s="353">
        <v>0.65</v>
      </c>
      <c r="M86" s="353">
        <v>3.9</v>
      </c>
      <c r="N86" s="353">
        <v>0.5</v>
      </c>
      <c r="O86" s="353" t="s">
        <v>153</v>
      </c>
      <c r="P86" s="353">
        <v>2001</v>
      </c>
      <c r="Q86" t="s">
        <v>154</v>
      </c>
      <c r="R86" t="s">
        <v>1883</v>
      </c>
      <c r="S86" s="378" t="s">
        <v>191</v>
      </c>
      <c r="T86" s="378" t="s">
        <v>1040</v>
      </c>
      <c r="U86" s="377" t="s">
        <v>162</v>
      </c>
    </row>
    <row r="87" spans="1:21" x14ac:dyDescent="0.2">
      <c r="A87" s="353">
        <v>496497</v>
      </c>
      <c r="B87" s="340" t="s">
        <v>235</v>
      </c>
      <c r="C87" s="353">
        <v>0</v>
      </c>
      <c r="D87" s="353">
        <v>0</v>
      </c>
      <c r="E87" s="353">
        <v>1</v>
      </c>
      <c r="F87" s="353">
        <v>0</v>
      </c>
      <c r="G87" s="353">
        <v>0</v>
      </c>
      <c r="H87" s="353">
        <v>7</v>
      </c>
      <c r="I87" s="353">
        <v>9</v>
      </c>
      <c r="J87" s="353">
        <v>1.7</v>
      </c>
      <c r="K87" s="353">
        <v>0.17</v>
      </c>
      <c r="L87" s="353">
        <v>0.55000000000000004</v>
      </c>
      <c r="M87" s="353">
        <v>4.7</v>
      </c>
      <c r="N87" s="353">
        <v>0.6</v>
      </c>
      <c r="O87" s="353" t="s">
        <v>153</v>
      </c>
      <c r="P87" s="353">
        <v>2003</v>
      </c>
      <c r="Q87" t="s">
        <v>68</v>
      </c>
      <c r="R87" t="s">
        <v>1485</v>
      </c>
      <c r="S87" s="378" t="s">
        <v>209</v>
      </c>
      <c r="T87" s="378" t="s">
        <v>1040</v>
      </c>
    </row>
    <row r="88" spans="1:21" x14ac:dyDescent="0.2">
      <c r="A88" s="353">
        <v>273300</v>
      </c>
      <c r="B88" s="340" t="s">
        <v>903</v>
      </c>
      <c r="C88" s="353">
        <v>2</v>
      </c>
      <c r="D88" s="353">
        <v>0</v>
      </c>
      <c r="E88" s="353">
        <v>1</v>
      </c>
      <c r="F88" s="353">
        <v>1</v>
      </c>
      <c r="G88" s="353">
        <v>2</v>
      </c>
      <c r="H88" s="353">
        <v>5</v>
      </c>
      <c r="I88" s="353"/>
      <c r="J88" s="353"/>
      <c r="K88" s="353">
        <v>0.17</v>
      </c>
      <c r="L88" s="353">
        <v>0.71</v>
      </c>
      <c r="M88" s="353">
        <v>1.5</v>
      </c>
      <c r="N88" s="353">
        <v>1.2</v>
      </c>
      <c r="O88" s="353" t="s">
        <v>153</v>
      </c>
      <c r="P88" s="353">
        <v>2016</v>
      </c>
      <c r="Q88" t="s">
        <v>154</v>
      </c>
      <c r="R88" t="s">
        <v>1614</v>
      </c>
      <c r="S88" s="378" t="s">
        <v>171</v>
      </c>
      <c r="T88" s="378" t="s">
        <v>1033</v>
      </c>
      <c r="U88" s="377" t="s">
        <v>162</v>
      </c>
    </row>
    <row r="89" spans="1:21" x14ac:dyDescent="0.2">
      <c r="A89" s="353">
        <v>706275</v>
      </c>
      <c r="B89" s="340" t="s">
        <v>1086</v>
      </c>
      <c r="C89" s="353">
        <v>16</v>
      </c>
      <c r="D89" s="353">
        <v>3</v>
      </c>
      <c r="E89" s="353">
        <v>7</v>
      </c>
      <c r="F89" s="353">
        <v>3</v>
      </c>
      <c r="G89" s="353">
        <v>21</v>
      </c>
      <c r="H89" s="353"/>
      <c r="I89" s="353"/>
      <c r="J89" s="353"/>
      <c r="K89" s="353">
        <v>0.17</v>
      </c>
      <c r="L89" s="353">
        <v>0.3</v>
      </c>
      <c r="M89" s="353"/>
      <c r="N89" s="353"/>
      <c r="O89" s="353" t="s">
        <v>153</v>
      </c>
      <c r="P89" s="353">
        <v>2017</v>
      </c>
      <c r="Q89" t="s">
        <v>154</v>
      </c>
      <c r="R89" t="s">
        <v>1918</v>
      </c>
      <c r="S89" s="378" t="s">
        <v>178</v>
      </c>
      <c r="T89" s="378" t="s">
        <v>219</v>
      </c>
      <c r="U89" s="377" t="s">
        <v>162</v>
      </c>
    </row>
    <row r="90" spans="1:21" x14ac:dyDescent="0.2">
      <c r="A90" s="353">
        <v>905265</v>
      </c>
      <c r="B90" s="340" t="s">
        <v>223</v>
      </c>
      <c r="C90" s="353">
        <v>17</v>
      </c>
      <c r="D90" s="353">
        <v>2</v>
      </c>
      <c r="E90" s="353">
        <v>7</v>
      </c>
      <c r="F90" s="353">
        <v>5</v>
      </c>
      <c r="G90" s="353">
        <v>22</v>
      </c>
      <c r="H90" s="353">
        <v>49</v>
      </c>
      <c r="I90" s="353">
        <v>115</v>
      </c>
      <c r="J90" s="353">
        <v>16.5</v>
      </c>
      <c r="K90" s="353">
        <v>0.18</v>
      </c>
      <c r="L90" s="353">
        <v>0.44</v>
      </c>
      <c r="M90" s="353">
        <v>13.4</v>
      </c>
      <c r="N90" s="353">
        <v>1.1000000000000001</v>
      </c>
      <c r="O90" s="353" t="s">
        <v>153</v>
      </c>
      <c r="P90" s="353">
        <v>2000</v>
      </c>
      <c r="Q90" t="s">
        <v>154</v>
      </c>
      <c r="R90" t="s">
        <v>1322</v>
      </c>
      <c r="S90" s="378" t="s">
        <v>171</v>
      </c>
      <c r="T90" s="378" t="s">
        <v>219</v>
      </c>
      <c r="U90" s="377" t="s">
        <v>162</v>
      </c>
    </row>
    <row r="91" spans="1:21" x14ac:dyDescent="0.2">
      <c r="A91" s="353">
        <v>976928</v>
      </c>
      <c r="B91" s="340" t="s">
        <v>227</v>
      </c>
      <c r="C91" s="353">
        <v>17</v>
      </c>
      <c r="D91" s="353">
        <v>2</v>
      </c>
      <c r="E91" s="353">
        <v>7</v>
      </c>
      <c r="F91" s="353">
        <v>4</v>
      </c>
      <c r="G91" s="353">
        <v>23</v>
      </c>
      <c r="H91" s="353">
        <v>46</v>
      </c>
      <c r="I91" s="353">
        <v>113</v>
      </c>
      <c r="J91" s="353">
        <v>16.399999999999999</v>
      </c>
      <c r="K91" s="353">
        <v>0.18</v>
      </c>
      <c r="L91" s="353">
        <v>0.44</v>
      </c>
      <c r="M91" s="353">
        <v>13.4</v>
      </c>
      <c r="N91" s="353">
        <v>1</v>
      </c>
      <c r="O91" s="353" t="s">
        <v>153</v>
      </c>
      <c r="P91" s="353">
        <v>2000</v>
      </c>
      <c r="Q91" t="s">
        <v>154</v>
      </c>
      <c r="R91" t="s">
        <v>1326</v>
      </c>
      <c r="S91" s="378" t="s">
        <v>171</v>
      </c>
      <c r="T91" s="378" t="s">
        <v>219</v>
      </c>
      <c r="U91" s="377" t="s">
        <v>162</v>
      </c>
    </row>
    <row r="92" spans="1:21" x14ac:dyDescent="0.2">
      <c r="A92" s="353">
        <v>645952</v>
      </c>
      <c r="B92" s="340" t="s">
        <v>106</v>
      </c>
      <c r="C92" s="353">
        <v>11</v>
      </c>
      <c r="D92" s="353">
        <v>3</v>
      </c>
      <c r="E92" s="353">
        <v>7</v>
      </c>
      <c r="F92" s="353">
        <v>3</v>
      </c>
      <c r="G92" s="353">
        <v>17</v>
      </c>
      <c r="H92" s="353">
        <v>42</v>
      </c>
      <c r="I92" s="353">
        <v>109</v>
      </c>
      <c r="J92" s="353">
        <v>15.9</v>
      </c>
      <c r="K92" s="353">
        <v>0.18</v>
      </c>
      <c r="L92" s="353">
        <v>0.42</v>
      </c>
      <c r="M92" s="353">
        <v>12.8</v>
      </c>
      <c r="N92" s="353">
        <v>1</v>
      </c>
      <c r="O92" s="353" t="s">
        <v>153</v>
      </c>
      <c r="P92" s="353">
        <v>2000</v>
      </c>
      <c r="Q92" t="s">
        <v>154</v>
      </c>
      <c r="R92" t="s">
        <v>1333</v>
      </c>
      <c r="S92" s="378" t="s">
        <v>168</v>
      </c>
      <c r="T92" s="378" t="s">
        <v>1026</v>
      </c>
      <c r="U92" s="377" t="s">
        <v>162</v>
      </c>
    </row>
    <row r="93" spans="1:21" x14ac:dyDescent="0.2">
      <c r="A93" s="353">
        <v>681783</v>
      </c>
      <c r="B93" s="340" t="s">
        <v>107</v>
      </c>
      <c r="C93" s="353">
        <v>14</v>
      </c>
      <c r="D93" s="353">
        <v>2</v>
      </c>
      <c r="E93" s="353">
        <v>7</v>
      </c>
      <c r="F93" s="353">
        <v>3</v>
      </c>
      <c r="G93" s="353">
        <v>20</v>
      </c>
      <c r="H93" s="353">
        <v>40</v>
      </c>
      <c r="I93" s="353">
        <v>106</v>
      </c>
      <c r="J93" s="353">
        <v>15.6</v>
      </c>
      <c r="K93" s="353">
        <v>0.18</v>
      </c>
      <c r="L93" s="353">
        <v>0.42</v>
      </c>
      <c r="M93" s="353">
        <v>13.5</v>
      </c>
      <c r="N93" s="353">
        <v>0.9</v>
      </c>
      <c r="O93" s="353" t="s">
        <v>153</v>
      </c>
      <c r="P93" s="353">
        <v>2000</v>
      </c>
      <c r="Q93" t="s">
        <v>154</v>
      </c>
      <c r="R93" t="s">
        <v>1302</v>
      </c>
      <c r="S93" s="378" t="s">
        <v>168</v>
      </c>
      <c r="T93" s="378" t="s">
        <v>219</v>
      </c>
      <c r="U93" s="377" t="s">
        <v>162</v>
      </c>
    </row>
    <row r="94" spans="1:21" x14ac:dyDescent="0.2">
      <c r="A94" s="353">
        <v>296152</v>
      </c>
      <c r="B94" s="340" t="s">
        <v>220</v>
      </c>
      <c r="C94" s="353">
        <v>13</v>
      </c>
      <c r="D94" s="353">
        <v>4</v>
      </c>
      <c r="E94" s="353">
        <v>6</v>
      </c>
      <c r="F94" s="353">
        <v>3</v>
      </c>
      <c r="G94" s="353">
        <v>18</v>
      </c>
      <c r="H94" s="353">
        <v>37</v>
      </c>
      <c r="I94" s="353">
        <v>105</v>
      </c>
      <c r="J94" s="353">
        <v>15.5</v>
      </c>
      <c r="K94" s="353">
        <v>0.18</v>
      </c>
      <c r="L94" s="353">
        <v>0.43</v>
      </c>
      <c r="M94" s="353">
        <v>12.7</v>
      </c>
      <c r="N94" s="353">
        <v>0.9</v>
      </c>
      <c r="O94" s="353" t="s">
        <v>153</v>
      </c>
      <c r="P94" s="353">
        <v>2000</v>
      </c>
      <c r="Q94" t="s">
        <v>154</v>
      </c>
      <c r="R94" t="s">
        <v>1728</v>
      </c>
      <c r="S94" s="378" t="s">
        <v>171</v>
      </c>
      <c r="T94" s="378" t="s">
        <v>1026</v>
      </c>
      <c r="U94" s="377" t="s">
        <v>162</v>
      </c>
    </row>
    <row r="95" spans="1:21" x14ac:dyDescent="0.2">
      <c r="A95" s="353">
        <v>844522</v>
      </c>
      <c r="B95" s="340" t="s">
        <v>231</v>
      </c>
      <c r="C95" s="353">
        <v>11</v>
      </c>
      <c r="D95" s="353">
        <v>4</v>
      </c>
      <c r="E95" s="353">
        <v>7</v>
      </c>
      <c r="F95" s="353">
        <v>4</v>
      </c>
      <c r="G95" s="353">
        <v>15</v>
      </c>
      <c r="H95" s="353">
        <v>37</v>
      </c>
      <c r="I95" s="353">
        <v>98</v>
      </c>
      <c r="J95" s="353">
        <v>14.7</v>
      </c>
      <c r="K95" s="353">
        <v>0.18</v>
      </c>
      <c r="L95" s="353">
        <v>0.41</v>
      </c>
      <c r="M95" s="353">
        <v>12</v>
      </c>
      <c r="N95" s="353">
        <v>1</v>
      </c>
      <c r="O95" s="353" t="s">
        <v>153</v>
      </c>
      <c r="P95" s="353">
        <v>2000</v>
      </c>
      <c r="Q95" t="s">
        <v>154</v>
      </c>
      <c r="R95" t="s">
        <v>1500</v>
      </c>
      <c r="S95" s="378" t="s">
        <v>178</v>
      </c>
      <c r="T95" s="378" t="s">
        <v>1022</v>
      </c>
      <c r="U95" s="377" t="s">
        <v>162</v>
      </c>
    </row>
    <row r="96" spans="1:21" x14ac:dyDescent="0.2">
      <c r="A96" s="353">
        <v>785022</v>
      </c>
      <c r="B96" s="340" t="s">
        <v>60</v>
      </c>
      <c r="C96" s="353">
        <v>16</v>
      </c>
      <c r="D96" s="353">
        <v>5</v>
      </c>
      <c r="E96" s="353">
        <v>10</v>
      </c>
      <c r="F96" s="353">
        <v>7</v>
      </c>
      <c r="G96" s="353">
        <v>21</v>
      </c>
      <c r="H96" s="353">
        <v>40</v>
      </c>
      <c r="I96" s="353">
        <v>99</v>
      </c>
      <c r="J96" s="353">
        <v>14.7</v>
      </c>
      <c r="K96" s="353">
        <v>0.18</v>
      </c>
      <c r="L96" s="353">
        <v>0.45</v>
      </c>
      <c r="M96" s="353">
        <v>13.2</v>
      </c>
      <c r="N96" s="353">
        <v>0.9</v>
      </c>
      <c r="O96" s="353" t="s">
        <v>153</v>
      </c>
      <c r="P96" s="353">
        <v>2000</v>
      </c>
      <c r="Q96" t="s">
        <v>154</v>
      </c>
      <c r="R96" t="s">
        <v>1516</v>
      </c>
      <c r="S96" s="378" t="s">
        <v>171</v>
      </c>
      <c r="T96" s="378" t="s">
        <v>1026</v>
      </c>
    </row>
    <row r="97" spans="1:21" x14ac:dyDescent="0.2">
      <c r="A97" s="353">
        <v>941096</v>
      </c>
      <c r="B97" s="340" t="s">
        <v>228</v>
      </c>
      <c r="C97" s="353">
        <v>8</v>
      </c>
      <c r="D97" s="353">
        <v>5</v>
      </c>
      <c r="E97" s="353">
        <v>7</v>
      </c>
      <c r="F97" s="353">
        <v>4</v>
      </c>
      <c r="G97" s="353">
        <v>12</v>
      </c>
      <c r="H97" s="353">
        <v>36</v>
      </c>
      <c r="I97" s="353">
        <v>98</v>
      </c>
      <c r="J97" s="353">
        <v>14.6</v>
      </c>
      <c r="K97" s="353">
        <v>0.18</v>
      </c>
      <c r="L97" s="353">
        <v>0.43</v>
      </c>
      <c r="M97" s="353">
        <v>13.2</v>
      </c>
      <c r="N97" s="353">
        <v>0.9</v>
      </c>
      <c r="O97" s="353" t="s">
        <v>153</v>
      </c>
      <c r="P97" s="353">
        <v>2000</v>
      </c>
      <c r="Q97" t="s">
        <v>154</v>
      </c>
      <c r="R97" t="s">
        <v>1183</v>
      </c>
      <c r="S97" s="378" t="s">
        <v>171</v>
      </c>
      <c r="T97" s="378" t="s">
        <v>181</v>
      </c>
      <c r="U97" s="377" t="s">
        <v>162</v>
      </c>
    </row>
    <row r="98" spans="1:21" x14ac:dyDescent="0.2">
      <c r="A98" s="353">
        <v>498972</v>
      </c>
      <c r="B98" s="340" t="s">
        <v>241</v>
      </c>
      <c r="C98" s="353">
        <v>11</v>
      </c>
      <c r="D98" s="353">
        <v>4</v>
      </c>
      <c r="E98" s="353">
        <v>7</v>
      </c>
      <c r="F98" s="353">
        <v>4</v>
      </c>
      <c r="G98" s="353">
        <v>15</v>
      </c>
      <c r="H98" s="353">
        <v>37</v>
      </c>
      <c r="I98" s="353">
        <v>97</v>
      </c>
      <c r="J98" s="353">
        <v>14.6</v>
      </c>
      <c r="K98" s="353">
        <v>0.18</v>
      </c>
      <c r="L98" s="353">
        <v>0.41</v>
      </c>
      <c r="M98" s="353">
        <v>12</v>
      </c>
      <c r="N98" s="353">
        <v>1</v>
      </c>
      <c r="O98" s="353" t="s">
        <v>153</v>
      </c>
      <c r="P98" s="353">
        <v>2000</v>
      </c>
      <c r="Q98" t="s">
        <v>154</v>
      </c>
      <c r="R98" t="s">
        <v>1499</v>
      </c>
      <c r="S98" s="378" t="s">
        <v>178</v>
      </c>
      <c r="T98" s="378" t="s">
        <v>1022</v>
      </c>
      <c r="U98" s="377" t="s">
        <v>162</v>
      </c>
    </row>
    <row r="99" spans="1:21" x14ac:dyDescent="0.2">
      <c r="A99" s="353">
        <v>463141</v>
      </c>
      <c r="B99" s="340" t="s">
        <v>240</v>
      </c>
      <c r="C99" s="353">
        <v>10</v>
      </c>
      <c r="D99" s="353">
        <v>3</v>
      </c>
      <c r="E99" s="353">
        <v>7</v>
      </c>
      <c r="F99" s="353">
        <v>3</v>
      </c>
      <c r="G99" s="353">
        <v>14</v>
      </c>
      <c r="H99" s="353">
        <v>34</v>
      </c>
      <c r="I99" s="353">
        <v>93</v>
      </c>
      <c r="J99" s="353">
        <v>14</v>
      </c>
      <c r="K99" s="353">
        <v>0.18</v>
      </c>
      <c r="L99" s="353">
        <v>0.41</v>
      </c>
      <c r="M99" s="353">
        <v>11.4</v>
      </c>
      <c r="N99" s="353">
        <v>0.9</v>
      </c>
      <c r="O99" s="353" t="s">
        <v>153</v>
      </c>
      <c r="P99" s="353">
        <v>2000</v>
      </c>
      <c r="Q99" t="s">
        <v>154</v>
      </c>
      <c r="R99" t="s">
        <v>1568</v>
      </c>
      <c r="S99" s="378" t="s">
        <v>178</v>
      </c>
      <c r="T99" s="378" t="s">
        <v>1022</v>
      </c>
      <c r="U99" s="377" t="s">
        <v>162</v>
      </c>
    </row>
    <row r="100" spans="1:21" x14ac:dyDescent="0.2">
      <c r="A100" s="353">
        <v>224493</v>
      </c>
      <c r="B100" s="340" t="s">
        <v>221</v>
      </c>
      <c r="C100" s="353">
        <v>9</v>
      </c>
      <c r="D100" s="353">
        <v>3</v>
      </c>
      <c r="E100" s="353">
        <v>6</v>
      </c>
      <c r="F100" s="353">
        <v>3</v>
      </c>
      <c r="G100" s="353">
        <v>11</v>
      </c>
      <c r="H100" s="353">
        <v>28</v>
      </c>
      <c r="I100" s="353">
        <v>73</v>
      </c>
      <c r="J100" s="353">
        <v>11.6</v>
      </c>
      <c r="K100" s="353">
        <v>0.18</v>
      </c>
      <c r="L100" s="353">
        <v>0.41</v>
      </c>
      <c r="M100" s="353">
        <v>8.4</v>
      </c>
      <c r="N100" s="353">
        <v>1.1000000000000001</v>
      </c>
      <c r="O100" s="353" t="s">
        <v>153</v>
      </c>
      <c r="P100" s="353">
        <v>2000</v>
      </c>
      <c r="Q100" t="s">
        <v>154</v>
      </c>
      <c r="R100" t="s">
        <v>1727</v>
      </c>
      <c r="S100" s="378" t="s">
        <v>171</v>
      </c>
      <c r="T100" s="378" t="s">
        <v>1023</v>
      </c>
      <c r="U100" s="377" t="s">
        <v>162</v>
      </c>
    </row>
    <row r="101" spans="1:21" x14ac:dyDescent="0.2">
      <c r="A101" s="353">
        <v>610121</v>
      </c>
      <c r="B101" s="340" t="s">
        <v>105</v>
      </c>
      <c r="C101" s="353">
        <v>7</v>
      </c>
      <c r="D101" s="353">
        <v>2</v>
      </c>
      <c r="E101" s="353">
        <v>4</v>
      </c>
      <c r="F101" s="353">
        <v>2</v>
      </c>
      <c r="G101" s="353">
        <v>10</v>
      </c>
      <c r="H101" s="353">
        <v>27</v>
      </c>
      <c r="I101" s="353">
        <v>66</v>
      </c>
      <c r="J101" s="353">
        <v>10.7</v>
      </c>
      <c r="K101" s="353">
        <v>0.18</v>
      </c>
      <c r="L101" s="353">
        <v>0.42</v>
      </c>
      <c r="M101" s="353">
        <v>8.1</v>
      </c>
      <c r="N101" s="353">
        <v>1.1000000000000001</v>
      </c>
      <c r="O101" s="353" t="s">
        <v>153</v>
      </c>
      <c r="P101" s="353">
        <v>2000</v>
      </c>
      <c r="Q101" t="s">
        <v>154</v>
      </c>
      <c r="R101" t="s">
        <v>1307</v>
      </c>
      <c r="S101" s="378" t="s">
        <v>168</v>
      </c>
      <c r="T101" s="378" t="s">
        <v>1024</v>
      </c>
      <c r="U101" s="377" t="s">
        <v>162</v>
      </c>
    </row>
    <row r="102" spans="1:21" x14ac:dyDescent="0.2">
      <c r="A102" s="353">
        <v>427310</v>
      </c>
      <c r="B102" s="340" t="s">
        <v>239</v>
      </c>
      <c r="C102" s="353">
        <v>6</v>
      </c>
      <c r="D102" s="353">
        <v>2</v>
      </c>
      <c r="E102" s="353">
        <v>4</v>
      </c>
      <c r="F102" s="353">
        <v>2</v>
      </c>
      <c r="G102" s="353">
        <v>8</v>
      </c>
      <c r="H102" s="353">
        <v>22</v>
      </c>
      <c r="I102" s="353">
        <v>62</v>
      </c>
      <c r="J102" s="353">
        <v>10.1</v>
      </c>
      <c r="K102" s="353">
        <v>0.18</v>
      </c>
      <c r="L102" s="353">
        <v>0.41</v>
      </c>
      <c r="M102" s="353">
        <v>7.5</v>
      </c>
      <c r="N102" s="353">
        <v>0.9</v>
      </c>
      <c r="O102" s="353" t="s">
        <v>153</v>
      </c>
      <c r="P102" s="353">
        <v>2000</v>
      </c>
      <c r="Q102" t="s">
        <v>154</v>
      </c>
      <c r="R102" t="s">
        <v>1498</v>
      </c>
      <c r="S102" s="378" t="s">
        <v>178</v>
      </c>
      <c r="T102" s="378" t="s">
        <v>159</v>
      </c>
      <c r="U102" s="377" t="s">
        <v>162</v>
      </c>
    </row>
    <row r="103" spans="1:21" x14ac:dyDescent="0.2">
      <c r="A103" s="353">
        <v>749192</v>
      </c>
      <c r="B103" s="340" t="s">
        <v>213</v>
      </c>
      <c r="C103" s="353">
        <v>7</v>
      </c>
      <c r="D103" s="353">
        <v>3</v>
      </c>
      <c r="E103" s="353">
        <v>5</v>
      </c>
      <c r="F103" s="353">
        <v>3</v>
      </c>
      <c r="G103" s="353">
        <v>7</v>
      </c>
      <c r="H103" s="353">
        <v>25</v>
      </c>
      <c r="I103" s="353">
        <v>57</v>
      </c>
      <c r="J103" s="353">
        <v>9.4</v>
      </c>
      <c r="K103" s="353">
        <v>0.18</v>
      </c>
      <c r="L103" s="353">
        <v>0.43</v>
      </c>
      <c r="M103" s="353">
        <v>6.9</v>
      </c>
      <c r="N103" s="353">
        <v>1.1000000000000001</v>
      </c>
      <c r="O103" s="353" t="s">
        <v>153</v>
      </c>
      <c r="P103" s="353">
        <v>2000</v>
      </c>
      <c r="Q103" t="s">
        <v>154</v>
      </c>
      <c r="R103" t="s">
        <v>1518</v>
      </c>
      <c r="S103" s="378" t="s">
        <v>171</v>
      </c>
      <c r="T103" s="378" t="s">
        <v>1024</v>
      </c>
      <c r="U103" s="377" t="s">
        <v>162</v>
      </c>
    </row>
    <row r="104" spans="1:21" x14ac:dyDescent="0.2">
      <c r="A104" s="353">
        <v>391482</v>
      </c>
      <c r="B104" s="340" t="s">
        <v>238</v>
      </c>
      <c r="C104" s="353">
        <v>3</v>
      </c>
      <c r="D104" s="353">
        <v>1</v>
      </c>
      <c r="E104" s="353">
        <v>2</v>
      </c>
      <c r="F104" s="353">
        <v>1</v>
      </c>
      <c r="G104" s="353">
        <v>4</v>
      </c>
      <c r="H104" s="353">
        <v>12</v>
      </c>
      <c r="I104" s="353">
        <v>32</v>
      </c>
      <c r="J104" s="353">
        <v>5.8</v>
      </c>
      <c r="K104" s="353">
        <v>0.18</v>
      </c>
      <c r="L104" s="353">
        <v>0.41</v>
      </c>
      <c r="M104" s="353">
        <v>4</v>
      </c>
      <c r="N104" s="353">
        <v>1.1000000000000001</v>
      </c>
      <c r="O104" s="353" t="s">
        <v>153</v>
      </c>
      <c r="P104" s="353">
        <v>2000</v>
      </c>
      <c r="Q104" t="s">
        <v>154</v>
      </c>
      <c r="R104" t="s">
        <v>1497</v>
      </c>
      <c r="S104" s="378" t="s">
        <v>178</v>
      </c>
      <c r="T104" s="378" t="s">
        <v>159</v>
      </c>
      <c r="U104" s="377" t="s">
        <v>162</v>
      </c>
    </row>
    <row r="105" spans="1:21" x14ac:dyDescent="0.2">
      <c r="A105" s="353">
        <v>361733</v>
      </c>
      <c r="B105" s="340" t="s">
        <v>961</v>
      </c>
      <c r="C105" s="353">
        <v>-1</v>
      </c>
      <c r="D105" s="353">
        <v>0</v>
      </c>
      <c r="E105" s="353">
        <v>0</v>
      </c>
      <c r="F105" s="353">
        <v>0</v>
      </c>
      <c r="G105" s="353">
        <v>-1</v>
      </c>
      <c r="H105" s="353">
        <v>-2</v>
      </c>
      <c r="I105" s="353">
        <v>0</v>
      </c>
      <c r="J105" s="353">
        <v>0</v>
      </c>
      <c r="K105" s="353">
        <v>0.18</v>
      </c>
      <c r="L105" s="353">
        <v>0.35</v>
      </c>
      <c r="M105" s="353">
        <v>0.1</v>
      </c>
      <c r="N105" s="353">
        <v>-3.1</v>
      </c>
      <c r="O105" s="353" t="s">
        <v>153</v>
      </c>
      <c r="P105" s="353">
        <v>2000</v>
      </c>
      <c r="Q105" t="s">
        <v>154</v>
      </c>
      <c r="R105" t="s">
        <v>1375</v>
      </c>
      <c r="S105" s="378" t="s">
        <v>229</v>
      </c>
      <c r="T105" s="378" t="s">
        <v>1031</v>
      </c>
      <c r="U105" s="377" t="s">
        <v>162</v>
      </c>
    </row>
    <row r="106" spans="1:21" x14ac:dyDescent="0.2">
      <c r="A106" s="353">
        <v>473702</v>
      </c>
      <c r="B106" s="340" t="s">
        <v>944</v>
      </c>
      <c r="C106" s="353">
        <v>11</v>
      </c>
      <c r="D106" s="353">
        <v>5</v>
      </c>
      <c r="E106" s="353">
        <v>7</v>
      </c>
      <c r="F106" s="353">
        <v>4</v>
      </c>
      <c r="G106" s="353">
        <v>15</v>
      </c>
      <c r="H106" s="353"/>
      <c r="I106" s="353"/>
      <c r="J106" s="353"/>
      <c r="K106" s="353">
        <v>0.18</v>
      </c>
      <c r="L106" s="353">
        <v>0.42</v>
      </c>
      <c r="M106" s="353"/>
      <c r="N106" s="353"/>
      <c r="O106" s="353" t="s">
        <v>153</v>
      </c>
      <c r="P106" s="353">
        <v>2016</v>
      </c>
      <c r="Q106" t="s">
        <v>154</v>
      </c>
      <c r="R106" t="s">
        <v>1362</v>
      </c>
      <c r="S106" s="378" t="s">
        <v>178</v>
      </c>
      <c r="T106" s="378" t="s">
        <v>181</v>
      </c>
      <c r="U106" s="377" t="s">
        <v>162</v>
      </c>
    </row>
    <row r="107" spans="1:21" x14ac:dyDescent="0.2">
      <c r="A107" s="353">
        <v>520692</v>
      </c>
      <c r="B107" s="340" t="s">
        <v>218</v>
      </c>
      <c r="C107" s="353">
        <v>5</v>
      </c>
      <c r="D107" s="353">
        <v>5</v>
      </c>
      <c r="E107" s="353">
        <v>7</v>
      </c>
      <c r="F107" s="353">
        <v>3</v>
      </c>
      <c r="G107" s="353">
        <v>11</v>
      </c>
      <c r="H107" s="353">
        <v>49</v>
      </c>
      <c r="I107" s="353">
        <v>139</v>
      </c>
      <c r="J107" s="353">
        <v>19.100000000000001</v>
      </c>
      <c r="K107" s="353">
        <v>0.19</v>
      </c>
      <c r="L107" s="353">
        <v>0.46</v>
      </c>
      <c r="M107" s="353">
        <v>13.8</v>
      </c>
      <c r="N107" s="353">
        <v>1</v>
      </c>
      <c r="O107" s="353" t="s">
        <v>153</v>
      </c>
      <c r="P107" s="353">
        <v>2007</v>
      </c>
      <c r="Q107" t="s">
        <v>154</v>
      </c>
      <c r="R107" t="s">
        <v>2016</v>
      </c>
      <c r="S107" s="378" t="s">
        <v>168</v>
      </c>
      <c r="T107" s="378" t="s">
        <v>1047</v>
      </c>
      <c r="U107" s="377" t="s">
        <v>162</v>
      </c>
    </row>
    <row r="108" spans="1:21" x14ac:dyDescent="0.2">
      <c r="A108" s="353">
        <v>908277</v>
      </c>
      <c r="B108" s="340" t="s">
        <v>216</v>
      </c>
      <c r="C108" s="353">
        <v>9</v>
      </c>
      <c r="D108" s="353">
        <v>4</v>
      </c>
      <c r="E108" s="353">
        <v>7</v>
      </c>
      <c r="F108" s="353">
        <v>4</v>
      </c>
      <c r="G108" s="353">
        <v>12</v>
      </c>
      <c r="H108" s="353">
        <v>42</v>
      </c>
      <c r="I108" s="353">
        <v>111</v>
      </c>
      <c r="J108" s="353">
        <v>16.100000000000001</v>
      </c>
      <c r="K108" s="353">
        <v>0.19</v>
      </c>
      <c r="L108" s="353">
        <v>0.45</v>
      </c>
      <c r="M108" s="353">
        <v>12.6</v>
      </c>
      <c r="N108" s="353">
        <v>1</v>
      </c>
      <c r="O108" s="353" t="s">
        <v>153</v>
      </c>
      <c r="P108" s="353">
        <v>2001</v>
      </c>
      <c r="Q108" t="s">
        <v>154</v>
      </c>
      <c r="R108" t="s">
        <v>1258</v>
      </c>
      <c r="S108" s="378" t="s">
        <v>168</v>
      </c>
      <c r="T108" s="378" t="s">
        <v>181</v>
      </c>
      <c r="U108" s="377" t="s">
        <v>162</v>
      </c>
    </row>
    <row r="109" spans="1:21" x14ac:dyDescent="0.2">
      <c r="A109" s="353">
        <v>229682</v>
      </c>
      <c r="B109" s="340" t="s">
        <v>217</v>
      </c>
      <c r="C109" s="353">
        <v>10</v>
      </c>
      <c r="D109" s="353">
        <v>3</v>
      </c>
      <c r="E109" s="353">
        <v>6</v>
      </c>
      <c r="F109" s="353">
        <v>4</v>
      </c>
      <c r="G109" s="353">
        <v>15</v>
      </c>
      <c r="H109" s="353">
        <v>36</v>
      </c>
      <c r="I109" s="353">
        <v>97</v>
      </c>
      <c r="J109" s="353">
        <v>14.5</v>
      </c>
      <c r="K109" s="353">
        <v>0.19</v>
      </c>
      <c r="L109" s="353">
        <v>0.45</v>
      </c>
      <c r="M109" s="353">
        <v>11.5</v>
      </c>
      <c r="N109" s="353">
        <v>1</v>
      </c>
      <c r="O109" s="353" t="s">
        <v>153</v>
      </c>
      <c r="P109" s="353">
        <v>2012</v>
      </c>
      <c r="Q109" t="s">
        <v>154</v>
      </c>
      <c r="R109" t="s">
        <v>1602</v>
      </c>
      <c r="S109" s="378" t="s">
        <v>168</v>
      </c>
      <c r="T109" s="378" t="s">
        <v>1026</v>
      </c>
      <c r="U109" s="377" t="s">
        <v>162</v>
      </c>
    </row>
    <row r="110" spans="1:21" x14ac:dyDescent="0.2">
      <c r="A110" s="353">
        <v>359315</v>
      </c>
      <c r="B110" s="340" t="s">
        <v>130</v>
      </c>
      <c r="C110" s="353">
        <v>12</v>
      </c>
      <c r="D110" s="353">
        <v>5</v>
      </c>
      <c r="E110" s="353">
        <v>8</v>
      </c>
      <c r="F110" s="353">
        <v>5</v>
      </c>
      <c r="G110" s="353">
        <v>16</v>
      </c>
      <c r="H110" s="353">
        <v>39</v>
      </c>
      <c r="I110" s="353">
        <v>96</v>
      </c>
      <c r="J110" s="353">
        <v>14.4</v>
      </c>
      <c r="K110" s="353">
        <v>0.19</v>
      </c>
      <c r="L110" s="353">
        <v>0.51</v>
      </c>
      <c r="M110" s="353">
        <v>12.1</v>
      </c>
      <c r="N110" s="353">
        <v>1</v>
      </c>
      <c r="O110" s="353" t="s">
        <v>153</v>
      </c>
      <c r="P110" s="353">
        <v>2000</v>
      </c>
      <c r="Q110" t="s">
        <v>154</v>
      </c>
      <c r="R110" t="s">
        <v>1876</v>
      </c>
      <c r="S110" s="378" t="s">
        <v>191</v>
      </c>
      <c r="T110" s="378" t="s">
        <v>1022</v>
      </c>
      <c r="U110" s="377" t="s">
        <v>162</v>
      </c>
    </row>
    <row r="111" spans="1:21" x14ac:dyDescent="0.2">
      <c r="A111" s="353">
        <v>287656</v>
      </c>
      <c r="B111" s="340" t="s">
        <v>248</v>
      </c>
      <c r="C111" s="353">
        <v>12</v>
      </c>
      <c r="D111" s="353">
        <v>5</v>
      </c>
      <c r="E111" s="353">
        <v>8</v>
      </c>
      <c r="F111" s="353">
        <v>5</v>
      </c>
      <c r="G111" s="353">
        <v>16</v>
      </c>
      <c r="H111" s="353">
        <v>39</v>
      </c>
      <c r="I111" s="353">
        <v>96</v>
      </c>
      <c r="J111" s="353">
        <v>14.4</v>
      </c>
      <c r="K111" s="353">
        <v>0.19</v>
      </c>
      <c r="L111" s="353">
        <v>0.51</v>
      </c>
      <c r="M111" s="353">
        <v>12.1</v>
      </c>
      <c r="N111" s="353">
        <v>1</v>
      </c>
      <c r="O111" s="353" t="s">
        <v>153</v>
      </c>
      <c r="P111" s="353">
        <v>2000</v>
      </c>
      <c r="Q111" t="s">
        <v>154</v>
      </c>
      <c r="R111" t="s">
        <v>1877</v>
      </c>
      <c r="S111" s="378" t="s">
        <v>191</v>
      </c>
      <c r="T111" s="378" t="s">
        <v>1022</v>
      </c>
      <c r="U111" s="377" t="s">
        <v>162</v>
      </c>
    </row>
    <row r="112" spans="1:21" x14ac:dyDescent="0.2">
      <c r="A112" s="353">
        <v>538462</v>
      </c>
      <c r="B112" s="340" t="s">
        <v>214</v>
      </c>
      <c r="C112" s="353">
        <v>14</v>
      </c>
      <c r="D112" s="353">
        <v>2</v>
      </c>
      <c r="E112" s="353">
        <v>4</v>
      </c>
      <c r="F112" s="353">
        <v>4</v>
      </c>
      <c r="G112" s="353">
        <v>18</v>
      </c>
      <c r="H112" s="353">
        <v>36</v>
      </c>
      <c r="I112" s="353">
        <v>95</v>
      </c>
      <c r="J112" s="353">
        <v>14.3</v>
      </c>
      <c r="K112" s="353">
        <v>0.19</v>
      </c>
      <c r="L112" s="353">
        <v>0.44</v>
      </c>
      <c r="M112" s="353">
        <v>13.9</v>
      </c>
      <c r="N112" s="353">
        <v>0.8</v>
      </c>
      <c r="O112" s="353" t="s">
        <v>153</v>
      </c>
      <c r="P112" s="353">
        <v>2000</v>
      </c>
      <c r="Q112" t="s">
        <v>154</v>
      </c>
      <c r="R112" t="s">
        <v>1776</v>
      </c>
      <c r="S112" s="378" t="s">
        <v>168</v>
      </c>
      <c r="T112" s="378" t="s">
        <v>215</v>
      </c>
      <c r="U112" s="377" t="s">
        <v>162</v>
      </c>
    </row>
    <row r="113" spans="1:21" x14ac:dyDescent="0.2">
      <c r="A113" s="353">
        <v>215996</v>
      </c>
      <c r="B113" s="340" t="s">
        <v>249</v>
      </c>
      <c r="C113" s="353">
        <v>12</v>
      </c>
      <c r="D113" s="353">
        <v>5</v>
      </c>
      <c r="E113" s="353">
        <v>8</v>
      </c>
      <c r="F113" s="353">
        <v>5</v>
      </c>
      <c r="G113" s="353">
        <v>16</v>
      </c>
      <c r="H113" s="353">
        <v>39</v>
      </c>
      <c r="I113" s="353">
        <v>95</v>
      </c>
      <c r="J113" s="353">
        <v>14.3</v>
      </c>
      <c r="K113" s="353">
        <v>0.19</v>
      </c>
      <c r="L113" s="353">
        <v>0.51</v>
      </c>
      <c r="M113" s="353">
        <v>12</v>
      </c>
      <c r="N113" s="353">
        <v>1</v>
      </c>
      <c r="O113" s="353" t="s">
        <v>153</v>
      </c>
      <c r="P113" s="353">
        <v>2000</v>
      </c>
      <c r="Q113" t="s">
        <v>154</v>
      </c>
      <c r="R113" t="s">
        <v>1878</v>
      </c>
      <c r="S113" s="378" t="s">
        <v>191</v>
      </c>
      <c r="T113" s="378" t="s">
        <v>1022</v>
      </c>
      <c r="U113" s="377" t="s">
        <v>162</v>
      </c>
    </row>
    <row r="114" spans="1:21" x14ac:dyDescent="0.2">
      <c r="A114" s="353">
        <v>823096</v>
      </c>
      <c r="B114" s="340" t="s">
        <v>251</v>
      </c>
      <c r="C114" s="353">
        <v>15</v>
      </c>
      <c r="D114" s="353">
        <v>7</v>
      </c>
      <c r="E114" s="353">
        <v>9</v>
      </c>
      <c r="F114" s="353">
        <v>8</v>
      </c>
      <c r="G114" s="353">
        <v>12</v>
      </c>
      <c r="H114" s="353">
        <v>39</v>
      </c>
      <c r="I114" s="353">
        <v>81</v>
      </c>
      <c r="J114" s="353">
        <v>12.7</v>
      </c>
      <c r="K114" s="353">
        <v>0.19</v>
      </c>
      <c r="L114" s="353">
        <v>0.44</v>
      </c>
      <c r="M114" s="353">
        <v>13.3</v>
      </c>
      <c r="N114" s="353">
        <v>0.9</v>
      </c>
      <c r="O114" s="353" t="s">
        <v>153</v>
      </c>
      <c r="P114" s="353">
        <v>2008</v>
      </c>
      <c r="Q114" t="s">
        <v>154</v>
      </c>
      <c r="R114" t="s">
        <v>1823</v>
      </c>
      <c r="S114" s="378" t="s">
        <v>168</v>
      </c>
      <c r="T114" s="378" t="s">
        <v>1048</v>
      </c>
      <c r="U114" s="377" t="s">
        <v>162</v>
      </c>
    </row>
    <row r="115" spans="1:21" x14ac:dyDescent="0.2">
      <c r="A115" s="353">
        <v>320762</v>
      </c>
      <c r="B115" s="340" t="s">
        <v>304</v>
      </c>
      <c r="C115" s="353">
        <v>10</v>
      </c>
      <c r="D115" s="353">
        <v>4</v>
      </c>
      <c r="E115" s="353">
        <v>7</v>
      </c>
      <c r="F115" s="353">
        <v>4</v>
      </c>
      <c r="G115" s="353">
        <v>14</v>
      </c>
      <c r="H115" s="353">
        <v>31</v>
      </c>
      <c r="I115" s="353">
        <v>76</v>
      </c>
      <c r="J115" s="353">
        <v>12</v>
      </c>
      <c r="K115" s="353">
        <v>0.19</v>
      </c>
      <c r="L115" s="353">
        <v>0.52</v>
      </c>
      <c r="M115" s="353">
        <v>9.9</v>
      </c>
      <c r="N115" s="353">
        <v>1</v>
      </c>
      <c r="O115" s="353" t="s">
        <v>153</v>
      </c>
      <c r="P115" s="353">
        <v>2012</v>
      </c>
      <c r="Q115" t="s">
        <v>154</v>
      </c>
      <c r="R115" t="s">
        <v>1361</v>
      </c>
      <c r="S115" s="378" t="s">
        <v>171</v>
      </c>
      <c r="T115" s="378" t="s">
        <v>1022</v>
      </c>
    </row>
    <row r="116" spans="1:21" x14ac:dyDescent="0.2">
      <c r="A116" s="353">
        <v>747899</v>
      </c>
      <c r="B116" s="340" t="s">
        <v>58</v>
      </c>
      <c r="C116" s="353">
        <v>10</v>
      </c>
      <c r="D116" s="353">
        <v>4</v>
      </c>
      <c r="E116" s="353">
        <v>7</v>
      </c>
      <c r="F116" s="353">
        <v>3</v>
      </c>
      <c r="G116" s="353">
        <v>13</v>
      </c>
      <c r="H116" s="353">
        <v>29</v>
      </c>
      <c r="I116" s="353">
        <v>73</v>
      </c>
      <c r="J116" s="353">
        <v>11.6</v>
      </c>
      <c r="K116" s="353">
        <v>0.19</v>
      </c>
      <c r="L116" s="353">
        <v>0.51</v>
      </c>
      <c r="M116" s="353">
        <v>9.1</v>
      </c>
      <c r="N116" s="353">
        <v>1</v>
      </c>
      <c r="O116" s="353" t="s">
        <v>153</v>
      </c>
      <c r="P116" s="353">
        <v>2004</v>
      </c>
      <c r="Q116" t="s">
        <v>154</v>
      </c>
      <c r="R116" t="s">
        <v>1726</v>
      </c>
      <c r="S116" s="378" t="s">
        <v>171</v>
      </c>
      <c r="T116" s="378" t="s">
        <v>1022</v>
      </c>
    </row>
    <row r="117" spans="1:21" x14ac:dyDescent="0.2">
      <c r="A117" s="353">
        <v>430975</v>
      </c>
      <c r="B117" s="340" t="s">
        <v>245</v>
      </c>
      <c r="C117" s="353">
        <v>7</v>
      </c>
      <c r="D117" s="353">
        <v>3</v>
      </c>
      <c r="E117" s="353">
        <v>5</v>
      </c>
      <c r="F117" s="353">
        <v>4</v>
      </c>
      <c r="G117" s="353">
        <v>10</v>
      </c>
      <c r="H117" s="353">
        <v>24</v>
      </c>
      <c r="I117" s="353">
        <v>70</v>
      </c>
      <c r="J117" s="353">
        <v>11.2</v>
      </c>
      <c r="K117" s="353">
        <v>0.19</v>
      </c>
      <c r="L117" s="353">
        <v>0.51</v>
      </c>
      <c r="M117" s="353">
        <v>8</v>
      </c>
      <c r="N117" s="353">
        <v>1</v>
      </c>
      <c r="O117" s="353" t="s">
        <v>153</v>
      </c>
      <c r="P117" s="353">
        <v>2000</v>
      </c>
      <c r="Q117" t="s">
        <v>154</v>
      </c>
      <c r="R117" t="s">
        <v>1875</v>
      </c>
      <c r="S117" s="378" t="s">
        <v>191</v>
      </c>
      <c r="T117" s="378" t="s">
        <v>159</v>
      </c>
      <c r="U117" s="377" t="s">
        <v>162</v>
      </c>
    </row>
    <row r="118" spans="1:21" x14ac:dyDescent="0.2">
      <c r="A118" s="353">
        <v>783720</v>
      </c>
      <c r="B118" s="340" t="s">
        <v>59</v>
      </c>
      <c r="C118" s="353">
        <v>8</v>
      </c>
      <c r="D118" s="353">
        <v>4</v>
      </c>
      <c r="E118" s="353">
        <v>7</v>
      </c>
      <c r="F118" s="353">
        <v>3</v>
      </c>
      <c r="G118" s="353">
        <v>11</v>
      </c>
      <c r="H118" s="353">
        <v>23</v>
      </c>
      <c r="I118" s="353">
        <v>56</v>
      </c>
      <c r="J118" s="353">
        <v>9.4</v>
      </c>
      <c r="K118" s="353">
        <v>0.19</v>
      </c>
      <c r="L118" s="353">
        <v>0.51</v>
      </c>
      <c r="M118" s="353">
        <v>7.5</v>
      </c>
      <c r="N118" s="353">
        <v>1</v>
      </c>
      <c r="O118" s="353" t="s">
        <v>153</v>
      </c>
      <c r="P118" s="353">
        <v>2004</v>
      </c>
      <c r="Q118" t="s">
        <v>154</v>
      </c>
      <c r="R118" t="s">
        <v>1636</v>
      </c>
      <c r="S118" s="378" t="s">
        <v>171</v>
      </c>
      <c r="T118" s="378" t="s">
        <v>1022</v>
      </c>
    </row>
    <row r="119" spans="1:21" x14ac:dyDescent="0.2">
      <c r="A119" s="353">
        <v>459891</v>
      </c>
      <c r="B119" s="340" t="s">
        <v>309</v>
      </c>
      <c r="C119" s="353">
        <v>22</v>
      </c>
      <c r="D119" s="353">
        <v>5</v>
      </c>
      <c r="E119" s="353">
        <v>8</v>
      </c>
      <c r="F119" s="353">
        <v>9</v>
      </c>
      <c r="G119" s="353">
        <v>17</v>
      </c>
      <c r="H119" s="353">
        <v>30</v>
      </c>
      <c r="I119" s="353">
        <v>52</v>
      </c>
      <c r="J119" s="353">
        <v>8.6999999999999993</v>
      </c>
      <c r="K119" s="353">
        <v>0.19</v>
      </c>
      <c r="L119" s="353">
        <v>0.46</v>
      </c>
      <c r="M119" s="353">
        <v>14.6</v>
      </c>
      <c r="N119" s="353">
        <v>0.7</v>
      </c>
      <c r="O119" s="353" t="s">
        <v>153</v>
      </c>
      <c r="P119" s="353">
        <v>2011</v>
      </c>
      <c r="Q119" t="s">
        <v>154</v>
      </c>
      <c r="R119" t="s">
        <v>1445</v>
      </c>
      <c r="S119" s="378" t="s">
        <v>178</v>
      </c>
      <c r="T119" s="378" t="s">
        <v>295</v>
      </c>
      <c r="U119" s="377" t="s">
        <v>162</v>
      </c>
    </row>
    <row r="120" spans="1:21" x14ac:dyDescent="0.2">
      <c r="A120" s="353">
        <v>819557</v>
      </c>
      <c r="B120" s="340" t="s">
        <v>303</v>
      </c>
      <c r="C120" s="353">
        <v>5</v>
      </c>
      <c r="D120" s="353">
        <v>3</v>
      </c>
      <c r="E120" s="353">
        <v>5</v>
      </c>
      <c r="F120" s="353">
        <v>2</v>
      </c>
      <c r="G120" s="353">
        <v>6</v>
      </c>
      <c r="H120" s="353">
        <v>13</v>
      </c>
      <c r="I120" s="353">
        <v>32</v>
      </c>
      <c r="J120" s="353">
        <v>5.7</v>
      </c>
      <c r="K120" s="353">
        <v>0.19</v>
      </c>
      <c r="L120" s="353">
        <v>0.51</v>
      </c>
      <c r="M120" s="353">
        <v>4.4000000000000004</v>
      </c>
      <c r="N120" s="353">
        <v>1</v>
      </c>
      <c r="O120" s="353" t="s">
        <v>153</v>
      </c>
      <c r="P120" s="353">
        <v>2004</v>
      </c>
      <c r="Q120" t="s">
        <v>154</v>
      </c>
      <c r="R120" t="s">
        <v>1635</v>
      </c>
      <c r="S120" s="378" t="s">
        <v>171</v>
      </c>
      <c r="T120" s="378" t="s">
        <v>1022</v>
      </c>
    </row>
    <row r="121" spans="1:21" x14ac:dyDescent="0.2">
      <c r="A121" s="353">
        <v>502633</v>
      </c>
      <c r="B121" s="340" t="s">
        <v>254</v>
      </c>
      <c r="C121" s="353">
        <v>2</v>
      </c>
      <c r="D121" s="353">
        <v>1</v>
      </c>
      <c r="E121" s="353">
        <v>1</v>
      </c>
      <c r="F121" s="353">
        <v>1</v>
      </c>
      <c r="G121" s="353">
        <v>3</v>
      </c>
      <c r="H121" s="353">
        <v>8</v>
      </c>
      <c r="I121" s="353">
        <v>22</v>
      </c>
      <c r="J121" s="353">
        <v>4.0999999999999996</v>
      </c>
      <c r="K121" s="353">
        <v>0.19</v>
      </c>
      <c r="L121" s="353">
        <v>0.5</v>
      </c>
      <c r="M121" s="353">
        <v>2.5</v>
      </c>
      <c r="N121" s="353">
        <v>1.1000000000000001</v>
      </c>
      <c r="O121" s="353" t="s">
        <v>153</v>
      </c>
      <c r="P121" s="353">
        <v>2000</v>
      </c>
      <c r="Q121" t="s">
        <v>154</v>
      </c>
      <c r="R121" t="s">
        <v>1563</v>
      </c>
      <c r="S121" s="378" t="s">
        <v>191</v>
      </c>
      <c r="T121" s="378" t="s">
        <v>159</v>
      </c>
      <c r="U121" s="377" t="s">
        <v>162</v>
      </c>
    </row>
    <row r="122" spans="1:21" x14ac:dyDescent="0.2">
      <c r="A122" s="353">
        <v>855387</v>
      </c>
      <c r="B122" s="340" t="s">
        <v>302</v>
      </c>
      <c r="C122" s="353">
        <v>3</v>
      </c>
      <c r="D122" s="353">
        <v>1</v>
      </c>
      <c r="E122" s="353">
        <v>2</v>
      </c>
      <c r="F122" s="353">
        <v>1</v>
      </c>
      <c r="G122" s="353">
        <v>3</v>
      </c>
      <c r="H122" s="353">
        <v>8</v>
      </c>
      <c r="I122" s="353">
        <v>21</v>
      </c>
      <c r="J122" s="353">
        <v>3.8</v>
      </c>
      <c r="K122" s="353">
        <v>0.19</v>
      </c>
      <c r="L122" s="353">
        <v>0.51</v>
      </c>
      <c r="M122" s="353">
        <v>2.7</v>
      </c>
      <c r="N122" s="353">
        <v>1.1000000000000001</v>
      </c>
      <c r="O122" s="353" t="s">
        <v>153</v>
      </c>
      <c r="P122" s="353">
        <v>2004</v>
      </c>
      <c r="Q122" t="s">
        <v>154</v>
      </c>
      <c r="R122" t="s">
        <v>1634</v>
      </c>
      <c r="S122" s="378" t="s">
        <v>171</v>
      </c>
      <c r="T122" s="378" t="s">
        <v>159</v>
      </c>
    </row>
    <row r="123" spans="1:21" x14ac:dyDescent="0.2">
      <c r="A123" s="353">
        <v>524702</v>
      </c>
      <c r="B123" s="340" t="s">
        <v>913</v>
      </c>
      <c r="C123" s="353">
        <v>1</v>
      </c>
      <c r="D123" s="353">
        <v>1</v>
      </c>
      <c r="E123" s="353">
        <v>1</v>
      </c>
      <c r="F123" s="353">
        <v>0</v>
      </c>
      <c r="G123" s="353">
        <v>-1</v>
      </c>
      <c r="H123" s="353">
        <v>3</v>
      </c>
      <c r="I123" s="353">
        <v>10</v>
      </c>
      <c r="J123" s="353">
        <v>1.9</v>
      </c>
      <c r="K123" s="353">
        <v>0.19</v>
      </c>
      <c r="L123" s="353">
        <v>0.75</v>
      </c>
      <c r="M123" s="353">
        <v>2.8</v>
      </c>
      <c r="N123" s="353">
        <v>0.4</v>
      </c>
      <c r="O123" s="353" t="s">
        <v>153</v>
      </c>
      <c r="P123" s="353">
        <v>2016</v>
      </c>
      <c r="Q123" t="s">
        <v>154</v>
      </c>
      <c r="R123" t="s">
        <v>1490</v>
      </c>
      <c r="S123" s="378" t="s">
        <v>194</v>
      </c>
      <c r="T123" s="378" t="s">
        <v>1040</v>
      </c>
      <c r="U123" s="377" t="s">
        <v>162</v>
      </c>
    </row>
    <row r="124" spans="1:21" x14ac:dyDescent="0.2">
      <c r="A124" s="353">
        <v>120303</v>
      </c>
      <c r="B124" s="340" t="s">
        <v>959</v>
      </c>
      <c r="C124" s="353">
        <v>2</v>
      </c>
      <c r="D124" s="353">
        <v>0</v>
      </c>
      <c r="E124" s="353">
        <v>0</v>
      </c>
      <c r="F124" s="353">
        <v>1</v>
      </c>
      <c r="G124" s="353">
        <v>2</v>
      </c>
      <c r="H124" s="353">
        <v>2</v>
      </c>
      <c r="I124" s="353">
        <v>4</v>
      </c>
      <c r="J124" s="353">
        <v>0.9</v>
      </c>
      <c r="K124" s="353">
        <v>0.19</v>
      </c>
      <c r="L124" s="353">
        <v>0.4</v>
      </c>
      <c r="M124" s="353">
        <v>0.7</v>
      </c>
      <c r="N124" s="353">
        <v>1.4</v>
      </c>
      <c r="O124" s="353" t="s">
        <v>153</v>
      </c>
      <c r="P124" s="353">
        <v>2014</v>
      </c>
      <c r="Q124" t="s">
        <v>154</v>
      </c>
      <c r="R124" t="s">
        <v>1434</v>
      </c>
      <c r="S124" s="378" t="s">
        <v>229</v>
      </c>
      <c r="T124" s="378" t="s">
        <v>1044</v>
      </c>
      <c r="U124" s="377" t="s">
        <v>162</v>
      </c>
    </row>
    <row r="125" spans="1:21" x14ac:dyDescent="0.2">
      <c r="A125" s="353">
        <v>596429</v>
      </c>
      <c r="B125" s="340" t="s">
        <v>250</v>
      </c>
      <c r="C125" s="353">
        <v>11</v>
      </c>
      <c r="D125" s="353">
        <v>4</v>
      </c>
      <c r="E125" s="353">
        <v>7</v>
      </c>
      <c r="F125" s="353">
        <v>5</v>
      </c>
      <c r="G125" s="353">
        <v>15</v>
      </c>
      <c r="H125" s="353">
        <v>37</v>
      </c>
      <c r="I125" s="353"/>
      <c r="J125" s="353"/>
      <c r="K125" s="353">
        <v>0.19</v>
      </c>
      <c r="L125" s="353">
        <v>0.52</v>
      </c>
      <c r="M125" s="353">
        <v>11.8</v>
      </c>
      <c r="N125" s="353">
        <v>1</v>
      </c>
      <c r="O125" s="353" t="s">
        <v>153</v>
      </c>
      <c r="P125" s="353">
        <v>2014</v>
      </c>
      <c r="Q125" t="s">
        <v>154</v>
      </c>
      <c r="R125" t="s">
        <v>1879</v>
      </c>
      <c r="S125" s="378" t="s">
        <v>191</v>
      </c>
      <c r="T125" s="378" t="s">
        <v>1022</v>
      </c>
      <c r="U125" s="377" t="s">
        <v>162</v>
      </c>
    </row>
    <row r="126" spans="1:21" x14ac:dyDescent="0.2">
      <c r="A126" s="353">
        <v>789271</v>
      </c>
      <c r="B126" s="340" t="s">
        <v>230</v>
      </c>
      <c r="C126" s="353">
        <v>18</v>
      </c>
      <c r="D126" s="353">
        <v>2</v>
      </c>
      <c r="E126" s="353">
        <v>8</v>
      </c>
      <c r="F126" s="353">
        <v>4</v>
      </c>
      <c r="G126" s="353">
        <v>25</v>
      </c>
      <c r="H126" s="353">
        <v>50</v>
      </c>
      <c r="I126" s="353">
        <v>122</v>
      </c>
      <c r="J126" s="353">
        <v>17.3</v>
      </c>
      <c r="K126" s="353">
        <v>0.2</v>
      </c>
      <c r="L126" s="353">
        <v>0.56000000000000005</v>
      </c>
      <c r="M126" s="353">
        <v>14.1</v>
      </c>
      <c r="N126" s="353">
        <v>1.1000000000000001</v>
      </c>
      <c r="O126" s="353" t="s">
        <v>153</v>
      </c>
      <c r="P126" s="353">
        <v>2000</v>
      </c>
      <c r="Q126" t="s">
        <v>154</v>
      </c>
      <c r="R126" t="s">
        <v>1524</v>
      </c>
      <c r="S126" s="378" t="s">
        <v>171</v>
      </c>
      <c r="T126" s="378" t="s">
        <v>219</v>
      </c>
      <c r="U126" s="377" t="s">
        <v>162</v>
      </c>
    </row>
    <row r="127" spans="1:21" x14ac:dyDescent="0.2">
      <c r="A127" s="353">
        <v>723270</v>
      </c>
      <c r="B127" s="340" t="s">
        <v>1094</v>
      </c>
      <c r="C127" s="353">
        <v>8</v>
      </c>
      <c r="D127" s="353">
        <v>5</v>
      </c>
      <c r="E127" s="353">
        <v>8</v>
      </c>
      <c r="F127" s="353">
        <v>3</v>
      </c>
      <c r="G127" s="353">
        <v>13</v>
      </c>
      <c r="H127" s="353">
        <v>41</v>
      </c>
      <c r="I127" s="353">
        <v>114</v>
      </c>
      <c r="J127" s="353">
        <v>16.399999999999999</v>
      </c>
      <c r="K127" s="353">
        <v>0.2</v>
      </c>
      <c r="L127" s="353">
        <v>0.31</v>
      </c>
      <c r="M127" s="353">
        <v>12.3</v>
      </c>
      <c r="N127" s="353">
        <v>1</v>
      </c>
      <c r="O127" s="353" t="s">
        <v>293</v>
      </c>
      <c r="P127" s="353">
        <v>2017</v>
      </c>
      <c r="Q127" t="s">
        <v>68</v>
      </c>
      <c r="R127" t="s">
        <v>1640</v>
      </c>
      <c r="S127" s="378" t="s">
        <v>455</v>
      </c>
      <c r="T127" s="378" t="s">
        <v>181</v>
      </c>
      <c r="U127" s="377" t="s">
        <v>162</v>
      </c>
    </row>
    <row r="128" spans="1:21" x14ac:dyDescent="0.2">
      <c r="A128" s="353">
        <v>582791</v>
      </c>
      <c r="B128" s="340" t="s">
        <v>268</v>
      </c>
      <c r="C128" s="353">
        <v>11</v>
      </c>
      <c r="D128" s="353">
        <v>7</v>
      </c>
      <c r="E128" s="353">
        <v>10</v>
      </c>
      <c r="F128" s="353">
        <v>8</v>
      </c>
      <c r="G128" s="353">
        <v>9</v>
      </c>
      <c r="H128" s="353">
        <v>49</v>
      </c>
      <c r="I128" s="353">
        <v>113</v>
      </c>
      <c r="J128" s="353">
        <v>16.3</v>
      </c>
      <c r="K128" s="353">
        <v>0.2</v>
      </c>
      <c r="L128" s="353">
        <v>0.41</v>
      </c>
      <c r="M128" s="353">
        <v>15.3</v>
      </c>
      <c r="N128" s="353">
        <v>1</v>
      </c>
      <c r="O128" s="353" t="s">
        <v>153</v>
      </c>
      <c r="P128" s="353">
        <v>2000</v>
      </c>
      <c r="Q128" t="s">
        <v>154</v>
      </c>
      <c r="R128" t="s">
        <v>1212</v>
      </c>
      <c r="S128" s="378" t="s">
        <v>226</v>
      </c>
      <c r="T128" s="378" t="s">
        <v>201</v>
      </c>
      <c r="U128" s="377" t="s">
        <v>162</v>
      </c>
    </row>
    <row r="129" spans="1:21" x14ac:dyDescent="0.2">
      <c r="A129" s="353">
        <v>753442</v>
      </c>
      <c r="B129" s="340" t="s">
        <v>232</v>
      </c>
      <c r="C129" s="353">
        <v>18</v>
      </c>
      <c r="D129" s="353">
        <v>6</v>
      </c>
      <c r="E129" s="353">
        <v>9</v>
      </c>
      <c r="F129" s="353">
        <v>6</v>
      </c>
      <c r="G129" s="353">
        <v>20</v>
      </c>
      <c r="H129" s="353">
        <v>45</v>
      </c>
      <c r="I129" s="353">
        <v>111</v>
      </c>
      <c r="J129" s="353">
        <v>16.100000000000001</v>
      </c>
      <c r="K129" s="353">
        <v>0.2</v>
      </c>
      <c r="L129" s="353">
        <v>0.56000000000000005</v>
      </c>
      <c r="M129" s="353">
        <v>13.6</v>
      </c>
      <c r="N129" s="353">
        <v>1</v>
      </c>
      <c r="O129" s="353" t="s">
        <v>153</v>
      </c>
      <c r="P129" s="353">
        <v>2000</v>
      </c>
      <c r="Q129" t="s">
        <v>154</v>
      </c>
      <c r="R129" t="s">
        <v>1525</v>
      </c>
      <c r="S129" s="378" t="s">
        <v>171</v>
      </c>
      <c r="T129" s="378" t="s">
        <v>181</v>
      </c>
    </row>
    <row r="130" spans="1:21" x14ac:dyDescent="0.2">
      <c r="A130" s="353">
        <v>635623</v>
      </c>
      <c r="B130" s="340" t="s">
        <v>274</v>
      </c>
      <c r="C130" s="353">
        <v>11</v>
      </c>
      <c r="D130" s="353">
        <v>4</v>
      </c>
      <c r="E130" s="353">
        <v>7</v>
      </c>
      <c r="F130" s="353">
        <v>3</v>
      </c>
      <c r="G130" s="353">
        <v>15</v>
      </c>
      <c r="H130" s="353">
        <v>38</v>
      </c>
      <c r="I130" s="353">
        <v>98</v>
      </c>
      <c r="J130" s="353">
        <v>14.7</v>
      </c>
      <c r="K130" s="353">
        <v>0.2</v>
      </c>
      <c r="L130" s="353">
        <v>0.52</v>
      </c>
      <c r="M130" s="353">
        <v>12.7</v>
      </c>
      <c r="N130" s="353">
        <v>0.9</v>
      </c>
      <c r="O130" s="353" t="s">
        <v>153</v>
      </c>
      <c r="P130" s="353">
        <v>2000</v>
      </c>
      <c r="Q130" t="s">
        <v>154</v>
      </c>
      <c r="R130" t="s">
        <v>1365</v>
      </c>
      <c r="S130" s="378" t="s">
        <v>173</v>
      </c>
      <c r="T130" s="378" t="s">
        <v>1022</v>
      </c>
      <c r="U130" s="377" t="s">
        <v>162</v>
      </c>
    </row>
    <row r="131" spans="1:21" x14ac:dyDescent="0.2">
      <c r="A131" s="353">
        <v>832360</v>
      </c>
      <c r="B131" s="340" t="s">
        <v>275</v>
      </c>
      <c r="C131" s="353">
        <v>11</v>
      </c>
      <c r="D131" s="353">
        <v>4</v>
      </c>
      <c r="E131" s="353">
        <v>7</v>
      </c>
      <c r="F131" s="353">
        <v>3</v>
      </c>
      <c r="G131" s="353">
        <v>15</v>
      </c>
      <c r="H131" s="353">
        <v>37</v>
      </c>
      <c r="I131" s="353">
        <v>98</v>
      </c>
      <c r="J131" s="353">
        <v>14.6</v>
      </c>
      <c r="K131" s="353">
        <v>0.2</v>
      </c>
      <c r="L131" s="353">
        <v>0.52</v>
      </c>
      <c r="M131" s="353">
        <v>12.7</v>
      </c>
      <c r="N131" s="353">
        <v>0.9</v>
      </c>
      <c r="O131" s="353" t="s">
        <v>153</v>
      </c>
      <c r="P131" s="353">
        <v>2001</v>
      </c>
      <c r="Q131" t="s">
        <v>154</v>
      </c>
      <c r="R131" t="s">
        <v>1249</v>
      </c>
      <c r="S131" s="378" t="s">
        <v>173</v>
      </c>
      <c r="T131" s="378" t="s">
        <v>1022</v>
      </c>
      <c r="U131" s="377" t="s">
        <v>162</v>
      </c>
    </row>
    <row r="132" spans="1:21" x14ac:dyDescent="0.2">
      <c r="A132" s="353">
        <v>671453</v>
      </c>
      <c r="B132" s="340" t="s">
        <v>280</v>
      </c>
      <c r="C132" s="353">
        <v>11</v>
      </c>
      <c r="D132" s="353">
        <v>3</v>
      </c>
      <c r="E132" s="353">
        <v>6</v>
      </c>
      <c r="F132" s="353">
        <v>3</v>
      </c>
      <c r="G132" s="353">
        <v>15</v>
      </c>
      <c r="H132" s="353">
        <v>37</v>
      </c>
      <c r="I132" s="353">
        <v>97</v>
      </c>
      <c r="J132" s="353">
        <v>14.6</v>
      </c>
      <c r="K132" s="353">
        <v>0.2</v>
      </c>
      <c r="L132" s="353">
        <v>0.53</v>
      </c>
      <c r="M132" s="353">
        <v>12.6</v>
      </c>
      <c r="N132" s="353">
        <v>0.9</v>
      </c>
      <c r="O132" s="353" t="s">
        <v>153</v>
      </c>
      <c r="P132" s="353">
        <v>2000</v>
      </c>
      <c r="Q132" t="s">
        <v>154</v>
      </c>
      <c r="R132" t="s">
        <v>1366</v>
      </c>
      <c r="S132" s="378" t="s">
        <v>173</v>
      </c>
      <c r="T132" s="378" t="s">
        <v>1022</v>
      </c>
      <c r="U132" s="377" t="s">
        <v>162</v>
      </c>
    </row>
    <row r="133" spans="1:21" x14ac:dyDescent="0.2">
      <c r="A133" s="353">
        <v>707281</v>
      </c>
      <c r="B133" s="340" t="s">
        <v>272</v>
      </c>
      <c r="C133" s="353">
        <v>10</v>
      </c>
      <c r="D133" s="353">
        <v>3</v>
      </c>
      <c r="E133" s="353">
        <v>6</v>
      </c>
      <c r="F133" s="353">
        <v>3</v>
      </c>
      <c r="G133" s="353">
        <v>14</v>
      </c>
      <c r="H133" s="353">
        <v>36</v>
      </c>
      <c r="I133" s="353">
        <v>96</v>
      </c>
      <c r="J133" s="353">
        <v>14.5</v>
      </c>
      <c r="K133" s="353">
        <v>0.2</v>
      </c>
      <c r="L133" s="353">
        <v>0.53</v>
      </c>
      <c r="M133" s="353">
        <v>12.6</v>
      </c>
      <c r="N133" s="353">
        <v>0.9</v>
      </c>
      <c r="O133" s="353" t="s">
        <v>153</v>
      </c>
      <c r="P133" s="353">
        <v>2000</v>
      </c>
      <c r="Q133" t="s">
        <v>154</v>
      </c>
      <c r="R133" t="s">
        <v>1367</v>
      </c>
      <c r="S133" s="378" t="s">
        <v>173</v>
      </c>
      <c r="T133" s="378" t="s">
        <v>1022</v>
      </c>
      <c r="U133" s="377" t="s">
        <v>162</v>
      </c>
    </row>
    <row r="134" spans="1:21" x14ac:dyDescent="0.2">
      <c r="A134" s="353">
        <v>743112</v>
      </c>
      <c r="B134" s="340" t="s">
        <v>271</v>
      </c>
      <c r="C134" s="353">
        <v>9</v>
      </c>
      <c r="D134" s="353">
        <v>3</v>
      </c>
      <c r="E134" s="353">
        <v>5</v>
      </c>
      <c r="F134" s="353">
        <v>3</v>
      </c>
      <c r="G134" s="353">
        <v>13</v>
      </c>
      <c r="H134" s="353">
        <v>34</v>
      </c>
      <c r="I134" s="353">
        <v>93</v>
      </c>
      <c r="J134" s="353">
        <v>14.1</v>
      </c>
      <c r="K134" s="353">
        <v>0.2</v>
      </c>
      <c r="L134" s="353">
        <v>0.53</v>
      </c>
      <c r="M134" s="353">
        <v>12.3</v>
      </c>
      <c r="N134" s="353">
        <v>0.9</v>
      </c>
      <c r="O134" s="353" t="s">
        <v>153</v>
      </c>
      <c r="P134" s="353">
        <v>2000</v>
      </c>
      <c r="Q134" t="s">
        <v>154</v>
      </c>
      <c r="R134" t="s">
        <v>1368</v>
      </c>
      <c r="S134" s="378" t="s">
        <v>173</v>
      </c>
      <c r="T134" s="378" t="s">
        <v>1022</v>
      </c>
      <c r="U134" s="377" t="s">
        <v>162</v>
      </c>
    </row>
    <row r="135" spans="1:21" x14ac:dyDescent="0.2">
      <c r="A135" s="353">
        <v>290072</v>
      </c>
      <c r="B135" s="340" t="s">
        <v>243</v>
      </c>
      <c r="C135" s="353">
        <v>14</v>
      </c>
      <c r="D135" s="353">
        <v>2</v>
      </c>
      <c r="E135" s="353">
        <v>8</v>
      </c>
      <c r="F135" s="353">
        <v>3</v>
      </c>
      <c r="G135" s="353">
        <v>19</v>
      </c>
      <c r="H135" s="353">
        <v>31</v>
      </c>
      <c r="I135" s="353">
        <v>89</v>
      </c>
      <c r="J135" s="353">
        <v>13.6</v>
      </c>
      <c r="K135" s="353">
        <v>0.2</v>
      </c>
      <c r="L135" s="353">
        <v>0.31</v>
      </c>
      <c r="M135" s="353">
        <v>13.2</v>
      </c>
      <c r="N135" s="353">
        <v>0.8</v>
      </c>
      <c r="O135" s="353" t="s">
        <v>153</v>
      </c>
      <c r="P135" s="353">
        <v>2000</v>
      </c>
      <c r="Q135" t="s">
        <v>154</v>
      </c>
      <c r="R135" t="s">
        <v>1267</v>
      </c>
      <c r="S135" s="378" t="s">
        <v>244</v>
      </c>
      <c r="T135" s="378" t="s">
        <v>219</v>
      </c>
    </row>
    <row r="136" spans="1:21" x14ac:dyDescent="0.2">
      <c r="A136" s="353">
        <v>964171</v>
      </c>
      <c r="B136" s="340" t="s">
        <v>242</v>
      </c>
      <c r="C136" s="353">
        <v>19</v>
      </c>
      <c r="D136" s="353">
        <v>4</v>
      </c>
      <c r="E136" s="353">
        <v>8</v>
      </c>
      <c r="F136" s="353">
        <v>8</v>
      </c>
      <c r="G136" s="353">
        <v>22</v>
      </c>
      <c r="H136" s="353">
        <v>37</v>
      </c>
      <c r="I136" s="353">
        <v>88</v>
      </c>
      <c r="J136" s="353">
        <v>13.5</v>
      </c>
      <c r="K136" s="353">
        <v>0.2</v>
      </c>
      <c r="L136" s="353">
        <v>0.56000000000000005</v>
      </c>
      <c r="M136" s="353">
        <v>12.9</v>
      </c>
      <c r="N136" s="353">
        <v>0.9</v>
      </c>
      <c r="O136" s="353" t="s">
        <v>153</v>
      </c>
      <c r="P136" s="353">
        <v>2000</v>
      </c>
      <c r="Q136" t="s">
        <v>154</v>
      </c>
      <c r="R136" t="s">
        <v>1613</v>
      </c>
      <c r="S136" s="378" t="s">
        <v>171</v>
      </c>
      <c r="T136" s="378" t="s">
        <v>215</v>
      </c>
    </row>
    <row r="137" spans="1:21" x14ac:dyDescent="0.2">
      <c r="A137" s="353">
        <v>654459</v>
      </c>
      <c r="B137" s="340" t="s">
        <v>266</v>
      </c>
      <c r="C137" s="353">
        <v>14</v>
      </c>
      <c r="D137" s="353">
        <v>3</v>
      </c>
      <c r="E137" s="353">
        <v>7</v>
      </c>
      <c r="F137" s="353">
        <v>5</v>
      </c>
      <c r="G137" s="353">
        <v>18</v>
      </c>
      <c r="H137" s="353">
        <v>31</v>
      </c>
      <c r="I137" s="353">
        <v>80</v>
      </c>
      <c r="J137" s="353">
        <v>12.5</v>
      </c>
      <c r="K137" s="353">
        <v>0.2</v>
      </c>
      <c r="L137" s="353">
        <v>0.4</v>
      </c>
      <c r="M137" s="353">
        <v>13.7</v>
      </c>
      <c r="N137" s="353">
        <v>0.7</v>
      </c>
      <c r="O137" s="353" t="s">
        <v>153</v>
      </c>
      <c r="P137" s="353">
        <v>2000</v>
      </c>
      <c r="Q137" t="s">
        <v>154</v>
      </c>
      <c r="R137" t="s">
        <v>1798</v>
      </c>
      <c r="S137" s="378" t="s">
        <v>226</v>
      </c>
      <c r="T137" s="378" t="s">
        <v>215</v>
      </c>
      <c r="U137" s="377" t="s">
        <v>162</v>
      </c>
    </row>
    <row r="138" spans="1:21" x14ac:dyDescent="0.2">
      <c r="A138" s="353">
        <v>469817</v>
      </c>
      <c r="B138" s="340" t="s">
        <v>278</v>
      </c>
      <c r="C138" s="353">
        <v>0</v>
      </c>
      <c r="D138" s="353">
        <v>0</v>
      </c>
      <c r="E138" s="353">
        <v>1</v>
      </c>
      <c r="F138" s="353">
        <v>0</v>
      </c>
      <c r="G138" s="353">
        <v>0</v>
      </c>
      <c r="H138" s="353">
        <v>8</v>
      </c>
      <c r="I138" s="353">
        <v>10</v>
      </c>
      <c r="J138" s="353">
        <v>2</v>
      </c>
      <c r="K138" s="353">
        <v>0.2</v>
      </c>
      <c r="L138" s="353">
        <v>0.6</v>
      </c>
      <c r="M138" s="353">
        <v>4.8</v>
      </c>
      <c r="N138" s="353">
        <v>0.6</v>
      </c>
      <c r="O138" s="353" t="s">
        <v>153</v>
      </c>
      <c r="P138" s="353">
        <v>2001</v>
      </c>
      <c r="Q138" t="s">
        <v>154</v>
      </c>
      <c r="R138" t="s">
        <v>1496</v>
      </c>
      <c r="S138" s="378" t="s">
        <v>226</v>
      </c>
      <c r="T138" s="378" t="s">
        <v>1040</v>
      </c>
      <c r="U138" s="377" t="s">
        <v>162</v>
      </c>
    </row>
    <row r="139" spans="1:21" x14ac:dyDescent="0.2">
      <c r="A139" s="353">
        <v>726117</v>
      </c>
      <c r="B139" s="340" t="s">
        <v>277</v>
      </c>
      <c r="C139" s="353">
        <v>0</v>
      </c>
      <c r="D139" s="353">
        <v>0</v>
      </c>
      <c r="E139" s="353">
        <v>0</v>
      </c>
      <c r="F139" s="353">
        <v>0</v>
      </c>
      <c r="G139" s="353">
        <v>-1</v>
      </c>
      <c r="H139" s="353">
        <v>3</v>
      </c>
      <c r="I139" s="353">
        <v>10</v>
      </c>
      <c r="J139" s="353">
        <v>1.9</v>
      </c>
      <c r="K139" s="353">
        <v>0.2</v>
      </c>
      <c r="L139" s="353">
        <v>0.6</v>
      </c>
      <c r="M139" s="353">
        <v>2</v>
      </c>
      <c r="N139" s="353">
        <v>0.7</v>
      </c>
      <c r="O139" s="353" t="s">
        <v>153</v>
      </c>
      <c r="P139" s="353">
        <v>2000</v>
      </c>
      <c r="Q139" t="s">
        <v>154</v>
      </c>
      <c r="R139" t="s">
        <v>1592</v>
      </c>
      <c r="S139" s="378" t="s">
        <v>226</v>
      </c>
      <c r="T139" s="378" t="s">
        <v>1040</v>
      </c>
      <c r="U139" s="377" t="s">
        <v>162</v>
      </c>
    </row>
    <row r="140" spans="1:21" x14ac:dyDescent="0.2">
      <c r="A140" s="353">
        <v>969246</v>
      </c>
      <c r="B140" s="340" t="s">
        <v>993</v>
      </c>
      <c r="C140" s="353">
        <v>10</v>
      </c>
      <c r="D140" s="353">
        <v>4</v>
      </c>
      <c r="E140" s="353">
        <v>7</v>
      </c>
      <c r="F140" s="353">
        <v>3</v>
      </c>
      <c r="G140" s="353">
        <v>14</v>
      </c>
      <c r="H140" s="353"/>
      <c r="I140" s="353"/>
      <c r="J140" s="353"/>
      <c r="K140" s="353">
        <v>0.2</v>
      </c>
      <c r="L140" s="353">
        <v>0.52</v>
      </c>
      <c r="M140" s="353"/>
      <c r="N140" s="353"/>
      <c r="O140" s="353" t="s">
        <v>153</v>
      </c>
      <c r="P140" s="353">
        <v>2016</v>
      </c>
      <c r="Q140" t="s">
        <v>154</v>
      </c>
      <c r="R140" t="s">
        <v>1253</v>
      </c>
      <c r="S140" s="378" t="s">
        <v>173</v>
      </c>
      <c r="T140" s="378" t="s">
        <v>1022</v>
      </c>
      <c r="U140" s="377" t="s">
        <v>162</v>
      </c>
    </row>
    <row r="141" spans="1:21" x14ac:dyDescent="0.2">
      <c r="A141" s="353">
        <v>292193</v>
      </c>
      <c r="B141" s="340" t="s">
        <v>256</v>
      </c>
      <c r="C141" s="353">
        <v>15</v>
      </c>
      <c r="D141" s="353">
        <v>3</v>
      </c>
      <c r="E141" s="353">
        <v>7</v>
      </c>
      <c r="F141" s="353">
        <v>3</v>
      </c>
      <c r="G141" s="353">
        <v>21</v>
      </c>
      <c r="H141" s="353">
        <v>38</v>
      </c>
      <c r="I141" s="353"/>
      <c r="J141" s="353"/>
      <c r="K141" s="353">
        <v>0.2</v>
      </c>
      <c r="L141" s="353">
        <v>0.4</v>
      </c>
      <c r="M141" s="353">
        <v>13.4</v>
      </c>
      <c r="N141" s="353">
        <v>0.9</v>
      </c>
      <c r="O141" s="353" t="s">
        <v>153</v>
      </c>
      <c r="P141" s="353">
        <v>2013</v>
      </c>
      <c r="Q141" t="s">
        <v>154</v>
      </c>
      <c r="R141" t="s">
        <v>1270</v>
      </c>
      <c r="S141" s="378" t="s">
        <v>226</v>
      </c>
      <c r="T141" s="378" t="s">
        <v>219</v>
      </c>
      <c r="U141" s="377" t="s">
        <v>162</v>
      </c>
    </row>
    <row r="142" spans="1:21" x14ac:dyDescent="0.2">
      <c r="A142" s="353">
        <v>874503</v>
      </c>
      <c r="B142" s="340" t="s">
        <v>972</v>
      </c>
      <c r="C142" s="353">
        <v>13</v>
      </c>
      <c r="D142" s="353">
        <v>1</v>
      </c>
      <c r="E142" s="353">
        <v>5</v>
      </c>
      <c r="F142" s="353">
        <v>3</v>
      </c>
      <c r="G142" s="353">
        <v>17</v>
      </c>
      <c r="H142" s="353"/>
      <c r="I142" s="353"/>
      <c r="J142" s="353"/>
      <c r="K142" s="353">
        <v>0.2</v>
      </c>
      <c r="L142" s="353">
        <v>0.3</v>
      </c>
      <c r="M142" s="353"/>
      <c r="N142" s="353"/>
      <c r="O142" s="353" t="s">
        <v>153</v>
      </c>
      <c r="P142" s="353">
        <v>2016</v>
      </c>
      <c r="Q142" t="s">
        <v>154</v>
      </c>
      <c r="R142" t="s">
        <v>1315</v>
      </c>
      <c r="S142" s="378" t="s">
        <v>244</v>
      </c>
      <c r="T142" s="378" t="s">
        <v>219</v>
      </c>
    </row>
    <row r="143" spans="1:21" x14ac:dyDescent="0.2">
      <c r="A143" s="353">
        <v>105072</v>
      </c>
      <c r="B143" s="340" t="s">
        <v>995</v>
      </c>
      <c r="C143" s="353">
        <v>11</v>
      </c>
      <c r="D143" s="353">
        <v>4</v>
      </c>
      <c r="E143" s="353">
        <v>7</v>
      </c>
      <c r="F143" s="353">
        <v>3</v>
      </c>
      <c r="G143" s="353">
        <v>14</v>
      </c>
      <c r="H143" s="353"/>
      <c r="I143" s="353"/>
      <c r="J143" s="353"/>
      <c r="K143" s="353">
        <v>0.2</v>
      </c>
      <c r="L143" s="353">
        <v>0.52</v>
      </c>
      <c r="M143" s="353"/>
      <c r="N143" s="353"/>
      <c r="O143" s="353" t="s">
        <v>153</v>
      </c>
      <c r="P143" s="353">
        <v>2016</v>
      </c>
      <c r="Q143" t="s">
        <v>154</v>
      </c>
      <c r="R143" t="s">
        <v>1356</v>
      </c>
      <c r="S143" s="378" t="s">
        <v>173</v>
      </c>
      <c r="T143" s="378" t="s">
        <v>1022</v>
      </c>
      <c r="U143" s="377" t="s">
        <v>162</v>
      </c>
    </row>
    <row r="144" spans="1:21" x14ac:dyDescent="0.2">
      <c r="A144" s="353">
        <v>140905</v>
      </c>
      <c r="B144" s="340" t="s">
        <v>994</v>
      </c>
      <c r="C144" s="353">
        <v>11</v>
      </c>
      <c r="D144" s="353">
        <v>4</v>
      </c>
      <c r="E144" s="353">
        <v>7</v>
      </c>
      <c r="F144" s="353">
        <v>3</v>
      </c>
      <c r="G144" s="353">
        <v>15</v>
      </c>
      <c r="H144" s="353"/>
      <c r="I144" s="353"/>
      <c r="J144" s="353"/>
      <c r="K144" s="353">
        <v>0.2</v>
      </c>
      <c r="L144" s="353">
        <v>0.52</v>
      </c>
      <c r="M144" s="353"/>
      <c r="N144" s="353"/>
      <c r="O144" s="353" t="s">
        <v>153</v>
      </c>
      <c r="P144" s="353">
        <v>2016</v>
      </c>
      <c r="Q144" t="s">
        <v>154</v>
      </c>
      <c r="R144" t="s">
        <v>1357</v>
      </c>
      <c r="S144" s="378" t="s">
        <v>173</v>
      </c>
      <c r="T144" s="378" t="s">
        <v>1022</v>
      </c>
      <c r="U144" s="377" t="s">
        <v>162</v>
      </c>
    </row>
    <row r="145" spans="1:21" x14ac:dyDescent="0.2">
      <c r="A145" s="353">
        <v>971077</v>
      </c>
      <c r="B145" s="340" t="s">
        <v>945</v>
      </c>
      <c r="C145" s="353">
        <v>20</v>
      </c>
      <c r="D145" s="353">
        <v>5</v>
      </c>
      <c r="E145" s="353">
        <v>7</v>
      </c>
      <c r="F145" s="353">
        <v>9</v>
      </c>
      <c r="G145" s="353">
        <v>15</v>
      </c>
      <c r="H145" s="353"/>
      <c r="I145" s="353"/>
      <c r="J145" s="353"/>
      <c r="K145" s="353">
        <v>0.2</v>
      </c>
      <c r="L145" s="353">
        <v>0.56000000000000005</v>
      </c>
      <c r="M145" s="353"/>
      <c r="N145" s="353"/>
      <c r="O145" s="353" t="s">
        <v>153</v>
      </c>
      <c r="P145" s="353">
        <v>2016</v>
      </c>
      <c r="Q145" t="s">
        <v>154</v>
      </c>
      <c r="R145" t="s">
        <v>1363</v>
      </c>
      <c r="S145" s="378" t="s">
        <v>178</v>
      </c>
      <c r="T145" s="378" t="s">
        <v>295</v>
      </c>
      <c r="U145" s="377" t="s">
        <v>162</v>
      </c>
    </row>
    <row r="146" spans="1:21" x14ac:dyDescent="0.2">
      <c r="A146" s="353">
        <v>434274</v>
      </c>
      <c r="B146" s="340" t="s">
        <v>952</v>
      </c>
      <c r="C146" s="353">
        <v>22</v>
      </c>
      <c r="D146" s="353">
        <v>6</v>
      </c>
      <c r="E146" s="353">
        <v>9</v>
      </c>
      <c r="F146" s="353">
        <v>10</v>
      </c>
      <c r="G146" s="353">
        <v>17</v>
      </c>
      <c r="H146" s="353">
        <v>31</v>
      </c>
      <c r="I146" s="353"/>
      <c r="J146" s="353"/>
      <c r="K146" s="353">
        <v>0.2</v>
      </c>
      <c r="L146" s="353">
        <v>0.47</v>
      </c>
      <c r="M146" s="353">
        <v>14.5</v>
      </c>
      <c r="N146" s="353">
        <v>0.7</v>
      </c>
      <c r="O146" s="353" t="s">
        <v>153</v>
      </c>
      <c r="P146" s="353">
        <v>2014</v>
      </c>
      <c r="Q146" t="s">
        <v>154</v>
      </c>
      <c r="R146" t="s">
        <v>1427</v>
      </c>
      <c r="S146" s="378" t="s">
        <v>173</v>
      </c>
      <c r="T146" s="378" t="s">
        <v>295</v>
      </c>
      <c r="U146" s="377" t="s">
        <v>162</v>
      </c>
    </row>
    <row r="147" spans="1:21" x14ac:dyDescent="0.2">
      <c r="A147" s="353">
        <v>874560</v>
      </c>
      <c r="B147" s="340" t="s">
        <v>262</v>
      </c>
      <c r="C147" s="353">
        <v>3</v>
      </c>
      <c r="D147" s="353">
        <v>0</v>
      </c>
      <c r="E147" s="353">
        <v>1</v>
      </c>
      <c r="F147" s="353">
        <v>1</v>
      </c>
      <c r="G147" s="353">
        <v>3</v>
      </c>
      <c r="H147" s="353">
        <v>5</v>
      </c>
      <c r="I147" s="353"/>
      <c r="J147" s="353"/>
      <c r="K147" s="353">
        <v>0.2</v>
      </c>
      <c r="L147" s="353">
        <v>0.81</v>
      </c>
      <c r="M147" s="353">
        <v>2.6</v>
      </c>
      <c r="N147" s="353">
        <v>0.7</v>
      </c>
      <c r="O147" s="353" t="s">
        <v>153</v>
      </c>
      <c r="P147" s="353">
        <v>2014</v>
      </c>
      <c r="Q147" t="s">
        <v>154</v>
      </c>
      <c r="R147" t="s">
        <v>1560</v>
      </c>
      <c r="S147" s="378" t="s">
        <v>173</v>
      </c>
      <c r="T147" s="378" t="s">
        <v>1044</v>
      </c>
      <c r="U147" s="377" t="s">
        <v>162</v>
      </c>
    </row>
    <row r="148" spans="1:21" x14ac:dyDescent="0.2">
      <c r="A148" s="353">
        <v>256362</v>
      </c>
      <c r="B148" s="340" t="s">
        <v>265</v>
      </c>
      <c r="C148" s="353">
        <v>7</v>
      </c>
      <c r="D148" s="353">
        <v>5</v>
      </c>
      <c r="E148" s="353">
        <v>8</v>
      </c>
      <c r="F148" s="353">
        <v>3</v>
      </c>
      <c r="G148" s="353">
        <v>13</v>
      </c>
      <c r="H148" s="353">
        <v>49</v>
      </c>
      <c r="I148" s="353"/>
      <c r="J148" s="353"/>
      <c r="K148" s="353">
        <v>0.2</v>
      </c>
      <c r="L148" s="353">
        <v>0.41</v>
      </c>
      <c r="M148" s="353">
        <v>14</v>
      </c>
      <c r="N148" s="353">
        <v>1</v>
      </c>
      <c r="O148" s="353" t="s">
        <v>153</v>
      </c>
      <c r="P148" s="353">
        <v>2013</v>
      </c>
      <c r="Q148" t="s">
        <v>154</v>
      </c>
      <c r="R148" t="s">
        <v>1952</v>
      </c>
      <c r="S148" s="378" t="s">
        <v>226</v>
      </c>
      <c r="T148" s="378" t="s">
        <v>1047</v>
      </c>
      <c r="U148" s="377" t="s">
        <v>162</v>
      </c>
    </row>
    <row r="149" spans="1:21" x14ac:dyDescent="0.2">
      <c r="A149" s="353">
        <v>269357</v>
      </c>
      <c r="B149" s="340" t="s">
        <v>257</v>
      </c>
      <c r="C149" s="353">
        <v>13</v>
      </c>
      <c r="D149" s="353">
        <v>1</v>
      </c>
      <c r="E149" s="353">
        <v>3</v>
      </c>
      <c r="F149" s="353">
        <v>1</v>
      </c>
      <c r="G149" s="353">
        <v>17</v>
      </c>
      <c r="H149" s="353">
        <v>78</v>
      </c>
      <c r="I149" s="353">
        <v>182</v>
      </c>
      <c r="J149" s="353">
        <v>23</v>
      </c>
      <c r="K149" s="353">
        <v>0.21</v>
      </c>
      <c r="L149" s="353">
        <v>0.61</v>
      </c>
      <c r="M149" s="353">
        <v>14.9</v>
      </c>
      <c r="N149" s="353">
        <v>1.4</v>
      </c>
      <c r="O149" s="353" t="s">
        <v>153</v>
      </c>
      <c r="P149" s="353">
        <v>2004</v>
      </c>
      <c r="Q149" t="s">
        <v>154</v>
      </c>
      <c r="R149" t="s">
        <v>1194</v>
      </c>
      <c r="S149" s="378" t="s">
        <v>168</v>
      </c>
      <c r="T149" s="378" t="s">
        <v>258</v>
      </c>
      <c r="U149" s="377" t="s">
        <v>162</v>
      </c>
    </row>
    <row r="150" spans="1:21" x14ac:dyDescent="0.2">
      <c r="A150" s="353">
        <v>893396</v>
      </c>
      <c r="B150" s="340" t="s">
        <v>270</v>
      </c>
      <c r="C150" s="353">
        <v>12</v>
      </c>
      <c r="D150" s="353">
        <v>2</v>
      </c>
      <c r="E150" s="353">
        <v>6</v>
      </c>
      <c r="F150" s="353">
        <v>2</v>
      </c>
      <c r="G150" s="353">
        <v>17</v>
      </c>
      <c r="H150" s="353">
        <v>39</v>
      </c>
      <c r="I150" s="353">
        <v>105</v>
      </c>
      <c r="J150" s="353">
        <v>15.4</v>
      </c>
      <c r="K150" s="353">
        <v>0.21</v>
      </c>
      <c r="L150" s="353">
        <v>0.6</v>
      </c>
      <c r="M150" s="353">
        <v>13.1</v>
      </c>
      <c r="N150" s="353">
        <v>0.9</v>
      </c>
      <c r="O150" s="353" t="s">
        <v>153</v>
      </c>
      <c r="P150" s="353">
        <v>2013</v>
      </c>
      <c r="Q150" t="s">
        <v>154</v>
      </c>
      <c r="R150" t="s">
        <v>1316</v>
      </c>
      <c r="S150" s="378" t="s">
        <v>888</v>
      </c>
      <c r="T150" s="378" t="s">
        <v>219</v>
      </c>
      <c r="U150" s="377" t="s">
        <v>162</v>
      </c>
    </row>
    <row r="151" spans="1:21" x14ac:dyDescent="0.2">
      <c r="A151" s="353">
        <v>889204</v>
      </c>
      <c r="B151" s="340" t="s">
        <v>252</v>
      </c>
      <c r="C151" s="353">
        <v>12</v>
      </c>
      <c r="D151" s="353">
        <v>5</v>
      </c>
      <c r="E151" s="353">
        <v>8</v>
      </c>
      <c r="F151" s="353">
        <v>5</v>
      </c>
      <c r="G151" s="353">
        <v>15</v>
      </c>
      <c r="H151" s="353">
        <v>45</v>
      </c>
      <c r="I151" s="353">
        <v>102</v>
      </c>
      <c r="J151" s="353">
        <v>15.1</v>
      </c>
      <c r="K151" s="353">
        <v>0.21</v>
      </c>
      <c r="L151" s="353">
        <v>0.49</v>
      </c>
      <c r="M151" s="353">
        <v>13.2</v>
      </c>
      <c r="N151" s="353">
        <v>1</v>
      </c>
      <c r="O151" s="353" t="s">
        <v>153</v>
      </c>
      <c r="P151" s="353">
        <v>2011</v>
      </c>
      <c r="Q151" t="s">
        <v>154</v>
      </c>
      <c r="R151" t="s">
        <v>1505</v>
      </c>
      <c r="S151" s="378" t="s">
        <v>247</v>
      </c>
      <c r="T151" s="378" t="s">
        <v>1024</v>
      </c>
    </row>
    <row r="152" spans="1:21" x14ac:dyDescent="0.2">
      <c r="A152" s="353">
        <v>829358</v>
      </c>
      <c r="B152" s="340" t="s">
        <v>260</v>
      </c>
      <c r="C152" s="353">
        <v>8</v>
      </c>
      <c r="D152" s="353">
        <v>3</v>
      </c>
      <c r="E152" s="353">
        <v>6</v>
      </c>
      <c r="F152" s="353">
        <v>1</v>
      </c>
      <c r="G152" s="353">
        <v>12</v>
      </c>
      <c r="H152" s="353">
        <v>36</v>
      </c>
      <c r="I152" s="353">
        <v>102</v>
      </c>
      <c r="J152" s="353">
        <v>15</v>
      </c>
      <c r="K152" s="353">
        <v>0.21</v>
      </c>
      <c r="L152" s="353">
        <v>0.5</v>
      </c>
      <c r="M152" s="353">
        <v>11.1</v>
      </c>
      <c r="N152" s="353">
        <v>1</v>
      </c>
      <c r="O152" s="353" t="s">
        <v>153</v>
      </c>
      <c r="P152" s="353">
        <v>2000</v>
      </c>
      <c r="Q152" t="s">
        <v>154</v>
      </c>
      <c r="R152" t="s">
        <v>1248</v>
      </c>
      <c r="S152" s="378" t="s">
        <v>209</v>
      </c>
      <c r="T152" s="378" t="s">
        <v>1022</v>
      </c>
      <c r="U152" s="377" t="s">
        <v>162</v>
      </c>
    </row>
    <row r="153" spans="1:21" x14ac:dyDescent="0.2">
      <c r="A153" s="353">
        <v>901017</v>
      </c>
      <c r="B153" s="340" t="s">
        <v>259</v>
      </c>
      <c r="C153" s="353">
        <v>7</v>
      </c>
      <c r="D153" s="353">
        <v>3</v>
      </c>
      <c r="E153" s="353">
        <v>6</v>
      </c>
      <c r="F153" s="353">
        <v>1</v>
      </c>
      <c r="G153" s="353">
        <v>11</v>
      </c>
      <c r="H153" s="353">
        <v>34</v>
      </c>
      <c r="I153" s="353">
        <v>99</v>
      </c>
      <c r="J153" s="353">
        <v>14.8</v>
      </c>
      <c r="K153" s="353">
        <v>0.21</v>
      </c>
      <c r="L153" s="353">
        <v>0.5</v>
      </c>
      <c r="M153" s="353">
        <v>10.8</v>
      </c>
      <c r="N153" s="353">
        <v>1</v>
      </c>
      <c r="O153" s="353" t="s">
        <v>153</v>
      </c>
      <c r="P153" s="353">
        <v>2000</v>
      </c>
      <c r="Q153" t="s">
        <v>154</v>
      </c>
      <c r="R153" t="s">
        <v>1921</v>
      </c>
      <c r="S153" s="378" t="s">
        <v>209</v>
      </c>
      <c r="T153" s="378" t="s">
        <v>1022</v>
      </c>
      <c r="U153" s="377" t="s">
        <v>162</v>
      </c>
    </row>
    <row r="154" spans="1:21" x14ac:dyDescent="0.2">
      <c r="A154" s="353">
        <v>778944</v>
      </c>
      <c r="B154" s="340" t="s">
        <v>264</v>
      </c>
      <c r="C154" s="353">
        <v>8</v>
      </c>
      <c r="D154" s="353">
        <v>2</v>
      </c>
      <c r="E154" s="353">
        <v>4</v>
      </c>
      <c r="F154" s="353">
        <v>3</v>
      </c>
      <c r="G154" s="353">
        <v>10</v>
      </c>
      <c r="H154" s="353">
        <v>27</v>
      </c>
      <c r="I154" s="353">
        <v>75</v>
      </c>
      <c r="J154" s="353">
        <v>11.9</v>
      </c>
      <c r="K154" s="353">
        <v>0.21</v>
      </c>
      <c r="L154" s="353">
        <v>0.53</v>
      </c>
      <c r="M154" s="353">
        <v>9.4</v>
      </c>
      <c r="N154" s="353">
        <v>0.9</v>
      </c>
      <c r="O154" s="353" t="s">
        <v>153</v>
      </c>
      <c r="P154" s="353">
        <v>2000</v>
      </c>
      <c r="Q154" t="s">
        <v>154</v>
      </c>
      <c r="R154" t="s">
        <v>1395</v>
      </c>
      <c r="S154" s="378" t="s">
        <v>173</v>
      </c>
      <c r="T154" s="378" t="s">
        <v>159</v>
      </c>
      <c r="U154" s="377" t="s">
        <v>162</v>
      </c>
    </row>
    <row r="155" spans="1:21" x14ac:dyDescent="0.2">
      <c r="A155" s="353">
        <v>853374</v>
      </c>
      <c r="B155" s="340" t="s">
        <v>246</v>
      </c>
      <c r="C155" s="353">
        <v>9</v>
      </c>
      <c r="D155" s="353">
        <v>4</v>
      </c>
      <c r="E155" s="353">
        <v>6</v>
      </c>
      <c r="F155" s="353">
        <v>4</v>
      </c>
      <c r="G155" s="353">
        <v>12</v>
      </c>
      <c r="H155" s="353">
        <v>34</v>
      </c>
      <c r="I155" s="353">
        <v>73</v>
      </c>
      <c r="J155" s="353">
        <v>11.6</v>
      </c>
      <c r="K155" s="353">
        <v>0.21</v>
      </c>
      <c r="L155" s="353">
        <v>0.48</v>
      </c>
      <c r="M155" s="353">
        <v>9.5</v>
      </c>
      <c r="N155" s="353">
        <v>1.1000000000000001</v>
      </c>
      <c r="O155" s="353" t="s">
        <v>153</v>
      </c>
      <c r="P155" s="353">
        <v>2011</v>
      </c>
      <c r="Q155" t="s">
        <v>154</v>
      </c>
      <c r="R155" t="s">
        <v>1508</v>
      </c>
      <c r="S155" s="378" t="s">
        <v>247</v>
      </c>
      <c r="T155" s="378" t="s">
        <v>1024</v>
      </c>
    </row>
    <row r="156" spans="1:21" x14ac:dyDescent="0.2">
      <c r="A156" s="353">
        <v>814772</v>
      </c>
      <c r="B156" s="340" t="s">
        <v>263</v>
      </c>
      <c r="C156" s="353">
        <v>6</v>
      </c>
      <c r="D156" s="353">
        <v>2</v>
      </c>
      <c r="E156" s="353">
        <v>3</v>
      </c>
      <c r="F156" s="353">
        <v>2</v>
      </c>
      <c r="G156" s="353">
        <v>8</v>
      </c>
      <c r="H156" s="353">
        <v>21</v>
      </c>
      <c r="I156" s="353">
        <v>55</v>
      </c>
      <c r="J156" s="353">
        <v>9.1</v>
      </c>
      <c r="K156" s="353">
        <v>0.21</v>
      </c>
      <c r="L156" s="353">
        <v>0.53</v>
      </c>
      <c r="M156" s="353">
        <v>6.8</v>
      </c>
      <c r="N156" s="353">
        <v>1</v>
      </c>
      <c r="O156" s="353" t="s">
        <v>153</v>
      </c>
      <c r="P156" s="353">
        <v>2000</v>
      </c>
      <c r="Q156" t="s">
        <v>154</v>
      </c>
      <c r="R156" t="s">
        <v>1394</v>
      </c>
      <c r="S156" s="378" t="s">
        <v>173</v>
      </c>
      <c r="T156" s="378" t="s">
        <v>159</v>
      </c>
      <c r="U156" s="377" t="s">
        <v>162</v>
      </c>
    </row>
    <row r="157" spans="1:21" x14ac:dyDescent="0.2">
      <c r="A157" s="353">
        <v>972679</v>
      </c>
      <c r="B157" s="340" t="s">
        <v>261</v>
      </c>
      <c r="C157" s="353">
        <v>4</v>
      </c>
      <c r="D157" s="353">
        <v>2</v>
      </c>
      <c r="E157" s="353">
        <v>3</v>
      </c>
      <c r="F157" s="353">
        <v>1</v>
      </c>
      <c r="G157" s="353">
        <v>6</v>
      </c>
      <c r="H157" s="353">
        <v>19</v>
      </c>
      <c r="I157" s="353">
        <v>53</v>
      </c>
      <c r="J157" s="353">
        <v>8.8000000000000007</v>
      </c>
      <c r="K157" s="353">
        <v>0.21</v>
      </c>
      <c r="L157" s="353">
        <v>0.5</v>
      </c>
      <c r="M157" s="353">
        <v>6</v>
      </c>
      <c r="N157" s="353">
        <v>1</v>
      </c>
      <c r="O157" s="353" t="s">
        <v>153</v>
      </c>
      <c r="P157" s="353">
        <v>2000</v>
      </c>
      <c r="Q157" t="s">
        <v>154</v>
      </c>
      <c r="R157" t="s">
        <v>1352</v>
      </c>
      <c r="S157" s="378" t="s">
        <v>209</v>
      </c>
      <c r="T157" s="378" t="s">
        <v>159</v>
      </c>
      <c r="U157" s="377" t="s">
        <v>162</v>
      </c>
    </row>
    <row r="158" spans="1:21" x14ac:dyDescent="0.2">
      <c r="A158" s="353">
        <v>850602</v>
      </c>
      <c r="B158" s="340" t="s">
        <v>255</v>
      </c>
      <c r="C158" s="353">
        <v>6</v>
      </c>
      <c r="D158" s="353">
        <v>2</v>
      </c>
      <c r="E158" s="353">
        <v>3</v>
      </c>
      <c r="F158" s="353">
        <v>2</v>
      </c>
      <c r="G158" s="353">
        <v>8</v>
      </c>
      <c r="H158" s="353">
        <v>22</v>
      </c>
      <c r="I158" s="353">
        <v>51</v>
      </c>
      <c r="J158" s="353">
        <v>8.6</v>
      </c>
      <c r="K158" s="353">
        <v>0.21</v>
      </c>
      <c r="L158" s="353">
        <v>0.53</v>
      </c>
      <c r="M158" s="353">
        <v>6.8</v>
      </c>
      <c r="N158" s="353">
        <v>1</v>
      </c>
      <c r="O158" s="353" t="s">
        <v>153</v>
      </c>
      <c r="P158" s="353">
        <v>2000</v>
      </c>
      <c r="Q158" t="s">
        <v>154</v>
      </c>
      <c r="R158" t="s">
        <v>1393</v>
      </c>
      <c r="S158" s="378" t="s">
        <v>173</v>
      </c>
      <c r="T158" s="378" t="s">
        <v>159</v>
      </c>
      <c r="U158" s="377" t="s">
        <v>162</v>
      </c>
    </row>
    <row r="159" spans="1:21" x14ac:dyDescent="0.2">
      <c r="A159" s="353">
        <v>203000</v>
      </c>
      <c r="B159" s="340" t="s">
        <v>322</v>
      </c>
      <c r="C159" s="353">
        <v>5</v>
      </c>
      <c r="D159" s="353">
        <v>2</v>
      </c>
      <c r="E159" s="353">
        <v>3</v>
      </c>
      <c r="F159" s="353">
        <v>3</v>
      </c>
      <c r="G159" s="353">
        <v>2</v>
      </c>
      <c r="H159" s="353">
        <v>14</v>
      </c>
      <c r="I159" s="353">
        <v>33</v>
      </c>
      <c r="J159" s="353">
        <v>5.8</v>
      </c>
      <c r="K159" s="353">
        <v>0.21</v>
      </c>
      <c r="L159" s="353">
        <v>0.69</v>
      </c>
      <c r="M159" s="353">
        <v>4.5999999999999996</v>
      </c>
      <c r="N159" s="353">
        <v>1</v>
      </c>
      <c r="O159" s="353" t="s">
        <v>203</v>
      </c>
      <c r="P159" s="353">
        <v>2010</v>
      </c>
      <c r="Q159" t="s">
        <v>68</v>
      </c>
      <c r="R159" t="s">
        <v>1650</v>
      </c>
      <c r="S159" s="378" t="s">
        <v>323</v>
      </c>
      <c r="T159" s="378" t="s">
        <v>1043</v>
      </c>
      <c r="U159" s="377" t="s">
        <v>162</v>
      </c>
    </row>
    <row r="160" spans="1:21" x14ac:dyDescent="0.2">
      <c r="A160" s="353">
        <v>624999</v>
      </c>
      <c r="B160" s="340" t="s">
        <v>1144</v>
      </c>
      <c r="C160" s="353">
        <v>1</v>
      </c>
      <c r="D160" s="353">
        <v>0</v>
      </c>
      <c r="E160" s="353">
        <v>0</v>
      </c>
      <c r="F160" s="353">
        <v>1</v>
      </c>
      <c r="G160" s="353">
        <v>1</v>
      </c>
      <c r="H160" s="353">
        <v>3</v>
      </c>
      <c r="I160" s="353">
        <v>12</v>
      </c>
      <c r="J160" s="353">
        <v>2.4</v>
      </c>
      <c r="K160" s="353">
        <v>0.21</v>
      </c>
      <c r="L160" s="353">
        <v>0.62</v>
      </c>
      <c r="M160" s="353">
        <v>1.3</v>
      </c>
      <c r="N160" s="353">
        <v>1</v>
      </c>
      <c r="O160" s="353" t="s">
        <v>153</v>
      </c>
      <c r="P160" s="353">
        <v>2013</v>
      </c>
      <c r="Q160" t="s">
        <v>154</v>
      </c>
      <c r="R160" t="s">
        <v>1756</v>
      </c>
      <c r="S160" s="378" t="s">
        <v>166</v>
      </c>
      <c r="T160" s="378" t="s">
        <v>1040</v>
      </c>
      <c r="U160" s="377" t="s">
        <v>162</v>
      </c>
    </row>
    <row r="161" spans="1:21" x14ac:dyDescent="0.2">
      <c r="A161" s="353">
        <v>955906</v>
      </c>
      <c r="B161" s="340" t="s">
        <v>887</v>
      </c>
      <c r="C161" s="353">
        <v>-1</v>
      </c>
      <c r="D161" s="353">
        <v>0</v>
      </c>
      <c r="E161" s="353">
        <v>0</v>
      </c>
      <c r="F161" s="353">
        <v>-1</v>
      </c>
      <c r="G161" s="353">
        <v>-1</v>
      </c>
      <c r="H161" s="353">
        <v>1</v>
      </c>
      <c r="I161" s="353">
        <v>6</v>
      </c>
      <c r="J161" s="353">
        <v>1.1000000000000001</v>
      </c>
      <c r="K161" s="353">
        <v>0.21</v>
      </c>
      <c r="L161" s="353">
        <v>0.4</v>
      </c>
      <c r="M161" s="353">
        <v>0.8</v>
      </c>
      <c r="N161" s="353">
        <v>0.6</v>
      </c>
      <c r="O161" s="353" t="s">
        <v>153</v>
      </c>
      <c r="P161" s="353">
        <v>2015</v>
      </c>
      <c r="Q161" t="s">
        <v>154</v>
      </c>
      <c r="R161" t="s">
        <v>1439</v>
      </c>
      <c r="S161" s="378" t="s">
        <v>886</v>
      </c>
      <c r="T161" s="378" t="s">
        <v>1044</v>
      </c>
      <c r="U161" s="377" t="s">
        <v>162</v>
      </c>
    </row>
    <row r="162" spans="1:21" x14ac:dyDescent="0.2">
      <c r="A162" s="353">
        <v>545426</v>
      </c>
      <c r="B162" s="340" t="s">
        <v>267</v>
      </c>
      <c r="C162" s="353">
        <v>9</v>
      </c>
      <c r="D162" s="353">
        <v>5</v>
      </c>
      <c r="E162" s="353">
        <v>7</v>
      </c>
      <c r="F162" s="353">
        <v>3</v>
      </c>
      <c r="G162" s="353">
        <v>13</v>
      </c>
      <c r="H162" s="353">
        <v>42</v>
      </c>
      <c r="I162" s="353"/>
      <c r="J162" s="353"/>
      <c r="K162" s="353">
        <v>0.21</v>
      </c>
      <c r="L162" s="353">
        <v>0.42</v>
      </c>
      <c r="M162" s="353">
        <v>13.4</v>
      </c>
      <c r="N162" s="353">
        <v>1</v>
      </c>
      <c r="O162" s="353" t="s">
        <v>153</v>
      </c>
      <c r="P162" s="353">
        <v>2013</v>
      </c>
      <c r="Q162" t="s">
        <v>154</v>
      </c>
      <c r="R162" t="s">
        <v>1228</v>
      </c>
      <c r="S162" s="378" t="s">
        <v>226</v>
      </c>
      <c r="T162" s="378" t="s">
        <v>181</v>
      </c>
      <c r="U162" s="377" t="s">
        <v>162</v>
      </c>
    </row>
    <row r="163" spans="1:21" x14ac:dyDescent="0.2">
      <c r="A163" s="353">
        <v>660829</v>
      </c>
      <c r="B163" s="340" t="s">
        <v>899</v>
      </c>
      <c r="C163" s="353">
        <v>2</v>
      </c>
      <c r="D163" s="353">
        <v>0</v>
      </c>
      <c r="E163" s="353">
        <v>0</v>
      </c>
      <c r="F163" s="353">
        <v>1</v>
      </c>
      <c r="G163" s="353">
        <v>2</v>
      </c>
      <c r="H163" s="353">
        <v>3</v>
      </c>
      <c r="I163" s="353"/>
      <c r="J163" s="353"/>
      <c r="K163" s="353">
        <v>0.21</v>
      </c>
      <c r="L163" s="353">
        <v>0.62</v>
      </c>
      <c r="M163" s="353">
        <v>0.8</v>
      </c>
      <c r="N163" s="353">
        <v>1.5</v>
      </c>
      <c r="O163" s="353" t="s">
        <v>153</v>
      </c>
      <c r="P163" s="353">
        <v>2013</v>
      </c>
      <c r="Q163" t="s">
        <v>154</v>
      </c>
      <c r="R163" t="s">
        <v>1380</v>
      </c>
      <c r="S163" s="378" t="s">
        <v>166</v>
      </c>
      <c r="T163" s="378" t="s">
        <v>1031</v>
      </c>
      <c r="U163" s="377" t="s">
        <v>162</v>
      </c>
    </row>
    <row r="164" spans="1:21" x14ac:dyDescent="0.2">
      <c r="A164" s="353">
        <v>577833</v>
      </c>
      <c r="B164" s="340" t="s">
        <v>285</v>
      </c>
      <c r="C164" s="353">
        <v>15</v>
      </c>
      <c r="D164" s="353">
        <v>2</v>
      </c>
      <c r="E164" s="353">
        <v>8</v>
      </c>
      <c r="F164" s="353">
        <v>3</v>
      </c>
      <c r="G164" s="353">
        <v>21</v>
      </c>
      <c r="H164" s="353">
        <v>37</v>
      </c>
      <c r="I164" s="353">
        <v>99</v>
      </c>
      <c r="J164" s="353">
        <v>14.8</v>
      </c>
      <c r="K164" s="353">
        <v>0.22</v>
      </c>
      <c r="L164" s="353">
        <v>0.5</v>
      </c>
      <c r="M164" s="353">
        <v>13.4</v>
      </c>
      <c r="N164" s="353">
        <v>0.9</v>
      </c>
      <c r="O164" s="353" t="s">
        <v>153</v>
      </c>
      <c r="P164" s="353">
        <v>2005</v>
      </c>
      <c r="Q164" t="s">
        <v>154</v>
      </c>
      <c r="R164" t="s">
        <v>1293</v>
      </c>
      <c r="S164" s="378" t="s">
        <v>166</v>
      </c>
      <c r="T164" s="378" t="s">
        <v>219</v>
      </c>
      <c r="U164" s="377" t="s">
        <v>162</v>
      </c>
    </row>
    <row r="165" spans="1:21" x14ac:dyDescent="0.2">
      <c r="A165" s="353">
        <v>537696</v>
      </c>
      <c r="B165" s="340" t="s">
        <v>269</v>
      </c>
      <c r="C165" s="353">
        <v>11</v>
      </c>
      <c r="D165" s="353">
        <v>4</v>
      </c>
      <c r="E165" s="353">
        <v>7</v>
      </c>
      <c r="F165" s="353">
        <v>3</v>
      </c>
      <c r="G165" s="353">
        <v>15</v>
      </c>
      <c r="H165" s="353">
        <v>37</v>
      </c>
      <c r="I165" s="353">
        <v>100</v>
      </c>
      <c r="J165" s="353">
        <v>14.8</v>
      </c>
      <c r="K165" s="353">
        <v>0.22</v>
      </c>
      <c r="L165" s="353">
        <v>0.62</v>
      </c>
      <c r="M165" s="353">
        <v>11.9</v>
      </c>
      <c r="N165" s="353">
        <v>1</v>
      </c>
      <c r="O165" s="353" t="s">
        <v>153</v>
      </c>
      <c r="P165" s="353">
        <v>2007</v>
      </c>
      <c r="Q165" t="s">
        <v>68</v>
      </c>
      <c r="R165" t="s">
        <v>1712</v>
      </c>
      <c r="S165" s="378" t="s">
        <v>209</v>
      </c>
      <c r="T165" s="378" t="s">
        <v>1022</v>
      </c>
    </row>
    <row r="166" spans="1:21" x14ac:dyDescent="0.2">
      <c r="A166" s="353">
        <v>619445</v>
      </c>
      <c r="B166" s="340" t="s">
        <v>980</v>
      </c>
      <c r="C166" s="353">
        <v>6</v>
      </c>
      <c r="D166" s="353">
        <v>2</v>
      </c>
      <c r="E166" s="353">
        <v>3</v>
      </c>
      <c r="F166" s="353">
        <v>2</v>
      </c>
      <c r="G166" s="353">
        <v>6</v>
      </c>
      <c r="H166" s="353">
        <v>14</v>
      </c>
      <c r="I166" s="353">
        <v>24</v>
      </c>
      <c r="J166" s="353">
        <v>4.4000000000000004</v>
      </c>
      <c r="K166" s="353">
        <v>0.22</v>
      </c>
      <c r="L166" s="353">
        <v>0.82</v>
      </c>
      <c r="M166" s="353">
        <v>3.2</v>
      </c>
      <c r="N166" s="353">
        <v>1.4</v>
      </c>
      <c r="O166" s="353" t="s">
        <v>153</v>
      </c>
      <c r="P166" s="353">
        <v>2016</v>
      </c>
      <c r="Q166" t="s">
        <v>154</v>
      </c>
      <c r="R166" t="s">
        <v>1309</v>
      </c>
      <c r="S166" s="378" t="s">
        <v>171</v>
      </c>
      <c r="T166" s="378" t="s">
        <v>1024</v>
      </c>
    </row>
    <row r="167" spans="1:21" x14ac:dyDescent="0.2">
      <c r="A167" s="353">
        <v>554691</v>
      </c>
      <c r="B167" s="340" t="s">
        <v>960</v>
      </c>
      <c r="C167" s="353">
        <v>0</v>
      </c>
      <c r="D167" s="353">
        <v>1</v>
      </c>
      <c r="E167" s="353">
        <v>1</v>
      </c>
      <c r="F167" s="353">
        <v>0</v>
      </c>
      <c r="G167" s="353">
        <v>-1</v>
      </c>
      <c r="H167" s="353">
        <v>5</v>
      </c>
      <c r="I167" s="353">
        <v>12</v>
      </c>
      <c r="J167" s="353">
        <v>2.2000000000000002</v>
      </c>
      <c r="K167" s="353">
        <v>0.22</v>
      </c>
      <c r="L167" s="353">
        <v>0.5</v>
      </c>
      <c r="M167" s="353">
        <v>3.6</v>
      </c>
      <c r="N167" s="353">
        <v>0.5</v>
      </c>
      <c r="O167" s="353" t="s">
        <v>153</v>
      </c>
      <c r="P167" s="353">
        <v>2007</v>
      </c>
      <c r="Q167" t="s">
        <v>154</v>
      </c>
      <c r="R167" t="s">
        <v>1417</v>
      </c>
      <c r="S167" s="378" t="s">
        <v>229</v>
      </c>
      <c r="T167" s="378" t="s">
        <v>1040</v>
      </c>
      <c r="U167" s="377" t="s">
        <v>162</v>
      </c>
    </row>
    <row r="168" spans="1:21" x14ac:dyDescent="0.2">
      <c r="A168" s="353">
        <v>912220</v>
      </c>
      <c r="B168" s="340" t="s">
        <v>279</v>
      </c>
      <c r="C168" s="353">
        <v>1</v>
      </c>
      <c r="D168" s="353">
        <v>2</v>
      </c>
      <c r="E168" s="353">
        <v>3</v>
      </c>
      <c r="F168" s="353">
        <v>-2</v>
      </c>
      <c r="G168" s="353">
        <v>4</v>
      </c>
      <c r="H168" s="353">
        <v>32</v>
      </c>
      <c r="I168" s="353"/>
      <c r="J168" s="353"/>
      <c r="K168" s="353">
        <v>0.22</v>
      </c>
      <c r="L168" s="353">
        <v>0.71</v>
      </c>
      <c r="M168" s="353">
        <v>11.4</v>
      </c>
      <c r="N168" s="353">
        <v>0.9</v>
      </c>
      <c r="O168" s="353" t="s">
        <v>153</v>
      </c>
      <c r="P168" s="353">
        <v>2013</v>
      </c>
      <c r="Q168" t="s">
        <v>154</v>
      </c>
      <c r="R168" t="s">
        <v>1440</v>
      </c>
      <c r="S168" s="378" t="s">
        <v>178</v>
      </c>
      <c r="T168" s="378" t="s">
        <v>181</v>
      </c>
      <c r="U168" s="377" t="s">
        <v>162</v>
      </c>
    </row>
    <row r="169" spans="1:21" x14ac:dyDescent="0.2">
      <c r="A169" s="353">
        <v>653501</v>
      </c>
      <c r="B169" s="340" t="s">
        <v>904</v>
      </c>
      <c r="C169" s="353">
        <v>2</v>
      </c>
      <c r="D169" s="353">
        <v>0</v>
      </c>
      <c r="E169" s="353">
        <v>1</v>
      </c>
      <c r="F169" s="353">
        <v>1</v>
      </c>
      <c r="G169" s="353">
        <v>1</v>
      </c>
      <c r="H169" s="353">
        <v>4</v>
      </c>
      <c r="I169" s="353"/>
      <c r="J169" s="353"/>
      <c r="K169" s="353">
        <v>0.22</v>
      </c>
      <c r="L169" s="353">
        <v>0.95</v>
      </c>
      <c r="M169" s="353">
        <v>1.7</v>
      </c>
      <c r="N169" s="353">
        <v>1</v>
      </c>
      <c r="O169" s="353" t="s">
        <v>153</v>
      </c>
      <c r="P169" s="353">
        <v>2014</v>
      </c>
      <c r="Q169" t="s">
        <v>154</v>
      </c>
      <c r="R169" t="s">
        <v>1442</v>
      </c>
      <c r="S169" s="378" t="s">
        <v>194</v>
      </c>
      <c r="T169" s="378" t="s">
        <v>1033</v>
      </c>
    </row>
    <row r="170" spans="1:21" x14ac:dyDescent="0.2">
      <c r="A170" s="353">
        <v>857565</v>
      </c>
      <c r="B170" s="340" t="s">
        <v>311</v>
      </c>
      <c r="C170" s="353">
        <v>2</v>
      </c>
      <c r="D170" s="353">
        <v>-1</v>
      </c>
      <c r="E170" s="353">
        <v>1</v>
      </c>
      <c r="F170" s="353">
        <v>-3</v>
      </c>
      <c r="G170" s="353">
        <v>-3</v>
      </c>
      <c r="H170" s="353">
        <v>6</v>
      </c>
      <c r="I170" s="353"/>
      <c r="J170" s="353"/>
      <c r="K170" s="353">
        <v>0.22</v>
      </c>
      <c r="L170" s="353">
        <v>1.1499999999999999</v>
      </c>
      <c r="M170" s="353">
        <v>9.6</v>
      </c>
      <c r="N170" s="353">
        <v>0.3</v>
      </c>
      <c r="O170" s="353" t="s">
        <v>153</v>
      </c>
      <c r="P170" s="353">
        <v>2013</v>
      </c>
      <c r="Q170" t="s">
        <v>68</v>
      </c>
      <c r="R170" t="s">
        <v>1479</v>
      </c>
      <c r="S170" s="378" t="s">
        <v>158</v>
      </c>
      <c r="T170" s="378" t="s">
        <v>1034</v>
      </c>
    </row>
    <row r="171" spans="1:21" x14ac:dyDescent="0.2">
      <c r="A171" s="353">
        <v>651679</v>
      </c>
      <c r="B171" s="340" t="s">
        <v>723</v>
      </c>
      <c r="C171" s="353">
        <v>1</v>
      </c>
      <c r="D171" s="353">
        <v>0</v>
      </c>
      <c r="E171" s="353">
        <v>0</v>
      </c>
      <c r="F171" s="353">
        <v>1</v>
      </c>
      <c r="G171" s="353">
        <v>1</v>
      </c>
      <c r="H171" s="353"/>
      <c r="I171" s="353"/>
      <c r="J171" s="353"/>
      <c r="K171" s="353">
        <v>0.22</v>
      </c>
      <c r="L171" s="353">
        <v>0.85</v>
      </c>
      <c r="M171" s="353"/>
      <c r="N171" s="353"/>
      <c r="O171" s="353" t="s">
        <v>153</v>
      </c>
      <c r="P171" s="353">
        <v>2014</v>
      </c>
      <c r="Q171" t="s">
        <v>68</v>
      </c>
      <c r="R171" t="s">
        <v>1713</v>
      </c>
      <c r="S171" s="378" t="s">
        <v>209</v>
      </c>
      <c r="T171" s="378" t="s">
        <v>1044</v>
      </c>
    </row>
    <row r="172" spans="1:21" x14ac:dyDescent="0.2">
      <c r="A172" s="353">
        <v>184119</v>
      </c>
      <c r="B172" s="340" t="s">
        <v>273</v>
      </c>
      <c r="C172" s="353">
        <v>15</v>
      </c>
      <c r="D172" s="353">
        <v>5</v>
      </c>
      <c r="E172" s="353">
        <v>8</v>
      </c>
      <c r="F172" s="353">
        <v>6</v>
      </c>
      <c r="G172" s="353">
        <v>20</v>
      </c>
      <c r="H172" s="353">
        <v>51</v>
      </c>
      <c r="I172" s="353">
        <v>120</v>
      </c>
      <c r="J172" s="353">
        <v>17.100000000000001</v>
      </c>
      <c r="K172" s="353">
        <v>0.23</v>
      </c>
      <c r="L172" s="353">
        <v>0.77</v>
      </c>
      <c r="M172" s="353">
        <v>12.9</v>
      </c>
      <c r="N172" s="353">
        <v>1.2</v>
      </c>
      <c r="O172" s="353" t="s">
        <v>153</v>
      </c>
      <c r="P172" s="353">
        <v>2012</v>
      </c>
      <c r="Q172" t="s">
        <v>154</v>
      </c>
      <c r="R172" t="s">
        <v>1441</v>
      </c>
      <c r="S172" s="378" t="s">
        <v>178</v>
      </c>
      <c r="T172" s="378" t="s">
        <v>181</v>
      </c>
      <c r="U172" s="377" t="s">
        <v>162</v>
      </c>
    </row>
    <row r="173" spans="1:21" x14ac:dyDescent="0.2">
      <c r="A173" s="353">
        <v>785907</v>
      </c>
      <c r="B173" s="340" t="s">
        <v>281</v>
      </c>
      <c r="C173" s="353">
        <v>12</v>
      </c>
      <c r="D173" s="353">
        <v>5</v>
      </c>
      <c r="E173" s="353">
        <v>7</v>
      </c>
      <c r="F173" s="353">
        <v>5</v>
      </c>
      <c r="G173" s="353">
        <v>16</v>
      </c>
      <c r="H173" s="353">
        <v>41</v>
      </c>
      <c r="I173" s="353">
        <v>114</v>
      </c>
      <c r="J173" s="353">
        <v>16.5</v>
      </c>
      <c r="K173" s="353">
        <v>0.23</v>
      </c>
      <c r="L173" s="353">
        <v>0.7</v>
      </c>
      <c r="M173" s="353">
        <v>13.1</v>
      </c>
      <c r="N173" s="353">
        <v>1</v>
      </c>
      <c r="O173" s="353" t="s">
        <v>153</v>
      </c>
      <c r="P173" s="353">
        <v>2013</v>
      </c>
      <c r="Q173" t="s">
        <v>68</v>
      </c>
      <c r="R173" t="s">
        <v>1197</v>
      </c>
      <c r="S173" s="378" t="s">
        <v>158</v>
      </c>
      <c r="T173" s="378" t="s">
        <v>181</v>
      </c>
      <c r="U173" s="377" t="s">
        <v>162</v>
      </c>
    </row>
    <row r="174" spans="1:21" x14ac:dyDescent="0.2">
      <c r="A174" s="353">
        <v>621631</v>
      </c>
      <c r="B174" s="340" t="s">
        <v>276</v>
      </c>
      <c r="C174" s="353">
        <v>4</v>
      </c>
      <c r="D174" s="353">
        <v>2</v>
      </c>
      <c r="E174" s="353">
        <v>3</v>
      </c>
      <c r="F174" s="353">
        <v>2</v>
      </c>
      <c r="G174" s="353">
        <v>1</v>
      </c>
      <c r="H174" s="353">
        <v>12</v>
      </c>
      <c r="I174" s="353">
        <v>27</v>
      </c>
      <c r="J174" s="353">
        <v>5</v>
      </c>
      <c r="K174" s="353">
        <v>0.23</v>
      </c>
      <c r="L174" s="353">
        <v>0.55000000000000004</v>
      </c>
      <c r="M174" s="353">
        <v>4.5</v>
      </c>
      <c r="N174" s="353">
        <v>0.9</v>
      </c>
      <c r="O174" s="353" t="s">
        <v>203</v>
      </c>
      <c r="P174" s="353">
        <v>2001</v>
      </c>
      <c r="Q174" t="s">
        <v>68</v>
      </c>
      <c r="R174" t="s">
        <v>1705</v>
      </c>
      <c r="S174" s="378" t="s">
        <v>198</v>
      </c>
      <c r="T174" s="378" t="s">
        <v>1043</v>
      </c>
    </row>
    <row r="175" spans="1:21" x14ac:dyDescent="0.2">
      <c r="A175" s="353">
        <v>384750</v>
      </c>
      <c r="B175" s="340" t="s">
        <v>283</v>
      </c>
      <c r="C175" s="353">
        <v>2</v>
      </c>
      <c r="D175" s="353">
        <v>0</v>
      </c>
      <c r="E175" s="353">
        <v>0</v>
      </c>
      <c r="F175" s="353">
        <v>1</v>
      </c>
      <c r="G175" s="353">
        <v>2</v>
      </c>
      <c r="H175" s="353">
        <v>4</v>
      </c>
      <c r="I175" s="353">
        <v>12</v>
      </c>
      <c r="J175" s="353">
        <v>2.2999999999999998</v>
      </c>
      <c r="K175" s="353">
        <v>0.23</v>
      </c>
      <c r="L175" s="353">
        <v>0.52</v>
      </c>
      <c r="M175" s="353">
        <v>0.8</v>
      </c>
      <c r="N175" s="353">
        <v>1.9</v>
      </c>
      <c r="O175" s="353" t="s">
        <v>153</v>
      </c>
      <c r="P175" s="353">
        <v>2003</v>
      </c>
      <c r="Q175" t="s">
        <v>154</v>
      </c>
      <c r="R175" t="s">
        <v>1408</v>
      </c>
      <c r="S175" s="378" t="s">
        <v>284</v>
      </c>
      <c r="T175" s="378" t="s">
        <v>1040</v>
      </c>
      <c r="U175" s="377" t="s">
        <v>162</v>
      </c>
    </row>
    <row r="176" spans="1:21" x14ac:dyDescent="0.2">
      <c r="A176" s="353">
        <v>212621</v>
      </c>
      <c r="B176" s="340" t="s">
        <v>758</v>
      </c>
      <c r="C176" s="353">
        <v>2</v>
      </c>
      <c r="D176" s="353">
        <v>0</v>
      </c>
      <c r="E176" s="353">
        <v>0</v>
      </c>
      <c r="F176" s="353">
        <v>1</v>
      </c>
      <c r="G176" s="353">
        <v>2</v>
      </c>
      <c r="H176" s="353">
        <v>1</v>
      </c>
      <c r="I176" s="353">
        <v>1</v>
      </c>
      <c r="J176" s="353">
        <v>0.1</v>
      </c>
      <c r="K176" s="353">
        <v>0.23</v>
      </c>
      <c r="L176" s="353">
        <v>1.17</v>
      </c>
      <c r="M176" s="353">
        <v>1.5</v>
      </c>
      <c r="N176" s="353">
        <v>0.3</v>
      </c>
      <c r="O176" s="353" t="s">
        <v>153</v>
      </c>
      <c r="P176" s="353">
        <v>2013</v>
      </c>
      <c r="Q176" t="s">
        <v>154</v>
      </c>
      <c r="R176" t="s">
        <v>1400</v>
      </c>
      <c r="S176" s="378" t="s">
        <v>173</v>
      </c>
      <c r="T176" s="378" t="s">
        <v>1038</v>
      </c>
    </row>
    <row r="177" spans="1:21" x14ac:dyDescent="0.2">
      <c r="A177" s="353">
        <v>110098</v>
      </c>
      <c r="B177" s="340" t="s">
        <v>288</v>
      </c>
      <c r="C177" s="353">
        <v>1</v>
      </c>
      <c r="D177" s="353">
        <v>7</v>
      </c>
      <c r="E177" s="353">
        <v>12</v>
      </c>
      <c r="F177" s="353">
        <v>7</v>
      </c>
      <c r="G177" s="353">
        <v>5</v>
      </c>
      <c r="H177" s="353">
        <v>-16</v>
      </c>
      <c r="I177" s="353">
        <v>-22</v>
      </c>
      <c r="J177" s="353">
        <v>-4.9000000000000004</v>
      </c>
      <c r="K177" s="353">
        <v>0.23</v>
      </c>
      <c r="L177" s="353">
        <v>0.75</v>
      </c>
      <c r="M177" s="353">
        <v>15.8</v>
      </c>
      <c r="N177" s="353">
        <v>-0.3</v>
      </c>
      <c r="O177" s="353" t="s">
        <v>153</v>
      </c>
      <c r="P177" s="353">
        <v>2010</v>
      </c>
      <c r="Q177" t="s">
        <v>68</v>
      </c>
      <c r="R177" t="s">
        <v>1793</v>
      </c>
      <c r="S177" s="378" t="s">
        <v>158</v>
      </c>
      <c r="T177" s="378" t="s">
        <v>1045</v>
      </c>
    </row>
    <row r="178" spans="1:21" x14ac:dyDescent="0.2">
      <c r="A178" s="353">
        <v>439703</v>
      </c>
      <c r="B178" s="340" t="s">
        <v>991</v>
      </c>
      <c r="C178" s="353">
        <v>0</v>
      </c>
      <c r="D178" s="353">
        <v>0</v>
      </c>
      <c r="E178" s="353">
        <v>0</v>
      </c>
      <c r="F178" s="353">
        <v>0</v>
      </c>
      <c r="G178" s="353">
        <v>-1</v>
      </c>
      <c r="H178" s="353"/>
      <c r="I178" s="353"/>
      <c r="J178" s="353"/>
      <c r="K178" s="353">
        <v>0.23</v>
      </c>
      <c r="L178" s="353">
        <v>0.72</v>
      </c>
      <c r="M178" s="353"/>
      <c r="N178" s="353"/>
      <c r="O178" s="353" t="s">
        <v>153</v>
      </c>
      <c r="P178" s="353">
        <v>2016</v>
      </c>
      <c r="Q178" t="s">
        <v>154</v>
      </c>
      <c r="R178" t="s">
        <v>1410</v>
      </c>
      <c r="S178" s="378" t="s">
        <v>166</v>
      </c>
      <c r="T178" s="378" t="s">
        <v>1040</v>
      </c>
      <c r="U178" s="377" t="s">
        <v>162</v>
      </c>
    </row>
    <row r="179" spans="1:21" x14ac:dyDescent="0.2">
      <c r="A179" s="353">
        <v>906677</v>
      </c>
      <c r="B179" s="340" t="s">
        <v>1113</v>
      </c>
      <c r="C179" s="353"/>
      <c r="D179" s="353">
        <v>0</v>
      </c>
      <c r="E179" s="353">
        <v>0</v>
      </c>
      <c r="F179" s="353">
        <v>0</v>
      </c>
      <c r="G179" s="353"/>
      <c r="H179" s="353"/>
      <c r="I179" s="353"/>
      <c r="J179" s="353"/>
      <c r="K179" s="353">
        <v>0.23</v>
      </c>
      <c r="L179" s="353">
        <v>0.82</v>
      </c>
      <c r="M179" s="353"/>
      <c r="N179" s="353"/>
      <c r="O179" s="353" t="s">
        <v>153</v>
      </c>
      <c r="P179" s="353">
        <v>2017</v>
      </c>
      <c r="Q179" t="s">
        <v>68</v>
      </c>
      <c r="R179" t="s">
        <v>1594</v>
      </c>
      <c r="S179" s="378" t="s">
        <v>323</v>
      </c>
      <c r="T179" s="378" t="s">
        <v>1038</v>
      </c>
      <c r="U179" s="377" t="s">
        <v>162</v>
      </c>
    </row>
    <row r="180" spans="1:21" x14ac:dyDescent="0.2">
      <c r="A180" s="353">
        <v>252411</v>
      </c>
      <c r="B180" s="340" t="s">
        <v>290</v>
      </c>
      <c r="C180" s="353">
        <v>9</v>
      </c>
      <c r="D180" s="353">
        <v>4</v>
      </c>
      <c r="E180" s="353">
        <v>8</v>
      </c>
      <c r="F180" s="353">
        <v>3</v>
      </c>
      <c r="G180" s="353">
        <v>14</v>
      </c>
      <c r="H180" s="353">
        <v>42</v>
      </c>
      <c r="I180" s="353">
        <v>113</v>
      </c>
      <c r="J180" s="353">
        <v>16.399999999999999</v>
      </c>
      <c r="K180" s="353">
        <v>0.24</v>
      </c>
      <c r="L180" s="353">
        <v>0.47</v>
      </c>
      <c r="M180" s="353">
        <v>12.8</v>
      </c>
      <c r="N180" s="353">
        <v>1</v>
      </c>
      <c r="O180" s="353" t="s">
        <v>153</v>
      </c>
      <c r="P180" s="353">
        <v>2000</v>
      </c>
      <c r="Q180" t="s">
        <v>154</v>
      </c>
      <c r="R180" t="s">
        <v>1180</v>
      </c>
      <c r="S180" s="378" t="s">
        <v>207</v>
      </c>
      <c r="T180" s="378" t="s">
        <v>181</v>
      </c>
      <c r="U180" s="377" t="s">
        <v>162</v>
      </c>
    </row>
    <row r="181" spans="1:21" x14ac:dyDescent="0.2">
      <c r="A181" s="353">
        <v>152835</v>
      </c>
      <c r="B181" s="340" t="s">
        <v>306</v>
      </c>
      <c r="C181" s="353">
        <v>14</v>
      </c>
      <c r="D181" s="353">
        <v>4</v>
      </c>
      <c r="E181" s="353">
        <v>9</v>
      </c>
      <c r="F181" s="353">
        <v>5</v>
      </c>
      <c r="G181" s="353">
        <v>19</v>
      </c>
      <c r="H181" s="353">
        <v>42</v>
      </c>
      <c r="I181" s="353">
        <v>106</v>
      </c>
      <c r="J181" s="353">
        <v>15.5</v>
      </c>
      <c r="K181" s="353">
        <v>0.24</v>
      </c>
      <c r="L181" s="353">
        <v>0.6</v>
      </c>
      <c r="M181" s="353">
        <v>13.1</v>
      </c>
      <c r="N181" s="353">
        <v>1</v>
      </c>
      <c r="O181" s="353" t="s">
        <v>153</v>
      </c>
      <c r="P181" s="353">
        <v>2000</v>
      </c>
      <c r="Q181" t="s">
        <v>154</v>
      </c>
      <c r="R181" t="s">
        <v>1327</v>
      </c>
      <c r="S181" s="378" t="s">
        <v>166</v>
      </c>
      <c r="T181" s="378" t="s">
        <v>1026</v>
      </c>
      <c r="U181" s="377" t="s">
        <v>162</v>
      </c>
    </row>
    <row r="182" spans="1:21" x14ac:dyDescent="0.2">
      <c r="A182" s="353">
        <v>201111</v>
      </c>
      <c r="B182" s="340" t="s">
        <v>282</v>
      </c>
      <c r="C182" s="353">
        <v>14</v>
      </c>
      <c r="D182" s="353">
        <v>4</v>
      </c>
      <c r="E182" s="353">
        <v>8</v>
      </c>
      <c r="F182" s="353">
        <v>4</v>
      </c>
      <c r="G182" s="353">
        <v>18</v>
      </c>
      <c r="H182" s="353">
        <v>36</v>
      </c>
      <c r="I182" s="353">
        <v>94</v>
      </c>
      <c r="J182" s="353">
        <v>14.2</v>
      </c>
      <c r="K182" s="353">
        <v>0.24</v>
      </c>
      <c r="L182" s="353">
        <v>0.88</v>
      </c>
      <c r="M182" s="353">
        <v>12.6</v>
      </c>
      <c r="N182" s="353">
        <v>0.9</v>
      </c>
      <c r="O182" s="353" t="s">
        <v>153</v>
      </c>
      <c r="P182" s="353">
        <v>2012</v>
      </c>
      <c r="Q182" t="s">
        <v>154</v>
      </c>
      <c r="R182" t="s">
        <v>1328</v>
      </c>
      <c r="S182" s="378" t="s">
        <v>178</v>
      </c>
      <c r="T182" s="378" t="s">
        <v>1026</v>
      </c>
      <c r="U182" s="377" t="s">
        <v>162</v>
      </c>
    </row>
    <row r="183" spans="1:21" x14ac:dyDescent="0.2">
      <c r="A183" s="353">
        <v>117002</v>
      </c>
      <c r="B183" s="340" t="s">
        <v>307</v>
      </c>
      <c r="C183" s="353">
        <v>11</v>
      </c>
      <c r="D183" s="353">
        <v>3</v>
      </c>
      <c r="E183" s="353">
        <v>6</v>
      </c>
      <c r="F183" s="353">
        <v>3</v>
      </c>
      <c r="G183" s="353">
        <v>14</v>
      </c>
      <c r="H183" s="353">
        <v>30</v>
      </c>
      <c r="I183" s="353">
        <v>71</v>
      </c>
      <c r="J183" s="353">
        <v>11.4</v>
      </c>
      <c r="K183" s="353">
        <v>0.24</v>
      </c>
      <c r="L183" s="353">
        <v>0.59</v>
      </c>
      <c r="M183" s="353">
        <v>9.6999999999999993</v>
      </c>
      <c r="N183" s="353">
        <v>1</v>
      </c>
      <c r="O183" s="353" t="s">
        <v>153</v>
      </c>
      <c r="P183" s="353">
        <v>2000</v>
      </c>
      <c r="Q183" t="s">
        <v>154</v>
      </c>
      <c r="R183" t="s">
        <v>1259</v>
      </c>
      <c r="S183" s="378" t="s">
        <v>166</v>
      </c>
      <c r="T183" s="378" t="s">
        <v>1024</v>
      </c>
      <c r="U183" s="377" t="s">
        <v>162</v>
      </c>
    </row>
    <row r="184" spans="1:21" x14ac:dyDescent="0.2">
      <c r="A184" s="353">
        <v>191908</v>
      </c>
      <c r="B184" s="340" t="s">
        <v>1050</v>
      </c>
      <c r="C184" s="353">
        <v>2</v>
      </c>
      <c r="D184" s="353">
        <v>3</v>
      </c>
      <c r="E184" s="353">
        <v>3</v>
      </c>
      <c r="F184" s="353">
        <v>3</v>
      </c>
      <c r="G184" s="353">
        <v>-2</v>
      </c>
      <c r="H184" s="353">
        <v>13</v>
      </c>
      <c r="I184" s="353">
        <v>38</v>
      </c>
      <c r="J184" s="353">
        <v>6.7</v>
      </c>
      <c r="K184" s="353">
        <v>0.24</v>
      </c>
      <c r="L184" s="353">
        <v>0.5</v>
      </c>
      <c r="M184" s="353">
        <v>7.2</v>
      </c>
      <c r="N184" s="353">
        <v>0.6</v>
      </c>
      <c r="O184" s="353" t="s">
        <v>203</v>
      </c>
      <c r="P184" s="353">
        <v>2016</v>
      </c>
      <c r="Q184" t="s">
        <v>68</v>
      </c>
      <c r="R184" t="s">
        <v>1510</v>
      </c>
      <c r="S184" s="378" t="s">
        <v>542</v>
      </c>
      <c r="T184" s="378" t="s">
        <v>1043</v>
      </c>
      <c r="U184" s="377" t="s">
        <v>162</v>
      </c>
    </row>
    <row r="185" spans="1:21" x14ac:dyDescent="0.2">
      <c r="A185" s="353">
        <v>981175</v>
      </c>
      <c r="B185" s="340" t="s">
        <v>308</v>
      </c>
      <c r="C185" s="353">
        <v>4</v>
      </c>
      <c r="D185" s="353">
        <v>1</v>
      </c>
      <c r="E185" s="353">
        <v>3</v>
      </c>
      <c r="F185" s="353">
        <v>1</v>
      </c>
      <c r="G185" s="353">
        <v>5</v>
      </c>
      <c r="H185" s="353">
        <v>11</v>
      </c>
      <c r="I185" s="353">
        <v>28</v>
      </c>
      <c r="J185" s="353">
        <v>5.0999999999999996</v>
      </c>
      <c r="K185" s="353">
        <v>0.24</v>
      </c>
      <c r="L185" s="353">
        <v>0.6</v>
      </c>
      <c r="M185" s="353">
        <v>4.5</v>
      </c>
      <c r="N185" s="353">
        <v>0.8</v>
      </c>
      <c r="O185" s="353" t="s">
        <v>153</v>
      </c>
      <c r="P185" s="353">
        <v>2000</v>
      </c>
      <c r="Q185" t="s">
        <v>154</v>
      </c>
      <c r="R185" t="s">
        <v>1348</v>
      </c>
      <c r="S185" s="378" t="s">
        <v>166</v>
      </c>
      <c r="T185" s="378" t="s">
        <v>1024</v>
      </c>
      <c r="U185" s="377" t="s">
        <v>162</v>
      </c>
    </row>
    <row r="186" spans="1:21" x14ac:dyDescent="0.2">
      <c r="A186" s="353">
        <v>537639</v>
      </c>
      <c r="B186" s="340" t="s">
        <v>325</v>
      </c>
      <c r="C186" s="353">
        <v>4</v>
      </c>
      <c r="D186" s="353">
        <v>0</v>
      </c>
      <c r="E186" s="353">
        <v>1</v>
      </c>
      <c r="F186" s="353">
        <v>2</v>
      </c>
      <c r="G186" s="353">
        <v>5</v>
      </c>
      <c r="H186" s="353">
        <v>8</v>
      </c>
      <c r="I186" s="353">
        <v>20</v>
      </c>
      <c r="J186" s="353">
        <v>3.7</v>
      </c>
      <c r="K186" s="353">
        <v>0.24</v>
      </c>
      <c r="L186" s="353">
        <v>1.1200000000000001</v>
      </c>
      <c r="M186" s="353">
        <v>2</v>
      </c>
      <c r="N186" s="353">
        <v>1.4</v>
      </c>
      <c r="O186" s="353" t="s">
        <v>153</v>
      </c>
      <c r="P186" s="353">
        <v>2010</v>
      </c>
      <c r="Q186" t="s">
        <v>68</v>
      </c>
      <c r="R186" t="s">
        <v>1437</v>
      </c>
      <c r="S186" s="378" t="s">
        <v>188</v>
      </c>
      <c r="T186" s="378" t="s">
        <v>1044</v>
      </c>
    </row>
    <row r="187" spans="1:21" x14ac:dyDescent="0.2">
      <c r="A187" s="353">
        <v>901603</v>
      </c>
      <c r="B187" s="340" t="s">
        <v>743</v>
      </c>
      <c r="C187" s="353">
        <v>0</v>
      </c>
      <c r="D187" s="353">
        <v>0</v>
      </c>
      <c r="E187" s="353">
        <v>0</v>
      </c>
      <c r="F187" s="353">
        <v>0</v>
      </c>
      <c r="G187" s="353">
        <v>-1</v>
      </c>
      <c r="H187" s="353">
        <v>4</v>
      </c>
      <c r="I187" s="353">
        <v>11</v>
      </c>
      <c r="J187" s="353">
        <v>2.1</v>
      </c>
      <c r="K187" s="353">
        <v>0.24</v>
      </c>
      <c r="L187" s="353">
        <v>0.61</v>
      </c>
      <c r="M187" s="353">
        <v>2</v>
      </c>
      <c r="N187" s="353">
        <v>0.8</v>
      </c>
      <c r="O187" s="353" t="s">
        <v>153</v>
      </c>
      <c r="P187" s="353">
        <v>2000</v>
      </c>
      <c r="Q187" t="s">
        <v>154</v>
      </c>
      <c r="R187" t="s">
        <v>1425</v>
      </c>
      <c r="S187" s="378" t="s">
        <v>207</v>
      </c>
      <c r="T187" s="378" t="s">
        <v>1040</v>
      </c>
      <c r="U187" s="377" t="s">
        <v>162</v>
      </c>
    </row>
    <row r="188" spans="1:21" x14ac:dyDescent="0.2">
      <c r="A188" s="353">
        <v>106906</v>
      </c>
      <c r="B188" s="340" t="s">
        <v>915</v>
      </c>
      <c r="C188" s="353">
        <v>2</v>
      </c>
      <c r="D188" s="353">
        <v>0</v>
      </c>
      <c r="E188" s="353">
        <v>0</v>
      </c>
      <c r="F188" s="353">
        <v>1</v>
      </c>
      <c r="G188" s="353">
        <v>1</v>
      </c>
      <c r="H188" s="353"/>
      <c r="I188" s="353"/>
      <c r="J188" s="353"/>
      <c r="K188" s="353">
        <v>0.24</v>
      </c>
      <c r="L188" s="353">
        <v>1.25</v>
      </c>
      <c r="M188" s="353"/>
      <c r="N188" s="353"/>
      <c r="O188" s="353" t="s">
        <v>153</v>
      </c>
      <c r="P188" s="353">
        <v>2016</v>
      </c>
      <c r="Q188" t="s">
        <v>68</v>
      </c>
      <c r="R188" t="s">
        <v>1388</v>
      </c>
      <c r="S188" s="378" t="s">
        <v>916</v>
      </c>
      <c r="T188" s="378" t="s">
        <v>1034</v>
      </c>
    </row>
    <row r="189" spans="1:21" x14ac:dyDescent="0.2">
      <c r="A189" s="353">
        <v>182287</v>
      </c>
      <c r="B189" s="340" t="s">
        <v>301</v>
      </c>
      <c r="C189" s="353">
        <v>7</v>
      </c>
      <c r="D189" s="353">
        <v>6</v>
      </c>
      <c r="E189" s="353">
        <v>10</v>
      </c>
      <c r="F189" s="353">
        <v>3</v>
      </c>
      <c r="G189" s="353">
        <v>15</v>
      </c>
      <c r="H189" s="353">
        <v>42</v>
      </c>
      <c r="I189" s="353">
        <v>133</v>
      </c>
      <c r="J189" s="353">
        <v>18.399999999999999</v>
      </c>
      <c r="K189" s="353">
        <v>0.25</v>
      </c>
      <c r="L189" s="353">
        <v>1</v>
      </c>
      <c r="M189" s="353">
        <v>14.4</v>
      </c>
      <c r="N189" s="353">
        <v>0.9</v>
      </c>
      <c r="O189" s="353" t="s">
        <v>153</v>
      </c>
      <c r="P189" s="353">
        <v>2013</v>
      </c>
      <c r="Q189" t="s">
        <v>68</v>
      </c>
      <c r="R189" t="s">
        <v>1882</v>
      </c>
      <c r="S189" s="378" t="s">
        <v>191</v>
      </c>
      <c r="T189" s="378" t="s">
        <v>1047</v>
      </c>
      <c r="U189" s="377" t="s">
        <v>162</v>
      </c>
    </row>
    <row r="190" spans="1:21" x14ac:dyDescent="0.2">
      <c r="A190" s="353">
        <v>655274</v>
      </c>
      <c r="B190" s="340" t="s">
        <v>1139</v>
      </c>
      <c r="C190" s="353">
        <v>9</v>
      </c>
      <c r="D190" s="353">
        <v>3</v>
      </c>
      <c r="E190" s="353">
        <v>5</v>
      </c>
      <c r="F190" s="353">
        <v>4</v>
      </c>
      <c r="G190" s="353">
        <v>10</v>
      </c>
      <c r="H190" s="353">
        <v>23</v>
      </c>
      <c r="I190" s="353">
        <v>46</v>
      </c>
      <c r="J190" s="353">
        <v>7.8</v>
      </c>
      <c r="K190" s="353">
        <v>0.25</v>
      </c>
      <c r="L190" s="353">
        <v>1.03</v>
      </c>
      <c r="M190" s="353">
        <v>6.1</v>
      </c>
      <c r="N190" s="353">
        <v>1.2</v>
      </c>
      <c r="O190" s="353" t="s">
        <v>153</v>
      </c>
      <c r="P190" s="353">
        <v>2016</v>
      </c>
      <c r="Q190" t="s">
        <v>154</v>
      </c>
      <c r="R190" t="s">
        <v>1949</v>
      </c>
      <c r="S190" s="378" t="s">
        <v>171</v>
      </c>
      <c r="T190" s="378" t="s">
        <v>1024</v>
      </c>
    </row>
    <row r="191" spans="1:21" x14ac:dyDescent="0.2">
      <c r="A191" s="353">
        <v>453100</v>
      </c>
      <c r="B191" s="340" t="s">
        <v>759</v>
      </c>
      <c r="C191" s="353">
        <v>3</v>
      </c>
      <c r="D191" s="353">
        <v>0</v>
      </c>
      <c r="E191" s="353">
        <v>0</v>
      </c>
      <c r="F191" s="353">
        <v>1</v>
      </c>
      <c r="G191" s="353">
        <v>3</v>
      </c>
      <c r="H191" s="353">
        <v>9</v>
      </c>
      <c r="I191" s="353">
        <v>14</v>
      </c>
      <c r="J191" s="353">
        <v>2.6</v>
      </c>
      <c r="K191" s="353">
        <v>0.25</v>
      </c>
      <c r="L191" s="353">
        <v>0.61</v>
      </c>
      <c r="M191" s="353">
        <v>0.9</v>
      </c>
      <c r="N191" s="353">
        <v>3.4</v>
      </c>
      <c r="O191" s="353" t="s">
        <v>153</v>
      </c>
      <c r="P191" s="353">
        <v>2014</v>
      </c>
      <c r="Q191" t="s">
        <v>154</v>
      </c>
      <c r="R191" t="s">
        <v>1436</v>
      </c>
      <c r="S191" s="378" t="s">
        <v>155</v>
      </c>
      <c r="T191" s="378" t="s">
        <v>1044</v>
      </c>
    </row>
    <row r="192" spans="1:21" x14ac:dyDescent="0.2">
      <c r="A192" s="353">
        <v>191437</v>
      </c>
      <c r="B192" s="340" t="s">
        <v>286</v>
      </c>
      <c r="C192" s="353">
        <v>3</v>
      </c>
      <c r="D192" s="353">
        <v>0</v>
      </c>
      <c r="E192" s="353">
        <v>1</v>
      </c>
      <c r="F192" s="353">
        <v>1</v>
      </c>
      <c r="G192" s="353">
        <v>4</v>
      </c>
      <c r="H192" s="353">
        <v>5</v>
      </c>
      <c r="I192" s="353">
        <v>13</v>
      </c>
      <c r="J192" s="353">
        <v>2.5</v>
      </c>
      <c r="K192" s="353">
        <v>0.25</v>
      </c>
      <c r="L192" s="353">
        <v>1.02</v>
      </c>
      <c r="M192" s="353">
        <v>1.9</v>
      </c>
      <c r="N192" s="353">
        <v>1</v>
      </c>
      <c r="O192" s="353" t="s">
        <v>153</v>
      </c>
      <c r="P192" s="353">
        <v>2011</v>
      </c>
      <c r="Q192" t="s">
        <v>68</v>
      </c>
      <c r="R192" t="s">
        <v>1399</v>
      </c>
      <c r="S192" s="378" t="s">
        <v>942</v>
      </c>
      <c r="T192" s="378" t="s">
        <v>1038</v>
      </c>
    </row>
    <row r="193" spans="1:21" x14ac:dyDescent="0.2">
      <c r="A193" s="353">
        <v>111518</v>
      </c>
      <c r="B193" s="340" t="s">
        <v>292</v>
      </c>
      <c r="C193" s="353">
        <v>0</v>
      </c>
      <c r="D193" s="353">
        <v>0</v>
      </c>
      <c r="E193" s="353">
        <v>0</v>
      </c>
      <c r="F193" s="353">
        <v>0</v>
      </c>
      <c r="G193" s="353">
        <v>-4</v>
      </c>
      <c r="H193" s="353">
        <v>0</v>
      </c>
      <c r="I193" s="353">
        <v>5</v>
      </c>
      <c r="J193" s="353">
        <v>1</v>
      </c>
      <c r="K193" s="353">
        <v>0.25</v>
      </c>
      <c r="L193" s="353">
        <v>0.6</v>
      </c>
      <c r="M193" s="353">
        <v>7.7</v>
      </c>
      <c r="N193" s="353">
        <v>0.1</v>
      </c>
      <c r="O193" s="353" t="s">
        <v>293</v>
      </c>
      <c r="P193" s="353">
        <v>2001</v>
      </c>
      <c r="Q193" t="s">
        <v>68</v>
      </c>
      <c r="R193" t="s">
        <v>1471</v>
      </c>
      <c r="S193" s="378" t="s">
        <v>294</v>
      </c>
      <c r="T193" s="378" t="s">
        <v>1044</v>
      </c>
    </row>
    <row r="194" spans="1:21" x14ac:dyDescent="0.2">
      <c r="A194" s="353">
        <v>750075</v>
      </c>
      <c r="B194" s="340" t="s">
        <v>305</v>
      </c>
      <c r="C194" s="353">
        <v>21</v>
      </c>
      <c r="D194" s="353">
        <v>6</v>
      </c>
      <c r="E194" s="353">
        <v>8</v>
      </c>
      <c r="F194" s="353">
        <v>9</v>
      </c>
      <c r="G194" s="353">
        <v>16</v>
      </c>
      <c r="H194" s="353">
        <v>30</v>
      </c>
      <c r="I194" s="353"/>
      <c r="J194" s="353"/>
      <c r="K194" s="353">
        <v>0.25</v>
      </c>
      <c r="L194" s="353">
        <v>0.85</v>
      </c>
      <c r="M194" s="353">
        <v>14.5</v>
      </c>
      <c r="N194" s="353">
        <v>0.7</v>
      </c>
      <c r="O194" s="353" t="s">
        <v>153</v>
      </c>
      <c r="P194" s="353">
        <v>2013</v>
      </c>
      <c r="Q194" t="s">
        <v>68</v>
      </c>
      <c r="R194" t="s">
        <v>1198</v>
      </c>
      <c r="S194" s="378" t="s">
        <v>158</v>
      </c>
      <c r="T194" s="378" t="s">
        <v>295</v>
      </c>
    </row>
    <row r="195" spans="1:21" x14ac:dyDescent="0.2">
      <c r="A195" s="353">
        <v>610410</v>
      </c>
      <c r="B195" s="340" t="s">
        <v>291</v>
      </c>
      <c r="C195" s="353">
        <v>14</v>
      </c>
      <c r="D195" s="353">
        <v>2</v>
      </c>
      <c r="E195" s="353">
        <v>8</v>
      </c>
      <c r="F195" s="353">
        <v>3</v>
      </c>
      <c r="G195" s="353">
        <v>19</v>
      </c>
      <c r="H195" s="353">
        <v>31</v>
      </c>
      <c r="I195" s="353"/>
      <c r="J195" s="353"/>
      <c r="K195" s="353">
        <v>0.25</v>
      </c>
      <c r="L195" s="353">
        <v>0.5</v>
      </c>
      <c r="M195" s="353">
        <v>13.2</v>
      </c>
      <c r="N195" s="353">
        <v>0.8</v>
      </c>
      <c r="O195" s="353" t="s">
        <v>153</v>
      </c>
      <c r="P195" s="353">
        <v>2013</v>
      </c>
      <c r="Q195" t="s">
        <v>68</v>
      </c>
      <c r="R195" t="s">
        <v>1296</v>
      </c>
      <c r="S195" s="378" t="s">
        <v>198</v>
      </c>
      <c r="T195" s="378" t="s">
        <v>219</v>
      </c>
    </row>
    <row r="196" spans="1:21" x14ac:dyDescent="0.2">
      <c r="A196" s="353">
        <v>358309</v>
      </c>
      <c r="B196" s="340" t="s">
        <v>981</v>
      </c>
      <c r="C196" s="353">
        <v>8</v>
      </c>
      <c r="D196" s="353">
        <v>4</v>
      </c>
      <c r="E196" s="353">
        <v>7</v>
      </c>
      <c r="F196" s="353">
        <v>2</v>
      </c>
      <c r="G196" s="353">
        <v>14</v>
      </c>
      <c r="H196" s="353"/>
      <c r="I196" s="353"/>
      <c r="J196" s="353"/>
      <c r="K196" s="353">
        <v>0.25</v>
      </c>
      <c r="L196" s="353">
        <v>0.5</v>
      </c>
      <c r="M196" s="353"/>
      <c r="N196" s="353"/>
      <c r="O196" s="353" t="s">
        <v>153</v>
      </c>
      <c r="P196" s="353">
        <v>2016</v>
      </c>
      <c r="Q196" t="s">
        <v>154</v>
      </c>
      <c r="R196" t="s">
        <v>1447</v>
      </c>
      <c r="S196" s="378" t="s">
        <v>164</v>
      </c>
      <c r="T196" s="378" t="s">
        <v>181</v>
      </c>
    </row>
    <row r="197" spans="1:21" x14ac:dyDescent="0.2">
      <c r="A197" s="353">
        <v>218115</v>
      </c>
      <c r="B197" s="340" t="s">
        <v>297</v>
      </c>
      <c r="C197" s="353">
        <v>13</v>
      </c>
      <c r="D197" s="353">
        <v>7</v>
      </c>
      <c r="E197" s="353">
        <v>11</v>
      </c>
      <c r="F197" s="353">
        <v>10</v>
      </c>
      <c r="G197" s="353">
        <v>13</v>
      </c>
      <c r="H197" s="353">
        <v>46</v>
      </c>
      <c r="I197" s="353"/>
      <c r="J197" s="353"/>
      <c r="K197" s="353">
        <v>0.25</v>
      </c>
      <c r="L197" s="353">
        <v>1</v>
      </c>
      <c r="M197" s="353">
        <v>15.5</v>
      </c>
      <c r="N197" s="353">
        <v>0.9</v>
      </c>
      <c r="O197" s="353" t="s">
        <v>153</v>
      </c>
      <c r="P197" s="353">
        <v>2013</v>
      </c>
      <c r="Q197" t="s">
        <v>68</v>
      </c>
      <c r="R197" t="s">
        <v>1570</v>
      </c>
      <c r="S197" s="378" t="s">
        <v>191</v>
      </c>
      <c r="T197" s="378" t="s">
        <v>201</v>
      </c>
      <c r="U197" s="377" t="s">
        <v>162</v>
      </c>
    </row>
    <row r="198" spans="1:21" x14ac:dyDescent="0.2">
      <c r="A198" s="353">
        <v>678128</v>
      </c>
      <c r="B198" s="340" t="s">
        <v>324</v>
      </c>
      <c r="C198" s="353">
        <v>7</v>
      </c>
      <c r="D198" s="353">
        <v>5</v>
      </c>
      <c r="E198" s="353">
        <v>8</v>
      </c>
      <c r="F198" s="353">
        <v>3</v>
      </c>
      <c r="G198" s="353">
        <v>14</v>
      </c>
      <c r="H198" s="353">
        <v>49</v>
      </c>
      <c r="I198" s="353">
        <v>145</v>
      </c>
      <c r="J198" s="353">
        <v>19.600000000000001</v>
      </c>
      <c r="K198" s="353">
        <v>0.26</v>
      </c>
      <c r="L198" s="353">
        <v>0.67</v>
      </c>
      <c r="M198" s="353">
        <v>13.6</v>
      </c>
      <c r="N198" s="353">
        <v>1.1000000000000001</v>
      </c>
      <c r="O198" s="353" t="s">
        <v>153</v>
      </c>
      <c r="P198" s="353">
        <v>2000</v>
      </c>
      <c r="Q198" t="s">
        <v>154</v>
      </c>
      <c r="R198" t="s">
        <v>1761</v>
      </c>
      <c r="S198" s="378" t="s">
        <v>166</v>
      </c>
      <c r="T198" s="378" t="s">
        <v>1047</v>
      </c>
      <c r="U198" s="377" t="s">
        <v>162</v>
      </c>
    </row>
    <row r="199" spans="1:21" x14ac:dyDescent="0.2">
      <c r="A199" s="353">
        <v>606467</v>
      </c>
      <c r="B199" s="340" t="s">
        <v>332</v>
      </c>
      <c r="C199" s="353">
        <v>10</v>
      </c>
      <c r="D199" s="353">
        <v>7</v>
      </c>
      <c r="E199" s="353">
        <v>10</v>
      </c>
      <c r="F199" s="353">
        <v>7</v>
      </c>
      <c r="G199" s="353">
        <v>9</v>
      </c>
      <c r="H199" s="353">
        <v>49</v>
      </c>
      <c r="I199" s="353">
        <v>115</v>
      </c>
      <c r="J199" s="353">
        <v>16.5</v>
      </c>
      <c r="K199" s="353">
        <v>0.26</v>
      </c>
      <c r="L199" s="353">
        <v>0.71</v>
      </c>
      <c r="M199" s="353">
        <v>15.5</v>
      </c>
      <c r="N199" s="353">
        <v>0.9</v>
      </c>
      <c r="O199" s="353" t="s">
        <v>153</v>
      </c>
      <c r="P199" s="353">
        <v>2000</v>
      </c>
      <c r="Q199" t="s">
        <v>154</v>
      </c>
      <c r="R199" t="s">
        <v>1219</v>
      </c>
      <c r="S199" s="378" t="s">
        <v>166</v>
      </c>
      <c r="T199" s="378" t="s">
        <v>201</v>
      </c>
      <c r="U199" s="377" t="s">
        <v>162</v>
      </c>
    </row>
    <row r="200" spans="1:21" x14ac:dyDescent="0.2">
      <c r="A200" s="353">
        <v>613729</v>
      </c>
      <c r="B200" s="340" t="s">
        <v>310</v>
      </c>
      <c r="C200" s="353">
        <v>9</v>
      </c>
      <c r="D200" s="353">
        <v>5</v>
      </c>
      <c r="E200" s="353">
        <v>8</v>
      </c>
      <c r="F200" s="353">
        <v>3</v>
      </c>
      <c r="G200" s="353">
        <v>14</v>
      </c>
      <c r="H200" s="353">
        <v>42</v>
      </c>
      <c r="I200" s="353">
        <v>114</v>
      </c>
      <c r="J200" s="353">
        <v>16.5</v>
      </c>
      <c r="K200" s="353">
        <v>0.26</v>
      </c>
      <c r="L200" s="353">
        <v>0.53</v>
      </c>
      <c r="M200" s="353">
        <v>12.9</v>
      </c>
      <c r="N200" s="353">
        <v>1</v>
      </c>
      <c r="O200" s="353" t="s">
        <v>153</v>
      </c>
      <c r="P200" s="353">
        <v>2002</v>
      </c>
      <c r="Q200" t="s">
        <v>154</v>
      </c>
      <c r="R200" t="s">
        <v>1201</v>
      </c>
      <c r="S200" s="378" t="s">
        <v>207</v>
      </c>
      <c r="T200" s="378" t="s">
        <v>181</v>
      </c>
      <c r="U200" s="377" t="s">
        <v>162</v>
      </c>
    </row>
    <row r="201" spans="1:21" x14ac:dyDescent="0.2">
      <c r="A201" s="353">
        <v>282517</v>
      </c>
      <c r="B201" s="340" t="s">
        <v>296</v>
      </c>
      <c r="C201" s="353">
        <v>11</v>
      </c>
      <c r="D201" s="353">
        <v>6</v>
      </c>
      <c r="E201" s="353">
        <v>9</v>
      </c>
      <c r="F201" s="353">
        <v>5</v>
      </c>
      <c r="G201" s="353">
        <v>17</v>
      </c>
      <c r="H201" s="353">
        <v>43</v>
      </c>
      <c r="I201" s="353">
        <v>102</v>
      </c>
      <c r="J201" s="353">
        <v>15.1</v>
      </c>
      <c r="K201" s="353">
        <v>0.26</v>
      </c>
      <c r="L201" s="353">
        <v>1.06</v>
      </c>
      <c r="M201" s="353">
        <v>14</v>
      </c>
      <c r="N201" s="353">
        <v>0.9</v>
      </c>
      <c r="O201" s="353" t="s">
        <v>153</v>
      </c>
      <c r="P201" s="353">
        <v>2012</v>
      </c>
      <c r="Q201" t="s">
        <v>68</v>
      </c>
      <c r="R201" t="s">
        <v>1569</v>
      </c>
      <c r="S201" s="378" t="s">
        <v>191</v>
      </c>
      <c r="T201" s="378" t="s">
        <v>181</v>
      </c>
      <c r="U201" s="377" t="s">
        <v>162</v>
      </c>
    </row>
    <row r="202" spans="1:21" x14ac:dyDescent="0.2">
      <c r="A202" s="353">
        <v>570630</v>
      </c>
      <c r="B202" s="340" t="s">
        <v>334</v>
      </c>
      <c r="C202" s="353">
        <v>13</v>
      </c>
      <c r="D202" s="353">
        <v>3</v>
      </c>
      <c r="E202" s="353">
        <v>7</v>
      </c>
      <c r="F202" s="353">
        <v>5</v>
      </c>
      <c r="G202" s="353">
        <v>17</v>
      </c>
      <c r="H202" s="353">
        <v>29</v>
      </c>
      <c r="I202" s="353">
        <v>81</v>
      </c>
      <c r="J202" s="353">
        <v>12.6</v>
      </c>
      <c r="K202" s="353">
        <v>0.26</v>
      </c>
      <c r="L202" s="353">
        <v>0.68</v>
      </c>
      <c r="M202" s="353">
        <v>14.1</v>
      </c>
      <c r="N202" s="353">
        <v>0.7</v>
      </c>
      <c r="O202" s="353" t="s">
        <v>153</v>
      </c>
      <c r="P202" s="353">
        <v>2000</v>
      </c>
      <c r="Q202" t="s">
        <v>154</v>
      </c>
      <c r="R202" t="s">
        <v>1527</v>
      </c>
      <c r="S202" s="378" t="s">
        <v>166</v>
      </c>
      <c r="T202" s="378" t="s">
        <v>215</v>
      </c>
      <c r="U202" s="377" t="s">
        <v>162</v>
      </c>
    </row>
    <row r="203" spans="1:21" x14ac:dyDescent="0.2">
      <c r="A203" s="353">
        <v>642298</v>
      </c>
      <c r="B203" s="340" t="s">
        <v>333</v>
      </c>
      <c r="C203" s="353">
        <v>9</v>
      </c>
      <c r="D203" s="353">
        <v>4</v>
      </c>
      <c r="E203" s="353">
        <v>4</v>
      </c>
      <c r="F203" s="353">
        <v>-1</v>
      </c>
      <c r="G203" s="353">
        <v>8</v>
      </c>
      <c r="H203" s="353">
        <v>23</v>
      </c>
      <c r="I203" s="353">
        <v>59</v>
      </c>
      <c r="J203" s="353">
        <v>9.8000000000000007</v>
      </c>
      <c r="K203" s="353">
        <v>0.26</v>
      </c>
      <c r="L203" s="353">
        <v>0.69</v>
      </c>
      <c r="M203" s="353">
        <v>14.8</v>
      </c>
      <c r="N203" s="353">
        <v>0.5</v>
      </c>
      <c r="O203" s="353" t="s">
        <v>153</v>
      </c>
      <c r="P203" s="353">
        <v>2000</v>
      </c>
      <c r="Q203" t="s">
        <v>154</v>
      </c>
      <c r="R203" t="s">
        <v>1811</v>
      </c>
      <c r="S203" s="378" t="s">
        <v>166</v>
      </c>
      <c r="T203" s="378" t="s">
        <v>1048</v>
      </c>
      <c r="U203" s="377" t="s">
        <v>162</v>
      </c>
    </row>
    <row r="204" spans="1:21" x14ac:dyDescent="0.2">
      <c r="A204" s="353">
        <v>426726</v>
      </c>
      <c r="B204" s="340" t="s">
        <v>299</v>
      </c>
      <c r="C204" s="353">
        <v>2</v>
      </c>
      <c r="D204" s="353">
        <v>3</v>
      </c>
      <c r="E204" s="353">
        <v>3</v>
      </c>
      <c r="F204" s="353">
        <v>2</v>
      </c>
      <c r="G204" s="353">
        <v>-2</v>
      </c>
      <c r="H204" s="353">
        <v>11</v>
      </c>
      <c r="I204" s="353">
        <v>32</v>
      </c>
      <c r="J204" s="353">
        <v>5.8</v>
      </c>
      <c r="K204" s="353">
        <v>0.26</v>
      </c>
      <c r="L204" s="353">
        <v>0.65</v>
      </c>
      <c r="M204" s="353">
        <v>6.6</v>
      </c>
      <c r="N204" s="353">
        <v>0.6</v>
      </c>
      <c r="O204" s="353" t="s">
        <v>203</v>
      </c>
      <c r="P204" s="353">
        <v>2000</v>
      </c>
      <c r="Q204" t="s">
        <v>68</v>
      </c>
      <c r="R204" t="s">
        <v>1456</v>
      </c>
      <c r="S204" s="378" t="s">
        <v>198</v>
      </c>
      <c r="T204" s="378" t="s">
        <v>1043</v>
      </c>
    </row>
    <row r="205" spans="1:21" x14ac:dyDescent="0.2">
      <c r="A205" s="353">
        <v>252296</v>
      </c>
      <c r="B205" s="340" t="s">
        <v>300</v>
      </c>
      <c r="C205" s="353">
        <v>0</v>
      </c>
      <c r="D205" s="353">
        <v>2</v>
      </c>
      <c r="E205" s="353">
        <v>2</v>
      </c>
      <c r="F205" s="353">
        <v>0</v>
      </c>
      <c r="G205" s="353">
        <v>-1</v>
      </c>
      <c r="H205" s="353">
        <v>10</v>
      </c>
      <c r="I205" s="353">
        <v>30</v>
      </c>
      <c r="J205" s="353">
        <v>5.5</v>
      </c>
      <c r="K205" s="353">
        <v>0.26</v>
      </c>
      <c r="L205" s="353">
        <v>0.8</v>
      </c>
      <c r="M205" s="353">
        <v>7.3</v>
      </c>
      <c r="N205" s="353">
        <v>0.5</v>
      </c>
      <c r="O205" s="353" t="s">
        <v>293</v>
      </c>
      <c r="P205" s="353">
        <v>2006</v>
      </c>
      <c r="Q205" t="s">
        <v>68</v>
      </c>
      <c r="R205" t="s">
        <v>1870</v>
      </c>
      <c r="S205" s="378" t="s">
        <v>176</v>
      </c>
      <c r="T205" s="378" t="s">
        <v>1038</v>
      </c>
    </row>
    <row r="206" spans="1:21" x14ac:dyDescent="0.2">
      <c r="A206" s="353">
        <v>921908</v>
      </c>
      <c r="B206" s="340" t="s">
        <v>821</v>
      </c>
      <c r="C206" s="353">
        <v>1</v>
      </c>
      <c r="D206" s="353">
        <v>0</v>
      </c>
      <c r="E206" s="353">
        <v>0</v>
      </c>
      <c r="F206" s="353">
        <v>0</v>
      </c>
      <c r="G206" s="353">
        <v>2</v>
      </c>
      <c r="H206" s="353"/>
      <c r="I206" s="353"/>
      <c r="J206" s="353"/>
      <c r="K206" s="353">
        <v>0.26</v>
      </c>
      <c r="L206" s="353">
        <v>0.8</v>
      </c>
      <c r="M206" s="353"/>
      <c r="N206" s="353"/>
      <c r="O206" s="353" t="s">
        <v>153</v>
      </c>
      <c r="P206" s="353">
        <v>2015</v>
      </c>
      <c r="Q206" t="s">
        <v>68</v>
      </c>
      <c r="R206" t="s">
        <v>1423</v>
      </c>
      <c r="S206" s="378" t="s">
        <v>176</v>
      </c>
      <c r="T206" s="378" t="s">
        <v>1038</v>
      </c>
    </row>
    <row r="207" spans="1:21" x14ac:dyDescent="0.2">
      <c r="A207" s="353">
        <v>283408</v>
      </c>
      <c r="B207" s="340" t="s">
        <v>128</v>
      </c>
      <c r="C207" s="353">
        <v>32</v>
      </c>
      <c r="D207" s="353">
        <v>10</v>
      </c>
      <c r="E207" s="353">
        <v>14</v>
      </c>
      <c r="F207" s="353">
        <v>15</v>
      </c>
      <c r="G207" s="353">
        <v>30</v>
      </c>
      <c r="H207" s="353">
        <v>83</v>
      </c>
      <c r="I207" s="353">
        <v>194</v>
      </c>
      <c r="J207" s="353">
        <v>24.1</v>
      </c>
      <c r="K207" s="353">
        <v>0.27</v>
      </c>
      <c r="L207" s="353">
        <v>1.28</v>
      </c>
      <c r="M207" s="353">
        <v>17.600000000000001</v>
      </c>
      <c r="N207" s="353">
        <v>1.3</v>
      </c>
      <c r="O207" s="353" t="s">
        <v>153</v>
      </c>
      <c r="P207" s="353">
        <v>2000</v>
      </c>
      <c r="Q207" t="s">
        <v>154</v>
      </c>
      <c r="R207" t="s">
        <v>1290</v>
      </c>
      <c r="S207" s="378" t="s">
        <v>171</v>
      </c>
      <c r="T207" s="378" t="s">
        <v>253</v>
      </c>
      <c r="U207" s="377" t="s">
        <v>162</v>
      </c>
    </row>
    <row r="208" spans="1:21" x14ac:dyDescent="0.2">
      <c r="A208" s="353">
        <v>856682</v>
      </c>
      <c r="B208" s="340" t="s">
        <v>319</v>
      </c>
      <c r="C208" s="353">
        <v>13</v>
      </c>
      <c r="D208" s="353">
        <v>1</v>
      </c>
      <c r="E208" s="353">
        <v>5</v>
      </c>
      <c r="F208" s="353">
        <v>2</v>
      </c>
      <c r="G208" s="353">
        <v>16</v>
      </c>
      <c r="H208" s="353">
        <v>75</v>
      </c>
      <c r="I208" s="353">
        <v>177</v>
      </c>
      <c r="J208" s="353">
        <v>22.6</v>
      </c>
      <c r="K208" s="353">
        <v>0.27</v>
      </c>
      <c r="L208" s="353">
        <v>1.29</v>
      </c>
      <c r="M208" s="353">
        <v>14.8</v>
      </c>
      <c r="N208" s="353">
        <v>1.4</v>
      </c>
      <c r="O208" s="353" t="s">
        <v>153</v>
      </c>
      <c r="P208" s="353">
        <v>2000</v>
      </c>
      <c r="Q208" t="s">
        <v>154</v>
      </c>
      <c r="R208" t="s">
        <v>1616</v>
      </c>
      <c r="S208" s="378" t="s">
        <v>171</v>
      </c>
      <c r="T208" s="378" t="s">
        <v>258</v>
      </c>
      <c r="U208" s="377" t="s">
        <v>162</v>
      </c>
    </row>
    <row r="209" spans="1:21" x14ac:dyDescent="0.2">
      <c r="A209" s="353">
        <v>896761</v>
      </c>
      <c r="B209" s="340" t="s">
        <v>316</v>
      </c>
      <c r="C209" s="353">
        <v>24</v>
      </c>
      <c r="D209" s="353">
        <v>3</v>
      </c>
      <c r="E209" s="353">
        <v>11</v>
      </c>
      <c r="F209" s="353">
        <v>12</v>
      </c>
      <c r="G209" s="353">
        <v>29</v>
      </c>
      <c r="H209" s="353">
        <v>55</v>
      </c>
      <c r="I209" s="353">
        <v>131</v>
      </c>
      <c r="J209" s="353">
        <v>18.3</v>
      </c>
      <c r="K209" s="353">
        <v>0.27</v>
      </c>
      <c r="L209" s="353">
        <v>1.29</v>
      </c>
      <c r="M209" s="353">
        <v>15.5</v>
      </c>
      <c r="N209" s="353">
        <v>1</v>
      </c>
      <c r="O209" s="353" t="s">
        <v>153</v>
      </c>
      <c r="P209" s="353">
        <v>2000</v>
      </c>
      <c r="Q209" t="s">
        <v>154</v>
      </c>
      <c r="R209" t="s">
        <v>1615</v>
      </c>
      <c r="S209" s="378" t="s">
        <v>171</v>
      </c>
      <c r="T209" s="378" t="s">
        <v>1046</v>
      </c>
      <c r="U209" s="377" t="s">
        <v>162</v>
      </c>
    </row>
    <row r="210" spans="1:21" x14ac:dyDescent="0.2">
      <c r="A210" s="353">
        <v>860932</v>
      </c>
      <c r="B210" s="340" t="s">
        <v>317</v>
      </c>
      <c r="C210" s="353">
        <v>17</v>
      </c>
      <c r="D210" s="353">
        <v>3</v>
      </c>
      <c r="E210" s="353">
        <v>7</v>
      </c>
      <c r="F210" s="353">
        <v>9</v>
      </c>
      <c r="G210" s="353">
        <v>16</v>
      </c>
      <c r="H210" s="353">
        <v>66</v>
      </c>
      <c r="I210" s="353">
        <v>113</v>
      </c>
      <c r="J210" s="353">
        <v>16.3</v>
      </c>
      <c r="K210" s="353">
        <v>0.27</v>
      </c>
      <c r="L210" s="353">
        <v>1.29</v>
      </c>
      <c r="M210" s="353">
        <v>12.4</v>
      </c>
      <c r="N210" s="353">
        <v>1.5</v>
      </c>
      <c r="O210" s="353" t="s">
        <v>153</v>
      </c>
      <c r="P210" s="353">
        <v>2000</v>
      </c>
      <c r="Q210" t="s">
        <v>154</v>
      </c>
      <c r="R210" t="s">
        <v>1526</v>
      </c>
      <c r="S210" s="378" t="s">
        <v>171</v>
      </c>
      <c r="T210" s="378" t="s">
        <v>318</v>
      </c>
    </row>
    <row r="211" spans="1:21" x14ac:dyDescent="0.2">
      <c r="A211" s="353">
        <v>928341</v>
      </c>
      <c r="B211" s="340" t="s">
        <v>61</v>
      </c>
      <c r="C211" s="353">
        <v>-2</v>
      </c>
      <c r="D211" s="353">
        <v>-1</v>
      </c>
      <c r="E211" s="353">
        <v>-1</v>
      </c>
      <c r="F211" s="353">
        <v>-7</v>
      </c>
      <c r="G211" s="353">
        <v>-1</v>
      </c>
      <c r="H211" s="353">
        <v>13</v>
      </c>
      <c r="I211" s="353">
        <v>98</v>
      </c>
      <c r="J211" s="353">
        <v>14.7</v>
      </c>
      <c r="K211" s="353">
        <v>0.27</v>
      </c>
      <c r="L211" s="353">
        <v>1.29</v>
      </c>
      <c r="M211" s="353">
        <v>15.5</v>
      </c>
      <c r="N211" s="353">
        <v>0.4</v>
      </c>
      <c r="O211" s="353" t="s">
        <v>153</v>
      </c>
      <c r="P211" s="353">
        <v>2000</v>
      </c>
      <c r="Q211" t="s">
        <v>154</v>
      </c>
      <c r="R211" t="s">
        <v>1517</v>
      </c>
      <c r="S211" s="378" t="s">
        <v>171</v>
      </c>
      <c r="T211" s="378" t="s">
        <v>1051</v>
      </c>
      <c r="U211" s="377" t="s">
        <v>162</v>
      </c>
    </row>
    <row r="212" spans="1:21" x14ac:dyDescent="0.2">
      <c r="A212" s="353">
        <v>968420</v>
      </c>
      <c r="B212" s="340" t="s">
        <v>315</v>
      </c>
      <c r="C212" s="353">
        <v>6</v>
      </c>
      <c r="D212" s="353">
        <v>2</v>
      </c>
      <c r="E212" s="353">
        <v>3</v>
      </c>
      <c r="F212" s="353">
        <v>3</v>
      </c>
      <c r="G212" s="353">
        <v>5</v>
      </c>
      <c r="H212" s="353">
        <v>44</v>
      </c>
      <c r="I212" s="353">
        <v>99</v>
      </c>
      <c r="J212" s="353">
        <v>14.7</v>
      </c>
      <c r="K212" s="353">
        <v>0.27</v>
      </c>
      <c r="L212" s="353">
        <v>1.29</v>
      </c>
      <c r="M212" s="353">
        <v>13.6</v>
      </c>
      <c r="N212" s="353">
        <v>1</v>
      </c>
      <c r="O212" s="353" t="s">
        <v>153</v>
      </c>
      <c r="P212" s="353">
        <v>2000</v>
      </c>
      <c r="Q212" t="s">
        <v>154</v>
      </c>
      <c r="R212" t="s">
        <v>1521</v>
      </c>
      <c r="S212" s="378" t="s">
        <v>171</v>
      </c>
      <c r="T212" s="378" t="s">
        <v>1049</v>
      </c>
    </row>
    <row r="213" spans="1:21" x14ac:dyDescent="0.2">
      <c r="A213" s="353">
        <v>820852</v>
      </c>
      <c r="B213" s="340" t="s">
        <v>329</v>
      </c>
      <c r="C213" s="353">
        <v>13</v>
      </c>
      <c r="D213" s="353">
        <v>2</v>
      </c>
      <c r="E213" s="353">
        <v>8</v>
      </c>
      <c r="F213" s="353">
        <v>9</v>
      </c>
      <c r="G213" s="353">
        <v>16</v>
      </c>
      <c r="H213" s="353">
        <v>35</v>
      </c>
      <c r="I213" s="353">
        <v>76</v>
      </c>
      <c r="J213" s="353">
        <v>11.9</v>
      </c>
      <c r="K213" s="353">
        <v>0.27</v>
      </c>
      <c r="L213" s="353">
        <v>1.29</v>
      </c>
      <c r="M213" s="353">
        <v>12.7</v>
      </c>
      <c r="N213" s="353">
        <v>0.9</v>
      </c>
      <c r="O213" s="353" t="s">
        <v>153</v>
      </c>
      <c r="P213" s="353">
        <v>2000</v>
      </c>
      <c r="Q213" t="s">
        <v>154</v>
      </c>
      <c r="R213" t="s">
        <v>1617</v>
      </c>
      <c r="S213" s="378" t="s">
        <v>171</v>
      </c>
      <c r="T213" s="378" t="s">
        <v>318</v>
      </c>
      <c r="U213" s="377" t="s">
        <v>162</v>
      </c>
    </row>
    <row r="214" spans="1:21" x14ac:dyDescent="0.2">
      <c r="A214" s="353">
        <v>691105</v>
      </c>
      <c r="B214" s="340" t="s">
        <v>979</v>
      </c>
      <c r="C214" s="353">
        <v>13</v>
      </c>
      <c r="D214" s="353">
        <v>4</v>
      </c>
      <c r="E214" s="353">
        <v>7</v>
      </c>
      <c r="F214" s="353">
        <v>5</v>
      </c>
      <c r="G214" s="353">
        <v>15</v>
      </c>
      <c r="H214" s="353">
        <v>33</v>
      </c>
      <c r="I214" s="353">
        <v>69</v>
      </c>
      <c r="J214" s="353">
        <v>11.1</v>
      </c>
      <c r="K214" s="353">
        <v>0.27</v>
      </c>
      <c r="L214" s="353">
        <v>1.24</v>
      </c>
      <c r="M214" s="353">
        <v>9</v>
      </c>
      <c r="N214" s="353">
        <v>1.1000000000000001</v>
      </c>
      <c r="O214" s="353" t="s">
        <v>153</v>
      </c>
      <c r="P214" s="353">
        <v>2016</v>
      </c>
      <c r="Q214" t="s">
        <v>154</v>
      </c>
      <c r="R214" t="s">
        <v>1318</v>
      </c>
      <c r="S214" s="378" t="s">
        <v>171</v>
      </c>
      <c r="T214" s="378" t="s">
        <v>1024</v>
      </c>
    </row>
    <row r="215" spans="1:21" x14ac:dyDescent="0.2">
      <c r="A215" s="353">
        <v>955435</v>
      </c>
      <c r="B215" s="340" t="s">
        <v>392</v>
      </c>
      <c r="C215" s="353">
        <v>7</v>
      </c>
      <c r="D215" s="353">
        <v>3</v>
      </c>
      <c r="E215" s="353">
        <v>4</v>
      </c>
      <c r="F215" s="353">
        <v>4</v>
      </c>
      <c r="G215" s="353">
        <v>5</v>
      </c>
      <c r="H215" s="353">
        <v>25</v>
      </c>
      <c r="I215" s="353">
        <v>52</v>
      </c>
      <c r="J215" s="353">
        <v>8.6999999999999993</v>
      </c>
      <c r="K215" s="353">
        <v>0.27</v>
      </c>
      <c r="L215" s="353">
        <v>1</v>
      </c>
      <c r="M215" s="353">
        <v>4.9000000000000004</v>
      </c>
      <c r="N215" s="353">
        <v>1.6</v>
      </c>
      <c r="O215" s="353" t="s">
        <v>203</v>
      </c>
      <c r="P215" s="353">
        <v>2010</v>
      </c>
      <c r="Q215" t="s">
        <v>68</v>
      </c>
      <c r="R215" t="s">
        <v>1649</v>
      </c>
      <c r="S215" s="378" t="s">
        <v>323</v>
      </c>
      <c r="T215" s="378" t="s">
        <v>1043</v>
      </c>
      <c r="U215" s="377" t="s">
        <v>162</v>
      </c>
    </row>
    <row r="216" spans="1:21" x14ac:dyDescent="0.2">
      <c r="A216" s="353">
        <v>732487</v>
      </c>
      <c r="B216" s="340" t="s">
        <v>314</v>
      </c>
      <c r="C216" s="353">
        <v>2</v>
      </c>
      <c r="D216" s="353">
        <v>0</v>
      </c>
      <c r="E216" s="353">
        <v>1</v>
      </c>
      <c r="F216" s="353">
        <v>1</v>
      </c>
      <c r="G216" s="353">
        <v>1</v>
      </c>
      <c r="H216" s="353">
        <v>4</v>
      </c>
      <c r="I216" s="353">
        <v>12</v>
      </c>
      <c r="J216" s="353">
        <v>2.2000000000000002</v>
      </c>
      <c r="K216" s="353">
        <v>0.27</v>
      </c>
      <c r="L216" s="353">
        <v>0.72</v>
      </c>
      <c r="M216" s="353">
        <v>2</v>
      </c>
      <c r="N216" s="353">
        <v>0.7</v>
      </c>
      <c r="O216" s="353" t="s">
        <v>153</v>
      </c>
      <c r="P216" s="353">
        <v>2013</v>
      </c>
      <c r="Q216" t="s">
        <v>154</v>
      </c>
      <c r="R216" t="s">
        <v>1566</v>
      </c>
      <c r="S216" s="378" t="s">
        <v>207</v>
      </c>
      <c r="T216" s="378" t="s">
        <v>1038</v>
      </c>
      <c r="U216" s="377" t="s">
        <v>162</v>
      </c>
    </row>
    <row r="217" spans="1:21" x14ac:dyDescent="0.2">
      <c r="A217" s="353">
        <v>916189</v>
      </c>
      <c r="B217" s="340" t="s">
        <v>362</v>
      </c>
      <c r="C217" s="353">
        <v>12</v>
      </c>
      <c r="D217" s="353">
        <v>2</v>
      </c>
      <c r="E217" s="353">
        <v>7</v>
      </c>
      <c r="F217" s="353">
        <v>2</v>
      </c>
      <c r="G217" s="353">
        <v>16</v>
      </c>
      <c r="H217" s="353">
        <v>37</v>
      </c>
      <c r="I217" s="353">
        <v>101</v>
      </c>
      <c r="J217" s="353">
        <v>15</v>
      </c>
      <c r="K217" s="353">
        <v>0.28000000000000003</v>
      </c>
      <c r="L217" s="353">
        <v>1.05</v>
      </c>
      <c r="M217" s="353">
        <v>13.3</v>
      </c>
      <c r="N217" s="353">
        <v>0.9</v>
      </c>
      <c r="O217" s="353" t="s">
        <v>153</v>
      </c>
      <c r="P217" s="353">
        <v>2000</v>
      </c>
      <c r="Q217" t="s">
        <v>154</v>
      </c>
      <c r="R217" t="s">
        <v>1323</v>
      </c>
      <c r="S217" s="378" t="s">
        <v>194</v>
      </c>
      <c r="T217" s="378" t="s">
        <v>219</v>
      </c>
      <c r="U217" s="377" t="s">
        <v>162</v>
      </c>
    </row>
    <row r="218" spans="1:21" x14ac:dyDescent="0.2">
      <c r="A218" s="353">
        <v>104786</v>
      </c>
      <c r="B218" s="340" t="s">
        <v>364</v>
      </c>
      <c r="C218" s="353">
        <v>3</v>
      </c>
      <c r="D218" s="353">
        <v>1</v>
      </c>
      <c r="E218" s="353">
        <v>1</v>
      </c>
      <c r="F218" s="353">
        <v>2</v>
      </c>
      <c r="G218" s="353">
        <v>3</v>
      </c>
      <c r="H218" s="353">
        <v>6</v>
      </c>
      <c r="I218" s="353">
        <v>23</v>
      </c>
      <c r="J218" s="353">
        <v>4.0999999999999996</v>
      </c>
      <c r="K218" s="353">
        <v>0.28000000000000003</v>
      </c>
      <c r="L218" s="353">
        <v>1.02</v>
      </c>
      <c r="M218" s="353">
        <v>1.7</v>
      </c>
      <c r="N218" s="353">
        <v>1.3</v>
      </c>
      <c r="O218" s="353" t="s">
        <v>153</v>
      </c>
      <c r="P218" s="353">
        <v>2004</v>
      </c>
      <c r="Q218" t="s">
        <v>154</v>
      </c>
      <c r="R218" t="s">
        <v>1494</v>
      </c>
      <c r="S218" s="378" t="s">
        <v>166</v>
      </c>
      <c r="T218" s="378" t="s">
        <v>1044</v>
      </c>
      <c r="U218" s="377" t="s">
        <v>162</v>
      </c>
    </row>
    <row r="219" spans="1:21" x14ac:dyDescent="0.2">
      <c r="A219" s="353">
        <v>112755</v>
      </c>
      <c r="B219" s="340" t="s">
        <v>326</v>
      </c>
      <c r="C219" s="353">
        <v>1</v>
      </c>
      <c r="D219" s="353">
        <v>0</v>
      </c>
      <c r="E219" s="353">
        <v>0</v>
      </c>
      <c r="F219" s="353">
        <v>1</v>
      </c>
      <c r="G219" s="353">
        <v>1</v>
      </c>
      <c r="H219" s="353">
        <v>2</v>
      </c>
      <c r="I219" s="353">
        <v>8</v>
      </c>
      <c r="J219" s="353">
        <v>1.6</v>
      </c>
      <c r="K219" s="353">
        <v>0.28000000000000003</v>
      </c>
      <c r="L219" s="353">
        <v>0.72</v>
      </c>
      <c r="M219" s="353">
        <v>1</v>
      </c>
      <c r="N219" s="353">
        <v>0.8</v>
      </c>
      <c r="O219" s="353" t="s">
        <v>153</v>
      </c>
      <c r="P219" s="353">
        <v>2000</v>
      </c>
      <c r="Q219" t="s">
        <v>154</v>
      </c>
      <c r="R219" t="s">
        <v>1391</v>
      </c>
      <c r="S219" s="378" t="s">
        <v>327</v>
      </c>
      <c r="T219" s="378" t="s">
        <v>1033</v>
      </c>
    </row>
    <row r="220" spans="1:21" x14ac:dyDescent="0.2">
      <c r="A220" s="353">
        <v>308908</v>
      </c>
      <c r="B220" s="340" t="s">
        <v>312</v>
      </c>
      <c r="C220" s="353">
        <v>1</v>
      </c>
      <c r="D220" s="353">
        <v>0</v>
      </c>
      <c r="E220" s="353">
        <v>0</v>
      </c>
      <c r="F220" s="353">
        <v>0</v>
      </c>
      <c r="G220" s="353">
        <v>1</v>
      </c>
      <c r="H220" s="353">
        <v>1</v>
      </c>
      <c r="I220" s="353">
        <v>7</v>
      </c>
      <c r="J220" s="353">
        <v>1.4</v>
      </c>
      <c r="K220" s="353">
        <v>0.28000000000000003</v>
      </c>
      <c r="L220" s="353">
        <v>0.6</v>
      </c>
      <c r="M220" s="353">
        <v>0.4</v>
      </c>
      <c r="N220" s="353">
        <v>1.7</v>
      </c>
      <c r="O220" s="353" t="s">
        <v>153</v>
      </c>
      <c r="P220" s="353">
        <v>2000</v>
      </c>
      <c r="Q220" t="s">
        <v>154</v>
      </c>
      <c r="R220" t="s">
        <v>1374</v>
      </c>
      <c r="S220" s="378" t="s">
        <v>313</v>
      </c>
      <c r="T220" s="378" t="s">
        <v>1031</v>
      </c>
      <c r="U220" s="377" t="s">
        <v>162</v>
      </c>
    </row>
    <row r="221" spans="1:21" x14ac:dyDescent="0.2">
      <c r="A221" s="353">
        <v>560599</v>
      </c>
      <c r="B221" s="340" t="s">
        <v>337</v>
      </c>
      <c r="C221" s="353">
        <v>5</v>
      </c>
      <c r="D221" s="353">
        <v>0</v>
      </c>
      <c r="E221" s="353">
        <v>1</v>
      </c>
      <c r="F221" s="353">
        <v>2</v>
      </c>
      <c r="G221" s="353">
        <v>6</v>
      </c>
      <c r="H221" s="353">
        <v>10</v>
      </c>
      <c r="I221" s="353"/>
      <c r="J221" s="353"/>
      <c r="K221" s="353">
        <v>0.28000000000000003</v>
      </c>
      <c r="L221" s="353">
        <v>0.75</v>
      </c>
      <c r="M221" s="353">
        <v>3</v>
      </c>
      <c r="N221" s="353">
        <v>1.1000000000000001</v>
      </c>
      <c r="O221" s="353" t="s">
        <v>153</v>
      </c>
      <c r="P221" s="353">
        <v>2014</v>
      </c>
      <c r="Q221" t="s">
        <v>154</v>
      </c>
      <c r="R221" t="s">
        <v>1552</v>
      </c>
      <c r="S221" s="378" t="s">
        <v>164</v>
      </c>
      <c r="T221" s="378" t="s">
        <v>1044</v>
      </c>
    </row>
    <row r="222" spans="1:21" x14ac:dyDescent="0.2">
      <c r="A222" s="353">
        <v>838441</v>
      </c>
      <c r="B222" s="340" t="s">
        <v>328</v>
      </c>
      <c r="C222" s="353">
        <v>14</v>
      </c>
      <c r="D222" s="353">
        <v>2</v>
      </c>
      <c r="E222" s="353">
        <v>7</v>
      </c>
      <c r="F222" s="353">
        <v>3</v>
      </c>
      <c r="G222" s="353">
        <v>19</v>
      </c>
      <c r="H222" s="353">
        <v>43</v>
      </c>
      <c r="I222" s="353">
        <v>110</v>
      </c>
      <c r="J222" s="353">
        <v>16</v>
      </c>
      <c r="K222" s="353">
        <v>0.28999999999999998</v>
      </c>
      <c r="L222" s="353">
        <v>0.62</v>
      </c>
      <c r="M222" s="353">
        <v>13.1</v>
      </c>
      <c r="N222" s="353">
        <v>1</v>
      </c>
      <c r="O222" s="353" t="s">
        <v>153</v>
      </c>
      <c r="P222" s="353">
        <v>2000</v>
      </c>
      <c r="Q222" t="s">
        <v>154</v>
      </c>
      <c r="R222" t="s">
        <v>1314</v>
      </c>
      <c r="S222" s="378" t="s">
        <v>327</v>
      </c>
      <c r="T222" s="378" t="s">
        <v>219</v>
      </c>
    </row>
    <row r="223" spans="1:21" x14ac:dyDescent="0.2">
      <c r="A223" s="353">
        <v>825109</v>
      </c>
      <c r="B223" s="340" t="s">
        <v>320</v>
      </c>
      <c r="C223" s="353">
        <v>7</v>
      </c>
      <c r="D223" s="353">
        <v>2</v>
      </c>
      <c r="E223" s="353">
        <v>5</v>
      </c>
      <c r="F223" s="353">
        <v>2</v>
      </c>
      <c r="G223" s="353">
        <v>13</v>
      </c>
      <c r="H223" s="353">
        <v>20</v>
      </c>
      <c r="I223" s="353">
        <v>15</v>
      </c>
      <c r="J223" s="353">
        <v>2.9</v>
      </c>
      <c r="K223" s="353">
        <v>0.28999999999999998</v>
      </c>
      <c r="L223" s="353">
        <v>1.47</v>
      </c>
      <c r="M223" s="353">
        <v>15.5</v>
      </c>
      <c r="N223" s="353">
        <v>0.5</v>
      </c>
      <c r="O223" s="353" t="s">
        <v>153</v>
      </c>
      <c r="P223" s="353">
        <v>2000</v>
      </c>
      <c r="Q223" t="s">
        <v>154</v>
      </c>
      <c r="R223" t="s">
        <v>1519</v>
      </c>
      <c r="S223" s="378" t="s">
        <v>171</v>
      </c>
      <c r="T223" s="378" t="s">
        <v>321</v>
      </c>
      <c r="U223" s="377" t="s">
        <v>162</v>
      </c>
    </row>
    <row r="224" spans="1:21" x14ac:dyDescent="0.2">
      <c r="A224" s="353">
        <v>870840</v>
      </c>
      <c r="B224" s="340" t="s">
        <v>1118</v>
      </c>
      <c r="C224" s="353">
        <v>12</v>
      </c>
      <c r="D224" s="353">
        <v>-3</v>
      </c>
      <c r="E224" s="353">
        <v>0</v>
      </c>
      <c r="F224" s="353">
        <v>0</v>
      </c>
      <c r="G224" s="353">
        <v>19</v>
      </c>
      <c r="H224" s="353">
        <v>9</v>
      </c>
      <c r="I224" s="353">
        <v>158</v>
      </c>
      <c r="J224" s="353">
        <v>20.8</v>
      </c>
      <c r="K224" s="353">
        <v>0.3</v>
      </c>
      <c r="L224" s="353">
        <v>1.1000000000000001</v>
      </c>
      <c r="M224" s="353">
        <v>30.3</v>
      </c>
      <c r="N224" s="353">
        <v>0.3</v>
      </c>
      <c r="O224" s="353" t="s">
        <v>203</v>
      </c>
      <c r="P224" s="353">
        <v>2017</v>
      </c>
      <c r="Q224" t="s">
        <v>68</v>
      </c>
      <c r="R224" t="s">
        <v>1584</v>
      </c>
      <c r="S224" s="378" t="s">
        <v>1062</v>
      </c>
      <c r="T224" s="378" t="s">
        <v>1051</v>
      </c>
    </row>
    <row r="225" spans="1:21" x14ac:dyDescent="0.2">
      <c r="A225" s="353">
        <v>479550</v>
      </c>
      <c r="B225" s="340" t="s">
        <v>338</v>
      </c>
      <c r="C225" s="353">
        <v>12</v>
      </c>
      <c r="D225" s="353">
        <v>7</v>
      </c>
      <c r="E225" s="353">
        <v>7</v>
      </c>
      <c r="F225" s="353">
        <v>3</v>
      </c>
      <c r="G225" s="353">
        <v>14</v>
      </c>
      <c r="H225" s="353">
        <v>55</v>
      </c>
      <c r="I225" s="353">
        <v>144</v>
      </c>
      <c r="J225" s="353">
        <v>19.600000000000001</v>
      </c>
      <c r="K225" s="353">
        <v>0.3</v>
      </c>
      <c r="L225" s="353">
        <v>0.6</v>
      </c>
      <c r="M225" s="353">
        <v>14.6</v>
      </c>
      <c r="N225" s="353">
        <v>1.1000000000000001</v>
      </c>
      <c r="O225" s="353" t="s">
        <v>203</v>
      </c>
      <c r="P225" s="353">
        <v>2000</v>
      </c>
      <c r="Q225" t="s">
        <v>68</v>
      </c>
      <c r="R225" t="s">
        <v>1795</v>
      </c>
      <c r="S225" s="378" t="s">
        <v>204</v>
      </c>
      <c r="T225" s="378" t="s">
        <v>181</v>
      </c>
    </row>
    <row r="226" spans="1:21" x14ac:dyDescent="0.2">
      <c r="A226" s="353">
        <v>291906</v>
      </c>
      <c r="B226" s="340" t="s">
        <v>96</v>
      </c>
      <c r="C226" s="353">
        <v>15</v>
      </c>
      <c r="D226" s="353">
        <v>1</v>
      </c>
      <c r="E226" s="353">
        <v>7</v>
      </c>
      <c r="F226" s="353">
        <v>3</v>
      </c>
      <c r="G226" s="353">
        <v>21</v>
      </c>
      <c r="H226" s="353">
        <v>51</v>
      </c>
      <c r="I226" s="353">
        <v>134</v>
      </c>
      <c r="J226" s="353">
        <v>18.5</v>
      </c>
      <c r="K226" s="353">
        <v>0.3</v>
      </c>
      <c r="L226" s="353">
        <v>1.23</v>
      </c>
      <c r="M226" s="353">
        <v>13.7</v>
      </c>
      <c r="N226" s="353">
        <v>1.1000000000000001</v>
      </c>
      <c r="O226" s="353" t="s">
        <v>153</v>
      </c>
      <c r="P226" s="353">
        <v>2000</v>
      </c>
      <c r="Q226" t="s">
        <v>154</v>
      </c>
      <c r="R226" t="s">
        <v>1269</v>
      </c>
      <c r="S226" s="378" t="s">
        <v>339</v>
      </c>
      <c r="T226" s="378" t="s">
        <v>219</v>
      </c>
    </row>
    <row r="227" spans="1:21" x14ac:dyDescent="0.2">
      <c r="A227" s="353">
        <v>585216</v>
      </c>
      <c r="B227" s="340" t="s">
        <v>336</v>
      </c>
      <c r="C227" s="353">
        <v>12</v>
      </c>
      <c r="D227" s="353">
        <v>2</v>
      </c>
      <c r="E227" s="353">
        <v>6</v>
      </c>
      <c r="F227" s="353">
        <v>2</v>
      </c>
      <c r="G227" s="353">
        <v>19</v>
      </c>
      <c r="H227" s="353">
        <v>45</v>
      </c>
      <c r="I227" s="353">
        <v>112</v>
      </c>
      <c r="J227" s="353">
        <v>16.2</v>
      </c>
      <c r="K227" s="353">
        <v>0.3</v>
      </c>
      <c r="L227" s="353">
        <v>1.07</v>
      </c>
      <c r="M227" s="353">
        <v>13.3</v>
      </c>
      <c r="N227" s="353">
        <v>1</v>
      </c>
      <c r="O227" s="353" t="s">
        <v>153</v>
      </c>
      <c r="P227" s="353">
        <v>2000</v>
      </c>
      <c r="Q227" t="s">
        <v>68</v>
      </c>
      <c r="R227" t="s">
        <v>1294</v>
      </c>
      <c r="S227" s="378" t="s">
        <v>942</v>
      </c>
      <c r="T227" s="378" t="s">
        <v>219</v>
      </c>
    </row>
    <row r="228" spans="1:21" x14ac:dyDescent="0.2">
      <c r="A228" s="353">
        <v>416982</v>
      </c>
      <c r="B228" s="340" t="s">
        <v>18</v>
      </c>
      <c r="C228" s="353">
        <v>0</v>
      </c>
      <c r="D228" s="353">
        <v>0</v>
      </c>
      <c r="E228" s="353">
        <v>1</v>
      </c>
      <c r="F228" s="353">
        <v>-5</v>
      </c>
      <c r="G228" s="353">
        <v>1</v>
      </c>
      <c r="H228" s="353">
        <v>20</v>
      </c>
      <c r="I228" s="353">
        <v>107</v>
      </c>
      <c r="J228" s="353">
        <v>15.6</v>
      </c>
      <c r="K228" s="353">
        <v>0.3</v>
      </c>
      <c r="L228" s="353">
        <v>0.6</v>
      </c>
      <c r="M228" s="353">
        <v>17.8</v>
      </c>
      <c r="N228" s="353">
        <v>0.4</v>
      </c>
      <c r="O228" s="353" t="s">
        <v>203</v>
      </c>
      <c r="P228" s="353">
        <v>2001</v>
      </c>
      <c r="Q228" t="s">
        <v>68</v>
      </c>
      <c r="R228" t="s">
        <v>1598</v>
      </c>
      <c r="S228" s="378" t="s">
        <v>204</v>
      </c>
      <c r="T228" s="378" t="s">
        <v>1051</v>
      </c>
    </row>
    <row r="229" spans="1:21" x14ac:dyDescent="0.2">
      <c r="A229" s="353">
        <v>356477</v>
      </c>
      <c r="B229" s="340" t="s">
        <v>1090</v>
      </c>
      <c r="C229" s="353">
        <v>1</v>
      </c>
      <c r="D229" s="353">
        <v>0</v>
      </c>
      <c r="E229" s="353">
        <v>0</v>
      </c>
      <c r="F229" s="353">
        <v>1</v>
      </c>
      <c r="G229" s="353">
        <v>1</v>
      </c>
      <c r="H229" s="353">
        <v>1</v>
      </c>
      <c r="I229" s="353">
        <v>5</v>
      </c>
      <c r="J229" s="353">
        <v>1</v>
      </c>
      <c r="K229" s="353">
        <v>0.3</v>
      </c>
      <c r="L229" s="353">
        <v>0.67</v>
      </c>
      <c r="M229" s="353">
        <v>0.4</v>
      </c>
      <c r="N229" s="353">
        <v>1.3</v>
      </c>
      <c r="O229" s="353" t="s">
        <v>153</v>
      </c>
      <c r="P229" s="353">
        <v>2017</v>
      </c>
      <c r="Q229" t="s">
        <v>154</v>
      </c>
      <c r="R229" t="s">
        <v>1941</v>
      </c>
      <c r="S229" s="378" t="s">
        <v>237</v>
      </c>
      <c r="T229" s="378" t="s">
        <v>1033</v>
      </c>
      <c r="U229" s="377" t="s">
        <v>162</v>
      </c>
    </row>
    <row r="230" spans="1:21" x14ac:dyDescent="0.2">
      <c r="A230" s="353">
        <v>409300</v>
      </c>
      <c r="B230" s="340" t="s">
        <v>1099</v>
      </c>
      <c r="C230" s="353">
        <v>2</v>
      </c>
      <c r="D230" s="353">
        <v>2</v>
      </c>
      <c r="E230" s="353">
        <v>3</v>
      </c>
      <c r="F230" s="353">
        <v>0</v>
      </c>
      <c r="G230" s="353">
        <v>0</v>
      </c>
      <c r="H230" s="353">
        <v>17</v>
      </c>
      <c r="I230" s="353"/>
      <c r="J230" s="353"/>
      <c r="K230" s="353">
        <v>0.3</v>
      </c>
      <c r="L230" s="353">
        <v>0.56999999999999995</v>
      </c>
      <c r="M230" s="353">
        <v>8.3000000000000007</v>
      </c>
      <c r="N230" s="353">
        <v>0.7</v>
      </c>
      <c r="O230" s="353" t="s">
        <v>153</v>
      </c>
      <c r="P230" s="353">
        <v>2017</v>
      </c>
      <c r="Q230" t="s">
        <v>154</v>
      </c>
      <c r="R230" t="s">
        <v>1977</v>
      </c>
      <c r="S230" s="378" t="s">
        <v>313</v>
      </c>
      <c r="T230" s="378" t="s">
        <v>1024</v>
      </c>
      <c r="U230" s="377" t="s">
        <v>162</v>
      </c>
    </row>
    <row r="231" spans="1:21" x14ac:dyDescent="0.2">
      <c r="A231" s="353">
        <v>203067</v>
      </c>
      <c r="B231" s="340" t="s">
        <v>345</v>
      </c>
      <c r="C231" s="353">
        <v>23</v>
      </c>
      <c r="D231" s="353">
        <v>4</v>
      </c>
      <c r="E231" s="353">
        <v>9</v>
      </c>
      <c r="F231" s="353">
        <v>7</v>
      </c>
      <c r="G231" s="353">
        <v>28</v>
      </c>
      <c r="H231" s="353">
        <v>48</v>
      </c>
      <c r="I231" s="353">
        <v>107</v>
      </c>
      <c r="J231" s="353">
        <v>15.7</v>
      </c>
      <c r="K231" s="353">
        <v>0.31</v>
      </c>
      <c r="L231" s="353">
        <v>1.44</v>
      </c>
      <c r="M231" s="353">
        <v>13.9</v>
      </c>
      <c r="N231" s="353">
        <v>1</v>
      </c>
      <c r="O231" s="353" t="s">
        <v>153</v>
      </c>
      <c r="P231" s="353">
        <v>2008</v>
      </c>
      <c r="Q231" t="s">
        <v>154</v>
      </c>
      <c r="R231" t="s">
        <v>1621</v>
      </c>
      <c r="S231" s="378" t="s">
        <v>191</v>
      </c>
      <c r="T231" s="378" t="s">
        <v>219</v>
      </c>
      <c r="U231" s="377" t="s">
        <v>162</v>
      </c>
    </row>
    <row r="232" spans="1:21" x14ac:dyDescent="0.2">
      <c r="A232" s="353">
        <v>861757</v>
      </c>
      <c r="B232" s="340" t="s">
        <v>969</v>
      </c>
      <c r="C232" s="353">
        <v>15</v>
      </c>
      <c r="D232" s="353">
        <v>3</v>
      </c>
      <c r="E232" s="353">
        <v>6</v>
      </c>
      <c r="F232" s="353">
        <v>7</v>
      </c>
      <c r="G232" s="353">
        <v>18</v>
      </c>
      <c r="H232" s="353">
        <v>41</v>
      </c>
      <c r="I232" s="353">
        <v>85</v>
      </c>
      <c r="J232" s="353">
        <v>13.1</v>
      </c>
      <c r="K232" s="353">
        <v>0.31</v>
      </c>
      <c r="L232" s="353">
        <v>1.51</v>
      </c>
      <c r="M232" s="353">
        <v>11.7</v>
      </c>
      <c r="N232" s="353">
        <v>1.1000000000000001</v>
      </c>
      <c r="O232" s="353" t="s">
        <v>153</v>
      </c>
      <c r="P232" s="353">
        <v>2016</v>
      </c>
      <c r="Q232" t="s">
        <v>68</v>
      </c>
      <c r="R232" t="s">
        <v>1881</v>
      </c>
      <c r="S232" s="378" t="s">
        <v>191</v>
      </c>
      <c r="T232" s="378" t="s">
        <v>318</v>
      </c>
      <c r="U232" s="377" t="s">
        <v>162</v>
      </c>
    </row>
    <row r="233" spans="1:21" x14ac:dyDescent="0.2">
      <c r="A233" s="353">
        <v>639633</v>
      </c>
      <c r="B233" s="340" t="s">
        <v>352</v>
      </c>
      <c r="C233" s="353">
        <v>0</v>
      </c>
      <c r="D233" s="353">
        <v>2</v>
      </c>
      <c r="E233" s="353">
        <v>0</v>
      </c>
      <c r="F233" s="353">
        <v>1</v>
      </c>
      <c r="G233" s="353">
        <v>3</v>
      </c>
      <c r="H233" s="353">
        <v>10</v>
      </c>
      <c r="I233" s="353">
        <v>29</v>
      </c>
      <c r="J233" s="353">
        <v>5.3</v>
      </c>
      <c r="K233" s="353">
        <v>0.31</v>
      </c>
      <c r="L233" s="353">
        <v>1.1499999999999999</v>
      </c>
      <c r="M233" s="353">
        <v>8.8000000000000007</v>
      </c>
      <c r="N233" s="353">
        <v>0.4</v>
      </c>
      <c r="O233" s="353" t="s">
        <v>153</v>
      </c>
      <c r="P233" s="353">
        <v>2011</v>
      </c>
      <c r="Q233" t="s">
        <v>68</v>
      </c>
      <c r="R233" t="s">
        <v>1577</v>
      </c>
      <c r="S233" s="378" t="s">
        <v>209</v>
      </c>
      <c r="T233" s="378" t="s">
        <v>1024</v>
      </c>
    </row>
    <row r="234" spans="1:21" x14ac:dyDescent="0.2">
      <c r="A234" s="353">
        <v>403642</v>
      </c>
      <c r="B234" s="340" t="s">
        <v>350</v>
      </c>
      <c r="C234" s="353">
        <v>2</v>
      </c>
      <c r="D234" s="353">
        <v>1</v>
      </c>
      <c r="E234" s="353">
        <v>1</v>
      </c>
      <c r="F234" s="353">
        <v>1</v>
      </c>
      <c r="G234" s="353">
        <v>2</v>
      </c>
      <c r="H234" s="353">
        <v>7</v>
      </c>
      <c r="I234" s="353">
        <v>18</v>
      </c>
      <c r="J234" s="353">
        <v>3.5</v>
      </c>
      <c r="K234" s="353">
        <v>0.31</v>
      </c>
      <c r="L234" s="353">
        <v>0.9</v>
      </c>
      <c r="M234" s="353">
        <v>2.7</v>
      </c>
      <c r="N234" s="353">
        <v>1</v>
      </c>
      <c r="O234" s="353" t="s">
        <v>153</v>
      </c>
      <c r="P234" s="353">
        <v>2000</v>
      </c>
      <c r="Q234" t="s">
        <v>154</v>
      </c>
      <c r="R234" t="s">
        <v>1567</v>
      </c>
      <c r="S234" s="378" t="s">
        <v>226</v>
      </c>
      <c r="T234" s="378" t="s">
        <v>1035</v>
      </c>
      <c r="U234" s="377" t="s">
        <v>162</v>
      </c>
    </row>
    <row r="235" spans="1:21" x14ac:dyDescent="0.2">
      <c r="A235" s="353">
        <v>840504</v>
      </c>
      <c r="B235" s="340" t="s">
        <v>940</v>
      </c>
      <c r="C235" s="353">
        <v>1</v>
      </c>
      <c r="D235" s="353">
        <v>1</v>
      </c>
      <c r="E235" s="353">
        <v>2</v>
      </c>
      <c r="F235" s="353">
        <v>-3</v>
      </c>
      <c r="G235" s="353">
        <v>-4</v>
      </c>
      <c r="H235" s="353"/>
      <c r="I235" s="353"/>
      <c r="J235" s="353"/>
      <c r="K235" s="353">
        <v>0.31</v>
      </c>
      <c r="L235" s="353">
        <v>0.6</v>
      </c>
      <c r="M235" s="353"/>
      <c r="N235" s="353"/>
      <c r="O235" s="353" t="s">
        <v>153</v>
      </c>
      <c r="P235" s="353">
        <v>2016</v>
      </c>
      <c r="Q235" t="s">
        <v>154</v>
      </c>
      <c r="R235" t="s">
        <v>1806</v>
      </c>
      <c r="S235" s="378" t="s">
        <v>826</v>
      </c>
      <c r="T235" s="378" t="s">
        <v>1045</v>
      </c>
    </row>
    <row r="236" spans="1:21" x14ac:dyDescent="0.2">
      <c r="A236" s="353">
        <v>140491</v>
      </c>
      <c r="B236" s="340" t="s">
        <v>99</v>
      </c>
      <c r="C236" s="353">
        <v>13</v>
      </c>
      <c r="D236" s="353">
        <v>1</v>
      </c>
      <c r="E236" s="353">
        <v>3</v>
      </c>
      <c r="F236" s="353">
        <v>2</v>
      </c>
      <c r="G236" s="353">
        <v>18</v>
      </c>
      <c r="H236" s="353">
        <v>75</v>
      </c>
      <c r="I236" s="353">
        <v>196</v>
      </c>
      <c r="J236" s="353">
        <v>24.2</v>
      </c>
      <c r="K236" s="353">
        <v>0.32</v>
      </c>
      <c r="L236" s="353">
        <v>1.4</v>
      </c>
      <c r="M236" s="353">
        <v>12.6</v>
      </c>
      <c r="N236" s="353">
        <v>1.6</v>
      </c>
      <c r="O236" s="353" t="s">
        <v>153</v>
      </c>
      <c r="P236" s="353">
        <v>2009</v>
      </c>
      <c r="Q236" t="s">
        <v>154</v>
      </c>
      <c r="R236" t="s">
        <v>1202</v>
      </c>
      <c r="S236" s="378" t="s">
        <v>339</v>
      </c>
      <c r="T236" s="378" t="s">
        <v>318</v>
      </c>
    </row>
    <row r="237" spans="1:21" x14ac:dyDescent="0.2">
      <c r="A237" s="353">
        <v>520759</v>
      </c>
      <c r="B237" s="340" t="s">
        <v>726</v>
      </c>
      <c r="C237" s="353">
        <v>13</v>
      </c>
      <c r="D237" s="353">
        <v>5</v>
      </c>
      <c r="E237" s="353">
        <v>10</v>
      </c>
      <c r="F237" s="353">
        <v>6</v>
      </c>
      <c r="G237" s="353">
        <v>17</v>
      </c>
      <c r="H237" s="353">
        <v>44</v>
      </c>
      <c r="I237" s="353">
        <v>133</v>
      </c>
      <c r="J237" s="353">
        <v>18.399999999999999</v>
      </c>
      <c r="K237" s="353">
        <v>0.32</v>
      </c>
      <c r="L237" s="353">
        <v>1.25</v>
      </c>
      <c r="M237" s="353">
        <v>13.1</v>
      </c>
      <c r="N237" s="353">
        <v>1</v>
      </c>
      <c r="O237" s="353" t="s">
        <v>153</v>
      </c>
      <c r="P237" s="353">
        <v>2005</v>
      </c>
      <c r="Q237" t="s">
        <v>154</v>
      </c>
      <c r="R237" t="s">
        <v>1231</v>
      </c>
      <c r="S237" s="378" t="s">
        <v>209</v>
      </c>
      <c r="T237" s="378" t="s">
        <v>181</v>
      </c>
      <c r="U237" s="377" t="s">
        <v>162</v>
      </c>
    </row>
    <row r="238" spans="1:21" x14ac:dyDescent="0.2">
      <c r="A238" s="353">
        <v>158261</v>
      </c>
      <c r="B238" s="340" t="s">
        <v>909</v>
      </c>
      <c r="C238" s="353">
        <v>14</v>
      </c>
      <c r="D238" s="353">
        <v>3</v>
      </c>
      <c r="E238" s="353">
        <v>7</v>
      </c>
      <c r="F238" s="353">
        <v>2</v>
      </c>
      <c r="G238" s="353">
        <v>18</v>
      </c>
      <c r="H238" s="353">
        <v>37</v>
      </c>
      <c r="I238" s="353">
        <v>102</v>
      </c>
      <c r="J238" s="353">
        <v>15.2</v>
      </c>
      <c r="K238" s="353">
        <v>0.32</v>
      </c>
      <c r="L238" s="353">
        <v>1.26</v>
      </c>
      <c r="M238" s="353">
        <v>12.7</v>
      </c>
      <c r="N238" s="353">
        <v>0.9</v>
      </c>
      <c r="O238" s="353" t="s">
        <v>153</v>
      </c>
      <c r="P238" s="353">
        <v>2002</v>
      </c>
      <c r="Q238" t="s">
        <v>154</v>
      </c>
      <c r="R238" t="s">
        <v>1256</v>
      </c>
      <c r="S238" s="378" t="s">
        <v>209</v>
      </c>
      <c r="T238" s="378" t="s">
        <v>219</v>
      </c>
      <c r="U238" s="377" t="s">
        <v>162</v>
      </c>
    </row>
    <row r="239" spans="1:21" x14ac:dyDescent="0.2">
      <c r="A239" s="353">
        <v>295857</v>
      </c>
      <c r="B239" s="340" t="s">
        <v>1133</v>
      </c>
      <c r="C239" s="353">
        <v>30</v>
      </c>
      <c r="D239" s="353">
        <v>8</v>
      </c>
      <c r="E239" s="353">
        <v>11</v>
      </c>
      <c r="F239" s="353">
        <v>15</v>
      </c>
      <c r="G239" s="353">
        <v>25</v>
      </c>
      <c r="H239" s="353">
        <v>48</v>
      </c>
      <c r="I239" s="353">
        <v>78</v>
      </c>
      <c r="J239" s="353">
        <v>12.2</v>
      </c>
      <c r="K239" s="353">
        <v>0.32</v>
      </c>
      <c r="L239" s="353">
        <v>0.95</v>
      </c>
      <c r="M239" s="353">
        <v>15.9</v>
      </c>
      <c r="N239" s="353">
        <v>0.9</v>
      </c>
      <c r="O239" s="353" t="s">
        <v>153</v>
      </c>
      <c r="P239" s="353">
        <v>2012</v>
      </c>
      <c r="Q239" t="s">
        <v>154</v>
      </c>
      <c r="R239" t="s">
        <v>1951</v>
      </c>
      <c r="S239" s="378" t="s">
        <v>166</v>
      </c>
      <c r="T239" s="378" t="s">
        <v>295</v>
      </c>
      <c r="U239" s="377" t="s">
        <v>162</v>
      </c>
    </row>
    <row r="240" spans="1:21" x14ac:dyDescent="0.2">
      <c r="A240" s="353">
        <v>742106</v>
      </c>
      <c r="B240" s="340" t="s">
        <v>1056</v>
      </c>
      <c r="C240" s="353">
        <v>27</v>
      </c>
      <c r="D240" s="353">
        <v>5</v>
      </c>
      <c r="E240" s="353">
        <v>8</v>
      </c>
      <c r="F240" s="353">
        <v>12</v>
      </c>
      <c r="G240" s="353">
        <v>19</v>
      </c>
      <c r="H240" s="353">
        <v>43</v>
      </c>
      <c r="I240" s="353">
        <v>73</v>
      </c>
      <c r="J240" s="353">
        <v>11.6</v>
      </c>
      <c r="K240" s="353">
        <v>0.32</v>
      </c>
      <c r="L240" s="353">
        <v>1.73</v>
      </c>
      <c r="M240" s="353">
        <v>15.4</v>
      </c>
      <c r="N240" s="353">
        <v>0.9</v>
      </c>
      <c r="O240" s="353" t="s">
        <v>153</v>
      </c>
      <c r="P240" s="353">
        <v>2017</v>
      </c>
      <c r="Q240" t="s">
        <v>154</v>
      </c>
      <c r="R240" t="s">
        <v>1675</v>
      </c>
      <c r="S240" s="378" t="s">
        <v>171</v>
      </c>
      <c r="T240" s="378" t="s">
        <v>295</v>
      </c>
    </row>
    <row r="241" spans="1:21" x14ac:dyDescent="0.2">
      <c r="A241" s="353">
        <v>879114</v>
      </c>
      <c r="B241" s="340" t="s">
        <v>363</v>
      </c>
      <c r="C241" s="353">
        <v>6</v>
      </c>
      <c r="D241" s="353">
        <v>3</v>
      </c>
      <c r="E241" s="353">
        <v>5</v>
      </c>
      <c r="F241" s="353">
        <v>2</v>
      </c>
      <c r="G241" s="353">
        <v>8</v>
      </c>
      <c r="H241" s="353">
        <v>25</v>
      </c>
      <c r="I241" s="353">
        <v>69</v>
      </c>
      <c r="J241" s="353">
        <v>11.1</v>
      </c>
      <c r="K241" s="353">
        <v>0.32</v>
      </c>
      <c r="L241" s="353">
        <v>1.25</v>
      </c>
      <c r="M241" s="353">
        <v>8.4</v>
      </c>
      <c r="N241" s="353">
        <v>0.9</v>
      </c>
      <c r="O241" s="353" t="s">
        <v>153</v>
      </c>
      <c r="P241" s="353">
        <v>2002</v>
      </c>
      <c r="Q241" t="s">
        <v>154</v>
      </c>
      <c r="R241" t="s">
        <v>1571</v>
      </c>
      <c r="S241" s="378" t="s">
        <v>209</v>
      </c>
      <c r="T241" s="378" t="s">
        <v>1023</v>
      </c>
      <c r="U241" s="377" t="s">
        <v>162</v>
      </c>
    </row>
    <row r="242" spans="1:21" x14ac:dyDescent="0.2">
      <c r="A242" s="353">
        <v>390898</v>
      </c>
      <c r="B242" s="340" t="s">
        <v>341</v>
      </c>
      <c r="C242" s="353">
        <v>6</v>
      </c>
      <c r="D242" s="353">
        <v>3</v>
      </c>
      <c r="E242" s="353">
        <v>3</v>
      </c>
      <c r="F242" s="353">
        <v>4</v>
      </c>
      <c r="G242" s="353">
        <v>4</v>
      </c>
      <c r="H242" s="353">
        <v>17</v>
      </c>
      <c r="I242" s="353">
        <v>42</v>
      </c>
      <c r="J242" s="353">
        <v>7.2</v>
      </c>
      <c r="K242" s="353">
        <v>0.32</v>
      </c>
      <c r="L242" s="353">
        <v>0.85</v>
      </c>
      <c r="M242" s="353">
        <v>5.5</v>
      </c>
      <c r="N242" s="353">
        <v>1</v>
      </c>
      <c r="O242" s="353" t="s">
        <v>203</v>
      </c>
      <c r="P242" s="353">
        <v>2000</v>
      </c>
      <c r="Q242" t="s">
        <v>68</v>
      </c>
      <c r="R242" t="s">
        <v>1998</v>
      </c>
      <c r="S242" s="378" t="s">
        <v>198</v>
      </c>
      <c r="T242" s="378" t="s">
        <v>1043</v>
      </c>
    </row>
    <row r="243" spans="1:21" x14ac:dyDescent="0.2">
      <c r="A243" s="353">
        <v>664482</v>
      </c>
      <c r="B243" s="340" t="s">
        <v>340</v>
      </c>
      <c r="C243" s="353">
        <v>4</v>
      </c>
      <c r="D243" s="353">
        <v>1</v>
      </c>
      <c r="E243" s="353">
        <v>1</v>
      </c>
      <c r="F243" s="353">
        <v>2</v>
      </c>
      <c r="G243" s="353">
        <v>5</v>
      </c>
      <c r="H243" s="353">
        <v>10</v>
      </c>
      <c r="I243" s="353">
        <v>27</v>
      </c>
      <c r="J243" s="353">
        <v>4.9000000000000004</v>
      </c>
      <c r="K243" s="353">
        <v>0.32</v>
      </c>
      <c r="L243" s="353">
        <v>0.85</v>
      </c>
      <c r="M243" s="353">
        <v>2.8</v>
      </c>
      <c r="N243" s="353">
        <v>1.3</v>
      </c>
      <c r="O243" s="353" t="s">
        <v>153</v>
      </c>
      <c r="P243" s="353">
        <v>2012</v>
      </c>
      <c r="Q243" t="s">
        <v>68</v>
      </c>
      <c r="R243" t="s">
        <v>1476</v>
      </c>
      <c r="S243" s="378" t="s">
        <v>198</v>
      </c>
      <c r="T243" s="378" t="s">
        <v>1043</v>
      </c>
    </row>
    <row r="244" spans="1:21" x14ac:dyDescent="0.2">
      <c r="A244" s="353">
        <v>564849</v>
      </c>
      <c r="B244" s="340" t="s">
        <v>348</v>
      </c>
      <c r="C244" s="353">
        <v>10</v>
      </c>
      <c r="D244" s="353">
        <v>3</v>
      </c>
      <c r="E244" s="353">
        <v>6</v>
      </c>
      <c r="F244" s="353">
        <v>4</v>
      </c>
      <c r="G244" s="353">
        <v>15</v>
      </c>
      <c r="H244" s="353">
        <v>33</v>
      </c>
      <c r="I244" s="353"/>
      <c r="J244" s="353"/>
      <c r="K244" s="353">
        <v>0.32</v>
      </c>
      <c r="L244" s="353">
        <v>1.54</v>
      </c>
      <c r="M244" s="353">
        <v>13.7</v>
      </c>
      <c r="N244" s="353">
        <v>0.8</v>
      </c>
      <c r="O244" s="353" t="s">
        <v>153</v>
      </c>
      <c r="P244" s="353">
        <v>2014</v>
      </c>
      <c r="Q244" t="s">
        <v>68</v>
      </c>
      <c r="R244" t="s">
        <v>1874</v>
      </c>
      <c r="S244" s="378" t="s">
        <v>191</v>
      </c>
      <c r="T244" s="378" t="s">
        <v>215</v>
      </c>
      <c r="U244" s="377" t="s">
        <v>162</v>
      </c>
    </row>
    <row r="245" spans="1:21" x14ac:dyDescent="0.2">
      <c r="A245" s="353">
        <v>313742</v>
      </c>
      <c r="B245" s="340" t="s">
        <v>20</v>
      </c>
      <c r="C245" s="353">
        <v>11</v>
      </c>
      <c r="D245" s="353">
        <v>0</v>
      </c>
      <c r="E245" s="353">
        <v>2</v>
      </c>
      <c r="F245" s="353">
        <v>8</v>
      </c>
      <c r="G245" s="353">
        <v>10</v>
      </c>
      <c r="H245" s="353">
        <v>75</v>
      </c>
      <c r="I245" s="353">
        <v>167</v>
      </c>
      <c r="J245" s="353">
        <v>21.7</v>
      </c>
      <c r="K245" s="353">
        <v>0.33</v>
      </c>
      <c r="L245" s="353">
        <v>1.43</v>
      </c>
      <c r="M245" s="353">
        <v>17.399999999999999</v>
      </c>
      <c r="N245" s="353">
        <v>1.2</v>
      </c>
      <c r="O245" s="353" t="s">
        <v>153</v>
      </c>
      <c r="P245" s="353">
        <v>2001</v>
      </c>
      <c r="Q245" t="s">
        <v>154</v>
      </c>
      <c r="R245" t="s">
        <v>1814</v>
      </c>
      <c r="S245" s="378" t="s">
        <v>173</v>
      </c>
      <c r="T245" s="378" t="s">
        <v>1049</v>
      </c>
      <c r="U245" s="377" t="s">
        <v>162</v>
      </c>
    </row>
    <row r="246" spans="1:21" x14ac:dyDescent="0.2">
      <c r="A246" s="353">
        <v>286294</v>
      </c>
      <c r="B246" s="340" t="s">
        <v>349</v>
      </c>
      <c r="C246" s="353">
        <v>18</v>
      </c>
      <c r="D246" s="353">
        <v>3</v>
      </c>
      <c r="E246" s="353">
        <v>7</v>
      </c>
      <c r="F246" s="353">
        <v>4</v>
      </c>
      <c r="G246" s="353">
        <v>23</v>
      </c>
      <c r="H246" s="353">
        <v>84</v>
      </c>
      <c r="I246" s="353">
        <v>161</v>
      </c>
      <c r="J246" s="353">
        <v>21.1</v>
      </c>
      <c r="K246" s="353">
        <v>0.33</v>
      </c>
      <c r="L246" s="353">
        <v>1.62</v>
      </c>
      <c r="M246" s="353">
        <v>12.8</v>
      </c>
      <c r="N246" s="353">
        <v>1.7</v>
      </c>
      <c r="O246" s="353" t="s">
        <v>153</v>
      </c>
      <c r="P246" s="353">
        <v>2007</v>
      </c>
      <c r="Q246" t="s">
        <v>68</v>
      </c>
      <c r="R246" t="s">
        <v>1899</v>
      </c>
      <c r="S246" s="378" t="s">
        <v>191</v>
      </c>
      <c r="T246" s="378" t="s">
        <v>318</v>
      </c>
      <c r="U246" s="377" t="s">
        <v>162</v>
      </c>
    </row>
    <row r="247" spans="1:21" x14ac:dyDescent="0.2">
      <c r="A247" s="353">
        <v>528133</v>
      </c>
      <c r="B247" s="340" t="s">
        <v>347</v>
      </c>
      <c r="C247" s="353">
        <v>17</v>
      </c>
      <c r="D247" s="353">
        <v>3</v>
      </c>
      <c r="E247" s="353">
        <v>8</v>
      </c>
      <c r="F247" s="353">
        <v>5</v>
      </c>
      <c r="G247" s="353">
        <v>24</v>
      </c>
      <c r="H247" s="353">
        <v>59</v>
      </c>
      <c r="I247" s="353">
        <v>114</v>
      </c>
      <c r="J247" s="353">
        <v>16.5</v>
      </c>
      <c r="K247" s="353">
        <v>0.33</v>
      </c>
      <c r="L247" s="353">
        <v>1.37</v>
      </c>
      <c r="M247" s="353">
        <v>14</v>
      </c>
      <c r="N247" s="353">
        <v>1.2</v>
      </c>
      <c r="O247" s="353" t="s">
        <v>153</v>
      </c>
      <c r="P247" s="353">
        <v>2000</v>
      </c>
      <c r="Q247" t="s">
        <v>154</v>
      </c>
      <c r="R247" t="s">
        <v>1291</v>
      </c>
      <c r="S247" s="378" t="s">
        <v>173</v>
      </c>
      <c r="T247" s="378" t="s">
        <v>219</v>
      </c>
      <c r="U247" s="377" t="s">
        <v>162</v>
      </c>
    </row>
    <row r="248" spans="1:21" x14ac:dyDescent="0.2">
      <c r="A248" s="353">
        <v>123679</v>
      </c>
      <c r="B248" s="340" t="s">
        <v>1123</v>
      </c>
      <c r="C248" s="353">
        <v>21</v>
      </c>
      <c r="D248" s="353">
        <v>5</v>
      </c>
      <c r="E248" s="353">
        <v>10</v>
      </c>
      <c r="F248" s="353">
        <v>10</v>
      </c>
      <c r="G248" s="353">
        <v>19</v>
      </c>
      <c r="H248" s="353">
        <v>49</v>
      </c>
      <c r="I248" s="353">
        <v>110</v>
      </c>
      <c r="J248" s="353">
        <v>16</v>
      </c>
      <c r="K248" s="353">
        <v>0.33</v>
      </c>
      <c r="L248" s="353">
        <v>1.45</v>
      </c>
      <c r="M248" s="353">
        <v>12.8</v>
      </c>
      <c r="N248" s="353">
        <v>1.1000000000000001</v>
      </c>
      <c r="O248" s="353" t="s">
        <v>153</v>
      </c>
      <c r="P248" s="353">
        <v>2000</v>
      </c>
      <c r="Q248" t="s">
        <v>154</v>
      </c>
      <c r="R248" t="s">
        <v>1654</v>
      </c>
      <c r="S248" s="378" t="s">
        <v>194</v>
      </c>
      <c r="T248" s="378" t="s">
        <v>181</v>
      </c>
      <c r="U248" s="377" t="s">
        <v>162</v>
      </c>
    </row>
    <row r="249" spans="1:21" x14ac:dyDescent="0.2">
      <c r="A249" s="353">
        <v>768317</v>
      </c>
      <c r="B249" s="340" t="s">
        <v>415</v>
      </c>
      <c r="C249" s="353">
        <v>9</v>
      </c>
      <c r="D249" s="353">
        <v>2</v>
      </c>
      <c r="E249" s="353">
        <v>3</v>
      </c>
      <c r="F249" s="353">
        <v>3</v>
      </c>
      <c r="G249" s="353">
        <v>12</v>
      </c>
      <c r="H249" s="353">
        <v>34</v>
      </c>
      <c r="I249" s="353">
        <v>96</v>
      </c>
      <c r="J249" s="353">
        <v>14.4</v>
      </c>
      <c r="K249" s="353">
        <v>0.33</v>
      </c>
      <c r="L249" s="353">
        <v>1.33</v>
      </c>
      <c r="M249" s="353">
        <v>8.1999999999999993</v>
      </c>
      <c r="N249" s="353">
        <v>1.3</v>
      </c>
      <c r="O249" s="353" t="s">
        <v>153</v>
      </c>
      <c r="P249" s="353">
        <v>2013</v>
      </c>
      <c r="Q249" t="s">
        <v>68</v>
      </c>
      <c r="R249" t="s">
        <v>1330</v>
      </c>
      <c r="S249" s="378" t="s">
        <v>287</v>
      </c>
      <c r="T249" s="378" t="s">
        <v>1024</v>
      </c>
    </row>
    <row r="250" spans="1:21" x14ac:dyDescent="0.2">
      <c r="A250" s="353">
        <v>551804</v>
      </c>
      <c r="B250" s="340" t="s">
        <v>343</v>
      </c>
      <c r="C250" s="353">
        <v>-6</v>
      </c>
      <c r="D250" s="353">
        <v>3</v>
      </c>
      <c r="E250" s="353">
        <v>3</v>
      </c>
      <c r="F250" s="353">
        <v>-5</v>
      </c>
      <c r="G250" s="353">
        <v>-9</v>
      </c>
      <c r="H250" s="353">
        <v>17</v>
      </c>
      <c r="I250" s="353">
        <v>31</v>
      </c>
      <c r="J250" s="353">
        <v>5.5</v>
      </c>
      <c r="K250" s="353">
        <v>0.33</v>
      </c>
      <c r="L250" s="353">
        <v>0.86</v>
      </c>
      <c r="M250" s="353">
        <v>11.3</v>
      </c>
      <c r="N250" s="353">
        <v>0.5</v>
      </c>
      <c r="O250" s="353" t="s">
        <v>344</v>
      </c>
      <c r="P250" s="353">
        <v>2000</v>
      </c>
      <c r="Q250" t="s">
        <v>68</v>
      </c>
      <c r="R250" t="s">
        <v>1589</v>
      </c>
      <c r="S250" s="378" t="s">
        <v>331</v>
      </c>
      <c r="T250" s="378" t="s">
        <v>1033</v>
      </c>
    </row>
    <row r="251" spans="1:21" x14ac:dyDescent="0.2">
      <c r="A251" s="353">
        <v>259499</v>
      </c>
      <c r="B251" s="340" t="s">
        <v>1066</v>
      </c>
      <c r="C251" s="353">
        <v>4</v>
      </c>
      <c r="D251" s="353">
        <v>2</v>
      </c>
      <c r="E251" s="353">
        <v>3</v>
      </c>
      <c r="F251" s="353">
        <v>3</v>
      </c>
      <c r="G251" s="353">
        <v>-1</v>
      </c>
      <c r="H251" s="353">
        <v>12</v>
      </c>
      <c r="I251" s="353">
        <v>27</v>
      </c>
      <c r="J251" s="353">
        <v>4.8</v>
      </c>
      <c r="K251" s="353">
        <v>0.33</v>
      </c>
      <c r="L251" s="353">
        <v>1.19</v>
      </c>
      <c r="M251" s="353">
        <v>5.9</v>
      </c>
      <c r="N251" s="353">
        <v>0.7</v>
      </c>
      <c r="O251" s="353" t="s">
        <v>203</v>
      </c>
      <c r="P251" s="353">
        <v>2010</v>
      </c>
      <c r="Q251" t="s">
        <v>68</v>
      </c>
      <c r="R251" t="s">
        <v>1645</v>
      </c>
      <c r="S251" s="378" t="s">
        <v>751</v>
      </c>
      <c r="T251" s="378" t="s">
        <v>1038</v>
      </c>
    </row>
    <row r="252" spans="1:21" x14ac:dyDescent="0.2">
      <c r="A252" s="353">
        <v>515973</v>
      </c>
      <c r="B252" s="340" t="s">
        <v>1163</v>
      </c>
      <c r="C252" s="353">
        <v>2</v>
      </c>
      <c r="D252" s="353">
        <v>2</v>
      </c>
      <c r="E252" s="353">
        <v>3</v>
      </c>
      <c r="F252" s="353">
        <v>2</v>
      </c>
      <c r="G252" s="353">
        <v>-1</v>
      </c>
      <c r="H252" s="353">
        <v>9</v>
      </c>
      <c r="I252" s="353">
        <v>21</v>
      </c>
      <c r="J252" s="353">
        <v>3.9</v>
      </c>
      <c r="K252" s="353">
        <v>0.33</v>
      </c>
      <c r="L252" s="353">
        <v>0.84</v>
      </c>
      <c r="M252" s="353">
        <v>5</v>
      </c>
      <c r="N252" s="353">
        <v>0.6</v>
      </c>
      <c r="O252" s="353" t="s">
        <v>203</v>
      </c>
      <c r="P252" s="353">
        <v>2000</v>
      </c>
      <c r="Q252" t="s">
        <v>68</v>
      </c>
      <c r="R252" t="s">
        <v>1608</v>
      </c>
      <c r="S252" s="378" t="s">
        <v>331</v>
      </c>
      <c r="T252" s="378" t="s">
        <v>1038</v>
      </c>
    </row>
    <row r="253" spans="1:21" x14ac:dyDescent="0.2">
      <c r="A253" s="353">
        <v>733014</v>
      </c>
      <c r="B253" s="340" t="s">
        <v>937</v>
      </c>
      <c r="C253" s="353">
        <v>4</v>
      </c>
      <c r="D253" s="353">
        <v>2</v>
      </c>
      <c r="E253" s="353">
        <v>3</v>
      </c>
      <c r="F253" s="353">
        <v>1</v>
      </c>
      <c r="G253" s="353">
        <v>2</v>
      </c>
      <c r="H253" s="353"/>
      <c r="I253" s="353"/>
      <c r="J253" s="353"/>
      <c r="K253" s="353">
        <v>0.33</v>
      </c>
      <c r="L253" s="353">
        <v>0.65</v>
      </c>
      <c r="M253" s="353"/>
      <c r="N253" s="353"/>
      <c r="O253" s="353" t="s">
        <v>153</v>
      </c>
      <c r="P253" s="353">
        <v>2016</v>
      </c>
      <c r="Q253" t="s">
        <v>154</v>
      </c>
      <c r="R253" t="s">
        <v>1319</v>
      </c>
      <c r="S253" s="378" t="s">
        <v>826</v>
      </c>
      <c r="T253" s="378" t="s">
        <v>1024</v>
      </c>
    </row>
    <row r="254" spans="1:21" x14ac:dyDescent="0.2">
      <c r="A254" s="353">
        <v>494427</v>
      </c>
      <c r="B254" s="340" t="s">
        <v>351</v>
      </c>
      <c r="C254" s="353">
        <v>32</v>
      </c>
      <c r="D254" s="353">
        <v>8</v>
      </c>
      <c r="E254" s="353">
        <v>10</v>
      </c>
      <c r="F254" s="353">
        <v>15</v>
      </c>
      <c r="G254" s="353">
        <v>25</v>
      </c>
      <c r="H254" s="353">
        <v>51</v>
      </c>
      <c r="I254" s="353"/>
      <c r="J254" s="353"/>
      <c r="K254" s="353">
        <v>0.33</v>
      </c>
      <c r="L254" s="353">
        <v>1.64</v>
      </c>
      <c r="M254" s="353">
        <v>17</v>
      </c>
      <c r="N254" s="353">
        <v>0.9</v>
      </c>
      <c r="O254" s="353" t="s">
        <v>153</v>
      </c>
      <c r="P254" s="353">
        <v>2013</v>
      </c>
      <c r="Q254" t="s">
        <v>68</v>
      </c>
      <c r="R254" t="s">
        <v>1646</v>
      </c>
      <c r="S254" s="378" t="s">
        <v>191</v>
      </c>
      <c r="T254" s="378" t="s">
        <v>1048</v>
      </c>
      <c r="U254" s="377" t="s">
        <v>162</v>
      </c>
    </row>
    <row r="255" spans="1:21" x14ac:dyDescent="0.2">
      <c r="A255" s="353">
        <v>952010</v>
      </c>
      <c r="B255" s="340" t="s">
        <v>378</v>
      </c>
      <c r="C255" s="353">
        <v>13</v>
      </c>
      <c r="D255" s="353">
        <v>2</v>
      </c>
      <c r="E255" s="353">
        <v>4</v>
      </c>
      <c r="F255" s="353">
        <v>4</v>
      </c>
      <c r="G255" s="353">
        <v>18</v>
      </c>
      <c r="H255" s="353">
        <v>77</v>
      </c>
      <c r="I255" s="353">
        <v>199</v>
      </c>
      <c r="J255" s="353">
        <v>24.5</v>
      </c>
      <c r="K255" s="353">
        <v>0.34</v>
      </c>
      <c r="L255" s="353">
        <v>1.55</v>
      </c>
      <c r="M255" s="353">
        <v>15.1</v>
      </c>
      <c r="N255" s="353">
        <v>1.4</v>
      </c>
      <c r="O255" s="353" t="s">
        <v>153</v>
      </c>
      <c r="P255" s="353">
        <v>2000</v>
      </c>
      <c r="Q255" t="s">
        <v>154</v>
      </c>
      <c r="R255" t="s">
        <v>1177</v>
      </c>
      <c r="S255" s="378" t="s">
        <v>194</v>
      </c>
      <c r="T255" s="378" t="s">
        <v>258</v>
      </c>
    </row>
    <row r="256" spans="1:21" x14ac:dyDescent="0.2">
      <c r="A256" s="353">
        <v>484923</v>
      </c>
      <c r="B256" s="340" t="s">
        <v>368</v>
      </c>
      <c r="C256" s="353">
        <v>18</v>
      </c>
      <c r="D256" s="353">
        <v>2</v>
      </c>
      <c r="E256" s="353">
        <v>9</v>
      </c>
      <c r="F256" s="353">
        <v>8</v>
      </c>
      <c r="G256" s="353">
        <v>21</v>
      </c>
      <c r="H256" s="353">
        <v>50</v>
      </c>
      <c r="I256" s="353">
        <v>126</v>
      </c>
      <c r="J256" s="353">
        <v>17.7</v>
      </c>
      <c r="K256" s="353">
        <v>0.34</v>
      </c>
      <c r="L256" s="353">
        <v>1.36</v>
      </c>
      <c r="M256" s="353">
        <v>12.6</v>
      </c>
      <c r="N256" s="353">
        <v>1.2</v>
      </c>
      <c r="O256" s="353" t="s">
        <v>153</v>
      </c>
      <c r="P256" s="353">
        <v>2005</v>
      </c>
      <c r="Q256" t="s">
        <v>154</v>
      </c>
      <c r="R256" t="s">
        <v>1341</v>
      </c>
      <c r="S256" s="378" t="s">
        <v>209</v>
      </c>
      <c r="T256" s="378" t="s">
        <v>318</v>
      </c>
      <c r="U256" s="377" t="s">
        <v>162</v>
      </c>
    </row>
    <row r="257" spans="1:21" x14ac:dyDescent="0.2">
      <c r="A257" s="353">
        <v>811117</v>
      </c>
      <c r="B257" s="340" t="s">
        <v>852</v>
      </c>
      <c r="C257" s="353">
        <v>17</v>
      </c>
      <c r="D257" s="353">
        <v>3</v>
      </c>
      <c r="E257" s="353">
        <v>7</v>
      </c>
      <c r="F257" s="353">
        <v>6</v>
      </c>
      <c r="G257" s="353">
        <v>20</v>
      </c>
      <c r="H257" s="353">
        <v>46</v>
      </c>
      <c r="I257" s="353">
        <v>118</v>
      </c>
      <c r="J257" s="353">
        <v>16.899999999999999</v>
      </c>
      <c r="K257" s="353">
        <v>0.34</v>
      </c>
      <c r="L257" s="353">
        <v>1.55</v>
      </c>
      <c r="M257" s="353">
        <v>11.8</v>
      </c>
      <c r="N257" s="353">
        <v>1.2</v>
      </c>
      <c r="O257" s="353" t="s">
        <v>153</v>
      </c>
      <c r="P257" s="353">
        <v>2000</v>
      </c>
      <c r="Q257" t="s">
        <v>154</v>
      </c>
      <c r="R257" t="s">
        <v>1173</v>
      </c>
      <c r="S257" s="378" t="s">
        <v>194</v>
      </c>
      <c r="T257" s="378" t="s">
        <v>318</v>
      </c>
    </row>
    <row r="258" spans="1:21" x14ac:dyDescent="0.2">
      <c r="A258" s="353">
        <v>504100</v>
      </c>
      <c r="B258" s="340" t="s">
        <v>1053</v>
      </c>
      <c r="C258" s="353">
        <v>32</v>
      </c>
      <c r="D258" s="353">
        <v>7</v>
      </c>
      <c r="E258" s="353">
        <v>10</v>
      </c>
      <c r="F258" s="353">
        <v>16</v>
      </c>
      <c r="G258" s="353">
        <v>24</v>
      </c>
      <c r="H258" s="353">
        <v>58</v>
      </c>
      <c r="I258" s="353">
        <v>108</v>
      </c>
      <c r="J258" s="353">
        <v>15.8</v>
      </c>
      <c r="K258" s="353">
        <v>0.34</v>
      </c>
      <c r="L258" s="353">
        <v>1.55</v>
      </c>
      <c r="M258" s="353">
        <v>14.8</v>
      </c>
      <c r="N258" s="353">
        <v>1.1000000000000001</v>
      </c>
      <c r="O258" s="353" t="s">
        <v>153</v>
      </c>
      <c r="P258" s="353">
        <v>2014</v>
      </c>
      <c r="Q258" t="s">
        <v>154</v>
      </c>
      <c r="R258" t="s">
        <v>1800</v>
      </c>
      <c r="S258" s="378" t="s">
        <v>194</v>
      </c>
      <c r="T258" s="378" t="s">
        <v>1048</v>
      </c>
    </row>
    <row r="259" spans="1:21" x14ac:dyDescent="0.2">
      <c r="A259" s="353">
        <v>563965</v>
      </c>
      <c r="B259" s="340" t="s">
        <v>958</v>
      </c>
      <c r="C259" s="353">
        <v>9</v>
      </c>
      <c r="D259" s="353">
        <v>5</v>
      </c>
      <c r="E259" s="353">
        <v>8</v>
      </c>
      <c r="F259" s="353">
        <v>4</v>
      </c>
      <c r="G259" s="353">
        <v>15</v>
      </c>
      <c r="H259" s="353">
        <v>35</v>
      </c>
      <c r="I259" s="353">
        <v>86</v>
      </c>
      <c r="J259" s="353">
        <v>13.2</v>
      </c>
      <c r="K259" s="353">
        <v>0.34</v>
      </c>
      <c r="L259" s="353">
        <v>1.46</v>
      </c>
      <c r="M259" s="353">
        <v>12.9</v>
      </c>
      <c r="N259" s="353">
        <v>0.9</v>
      </c>
      <c r="O259" s="353" t="s">
        <v>153</v>
      </c>
      <c r="P259" s="353">
        <v>2000</v>
      </c>
      <c r="Q259" t="s">
        <v>154</v>
      </c>
      <c r="R259" t="s">
        <v>1306</v>
      </c>
      <c r="S259" s="378" t="s">
        <v>173</v>
      </c>
      <c r="T259" s="378" t="s">
        <v>181</v>
      </c>
      <c r="U259" s="377" t="s">
        <v>162</v>
      </c>
    </row>
    <row r="260" spans="1:21" x14ac:dyDescent="0.2">
      <c r="A260" s="353">
        <v>154302</v>
      </c>
      <c r="B260" s="340" t="s">
        <v>1068</v>
      </c>
      <c r="C260" s="353">
        <v>9</v>
      </c>
      <c r="D260" s="353">
        <v>2</v>
      </c>
      <c r="E260" s="353">
        <v>5</v>
      </c>
      <c r="F260" s="353">
        <v>4</v>
      </c>
      <c r="G260" s="353">
        <v>10</v>
      </c>
      <c r="H260" s="353">
        <v>23</v>
      </c>
      <c r="I260" s="353">
        <v>54</v>
      </c>
      <c r="J260" s="353">
        <v>9</v>
      </c>
      <c r="K260" s="353">
        <v>0.34</v>
      </c>
      <c r="L260" s="353">
        <v>1.5</v>
      </c>
      <c r="M260" s="353">
        <v>6.6</v>
      </c>
      <c r="N260" s="353">
        <v>1.1000000000000001</v>
      </c>
      <c r="O260" s="353" t="s">
        <v>153</v>
      </c>
      <c r="P260" s="353">
        <v>2015</v>
      </c>
      <c r="Q260" t="s">
        <v>154</v>
      </c>
      <c r="R260" t="s">
        <v>1855</v>
      </c>
      <c r="S260" s="378" t="s">
        <v>194</v>
      </c>
      <c r="T260" s="378" t="s">
        <v>1041</v>
      </c>
    </row>
    <row r="261" spans="1:21" x14ac:dyDescent="0.2">
      <c r="A261" s="353">
        <v>599795</v>
      </c>
      <c r="B261" s="340" t="s">
        <v>382</v>
      </c>
      <c r="C261" s="353">
        <v>7</v>
      </c>
      <c r="D261" s="353">
        <v>2</v>
      </c>
      <c r="E261" s="353">
        <v>3</v>
      </c>
      <c r="F261" s="353">
        <v>1</v>
      </c>
      <c r="G261" s="353">
        <v>6</v>
      </c>
      <c r="H261" s="353">
        <v>19</v>
      </c>
      <c r="I261" s="353">
        <v>44</v>
      </c>
      <c r="J261" s="353">
        <v>7.6</v>
      </c>
      <c r="K261" s="353">
        <v>0.34</v>
      </c>
      <c r="L261" s="353">
        <v>1.57</v>
      </c>
      <c r="M261" s="353">
        <v>7.4</v>
      </c>
      <c r="N261" s="353">
        <v>0.9</v>
      </c>
      <c r="O261" s="353" t="s">
        <v>153</v>
      </c>
      <c r="P261" s="353">
        <v>2000</v>
      </c>
      <c r="Q261" t="s">
        <v>154</v>
      </c>
      <c r="R261" t="s">
        <v>1429</v>
      </c>
      <c r="S261" s="378" t="s">
        <v>173</v>
      </c>
      <c r="T261" s="378" t="s">
        <v>1041</v>
      </c>
      <c r="U261" s="377" t="s">
        <v>162</v>
      </c>
    </row>
    <row r="262" spans="1:21" x14ac:dyDescent="0.2">
      <c r="A262" s="353">
        <v>832717</v>
      </c>
      <c r="B262" s="340" t="s">
        <v>357</v>
      </c>
      <c r="C262" s="353">
        <v>4</v>
      </c>
      <c r="D262" s="353">
        <v>0</v>
      </c>
      <c r="E262" s="353">
        <v>1</v>
      </c>
      <c r="F262" s="353">
        <v>2</v>
      </c>
      <c r="G262" s="353">
        <v>4</v>
      </c>
      <c r="H262" s="353">
        <v>8</v>
      </c>
      <c r="I262" s="353">
        <v>19</v>
      </c>
      <c r="J262" s="353">
        <v>3.5</v>
      </c>
      <c r="K262" s="353">
        <v>0.34</v>
      </c>
      <c r="L262" s="353">
        <v>0.82</v>
      </c>
      <c r="M262" s="353">
        <v>1.6</v>
      </c>
      <c r="N262" s="353">
        <v>1.8</v>
      </c>
      <c r="O262" s="353" t="s">
        <v>153</v>
      </c>
      <c r="P262" s="353">
        <v>2012</v>
      </c>
      <c r="Q262" t="s">
        <v>154</v>
      </c>
      <c r="R262" t="s">
        <v>1438</v>
      </c>
      <c r="S262" s="378" t="s">
        <v>184</v>
      </c>
      <c r="T262" s="378" t="s">
        <v>1044</v>
      </c>
      <c r="U262" s="377" t="s">
        <v>162</v>
      </c>
    </row>
    <row r="263" spans="1:21" x14ac:dyDescent="0.2">
      <c r="A263" s="353">
        <v>587634</v>
      </c>
      <c r="B263" s="340" t="s">
        <v>330</v>
      </c>
      <c r="C263" s="353">
        <v>1</v>
      </c>
      <c r="D263" s="353">
        <v>2</v>
      </c>
      <c r="E263" s="353">
        <v>3</v>
      </c>
      <c r="F263" s="353">
        <v>1</v>
      </c>
      <c r="G263" s="353">
        <v>-2</v>
      </c>
      <c r="H263" s="353">
        <v>3</v>
      </c>
      <c r="I263" s="353">
        <v>15</v>
      </c>
      <c r="J263" s="353">
        <v>2.9</v>
      </c>
      <c r="K263" s="353">
        <v>0.34</v>
      </c>
      <c r="L263" s="353">
        <v>0.89</v>
      </c>
      <c r="M263" s="353">
        <v>5.2</v>
      </c>
      <c r="N263" s="353">
        <v>0.3</v>
      </c>
      <c r="O263" s="353" t="s">
        <v>203</v>
      </c>
      <c r="P263" s="353">
        <v>2000</v>
      </c>
      <c r="Q263" t="s">
        <v>68</v>
      </c>
      <c r="R263" t="s">
        <v>1664</v>
      </c>
      <c r="S263" s="378" t="s">
        <v>331</v>
      </c>
      <c r="T263" s="378" t="s">
        <v>1043</v>
      </c>
    </row>
    <row r="264" spans="1:21" x14ac:dyDescent="0.2">
      <c r="A264" s="353">
        <v>588699</v>
      </c>
      <c r="B264" s="340" t="s">
        <v>360</v>
      </c>
      <c r="C264" s="353">
        <v>12</v>
      </c>
      <c r="D264" s="353">
        <v>-2</v>
      </c>
      <c r="E264" s="353">
        <v>5</v>
      </c>
      <c r="F264" s="353">
        <v>3</v>
      </c>
      <c r="G264" s="353">
        <v>1</v>
      </c>
      <c r="H264" s="353">
        <v>-3</v>
      </c>
      <c r="I264" s="353">
        <v>1</v>
      </c>
      <c r="J264" s="353">
        <v>0.2</v>
      </c>
      <c r="K264" s="353">
        <v>0.34</v>
      </c>
      <c r="L264" s="353">
        <v>1.75</v>
      </c>
      <c r="M264" s="353">
        <v>20.3</v>
      </c>
      <c r="N264" s="353">
        <v>0.1</v>
      </c>
      <c r="O264" s="353" t="s">
        <v>153</v>
      </c>
      <c r="P264" s="353">
        <v>2008</v>
      </c>
      <c r="Q264" t="s">
        <v>154</v>
      </c>
      <c r="R264" t="s">
        <v>1880</v>
      </c>
      <c r="S264" s="378" t="s">
        <v>191</v>
      </c>
      <c r="T264" s="378" t="s">
        <v>361</v>
      </c>
      <c r="U264" s="377" t="s">
        <v>162</v>
      </c>
    </row>
    <row r="265" spans="1:21" x14ac:dyDescent="0.2">
      <c r="A265" s="353">
        <v>687509</v>
      </c>
      <c r="B265" s="340" t="s">
        <v>741</v>
      </c>
      <c r="C265" s="353">
        <v>22</v>
      </c>
      <c r="D265" s="353">
        <v>6</v>
      </c>
      <c r="E265" s="353">
        <v>12</v>
      </c>
      <c r="F265" s="353">
        <v>14</v>
      </c>
      <c r="G265" s="353">
        <v>20</v>
      </c>
      <c r="H265" s="353"/>
      <c r="I265" s="353"/>
      <c r="J265" s="353"/>
      <c r="K265" s="353">
        <v>0.34</v>
      </c>
      <c r="L265" s="353">
        <v>1.55</v>
      </c>
      <c r="M265" s="353"/>
      <c r="N265" s="353"/>
      <c r="O265" s="353" t="s">
        <v>153</v>
      </c>
      <c r="P265" s="353">
        <v>2014</v>
      </c>
      <c r="Q265" t="s">
        <v>154</v>
      </c>
      <c r="R265" t="s">
        <v>1804</v>
      </c>
      <c r="S265" s="378" t="s">
        <v>194</v>
      </c>
      <c r="T265" s="378" t="s">
        <v>1045</v>
      </c>
      <c r="U265" s="377" t="s">
        <v>162</v>
      </c>
    </row>
    <row r="266" spans="1:21" x14ac:dyDescent="0.2">
      <c r="A266" s="353">
        <v>644005</v>
      </c>
      <c r="B266" s="340" t="s">
        <v>1000</v>
      </c>
      <c r="C266" s="353">
        <v>13</v>
      </c>
      <c r="D266" s="353">
        <v>2</v>
      </c>
      <c r="E266" s="353">
        <v>8</v>
      </c>
      <c r="F266" s="353">
        <v>5</v>
      </c>
      <c r="G266" s="353">
        <v>17</v>
      </c>
      <c r="H266" s="353">
        <v>36</v>
      </c>
      <c r="I266" s="353">
        <v>146</v>
      </c>
      <c r="J266" s="353">
        <v>19.7</v>
      </c>
      <c r="K266" s="353">
        <v>0.35</v>
      </c>
      <c r="L266" s="353">
        <v>1.56</v>
      </c>
      <c r="M266" s="353">
        <v>16.8</v>
      </c>
      <c r="N266" s="353">
        <v>0.7</v>
      </c>
      <c r="O266" s="353" t="s">
        <v>153</v>
      </c>
      <c r="P266" s="353">
        <v>2006</v>
      </c>
      <c r="Q266" t="s">
        <v>154</v>
      </c>
      <c r="R266" t="s">
        <v>2021</v>
      </c>
      <c r="S266" s="378" t="s">
        <v>194</v>
      </c>
      <c r="T266" s="378" t="s">
        <v>1051</v>
      </c>
    </row>
    <row r="267" spans="1:21" x14ac:dyDescent="0.2">
      <c r="A267" s="353">
        <v>456475</v>
      </c>
      <c r="B267" s="340" t="s">
        <v>383</v>
      </c>
      <c r="C267" s="353">
        <v>5</v>
      </c>
      <c r="D267" s="353">
        <v>5</v>
      </c>
      <c r="E267" s="353">
        <v>6</v>
      </c>
      <c r="F267" s="353">
        <v>0</v>
      </c>
      <c r="G267" s="353">
        <v>12</v>
      </c>
      <c r="H267" s="353">
        <v>43</v>
      </c>
      <c r="I267" s="353">
        <v>138</v>
      </c>
      <c r="J267" s="353">
        <v>18.899999999999999</v>
      </c>
      <c r="K267" s="353">
        <v>0.35</v>
      </c>
      <c r="L267" s="353">
        <v>1.56</v>
      </c>
      <c r="M267" s="353">
        <v>14.4</v>
      </c>
      <c r="N267" s="353">
        <v>0.9</v>
      </c>
      <c r="O267" s="353" t="s">
        <v>153</v>
      </c>
      <c r="P267" s="353">
        <v>2000</v>
      </c>
      <c r="Q267" t="s">
        <v>154</v>
      </c>
      <c r="R267" t="s">
        <v>1994</v>
      </c>
      <c r="S267" s="378" t="s">
        <v>173</v>
      </c>
      <c r="T267" s="378" t="s">
        <v>1047</v>
      </c>
      <c r="U267" s="377" t="s">
        <v>162</v>
      </c>
    </row>
    <row r="268" spans="1:21" x14ac:dyDescent="0.2">
      <c r="A268" s="353">
        <v>393314</v>
      </c>
      <c r="B268" s="340" t="s">
        <v>366</v>
      </c>
      <c r="C268" s="353">
        <v>16</v>
      </c>
      <c r="D268" s="353">
        <v>3</v>
      </c>
      <c r="E268" s="353">
        <v>7</v>
      </c>
      <c r="F268" s="353">
        <v>3</v>
      </c>
      <c r="G268" s="353">
        <v>21</v>
      </c>
      <c r="H268" s="353">
        <v>50</v>
      </c>
      <c r="I268" s="353">
        <v>131</v>
      </c>
      <c r="J268" s="353">
        <v>18.3</v>
      </c>
      <c r="K268" s="353">
        <v>0.35</v>
      </c>
      <c r="L268" s="353">
        <v>1.44</v>
      </c>
      <c r="M268" s="353">
        <v>13.5</v>
      </c>
      <c r="N268" s="353">
        <v>1.1000000000000001</v>
      </c>
      <c r="O268" s="353" t="s">
        <v>153</v>
      </c>
      <c r="P268" s="353">
        <v>2000</v>
      </c>
      <c r="Q268" t="s">
        <v>154</v>
      </c>
      <c r="R268" t="s">
        <v>1281</v>
      </c>
      <c r="S268" s="378" t="s">
        <v>188</v>
      </c>
      <c r="T268" s="378" t="s">
        <v>219</v>
      </c>
    </row>
    <row r="269" spans="1:21" x14ac:dyDescent="0.2">
      <c r="A269" s="353">
        <v>541235</v>
      </c>
      <c r="B269" s="340" t="s">
        <v>377</v>
      </c>
      <c r="C269" s="353">
        <v>18</v>
      </c>
      <c r="D269" s="353">
        <v>5</v>
      </c>
      <c r="E269" s="353">
        <v>10</v>
      </c>
      <c r="F269" s="353">
        <v>9</v>
      </c>
      <c r="G269" s="353">
        <v>17</v>
      </c>
      <c r="H269" s="353">
        <v>58</v>
      </c>
      <c r="I269" s="353">
        <v>128</v>
      </c>
      <c r="J269" s="353">
        <v>18</v>
      </c>
      <c r="K269" s="353">
        <v>0.35</v>
      </c>
      <c r="L269" s="353">
        <v>1.63</v>
      </c>
      <c r="M269" s="353">
        <v>12.2</v>
      </c>
      <c r="N269" s="353">
        <v>1.3</v>
      </c>
      <c r="O269" s="353" t="s">
        <v>153</v>
      </c>
      <c r="P269" s="353">
        <v>2011</v>
      </c>
      <c r="Q269" t="s">
        <v>154</v>
      </c>
      <c r="R269" t="s">
        <v>1216</v>
      </c>
      <c r="S269" s="378" t="s">
        <v>339</v>
      </c>
      <c r="T269" s="378" t="s">
        <v>181</v>
      </c>
    </row>
    <row r="270" spans="1:21" x14ac:dyDescent="0.2">
      <c r="A270" s="353">
        <v>469692</v>
      </c>
      <c r="B270" s="340" t="s">
        <v>404</v>
      </c>
      <c r="C270" s="353">
        <v>23</v>
      </c>
      <c r="D270" s="353">
        <v>10</v>
      </c>
      <c r="E270" s="353">
        <v>7</v>
      </c>
      <c r="F270" s="353">
        <v>5</v>
      </c>
      <c r="G270" s="353">
        <v>15</v>
      </c>
      <c r="H270" s="353">
        <v>47</v>
      </c>
      <c r="I270" s="353">
        <v>126</v>
      </c>
      <c r="J270" s="353">
        <v>17.7</v>
      </c>
      <c r="K270" s="353">
        <v>0.35</v>
      </c>
      <c r="L270" s="353">
        <v>1.85</v>
      </c>
      <c r="M270" s="353">
        <v>18.3</v>
      </c>
      <c r="N270" s="353">
        <v>0.8</v>
      </c>
      <c r="O270" s="353" t="s">
        <v>153</v>
      </c>
      <c r="P270" s="353">
        <v>2007</v>
      </c>
      <c r="Q270" t="s">
        <v>68</v>
      </c>
      <c r="R270" t="s">
        <v>1647</v>
      </c>
      <c r="S270" s="378" t="s">
        <v>191</v>
      </c>
      <c r="T270" s="378" t="s">
        <v>1057</v>
      </c>
      <c r="U270" s="377" t="s">
        <v>162</v>
      </c>
    </row>
    <row r="271" spans="1:21" x14ac:dyDescent="0.2">
      <c r="A271" s="353">
        <v>653097</v>
      </c>
      <c r="B271" s="340" t="s">
        <v>370</v>
      </c>
      <c r="C271" s="353">
        <v>30</v>
      </c>
      <c r="D271" s="353">
        <v>7</v>
      </c>
      <c r="E271" s="353">
        <v>13</v>
      </c>
      <c r="F271" s="353">
        <v>17</v>
      </c>
      <c r="G271" s="353">
        <v>21</v>
      </c>
      <c r="H271" s="353">
        <v>49</v>
      </c>
      <c r="I271" s="353">
        <v>104</v>
      </c>
      <c r="J271" s="353">
        <v>15.4</v>
      </c>
      <c r="K271" s="353">
        <v>0.35</v>
      </c>
      <c r="L271" s="353">
        <v>1.85</v>
      </c>
      <c r="M271" s="353">
        <v>17.5</v>
      </c>
      <c r="N271" s="353">
        <v>0.9</v>
      </c>
      <c r="O271" s="353" t="s">
        <v>153</v>
      </c>
      <c r="P271" s="353">
        <v>2007</v>
      </c>
      <c r="Q271" t="s">
        <v>68</v>
      </c>
      <c r="R271" t="s">
        <v>1753</v>
      </c>
      <c r="S271" s="378" t="s">
        <v>191</v>
      </c>
      <c r="T271" s="378" t="s">
        <v>342</v>
      </c>
      <c r="U271" s="377" t="s">
        <v>162</v>
      </c>
    </row>
    <row r="272" spans="1:21" x14ac:dyDescent="0.2">
      <c r="A272" s="353">
        <v>301580</v>
      </c>
      <c r="B272" s="340" t="s">
        <v>384</v>
      </c>
      <c r="C272" s="353">
        <v>8</v>
      </c>
      <c r="D272" s="353">
        <v>4</v>
      </c>
      <c r="E272" s="353">
        <v>7</v>
      </c>
      <c r="F272" s="353">
        <v>2</v>
      </c>
      <c r="G272" s="353">
        <v>11</v>
      </c>
      <c r="H272" s="353">
        <v>33</v>
      </c>
      <c r="I272" s="353">
        <v>97</v>
      </c>
      <c r="J272" s="353">
        <v>14.5</v>
      </c>
      <c r="K272" s="353">
        <v>0.35</v>
      </c>
      <c r="L272" s="353">
        <v>1.4</v>
      </c>
      <c r="M272" s="353">
        <v>11</v>
      </c>
      <c r="N272" s="353">
        <v>1</v>
      </c>
      <c r="O272" s="353" t="s">
        <v>153</v>
      </c>
      <c r="P272" s="353">
        <v>2002</v>
      </c>
      <c r="Q272" t="s">
        <v>154</v>
      </c>
      <c r="R272" t="s">
        <v>1229</v>
      </c>
      <c r="S272" s="378" t="s">
        <v>209</v>
      </c>
      <c r="T272" s="378" t="s">
        <v>181</v>
      </c>
      <c r="U272" s="377" t="s">
        <v>162</v>
      </c>
    </row>
    <row r="273" spans="1:21" x14ac:dyDescent="0.2">
      <c r="A273" s="353">
        <v>492306</v>
      </c>
      <c r="B273" s="340" t="s">
        <v>389</v>
      </c>
      <c r="C273" s="353">
        <v>11</v>
      </c>
      <c r="D273" s="353">
        <v>2</v>
      </c>
      <c r="E273" s="353">
        <v>6</v>
      </c>
      <c r="F273" s="353">
        <v>4</v>
      </c>
      <c r="G273" s="353">
        <v>15</v>
      </c>
      <c r="H273" s="353">
        <v>32</v>
      </c>
      <c r="I273" s="353">
        <v>82</v>
      </c>
      <c r="J273" s="353">
        <v>12.7</v>
      </c>
      <c r="K273" s="353">
        <v>0.35</v>
      </c>
      <c r="L273" s="353">
        <v>1.56</v>
      </c>
      <c r="M273" s="353">
        <v>12.6</v>
      </c>
      <c r="N273" s="353">
        <v>0.8</v>
      </c>
      <c r="O273" s="353" t="s">
        <v>153</v>
      </c>
      <c r="P273" s="353">
        <v>2000</v>
      </c>
      <c r="Q273" t="s">
        <v>154</v>
      </c>
      <c r="R273" t="s">
        <v>1775</v>
      </c>
      <c r="S273" s="378" t="s">
        <v>173</v>
      </c>
      <c r="T273" s="378" t="s">
        <v>215</v>
      </c>
      <c r="U273" s="377" t="s">
        <v>162</v>
      </c>
    </row>
    <row r="274" spans="1:21" x14ac:dyDescent="0.2">
      <c r="A274" s="353">
        <v>122432</v>
      </c>
      <c r="B274" s="340" t="s">
        <v>385</v>
      </c>
      <c r="C274" s="353">
        <v>16</v>
      </c>
      <c r="D274" s="353">
        <v>2</v>
      </c>
      <c r="E274" s="353">
        <v>6</v>
      </c>
      <c r="F274" s="353">
        <v>4</v>
      </c>
      <c r="G274" s="353">
        <v>20</v>
      </c>
      <c r="H274" s="353">
        <v>39</v>
      </c>
      <c r="I274" s="353">
        <v>79</v>
      </c>
      <c r="J274" s="353">
        <v>12.4</v>
      </c>
      <c r="K274" s="353">
        <v>0.35</v>
      </c>
      <c r="L274" s="353">
        <v>1.42</v>
      </c>
      <c r="M274" s="353">
        <v>12.6</v>
      </c>
      <c r="N274" s="353">
        <v>1</v>
      </c>
      <c r="O274" s="353" t="s">
        <v>153</v>
      </c>
      <c r="P274" s="353">
        <v>2002</v>
      </c>
      <c r="Q274" t="s">
        <v>154</v>
      </c>
      <c r="R274" t="s">
        <v>1335</v>
      </c>
      <c r="S274" s="378" t="s">
        <v>209</v>
      </c>
      <c r="T274" s="378" t="s">
        <v>215</v>
      </c>
      <c r="U274" s="377" t="s">
        <v>162</v>
      </c>
    </row>
    <row r="275" spans="1:21" x14ac:dyDescent="0.2">
      <c r="A275" s="353">
        <v>984187</v>
      </c>
      <c r="B275" s="340" t="s">
        <v>358</v>
      </c>
      <c r="C275" s="353">
        <v>12</v>
      </c>
      <c r="D275" s="353">
        <v>6</v>
      </c>
      <c r="E275" s="353">
        <v>8</v>
      </c>
      <c r="F275" s="353">
        <v>5</v>
      </c>
      <c r="G275" s="353">
        <v>15</v>
      </c>
      <c r="H275" s="353">
        <v>32</v>
      </c>
      <c r="I275" s="353">
        <v>79</v>
      </c>
      <c r="J275" s="353">
        <v>12.3</v>
      </c>
      <c r="K275" s="353">
        <v>0.35</v>
      </c>
      <c r="L275" s="353">
        <v>1</v>
      </c>
      <c r="M275" s="353">
        <v>13.8</v>
      </c>
      <c r="N275" s="353">
        <v>0.8</v>
      </c>
      <c r="O275" s="353" t="s">
        <v>293</v>
      </c>
      <c r="P275" s="353">
        <v>2002</v>
      </c>
      <c r="Q275" t="s">
        <v>68</v>
      </c>
      <c r="R275" t="s">
        <v>1863</v>
      </c>
      <c r="S275" s="378" t="s">
        <v>176</v>
      </c>
      <c r="T275" s="378" t="s">
        <v>181</v>
      </c>
    </row>
    <row r="276" spans="1:21" x14ac:dyDescent="0.2">
      <c r="A276" s="353">
        <v>120014</v>
      </c>
      <c r="B276" s="340" t="s">
        <v>355</v>
      </c>
      <c r="C276" s="353">
        <v>13</v>
      </c>
      <c r="D276" s="353">
        <v>6</v>
      </c>
      <c r="E276" s="353">
        <v>9</v>
      </c>
      <c r="F276" s="353">
        <v>5</v>
      </c>
      <c r="G276" s="353">
        <v>20</v>
      </c>
      <c r="H276" s="353">
        <v>31</v>
      </c>
      <c r="I276" s="353">
        <v>73</v>
      </c>
      <c r="J276" s="353">
        <v>11.6</v>
      </c>
      <c r="K276" s="353">
        <v>0.35</v>
      </c>
      <c r="L276" s="353">
        <v>1</v>
      </c>
      <c r="M276" s="353">
        <v>12.6</v>
      </c>
      <c r="N276" s="353">
        <v>0.8</v>
      </c>
      <c r="O276" s="353" t="s">
        <v>293</v>
      </c>
      <c r="P276" s="353">
        <v>2002</v>
      </c>
      <c r="Q276" t="s">
        <v>68</v>
      </c>
      <c r="R276" t="s">
        <v>1888</v>
      </c>
      <c r="S276" s="378" t="s">
        <v>176</v>
      </c>
      <c r="T276" s="378" t="s">
        <v>1026</v>
      </c>
    </row>
    <row r="277" spans="1:21" x14ac:dyDescent="0.2">
      <c r="A277" s="353">
        <v>549972</v>
      </c>
      <c r="B277" s="340" t="s">
        <v>359</v>
      </c>
      <c r="C277" s="353">
        <v>9</v>
      </c>
      <c r="D277" s="353">
        <v>3</v>
      </c>
      <c r="E277" s="353">
        <v>4</v>
      </c>
      <c r="F277" s="353">
        <v>5</v>
      </c>
      <c r="G277" s="353">
        <v>8</v>
      </c>
      <c r="H277" s="353">
        <v>27</v>
      </c>
      <c r="I277" s="353">
        <v>61</v>
      </c>
      <c r="J277" s="353">
        <v>10</v>
      </c>
      <c r="K277" s="353">
        <v>0.35</v>
      </c>
      <c r="L277" s="353">
        <v>0.95</v>
      </c>
      <c r="M277" s="353">
        <v>5.7</v>
      </c>
      <c r="N277" s="353">
        <v>1.5</v>
      </c>
      <c r="O277" s="353" t="s">
        <v>203</v>
      </c>
      <c r="P277" s="353">
        <v>2001</v>
      </c>
      <c r="Q277" t="s">
        <v>68</v>
      </c>
      <c r="R277" t="s">
        <v>2003</v>
      </c>
      <c r="S277" s="378" t="s">
        <v>198</v>
      </c>
      <c r="T277" s="378" t="s">
        <v>1043</v>
      </c>
    </row>
    <row r="278" spans="1:21" x14ac:dyDescent="0.2">
      <c r="A278" s="353">
        <v>700310</v>
      </c>
      <c r="B278" s="340" t="s">
        <v>356</v>
      </c>
      <c r="C278" s="353">
        <v>7</v>
      </c>
      <c r="D278" s="353">
        <v>1</v>
      </c>
      <c r="E278" s="353">
        <v>2</v>
      </c>
      <c r="F278" s="353">
        <v>4</v>
      </c>
      <c r="G278" s="353">
        <v>9</v>
      </c>
      <c r="H278" s="353">
        <v>20</v>
      </c>
      <c r="I278" s="353">
        <v>45</v>
      </c>
      <c r="J278" s="353">
        <v>7.7</v>
      </c>
      <c r="K278" s="353">
        <v>0.35</v>
      </c>
      <c r="L278" s="353">
        <v>0.95</v>
      </c>
      <c r="M278" s="353">
        <v>3.9</v>
      </c>
      <c r="N278" s="353">
        <v>1.7</v>
      </c>
      <c r="O278" s="353" t="s">
        <v>153</v>
      </c>
      <c r="P278" s="353">
        <v>2012</v>
      </c>
      <c r="Q278" t="s">
        <v>68</v>
      </c>
      <c r="R278" t="s">
        <v>1477</v>
      </c>
      <c r="S278" s="378" t="s">
        <v>198</v>
      </c>
      <c r="T278" s="378" t="s">
        <v>1043</v>
      </c>
    </row>
    <row r="279" spans="1:21" x14ac:dyDescent="0.2">
      <c r="A279" s="353">
        <v>408898</v>
      </c>
      <c r="B279" s="340" t="s">
        <v>1042</v>
      </c>
      <c r="C279" s="353">
        <v>3</v>
      </c>
      <c r="D279" s="353">
        <v>1</v>
      </c>
      <c r="E279" s="353">
        <v>1</v>
      </c>
      <c r="F279" s="353">
        <v>2</v>
      </c>
      <c r="G279" s="353">
        <v>2</v>
      </c>
      <c r="H279" s="353">
        <v>8</v>
      </c>
      <c r="I279" s="353">
        <v>27</v>
      </c>
      <c r="J279" s="353">
        <v>4.9000000000000004</v>
      </c>
      <c r="K279" s="353">
        <v>0.35</v>
      </c>
      <c r="L279" s="353">
        <v>1.07</v>
      </c>
      <c r="M279" s="353">
        <v>3.3</v>
      </c>
      <c r="N279" s="353">
        <v>0.8</v>
      </c>
      <c r="O279" s="353" t="s">
        <v>153</v>
      </c>
      <c r="P279" s="353">
        <v>2009</v>
      </c>
      <c r="Q279" t="s">
        <v>68</v>
      </c>
      <c r="R279" t="s">
        <v>1421</v>
      </c>
      <c r="S279" s="378" t="s">
        <v>381</v>
      </c>
      <c r="T279" s="378" t="s">
        <v>1038</v>
      </c>
    </row>
    <row r="280" spans="1:21" x14ac:dyDescent="0.2">
      <c r="A280" s="353">
        <v>155606</v>
      </c>
      <c r="B280" s="340" t="s">
        <v>1142</v>
      </c>
      <c r="C280" s="353">
        <v>4</v>
      </c>
      <c r="D280" s="353">
        <v>1</v>
      </c>
      <c r="E280" s="353">
        <v>2</v>
      </c>
      <c r="F280" s="353">
        <v>2</v>
      </c>
      <c r="G280" s="353">
        <v>4</v>
      </c>
      <c r="H280" s="353">
        <v>7</v>
      </c>
      <c r="I280" s="353">
        <v>22</v>
      </c>
      <c r="J280" s="353">
        <v>4</v>
      </c>
      <c r="K280" s="353">
        <v>0.35</v>
      </c>
      <c r="L280" s="353">
        <v>1.38</v>
      </c>
      <c r="M280" s="353">
        <v>3.2</v>
      </c>
      <c r="N280" s="353">
        <v>0.8</v>
      </c>
      <c r="O280" s="353" t="s">
        <v>153</v>
      </c>
      <c r="P280" s="353">
        <v>2011</v>
      </c>
      <c r="Q280" t="s">
        <v>68</v>
      </c>
      <c r="R280" t="s">
        <v>1989</v>
      </c>
      <c r="S280" s="378" t="s">
        <v>942</v>
      </c>
      <c r="T280" s="378" t="s">
        <v>1035</v>
      </c>
    </row>
    <row r="281" spans="1:21" x14ac:dyDescent="0.2">
      <c r="A281" s="353">
        <v>528422</v>
      </c>
      <c r="B281" s="340" t="s">
        <v>978</v>
      </c>
      <c r="C281" s="353">
        <v>3</v>
      </c>
      <c r="D281" s="353">
        <v>1</v>
      </c>
      <c r="E281" s="353">
        <v>1</v>
      </c>
      <c r="F281" s="353">
        <v>0</v>
      </c>
      <c r="G281" s="353">
        <v>-3</v>
      </c>
      <c r="H281" s="353">
        <v>6</v>
      </c>
      <c r="I281" s="353">
        <v>21</v>
      </c>
      <c r="J281" s="353">
        <v>3.9</v>
      </c>
      <c r="K281" s="353">
        <v>0.35</v>
      </c>
      <c r="L281" s="353">
        <v>0.82</v>
      </c>
      <c r="M281" s="353">
        <v>6.3</v>
      </c>
      <c r="N281" s="353">
        <v>0.4</v>
      </c>
      <c r="O281" s="353" t="s">
        <v>203</v>
      </c>
      <c r="P281" s="353">
        <v>2013</v>
      </c>
      <c r="Q281" t="s">
        <v>68</v>
      </c>
      <c r="R281" t="s">
        <v>1698</v>
      </c>
      <c r="S281" s="378" t="s">
        <v>744</v>
      </c>
      <c r="T281" s="378" t="s">
        <v>1033</v>
      </c>
    </row>
    <row r="282" spans="1:21" x14ac:dyDescent="0.2">
      <c r="A282" s="353">
        <v>433862</v>
      </c>
      <c r="B282" s="340" t="s">
        <v>372</v>
      </c>
      <c r="C282" s="353">
        <v>-2</v>
      </c>
      <c r="D282" s="353">
        <v>1</v>
      </c>
      <c r="E282" s="353">
        <v>14</v>
      </c>
      <c r="F282" s="353">
        <v>1</v>
      </c>
      <c r="G282" s="353">
        <v>13</v>
      </c>
      <c r="H282" s="353">
        <v>32</v>
      </c>
      <c r="I282" s="353">
        <v>20</v>
      </c>
      <c r="J282" s="353">
        <v>3.8</v>
      </c>
      <c r="K282" s="353">
        <v>0.35</v>
      </c>
      <c r="L282" s="353">
        <v>1.85</v>
      </c>
      <c r="M282" s="353">
        <v>23.8</v>
      </c>
      <c r="N282" s="353">
        <v>0.5</v>
      </c>
      <c r="O282" s="353" t="s">
        <v>153</v>
      </c>
      <c r="P282" s="353">
        <v>2007</v>
      </c>
      <c r="Q282" t="s">
        <v>68</v>
      </c>
      <c r="R282" t="s">
        <v>1754</v>
      </c>
      <c r="S282" s="378" t="s">
        <v>191</v>
      </c>
      <c r="T282" s="378" t="s">
        <v>373</v>
      </c>
      <c r="U282" s="377" t="s">
        <v>162</v>
      </c>
    </row>
    <row r="283" spans="1:21" x14ac:dyDescent="0.2">
      <c r="A283" s="353">
        <v>980284</v>
      </c>
      <c r="B283" s="340" t="s">
        <v>353</v>
      </c>
      <c r="C283" s="353">
        <v>4</v>
      </c>
      <c r="D283" s="353">
        <v>1</v>
      </c>
      <c r="E283" s="353">
        <v>1</v>
      </c>
      <c r="F283" s="353">
        <v>2</v>
      </c>
      <c r="G283" s="353">
        <v>3</v>
      </c>
      <c r="H283" s="353">
        <v>5</v>
      </c>
      <c r="I283" s="353">
        <v>13</v>
      </c>
      <c r="J283" s="353">
        <v>2.5</v>
      </c>
      <c r="K283" s="353">
        <v>0.35</v>
      </c>
      <c r="L283" s="353">
        <v>0.8</v>
      </c>
      <c r="M283" s="353">
        <v>10.199999999999999</v>
      </c>
      <c r="N283" s="353">
        <v>0.2</v>
      </c>
      <c r="O283" s="353" t="s">
        <v>293</v>
      </c>
      <c r="P283" s="353">
        <v>2012</v>
      </c>
      <c r="Q283" t="s">
        <v>68</v>
      </c>
      <c r="R283" t="s">
        <v>1887</v>
      </c>
      <c r="S283" s="378" t="s">
        <v>354</v>
      </c>
      <c r="T283" s="378" t="s">
        <v>1044</v>
      </c>
    </row>
    <row r="284" spans="1:21" x14ac:dyDescent="0.2">
      <c r="A284" s="353">
        <v>341305</v>
      </c>
      <c r="B284" s="340" t="s">
        <v>973</v>
      </c>
      <c r="C284" s="353">
        <v>9</v>
      </c>
      <c r="D284" s="353">
        <v>4</v>
      </c>
      <c r="E284" s="353">
        <v>10</v>
      </c>
      <c r="F284" s="353">
        <v>3</v>
      </c>
      <c r="G284" s="353">
        <v>23</v>
      </c>
      <c r="H284" s="353"/>
      <c r="I284" s="353"/>
      <c r="J284" s="353"/>
      <c r="K284" s="353">
        <v>0.35</v>
      </c>
      <c r="L284" s="353">
        <v>1.63</v>
      </c>
      <c r="M284" s="353"/>
      <c r="N284" s="353"/>
      <c r="O284" s="353" t="s">
        <v>153</v>
      </c>
      <c r="P284" s="353">
        <v>2016</v>
      </c>
      <c r="Q284" t="s">
        <v>154</v>
      </c>
      <c r="R284" t="s">
        <v>1624</v>
      </c>
      <c r="S284" s="378" t="s">
        <v>339</v>
      </c>
      <c r="T284" s="378" t="s">
        <v>1047</v>
      </c>
    </row>
    <row r="285" spans="1:21" x14ac:dyDescent="0.2">
      <c r="A285" s="353">
        <v>997403</v>
      </c>
      <c r="B285" s="340" t="s">
        <v>376</v>
      </c>
      <c r="C285" s="353">
        <v>3</v>
      </c>
      <c r="D285" s="353">
        <v>2</v>
      </c>
      <c r="E285" s="353">
        <v>3</v>
      </c>
      <c r="F285" s="353">
        <v>0</v>
      </c>
      <c r="G285" s="353">
        <v>5</v>
      </c>
      <c r="H285" s="353">
        <v>18</v>
      </c>
      <c r="I285" s="353"/>
      <c r="J285" s="353"/>
      <c r="K285" s="353">
        <v>0.35</v>
      </c>
      <c r="L285" s="353">
        <v>1.41</v>
      </c>
      <c r="M285" s="353">
        <v>7</v>
      </c>
      <c r="N285" s="353">
        <v>0.9</v>
      </c>
      <c r="O285" s="353" t="s">
        <v>153</v>
      </c>
      <c r="P285" s="353">
        <v>2013</v>
      </c>
      <c r="Q285" t="s">
        <v>68</v>
      </c>
      <c r="R285" t="s">
        <v>1741</v>
      </c>
      <c r="S285" s="378" t="s">
        <v>209</v>
      </c>
      <c r="T285" s="378" t="s">
        <v>1041</v>
      </c>
    </row>
    <row r="286" spans="1:21" x14ac:dyDescent="0.2">
      <c r="A286" s="353">
        <v>821736</v>
      </c>
      <c r="B286" s="340" t="s">
        <v>386</v>
      </c>
      <c r="C286" s="353">
        <v>14</v>
      </c>
      <c r="D286" s="353">
        <v>4</v>
      </c>
      <c r="E286" s="353">
        <v>10</v>
      </c>
      <c r="F286" s="353">
        <v>5</v>
      </c>
      <c r="G286" s="353">
        <v>23</v>
      </c>
      <c r="H286" s="353">
        <v>59</v>
      </c>
      <c r="I286" s="353"/>
      <c r="J286" s="353"/>
      <c r="K286" s="353">
        <v>0.35</v>
      </c>
      <c r="L286" s="353">
        <v>1.6</v>
      </c>
      <c r="M286" s="353">
        <v>15.4</v>
      </c>
      <c r="N286" s="353">
        <v>1.1000000000000001</v>
      </c>
      <c r="O286" s="353" t="s">
        <v>153</v>
      </c>
      <c r="P286" s="353">
        <v>2013</v>
      </c>
      <c r="Q286" t="s">
        <v>68</v>
      </c>
      <c r="R286" t="s">
        <v>1744</v>
      </c>
      <c r="S286" s="378" t="s">
        <v>158</v>
      </c>
      <c r="T286" s="378" t="s">
        <v>1047</v>
      </c>
      <c r="U286" s="377" t="s">
        <v>162</v>
      </c>
    </row>
    <row r="287" spans="1:21" x14ac:dyDescent="0.2">
      <c r="A287" s="353">
        <v>751495</v>
      </c>
      <c r="B287" s="340" t="s">
        <v>1004</v>
      </c>
      <c r="C287" s="353">
        <v>14</v>
      </c>
      <c r="D287" s="353">
        <v>2</v>
      </c>
      <c r="E287" s="353">
        <v>5</v>
      </c>
      <c r="F287" s="353">
        <v>5</v>
      </c>
      <c r="G287" s="353">
        <v>19</v>
      </c>
      <c r="H287" s="353">
        <v>77</v>
      </c>
      <c r="I287" s="353">
        <v>179</v>
      </c>
      <c r="J287" s="353">
        <v>22.8</v>
      </c>
      <c r="K287" s="353">
        <v>0.36</v>
      </c>
      <c r="L287" s="353">
        <v>1.65</v>
      </c>
      <c r="M287" s="353">
        <v>12.6</v>
      </c>
      <c r="N287" s="353">
        <v>1.6</v>
      </c>
      <c r="O287" s="353" t="s">
        <v>153</v>
      </c>
      <c r="P287" s="353">
        <v>2006</v>
      </c>
      <c r="Q287" t="s">
        <v>154</v>
      </c>
      <c r="R287" t="s">
        <v>1240</v>
      </c>
      <c r="S287" s="378" t="s">
        <v>194</v>
      </c>
      <c r="T287" s="378" t="s">
        <v>318</v>
      </c>
    </row>
    <row r="288" spans="1:21" x14ac:dyDescent="0.2">
      <c r="A288" s="353">
        <v>194092</v>
      </c>
      <c r="B288" s="340" t="s">
        <v>397</v>
      </c>
      <c r="C288" s="353">
        <v>21</v>
      </c>
      <c r="D288" s="353">
        <v>10</v>
      </c>
      <c r="E288" s="353">
        <v>15</v>
      </c>
      <c r="F288" s="353">
        <v>11</v>
      </c>
      <c r="G288" s="353">
        <v>22</v>
      </c>
      <c r="H288" s="353">
        <v>70</v>
      </c>
      <c r="I288" s="353">
        <v>155</v>
      </c>
      <c r="J288" s="353">
        <v>20.5</v>
      </c>
      <c r="K288" s="353">
        <v>0.36</v>
      </c>
      <c r="L288" s="353">
        <v>1.5</v>
      </c>
      <c r="M288" s="353">
        <v>16.399999999999999</v>
      </c>
      <c r="N288" s="353">
        <v>1.2</v>
      </c>
      <c r="O288" s="353" t="s">
        <v>153</v>
      </c>
      <c r="P288" s="353">
        <v>2002</v>
      </c>
      <c r="Q288" t="s">
        <v>154</v>
      </c>
      <c r="R288" t="s">
        <v>1230</v>
      </c>
      <c r="S288" s="378" t="s">
        <v>209</v>
      </c>
      <c r="T288" s="378" t="s">
        <v>253</v>
      </c>
      <c r="U288" s="377" t="s">
        <v>162</v>
      </c>
    </row>
    <row r="289" spans="1:21" x14ac:dyDescent="0.2">
      <c r="A289" s="353">
        <v>840033</v>
      </c>
      <c r="B289" s="340" t="s">
        <v>905</v>
      </c>
      <c r="C289" s="353">
        <v>13</v>
      </c>
      <c r="D289" s="353">
        <v>5</v>
      </c>
      <c r="E289" s="353">
        <v>8</v>
      </c>
      <c r="F289" s="353">
        <v>4</v>
      </c>
      <c r="G289" s="353">
        <v>18</v>
      </c>
      <c r="H289" s="353">
        <v>48</v>
      </c>
      <c r="I289" s="353">
        <v>137</v>
      </c>
      <c r="J289" s="353">
        <v>18.8</v>
      </c>
      <c r="K289" s="353">
        <v>0.36</v>
      </c>
      <c r="L289" s="353">
        <v>1.66</v>
      </c>
      <c r="M289" s="353">
        <v>13.7</v>
      </c>
      <c r="N289" s="353">
        <v>1</v>
      </c>
      <c r="O289" s="353" t="s">
        <v>153</v>
      </c>
      <c r="P289" s="353">
        <v>2011</v>
      </c>
      <c r="Q289" t="s">
        <v>154</v>
      </c>
      <c r="R289" t="s">
        <v>1745</v>
      </c>
      <c r="S289" s="378" t="s">
        <v>194</v>
      </c>
      <c r="T289" s="378" t="s">
        <v>1047</v>
      </c>
      <c r="U289" s="377" t="s">
        <v>162</v>
      </c>
    </row>
    <row r="290" spans="1:21" x14ac:dyDescent="0.2">
      <c r="A290" s="353">
        <v>986604</v>
      </c>
      <c r="B290" s="340" t="s">
        <v>403</v>
      </c>
      <c r="C290" s="353">
        <v>1</v>
      </c>
      <c r="D290" s="353">
        <v>4</v>
      </c>
      <c r="E290" s="353">
        <v>8</v>
      </c>
      <c r="F290" s="353">
        <v>1</v>
      </c>
      <c r="G290" s="353">
        <v>10</v>
      </c>
      <c r="H290" s="353">
        <v>36</v>
      </c>
      <c r="I290" s="353">
        <v>129</v>
      </c>
      <c r="J290" s="353">
        <v>18</v>
      </c>
      <c r="K290" s="353">
        <v>0.36</v>
      </c>
      <c r="L290" s="353">
        <v>1.5</v>
      </c>
      <c r="M290" s="353">
        <v>13.1</v>
      </c>
      <c r="N290" s="353">
        <v>0.9</v>
      </c>
      <c r="O290" s="353" t="s">
        <v>153</v>
      </c>
      <c r="P290" s="353">
        <v>2002</v>
      </c>
      <c r="Q290" t="s">
        <v>154</v>
      </c>
      <c r="R290" t="s">
        <v>1766</v>
      </c>
      <c r="S290" s="378" t="s">
        <v>209</v>
      </c>
      <c r="T290" s="378" t="s">
        <v>1047</v>
      </c>
      <c r="U290" s="377" t="s">
        <v>162</v>
      </c>
    </row>
    <row r="291" spans="1:21" x14ac:dyDescent="0.2">
      <c r="A291" s="353">
        <v>377432</v>
      </c>
      <c r="B291" s="340" t="s">
        <v>405</v>
      </c>
      <c r="C291" s="353">
        <v>8</v>
      </c>
      <c r="D291" s="353">
        <v>6</v>
      </c>
      <c r="E291" s="353">
        <v>10</v>
      </c>
      <c r="F291" s="353">
        <v>6</v>
      </c>
      <c r="G291" s="353">
        <v>7</v>
      </c>
      <c r="H291" s="353">
        <v>56</v>
      </c>
      <c r="I291" s="353">
        <v>126</v>
      </c>
      <c r="J291" s="353">
        <v>17.7</v>
      </c>
      <c r="K291" s="353">
        <v>0.36</v>
      </c>
      <c r="L291" s="353">
        <v>1.5</v>
      </c>
      <c r="M291" s="353">
        <v>14.8</v>
      </c>
      <c r="N291" s="353">
        <v>1.1000000000000001</v>
      </c>
      <c r="O291" s="353" t="s">
        <v>153</v>
      </c>
      <c r="P291" s="353">
        <v>2005</v>
      </c>
      <c r="Q291" t="s">
        <v>154</v>
      </c>
      <c r="R291" t="s">
        <v>1351</v>
      </c>
      <c r="S291" s="378" t="s">
        <v>209</v>
      </c>
      <c r="T291" s="378" t="s">
        <v>201</v>
      </c>
      <c r="U291" s="377" t="s">
        <v>162</v>
      </c>
    </row>
    <row r="292" spans="1:21" x14ac:dyDescent="0.2">
      <c r="A292" s="353">
        <v>229922</v>
      </c>
      <c r="B292" s="340" t="s">
        <v>19</v>
      </c>
      <c r="C292" s="353">
        <v>7</v>
      </c>
      <c r="D292" s="353">
        <v>1</v>
      </c>
      <c r="E292" s="353">
        <v>4</v>
      </c>
      <c r="F292" s="353">
        <v>0</v>
      </c>
      <c r="G292" s="353">
        <v>10</v>
      </c>
      <c r="H292" s="353">
        <v>23</v>
      </c>
      <c r="I292" s="353">
        <v>122</v>
      </c>
      <c r="J292" s="353">
        <v>17.3</v>
      </c>
      <c r="K292" s="353">
        <v>0.36</v>
      </c>
      <c r="L292" s="353">
        <v>1.51</v>
      </c>
      <c r="M292" s="353">
        <v>15.4</v>
      </c>
      <c r="N292" s="353">
        <v>0.5</v>
      </c>
      <c r="O292" s="353" t="s">
        <v>153</v>
      </c>
      <c r="P292" s="353">
        <v>2002</v>
      </c>
      <c r="Q292" t="s">
        <v>154</v>
      </c>
      <c r="R292" t="s">
        <v>1967</v>
      </c>
      <c r="S292" s="378" t="s">
        <v>209</v>
      </c>
      <c r="T292" s="378" t="s">
        <v>1051</v>
      </c>
      <c r="U292" s="377" t="s">
        <v>162</v>
      </c>
    </row>
    <row r="293" spans="1:21" x14ac:dyDescent="0.2">
      <c r="A293" s="353">
        <v>203182</v>
      </c>
      <c r="B293" s="340" t="s">
        <v>1039</v>
      </c>
      <c r="C293" s="353">
        <v>16</v>
      </c>
      <c r="D293" s="353">
        <v>8</v>
      </c>
      <c r="E293" s="353">
        <v>12</v>
      </c>
      <c r="F293" s="353">
        <v>12</v>
      </c>
      <c r="G293" s="353">
        <v>11</v>
      </c>
      <c r="H293" s="353">
        <v>50</v>
      </c>
      <c r="I293" s="353">
        <v>114</v>
      </c>
      <c r="J293" s="353">
        <v>16.5</v>
      </c>
      <c r="K293" s="353">
        <v>0.36</v>
      </c>
      <c r="L293" s="353">
        <v>1.66</v>
      </c>
      <c r="M293" s="353">
        <v>15.1</v>
      </c>
      <c r="N293" s="353">
        <v>1</v>
      </c>
      <c r="O293" s="353" t="s">
        <v>153</v>
      </c>
      <c r="P293" s="353">
        <v>2003</v>
      </c>
      <c r="Q293" t="s">
        <v>154</v>
      </c>
      <c r="R293" t="s">
        <v>1402</v>
      </c>
      <c r="S293" s="378" t="s">
        <v>194</v>
      </c>
      <c r="T293" s="378" t="s">
        <v>201</v>
      </c>
      <c r="U293" s="377" t="s">
        <v>162</v>
      </c>
    </row>
    <row r="294" spans="1:21" x14ac:dyDescent="0.2">
      <c r="A294" s="353">
        <v>357483</v>
      </c>
      <c r="B294" s="340" t="s">
        <v>380</v>
      </c>
      <c r="C294" s="353">
        <v>9</v>
      </c>
      <c r="D294" s="353">
        <v>2</v>
      </c>
      <c r="E294" s="353">
        <v>3</v>
      </c>
      <c r="F294" s="353">
        <v>2</v>
      </c>
      <c r="G294" s="353">
        <v>12</v>
      </c>
      <c r="H294" s="353">
        <v>33</v>
      </c>
      <c r="I294" s="353">
        <v>88</v>
      </c>
      <c r="J294" s="353">
        <v>13.4</v>
      </c>
      <c r="K294" s="353">
        <v>0.36</v>
      </c>
      <c r="L294" s="353">
        <v>1.54</v>
      </c>
      <c r="M294" s="353">
        <v>8.4</v>
      </c>
      <c r="N294" s="353">
        <v>1.2</v>
      </c>
      <c r="O294" s="353" t="s">
        <v>153</v>
      </c>
      <c r="P294" s="353">
        <v>2000</v>
      </c>
      <c r="Q294" t="s">
        <v>154</v>
      </c>
      <c r="R294" t="s">
        <v>1286</v>
      </c>
      <c r="S294" s="378" t="s">
        <v>188</v>
      </c>
      <c r="T294" s="378" t="s">
        <v>1024</v>
      </c>
    </row>
    <row r="295" spans="1:21" x14ac:dyDescent="0.2">
      <c r="A295" s="353">
        <v>362020</v>
      </c>
      <c r="B295" s="340" t="s">
        <v>906</v>
      </c>
      <c r="C295" s="353">
        <v>17</v>
      </c>
      <c r="D295" s="353">
        <v>3</v>
      </c>
      <c r="E295" s="353">
        <v>6</v>
      </c>
      <c r="F295" s="353">
        <v>6</v>
      </c>
      <c r="G295" s="353">
        <v>19</v>
      </c>
      <c r="H295" s="353">
        <v>31</v>
      </c>
      <c r="I295" s="353">
        <v>80</v>
      </c>
      <c r="J295" s="353">
        <v>12.5</v>
      </c>
      <c r="K295" s="353">
        <v>0.36</v>
      </c>
      <c r="L295" s="353">
        <v>1.66</v>
      </c>
      <c r="M295" s="353">
        <v>13.9</v>
      </c>
      <c r="N295" s="353">
        <v>0.7</v>
      </c>
      <c r="O295" s="353" t="s">
        <v>153</v>
      </c>
      <c r="P295" s="353">
        <v>2013</v>
      </c>
      <c r="Q295" t="s">
        <v>154</v>
      </c>
      <c r="R295" t="s">
        <v>1364</v>
      </c>
      <c r="S295" s="378" t="s">
        <v>194</v>
      </c>
      <c r="T295" s="378" t="s">
        <v>215</v>
      </c>
      <c r="U295" s="377" t="s">
        <v>162</v>
      </c>
    </row>
    <row r="296" spans="1:21" x14ac:dyDescent="0.2">
      <c r="A296" s="353">
        <v>987842</v>
      </c>
      <c r="B296" s="340" t="s">
        <v>907</v>
      </c>
      <c r="C296" s="353">
        <v>25</v>
      </c>
      <c r="D296" s="353">
        <v>4</v>
      </c>
      <c r="E296" s="353">
        <v>9</v>
      </c>
      <c r="F296" s="353">
        <v>12</v>
      </c>
      <c r="G296" s="353">
        <v>19</v>
      </c>
      <c r="H296" s="353">
        <v>35</v>
      </c>
      <c r="I296" s="353">
        <v>73</v>
      </c>
      <c r="J296" s="353">
        <v>11.6</v>
      </c>
      <c r="K296" s="353">
        <v>0.36</v>
      </c>
      <c r="L296" s="353">
        <v>1.65</v>
      </c>
      <c r="M296" s="353">
        <v>13.5</v>
      </c>
      <c r="N296" s="353">
        <v>0.8</v>
      </c>
      <c r="O296" s="353" t="s">
        <v>153</v>
      </c>
      <c r="P296" s="353">
        <v>2000</v>
      </c>
      <c r="Q296" t="s">
        <v>154</v>
      </c>
      <c r="R296" t="s">
        <v>1247</v>
      </c>
      <c r="S296" s="378" t="s">
        <v>194</v>
      </c>
      <c r="T296" s="378" t="s">
        <v>295</v>
      </c>
      <c r="U296" s="377" t="s">
        <v>162</v>
      </c>
    </row>
    <row r="297" spans="1:21" x14ac:dyDescent="0.2">
      <c r="A297" s="353">
        <v>288001</v>
      </c>
      <c r="B297" s="340" t="s">
        <v>934</v>
      </c>
      <c r="C297" s="353">
        <v>0</v>
      </c>
      <c r="D297" s="353">
        <v>2</v>
      </c>
      <c r="E297" s="353">
        <v>3</v>
      </c>
      <c r="F297" s="353">
        <v>1</v>
      </c>
      <c r="G297" s="353">
        <v>-3</v>
      </c>
      <c r="H297" s="353">
        <v>6</v>
      </c>
      <c r="I297" s="353">
        <v>17</v>
      </c>
      <c r="J297" s="353">
        <v>3.3</v>
      </c>
      <c r="K297" s="353">
        <v>0.36</v>
      </c>
      <c r="L297" s="353">
        <v>0.85</v>
      </c>
      <c r="M297" s="353">
        <v>5.2</v>
      </c>
      <c r="N297" s="353">
        <v>0.4</v>
      </c>
      <c r="O297" s="353" t="s">
        <v>203</v>
      </c>
      <c r="P297" s="353">
        <v>2011</v>
      </c>
      <c r="Q297" t="s">
        <v>68</v>
      </c>
      <c r="R297" t="s">
        <v>1537</v>
      </c>
      <c r="S297" s="378" t="s">
        <v>773</v>
      </c>
      <c r="T297" s="378" t="s">
        <v>1043</v>
      </c>
    </row>
    <row r="298" spans="1:21" x14ac:dyDescent="0.2">
      <c r="A298" s="353">
        <v>679837</v>
      </c>
      <c r="B298" s="340" t="s">
        <v>1005</v>
      </c>
      <c r="C298" s="353">
        <v>17</v>
      </c>
      <c r="D298" s="353">
        <v>-1</v>
      </c>
      <c r="E298" s="353">
        <v>9</v>
      </c>
      <c r="F298" s="353">
        <v>7</v>
      </c>
      <c r="G298" s="353">
        <v>4</v>
      </c>
      <c r="H298" s="353">
        <v>12</v>
      </c>
      <c r="I298" s="353">
        <v>15</v>
      </c>
      <c r="J298" s="353">
        <v>2.9</v>
      </c>
      <c r="K298" s="353">
        <v>0.36</v>
      </c>
      <c r="L298" s="353">
        <v>1.65</v>
      </c>
      <c r="M298" s="353">
        <v>19.3</v>
      </c>
      <c r="N298" s="353">
        <v>0.3</v>
      </c>
      <c r="O298" s="353" t="s">
        <v>153</v>
      </c>
      <c r="P298" s="353">
        <v>2006</v>
      </c>
      <c r="Q298" t="s">
        <v>154</v>
      </c>
      <c r="R298" t="s">
        <v>1446</v>
      </c>
      <c r="S298" s="378" t="s">
        <v>194</v>
      </c>
      <c r="T298" s="378" t="s">
        <v>361</v>
      </c>
    </row>
    <row r="299" spans="1:21" x14ac:dyDescent="0.2">
      <c r="A299" s="353">
        <v>715664</v>
      </c>
      <c r="B299" s="340" t="s">
        <v>997</v>
      </c>
      <c r="C299" s="353">
        <v>5</v>
      </c>
      <c r="D299" s="353">
        <v>1</v>
      </c>
      <c r="E299" s="353">
        <v>7</v>
      </c>
      <c r="F299" s="353">
        <v>2</v>
      </c>
      <c r="G299" s="353">
        <v>11</v>
      </c>
      <c r="H299" s="353">
        <v>16</v>
      </c>
      <c r="I299" s="353">
        <v>14</v>
      </c>
      <c r="J299" s="353">
        <v>2.6</v>
      </c>
      <c r="K299" s="353">
        <v>0.36</v>
      </c>
      <c r="L299" s="353">
        <v>1.65</v>
      </c>
      <c r="M299" s="353">
        <v>15.8</v>
      </c>
      <c r="N299" s="353">
        <v>0.4</v>
      </c>
      <c r="O299" s="353" t="s">
        <v>153</v>
      </c>
      <c r="P299" s="353">
        <v>2006</v>
      </c>
      <c r="Q299" t="s">
        <v>154</v>
      </c>
      <c r="R299" t="s">
        <v>1321</v>
      </c>
      <c r="S299" s="378" t="s">
        <v>194</v>
      </c>
      <c r="T299" s="378" t="s">
        <v>321</v>
      </c>
    </row>
    <row r="300" spans="1:21" x14ac:dyDescent="0.2">
      <c r="A300" s="353">
        <v>167239</v>
      </c>
      <c r="B300" s="340" t="s">
        <v>371</v>
      </c>
      <c r="C300" s="353">
        <v>11</v>
      </c>
      <c r="D300" s="353">
        <v>2</v>
      </c>
      <c r="E300" s="353">
        <v>-5</v>
      </c>
      <c r="F300" s="353">
        <v>-3</v>
      </c>
      <c r="G300" s="353">
        <v>-3</v>
      </c>
      <c r="H300" s="353">
        <v>-6</v>
      </c>
      <c r="I300" s="353">
        <v>6</v>
      </c>
      <c r="J300" s="353">
        <v>1.2</v>
      </c>
      <c r="K300" s="353">
        <v>0.36</v>
      </c>
      <c r="L300" s="353">
        <v>1.87</v>
      </c>
      <c r="M300" s="353">
        <v>15.6</v>
      </c>
      <c r="N300" s="353">
        <v>0</v>
      </c>
      <c r="O300" s="353" t="s">
        <v>153</v>
      </c>
      <c r="P300" s="353">
        <v>2008</v>
      </c>
      <c r="Q300" t="s">
        <v>68</v>
      </c>
      <c r="R300" t="s">
        <v>1555</v>
      </c>
      <c r="S300" s="378" t="s">
        <v>191</v>
      </c>
      <c r="T300" s="378" t="s">
        <v>295</v>
      </c>
      <c r="U300" s="377" t="s">
        <v>162</v>
      </c>
    </row>
    <row r="301" spans="1:21" x14ac:dyDescent="0.2">
      <c r="A301" s="353">
        <v>670505</v>
      </c>
      <c r="B301" s="340" t="s">
        <v>724</v>
      </c>
      <c r="C301" s="353">
        <v>4</v>
      </c>
      <c r="D301" s="353">
        <v>0</v>
      </c>
      <c r="E301" s="353">
        <v>1</v>
      </c>
      <c r="F301" s="353">
        <v>2</v>
      </c>
      <c r="G301" s="353">
        <v>5</v>
      </c>
      <c r="H301" s="353">
        <v>10</v>
      </c>
      <c r="I301" s="353"/>
      <c r="J301" s="353"/>
      <c r="K301" s="353">
        <v>0.36</v>
      </c>
      <c r="L301" s="353">
        <v>0.94</v>
      </c>
      <c r="M301" s="353">
        <v>1.4</v>
      </c>
      <c r="N301" s="353">
        <v>2.5</v>
      </c>
      <c r="O301" s="353" t="s">
        <v>153</v>
      </c>
      <c r="P301" s="353">
        <v>2014</v>
      </c>
      <c r="Q301" t="s">
        <v>154</v>
      </c>
      <c r="R301" t="s">
        <v>1473</v>
      </c>
      <c r="S301" s="378" t="s">
        <v>284</v>
      </c>
      <c r="T301" s="378" t="s">
        <v>1044</v>
      </c>
    </row>
    <row r="302" spans="1:21" x14ac:dyDescent="0.2">
      <c r="A302" s="353">
        <v>229625</v>
      </c>
      <c r="B302" s="348" t="s">
        <v>365</v>
      </c>
      <c r="C302" s="353">
        <v>6</v>
      </c>
      <c r="D302" s="353">
        <v>2</v>
      </c>
      <c r="E302" s="353">
        <v>3</v>
      </c>
      <c r="F302" s="353">
        <v>3</v>
      </c>
      <c r="G302" s="353">
        <v>2</v>
      </c>
      <c r="H302" s="353">
        <v>15</v>
      </c>
      <c r="I302" s="353"/>
      <c r="J302" s="353"/>
      <c r="K302" s="353">
        <v>0.36</v>
      </c>
      <c r="L302" s="353">
        <v>1</v>
      </c>
      <c r="M302" s="353">
        <v>5.4</v>
      </c>
      <c r="N302" s="353">
        <v>0.9</v>
      </c>
      <c r="O302" s="353" t="s">
        <v>203</v>
      </c>
      <c r="P302" s="353">
        <v>2014</v>
      </c>
      <c r="Q302" t="s">
        <v>68</v>
      </c>
      <c r="R302" t="s">
        <v>1999</v>
      </c>
      <c r="S302" s="378" t="s">
        <v>198</v>
      </c>
      <c r="T302" s="378" t="s">
        <v>1034</v>
      </c>
    </row>
    <row r="303" spans="1:21" x14ac:dyDescent="0.2">
      <c r="A303" s="353">
        <v>515676</v>
      </c>
      <c r="B303" s="340" t="s">
        <v>387</v>
      </c>
      <c r="C303" s="353">
        <v>12</v>
      </c>
      <c r="D303" s="353">
        <v>2</v>
      </c>
      <c r="E303" s="353">
        <v>4</v>
      </c>
      <c r="F303" s="353">
        <v>4</v>
      </c>
      <c r="G303" s="353">
        <v>15</v>
      </c>
      <c r="H303" s="353">
        <v>69</v>
      </c>
      <c r="I303" s="353">
        <v>179</v>
      </c>
      <c r="J303" s="353">
        <v>22.8</v>
      </c>
      <c r="K303" s="353">
        <v>0.37</v>
      </c>
      <c r="L303" s="353">
        <v>1.66</v>
      </c>
      <c r="M303" s="353">
        <v>15.1</v>
      </c>
      <c r="N303" s="353">
        <v>1.3</v>
      </c>
      <c r="O303" s="353" t="s">
        <v>153</v>
      </c>
      <c r="P303" s="353">
        <v>2013</v>
      </c>
      <c r="Q303" t="s">
        <v>154</v>
      </c>
      <c r="R303" t="s">
        <v>1222</v>
      </c>
      <c r="S303" s="378" t="s">
        <v>173</v>
      </c>
      <c r="T303" s="378" t="s">
        <v>258</v>
      </c>
      <c r="U303" s="377" t="s">
        <v>162</v>
      </c>
    </row>
    <row r="304" spans="1:21" x14ac:dyDescent="0.2">
      <c r="A304" s="353">
        <v>490292</v>
      </c>
      <c r="B304" s="340" t="s">
        <v>842</v>
      </c>
      <c r="C304" s="353">
        <v>15</v>
      </c>
      <c r="D304" s="353">
        <v>1</v>
      </c>
      <c r="E304" s="353">
        <v>7</v>
      </c>
      <c r="F304" s="353">
        <v>3</v>
      </c>
      <c r="G304" s="353">
        <v>24</v>
      </c>
      <c r="H304" s="353">
        <v>53</v>
      </c>
      <c r="I304" s="353">
        <v>146</v>
      </c>
      <c r="J304" s="353">
        <v>19.8</v>
      </c>
      <c r="K304" s="353">
        <v>0.37</v>
      </c>
      <c r="L304" s="353">
        <v>1.1599999999999999</v>
      </c>
      <c r="M304" s="353">
        <v>14.3</v>
      </c>
      <c r="N304" s="353">
        <v>1.1000000000000001</v>
      </c>
      <c r="O304" s="353" t="s">
        <v>153</v>
      </c>
      <c r="P304" s="353">
        <v>2008</v>
      </c>
      <c r="Q304" t="s">
        <v>154</v>
      </c>
      <c r="R304" t="s">
        <v>1284</v>
      </c>
      <c r="S304" s="378" t="s">
        <v>196</v>
      </c>
      <c r="T304" s="378" t="s">
        <v>219</v>
      </c>
      <c r="U304" s="377" t="s">
        <v>162</v>
      </c>
    </row>
    <row r="305" spans="1:21" x14ac:dyDescent="0.2">
      <c r="A305" s="353">
        <v>792697</v>
      </c>
      <c r="B305" s="340" t="s">
        <v>1025</v>
      </c>
      <c r="C305" s="353">
        <v>17</v>
      </c>
      <c r="D305" s="353">
        <v>1</v>
      </c>
      <c r="E305" s="353">
        <v>6</v>
      </c>
      <c r="F305" s="353">
        <v>5</v>
      </c>
      <c r="G305" s="353">
        <v>24</v>
      </c>
      <c r="H305" s="353">
        <v>57</v>
      </c>
      <c r="I305" s="353">
        <v>124</v>
      </c>
      <c r="J305" s="353">
        <v>17.5</v>
      </c>
      <c r="K305" s="353">
        <v>0.37</v>
      </c>
      <c r="L305" s="353">
        <v>1.6</v>
      </c>
      <c r="M305" s="353">
        <v>12.5</v>
      </c>
      <c r="N305" s="353">
        <v>1.3</v>
      </c>
      <c r="O305" s="353" t="s">
        <v>153</v>
      </c>
      <c r="P305" s="353">
        <v>2010</v>
      </c>
      <c r="Q305" t="s">
        <v>68</v>
      </c>
      <c r="R305" t="s">
        <v>1734</v>
      </c>
      <c r="S305" s="378" t="s">
        <v>1062</v>
      </c>
      <c r="T305" s="378" t="s">
        <v>219</v>
      </c>
    </row>
    <row r="306" spans="1:21" x14ac:dyDescent="0.2">
      <c r="A306" s="353">
        <v>928937</v>
      </c>
      <c r="B306" s="340" t="s">
        <v>1058</v>
      </c>
      <c r="C306" s="353">
        <v>17</v>
      </c>
      <c r="D306" s="353">
        <v>3</v>
      </c>
      <c r="E306" s="353">
        <v>7</v>
      </c>
      <c r="F306" s="353">
        <v>4</v>
      </c>
      <c r="G306" s="353">
        <v>19</v>
      </c>
      <c r="H306" s="353">
        <v>48</v>
      </c>
      <c r="I306" s="353">
        <v>109</v>
      </c>
      <c r="J306" s="353">
        <v>15.9</v>
      </c>
      <c r="K306" s="353">
        <v>0.37</v>
      </c>
      <c r="L306" s="353">
        <v>1.23</v>
      </c>
      <c r="M306" s="353">
        <v>13.4</v>
      </c>
      <c r="N306" s="353">
        <v>1.1000000000000001</v>
      </c>
      <c r="O306" s="353" t="s">
        <v>153</v>
      </c>
      <c r="P306" s="353">
        <v>2000</v>
      </c>
      <c r="Q306" t="s">
        <v>154</v>
      </c>
      <c r="R306" t="s">
        <v>1968</v>
      </c>
      <c r="S306" s="378" t="s">
        <v>166</v>
      </c>
      <c r="T306" s="378" t="s">
        <v>219</v>
      </c>
      <c r="U306" s="377" t="s">
        <v>162</v>
      </c>
    </row>
    <row r="307" spans="1:21" x14ac:dyDescent="0.2">
      <c r="A307" s="353">
        <v>385401</v>
      </c>
      <c r="B307" s="340" t="s">
        <v>394</v>
      </c>
      <c r="C307" s="353">
        <v>24</v>
      </c>
      <c r="D307" s="353">
        <v>7</v>
      </c>
      <c r="E307" s="353">
        <v>8</v>
      </c>
      <c r="F307" s="353">
        <v>10</v>
      </c>
      <c r="G307" s="353">
        <v>19</v>
      </c>
      <c r="H307" s="353">
        <v>43</v>
      </c>
      <c r="I307" s="353">
        <v>79</v>
      </c>
      <c r="J307" s="353">
        <v>12.4</v>
      </c>
      <c r="K307" s="353">
        <v>0.37</v>
      </c>
      <c r="L307" s="353">
        <v>1.71</v>
      </c>
      <c r="M307" s="353">
        <v>15.2</v>
      </c>
      <c r="N307" s="353">
        <v>0.9</v>
      </c>
      <c r="O307" s="353" t="s">
        <v>153</v>
      </c>
      <c r="P307" s="353">
        <v>2001</v>
      </c>
      <c r="Q307" t="s">
        <v>154</v>
      </c>
      <c r="R307" t="s">
        <v>1788</v>
      </c>
      <c r="S307" s="378" t="s">
        <v>173</v>
      </c>
      <c r="T307" s="378" t="s">
        <v>1048</v>
      </c>
      <c r="U307" s="377" t="s">
        <v>162</v>
      </c>
    </row>
    <row r="308" spans="1:21" x14ac:dyDescent="0.2">
      <c r="A308" s="353">
        <v>276493</v>
      </c>
      <c r="B308" s="340" t="s">
        <v>662</v>
      </c>
      <c r="C308" s="353">
        <v>11</v>
      </c>
      <c r="D308" s="353">
        <v>5</v>
      </c>
      <c r="E308" s="353">
        <v>9</v>
      </c>
      <c r="F308" s="353">
        <v>4</v>
      </c>
      <c r="G308" s="353">
        <v>14</v>
      </c>
      <c r="H308" s="353">
        <v>30</v>
      </c>
      <c r="I308" s="353">
        <v>70</v>
      </c>
      <c r="J308" s="353">
        <v>11.3</v>
      </c>
      <c r="K308" s="353">
        <v>0.37</v>
      </c>
      <c r="L308" s="353">
        <v>1.68</v>
      </c>
      <c r="M308" s="353">
        <v>13.5</v>
      </c>
      <c r="N308" s="353">
        <v>0.7</v>
      </c>
      <c r="O308" s="353" t="s">
        <v>153</v>
      </c>
      <c r="P308" s="353">
        <v>2010</v>
      </c>
      <c r="Q308" t="s">
        <v>68</v>
      </c>
      <c r="R308" t="s">
        <v>1273</v>
      </c>
      <c r="S308" s="378" t="s">
        <v>663</v>
      </c>
      <c r="T308" s="378" t="s">
        <v>1024</v>
      </c>
    </row>
    <row r="309" spans="1:21" x14ac:dyDescent="0.2">
      <c r="A309" s="353">
        <v>240663</v>
      </c>
      <c r="B309" s="340" t="s">
        <v>676</v>
      </c>
      <c r="C309" s="353">
        <v>12</v>
      </c>
      <c r="D309" s="353">
        <v>5</v>
      </c>
      <c r="E309" s="353">
        <v>9</v>
      </c>
      <c r="F309" s="353">
        <v>4</v>
      </c>
      <c r="G309" s="353">
        <v>14</v>
      </c>
      <c r="H309" s="353">
        <v>30</v>
      </c>
      <c r="I309" s="353">
        <v>70</v>
      </c>
      <c r="J309" s="353">
        <v>11.1</v>
      </c>
      <c r="K309" s="353">
        <v>0.37</v>
      </c>
      <c r="L309" s="353">
        <v>1.69</v>
      </c>
      <c r="M309" s="353">
        <v>14.2</v>
      </c>
      <c r="N309" s="353">
        <v>0.7</v>
      </c>
      <c r="O309" s="353" t="s">
        <v>153</v>
      </c>
      <c r="P309" s="353">
        <v>2010</v>
      </c>
      <c r="Q309" t="s">
        <v>68</v>
      </c>
      <c r="R309" t="s">
        <v>1272</v>
      </c>
      <c r="S309" s="378" t="s">
        <v>663</v>
      </c>
      <c r="T309" s="378" t="s">
        <v>1024</v>
      </c>
    </row>
    <row r="310" spans="1:21" x14ac:dyDescent="0.2">
      <c r="A310" s="353">
        <v>995571</v>
      </c>
      <c r="B310" s="340" t="s">
        <v>393</v>
      </c>
      <c r="C310" s="353">
        <v>18</v>
      </c>
      <c r="D310" s="353">
        <v>7</v>
      </c>
      <c r="E310" s="353">
        <v>10</v>
      </c>
      <c r="F310" s="353">
        <v>8</v>
      </c>
      <c r="G310" s="353">
        <v>15</v>
      </c>
      <c r="H310" s="353">
        <v>31</v>
      </c>
      <c r="I310" s="353">
        <v>61</v>
      </c>
      <c r="J310" s="353">
        <v>9.9</v>
      </c>
      <c r="K310" s="353">
        <v>0.37</v>
      </c>
      <c r="L310" s="353">
        <v>1.99</v>
      </c>
      <c r="M310" s="353">
        <v>15.1</v>
      </c>
      <c r="N310" s="353">
        <v>0.7</v>
      </c>
      <c r="O310" s="353" t="s">
        <v>153</v>
      </c>
      <c r="P310" s="353">
        <v>2008</v>
      </c>
      <c r="Q310" t="s">
        <v>68</v>
      </c>
      <c r="R310" t="s">
        <v>1719</v>
      </c>
      <c r="S310" s="378" t="s">
        <v>191</v>
      </c>
      <c r="T310" s="378" t="s">
        <v>295</v>
      </c>
      <c r="U310" s="377" t="s">
        <v>162</v>
      </c>
    </row>
    <row r="311" spans="1:21" x14ac:dyDescent="0.2">
      <c r="A311" s="353">
        <v>241497</v>
      </c>
      <c r="B311" s="340" t="s">
        <v>1029</v>
      </c>
      <c r="C311" s="353">
        <v>4</v>
      </c>
      <c r="D311" s="353">
        <v>3</v>
      </c>
      <c r="E311" s="353">
        <v>5</v>
      </c>
      <c r="F311" s="353">
        <v>1</v>
      </c>
      <c r="G311" s="353">
        <v>5</v>
      </c>
      <c r="H311" s="353">
        <v>34</v>
      </c>
      <c r="I311" s="353">
        <v>60</v>
      </c>
      <c r="J311" s="353">
        <v>9.9</v>
      </c>
      <c r="K311" s="353">
        <v>0.37</v>
      </c>
      <c r="L311" s="353">
        <v>1.6</v>
      </c>
      <c r="M311" s="353">
        <v>12.6</v>
      </c>
      <c r="N311" s="353">
        <v>0.9</v>
      </c>
      <c r="O311" s="353" t="s">
        <v>153</v>
      </c>
      <c r="P311" s="353">
        <v>2000</v>
      </c>
      <c r="Q311" t="s">
        <v>68</v>
      </c>
      <c r="R311" t="s">
        <v>1737</v>
      </c>
      <c r="S311" s="378" t="s">
        <v>1062</v>
      </c>
      <c r="T311" s="378" t="s">
        <v>181</v>
      </c>
    </row>
    <row r="312" spans="1:21" x14ac:dyDescent="0.2">
      <c r="A312" s="353">
        <v>912287</v>
      </c>
      <c r="B312" s="340" t="s">
        <v>473</v>
      </c>
      <c r="C312" s="353">
        <v>8</v>
      </c>
      <c r="D312" s="353">
        <v>4</v>
      </c>
      <c r="E312" s="353">
        <v>6</v>
      </c>
      <c r="F312" s="353">
        <v>4</v>
      </c>
      <c r="G312" s="353">
        <v>9</v>
      </c>
      <c r="H312" s="353">
        <v>19</v>
      </c>
      <c r="I312" s="353">
        <v>53</v>
      </c>
      <c r="J312" s="353">
        <v>8.9</v>
      </c>
      <c r="K312" s="353">
        <v>0.37</v>
      </c>
      <c r="L312" s="353">
        <v>2.19</v>
      </c>
      <c r="M312" s="353">
        <v>9.1</v>
      </c>
      <c r="N312" s="353">
        <v>0.7</v>
      </c>
      <c r="O312" s="353" t="s">
        <v>153</v>
      </c>
      <c r="P312" s="353">
        <v>2011</v>
      </c>
      <c r="Q312" t="s">
        <v>68</v>
      </c>
      <c r="R312" t="s">
        <v>1252</v>
      </c>
      <c r="S312" s="378" t="s">
        <v>942</v>
      </c>
      <c r="T312" s="378" t="s">
        <v>1023</v>
      </c>
    </row>
    <row r="313" spans="1:21" x14ac:dyDescent="0.2">
      <c r="A313" s="353">
        <v>464081</v>
      </c>
      <c r="B313" s="340" t="s">
        <v>869</v>
      </c>
      <c r="C313" s="353">
        <v>6</v>
      </c>
      <c r="D313" s="353">
        <v>4</v>
      </c>
      <c r="E313" s="353">
        <v>6</v>
      </c>
      <c r="F313" s="353">
        <v>2</v>
      </c>
      <c r="G313" s="353">
        <v>8</v>
      </c>
      <c r="H313" s="353">
        <v>20</v>
      </c>
      <c r="I313" s="353">
        <v>51</v>
      </c>
      <c r="J313" s="353">
        <v>8.6</v>
      </c>
      <c r="K313" s="353">
        <v>0.37</v>
      </c>
      <c r="L313" s="353">
        <v>1.93</v>
      </c>
      <c r="M313" s="353">
        <v>10.3</v>
      </c>
      <c r="N313" s="353">
        <v>0.7</v>
      </c>
      <c r="O313" s="353" t="s">
        <v>153</v>
      </c>
      <c r="P313" s="353">
        <v>2012</v>
      </c>
      <c r="Q313" t="s">
        <v>154</v>
      </c>
      <c r="R313" t="s">
        <v>1509</v>
      </c>
      <c r="S313" s="378" t="s">
        <v>247</v>
      </c>
      <c r="T313" s="378" t="s">
        <v>1024</v>
      </c>
    </row>
    <row r="314" spans="1:21" x14ac:dyDescent="0.2">
      <c r="A314" s="353">
        <v>983940</v>
      </c>
      <c r="B314" s="340" t="s">
        <v>448</v>
      </c>
      <c r="C314" s="353">
        <v>9</v>
      </c>
      <c r="D314" s="353">
        <v>3</v>
      </c>
      <c r="E314" s="353">
        <v>6</v>
      </c>
      <c r="F314" s="353">
        <v>2</v>
      </c>
      <c r="G314" s="353">
        <v>11</v>
      </c>
      <c r="H314" s="353">
        <v>18</v>
      </c>
      <c r="I314" s="353">
        <v>49</v>
      </c>
      <c r="J314" s="353">
        <v>8.3000000000000007</v>
      </c>
      <c r="K314" s="353">
        <v>0.37</v>
      </c>
      <c r="L314" s="353">
        <v>2.17</v>
      </c>
      <c r="M314" s="353">
        <v>9.1</v>
      </c>
      <c r="N314" s="353">
        <v>0.7</v>
      </c>
      <c r="O314" s="353" t="s">
        <v>153</v>
      </c>
      <c r="P314" s="353">
        <v>2011</v>
      </c>
      <c r="Q314" t="s">
        <v>68</v>
      </c>
      <c r="R314" t="s">
        <v>1349</v>
      </c>
      <c r="S314" s="378" t="s">
        <v>942</v>
      </c>
      <c r="T314" s="378" t="s">
        <v>1024</v>
      </c>
    </row>
    <row r="315" spans="1:21" x14ac:dyDescent="0.2">
      <c r="A315" s="353">
        <v>119776</v>
      </c>
      <c r="B315" s="340" t="s">
        <v>410</v>
      </c>
      <c r="C315" s="353">
        <v>6</v>
      </c>
      <c r="D315" s="353">
        <v>3</v>
      </c>
      <c r="E315" s="353">
        <v>4</v>
      </c>
      <c r="F315" s="353">
        <v>2</v>
      </c>
      <c r="G315" s="353">
        <v>6</v>
      </c>
      <c r="H315" s="353">
        <v>13</v>
      </c>
      <c r="I315" s="353">
        <v>39</v>
      </c>
      <c r="J315" s="353">
        <v>6.7</v>
      </c>
      <c r="K315" s="353">
        <v>0.37</v>
      </c>
      <c r="L315" s="353">
        <v>1.77</v>
      </c>
      <c r="M315" s="353">
        <v>6.2</v>
      </c>
      <c r="N315" s="353">
        <v>0.7</v>
      </c>
      <c r="O315" s="353" t="s">
        <v>153</v>
      </c>
      <c r="P315" s="353">
        <v>2011</v>
      </c>
      <c r="Q315" t="s">
        <v>68</v>
      </c>
      <c r="R315" t="s">
        <v>1415</v>
      </c>
      <c r="S315" s="378" t="s">
        <v>942</v>
      </c>
      <c r="T315" s="378" t="s">
        <v>1041</v>
      </c>
    </row>
    <row r="316" spans="1:21" x14ac:dyDescent="0.2">
      <c r="A316" s="353">
        <v>499913</v>
      </c>
      <c r="B316" s="340" t="s">
        <v>873</v>
      </c>
      <c r="C316" s="353">
        <v>3</v>
      </c>
      <c r="D316" s="353">
        <v>2</v>
      </c>
      <c r="E316" s="353">
        <v>3</v>
      </c>
      <c r="F316" s="353">
        <v>1</v>
      </c>
      <c r="G316" s="353">
        <v>4</v>
      </c>
      <c r="H316" s="353">
        <v>9</v>
      </c>
      <c r="I316" s="353">
        <v>28</v>
      </c>
      <c r="J316" s="353">
        <v>5</v>
      </c>
      <c r="K316" s="353">
        <v>0.37</v>
      </c>
      <c r="L316" s="353">
        <v>1.64</v>
      </c>
      <c r="M316" s="353">
        <v>6.6</v>
      </c>
      <c r="N316" s="353">
        <v>0.5</v>
      </c>
      <c r="O316" s="353" t="s">
        <v>153</v>
      </c>
      <c r="P316" s="353">
        <v>2012</v>
      </c>
      <c r="Q316" t="s">
        <v>154</v>
      </c>
      <c r="R316" t="s">
        <v>1506</v>
      </c>
      <c r="S316" s="378" t="s">
        <v>247</v>
      </c>
      <c r="T316" s="378" t="s">
        <v>1024</v>
      </c>
    </row>
    <row r="317" spans="1:21" x14ac:dyDescent="0.2">
      <c r="A317" s="353">
        <v>325902</v>
      </c>
      <c r="B317" s="340" t="s">
        <v>335</v>
      </c>
      <c r="C317" s="353">
        <v>3</v>
      </c>
      <c r="D317" s="353">
        <v>0</v>
      </c>
      <c r="E317" s="353">
        <v>1</v>
      </c>
      <c r="F317" s="353">
        <v>1</v>
      </c>
      <c r="G317" s="353">
        <v>3</v>
      </c>
      <c r="H317" s="353">
        <v>3</v>
      </c>
      <c r="I317" s="353">
        <v>2</v>
      </c>
      <c r="J317" s="353">
        <v>0.4</v>
      </c>
      <c r="K317" s="353">
        <v>0.37</v>
      </c>
      <c r="L317" s="353">
        <v>1.54</v>
      </c>
      <c r="M317" s="353">
        <v>1.3</v>
      </c>
      <c r="N317" s="353">
        <v>1</v>
      </c>
      <c r="O317" s="353" t="s">
        <v>153</v>
      </c>
      <c r="P317" s="353">
        <v>2000</v>
      </c>
      <c r="Q317" t="s">
        <v>154</v>
      </c>
      <c r="R317" t="s">
        <v>1541</v>
      </c>
      <c r="S317" s="378" t="s">
        <v>229</v>
      </c>
      <c r="T317" s="378" t="s">
        <v>1033</v>
      </c>
    </row>
    <row r="318" spans="1:21" x14ac:dyDescent="0.2">
      <c r="A318" s="353">
        <v>579425</v>
      </c>
      <c r="B318" s="340" t="s">
        <v>369</v>
      </c>
      <c r="C318" s="353">
        <v>17</v>
      </c>
      <c r="D318" s="353">
        <v>8</v>
      </c>
      <c r="E318" s="353">
        <v>10</v>
      </c>
      <c r="F318" s="353">
        <v>10</v>
      </c>
      <c r="G318" s="353">
        <v>15</v>
      </c>
      <c r="H318" s="353">
        <v>14</v>
      </c>
      <c r="I318" s="353"/>
      <c r="J318" s="353"/>
      <c r="K318" s="353">
        <v>0.37</v>
      </c>
      <c r="L318" s="353">
        <v>0.85</v>
      </c>
      <c r="M318" s="353">
        <v>22</v>
      </c>
      <c r="N318" s="353">
        <v>0.3</v>
      </c>
      <c r="O318" s="353" t="s">
        <v>153</v>
      </c>
      <c r="P318" s="353">
        <v>2013</v>
      </c>
      <c r="Q318" t="s">
        <v>154</v>
      </c>
      <c r="R318" t="s">
        <v>1200</v>
      </c>
      <c r="S318" s="378" t="s">
        <v>284</v>
      </c>
      <c r="T318" s="378" t="s">
        <v>342</v>
      </c>
    </row>
    <row r="319" spans="1:21" x14ac:dyDescent="0.2">
      <c r="A319" s="353">
        <v>543595</v>
      </c>
      <c r="B319" s="340" t="s">
        <v>367</v>
      </c>
      <c r="C319" s="353">
        <v>21</v>
      </c>
      <c r="D319" s="353">
        <v>6</v>
      </c>
      <c r="E319" s="353">
        <v>8</v>
      </c>
      <c r="F319" s="353">
        <v>9</v>
      </c>
      <c r="G319" s="353">
        <v>16</v>
      </c>
      <c r="H319" s="353">
        <v>13</v>
      </c>
      <c r="I319" s="353"/>
      <c r="J319" s="353"/>
      <c r="K319" s="353">
        <v>0.37</v>
      </c>
      <c r="L319" s="353">
        <v>0.84</v>
      </c>
      <c r="M319" s="353">
        <v>14.6</v>
      </c>
      <c r="N319" s="353">
        <v>0.4</v>
      </c>
      <c r="O319" s="353" t="s">
        <v>153</v>
      </c>
      <c r="P319" s="353">
        <v>2013</v>
      </c>
      <c r="Q319" t="s">
        <v>154</v>
      </c>
      <c r="R319" t="s">
        <v>1236</v>
      </c>
      <c r="S319" s="378" t="s">
        <v>284</v>
      </c>
      <c r="T319" s="378" t="s">
        <v>295</v>
      </c>
    </row>
    <row r="320" spans="1:21" x14ac:dyDescent="0.2">
      <c r="A320" s="353">
        <v>721035</v>
      </c>
      <c r="B320" s="340" t="s">
        <v>1027</v>
      </c>
      <c r="C320" s="353">
        <v>17</v>
      </c>
      <c r="D320" s="353">
        <v>1</v>
      </c>
      <c r="E320" s="353">
        <v>3</v>
      </c>
      <c r="F320" s="353">
        <v>6</v>
      </c>
      <c r="G320" s="353">
        <v>24</v>
      </c>
      <c r="H320" s="353">
        <v>98</v>
      </c>
      <c r="I320" s="353">
        <v>234</v>
      </c>
      <c r="J320" s="353">
        <v>27.3</v>
      </c>
      <c r="K320" s="353">
        <v>0.38</v>
      </c>
      <c r="L320" s="353">
        <v>1.61</v>
      </c>
      <c r="M320" s="353">
        <v>14.1</v>
      </c>
      <c r="N320" s="353">
        <v>1.7</v>
      </c>
      <c r="O320" s="353" t="s">
        <v>153</v>
      </c>
      <c r="P320" s="353">
        <v>2010</v>
      </c>
      <c r="Q320" t="s">
        <v>68</v>
      </c>
      <c r="R320" t="s">
        <v>1735</v>
      </c>
      <c r="S320" s="378" t="s">
        <v>1062</v>
      </c>
      <c r="T320" s="378" t="s">
        <v>258</v>
      </c>
    </row>
    <row r="321" spans="1:21" x14ac:dyDescent="0.2">
      <c r="A321" s="353">
        <v>584912</v>
      </c>
      <c r="B321" s="340" t="s">
        <v>401</v>
      </c>
      <c r="C321" s="353">
        <v>6</v>
      </c>
      <c r="D321" s="353">
        <v>0</v>
      </c>
      <c r="E321" s="353">
        <v>0</v>
      </c>
      <c r="F321" s="353">
        <v>-1</v>
      </c>
      <c r="G321" s="353">
        <v>8</v>
      </c>
      <c r="H321" s="353">
        <v>63</v>
      </c>
      <c r="I321" s="353">
        <v>210</v>
      </c>
      <c r="J321" s="353">
        <v>25.4</v>
      </c>
      <c r="K321" s="353">
        <v>0.38</v>
      </c>
      <c r="L321" s="353">
        <v>1.64</v>
      </c>
      <c r="M321" s="353">
        <v>13.9</v>
      </c>
      <c r="N321" s="353">
        <v>1.3</v>
      </c>
      <c r="O321" s="353" t="s">
        <v>153</v>
      </c>
      <c r="P321" s="353">
        <v>2013</v>
      </c>
      <c r="Q321" t="s">
        <v>154</v>
      </c>
      <c r="R321" t="s">
        <v>1771</v>
      </c>
      <c r="S321" s="378" t="s">
        <v>188</v>
      </c>
      <c r="T321" s="378" t="s">
        <v>258</v>
      </c>
    </row>
    <row r="322" spans="1:21" x14ac:dyDescent="0.2">
      <c r="A322" s="353">
        <v>388298</v>
      </c>
      <c r="B322" s="340" t="s">
        <v>391</v>
      </c>
      <c r="C322" s="353">
        <v>14</v>
      </c>
      <c r="D322" s="353">
        <v>4</v>
      </c>
      <c r="E322" s="353">
        <v>8</v>
      </c>
      <c r="F322" s="353">
        <v>3</v>
      </c>
      <c r="G322" s="353">
        <v>15</v>
      </c>
      <c r="H322" s="353">
        <v>77</v>
      </c>
      <c r="I322" s="353">
        <v>201</v>
      </c>
      <c r="J322" s="353">
        <v>24.7</v>
      </c>
      <c r="K322" s="353">
        <v>0.38</v>
      </c>
      <c r="L322" s="353">
        <v>2</v>
      </c>
      <c r="M322" s="353">
        <v>12.3</v>
      </c>
      <c r="N322" s="353">
        <v>1.6</v>
      </c>
      <c r="O322" s="353" t="s">
        <v>293</v>
      </c>
      <c r="P322" s="353">
        <v>2008</v>
      </c>
      <c r="Q322" t="s">
        <v>68</v>
      </c>
      <c r="R322" t="s">
        <v>1853</v>
      </c>
      <c r="S322" s="378" t="s">
        <v>774</v>
      </c>
      <c r="T322" s="378" t="s">
        <v>318</v>
      </c>
      <c r="U322" s="377" t="s">
        <v>162</v>
      </c>
    </row>
    <row r="323" spans="1:21" x14ac:dyDescent="0.2">
      <c r="A323" s="353">
        <v>348987</v>
      </c>
      <c r="B323" s="340" t="s">
        <v>1036</v>
      </c>
      <c r="C323" s="353">
        <v>18</v>
      </c>
      <c r="D323" s="353">
        <v>2</v>
      </c>
      <c r="E323" s="353">
        <v>7</v>
      </c>
      <c r="F323" s="353">
        <v>6</v>
      </c>
      <c r="G323" s="353">
        <v>21</v>
      </c>
      <c r="H323" s="353">
        <v>53</v>
      </c>
      <c r="I323" s="353">
        <v>123</v>
      </c>
      <c r="J323" s="353">
        <v>17.399999999999999</v>
      </c>
      <c r="K323" s="353">
        <v>0.38</v>
      </c>
      <c r="L323" s="353">
        <v>1.63</v>
      </c>
      <c r="M323" s="353">
        <v>12</v>
      </c>
      <c r="N323" s="353">
        <v>1.3</v>
      </c>
      <c r="O323" s="353" t="s">
        <v>153</v>
      </c>
      <c r="P323" s="353">
        <v>2000</v>
      </c>
      <c r="Q323" t="s">
        <v>68</v>
      </c>
      <c r="R323" t="s">
        <v>1733</v>
      </c>
      <c r="S323" s="378" t="s">
        <v>1062</v>
      </c>
      <c r="T323" s="378" t="s">
        <v>318</v>
      </c>
    </row>
    <row r="324" spans="1:21" x14ac:dyDescent="0.2">
      <c r="A324" s="353">
        <v>106492</v>
      </c>
      <c r="B324" s="340" t="s">
        <v>1030</v>
      </c>
      <c r="C324" s="353">
        <v>16</v>
      </c>
      <c r="D324" s="353">
        <v>5</v>
      </c>
      <c r="E324" s="353">
        <v>8</v>
      </c>
      <c r="F324" s="353">
        <v>6</v>
      </c>
      <c r="G324" s="353">
        <v>14</v>
      </c>
      <c r="H324" s="353">
        <v>37</v>
      </c>
      <c r="I324" s="353">
        <v>109</v>
      </c>
      <c r="J324" s="353">
        <v>15.8</v>
      </c>
      <c r="K324" s="353">
        <v>0.38</v>
      </c>
      <c r="L324" s="353">
        <v>1.63</v>
      </c>
      <c r="M324" s="353">
        <v>13.7</v>
      </c>
      <c r="N324" s="353">
        <v>0.8</v>
      </c>
      <c r="O324" s="353" t="s">
        <v>153</v>
      </c>
      <c r="P324" s="353">
        <v>2008</v>
      </c>
      <c r="Q324" t="s">
        <v>68</v>
      </c>
      <c r="R324" t="s">
        <v>1618</v>
      </c>
      <c r="S324" s="378" t="s">
        <v>1062</v>
      </c>
      <c r="T324" s="378" t="s">
        <v>181</v>
      </c>
      <c r="U324" s="377" t="s">
        <v>162</v>
      </c>
    </row>
    <row r="325" spans="1:21" x14ac:dyDescent="0.2">
      <c r="A325" s="353">
        <v>605634</v>
      </c>
      <c r="B325" s="340" t="s">
        <v>388</v>
      </c>
      <c r="C325" s="353">
        <v>14</v>
      </c>
      <c r="D325" s="353">
        <v>4</v>
      </c>
      <c r="E325" s="353">
        <v>9</v>
      </c>
      <c r="F325" s="353">
        <v>4</v>
      </c>
      <c r="G325" s="353">
        <v>20</v>
      </c>
      <c r="H325" s="353">
        <v>48</v>
      </c>
      <c r="I325" s="353">
        <v>105</v>
      </c>
      <c r="J325" s="353">
        <v>15.5</v>
      </c>
      <c r="K325" s="353">
        <v>0.38</v>
      </c>
      <c r="L325" s="353">
        <v>1.53</v>
      </c>
      <c r="M325" s="353">
        <v>13.9</v>
      </c>
      <c r="N325" s="353">
        <v>1</v>
      </c>
      <c r="O325" s="353" t="s">
        <v>153</v>
      </c>
      <c r="P325" s="353">
        <v>2010</v>
      </c>
      <c r="Q325" t="s">
        <v>154</v>
      </c>
      <c r="R325" t="s">
        <v>1295</v>
      </c>
      <c r="S325" s="378" t="s">
        <v>247</v>
      </c>
      <c r="T325" s="378" t="s">
        <v>219</v>
      </c>
    </row>
    <row r="326" spans="1:21" x14ac:dyDescent="0.2">
      <c r="A326" s="353">
        <v>384818</v>
      </c>
      <c r="B326" s="340" t="s">
        <v>1037</v>
      </c>
      <c r="C326" s="353">
        <v>16</v>
      </c>
      <c r="D326" s="353">
        <v>5</v>
      </c>
      <c r="E326" s="353">
        <v>8</v>
      </c>
      <c r="F326" s="353">
        <v>6</v>
      </c>
      <c r="G326" s="353">
        <v>15</v>
      </c>
      <c r="H326" s="353">
        <v>40</v>
      </c>
      <c r="I326" s="353">
        <v>104</v>
      </c>
      <c r="J326" s="353">
        <v>15.4</v>
      </c>
      <c r="K326" s="353">
        <v>0.38</v>
      </c>
      <c r="L326" s="353">
        <v>1.62</v>
      </c>
      <c r="M326" s="353">
        <v>13.8</v>
      </c>
      <c r="N326" s="353">
        <v>0.9</v>
      </c>
      <c r="O326" s="353" t="s">
        <v>153</v>
      </c>
      <c r="P326" s="353">
        <v>2000</v>
      </c>
      <c r="Q326" t="s">
        <v>68</v>
      </c>
      <c r="R326" t="s">
        <v>1627</v>
      </c>
      <c r="S326" s="378" t="s">
        <v>1062</v>
      </c>
      <c r="T326" s="378" t="s">
        <v>181</v>
      </c>
    </row>
    <row r="327" spans="1:21" x14ac:dyDescent="0.2">
      <c r="A327" s="353">
        <v>571695</v>
      </c>
      <c r="B327" s="340" t="s">
        <v>395</v>
      </c>
      <c r="C327" s="353">
        <v>10</v>
      </c>
      <c r="D327" s="353">
        <v>5</v>
      </c>
      <c r="E327" s="353">
        <v>6</v>
      </c>
      <c r="F327" s="353">
        <v>2</v>
      </c>
      <c r="G327" s="353">
        <v>14</v>
      </c>
      <c r="H327" s="353">
        <v>32</v>
      </c>
      <c r="I327" s="353">
        <v>90</v>
      </c>
      <c r="J327" s="353">
        <v>13.7</v>
      </c>
      <c r="K327" s="353">
        <v>0.38</v>
      </c>
      <c r="L327" s="353">
        <v>2</v>
      </c>
      <c r="M327" s="353">
        <v>12.9</v>
      </c>
      <c r="N327" s="353">
        <v>0.8</v>
      </c>
      <c r="O327" s="353" t="s">
        <v>293</v>
      </c>
      <c r="P327" s="353">
        <v>2008</v>
      </c>
      <c r="Q327" t="s">
        <v>68</v>
      </c>
      <c r="R327" t="s">
        <v>1890</v>
      </c>
      <c r="S327" s="378" t="s">
        <v>774</v>
      </c>
      <c r="T327" s="378" t="s">
        <v>215</v>
      </c>
      <c r="U327" s="377" t="s">
        <v>162</v>
      </c>
    </row>
    <row r="328" spans="1:21" x14ac:dyDescent="0.2">
      <c r="A328" s="353">
        <v>900894</v>
      </c>
      <c r="B328" s="340" t="s">
        <v>1135</v>
      </c>
      <c r="C328" s="353">
        <v>7</v>
      </c>
      <c r="D328" s="353">
        <v>3</v>
      </c>
      <c r="E328" s="353">
        <v>4</v>
      </c>
      <c r="F328" s="353">
        <v>5</v>
      </c>
      <c r="G328" s="353">
        <v>5</v>
      </c>
      <c r="H328" s="353">
        <v>26</v>
      </c>
      <c r="I328" s="353">
        <v>58</v>
      </c>
      <c r="J328" s="353">
        <v>9.6</v>
      </c>
      <c r="K328" s="353">
        <v>0.38</v>
      </c>
      <c r="L328" s="353">
        <v>1.44</v>
      </c>
      <c r="M328" s="353">
        <v>5.0999999999999996</v>
      </c>
      <c r="N328" s="353">
        <v>1.6</v>
      </c>
      <c r="O328" s="353" t="s">
        <v>203</v>
      </c>
      <c r="P328" s="353">
        <v>2006</v>
      </c>
      <c r="Q328" t="s">
        <v>68</v>
      </c>
      <c r="R328" t="s">
        <v>1988</v>
      </c>
      <c r="S328" s="378" t="s">
        <v>408</v>
      </c>
      <c r="T328" s="378" t="s">
        <v>1043</v>
      </c>
    </row>
    <row r="329" spans="1:21" x14ac:dyDescent="0.2">
      <c r="A329" s="353">
        <v>721746</v>
      </c>
      <c r="B329" s="340" t="s">
        <v>536</v>
      </c>
      <c r="C329" s="353">
        <v>2</v>
      </c>
      <c r="D329" s="353">
        <v>4</v>
      </c>
      <c r="E329" s="353">
        <v>5</v>
      </c>
      <c r="F329" s="353">
        <v>-1</v>
      </c>
      <c r="G329" s="353">
        <v>0</v>
      </c>
      <c r="H329" s="353">
        <v>29</v>
      </c>
      <c r="I329" s="353">
        <v>49</v>
      </c>
      <c r="J329" s="353">
        <v>8.1999999999999993</v>
      </c>
      <c r="K329" s="353">
        <v>0.38</v>
      </c>
      <c r="L329" s="353">
        <v>1.71</v>
      </c>
      <c r="M329" s="353">
        <v>10.7</v>
      </c>
      <c r="N329" s="353">
        <v>0.9</v>
      </c>
      <c r="O329" s="353" t="s">
        <v>344</v>
      </c>
      <c r="P329" s="353">
        <v>2006</v>
      </c>
      <c r="Q329" t="s">
        <v>68</v>
      </c>
      <c r="R329" t="s">
        <v>1493</v>
      </c>
      <c r="S329" s="378" t="s">
        <v>408</v>
      </c>
      <c r="T329" s="378" t="s">
        <v>1034</v>
      </c>
    </row>
    <row r="330" spans="1:21" x14ac:dyDescent="0.2">
      <c r="A330" s="353">
        <v>173435</v>
      </c>
      <c r="B330" s="340" t="s">
        <v>592</v>
      </c>
      <c r="C330" s="353">
        <v>-3</v>
      </c>
      <c r="D330" s="353">
        <v>4</v>
      </c>
      <c r="E330" s="353">
        <v>5</v>
      </c>
      <c r="F330" s="353">
        <v>-3</v>
      </c>
      <c r="G330" s="353">
        <v>-4</v>
      </c>
      <c r="H330" s="353">
        <v>27</v>
      </c>
      <c r="I330" s="353">
        <v>45</v>
      </c>
      <c r="J330" s="353">
        <v>7.7</v>
      </c>
      <c r="K330" s="353">
        <v>0.38</v>
      </c>
      <c r="L330" s="353">
        <v>1.91</v>
      </c>
      <c r="M330" s="353">
        <v>10.8</v>
      </c>
      <c r="N330" s="353">
        <v>0.8</v>
      </c>
      <c r="O330" s="353" t="s">
        <v>344</v>
      </c>
      <c r="P330" s="353">
        <v>2003</v>
      </c>
      <c r="Q330" t="s">
        <v>68</v>
      </c>
      <c r="R330" t="s">
        <v>1481</v>
      </c>
      <c r="S330" s="378" t="s">
        <v>955</v>
      </c>
      <c r="T330" s="378" t="s">
        <v>1034</v>
      </c>
    </row>
    <row r="331" spans="1:21" x14ac:dyDescent="0.2">
      <c r="A331" s="353">
        <v>280925</v>
      </c>
      <c r="B331" s="340" t="s">
        <v>436</v>
      </c>
      <c r="C331" s="353">
        <v>3</v>
      </c>
      <c r="D331" s="353">
        <v>3</v>
      </c>
      <c r="E331" s="353">
        <v>4</v>
      </c>
      <c r="F331" s="353">
        <v>3</v>
      </c>
      <c r="G331" s="353">
        <v>-1</v>
      </c>
      <c r="H331" s="353">
        <v>13</v>
      </c>
      <c r="I331" s="353">
        <v>38</v>
      </c>
      <c r="J331" s="353">
        <v>6.6</v>
      </c>
      <c r="K331" s="353">
        <v>0.38</v>
      </c>
      <c r="L331" s="353">
        <v>1.22</v>
      </c>
      <c r="M331" s="353">
        <v>6.9</v>
      </c>
      <c r="N331" s="353">
        <v>0.7</v>
      </c>
      <c r="O331" s="353" t="s">
        <v>203</v>
      </c>
      <c r="P331" s="353">
        <v>2003</v>
      </c>
      <c r="Q331" t="s">
        <v>68</v>
      </c>
      <c r="R331" t="s">
        <v>1543</v>
      </c>
      <c r="S331" s="378" t="s">
        <v>955</v>
      </c>
      <c r="T331" s="378" t="s">
        <v>1043</v>
      </c>
    </row>
    <row r="332" spans="1:21" x14ac:dyDescent="0.2">
      <c r="A332" s="353">
        <v>609701</v>
      </c>
      <c r="B332" s="340" t="s">
        <v>1102</v>
      </c>
      <c r="C332" s="353">
        <v>11</v>
      </c>
      <c r="D332" s="353">
        <v>2</v>
      </c>
      <c r="E332" s="353">
        <v>4</v>
      </c>
      <c r="F332" s="353">
        <v>5</v>
      </c>
      <c r="G332" s="353">
        <v>4</v>
      </c>
      <c r="H332" s="353">
        <v>18</v>
      </c>
      <c r="I332" s="353">
        <v>33</v>
      </c>
      <c r="J332" s="353">
        <v>5.8</v>
      </c>
      <c r="K332" s="353">
        <v>0.38</v>
      </c>
      <c r="L332" s="353">
        <v>0.9</v>
      </c>
      <c r="M332" s="353">
        <v>7.5</v>
      </c>
      <c r="N332" s="353">
        <v>0.8</v>
      </c>
      <c r="O332" s="353" t="s">
        <v>203</v>
      </c>
      <c r="P332" s="353">
        <v>2017</v>
      </c>
      <c r="Q332" t="s">
        <v>68</v>
      </c>
      <c r="R332" t="s">
        <v>1573</v>
      </c>
      <c r="S332" s="378" t="s">
        <v>604</v>
      </c>
      <c r="T332" s="378" t="s">
        <v>1034</v>
      </c>
    </row>
    <row r="333" spans="1:21" x14ac:dyDescent="0.2">
      <c r="A333" s="353">
        <v>352583</v>
      </c>
      <c r="B333" s="340" t="s">
        <v>483</v>
      </c>
      <c r="C333" s="353">
        <v>4</v>
      </c>
      <c r="D333" s="353">
        <v>3</v>
      </c>
      <c r="E333" s="353">
        <v>3</v>
      </c>
      <c r="F333" s="353">
        <v>3</v>
      </c>
      <c r="G333" s="353">
        <v>0</v>
      </c>
      <c r="H333" s="353">
        <v>11</v>
      </c>
      <c r="I333" s="353">
        <v>31</v>
      </c>
      <c r="J333" s="353">
        <v>5.6</v>
      </c>
      <c r="K333" s="353">
        <v>0.38</v>
      </c>
      <c r="L333" s="353">
        <v>1.4</v>
      </c>
      <c r="M333" s="353">
        <v>6</v>
      </c>
      <c r="N333" s="353">
        <v>0.6</v>
      </c>
      <c r="O333" s="353" t="s">
        <v>203</v>
      </c>
      <c r="P333" s="353">
        <v>2003</v>
      </c>
      <c r="Q333" t="s">
        <v>68</v>
      </c>
      <c r="R333" t="s">
        <v>1625</v>
      </c>
      <c r="S333" s="378" t="s">
        <v>955</v>
      </c>
      <c r="T333" s="378" t="s">
        <v>1033</v>
      </c>
    </row>
    <row r="334" spans="1:21" x14ac:dyDescent="0.2">
      <c r="A334" s="353">
        <v>483800</v>
      </c>
      <c r="B334" s="340" t="s">
        <v>374</v>
      </c>
      <c r="C334" s="353">
        <v>-6</v>
      </c>
      <c r="D334" s="353">
        <v>4</v>
      </c>
      <c r="E334" s="353">
        <v>4</v>
      </c>
      <c r="F334" s="353">
        <v>-4</v>
      </c>
      <c r="G334" s="353">
        <v>-6</v>
      </c>
      <c r="H334" s="353">
        <v>21</v>
      </c>
      <c r="I334" s="353">
        <v>27</v>
      </c>
      <c r="J334" s="353">
        <v>4.8</v>
      </c>
      <c r="K334" s="353">
        <v>0.38</v>
      </c>
      <c r="L334" s="353">
        <v>0.9</v>
      </c>
      <c r="M334" s="353">
        <v>11.1</v>
      </c>
      <c r="N334" s="353">
        <v>0.7</v>
      </c>
      <c r="O334" s="353" t="s">
        <v>344</v>
      </c>
      <c r="P334" s="353">
        <v>2000</v>
      </c>
      <c r="Q334" t="s">
        <v>68</v>
      </c>
      <c r="R334" t="s">
        <v>1422</v>
      </c>
      <c r="S334" s="378" t="s">
        <v>375</v>
      </c>
      <c r="T334" s="378" t="s">
        <v>1038</v>
      </c>
    </row>
    <row r="335" spans="1:21" x14ac:dyDescent="0.2">
      <c r="A335" s="353">
        <v>336115</v>
      </c>
      <c r="B335" s="340" t="s">
        <v>446</v>
      </c>
      <c r="C335" s="353">
        <v>-2</v>
      </c>
      <c r="D335" s="353">
        <v>4</v>
      </c>
      <c r="E335" s="353">
        <v>3</v>
      </c>
      <c r="F335" s="353">
        <v>-3</v>
      </c>
      <c r="G335" s="353">
        <v>-4</v>
      </c>
      <c r="H335" s="353">
        <v>12</v>
      </c>
      <c r="I335" s="353">
        <v>23</v>
      </c>
      <c r="J335" s="353">
        <v>4.3</v>
      </c>
      <c r="K335" s="353">
        <v>0.38</v>
      </c>
      <c r="L335" s="353">
        <v>1.31</v>
      </c>
      <c r="M335" s="353">
        <v>8.6999999999999993</v>
      </c>
      <c r="N335" s="353">
        <v>0.5</v>
      </c>
      <c r="O335" s="353" t="s">
        <v>344</v>
      </c>
      <c r="P335" s="353">
        <v>2006</v>
      </c>
      <c r="Q335" t="s">
        <v>68</v>
      </c>
      <c r="R335" t="s">
        <v>1492</v>
      </c>
      <c r="S335" s="378" t="s">
        <v>408</v>
      </c>
      <c r="T335" s="378" t="s">
        <v>1034</v>
      </c>
    </row>
    <row r="336" spans="1:21" x14ac:dyDescent="0.2">
      <c r="A336" s="353">
        <v>316752</v>
      </c>
      <c r="B336" s="340" t="s">
        <v>346</v>
      </c>
      <c r="C336" s="353">
        <v>-3</v>
      </c>
      <c r="D336" s="353">
        <v>3</v>
      </c>
      <c r="E336" s="353">
        <v>2</v>
      </c>
      <c r="F336" s="353">
        <v>-3</v>
      </c>
      <c r="G336" s="353">
        <v>-7</v>
      </c>
      <c r="H336" s="353">
        <v>16</v>
      </c>
      <c r="I336" s="353">
        <v>23</v>
      </c>
      <c r="J336" s="353">
        <v>4.2</v>
      </c>
      <c r="K336" s="353">
        <v>0.38</v>
      </c>
      <c r="L336" s="353">
        <v>1.24</v>
      </c>
      <c r="M336" s="353">
        <v>9.1999999999999993</v>
      </c>
      <c r="N336" s="353">
        <v>0.6</v>
      </c>
      <c r="O336" s="353" t="s">
        <v>344</v>
      </c>
      <c r="P336" s="353">
        <v>2003</v>
      </c>
      <c r="Q336" t="s">
        <v>68</v>
      </c>
      <c r="R336" t="s">
        <v>1480</v>
      </c>
      <c r="S336" s="378" t="s">
        <v>955</v>
      </c>
      <c r="T336" s="378" t="s">
        <v>1038</v>
      </c>
    </row>
    <row r="337" spans="1:21" x14ac:dyDescent="0.2">
      <c r="A337" s="353">
        <v>479436</v>
      </c>
      <c r="B337" s="340" t="s">
        <v>468</v>
      </c>
      <c r="C337" s="353">
        <v>2</v>
      </c>
      <c r="D337" s="353">
        <v>1</v>
      </c>
      <c r="E337" s="353">
        <v>3</v>
      </c>
      <c r="F337" s="353">
        <v>-2</v>
      </c>
      <c r="G337" s="353">
        <v>3</v>
      </c>
      <c r="H337" s="353">
        <v>0</v>
      </c>
      <c r="I337" s="353">
        <v>22</v>
      </c>
      <c r="J337" s="353">
        <v>4.0999999999999996</v>
      </c>
      <c r="K337" s="353">
        <v>0.38</v>
      </c>
      <c r="L337" s="353">
        <v>1.23</v>
      </c>
      <c r="M337" s="353">
        <v>10.1</v>
      </c>
      <c r="N337" s="353">
        <v>0.1</v>
      </c>
      <c r="O337" s="353" t="s">
        <v>407</v>
      </c>
      <c r="P337" s="353">
        <v>2006</v>
      </c>
      <c r="Q337" t="s">
        <v>68</v>
      </c>
      <c r="R337" t="s">
        <v>1829</v>
      </c>
      <c r="S337" s="378" t="s">
        <v>408</v>
      </c>
      <c r="T337" s="378" t="s">
        <v>1038</v>
      </c>
    </row>
    <row r="338" spans="1:21" x14ac:dyDescent="0.2">
      <c r="A338" s="353">
        <v>752204</v>
      </c>
      <c r="B338" s="340" t="s">
        <v>390</v>
      </c>
      <c r="C338" s="353">
        <v>0</v>
      </c>
      <c r="D338" s="353">
        <v>2</v>
      </c>
      <c r="E338" s="353">
        <v>15</v>
      </c>
      <c r="F338" s="353">
        <v>1</v>
      </c>
      <c r="G338" s="353">
        <v>15</v>
      </c>
      <c r="H338" s="353">
        <v>32</v>
      </c>
      <c r="I338" s="353">
        <v>22</v>
      </c>
      <c r="J338" s="353">
        <v>4</v>
      </c>
      <c r="K338" s="353">
        <v>0.38</v>
      </c>
      <c r="L338" s="353">
        <v>2.4700000000000002</v>
      </c>
      <c r="M338" s="353">
        <v>25.1</v>
      </c>
      <c r="N338" s="353">
        <v>0.5</v>
      </c>
      <c r="O338" s="353" t="s">
        <v>153</v>
      </c>
      <c r="P338" s="353">
        <v>2001</v>
      </c>
      <c r="Q338" t="s">
        <v>154</v>
      </c>
      <c r="R338" t="s">
        <v>1523</v>
      </c>
      <c r="S338" s="378" t="s">
        <v>171</v>
      </c>
      <c r="T338" s="378" t="s">
        <v>373</v>
      </c>
    </row>
    <row r="339" spans="1:21" x14ac:dyDescent="0.2">
      <c r="A339" s="353">
        <v>551093</v>
      </c>
      <c r="B339" s="340" t="s">
        <v>406</v>
      </c>
      <c r="C339" s="353">
        <v>2</v>
      </c>
      <c r="D339" s="353">
        <v>2</v>
      </c>
      <c r="E339" s="353">
        <v>4</v>
      </c>
      <c r="F339" s="353">
        <v>-2</v>
      </c>
      <c r="G339" s="353">
        <v>2</v>
      </c>
      <c r="H339" s="353">
        <v>0</v>
      </c>
      <c r="I339" s="353">
        <v>16</v>
      </c>
      <c r="J339" s="353">
        <v>3</v>
      </c>
      <c r="K339" s="353">
        <v>0.38</v>
      </c>
      <c r="L339" s="353">
        <v>1.23</v>
      </c>
      <c r="M339" s="353">
        <v>10</v>
      </c>
      <c r="N339" s="353">
        <v>0.1</v>
      </c>
      <c r="O339" s="353" t="s">
        <v>407</v>
      </c>
      <c r="P339" s="353">
        <v>2006</v>
      </c>
      <c r="Q339" t="s">
        <v>68</v>
      </c>
      <c r="R339" t="s">
        <v>1830</v>
      </c>
      <c r="S339" s="378" t="s">
        <v>408</v>
      </c>
      <c r="T339" s="378" t="s">
        <v>1043</v>
      </c>
    </row>
    <row r="340" spans="1:21" x14ac:dyDescent="0.2">
      <c r="A340" s="353">
        <v>934711</v>
      </c>
      <c r="B340" s="340" t="s">
        <v>400</v>
      </c>
      <c r="C340" s="353">
        <v>4</v>
      </c>
      <c r="D340" s="353">
        <v>0</v>
      </c>
      <c r="E340" s="353">
        <v>1</v>
      </c>
      <c r="F340" s="353">
        <v>2</v>
      </c>
      <c r="G340" s="353">
        <v>4</v>
      </c>
      <c r="H340" s="353">
        <v>11</v>
      </c>
      <c r="I340" s="353"/>
      <c r="J340" s="353"/>
      <c r="K340" s="353">
        <v>0.38</v>
      </c>
      <c r="L340" s="353">
        <v>0.93</v>
      </c>
      <c r="M340" s="353">
        <v>1.9</v>
      </c>
      <c r="N340" s="353">
        <v>2</v>
      </c>
      <c r="O340" s="353" t="s">
        <v>153</v>
      </c>
      <c r="P340" s="353">
        <v>2012</v>
      </c>
      <c r="Q340" t="s">
        <v>154</v>
      </c>
      <c r="R340" t="s">
        <v>1424</v>
      </c>
      <c r="S340" s="378" t="s">
        <v>184</v>
      </c>
      <c r="T340" s="378" t="s">
        <v>1038</v>
      </c>
      <c r="U340" s="377" t="s">
        <v>162</v>
      </c>
    </row>
    <row r="341" spans="1:21" x14ac:dyDescent="0.2">
      <c r="A341" s="353">
        <v>835074</v>
      </c>
      <c r="B341" s="340" t="s">
        <v>756</v>
      </c>
      <c r="C341" s="353">
        <v>10</v>
      </c>
      <c r="D341" s="353">
        <v>1</v>
      </c>
      <c r="E341" s="353">
        <v>4</v>
      </c>
      <c r="F341" s="353">
        <v>2</v>
      </c>
      <c r="G341" s="353">
        <v>16</v>
      </c>
      <c r="H341" s="353"/>
      <c r="I341" s="353"/>
      <c r="J341" s="353"/>
      <c r="K341" s="353">
        <v>0.38</v>
      </c>
      <c r="L341" s="353">
        <v>1.4</v>
      </c>
      <c r="M341" s="353"/>
      <c r="N341" s="353"/>
      <c r="O341" s="353" t="s">
        <v>153</v>
      </c>
      <c r="P341" s="353">
        <v>2015</v>
      </c>
      <c r="Q341" t="s">
        <v>68</v>
      </c>
      <c r="R341" t="s">
        <v>1600</v>
      </c>
      <c r="S341" s="378" t="s">
        <v>323</v>
      </c>
      <c r="T341" s="378" t="s">
        <v>219</v>
      </c>
      <c r="U341" s="377" t="s">
        <v>162</v>
      </c>
    </row>
    <row r="342" spans="1:21" x14ac:dyDescent="0.2">
      <c r="A342" s="353">
        <v>521104</v>
      </c>
      <c r="B342" s="340" t="s">
        <v>779</v>
      </c>
      <c r="C342" s="353">
        <v>12</v>
      </c>
      <c r="D342" s="353">
        <v>1</v>
      </c>
      <c r="E342" s="353">
        <v>5</v>
      </c>
      <c r="F342" s="353">
        <v>5</v>
      </c>
      <c r="G342" s="353">
        <v>18</v>
      </c>
      <c r="H342" s="353"/>
      <c r="I342" s="353"/>
      <c r="J342" s="353"/>
      <c r="K342" s="353">
        <v>0.38</v>
      </c>
      <c r="L342" s="353">
        <v>1.4</v>
      </c>
      <c r="M342" s="353"/>
      <c r="N342" s="353"/>
      <c r="O342" s="353" t="s">
        <v>153</v>
      </c>
      <c r="P342" s="353">
        <v>2015</v>
      </c>
      <c r="Q342" t="s">
        <v>68</v>
      </c>
      <c r="R342" t="s">
        <v>2007</v>
      </c>
      <c r="S342" s="378" t="s">
        <v>323</v>
      </c>
      <c r="T342" s="378" t="s">
        <v>318</v>
      </c>
      <c r="U342" s="377" t="s">
        <v>162</v>
      </c>
    </row>
    <row r="343" spans="1:21" x14ac:dyDescent="0.2">
      <c r="A343" s="353">
        <v>538108</v>
      </c>
      <c r="B343" s="340" t="s">
        <v>1061</v>
      </c>
      <c r="C343" s="353">
        <v>32</v>
      </c>
      <c r="D343" s="353">
        <v>1</v>
      </c>
      <c r="E343" s="353">
        <v>5</v>
      </c>
      <c r="F343" s="353">
        <v>9</v>
      </c>
      <c r="G343" s="353">
        <v>24</v>
      </c>
      <c r="H343" s="353">
        <v>47</v>
      </c>
      <c r="I343" s="353">
        <v>190</v>
      </c>
      <c r="J343" s="353">
        <v>23.7</v>
      </c>
      <c r="K343" s="353">
        <v>0.39</v>
      </c>
      <c r="L343" s="353">
        <v>1.72</v>
      </c>
      <c r="M343" s="353">
        <v>30.3</v>
      </c>
      <c r="N343" s="353">
        <v>0.6</v>
      </c>
      <c r="O343" s="353" t="s">
        <v>153</v>
      </c>
      <c r="P343" s="353">
        <v>2015</v>
      </c>
      <c r="Q343" t="s">
        <v>68</v>
      </c>
      <c r="R343" t="s">
        <v>1834</v>
      </c>
      <c r="S343" s="378" t="s">
        <v>1062</v>
      </c>
      <c r="T343" s="378" t="s">
        <v>1051</v>
      </c>
    </row>
    <row r="344" spans="1:21" x14ac:dyDescent="0.2">
      <c r="A344" s="353">
        <v>313155</v>
      </c>
      <c r="B344" s="340" t="s">
        <v>1060</v>
      </c>
      <c r="C344" s="353">
        <v>5</v>
      </c>
      <c r="D344" s="353">
        <v>-1</v>
      </c>
      <c r="E344" s="353">
        <v>0</v>
      </c>
      <c r="F344" s="353">
        <v>-2</v>
      </c>
      <c r="G344" s="353">
        <v>6</v>
      </c>
      <c r="H344" s="353">
        <v>6</v>
      </c>
      <c r="I344" s="353">
        <v>100</v>
      </c>
      <c r="J344" s="353">
        <v>14.9</v>
      </c>
      <c r="K344" s="353">
        <v>0.39</v>
      </c>
      <c r="L344" s="353">
        <v>1.72</v>
      </c>
      <c r="M344" s="353">
        <v>18.600000000000001</v>
      </c>
      <c r="N344" s="353">
        <v>0.2</v>
      </c>
      <c r="O344" s="353" t="s">
        <v>153</v>
      </c>
      <c r="P344" s="353">
        <v>2000</v>
      </c>
      <c r="Q344" t="s">
        <v>68</v>
      </c>
      <c r="R344" t="s">
        <v>1732</v>
      </c>
      <c r="S344" s="378" t="s">
        <v>1062</v>
      </c>
      <c r="T344" s="378" t="s">
        <v>1051</v>
      </c>
    </row>
    <row r="345" spans="1:21" x14ac:dyDescent="0.2">
      <c r="A345" s="353">
        <v>206250</v>
      </c>
      <c r="B345" s="340" t="s">
        <v>409</v>
      </c>
      <c r="C345" s="353">
        <v>24</v>
      </c>
      <c r="D345" s="353">
        <v>6</v>
      </c>
      <c r="E345" s="353">
        <v>10</v>
      </c>
      <c r="F345" s="353">
        <v>12</v>
      </c>
      <c r="G345" s="353">
        <v>20</v>
      </c>
      <c r="H345" s="353">
        <v>30</v>
      </c>
      <c r="I345" s="353">
        <v>52</v>
      </c>
      <c r="J345" s="353">
        <v>8.6999999999999993</v>
      </c>
      <c r="K345" s="353">
        <v>0.39</v>
      </c>
      <c r="L345" s="353">
        <v>1.83</v>
      </c>
      <c r="M345" s="353">
        <v>14.9</v>
      </c>
      <c r="N345" s="353">
        <v>0.7</v>
      </c>
      <c r="O345" s="353" t="s">
        <v>153</v>
      </c>
      <c r="P345" s="353">
        <v>2001</v>
      </c>
      <c r="Q345" t="s">
        <v>154</v>
      </c>
      <c r="R345" t="s">
        <v>1223</v>
      </c>
      <c r="S345" s="378" t="s">
        <v>173</v>
      </c>
      <c r="T345" s="378" t="s">
        <v>295</v>
      </c>
      <c r="U345" s="377" t="s">
        <v>162</v>
      </c>
    </row>
    <row r="346" spans="1:21" x14ac:dyDescent="0.2">
      <c r="A346" s="353">
        <v>963462</v>
      </c>
      <c r="B346" s="340" t="s">
        <v>402</v>
      </c>
      <c r="C346" s="353">
        <v>4</v>
      </c>
      <c r="D346" s="353">
        <v>1</v>
      </c>
      <c r="E346" s="353">
        <v>2</v>
      </c>
      <c r="F346" s="353">
        <v>1</v>
      </c>
      <c r="G346" s="353">
        <v>5</v>
      </c>
      <c r="H346" s="353">
        <v>14</v>
      </c>
      <c r="I346" s="353">
        <v>33</v>
      </c>
      <c r="J346" s="353">
        <v>5.9</v>
      </c>
      <c r="K346" s="353">
        <v>0.39</v>
      </c>
      <c r="L346" s="353">
        <v>1</v>
      </c>
      <c r="M346" s="353">
        <v>5.0999999999999996</v>
      </c>
      <c r="N346" s="353">
        <v>0.9</v>
      </c>
      <c r="O346" s="353" t="s">
        <v>153</v>
      </c>
      <c r="P346" s="353">
        <v>2005</v>
      </c>
      <c r="Q346" t="s">
        <v>154</v>
      </c>
      <c r="R346" t="s">
        <v>1550</v>
      </c>
      <c r="S346" s="378" t="s">
        <v>207</v>
      </c>
      <c r="T346" s="378" t="s">
        <v>1035</v>
      </c>
      <c r="U346" s="377" t="s">
        <v>162</v>
      </c>
    </row>
    <row r="347" spans="1:21" x14ac:dyDescent="0.2">
      <c r="A347" s="353">
        <v>617670</v>
      </c>
      <c r="B347" s="340" t="s">
        <v>417</v>
      </c>
      <c r="C347" s="353">
        <v>35</v>
      </c>
      <c r="D347" s="353">
        <v>6</v>
      </c>
      <c r="E347" s="353">
        <v>10</v>
      </c>
      <c r="F347" s="353">
        <v>18</v>
      </c>
      <c r="G347" s="353">
        <v>25</v>
      </c>
      <c r="H347" s="353">
        <v>68</v>
      </c>
      <c r="I347" s="353"/>
      <c r="J347" s="353"/>
      <c r="K347" s="353">
        <v>0.39</v>
      </c>
      <c r="L347" s="353">
        <v>1.9</v>
      </c>
      <c r="M347" s="353">
        <v>16.399999999999999</v>
      </c>
      <c r="N347" s="353">
        <v>1.2</v>
      </c>
      <c r="O347" s="353" t="s">
        <v>153</v>
      </c>
      <c r="P347" s="353">
        <v>2014</v>
      </c>
      <c r="Q347" t="s">
        <v>154</v>
      </c>
      <c r="R347" t="s">
        <v>1176</v>
      </c>
      <c r="S347" s="378" t="s">
        <v>194</v>
      </c>
      <c r="T347" s="378" t="s">
        <v>342</v>
      </c>
    </row>
    <row r="348" spans="1:21" x14ac:dyDescent="0.2">
      <c r="A348" s="353">
        <v>222307</v>
      </c>
      <c r="B348" s="340" t="s">
        <v>850</v>
      </c>
      <c r="C348" s="353">
        <v>20</v>
      </c>
      <c r="D348" s="353">
        <v>4</v>
      </c>
      <c r="E348" s="353">
        <v>11</v>
      </c>
      <c r="F348" s="353">
        <v>5</v>
      </c>
      <c r="G348" s="353">
        <v>28</v>
      </c>
      <c r="H348" s="353"/>
      <c r="I348" s="353"/>
      <c r="J348" s="353"/>
      <c r="K348" s="353">
        <v>0.39</v>
      </c>
      <c r="L348" s="353">
        <v>0.95</v>
      </c>
      <c r="M348" s="353"/>
      <c r="N348" s="353"/>
      <c r="O348" s="353" t="s">
        <v>153</v>
      </c>
      <c r="P348" s="353">
        <v>2015</v>
      </c>
      <c r="Q348" t="s">
        <v>154</v>
      </c>
      <c r="R348" t="s">
        <v>1265</v>
      </c>
      <c r="S348" s="378" t="s">
        <v>229</v>
      </c>
      <c r="T348" s="378" t="s">
        <v>219</v>
      </c>
    </row>
    <row r="349" spans="1:21" x14ac:dyDescent="0.2">
      <c r="A349" s="353">
        <v>307306</v>
      </c>
      <c r="B349" s="340" t="s">
        <v>954</v>
      </c>
      <c r="C349" s="353">
        <v>1</v>
      </c>
      <c r="D349" s="353">
        <v>1</v>
      </c>
      <c r="E349" s="353">
        <v>1</v>
      </c>
      <c r="F349" s="353">
        <v>0</v>
      </c>
      <c r="G349" s="353">
        <v>1</v>
      </c>
      <c r="H349" s="353"/>
      <c r="I349" s="353"/>
      <c r="J349" s="353"/>
      <c r="K349" s="353">
        <v>0.39</v>
      </c>
      <c r="L349" s="353">
        <v>1.59</v>
      </c>
      <c r="M349" s="353"/>
      <c r="N349" s="353"/>
      <c r="O349" s="353" t="s">
        <v>153</v>
      </c>
      <c r="P349" s="353">
        <v>2016</v>
      </c>
      <c r="Q349" t="s">
        <v>154</v>
      </c>
      <c r="R349" t="s">
        <v>1277</v>
      </c>
      <c r="S349" s="378" t="s">
        <v>949</v>
      </c>
      <c r="T349" s="378" t="s">
        <v>1024</v>
      </c>
    </row>
    <row r="350" spans="1:21" x14ac:dyDescent="0.2">
      <c r="A350" s="353">
        <v>904904</v>
      </c>
      <c r="B350" s="340" t="s">
        <v>892</v>
      </c>
      <c r="C350" s="353">
        <v>12</v>
      </c>
      <c r="D350" s="353">
        <v>3</v>
      </c>
      <c r="E350" s="353">
        <v>8</v>
      </c>
      <c r="F350" s="353">
        <v>2</v>
      </c>
      <c r="G350" s="353">
        <v>16</v>
      </c>
      <c r="H350" s="353">
        <v>32</v>
      </c>
      <c r="I350" s="353"/>
      <c r="J350" s="353"/>
      <c r="K350" s="353">
        <v>0.39</v>
      </c>
      <c r="L350" s="353">
        <v>1.33</v>
      </c>
      <c r="M350" s="353">
        <v>13.2</v>
      </c>
      <c r="N350" s="353">
        <v>0.8</v>
      </c>
      <c r="O350" s="353" t="s">
        <v>153</v>
      </c>
      <c r="P350" s="353">
        <v>2015</v>
      </c>
      <c r="Q350" t="s">
        <v>154</v>
      </c>
      <c r="R350" t="s">
        <v>1317</v>
      </c>
      <c r="S350" s="378" t="s">
        <v>166</v>
      </c>
      <c r="T350" s="378" t="s">
        <v>219</v>
      </c>
      <c r="U350" s="377" t="s">
        <v>162</v>
      </c>
    </row>
    <row r="351" spans="1:21" x14ac:dyDescent="0.2">
      <c r="A351" s="353">
        <v>908509</v>
      </c>
      <c r="B351" s="340" t="s">
        <v>996</v>
      </c>
      <c r="C351" s="353">
        <v>15</v>
      </c>
      <c r="D351" s="353">
        <v>1</v>
      </c>
      <c r="E351" s="353">
        <v>3</v>
      </c>
      <c r="F351" s="353">
        <v>0</v>
      </c>
      <c r="G351" s="353">
        <v>16</v>
      </c>
      <c r="H351" s="353"/>
      <c r="I351" s="353"/>
      <c r="J351" s="353"/>
      <c r="K351" s="353">
        <v>0.39</v>
      </c>
      <c r="L351" s="353">
        <v>0.88</v>
      </c>
      <c r="M351" s="353"/>
      <c r="N351" s="353"/>
      <c r="O351" s="353" t="s">
        <v>153</v>
      </c>
      <c r="P351" s="353">
        <v>2016</v>
      </c>
      <c r="Q351" t="s">
        <v>154</v>
      </c>
      <c r="R351" t="s">
        <v>1431</v>
      </c>
      <c r="S351" s="378" t="s">
        <v>184</v>
      </c>
      <c r="T351" s="378" t="s">
        <v>258</v>
      </c>
    </row>
    <row r="352" spans="1:21" x14ac:dyDescent="0.2">
      <c r="A352" s="353">
        <v>186478</v>
      </c>
      <c r="B352" s="340" t="s">
        <v>859</v>
      </c>
      <c r="C352" s="353">
        <v>-13</v>
      </c>
      <c r="D352" s="353">
        <v>-3</v>
      </c>
      <c r="E352" s="353">
        <v>-7</v>
      </c>
      <c r="F352" s="353">
        <v>-5</v>
      </c>
      <c r="G352" s="353">
        <v>-17</v>
      </c>
      <c r="H352" s="353"/>
      <c r="I352" s="353"/>
      <c r="J352" s="353"/>
      <c r="K352" s="353">
        <v>0.39</v>
      </c>
      <c r="L352" s="353">
        <v>0.95</v>
      </c>
      <c r="M352" s="353"/>
      <c r="N352" s="353"/>
      <c r="O352" s="353" t="s">
        <v>153</v>
      </c>
      <c r="P352" s="353">
        <v>2015</v>
      </c>
      <c r="Q352" t="s">
        <v>154</v>
      </c>
      <c r="R352" t="s">
        <v>1722</v>
      </c>
      <c r="S352" s="378" t="s">
        <v>229</v>
      </c>
      <c r="T352" s="378" t="s">
        <v>289</v>
      </c>
    </row>
    <row r="353" spans="1:21" x14ac:dyDescent="0.2">
      <c r="A353" s="353">
        <v>352872</v>
      </c>
      <c r="B353" s="340" t="s">
        <v>847</v>
      </c>
      <c r="C353" s="353">
        <v>7</v>
      </c>
      <c r="D353" s="353">
        <v>6</v>
      </c>
      <c r="E353" s="353">
        <v>8</v>
      </c>
      <c r="F353" s="353">
        <v>3</v>
      </c>
      <c r="G353" s="353">
        <v>13</v>
      </c>
      <c r="H353" s="353">
        <v>45</v>
      </c>
      <c r="I353" s="353">
        <v>139</v>
      </c>
      <c r="J353" s="353">
        <v>19.100000000000001</v>
      </c>
      <c r="K353" s="353">
        <v>0.4</v>
      </c>
      <c r="L353" s="353">
        <v>0.87</v>
      </c>
      <c r="M353" s="353">
        <v>13.9</v>
      </c>
      <c r="N353" s="353">
        <v>1</v>
      </c>
      <c r="O353" s="353" t="s">
        <v>344</v>
      </c>
      <c r="P353" s="353">
        <v>2015</v>
      </c>
      <c r="Q353" t="s">
        <v>68</v>
      </c>
      <c r="R353" t="s">
        <v>1958</v>
      </c>
      <c r="S353" s="378" t="s">
        <v>493</v>
      </c>
      <c r="T353" s="378" t="s">
        <v>1047</v>
      </c>
    </row>
    <row r="354" spans="1:21" x14ac:dyDescent="0.2">
      <c r="A354" s="353">
        <v>964767</v>
      </c>
      <c r="B354" s="340" t="s">
        <v>1078</v>
      </c>
      <c r="C354" s="353">
        <v>13</v>
      </c>
      <c r="D354" s="353">
        <v>4</v>
      </c>
      <c r="E354" s="353">
        <v>8</v>
      </c>
      <c r="F354" s="353">
        <v>5</v>
      </c>
      <c r="G354" s="353">
        <v>17</v>
      </c>
      <c r="H354" s="353">
        <v>50</v>
      </c>
      <c r="I354" s="353">
        <v>122</v>
      </c>
      <c r="J354" s="353">
        <v>17.3</v>
      </c>
      <c r="K354" s="353">
        <v>0.4</v>
      </c>
      <c r="L354" s="353">
        <v>1.35</v>
      </c>
      <c r="M354" s="353">
        <v>14.2</v>
      </c>
      <c r="N354" s="353">
        <v>1</v>
      </c>
      <c r="O354" s="353" t="s">
        <v>153</v>
      </c>
      <c r="P354" s="353">
        <v>2000</v>
      </c>
      <c r="Q354" t="s">
        <v>154</v>
      </c>
      <c r="R354" t="s">
        <v>1528</v>
      </c>
      <c r="S354" s="378" t="s">
        <v>166</v>
      </c>
      <c r="T354" s="378" t="s">
        <v>181</v>
      </c>
      <c r="U354" s="377" t="s">
        <v>162</v>
      </c>
    </row>
    <row r="355" spans="1:21" x14ac:dyDescent="0.2">
      <c r="A355" s="353">
        <v>914945</v>
      </c>
      <c r="B355" s="340" t="s">
        <v>420</v>
      </c>
      <c r="C355" s="353">
        <v>24</v>
      </c>
      <c r="D355" s="353">
        <v>6</v>
      </c>
      <c r="E355" s="353">
        <v>7</v>
      </c>
      <c r="F355" s="353">
        <v>11</v>
      </c>
      <c r="G355" s="353">
        <v>18</v>
      </c>
      <c r="H355" s="353">
        <v>36</v>
      </c>
      <c r="I355" s="353">
        <v>68</v>
      </c>
      <c r="J355" s="353">
        <v>11</v>
      </c>
      <c r="K355" s="353">
        <v>0.4</v>
      </c>
      <c r="L355" s="353">
        <v>1.77</v>
      </c>
      <c r="M355" s="353">
        <v>14.9</v>
      </c>
      <c r="N355" s="353">
        <v>0.8</v>
      </c>
      <c r="O355" s="353" t="s">
        <v>153</v>
      </c>
      <c r="P355" s="353">
        <v>2002</v>
      </c>
      <c r="Q355" t="s">
        <v>154</v>
      </c>
      <c r="R355" t="s">
        <v>1827</v>
      </c>
      <c r="S355" s="378" t="s">
        <v>209</v>
      </c>
      <c r="T355" s="378" t="s">
        <v>1048</v>
      </c>
      <c r="U355" s="377" t="s">
        <v>162</v>
      </c>
    </row>
    <row r="356" spans="1:21" x14ac:dyDescent="0.2">
      <c r="A356" s="353">
        <v>950774</v>
      </c>
      <c r="B356" s="340" t="s">
        <v>421</v>
      </c>
      <c r="C356" s="353">
        <v>24</v>
      </c>
      <c r="D356" s="353">
        <v>5</v>
      </c>
      <c r="E356" s="353">
        <v>8</v>
      </c>
      <c r="F356" s="353">
        <v>9</v>
      </c>
      <c r="G356" s="353">
        <v>22</v>
      </c>
      <c r="H356" s="353">
        <v>39</v>
      </c>
      <c r="I356" s="353">
        <v>55</v>
      </c>
      <c r="J356" s="353">
        <v>9.1999999999999993</v>
      </c>
      <c r="K356" s="353">
        <v>0.4</v>
      </c>
      <c r="L356" s="353">
        <v>1.76</v>
      </c>
      <c r="M356" s="353">
        <v>15</v>
      </c>
      <c r="N356" s="353">
        <v>0.8</v>
      </c>
      <c r="O356" s="353" t="s">
        <v>153</v>
      </c>
      <c r="P356" s="353">
        <v>2002</v>
      </c>
      <c r="Q356" t="s">
        <v>154</v>
      </c>
      <c r="R356" t="s">
        <v>1339</v>
      </c>
      <c r="S356" s="378" t="s">
        <v>209</v>
      </c>
      <c r="T356" s="378" t="s">
        <v>295</v>
      </c>
      <c r="U356" s="377" t="s">
        <v>162</v>
      </c>
    </row>
    <row r="357" spans="1:21" x14ac:dyDescent="0.2">
      <c r="A357" s="353">
        <v>239301</v>
      </c>
      <c r="B357" s="340" t="s">
        <v>876</v>
      </c>
      <c r="C357" s="353">
        <v>3</v>
      </c>
      <c r="D357" s="353">
        <v>1</v>
      </c>
      <c r="E357" s="353">
        <v>2</v>
      </c>
      <c r="F357" s="353">
        <v>1</v>
      </c>
      <c r="G357" s="353">
        <v>4</v>
      </c>
      <c r="H357" s="353">
        <v>9</v>
      </c>
      <c r="I357" s="353">
        <v>33</v>
      </c>
      <c r="J357" s="353">
        <v>5.8</v>
      </c>
      <c r="K357" s="353">
        <v>0.4</v>
      </c>
      <c r="L357" s="353">
        <v>1.71</v>
      </c>
      <c r="M357" s="353">
        <v>5.0999999999999996</v>
      </c>
      <c r="N357" s="353">
        <v>0.6</v>
      </c>
      <c r="O357" s="353" t="s">
        <v>153</v>
      </c>
      <c r="P357" s="353">
        <v>2015</v>
      </c>
      <c r="Q357" t="s">
        <v>68</v>
      </c>
      <c r="R357" t="s">
        <v>2008</v>
      </c>
      <c r="S357" s="378" t="s">
        <v>323</v>
      </c>
      <c r="T357" s="378" t="s">
        <v>1035</v>
      </c>
      <c r="U357" s="377" t="s">
        <v>162</v>
      </c>
    </row>
    <row r="358" spans="1:21" x14ac:dyDescent="0.2">
      <c r="A358" s="353">
        <v>823039</v>
      </c>
      <c r="B358" s="340" t="s">
        <v>429</v>
      </c>
      <c r="C358" s="353">
        <v>13</v>
      </c>
      <c r="D358" s="353">
        <v>0</v>
      </c>
      <c r="E358" s="353">
        <v>7</v>
      </c>
      <c r="F358" s="353">
        <v>5</v>
      </c>
      <c r="G358" s="353">
        <v>2</v>
      </c>
      <c r="H358" s="353">
        <v>7</v>
      </c>
      <c r="I358" s="353">
        <v>1</v>
      </c>
      <c r="J358" s="353">
        <v>0.3</v>
      </c>
      <c r="K358" s="353">
        <v>0.4</v>
      </c>
      <c r="L358" s="353">
        <v>1.76</v>
      </c>
      <c r="M358" s="353">
        <v>19.7</v>
      </c>
      <c r="N358" s="353">
        <v>0.2</v>
      </c>
      <c r="O358" s="353" t="s">
        <v>153</v>
      </c>
      <c r="P358" s="353">
        <v>2011</v>
      </c>
      <c r="Q358" t="s">
        <v>154</v>
      </c>
      <c r="R358" t="s">
        <v>1350</v>
      </c>
      <c r="S358" s="378" t="s">
        <v>209</v>
      </c>
      <c r="T358" s="378" t="s">
        <v>361</v>
      </c>
      <c r="U358" s="377" t="s">
        <v>162</v>
      </c>
    </row>
    <row r="359" spans="1:21" x14ac:dyDescent="0.2">
      <c r="A359" s="353">
        <v>290304</v>
      </c>
      <c r="B359" s="340" t="s">
        <v>926</v>
      </c>
      <c r="C359" s="353">
        <v>20</v>
      </c>
      <c r="D359" s="353">
        <v>3</v>
      </c>
      <c r="E359" s="353">
        <v>6</v>
      </c>
      <c r="F359" s="353">
        <v>4</v>
      </c>
      <c r="G359" s="353">
        <v>22</v>
      </c>
      <c r="H359" s="353"/>
      <c r="I359" s="353"/>
      <c r="J359" s="353"/>
      <c r="K359" s="353">
        <v>0.4</v>
      </c>
      <c r="L359" s="353">
        <v>0.89</v>
      </c>
      <c r="M359" s="353"/>
      <c r="N359" s="353"/>
      <c r="O359" s="353" t="s">
        <v>153</v>
      </c>
      <c r="P359" s="353">
        <v>2016</v>
      </c>
      <c r="Q359" t="s">
        <v>154</v>
      </c>
      <c r="R359" t="s">
        <v>1268</v>
      </c>
      <c r="S359" s="378" t="s">
        <v>184</v>
      </c>
      <c r="T359" s="378" t="s">
        <v>219</v>
      </c>
      <c r="U359" s="377" t="s">
        <v>162</v>
      </c>
    </row>
    <row r="360" spans="1:21" x14ac:dyDescent="0.2">
      <c r="A360" s="353">
        <v>123901</v>
      </c>
      <c r="B360" s="340" t="s">
        <v>967</v>
      </c>
      <c r="C360" s="353">
        <v>3</v>
      </c>
      <c r="D360" s="353">
        <v>1</v>
      </c>
      <c r="E360" s="353">
        <v>2</v>
      </c>
      <c r="F360" s="353">
        <v>1</v>
      </c>
      <c r="G360" s="353">
        <v>6</v>
      </c>
      <c r="H360" s="353"/>
      <c r="I360" s="353"/>
      <c r="J360" s="353"/>
      <c r="K360" s="353">
        <v>0.4</v>
      </c>
      <c r="L360" s="353">
        <v>1.65</v>
      </c>
      <c r="M360" s="353"/>
      <c r="N360" s="353"/>
      <c r="O360" s="353" t="s">
        <v>153</v>
      </c>
      <c r="P360" s="353">
        <v>2016</v>
      </c>
      <c r="Q360" t="s">
        <v>68</v>
      </c>
      <c r="R360" t="s">
        <v>1739</v>
      </c>
      <c r="S360" s="378" t="s">
        <v>323</v>
      </c>
      <c r="T360" s="378" t="s">
        <v>1041</v>
      </c>
      <c r="U360" s="377" t="s">
        <v>162</v>
      </c>
    </row>
    <row r="361" spans="1:21" x14ac:dyDescent="0.2">
      <c r="A361" s="353">
        <v>853903</v>
      </c>
      <c r="B361" s="340" t="s">
        <v>725</v>
      </c>
      <c r="C361" s="353">
        <v>6</v>
      </c>
      <c r="D361" s="353">
        <v>0</v>
      </c>
      <c r="E361" s="353">
        <v>1</v>
      </c>
      <c r="F361" s="353">
        <v>2</v>
      </c>
      <c r="G361" s="353">
        <v>7</v>
      </c>
      <c r="H361" s="353"/>
      <c r="I361" s="353"/>
      <c r="J361" s="353"/>
      <c r="K361" s="353">
        <v>0.4</v>
      </c>
      <c r="L361" s="353">
        <v>0.95</v>
      </c>
      <c r="M361" s="353"/>
      <c r="N361" s="353"/>
      <c r="O361" s="353" t="s">
        <v>153</v>
      </c>
      <c r="P361" s="353">
        <v>2014</v>
      </c>
      <c r="Q361" t="s">
        <v>154</v>
      </c>
      <c r="R361" t="s">
        <v>1836</v>
      </c>
      <c r="S361" s="378" t="s">
        <v>354</v>
      </c>
      <c r="T361" s="378" t="s">
        <v>1044</v>
      </c>
    </row>
    <row r="362" spans="1:21" x14ac:dyDescent="0.2">
      <c r="A362" s="353">
        <v>988071</v>
      </c>
      <c r="B362" s="340" t="s">
        <v>968</v>
      </c>
      <c r="C362" s="353">
        <v>5</v>
      </c>
      <c r="D362" s="353">
        <v>1</v>
      </c>
      <c r="E362" s="353">
        <v>4</v>
      </c>
      <c r="F362" s="353">
        <v>2</v>
      </c>
      <c r="G362" s="353">
        <v>8</v>
      </c>
      <c r="H362" s="353"/>
      <c r="I362" s="353"/>
      <c r="J362" s="353"/>
      <c r="K362" s="353">
        <v>0.4</v>
      </c>
      <c r="L362" s="353">
        <v>1.99</v>
      </c>
      <c r="M362" s="353"/>
      <c r="N362" s="353"/>
      <c r="O362" s="353" t="s">
        <v>153</v>
      </c>
      <c r="P362" s="353">
        <v>2016</v>
      </c>
      <c r="Q362" t="s">
        <v>68</v>
      </c>
      <c r="R362" t="s">
        <v>2009</v>
      </c>
      <c r="S362" s="378" t="s">
        <v>323</v>
      </c>
      <c r="T362" s="378" t="s">
        <v>1023</v>
      </c>
      <c r="U362" s="377" t="s">
        <v>162</v>
      </c>
    </row>
    <row r="363" spans="1:21" x14ac:dyDescent="0.2">
      <c r="A363" s="353">
        <v>556589</v>
      </c>
      <c r="B363" s="340" t="s">
        <v>422</v>
      </c>
      <c r="C363" s="353">
        <v>24</v>
      </c>
      <c r="D363" s="353">
        <v>3</v>
      </c>
      <c r="E363" s="353">
        <v>9</v>
      </c>
      <c r="F363" s="353">
        <v>9</v>
      </c>
      <c r="G363" s="353">
        <v>29</v>
      </c>
      <c r="H363" s="353">
        <v>70</v>
      </c>
      <c r="I363" s="353">
        <v>170</v>
      </c>
      <c r="J363" s="353">
        <v>21.9</v>
      </c>
      <c r="K363" s="353">
        <v>0.41</v>
      </c>
      <c r="L363" s="353">
        <v>1.8</v>
      </c>
      <c r="M363" s="353">
        <v>15.3</v>
      </c>
      <c r="N363" s="353">
        <v>1.3</v>
      </c>
      <c r="O363" s="353" t="s">
        <v>153</v>
      </c>
      <c r="P363" s="353">
        <v>2005</v>
      </c>
      <c r="Q363" t="s">
        <v>154</v>
      </c>
      <c r="R363" t="s">
        <v>1884</v>
      </c>
      <c r="S363" s="378" t="s">
        <v>209</v>
      </c>
      <c r="T363" s="378" t="s">
        <v>1046</v>
      </c>
      <c r="U363" s="377" t="s">
        <v>162</v>
      </c>
    </row>
    <row r="364" spans="1:21" x14ac:dyDescent="0.2">
      <c r="A364" s="353">
        <v>103606</v>
      </c>
      <c r="B364" s="340" t="s">
        <v>435</v>
      </c>
      <c r="C364" s="353">
        <v>14</v>
      </c>
      <c r="D364" s="353">
        <v>3</v>
      </c>
      <c r="E364" s="353">
        <v>5</v>
      </c>
      <c r="F364" s="353">
        <v>4</v>
      </c>
      <c r="G364" s="353">
        <v>18</v>
      </c>
      <c r="H364" s="353">
        <v>62</v>
      </c>
      <c r="I364" s="353">
        <v>160</v>
      </c>
      <c r="J364" s="353">
        <v>21</v>
      </c>
      <c r="K364" s="353">
        <v>0.41</v>
      </c>
      <c r="L364" s="353">
        <v>1.41</v>
      </c>
      <c r="M364" s="353">
        <v>14.2</v>
      </c>
      <c r="N364" s="353">
        <v>1.2</v>
      </c>
      <c r="O364" s="353" t="s">
        <v>153</v>
      </c>
      <c r="P364" s="353">
        <v>2002</v>
      </c>
      <c r="Q364" t="s">
        <v>154</v>
      </c>
      <c r="R364" t="s">
        <v>1186</v>
      </c>
      <c r="S364" s="378" t="s">
        <v>226</v>
      </c>
      <c r="T364" s="378" t="s">
        <v>258</v>
      </c>
      <c r="U364" s="377" t="s">
        <v>162</v>
      </c>
    </row>
    <row r="365" spans="1:21" x14ac:dyDescent="0.2">
      <c r="A365" s="353">
        <v>511139</v>
      </c>
      <c r="B365" s="340" t="s">
        <v>431</v>
      </c>
      <c r="C365" s="353">
        <v>9</v>
      </c>
      <c r="D365" s="353">
        <v>5</v>
      </c>
      <c r="E365" s="353">
        <v>9</v>
      </c>
      <c r="F365" s="353">
        <v>3</v>
      </c>
      <c r="G365" s="353">
        <v>16</v>
      </c>
      <c r="H365" s="353">
        <v>50</v>
      </c>
      <c r="I365" s="353">
        <v>148</v>
      </c>
      <c r="J365" s="353">
        <v>19.899999999999999</v>
      </c>
      <c r="K365" s="353">
        <v>0.41</v>
      </c>
      <c r="L365" s="353">
        <v>1.41</v>
      </c>
      <c r="M365" s="353">
        <v>15.2</v>
      </c>
      <c r="N365" s="353">
        <v>1</v>
      </c>
      <c r="O365" s="353" t="s">
        <v>153</v>
      </c>
      <c r="P365" s="353">
        <v>2000</v>
      </c>
      <c r="Q365" t="s">
        <v>154</v>
      </c>
      <c r="R365" t="s">
        <v>2015</v>
      </c>
      <c r="S365" s="378" t="s">
        <v>226</v>
      </c>
      <c r="T365" s="378" t="s">
        <v>1047</v>
      </c>
      <c r="U365" s="377" t="s">
        <v>162</v>
      </c>
    </row>
    <row r="366" spans="1:21" x14ac:dyDescent="0.2">
      <c r="A366" s="353">
        <v>611657</v>
      </c>
      <c r="B366" s="340" t="s">
        <v>426</v>
      </c>
      <c r="C366" s="353">
        <v>17</v>
      </c>
      <c r="D366" s="353">
        <v>3</v>
      </c>
      <c r="E366" s="353">
        <v>6</v>
      </c>
      <c r="F366" s="353">
        <v>6</v>
      </c>
      <c r="G366" s="353">
        <v>20</v>
      </c>
      <c r="H366" s="353">
        <v>46</v>
      </c>
      <c r="I366" s="353">
        <v>119</v>
      </c>
      <c r="J366" s="353">
        <v>17</v>
      </c>
      <c r="K366" s="353">
        <v>0.41</v>
      </c>
      <c r="L366" s="353">
        <v>1.41</v>
      </c>
      <c r="M366" s="353">
        <v>12</v>
      </c>
      <c r="N366" s="353">
        <v>1.1000000000000001</v>
      </c>
      <c r="O366" s="353" t="s">
        <v>153</v>
      </c>
      <c r="P366" s="353">
        <v>2012</v>
      </c>
      <c r="Q366" t="s">
        <v>154</v>
      </c>
      <c r="R366" t="s">
        <v>1185</v>
      </c>
      <c r="S366" s="378" t="s">
        <v>226</v>
      </c>
      <c r="T366" s="378" t="s">
        <v>318</v>
      </c>
      <c r="U366" s="377" t="s">
        <v>162</v>
      </c>
    </row>
    <row r="367" spans="1:21" x14ac:dyDescent="0.2">
      <c r="A367" s="353">
        <v>367813</v>
      </c>
      <c r="B367" s="340" t="s">
        <v>428</v>
      </c>
      <c r="C367" s="353">
        <v>12</v>
      </c>
      <c r="D367" s="353">
        <v>4</v>
      </c>
      <c r="E367" s="353">
        <v>7</v>
      </c>
      <c r="F367" s="353">
        <v>4</v>
      </c>
      <c r="G367" s="353">
        <v>17</v>
      </c>
      <c r="H367" s="353">
        <v>38</v>
      </c>
      <c r="I367" s="353">
        <v>96</v>
      </c>
      <c r="J367" s="353">
        <v>14.4</v>
      </c>
      <c r="K367" s="353">
        <v>0.41</v>
      </c>
      <c r="L367" s="353">
        <v>1.41</v>
      </c>
      <c r="M367" s="353">
        <v>13.3</v>
      </c>
      <c r="N367" s="353">
        <v>0.9</v>
      </c>
      <c r="O367" s="353" t="s">
        <v>153</v>
      </c>
      <c r="P367" s="353">
        <v>2000</v>
      </c>
      <c r="Q367" t="s">
        <v>154</v>
      </c>
      <c r="R367" t="s">
        <v>1287</v>
      </c>
      <c r="S367" s="378" t="s">
        <v>226</v>
      </c>
      <c r="T367" s="378" t="s">
        <v>1024</v>
      </c>
      <c r="U367" s="377" t="s">
        <v>162</v>
      </c>
    </row>
    <row r="368" spans="1:21" x14ac:dyDescent="0.2">
      <c r="A368" s="353">
        <v>238832</v>
      </c>
      <c r="B368" s="340" t="s">
        <v>527</v>
      </c>
      <c r="C368" s="353">
        <v>10</v>
      </c>
      <c r="D368" s="353">
        <v>2</v>
      </c>
      <c r="E368" s="353">
        <v>5</v>
      </c>
      <c r="F368" s="353">
        <v>5</v>
      </c>
      <c r="G368" s="353">
        <v>15</v>
      </c>
      <c r="H368" s="353">
        <v>30</v>
      </c>
      <c r="I368" s="353">
        <v>64</v>
      </c>
      <c r="J368" s="353">
        <v>10.5</v>
      </c>
      <c r="K368" s="353">
        <v>0.41</v>
      </c>
      <c r="L368" s="353">
        <v>1.58</v>
      </c>
      <c r="M368" s="353">
        <v>13.3</v>
      </c>
      <c r="N368" s="353">
        <v>0.7</v>
      </c>
      <c r="O368" s="353" t="s">
        <v>203</v>
      </c>
      <c r="P368" s="353">
        <v>2010</v>
      </c>
      <c r="Q368" t="s">
        <v>68</v>
      </c>
      <c r="R368" t="s">
        <v>1922</v>
      </c>
      <c r="S368" s="378" t="s">
        <v>323</v>
      </c>
      <c r="T368" s="378" t="s">
        <v>215</v>
      </c>
      <c r="U368" s="377" t="s">
        <v>162</v>
      </c>
    </row>
    <row r="369" spans="1:21" x14ac:dyDescent="0.2">
      <c r="A369" s="353">
        <v>546960</v>
      </c>
      <c r="B369" s="340" t="s">
        <v>427</v>
      </c>
      <c r="C369" s="353">
        <v>7</v>
      </c>
      <c r="D369" s="353">
        <v>2</v>
      </c>
      <c r="E369" s="353">
        <v>4</v>
      </c>
      <c r="F369" s="353">
        <v>3</v>
      </c>
      <c r="G369" s="353">
        <v>9</v>
      </c>
      <c r="H369" s="353">
        <v>22</v>
      </c>
      <c r="I369" s="353">
        <v>48</v>
      </c>
      <c r="J369" s="353">
        <v>8.1</v>
      </c>
      <c r="K369" s="353">
        <v>0.41</v>
      </c>
      <c r="L369" s="353">
        <v>1.4</v>
      </c>
      <c r="M369" s="353">
        <v>7</v>
      </c>
      <c r="N369" s="353">
        <v>1</v>
      </c>
      <c r="O369" s="353" t="s">
        <v>153</v>
      </c>
      <c r="P369" s="353">
        <v>2000</v>
      </c>
      <c r="Q369" t="s">
        <v>154</v>
      </c>
      <c r="R369" t="s">
        <v>1551</v>
      </c>
      <c r="S369" s="378" t="s">
        <v>226</v>
      </c>
      <c r="T369" s="378" t="s">
        <v>1041</v>
      </c>
      <c r="U369" s="377" t="s">
        <v>162</v>
      </c>
    </row>
    <row r="370" spans="1:21" x14ac:dyDescent="0.2">
      <c r="A370" s="353">
        <v>252643</v>
      </c>
      <c r="B370" s="340" t="s">
        <v>965</v>
      </c>
      <c r="C370" s="353">
        <v>6</v>
      </c>
      <c r="D370" s="353">
        <v>3</v>
      </c>
      <c r="E370" s="353">
        <v>7</v>
      </c>
      <c r="F370" s="353">
        <v>3</v>
      </c>
      <c r="G370" s="353">
        <v>9</v>
      </c>
      <c r="H370" s="353"/>
      <c r="I370" s="353"/>
      <c r="J370" s="353"/>
      <c r="K370" s="353">
        <v>0.41</v>
      </c>
      <c r="L370" s="353">
        <v>0.9</v>
      </c>
      <c r="M370" s="353"/>
      <c r="N370" s="353"/>
      <c r="O370" s="353" t="s">
        <v>153</v>
      </c>
      <c r="P370" s="353">
        <v>2016</v>
      </c>
      <c r="Q370" t="s">
        <v>154</v>
      </c>
      <c r="R370" t="s">
        <v>1359</v>
      </c>
      <c r="S370" s="378" t="s">
        <v>975</v>
      </c>
      <c r="T370" s="378" t="s">
        <v>1022</v>
      </c>
    </row>
    <row r="371" spans="1:21" x14ac:dyDescent="0.2">
      <c r="A371" s="353">
        <v>171306</v>
      </c>
      <c r="B371" s="340" t="s">
        <v>775</v>
      </c>
      <c r="C371" s="353">
        <v>9</v>
      </c>
      <c r="D371" s="353">
        <v>0</v>
      </c>
      <c r="E371" s="353">
        <v>2</v>
      </c>
      <c r="F371" s="353">
        <v>3</v>
      </c>
      <c r="G371" s="353">
        <v>6</v>
      </c>
      <c r="H371" s="353"/>
      <c r="I371" s="353"/>
      <c r="J371" s="353"/>
      <c r="K371" s="353">
        <v>0.41</v>
      </c>
      <c r="L371" s="353">
        <v>1.02</v>
      </c>
      <c r="M371" s="353"/>
      <c r="N371" s="353"/>
      <c r="O371" s="353" t="s">
        <v>153</v>
      </c>
      <c r="P371" s="353">
        <v>2015</v>
      </c>
      <c r="Q371" t="s">
        <v>154</v>
      </c>
      <c r="R371" t="s">
        <v>1813</v>
      </c>
      <c r="S371" s="378" t="s">
        <v>155</v>
      </c>
      <c r="T371" s="378" t="s">
        <v>1049</v>
      </c>
    </row>
    <row r="372" spans="1:21" x14ac:dyDescent="0.2">
      <c r="A372" s="353">
        <v>439471</v>
      </c>
      <c r="B372" s="340" t="s">
        <v>439</v>
      </c>
      <c r="C372" s="353">
        <v>23</v>
      </c>
      <c r="D372" s="353">
        <v>8</v>
      </c>
      <c r="E372" s="353">
        <v>12</v>
      </c>
      <c r="F372" s="353">
        <v>10</v>
      </c>
      <c r="G372" s="353">
        <v>26</v>
      </c>
      <c r="H372" s="353">
        <v>105</v>
      </c>
      <c r="I372" s="353">
        <v>241</v>
      </c>
      <c r="J372" s="353">
        <v>27.8</v>
      </c>
      <c r="K372" s="353">
        <v>0.42</v>
      </c>
      <c r="L372" s="353">
        <v>1.43</v>
      </c>
      <c r="M372" s="353">
        <v>18</v>
      </c>
      <c r="N372" s="353">
        <v>1.4</v>
      </c>
      <c r="O372" s="353" t="s">
        <v>153</v>
      </c>
      <c r="P372" s="353">
        <v>2000</v>
      </c>
      <c r="Q372" t="s">
        <v>154</v>
      </c>
      <c r="R372" t="s">
        <v>1188</v>
      </c>
      <c r="S372" s="378" t="s">
        <v>226</v>
      </c>
      <c r="T372" s="378" t="s">
        <v>253</v>
      </c>
      <c r="U372" s="377" t="s">
        <v>162</v>
      </c>
    </row>
    <row r="373" spans="1:21" x14ac:dyDescent="0.2">
      <c r="A373" s="353">
        <v>352468</v>
      </c>
      <c r="B373" s="340" t="s">
        <v>396</v>
      </c>
      <c r="C373" s="353">
        <v>12</v>
      </c>
      <c r="D373" s="353">
        <v>7</v>
      </c>
      <c r="E373" s="353">
        <v>10</v>
      </c>
      <c r="F373" s="353">
        <v>6</v>
      </c>
      <c r="G373" s="353">
        <v>18</v>
      </c>
      <c r="H373" s="353">
        <v>40</v>
      </c>
      <c r="I373" s="353">
        <v>117</v>
      </c>
      <c r="J373" s="353">
        <v>16.7</v>
      </c>
      <c r="K373" s="353">
        <v>0.42</v>
      </c>
      <c r="L373" s="353">
        <v>2.48</v>
      </c>
      <c r="M373" s="353">
        <v>12.9</v>
      </c>
      <c r="N373" s="353">
        <v>1</v>
      </c>
      <c r="O373" s="353" t="s">
        <v>293</v>
      </c>
      <c r="P373" s="353">
        <v>2008</v>
      </c>
      <c r="Q373" t="s">
        <v>68</v>
      </c>
      <c r="R373" t="s">
        <v>1852</v>
      </c>
      <c r="S373" s="378" t="s">
        <v>774</v>
      </c>
      <c r="T373" s="378" t="s">
        <v>181</v>
      </c>
      <c r="U373" s="377" t="s">
        <v>162</v>
      </c>
    </row>
    <row r="374" spans="1:21" x14ac:dyDescent="0.2">
      <c r="A374" s="353">
        <v>476895</v>
      </c>
      <c r="B374" s="340" t="s">
        <v>398</v>
      </c>
      <c r="C374" s="353">
        <v>10</v>
      </c>
      <c r="D374" s="353">
        <v>1</v>
      </c>
      <c r="E374" s="353">
        <v>2</v>
      </c>
      <c r="F374" s="353">
        <v>0</v>
      </c>
      <c r="G374" s="353">
        <v>13</v>
      </c>
      <c r="H374" s="353">
        <v>44</v>
      </c>
      <c r="I374" s="353">
        <v>105</v>
      </c>
      <c r="J374" s="353">
        <v>15.5</v>
      </c>
      <c r="K374" s="353">
        <v>0.42</v>
      </c>
      <c r="L374" s="353">
        <v>0.92</v>
      </c>
      <c r="M374" s="353">
        <v>15.2</v>
      </c>
      <c r="N374" s="353">
        <v>0.9</v>
      </c>
      <c r="O374" s="353" t="s">
        <v>153</v>
      </c>
      <c r="P374" s="353">
        <v>2010</v>
      </c>
      <c r="Q374" t="s">
        <v>154</v>
      </c>
      <c r="R374" t="s">
        <v>1283</v>
      </c>
      <c r="S374" s="378" t="s">
        <v>399</v>
      </c>
      <c r="T374" s="378" t="s">
        <v>219</v>
      </c>
    </row>
    <row r="375" spans="1:21" x14ac:dyDescent="0.2">
      <c r="A375" s="353">
        <v>690289</v>
      </c>
      <c r="B375" s="340" t="s">
        <v>430</v>
      </c>
      <c r="C375" s="353">
        <v>12</v>
      </c>
      <c r="D375" s="353">
        <v>3</v>
      </c>
      <c r="E375" s="353">
        <v>7</v>
      </c>
      <c r="F375" s="353">
        <v>2</v>
      </c>
      <c r="G375" s="353">
        <v>17</v>
      </c>
      <c r="H375" s="353">
        <v>38</v>
      </c>
      <c r="I375" s="353">
        <v>95</v>
      </c>
      <c r="J375" s="353">
        <v>14.3</v>
      </c>
      <c r="K375" s="353">
        <v>0.42</v>
      </c>
      <c r="L375" s="353">
        <v>1.46</v>
      </c>
      <c r="M375" s="353">
        <v>12.7</v>
      </c>
      <c r="N375" s="353">
        <v>0.9</v>
      </c>
      <c r="O375" s="353" t="s">
        <v>153</v>
      </c>
      <c r="P375" s="353">
        <v>2000</v>
      </c>
      <c r="Q375" t="s">
        <v>154</v>
      </c>
      <c r="R375" t="s">
        <v>1303</v>
      </c>
      <c r="S375" s="378" t="s">
        <v>226</v>
      </c>
      <c r="T375" s="378" t="s">
        <v>219</v>
      </c>
      <c r="U375" s="377" t="s">
        <v>162</v>
      </c>
    </row>
    <row r="376" spans="1:21" x14ac:dyDescent="0.2">
      <c r="A376" s="353">
        <v>475301</v>
      </c>
      <c r="B376" s="340" t="s">
        <v>438</v>
      </c>
      <c r="C376" s="353">
        <v>13</v>
      </c>
      <c r="D376" s="353">
        <v>5</v>
      </c>
      <c r="E376" s="353">
        <v>8</v>
      </c>
      <c r="F376" s="353">
        <v>5</v>
      </c>
      <c r="G376" s="353">
        <v>16</v>
      </c>
      <c r="H376" s="353">
        <v>36</v>
      </c>
      <c r="I376" s="353">
        <v>87</v>
      </c>
      <c r="J376" s="353">
        <v>13.3</v>
      </c>
      <c r="K376" s="353">
        <v>0.42</v>
      </c>
      <c r="L376" s="353">
        <v>1.43</v>
      </c>
      <c r="M376" s="353">
        <v>13.3</v>
      </c>
      <c r="N376" s="353">
        <v>0.9</v>
      </c>
      <c r="O376" s="353" t="s">
        <v>153</v>
      </c>
      <c r="P376" s="353">
        <v>2000</v>
      </c>
      <c r="Q376" t="s">
        <v>154</v>
      </c>
      <c r="R376" t="s">
        <v>1189</v>
      </c>
      <c r="S376" s="378" t="s">
        <v>226</v>
      </c>
      <c r="T376" s="378" t="s">
        <v>181</v>
      </c>
      <c r="U376" s="377" t="s">
        <v>162</v>
      </c>
    </row>
    <row r="377" spans="1:21" x14ac:dyDescent="0.2">
      <c r="A377" s="353">
        <v>906792</v>
      </c>
      <c r="B377" s="340" t="s">
        <v>641</v>
      </c>
      <c r="C377" s="353">
        <v>-2</v>
      </c>
      <c r="D377" s="353">
        <v>4</v>
      </c>
      <c r="E377" s="353">
        <v>5</v>
      </c>
      <c r="F377" s="353">
        <v>-3</v>
      </c>
      <c r="G377" s="353">
        <v>-1</v>
      </c>
      <c r="H377" s="353">
        <v>29</v>
      </c>
      <c r="I377" s="353">
        <v>60</v>
      </c>
      <c r="J377" s="353">
        <v>9.9</v>
      </c>
      <c r="K377" s="353">
        <v>0.42</v>
      </c>
      <c r="L377" s="353">
        <v>1.82</v>
      </c>
      <c r="M377" s="353">
        <v>9.6999999999999993</v>
      </c>
      <c r="N377" s="353">
        <v>1</v>
      </c>
      <c r="O377" s="353" t="s">
        <v>203</v>
      </c>
      <c r="P377" s="353">
        <v>2012</v>
      </c>
      <c r="Q377" t="s">
        <v>68</v>
      </c>
      <c r="R377" t="s">
        <v>1452</v>
      </c>
      <c r="S377" s="378" t="s">
        <v>538</v>
      </c>
      <c r="T377" s="378" t="s">
        <v>1038</v>
      </c>
    </row>
    <row r="378" spans="1:21" x14ac:dyDescent="0.2">
      <c r="A378" s="353">
        <v>945162</v>
      </c>
      <c r="B378" s="340" t="s">
        <v>727</v>
      </c>
      <c r="C378" s="353">
        <v>2</v>
      </c>
      <c r="D378" s="353">
        <v>4</v>
      </c>
      <c r="E378" s="353">
        <v>5</v>
      </c>
      <c r="F378" s="353">
        <v>-1</v>
      </c>
      <c r="G378" s="353">
        <v>2</v>
      </c>
      <c r="H378" s="353">
        <v>21</v>
      </c>
      <c r="I378" s="353">
        <v>55</v>
      </c>
      <c r="J378" s="353">
        <v>9.1</v>
      </c>
      <c r="K378" s="353">
        <v>0.42</v>
      </c>
      <c r="L378" s="353">
        <v>1.24</v>
      </c>
      <c r="M378" s="353">
        <v>8.6999999999999993</v>
      </c>
      <c r="N378" s="353">
        <v>0.8</v>
      </c>
      <c r="O378" s="353" t="s">
        <v>203</v>
      </c>
      <c r="P378" s="353">
        <v>2008</v>
      </c>
      <c r="Q378" t="s">
        <v>68</v>
      </c>
      <c r="R378" t="s">
        <v>1457</v>
      </c>
      <c r="S378" s="378" t="s">
        <v>464</v>
      </c>
      <c r="T378" s="378" t="s">
        <v>1038</v>
      </c>
    </row>
    <row r="379" spans="1:21" x14ac:dyDescent="0.2">
      <c r="A379" s="353">
        <v>830885</v>
      </c>
      <c r="B379" s="340" t="s">
        <v>537</v>
      </c>
      <c r="C379" s="353">
        <v>9</v>
      </c>
      <c r="D379" s="353">
        <v>3</v>
      </c>
      <c r="E379" s="353">
        <v>4</v>
      </c>
      <c r="F379" s="353">
        <v>5</v>
      </c>
      <c r="G379" s="353">
        <v>6</v>
      </c>
      <c r="H379" s="353">
        <v>21</v>
      </c>
      <c r="I379" s="353">
        <v>51</v>
      </c>
      <c r="J379" s="353">
        <v>8.6999999999999993</v>
      </c>
      <c r="K379" s="353">
        <v>0.42</v>
      </c>
      <c r="L379" s="353">
        <v>1.64</v>
      </c>
      <c r="M379" s="353">
        <v>5.9</v>
      </c>
      <c r="N379" s="353">
        <v>1.1000000000000001</v>
      </c>
      <c r="O379" s="353" t="s">
        <v>203</v>
      </c>
      <c r="P379" s="353">
        <v>2012</v>
      </c>
      <c r="Q379" t="s">
        <v>68</v>
      </c>
      <c r="R379" t="s">
        <v>1451</v>
      </c>
      <c r="S379" s="378" t="s">
        <v>538</v>
      </c>
      <c r="T379" s="378" t="s">
        <v>1043</v>
      </c>
    </row>
    <row r="380" spans="1:21" x14ac:dyDescent="0.2">
      <c r="A380" s="353">
        <v>930768</v>
      </c>
      <c r="B380" s="340" t="s">
        <v>459</v>
      </c>
      <c r="C380" s="353">
        <v>7</v>
      </c>
      <c r="D380" s="353">
        <v>3</v>
      </c>
      <c r="E380" s="353">
        <v>3</v>
      </c>
      <c r="F380" s="353">
        <v>4</v>
      </c>
      <c r="G380" s="353">
        <v>5</v>
      </c>
      <c r="H380" s="353">
        <v>20</v>
      </c>
      <c r="I380" s="353">
        <v>49</v>
      </c>
      <c r="J380" s="353">
        <v>8.4</v>
      </c>
      <c r="K380" s="353">
        <v>0.42</v>
      </c>
      <c r="L380" s="353">
        <v>2.15</v>
      </c>
      <c r="M380" s="353">
        <v>6.4</v>
      </c>
      <c r="N380" s="353">
        <v>1</v>
      </c>
      <c r="O380" s="353" t="s">
        <v>203</v>
      </c>
      <c r="P380" s="353">
        <v>2000</v>
      </c>
      <c r="Q380" t="s">
        <v>68</v>
      </c>
      <c r="R380" t="s">
        <v>1466</v>
      </c>
      <c r="S380" s="378" t="s">
        <v>453</v>
      </c>
      <c r="T380" s="378" t="s">
        <v>1043</v>
      </c>
    </row>
    <row r="381" spans="1:21" x14ac:dyDescent="0.2">
      <c r="A381" s="353">
        <v>717900</v>
      </c>
      <c r="B381" s="340" t="s">
        <v>484</v>
      </c>
      <c r="C381" s="353">
        <v>7</v>
      </c>
      <c r="D381" s="353">
        <v>3</v>
      </c>
      <c r="E381" s="353">
        <v>3</v>
      </c>
      <c r="F381" s="353">
        <v>4</v>
      </c>
      <c r="G381" s="353">
        <v>4</v>
      </c>
      <c r="H381" s="353">
        <v>20</v>
      </c>
      <c r="I381" s="353">
        <v>48</v>
      </c>
      <c r="J381" s="353">
        <v>8.1</v>
      </c>
      <c r="K381" s="353">
        <v>0.42</v>
      </c>
      <c r="L381" s="353">
        <v>1.4</v>
      </c>
      <c r="M381" s="353">
        <v>6.4</v>
      </c>
      <c r="N381" s="353">
        <v>1</v>
      </c>
      <c r="O381" s="353" t="s">
        <v>203</v>
      </c>
      <c r="P381" s="353">
        <v>2013</v>
      </c>
      <c r="Q381" t="s">
        <v>68</v>
      </c>
      <c r="R381" t="s">
        <v>1672</v>
      </c>
      <c r="S381" s="378" t="s">
        <v>742</v>
      </c>
      <c r="T381" s="378" t="s">
        <v>1033</v>
      </c>
    </row>
    <row r="382" spans="1:21" x14ac:dyDescent="0.2">
      <c r="A382" s="353">
        <v>467092</v>
      </c>
      <c r="B382" s="340" t="s">
        <v>491</v>
      </c>
      <c r="C382" s="353">
        <v>-3</v>
      </c>
      <c r="D382" s="353">
        <v>3</v>
      </c>
      <c r="E382" s="353">
        <v>3</v>
      </c>
      <c r="F382" s="353">
        <v>-3</v>
      </c>
      <c r="G382" s="353">
        <v>-1</v>
      </c>
      <c r="H382" s="353">
        <v>21</v>
      </c>
      <c r="I382" s="353">
        <v>47</v>
      </c>
      <c r="J382" s="353">
        <v>8</v>
      </c>
      <c r="K382" s="353">
        <v>0.42</v>
      </c>
      <c r="L382" s="353">
        <v>1.42</v>
      </c>
      <c r="M382" s="353">
        <v>10.9</v>
      </c>
      <c r="N382" s="353">
        <v>0.7</v>
      </c>
      <c r="O382" s="353" t="s">
        <v>344</v>
      </c>
      <c r="P382" s="353">
        <v>2013</v>
      </c>
      <c r="Q382" t="s">
        <v>68</v>
      </c>
      <c r="R382" t="s">
        <v>1428</v>
      </c>
      <c r="S382" s="378" t="s">
        <v>742</v>
      </c>
      <c r="T382" s="378" t="s">
        <v>1033</v>
      </c>
    </row>
    <row r="383" spans="1:21" x14ac:dyDescent="0.2">
      <c r="A383" s="353">
        <v>909333</v>
      </c>
      <c r="B383" s="340" t="s">
        <v>729</v>
      </c>
      <c r="C383" s="353">
        <v>0</v>
      </c>
      <c r="D383" s="353">
        <v>3</v>
      </c>
      <c r="E383" s="353">
        <v>5</v>
      </c>
      <c r="F383" s="353">
        <v>-2</v>
      </c>
      <c r="G383" s="353">
        <v>-2</v>
      </c>
      <c r="H383" s="353">
        <v>30</v>
      </c>
      <c r="I383" s="353">
        <v>47</v>
      </c>
      <c r="J383" s="353">
        <v>8</v>
      </c>
      <c r="K383" s="353">
        <v>0.42</v>
      </c>
      <c r="L383" s="353">
        <v>1.56</v>
      </c>
      <c r="M383" s="353">
        <v>10.199999999999999</v>
      </c>
      <c r="N383" s="353">
        <v>0.9</v>
      </c>
      <c r="O383" s="353" t="s">
        <v>344</v>
      </c>
      <c r="P383" s="353">
        <v>2008</v>
      </c>
      <c r="Q383" t="s">
        <v>68</v>
      </c>
      <c r="R383" t="s">
        <v>1937</v>
      </c>
      <c r="S383" s="378" t="s">
        <v>464</v>
      </c>
      <c r="T383" s="378" t="s">
        <v>1034</v>
      </c>
    </row>
    <row r="384" spans="1:21" x14ac:dyDescent="0.2">
      <c r="A384" s="353">
        <v>335463</v>
      </c>
      <c r="B384" s="340" t="s">
        <v>1076</v>
      </c>
      <c r="C384" s="353">
        <v>5</v>
      </c>
      <c r="D384" s="353">
        <v>3</v>
      </c>
      <c r="E384" s="353">
        <v>3</v>
      </c>
      <c r="F384" s="353">
        <v>3</v>
      </c>
      <c r="G384" s="353">
        <v>0</v>
      </c>
      <c r="H384" s="353">
        <v>13</v>
      </c>
      <c r="I384" s="353">
        <v>45</v>
      </c>
      <c r="J384" s="353">
        <v>7.6</v>
      </c>
      <c r="K384" s="353">
        <v>0.42</v>
      </c>
      <c r="L384" s="353">
        <v>1.01</v>
      </c>
      <c r="M384" s="353">
        <v>6</v>
      </c>
      <c r="N384" s="353">
        <v>0.7</v>
      </c>
      <c r="O384" s="353" t="s">
        <v>203</v>
      </c>
      <c r="P384" s="353">
        <v>2007</v>
      </c>
      <c r="Q384" t="s">
        <v>68</v>
      </c>
      <c r="R384" t="s">
        <v>1822</v>
      </c>
      <c r="S384" s="378" t="s">
        <v>379</v>
      </c>
      <c r="T384" s="378" t="s">
        <v>1033</v>
      </c>
      <c r="U384" s="377" t="s">
        <v>162</v>
      </c>
    </row>
    <row r="385" spans="1:21" x14ac:dyDescent="0.2">
      <c r="A385" s="353">
        <v>456764</v>
      </c>
      <c r="B385" s="340" t="s">
        <v>752</v>
      </c>
      <c r="C385" s="353">
        <v>7</v>
      </c>
      <c r="D385" s="353">
        <v>3</v>
      </c>
      <c r="E385" s="353">
        <v>4</v>
      </c>
      <c r="F385" s="353">
        <v>4</v>
      </c>
      <c r="G385" s="353">
        <v>4</v>
      </c>
      <c r="H385" s="353">
        <v>18</v>
      </c>
      <c r="I385" s="353">
        <v>42</v>
      </c>
      <c r="J385" s="353">
        <v>7.3</v>
      </c>
      <c r="K385" s="353">
        <v>0.42</v>
      </c>
      <c r="L385" s="353">
        <v>1.26</v>
      </c>
      <c r="M385" s="353">
        <v>6.5</v>
      </c>
      <c r="N385" s="353">
        <v>0.9</v>
      </c>
      <c r="O385" s="353" t="s">
        <v>203</v>
      </c>
      <c r="P385" s="353">
        <v>2013</v>
      </c>
      <c r="Q385" t="s">
        <v>68</v>
      </c>
      <c r="R385" t="s">
        <v>1701</v>
      </c>
      <c r="S385" s="378" t="s">
        <v>744</v>
      </c>
      <c r="T385" s="378" t="s">
        <v>1033</v>
      </c>
    </row>
    <row r="386" spans="1:21" x14ac:dyDescent="0.2">
      <c r="A386" s="353">
        <v>989962</v>
      </c>
      <c r="B386" s="340" t="s">
        <v>1138</v>
      </c>
      <c r="C386" s="353">
        <v>6</v>
      </c>
      <c r="D386" s="353">
        <v>2</v>
      </c>
      <c r="E386" s="353">
        <v>3</v>
      </c>
      <c r="F386" s="353">
        <v>3</v>
      </c>
      <c r="G386" s="353">
        <v>2</v>
      </c>
      <c r="H386" s="353">
        <v>21</v>
      </c>
      <c r="I386" s="353">
        <v>41</v>
      </c>
      <c r="J386" s="353">
        <v>7</v>
      </c>
      <c r="K386" s="353">
        <v>0.42</v>
      </c>
      <c r="L386" s="353">
        <v>1.18</v>
      </c>
      <c r="M386" s="353">
        <v>4.8</v>
      </c>
      <c r="N386" s="353">
        <v>1.4</v>
      </c>
      <c r="O386" s="353" t="s">
        <v>203</v>
      </c>
      <c r="P386" s="353">
        <v>2013</v>
      </c>
      <c r="Q386" t="s">
        <v>68</v>
      </c>
      <c r="R386" t="s">
        <v>1581</v>
      </c>
      <c r="S386" s="378" t="s">
        <v>875</v>
      </c>
      <c r="T386" s="378" t="s">
        <v>1034</v>
      </c>
    </row>
    <row r="387" spans="1:21" x14ac:dyDescent="0.2">
      <c r="A387" s="354">
        <v>492595</v>
      </c>
      <c r="B387" s="297" t="s">
        <v>925</v>
      </c>
      <c r="C387" s="354">
        <v>8</v>
      </c>
      <c r="D387" s="354">
        <v>2</v>
      </c>
      <c r="E387" s="354">
        <v>4</v>
      </c>
      <c r="F387" s="354">
        <v>4</v>
      </c>
      <c r="G387" s="354">
        <v>4</v>
      </c>
      <c r="H387" s="354">
        <v>19</v>
      </c>
      <c r="I387" s="354">
        <v>38</v>
      </c>
      <c r="J387" s="354">
        <v>6.7</v>
      </c>
      <c r="K387" s="354">
        <v>0.42</v>
      </c>
      <c r="L387" s="354">
        <v>1.03</v>
      </c>
      <c r="M387" s="274">
        <v>6.4</v>
      </c>
      <c r="N387" s="354">
        <v>1</v>
      </c>
      <c r="O387" s="354" t="s">
        <v>203</v>
      </c>
      <c r="P387" s="354">
        <v>2013</v>
      </c>
      <c r="Q387" s="273" t="s">
        <v>68</v>
      </c>
      <c r="R387" s="273" t="s">
        <v>1700</v>
      </c>
      <c r="S387" s="379" t="s">
        <v>744</v>
      </c>
      <c r="T387" s="379" t="s">
        <v>1034</v>
      </c>
    </row>
    <row r="388" spans="1:21" x14ac:dyDescent="0.2">
      <c r="A388" s="353">
        <v>323832</v>
      </c>
      <c r="B388" s="340" t="s">
        <v>924</v>
      </c>
      <c r="C388" s="353">
        <v>10</v>
      </c>
      <c r="D388" s="353">
        <v>2</v>
      </c>
      <c r="E388" s="353">
        <v>4</v>
      </c>
      <c r="F388" s="353">
        <v>4</v>
      </c>
      <c r="G388" s="353">
        <v>3</v>
      </c>
      <c r="H388" s="353">
        <v>19</v>
      </c>
      <c r="I388" s="353">
        <v>35</v>
      </c>
      <c r="J388" s="353">
        <v>6.2</v>
      </c>
      <c r="K388" s="353">
        <v>0.42</v>
      </c>
      <c r="L388" s="353">
        <v>1.55</v>
      </c>
      <c r="M388" s="353">
        <v>7.5</v>
      </c>
      <c r="N388" s="353">
        <v>0.8</v>
      </c>
      <c r="O388" s="353" t="s">
        <v>203</v>
      </c>
      <c r="P388" s="353">
        <v>2011</v>
      </c>
      <c r="Q388" t="s">
        <v>68</v>
      </c>
      <c r="R388" t="s">
        <v>1534</v>
      </c>
      <c r="S388" s="378" t="s">
        <v>773</v>
      </c>
      <c r="T388" s="378" t="s">
        <v>1034</v>
      </c>
    </row>
    <row r="389" spans="1:21" x14ac:dyDescent="0.2">
      <c r="A389" s="353">
        <v>103010</v>
      </c>
      <c r="B389" s="340" t="s">
        <v>456</v>
      </c>
      <c r="C389" s="353">
        <v>0</v>
      </c>
      <c r="D389" s="353">
        <v>4</v>
      </c>
      <c r="E389" s="353">
        <v>5</v>
      </c>
      <c r="F389" s="353">
        <v>-2</v>
      </c>
      <c r="G389" s="353">
        <v>-2</v>
      </c>
      <c r="H389" s="353">
        <v>23</v>
      </c>
      <c r="I389" s="353">
        <v>34</v>
      </c>
      <c r="J389" s="353">
        <v>6</v>
      </c>
      <c r="K389" s="353">
        <v>0.42</v>
      </c>
      <c r="L389" s="353">
        <v>2.7</v>
      </c>
      <c r="M389" s="353">
        <v>10.5</v>
      </c>
      <c r="N389" s="353">
        <v>0.7</v>
      </c>
      <c r="O389" s="353" t="s">
        <v>344</v>
      </c>
      <c r="P389" s="353">
        <v>2001</v>
      </c>
      <c r="Q389" t="s">
        <v>68</v>
      </c>
      <c r="R389" t="s">
        <v>1387</v>
      </c>
      <c r="S389" s="378" t="s">
        <v>453</v>
      </c>
      <c r="T389" s="378" t="s">
        <v>1034</v>
      </c>
    </row>
    <row r="390" spans="1:21" x14ac:dyDescent="0.2">
      <c r="A390" s="353">
        <v>838268</v>
      </c>
      <c r="B390" s="340" t="s">
        <v>452</v>
      </c>
      <c r="C390" s="353">
        <v>5</v>
      </c>
      <c r="D390" s="353">
        <v>3</v>
      </c>
      <c r="E390" s="353">
        <v>3</v>
      </c>
      <c r="F390" s="353">
        <v>3</v>
      </c>
      <c r="G390" s="353">
        <v>2</v>
      </c>
      <c r="H390" s="353">
        <v>12</v>
      </c>
      <c r="I390" s="353">
        <v>34</v>
      </c>
      <c r="J390" s="353">
        <v>6</v>
      </c>
      <c r="K390" s="353">
        <v>0.42</v>
      </c>
      <c r="L390" s="353">
        <v>2.1</v>
      </c>
      <c r="M390" s="353">
        <v>5.9</v>
      </c>
      <c r="N390" s="353">
        <v>0.7</v>
      </c>
      <c r="O390" s="353" t="s">
        <v>203</v>
      </c>
      <c r="P390" s="353">
        <v>2009</v>
      </c>
      <c r="Q390" t="s">
        <v>68</v>
      </c>
      <c r="R390" t="s">
        <v>1465</v>
      </c>
      <c r="S390" s="378" t="s">
        <v>453</v>
      </c>
      <c r="T390" s="378" t="s">
        <v>1043</v>
      </c>
    </row>
    <row r="391" spans="1:21" x14ac:dyDescent="0.2">
      <c r="A391" s="353">
        <v>966598</v>
      </c>
      <c r="B391" s="340" t="s">
        <v>458</v>
      </c>
      <c r="C391" s="353">
        <v>4</v>
      </c>
      <c r="D391" s="353">
        <v>3</v>
      </c>
      <c r="E391" s="353">
        <v>3</v>
      </c>
      <c r="F391" s="353">
        <v>3</v>
      </c>
      <c r="G391" s="353">
        <v>0</v>
      </c>
      <c r="H391" s="353">
        <v>11</v>
      </c>
      <c r="I391" s="353">
        <v>33</v>
      </c>
      <c r="J391" s="353">
        <v>5.9</v>
      </c>
      <c r="K391" s="353">
        <v>0.42</v>
      </c>
      <c r="L391" s="353">
        <v>2.1</v>
      </c>
      <c r="M391" s="353">
        <v>6.3</v>
      </c>
      <c r="N391" s="353">
        <v>0.6</v>
      </c>
      <c r="O391" s="353" t="s">
        <v>203</v>
      </c>
      <c r="P391" s="353">
        <v>2000</v>
      </c>
      <c r="Q391" t="s">
        <v>68</v>
      </c>
      <c r="R391" t="s">
        <v>1531</v>
      </c>
      <c r="S391" s="378" t="s">
        <v>453</v>
      </c>
      <c r="T391" s="378" t="s">
        <v>1043</v>
      </c>
    </row>
    <row r="392" spans="1:21" x14ac:dyDescent="0.2">
      <c r="A392" s="353">
        <v>543892</v>
      </c>
      <c r="B392" s="340" t="s">
        <v>503</v>
      </c>
      <c r="C392" s="353">
        <v>4</v>
      </c>
      <c r="D392" s="353">
        <v>3</v>
      </c>
      <c r="E392" s="353">
        <v>3</v>
      </c>
      <c r="F392" s="353">
        <v>3</v>
      </c>
      <c r="G392" s="353">
        <v>0</v>
      </c>
      <c r="H392" s="353">
        <v>11</v>
      </c>
      <c r="I392" s="353">
        <v>32</v>
      </c>
      <c r="J392" s="353">
        <v>5.7</v>
      </c>
      <c r="K392" s="353">
        <v>0.42</v>
      </c>
      <c r="L392" s="353">
        <v>1.44</v>
      </c>
      <c r="M392" s="353">
        <v>5.5</v>
      </c>
      <c r="N392" s="353">
        <v>0.7</v>
      </c>
      <c r="O392" s="353" t="s">
        <v>203</v>
      </c>
      <c r="P392" s="353">
        <v>2002</v>
      </c>
      <c r="Q392" t="s">
        <v>68</v>
      </c>
      <c r="R392" t="s">
        <v>1659</v>
      </c>
      <c r="S392" s="378" t="s">
        <v>504</v>
      </c>
      <c r="T392" s="378" t="s">
        <v>1043</v>
      </c>
    </row>
    <row r="393" spans="1:21" x14ac:dyDescent="0.2">
      <c r="A393" s="353">
        <v>806505</v>
      </c>
      <c r="B393" s="340" t="s">
        <v>919</v>
      </c>
      <c r="C393" s="353">
        <v>9</v>
      </c>
      <c r="D393" s="353">
        <v>2</v>
      </c>
      <c r="E393" s="353">
        <v>4</v>
      </c>
      <c r="F393" s="353">
        <v>4</v>
      </c>
      <c r="G393" s="353">
        <v>2</v>
      </c>
      <c r="H393" s="353">
        <v>16</v>
      </c>
      <c r="I393" s="353">
        <v>29</v>
      </c>
      <c r="J393" s="353">
        <v>5.2</v>
      </c>
      <c r="K393" s="353">
        <v>0.42</v>
      </c>
      <c r="L393" s="353">
        <v>1.45</v>
      </c>
      <c r="M393" s="353">
        <v>6.6</v>
      </c>
      <c r="N393" s="353">
        <v>0.8</v>
      </c>
      <c r="O393" s="353" t="s">
        <v>203</v>
      </c>
      <c r="P393" s="353">
        <v>2016</v>
      </c>
      <c r="Q393" t="s">
        <v>68</v>
      </c>
      <c r="R393" t="s">
        <v>1917</v>
      </c>
      <c r="S393" s="378" t="s">
        <v>547</v>
      </c>
      <c r="T393" s="378" t="s">
        <v>1034</v>
      </c>
    </row>
    <row r="394" spans="1:21" x14ac:dyDescent="0.2">
      <c r="A394" s="353">
        <v>420935</v>
      </c>
      <c r="B394" s="340" t="s">
        <v>943</v>
      </c>
      <c r="C394" s="353">
        <v>9</v>
      </c>
      <c r="D394" s="353">
        <v>2</v>
      </c>
      <c r="E394" s="353">
        <v>3</v>
      </c>
      <c r="F394" s="353">
        <v>4</v>
      </c>
      <c r="G394" s="353">
        <v>2</v>
      </c>
      <c r="H394" s="353">
        <v>15</v>
      </c>
      <c r="I394" s="353">
        <v>27</v>
      </c>
      <c r="J394" s="353">
        <v>4.9000000000000004</v>
      </c>
      <c r="K394" s="353">
        <v>0.42</v>
      </c>
      <c r="L394" s="353">
        <v>1.0900000000000001</v>
      </c>
      <c r="M394" s="353">
        <v>6.6</v>
      </c>
      <c r="N394" s="353">
        <v>0.8</v>
      </c>
      <c r="O394" s="353" t="s">
        <v>203</v>
      </c>
      <c r="P394" s="353">
        <v>2013</v>
      </c>
      <c r="Q394" t="s">
        <v>68</v>
      </c>
      <c r="R394" t="s">
        <v>1699</v>
      </c>
      <c r="S394" s="378" t="s">
        <v>744</v>
      </c>
      <c r="T394" s="378" t="s">
        <v>1034</v>
      </c>
    </row>
    <row r="395" spans="1:21" x14ac:dyDescent="0.2">
      <c r="A395" s="353">
        <v>907329</v>
      </c>
      <c r="B395" s="340" t="s">
        <v>1085</v>
      </c>
      <c r="C395" s="353">
        <v>8</v>
      </c>
      <c r="D395" s="353">
        <v>2</v>
      </c>
      <c r="E395" s="353">
        <v>2</v>
      </c>
      <c r="F395" s="353">
        <v>3</v>
      </c>
      <c r="G395" s="353">
        <v>5</v>
      </c>
      <c r="H395" s="353">
        <v>6</v>
      </c>
      <c r="I395" s="353">
        <v>26</v>
      </c>
      <c r="J395" s="353">
        <v>4.8</v>
      </c>
      <c r="K395" s="353">
        <v>0.42</v>
      </c>
      <c r="L395" s="353">
        <v>1.54</v>
      </c>
      <c r="M395" s="353">
        <v>8</v>
      </c>
      <c r="N395" s="353">
        <v>0.3</v>
      </c>
      <c r="O395" s="353" t="s">
        <v>203</v>
      </c>
      <c r="P395" s="353">
        <v>2015</v>
      </c>
      <c r="Q395" t="s">
        <v>68</v>
      </c>
      <c r="R395" t="s">
        <v>1872</v>
      </c>
      <c r="S395" s="378" t="s">
        <v>379</v>
      </c>
      <c r="T395" s="378" t="s">
        <v>1038</v>
      </c>
      <c r="U395" s="377" t="s">
        <v>162</v>
      </c>
    </row>
    <row r="396" spans="1:21" x14ac:dyDescent="0.2">
      <c r="A396" s="353">
        <v>573874</v>
      </c>
      <c r="B396" s="340" t="s">
        <v>1110</v>
      </c>
      <c r="C396" s="353">
        <v>2</v>
      </c>
      <c r="D396" s="353">
        <v>0</v>
      </c>
      <c r="E396" s="353">
        <v>2</v>
      </c>
      <c r="F396" s="353">
        <v>-4</v>
      </c>
      <c r="G396" s="353">
        <v>0</v>
      </c>
      <c r="H396" s="353">
        <v>14</v>
      </c>
      <c r="I396" s="353">
        <v>22</v>
      </c>
      <c r="J396" s="353">
        <v>4.0999999999999996</v>
      </c>
      <c r="K396" s="353">
        <v>0.42</v>
      </c>
      <c r="L396" s="353">
        <v>1.2</v>
      </c>
      <c r="M396" s="353">
        <v>10.1</v>
      </c>
      <c r="N396" s="353">
        <v>0.5</v>
      </c>
      <c r="O396" s="353" t="s">
        <v>203</v>
      </c>
      <c r="P396" s="353">
        <v>2017</v>
      </c>
      <c r="Q396" t="s">
        <v>68</v>
      </c>
      <c r="R396" t="s">
        <v>1652</v>
      </c>
      <c r="S396" s="378" t="s">
        <v>604</v>
      </c>
      <c r="T396" s="378" t="s">
        <v>1034</v>
      </c>
    </row>
    <row r="397" spans="1:21" x14ac:dyDescent="0.2">
      <c r="A397" s="353">
        <v>449090</v>
      </c>
      <c r="B397" s="340" t="s">
        <v>423</v>
      </c>
      <c r="C397" s="353">
        <v>9</v>
      </c>
      <c r="D397" s="353">
        <v>2</v>
      </c>
      <c r="E397" s="353">
        <v>8</v>
      </c>
      <c r="F397" s="353">
        <v>3</v>
      </c>
      <c r="G397" s="353">
        <v>17</v>
      </c>
      <c r="H397" s="353">
        <v>25</v>
      </c>
      <c r="I397" s="353">
        <v>20</v>
      </c>
      <c r="J397" s="353">
        <v>3.8</v>
      </c>
      <c r="K397" s="353">
        <v>0.42</v>
      </c>
      <c r="L397" s="353">
        <v>1.84</v>
      </c>
      <c r="M397" s="353">
        <v>16.7</v>
      </c>
      <c r="N397" s="353">
        <v>0.5</v>
      </c>
      <c r="O397" s="353" t="s">
        <v>153</v>
      </c>
      <c r="P397" s="353">
        <v>2005</v>
      </c>
      <c r="Q397" t="s">
        <v>154</v>
      </c>
      <c r="R397" t="s">
        <v>1340</v>
      </c>
      <c r="S397" s="378" t="s">
        <v>209</v>
      </c>
      <c r="T397" s="378" t="s">
        <v>321</v>
      </c>
      <c r="U397" s="377" t="s">
        <v>162</v>
      </c>
    </row>
    <row r="398" spans="1:21" x14ac:dyDescent="0.2">
      <c r="A398" s="353">
        <v>871491</v>
      </c>
      <c r="B398" s="340" t="s">
        <v>1159</v>
      </c>
      <c r="C398" s="353">
        <v>6</v>
      </c>
      <c r="D398" s="353">
        <v>0</v>
      </c>
      <c r="E398" s="353">
        <v>0</v>
      </c>
      <c r="F398" s="353">
        <v>2</v>
      </c>
      <c r="G398" s="353">
        <v>6</v>
      </c>
      <c r="H398" s="353">
        <v>1</v>
      </c>
      <c r="I398" s="353">
        <v>13</v>
      </c>
      <c r="J398" s="353">
        <v>2.5</v>
      </c>
      <c r="K398" s="353">
        <v>0.42</v>
      </c>
      <c r="L398" s="353">
        <v>1.54</v>
      </c>
      <c r="M398" s="353">
        <v>6.6</v>
      </c>
      <c r="N398" s="353">
        <v>0.1</v>
      </c>
      <c r="O398" s="353" t="s">
        <v>153</v>
      </c>
      <c r="P398" s="353">
        <v>2015</v>
      </c>
      <c r="Q398" t="s">
        <v>68</v>
      </c>
      <c r="R398" t="s">
        <v>2012</v>
      </c>
      <c r="S398" s="378" t="s">
        <v>379</v>
      </c>
      <c r="T398" s="378" t="s">
        <v>1038</v>
      </c>
      <c r="U398" s="377" t="s">
        <v>162</v>
      </c>
    </row>
    <row r="399" spans="1:21" x14ac:dyDescent="0.2">
      <c r="A399" s="353">
        <v>851725</v>
      </c>
      <c r="B399" s="340" t="s">
        <v>1028</v>
      </c>
      <c r="C399" s="353">
        <v>34</v>
      </c>
      <c r="D399" s="353">
        <v>5</v>
      </c>
      <c r="E399" s="353">
        <v>10</v>
      </c>
      <c r="F399" s="353">
        <v>16</v>
      </c>
      <c r="G399" s="353">
        <v>23</v>
      </c>
      <c r="H399" s="353">
        <v>27</v>
      </c>
      <c r="I399" s="353">
        <v>8</v>
      </c>
      <c r="J399" s="353">
        <v>1.6</v>
      </c>
      <c r="K399" s="353">
        <v>0.42</v>
      </c>
      <c r="L399" s="353">
        <v>1.9</v>
      </c>
      <c r="M399" s="353">
        <v>18.2</v>
      </c>
      <c r="N399" s="353">
        <v>0.5</v>
      </c>
      <c r="O399" s="353" t="s">
        <v>153</v>
      </c>
      <c r="P399" s="353">
        <v>2005</v>
      </c>
      <c r="Q399" t="s">
        <v>68</v>
      </c>
      <c r="R399" t="s">
        <v>1736</v>
      </c>
      <c r="S399" s="378" t="s">
        <v>1062</v>
      </c>
      <c r="T399" s="378" t="s">
        <v>295</v>
      </c>
    </row>
    <row r="400" spans="1:21" x14ac:dyDescent="0.2">
      <c r="A400" s="353">
        <v>550970</v>
      </c>
      <c r="B400" s="340" t="s">
        <v>1145</v>
      </c>
      <c r="C400" s="353">
        <v>6</v>
      </c>
      <c r="D400" s="353">
        <v>2</v>
      </c>
      <c r="E400" s="353">
        <v>3</v>
      </c>
      <c r="F400" s="353">
        <v>2</v>
      </c>
      <c r="G400" s="353">
        <v>1</v>
      </c>
      <c r="H400" s="353">
        <v>-7</v>
      </c>
      <c r="I400" s="353">
        <v>7</v>
      </c>
      <c r="J400" s="353">
        <v>1.3</v>
      </c>
      <c r="K400" s="353">
        <v>0.42</v>
      </c>
      <c r="L400" s="353">
        <v>1.56</v>
      </c>
      <c r="M400" s="353">
        <v>9.5</v>
      </c>
      <c r="N400" s="353">
        <v>-0.2</v>
      </c>
      <c r="O400" s="353" t="s">
        <v>203</v>
      </c>
      <c r="P400" s="353">
        <v>2010</v>
      </c>
      <c r="Q400" t="s">
        <v>68</v>
      </c>
      <c r="R400" t="s">
        <v>1950</v>
      </c>
      <c r="S400" s="378" t="s">
        <v>379</v>
      </c>
      <c r="T400" s="378" t="s">
        <v>1034</v>
      </c>
    </row>
    <row r="401" spans="1:21" x14ac:dyDescent="0.2">
      <c r="A401" s="353">
        <v>140434</v>
      </c>
      <c r="B401" s="340" t="s">
        <v>933</v>
      </c>
      <c r="C401" s="353">
        <v>4</v>
      </c>
      <c r="D401" s="353">
        <v>1</v>
      </c>
      <c r="E401" s="353">
        <v>1</v>
      </c>
      <c r="F401" s="353">
        <v>-1</v>
      </c>
      <c r="G401" s="353">
        <v>-1</v>
      </c>
      <c r="H401" s="353">
        <v>2</v>
      </c>
      <c r="I401" s="353">
        <v>6</v>
      </c>
      <c r="J401" s="353">
        <v>1.1000000000000001</v>
      </c>
      <c r="K401" s="353">
        <v>0.42</v>
      </c>
      <c r="L401" s="353">
        <v>1.34</v>
      </c>
      <c r="M401" s="353">
        <v>6.6</v>
      </c>
      <c r="N401" s="353">
        <v>0.2</v>
      </c>
      <c r="O401" s="353" t="s">
        <v>203</v>
      </c>
      <c r="P401" s="353">
        <v>2011</v>
      </c>
      <c r="Q401" t="s">
        <v>68</v>
      </c>
      <c r="R401" t="s">
        <v>1535</v>
      </c>
      <c r="S401" s="378" t="s">
        <v>773</v>
      </c>
      <c r="T401" s="378" t="s">
        <v>1034</v>
      </c>
    </row>
    <row r="402" spans="1:21" x14ac:dyDescent="0.2">
      <c r="A402" s="353">
        <v>874099</v>
      </c>
      <c r="B402" s="340" t="s">
        <v>457</v>
      </c>
      <c r="C402" s="353">
        <v>0</v>
      </c>
      <c r="D402" s="353">
        <v>0</v>
      </c>
      <c r="E402" s="353">
        <v>1</v>
      </c>
      <c r="F402" s="353">
        <v>-4</v>
      </c>
      <c r="G402" s="353">
        <v>-4</v>
      </c>
      <c r="H402" s="353">
        <v>1</v>
      </c>
      <c r="I402" s="353">
        <v>-2</v>
      </c>
      <c r="J402" s="353">
        <v>-0.4</v>
      </c>
      <c r="K402" s="353">
        <v>0.42</v>
      </c>
      <c r="L402" s="353">
        <v>2.69</v>
      </c>
      <c r="M402" s="353">
        <v>11.4</v>
      </c>
      <c r="N402" s="353">
        <v>0.1</v>
      </c>
      <c r="O402" s="353" t="s">
        <v>344</v>
      </c>
      <c r="P402" s="353">
        <v>2009</v>
      </c>
      <c r="Q402" t="s">
        <v>68</v>
      </c>
      <c r="R402" t="s">
        <v>1398</v>
      </c>
      <c r="S402" s="378" t="s">
        <v>453</v>
      </c>
      <c r="T402" s="378" t="s">
        <v>1034</v>
      </c>
    </row>
    <row r="403" spans="1:21" x14ac:dyDescent="0.2">
      <c r="A403" s="353">
        <v>365684</v>
      </c>
      <c r="B403" s="340" t="s">
        <v>1074</v>
      </c>
      <c r="C403" s="353">
        <v>4</v>
      </c>
      <c r="D403" s="353">
        <v>0</v>
      </c>
      <c r="E403" s="353">
        <v>1</v>
      </c>
      <c r="F403" s="353">
        <v>0</v>
      </c>
      <c r="G403" s="353">
        <v>2</v>
      </c>
      <c r="H403" s="353">
        <v>-12</v>
      </c>
      <c r="I403" s="353">
        <v>-4</v>
      </c>
      <c r="J403" s="353">
        <v>-0.8</v>
      </c>
      <c r="K403" s="353">
        <v>0.42</v>
      </c>
      <c r="L403" s="353">
        <v>1.55</v>
      </c>
      <c r="M403" s="353">
        <v>8.8000000000000007</v>
      </c>
      <c r="N403" s="353">
        <v>-0.4</v>
      </c>
      <c r="O403" s="353" t="s">
        <v>153</v>
      </c>
      <c r="P403" s="353">
        <v>2013</v>
      </c>
      <c r="Q403" t="s">
        <v>68</v>
      </c>
      <c r="R403" t="s">
        <v>1832</v>
      </c>
      <c r="S403" s="378" t="s">
        <v>379</v>
      </c>
      <c r="T403" s="378" t="s">
        <v>1034</v>
      </c>
      <c r="U403" s="377" t="s">
        <v>162</v>
      </c>
    </row>
    <row r="404" spans="1:21" x14ac:dyDescent="0.2">
      <c r="A404" s="353">
        <v>844225</v>
      </c>
      <c r="B404" s="340" t="s">
        <v>675</v>
      </c>
      <c r="C404" s="353">
        <v>-10</v>
      </c>
      <c r="D404" s="353">
        <v>-4</v>
      </c>
      <c r="E404" s="353">
        <v>-5</v>
      </c>
      <c r="F404" s="353">
        <v>-10</v>
      </c>
      <c r="G404" s="353">
        <v>-21</v>
      </c>
      <c r="H404" s="353">
        <v>-26</v>
      </c>
      <c r="I404" s="353">
        <v>-25</v>
      </c>
      <c r="J404" s="353">
        <v>-5.6</v>
      </c>
      <c r="K404" s="353">
        <v>0.42</v>
      </c>
      <c r="L404" s="353">
        <v>2.75</v>
      </c>
      <c r="M404" s="353">
        <v>15.9</v>
      </c>
      <c r="N404" s="353">
        <v>-0.5</v>
      </c>
      <c r="O404" s="353" t="s">
        <v>203</v>
      </c>
      <c r="P404" s="353">
        <v>2013</v>
      </c>
      <c r="Q404" t="s">
        <v>68</v>
      </c>
      <c r="R404" t="s">
        <v>1839</v>
      </c>
      <c r="S404" s="378" t="s">
        <v>840</v>
      </c>
      <c r="T404" s="378" t="s">
        <v>1033</v>
      </c>
    </row>
    <row r="405" spans="1:21" x14ac:dyDescent="0.2">
      <c r="A405" s="353">
        <v>288472</v>
      </c>
      <c r="B405" s="340" t="s">
        <v>964</v>
      </c>
      <c r="C405" s="353">
        <v>12</v>
      </c>
      <c r="D405" s="353">
        <v>3</v>
      </c>
      <c r="E405" s="353">
        <v>8</v>
      </c>
      <c r="F405" s="353">
        <v>3</v>
      </c>
      <c r="G405" s="353">
        <v>14</v>
      </c>
      <c r="H405" s="353"/>
      <c r="I405" s="353"/>
      <c r="J405" s="353"/>
      <c r="K405" s="353">
        <v>0.42</v>
      </c>
      <c r="L405" s="353">
        <v>0.91</v>
      </c>
      <c r="M405" s="353"/>
      <c r="N405" s="353"/>
      <c r="O405" s="353" t="s">
        <v>153</v>
      </c>
      <c r="P405" s="353">
        <v>2016</v>
      </c>
      <c r="Q405" t="s">
        <v>154</v>
      </c>
      <c r="R405" t="s">
        <v>1360</v>
      </c>
      <c r="S405" s="378" t="s">
        <v>975</v>
      </c>
      <c r="T405" s="378" t="s">
        <v>1022</v>
      </c>
    </row>
    <row r="406" spans="1:21" x14ac:dyDescent="0.2">
      <c r="A406" s="353">
        <v>324301</v>
      </c>
      <c r="B406" s="340" t="s">
        <v>963</v>
      </c>
      <c r="C406" s="353">
        <v>12</v>
      </c>
      <c r="D406" s="353">
        <v>5</v>
      </c>
      <c r="E406" s="353">
        <v>9</v>
      </c>
      <c r="F406" s="353">
        <v>4</v>
      </c>
      <c r="G406" s="353">
        <v>9</v>
      </c>
      <c r="H406" s="353"/>
      <c r="I406" s="353"/>
      <c r="J406" s="353"/>
      <c r="K406" s="353">
        <v>0.42</v>
      </c>
      <c r="L406" s="353">
        <v>0.92</v>
      </c>
      <c r="M406" s="353"/>
      <c r="N406" s="353"/>
      <c r="O406" s="353" t="s">
        <v>153</v>
      </c>
      <c r="P406" s="353">
        <v>2016</v>
      </c>
      <c r="Q406" t="s">
        <v>154</v>
      </c>
      <c r="R406" t="s">
        <v>1401</v>
      </c>
      <c r="S406" s="378" t="s">
        <v>975</v>
      </c>
      <c r="T406" s="378" t="s">
        <v>159</v>
      </c>
    </row>
    <row r="407" spans="1:21" x14ac:dyDescent="0.2">
      <c r="A407" s="353">
        <v>386870</v>
      </c>
      <c r="B407" s="340" t="s">
        <v>881</v>
      </c>
      <c r="C407" s="353">
        <v>3</v>
      </c>
      <c r="D407" s="353">
        <v>0</v>
      </c>
      <c r="E407" s="353">
        <v>1</v>
      </c>
      <c r="F407" s="353">
        <v>1</v>
      </c>
      <c r="G407" s="353">
        <v>4</v>
      </c>
      <c r="H407" s="353">
        <v>10</v>
      </c>
      <c r="I407" s="353"/>
      <c r="J407" s="353"/>
      <c r="K407" s="353">
        <v>0.42</v>
      </c>
      <c r="L407" s="353">
        <v>1.5</v>
      </c>
      <c r="M407" s="353">
        <v>1.9</v>
      </c>
      <c r="N407" s="353">
        <v>1.8</v>
      </c>
      <c r="O407" s="353" t="s">
        <v>153</v>
      </c>
      <c r="P407" s="353">
        <v>2015</v>
      </c>
      <c r="Q407" t="s">
        <v>68</v>
      </c>
      <c r="R407" t="s">
        <v>1435</v>
      </c>
      <c r="S407" s="378" t="s">
        <v>879</v>
      </c>
      <c r="T407" s="378" t="s">
        <v>1044</v>
      </c>
      <c r="U407" s="377" t="s">
        <v>162</v>
      </c>
    </row>
    <row r="408" spans="1:21" x14ac:dyDescent="0.2">
      <c r="A408" s="354">
        <v>886077</v>
      </c>
      <c r="B408" s="297" t="s">
        <v>855</v>
      </c>
      <c r="C408" s="354">
        <v>1</v>
      </c>
      <c r="D408" s="354">
        <v>0</v>
      </c>
      <c r="E408" s="354">
        <v>0</v>
      </c>
      <c r="F408" s="354">
        <v>1</v>
      </c>
      <c r="G408" s="354">
        <v>2</v>
      </c>
      <c r="H408" s="354"/>
      <c r="I408" s="354"/>
      <c r="J408" s="354"/>
      <c r="K408" s="354">
        <v>0.42</v>
      </c>
      <c r="L408" s="354">
        <v>1.17</v>
      </c>
      <c r="M408" s="274"/>
      <c r="N408" s="354"/>
      <c r="O408" s="354" t="s">
        <v>153</v>
      </c>
      <c r="P408" s="354">
        <v>2015</v>
      </c>
      <c r="Q408" s="273" t="s">
        <v>68</v>
      </c>
      <c r="R408" s="273" t="s">
        <v>1501</v>
      </c>
      <c r="S408" s="379" t="s">
        <v>1071</v>
      </c>
      <c r="T408" s="379" t="s">
        <v>1033</v>
      </c>
    </row>
    <row r="409" spans="1:21" x14ac:dyDescent="0.2">
      <c r="A409" s="353">
        <v>606103</v>
      </c>
      <c r="B409" s="340" t="s">
        <v>894</v>
      </c>
      <c r="C409" s="353">
        <v>4</v>
      </c>
      <c r="D409" s="353">
        <v>1</v>
      </c>
      <c r="E409" s="353">
        <v>1</v>
      </c>
      <c r="F409" s="353">
        <v>2</v>
      </c>
      <c r="G409" s="353">
        <v>4</v>
      </c>
      <c r="H409" s="353"/>
      <c r="I409" s="353"/>
      <c r="J409" s="353"/>
      <c r="K409" s="353">
        <v>0.42</v>
      </c>
      <c r="L409" s="353">
        <v>1.34</v>
      </c>
      <c r="M409" s="353"/>
      <c r="N409" s="353"/>
      <c r="O409" s="353" t="s">
        <v>153</v>
      </c>
      <c r="P409" s="353">
        <v>2015</v>
      </c>
      <c r="Q409" t="s">
        <v>68</v>
      </c>
      <c r="R409" t="s">
        <v>1932</v>
      </c>
      <c r="S409" s="378" t="s">
        <v>287</v>
      </c>
      <c r="T409" s="378" t="s">
        <v>1038</v>
      </c>
      <c r="U409" s="377" t="s">
        <v>162</v>
      </c>
    </row>
    <row r="410" spans="1:21" x14ac:dyDescent="0.2">
      <c r="A410" s="353">
        <v>379024</v>
      </c>
      <c r="B410" s="340" t="s">
        <v>1052</v>
      </c>
      <c r="C410" s="353">
        <v>39</v>
      </c>
      <c r="D410" s="353">
        <v>7</v>
      </c>
      <c r="E410" s="353">
        <v>12</v>
      </c>
      <c r="F410" s="353">
        <v>19</v>
      </c>
      <c r="G410" s="353">
        <v>28</v>
      </c>
      <c r="H410" s="353">
        <v>64</v>
      </c>
      <c r="I410" s="353"/>
      <c r="J410" s="353"/>
      <c r="K410" s="353">
        <v>0.43</v>
      </c>
      <c r="L410" s="353">
        <v>1.99</v>
      </c>
      <c r="M410" s="353">
        <v>16.3</v>
      </c>
      <c r="N410" s="353">
        <v>1.1000000000000001</v>
      </c>
      <c r="O410" s="353" t="s">
        <v>153</v>
      </c>
      <c r="P410" s="353">
        <v>2013</v>
      </c>
      <c r="Q410" t="s">
        <v>68</v>
      </c>
      <c r="R410" t="s">
        <v>1738</v>
      </c>
      <c r="S410" s="378" t="s">
        <v>1062</v>
      </c>
      <c r="T410" s="378" t="s">
        <v>1048</v>
      </c>
    </row>
    <row r="411" spans="1:21" x14ac:dyDescent="0.2">
      <c r="A411" s="353">
        <v>416867</v>
      </c>
      <c r="B411" s="340" t="s">
        <v>891</v>
      </c>
      <c r="C411" s="353">
        <v>16</v>
      </c>
      <c r="D411" s="353">
        <v>3</v>
      </c>
      <c r="E411" s="353">
        <v>8</v>
      </c>
      <c r="F411" s="353">
        <v>7</v>
      </c>
      <c r="G411" s="353">
        <v>21</v>
      </c>
      <c r="H411" s="353">
        <v>81</v>
      </c>
      <c r="I411" s="353">
        <v>220</v>
      </c>
      <c r="J411" s="353">
        <v>26.2</v>
      </c>
      <c r="K411" s="353">
        <v>0.44</v>
      </c>
      <c r="L411" s="353">
        <v>1.55</v>
      </c>
      <c r="M411" s="353">
        <v>14</v>
      </c>
      <c r="N411" s="353">
        <v>1.5</v>
      </c>
      <c r="O411" s="353" t="s">
        <v>153</v>
      </c>
      <c r="P411" s="353">
        <v>2006</v>
      </c>
      <c r="Q411" t="s">
        <v>154</v>
      </c>
      <c r="R411" t="s">
        <v>1354</v>
      </c>
      <c r="S411" s="378" t="s">
        <v>166</v>
      </c>
      <c r="T411" s="378" t="s">
        <v>258</v>
      </c>
      <c r="U411" s="377" t="s">
        <v>162</v>
      </c>
    </row>
    <row r="412" spans="1:21" x14ac:dyDescent="0.2">
      <c r="A412" s="353">
        <v>694539</v>
      </c>
      <c r="B412" s="340" t="s">
        <v>884</v>
      </c>
      <c r="C412" s="353">
        <v>15</v>
      </c>
      <c r="D412" s="353">
        <v>3</v>
      </c>
      <c r="E412" s="353">
        <v>8</v>
      </c>
      <c r="F412" s="353">
        <v>4</v>
      </c>
      <c r="G412" s="353">
        <v>20</v>
      </c>
      <c r="H412" s="353">
        <v>70</v>
      </c>
      <c r="I412" s="353">
        <v>171</v>
      </c>
      <c r="J412" s="353">
        <v>22.1</v>
      </c>
      <c r="K412" s="353">
        <v>0.44</v>
      </c>
      <c r="L412" s="353">
        <v>1.56</v>
      </c>
      <c r="M412" s="353">
        <v>13.9</v>
      </c>
      <c r="N412" s="353">
        <v>1.4</v>
      </c>
      <c r="O412" s="353" t="s">
        <v>153</v>
      </c>
      <c r="P412" s="353">
        <v>2000</v>
      </c>
      <c r="Q412" t="s">
        <v>154</v>
      </c>
      <c r="R412" t="s">
        <v>1370</v>
      </c>
      <c r="S412" s="378" t="s">
        <v>166</v>
      </c>
      <c r="T412" s="378" t="s">
        <v>258</v>
      </c>
      <c r="U412" s="377" t="s">
        <v>162</v>
      </c>
    </row>
    <row r="413" spans="1:21" x14ac:dyDescent="0.2">
      <c r="A413" s="353">
        <v>838383</v>
      </c>
      <c r="B413" s="340" t="s">
        <v>432</v>
      </c>
      <c r="C413" s="353">
        <v>30</v>
      </c>
      <c r="D413" s="353">
        <v>7</v>
      </c>
      <c r="E413" s="353">
        <v>9</v>
      </c>
      <c r="F413" s="353">
        <v>13</v>
      </c>
      <c r="G413" s="353">
        <v>20</v>
      </c>
      <c r="H413" s="353">
        <v>50</v>
      </c>
      <c r="I413" s="353">
        <v>97</v>
      </c>
      <c r="J413" s="353">
        <v>14.5</v>
      </c>
      <c r="K413" s="353">
        <v>0.44</v>
      </c>
      <c r="L413" s="353">
        <v>2.02</v>
      </c>
      <c r="M413" s="353">
        <v>16.100000000000001</v>
      </c>
      <c r="N413" s="353">
        <v>0.9</v>
      </c>
      <c r="O413" s="353" t="s">
        <v>153</v>
      </c>
      <c r="P413" s="353">
        <v>2004</v>
      </c>
      <c r="Q413" t="s">
        <v>154</v>
      </c>
      <c r="R413" t="s">
        <v>1824</v>
      </c>
      <c r="S413" s="378" t="s">
        <v>188</v>
      </c>
      <c r="T413" s="378" t="s">
        <v>1048</v>
      </c>
    </row>
    <row r="414" spans="1:21" x14ac:dyDescent="0.2">
      <c r="A414" s="353">
        <v>878520</v>
      </c>
      <c r="B414" s="340" t="s">
        <v>460</v>
      </c>
      <c r="C414" s="353">
        <v>9</v>
      </c>
      <c r="D414" s="353">
        <v>1</v>
      </c>
      <c r="E414" s="353">
        <v>4</v>
      </c>
      <c r="F414" s="353">
        <v>4</v>
      </c>
      <c r="G414" s="353">
        <v>11</v>
      </c>
      <c r="H414" s="353">
        <v>37</v>
      </c>
      <c r="I414" s="353">
        <v>69</v>
      </c>
      <c r="J414" s="353">
        <v>11.1</v>
      </c>
      <c r="K414" s="353">
        <v>0.44</v>
      </c>
      <c r="L414" s="353">
        <v>1.66</v>
      </c>
      <c r="M414" s="353">
        <v>8.4</v>
      </c>
      <c r="N414" s="353">
        <v>1.3</v>
      </c>
      <c r="O414" s="353" t="s">
        <v>153</v>
      </c>
      <c r="P414" s="353">
        <v>2000</v>
      </c>
      <c r="Q414" t="s">
        <v>154</v>
      </c>
      <c r="R414" t="s">
        <v>1338</v>
      </c>
      <c r="S414" s="378" t="s">
        <v>196</v>
      </c>
      <c r="T414" s="378" t="s">
        <v>1024</v>
      </c>
      <c r="U414" s="377" t="s">
        <v>162</v>
      </c>
    </row>
    <row r="415" spans="1:21" x14ac:dyDescent="0.2">
      <c r="A415" s="353">
        <v>390062</v>
      </c>
      <c r="B415" s="340" t="s">
        <v>474</v>
      </c>
      <c r="C415" s="353">
        <v>-3</v>
      </c>
      <c r="D415" s="353">
        <v>0</v>
      </c>
      <c r="E415" s="353">
        <v>11</v>
      </c>
      <c r="F415" s="353">
        <v>-2</v>
      </c>
      <c r="G415" s="353">
        <v>12</v>
      </c>
      <c r="H415" s="353">
        <v>39</v>
      </c>
      <c r="I415" s="353">
        <v>29</v>
      </c>
      <c r="J415" s="353">
        <v>5.3</v>
      </c>
      <c r="K415" s="353">
        <v>0.44</v>
      </c>
      <c r="L415" s="353">
        <v>2.4900000000000002</v>
      </c>
      <c r="M415" s="353">
        <v>24.9</v>
      </c>
      <c r="N415" s="353">
        <v>0.6</v>
      </c>
      <c r="O415" s="353" t="s">
        <v>153</v>
      </c>
      <c r="P415" s="353">
        <v>2009</v>
      </c>
      <c r="Q415" t="s">
        <v>68</v>
      </c>
      <c r="R415" t="s">
        <v>1214</v>
      </c>
      <c r="S415" s="378" t="s">
        <v>158</v>
      </c>
      <c r="T415" s="378" t="s">
        <v>373</v>
      </c>
    </row>
    <row r="416" spans="1:21" x14ac:dyDescent="0.2">
      <c r="A416" s="353">
        <v>857037</v>
      </c>
      <c r="B416" s="340" t="s">
        <v>929</v>
      </c>
      <c r="C416" s="353">
        <v>5</v>
      </c>
      <c r="D416" s="353">
        <v>3</v>
      </c>
      <c r="E416" s="353">
        <v>4</v>
      </c>
      <c r="F416" s="353">
        <v>2</v>
      </c>
      <c r="G416" s="353">
        <v>4</v>
      </c>
      <c r="H416" s="353">
        <v>11</v>
      </c>
      <c r="I416" s="353">
        <v>27</v>
      </c>
      <c r="J416" s="353">
        <v>4.8</v>
      </c>
      <c r="K416" s="353">
        <v>0.44</v>
      </c>
      <c r="L416" s="353">
        <v>0.97</v>
      </c>
      <c r="M416" s="353">
        <v>5.5</v>
      </c>
      <c r="N416" s="353">
        <v>0.7</v>
      </c>
      <c r="O416" s="353" t="s">
        <v>203</v>
      </c>
      <c r="P416" s="353">
        <v>2011</v>
      </c>
      <c r="Q416" t="s">
        <v>68</v>
      </c>
      <c r="R416" t="s">
        <v>1538</v>
      </c>
      <c r="S416" s="378" t="s">
        <v>773</v>
      </c>
      <c r="T416" s="378" t="s">
        <v>1024</v>
      </c>
    </row>
    <row r="417" spans="1:21" x14ac:dyDescent="0.2">
      <c r="A417" s="353">
        <v>216812</v>
      </c>
      <c r="B417" s="340" t="s">
        <v>966</v>
      </c>
      <c r="C417" s="353">
        <v>2</v>
      </c>
      <c r="D417" s="353">
        <v>4</v>
      </c>
      <c r="E417" s="353">
        <v>7</v>
      </c>
      <c r="F417" s="353">
        <v>2</v>
      </c>
      <c r="G417" s="353">
        <v>-2</v>
      </c>
      <c r="H417" s="353"/>
      <c r="I417" s="353"/>
      <c r="J417" s="353"/>
      <c r="K417" s="353">
        <v>0.44</v>
      </c>
      <c r="L417" s="353">
        <v>0.97</v>
      </c>
      <c r="M417" s="353"/>
      <c r="N417" s="353"/>
      <c r="O417" s="353" t="s">
        <v>153</v>
      </c>
      <c r="P417" s="353">
        <v>2016</v>
      </c>
      <c r="Q417" t="s">
        <v>154</v>
      </c>
      <c r="R417" t="s">
        <v>1358</v>
      </c>
      <c r="S417" s="378" t="s">
        <v>975</v>
      </c>
      <c r="T417" s="378" t="s">
        <v>1022</v>
      </c>
    </row>
    <row r="418" spans="1:21" x14ac:dyDescent="0.2">
      <c r="A418" s="353">
        <v>942508</v>
      </c>
      <c r="B418" s="340" t="s">
        <v>1089</v>
      </c>
      <c r="C418" s="353">
        <v>11</v>
      </c>
      <c r="D418" s="353">
        <v>1</v>
      </c>
      <c r="E418" s="353">
        <v>4</v>
      </c>
      <c r="F418" s="353">
        <v>4</v>
      </c>
      <c r="G418" s="353">
        <v>14</v>
      </c>
      <c r="H418" s="353">
        <v>37</v>
      </c>
      <c r="I418" s="353"/>
      <c r="J418" s="353"/>
      <c r="K418" s="353">
        <v>0.44</v>
      </c>
      <c r="L418" s="353">
        <v>1.62</v>
      </c>
      <c r="M418" s="353">
        <v>8.1</v>
      </c>
      <c r="N418" s="353">
        <v>1.4</v>
      </c>
      <c r="O418" s="353" t="s">
        <v>153</v>
      </c>
      <c r="P418" s="353">
        <v>2017</v>
      </c>
      <c r="Q418" t="s">
        <v>154</v>
      </c>
      <c r="R418" t="s">
        <v>1943</v>
      </c>
      <c r="S418" s="378" t="s">
        <v>196</v>
      </c>
      <c r="T418" s="378" t="s">
        <v>1041</v>
      </c>
    </row>
    <row r="419" spans="1:21" x14ac:dyDescent="0.2">
      <c r="A419" s="353">
        <v>749788</v>
      </c>
      <c r="B419" s="340" t="s">
        <v>478</v>
      </c>
      <c r="C419" s="353">
        <v>12</v>
      </c>
      <c r="D419" s="353">
        <v>2</v>
      </c>
      <c r="E419" s="353">
        <v>7</v>
      </c>
      <c r="F419" s="353">
        <v>3</v>
      </c>
      <c r="G419" s="353">
        <v>16</v>
      </c>
      <c r="H419" s="353">
        <v>36</v>
      </c>
      <c r="I419" s="353">
        <v>115</v>
      </c>
      <c r="J419" s="353">
        <v>16.5</v>
      </c>
      <c r="K419" s="353">
        <v>0.45</v>
      </c>
      <c r="L419" s="353">
        <v>1.62</v>
      </c>
      <c r="M419" s="353">
        <v>13.6</v>
      </c>
      <c r="N419" s="353">
        <v>0.8</v>
      </c>
      <c r="O419" s="353" t="s">
        <v>153</v>
      </c>
      <c r="P419" s="353">
        <v>2000</v>
      </c>
      <c r="Q419" t="s">
        <v>154</v>
      </c>
      <c r="R419" t="s">
        <v>1529</v>
      </c>
      <c r="S419" s="378" t="s">
        <v>166</v>
      </c>
      <c r="T419" s="378" t="s">
        <v>1051</v>
      </c>
      <c r="U419" s="377" t="s">
        <v>162</v>
      </c>
    </row>
    <row r="420" spans="1:21" x14ac:dyDescent="0.2">
      <c r="A420" s="353">
        <v>927632</v>
      </c>
      <c r="B420" s="340" t="s">
        <v>434</v>
      </c>
      <c r="C420" s="353">
        <v>7</v>
      </c>
      <c r="D420" s="353">
        <v>2</v>
      </c>
      <c r="E420" s="353">
        <v>4</v>
      </c>
      <c r="F420" s="353">
        <v>2</v>
      </c>
      <c r="G420" s="353">
        <v>8</v>
      </c>
      <c r="H420" s="353">
        <v>22</v>
      </c>
      <c r="I420" s="353">
        <v>50</v>
      </c>
      <c r="J420" s="353">
        <v>8.4</v>
      </c>
      <c r="K420" s="353">
        <v>0.45</v>
      </c>
      <c r="L420" s="353">
        <v>1.22</v>
      </c>
      <c r="M420" s="353">
        <v>7.6</v>
      </c>
      <c r="N420" s="353">
        <v>0.9</v>
      </c>
      <c r="O420" s="353" t="s">
        <v>153</v>
      </c>
      <c r="P420" s="353">
        <v>2005</v>
      </c>
      <c r="Q420" t="s">
        <v>154</v>
      </c>
      <c r="R420" t="s">
        <v>1542</v>
      </c>
      <c r="S420" s="378" t="s">
        <v>207</v>
      </c>
      <c r="T420" s="378" t="s">
        <v>1041</v>
      </c>
      <c r="U420" s="377" t="s">
        <v>162</v>
      </c>
    </row>
    <row r="421" spans="1:21" x14ac:dyDescent="0.2">
      <c r="A421" s="353">
        <v>157909</v>
      </c>
      <c r="B421" s="340" t="s">
        <v>977</v>
      </c>
      <c r="C421" s="353">
        <v>20</v>
      </c>
      <c r="D421" s="353">
        <v>4</v>
      </c>
      <c r="E421" s="353">
        <v>10</v>
      </c>
      <c r="F421" s="353">
        <v>4</v>
      </c>
      <c r="G421" s="353">
        <v>21</v>
      </c>
      <c r="H421" s="353"/>
      <c r="I421" s="353"/>
      <c r="J421" s="353"/>
      <c r="K421" s="353">
        <v>0.45</v>
      </c>
      <c r="L421" s="353">
        <v>1</v>
      </c>
      <c r="M421" s="353"/>
      <c r="N421" s="353"/>
      <c r="O421" s="353" t="s">
        <v>153</v>
      </c>
      <c r="P421" s="353">
        <v>2016</v>
      </c>
      <c r="Q421" t="s">
        <v>154</v>
      </c>
      <c r="R421" t="s">
        <v>1503</v>
      </c>
      <c r="S421" s="378" t="s">
        <v>826</v>
      </c>
      <c r="T421" s="378" t="s">
        <v>1023</v>
      </c>
    </row>
    <row r="422" spans="1:21" x14ac:dyDescent="0.2">
      <c r="A422" s="353">
        <v>587279</v>
      </c>
      <c r="B422" s="340" t="s">
        <v>896</v>
      </c>
      <c r="C422" s="353">
        <v>10</v>
      </c>
      <c r="D422" s="353">
        <v>2</v>
      </c>
      <c r="E422" s="353">
        <v>6</v>
      </c>
      <c r="F422" s="353">
        <v>2</v>
      </c>
      <c r="G422" s="353">
        <v>11</v>
      </c>
      <c r="H422" s="353"/>
      <c r="I422" s="353"/>
      <c r="J422" s="353"/>
      <c r="K422" s="353">
        <v>0.45</v>
      </c>
      <c r="L422" s="353">
        <v>1.98</v>
      </c>
      <c r="M422" s="353"/>
      <c r="N422" s="353"/>
      <c r="O422" s="353" t="s">
        <v>153</v>
      </c>
      <c r="P422" s="353">
        <v>2016</v>
      </c>
      <c r="Q422" t="s">
        <v>68</v>
      </c>
      <c r="R422" t="s">
        <v>1620</v>
      </c>
      <c r="S422" s="378" t="s">
        <v>807</v>
      </c>
      <c r="T422" s="378" t="s">
        <v>219</v>
      </c>
    </row>
    <row r="423" spans="1:21" x14ac:dyDescent="0.2">
      <c r="A423" s="353">
        <v>623108</v>
      </c>
      <c r="B423" s="340" t="s">
        <v>895</v>
      </c>
      <c r="C423" s="353">
        <v>6</v>
      </c>
      <c r="D423" s="353">
        <v>5</v>
      </c>
      <c r="E423" s="353">
        <v>9</v>
      </c>
      <c r="F423" s="353">
        <v>5</v>
      </c>
      <c r="G423" s="353">
        <v>8</v>
      </c>
      <c r="H423" s="353"/>
      <c r="I423" s="353"/>
      <c r="J423" s="353"/>
      <c r="K423" s="353">
        <v>0.45</v>
      </c>
      <c r="L423" s="353">
        <v>1.96</v>
      </c>
      <c r="M423" s="353"/>
      <c r="N423" s="353"/>
      <c r="O423" s="353" t="s">
        <v>153</v>
      </c>
      <c r="P423" s="353">
        <v>2016</v>
      </c>
      <c r="Q423" t="s">
        <v>68</v>
      </c>
      <c r="R423" t="s">
        <v>1774</v>
      </c>
      <c r="S423" s="378" t="s">
        <v>807</v>
      </c>
      <c r="T423" s="378" t="s">
        <v>181</v>
      </c>
    </row>
    <row r="424" spans="1:21" x14ac:dyDescent="0.2">
      <c r="A424" s="353">
        <v>768846</v>
      </c>
      <c r="B424" s="340" t="s">
        <v>939</v>
      </c>
      <c r="C424" s="353">
        <v>12</v>
      </c>
      <c r="D424" s="353">
        <v>4</v>
      </c>
      <c r="E424" s="353">
        <v>8</v>
      </c>
      <c r="F424" s="353">
        <v>3</v>
      </c>
      <c r="G424" s="353">
        <v>14</v>
      </c>
      <c r="H424" s="353"/>
      <c r="I424" s="353"/>
      <c r="J424" s="353"/>
      <c r="K424" s="353">
        <v>0.45</v>
      </c>
      <c r="L424" s="353">
        <v>1</v>
      </c>
      <c r="M424" s="353"/>
      <c r="N424" s="353"/>
      <c r="O424" s="353" t="s">
        <v>153</v>
      </c>
      <c r="P424" s="353">
        <v>2016</v>
      </c>
      <c r="Q424" t="s">
        <v>154</v>
      </c>
      <c r="R424" t="s">
        <v>2014</v>
      </c>
      <c r="S424" s="378" t="s">
        <v>826</v>
      </c>
      <c r="T424" s="378" t="s">
        <v>1023</v>
      </c>
    </row>
    <row r="425" spans="1:21" x14ac:dyDescent="0.2">
      <c r="A425" s="353">
        <v>771030</v>
      </c>
      <c r="B425" s="340" t="s">
        <v>463</v>
      </c>
      <c r="C425" s="353">
        <v>20</v>
      </c>
      <c r="D425" s="353">
        <v>10</v>
      </c>
      <c r="E425" s="353">
        <v>10</v>
      </c>
      <c r="F425" s="353">
        <v>9</v>
      </c>
      <c r="G425" s="353">
        <v>19</v>
      </c>
      <c r="H425" s="353">
        <v>90</v>
      </c>
      <c r="I425" s="353">
        <v>214</v>
      </c>
      <c r="J425" s="353">
        <v>25.7</v>
      </c>
      <c r="K425" s="353">
        <v>0.46</v>
      </c>
      <c r="L425" s="353">
        <v>1.61</v>
      </c>
      <c r="M425" s="353">
        <v>15.6</v>
      </c>
      <c r="N425" s="353">
        <v>1.5</v>
      </c>
      <c r="O425" s="353" t="s">
        <v>153</v>
      </c>
      <c r="P425" s="353">
        <v>2000</v>
      </c>
      <c r="Q425" t="s">
        <v>154</v>
      </c>
      <c r="R425" t="s">
        <v>1404</v>
      </c>
      <c r="S425" s="378" t="s">
        <v>196</v>
      </c>
      <c r="T425" s="378" t="s">
        <v>181</v>
      </c>
      <c r="U425" s="377" t="s">
        <v>162</v>
      </c>
    </row>
    <row r="426" spans="1:21" x14ac:dyDescent="0.2">
      <c r="A426" s="353">
        <v>842690</v>
      </c>
      <c r="B426" s="340" t="s">
        <v>461</v>
      </c>
      <c r="C426" s="353">
        <v>14</v>
      </c>
      <c r="D426" s="353">
        <v>3</v>
      </c>
      <c r="E426" s="353">
        <v>6</v>
      </c>
      <c r="F426" s="353">
        <v>3</v>
      </c>
      <c r="G426" s="353">
        <v>18</v>
      </c>
      <c r="H426" s="353">
        <v>75</v>
      </c>
      <c r="I426" s="353">
        <v>205</v>
      </c>
      <c r="J426" s="353">
        <v>25</v>
      </c>
      <c r="K426" s="353">
        <v>0.46</v>
      </c>
      <c r="L426" s="353">
        <v>1.62</v>
      </c>
      <c r="M426" s="353">
        <v>13.4</v>
      </c>
      <c r="N426" s="353">
        <v>1.5</v>
      </c>
      <c r="O426" s="353" t="s">
        <v>153</v>
      </c>
      <c r="P426" s="353">
        <v>2000</v>
      </c>
      <c r="Q426" t="s">
        <v>154</v>
      </c>
      <c r="R426" t="s">
        <v>1856</v>
      </c>
      <c r="S426" s="378" t="s">
        <v>196</v>
      </c>
      <c r="T426" s="378" t="s">
        <v>258</v>
      </c>
      <c r="U426" s="377" t="s">
        <v>162</v>
      </c>
    </row>
    <row r="427" spans="1:21" x14ac:dyDescent="0.2">
      <c r="A427" s="353">
        <v>450981</v>
      </c>
      <c r="B427" s="340" t="s">
        <v>591</v>
      </c>
      <c r="C427" s="353">
        <v>16</v>
      </c>
      <c r="D427" s="353">
        <v>3</v>
      </c>
      <c r="E427" s="353">
        <v>6</v>
      </c>
      <c r="F427" s="353">
        <v>4</v>
      </c>
      <c r="G427" s="353">
        <v>20</v>
      </c>
      <c r="H427" s="353">
        <v>78</v>
      </c>
      <c r="I427" s="353">
        <v>179</v>
      </c>
      <c r="J427" s="353">
        <v>22.8</v>
      </c>
      <c r="K427" s="353">
        <v>0.46</v>
      </c>
      <c r="L427" s="353">
        <v>1.2</v>
      </c>
      <c r="M427" s="353">
        <v>13.7</v>
      </c>
      <c r="N427" s="353">
        <v>1.5</v>
      </c>
      <c r="O427" s="353" t="s">
        <v>293</v>
      </c>
      <c r="P427" s="353">
        <v>2002</v>
      </c>
      <c r="Q427" t="s">
        <v>68</v>
      </c>
      <c r="R427" t="s">
        <v>1868</v>
      </c>
      <c r="S427" s="378" t="s">
        <v>584</v>
      </c>
      <c r="T427" s="378" t="s">
        <v>219</v>
      </c>
    </row>
    <row r="428" spans="1:21" x14ac:dyDescent="0.2">
      <c r="A428" s="353">
        <v>282632</v>
      </c>
      <c r="B428" s="340" t="s">
        <v>419</v>
      </c>
      <c r="C428" s="353">
        <v>15</v>
      </c>
      <c r="D428" s="353">
        <v>4</v>
      </c>
      <c r="E428" s="353">
        <v>7</v>
      </c>
      <c r="F428" s="353">
        <v>5</v>
      </c>
      <c r="G428" s="353">
        <v>15</v>
      </c>
      <c r="H428" s="353">
        <v>44</v>
      </c>
      <c r="I428" s="353">
        <v>116</v>
      </c>
      <c r="J428" s="353">
        <v>16.7</v>
      </c>
      <c r="K428" s="353">
        <v>0.46</v>
      </c>
      <c r="L428" s="353">
        <v>1.02</v>
      </c>
      <c r="M428" s="353">
        <v>11</v>
      </c>
      <c r="N428" s="353">
        <v>1.2</v>
      </c>
      <c r="O428" s="353" t="s">
        <v>293</v>
      </c>
      <c r="P428" s="353">
        <v>2007</v>
      </c>
      <c r="Q428" t="s">
        <v>68</v>
      </c>
      <c r="R428" t="s">
        <v>1862</v>
      </c>
      <c r="S428" s="378" t="s">
        <v>354</v>
      </c>
      <c r="T428" s="378" t="s">
        <v>181</v>
      </c>
    </row>
    <row r="429" spans="1:21" x14ac:dyDescent="0.2">
      <c r="A429" s="353">
        <v>116111</v>
      </c>
      <c r="B429" s="340" t="s">
        <v>418</v>
      </c>
      <c r="C429" s="353">
        <v>21</v>
      </c>
      <c r="D429" s="353">
        <v>4</v>
      </c>
      <c r="E429" s="353">
        <v>6</v>
      </c>
      <c r="F429" s="353">
        <v>8</v>
      </c>
      <c r="G429" s="353">
        <v>14</v>
      </c>
      <c r="H429" s="353">
        <v>36</v>
      </c>
      <c r="I429" s="353">
        <v>65</v>
      </c>
      <c r="J429" s="353">
        <v>10.5</v>
      </c>
      <c r="K429" s="353">
        <v>0.46</v>
      </c>
      <c r="L429" s="353">
        <v>1.02</v>
      </c>
      <c r="M429" s="353">
        <v>13.2</v>
      </c>
      <c r="N429" s="353">
        <v>0.9</v>
      </c>
      <c r="O429" s="353" t="s">
        <v>293</v>
      </c>
      <c r="P429" s="353">
        <v>2012</v>
      </c>
      <c r="Q429" t="s">
        <v>68</v>
      </c>
      <c r="R429" t="s">
        <v>1871</v>
      </c>
      <c r="S429" s="378" t="s">
        <v>354</v>
      </c>
      <c r="T429" s="378" t="s">
        <v>295</v>
      </c>
    </row>
    <row r="430" spans="1:21" x14ac:dyDescent="0.2">
      <c r="A430" s="353">
        <v>829945</v>
      </c>
      <c r="B430" s="340" t="s">
        <v>433</v>
      </c>
      <c r="C430" s="353">
        <v>7</v>
      </c>
      <c r="D430" s="353">
        <v>1</v>
      </c>
      <c r="E430" s="353">
        <v>3</v>
      </c>
      <c r="F430" s="353">
        <v>2</v>
      </c>
      <c r="G430" s="353">
        <v>9</v>
      </c>
      <c r="H430" s="353">
        <v>19</v>
      </c>
      <c r="I430" s="353">
        <v>45</v>
      </c>
      <c r="J430" s="353">
        <v>7.7</v>
      </c>
      <c r="K430" s="353">
        <v>0.46</v>
      </c>
      <c r="L430" s="353">
        <v>1.27</v>
      </c>
      <c r="M430" s="353">
        <v>7.3</v>
      </c>
      <c r="N430" s="353">
        <v>0.9</v>
      </c>
      <c r="O430" s="353" t="s">
        <v>153</v>
      </c>
      <c r="P430" s="353">
        <v>2000</v>
      </c>
      <c r="Q430" t="s">
        <v>154</v>
      </c>
      <c r="R430" t="s">
        <v>1474</v>
      </c>
      <c r="S430" s="378" t="s">
        <v>207</v>
      </c>
      <c r="T430" s="378" t="s">
        <v>1041</v>
      </c>
      <c r="U430" s="377" t="s">
        <v>162</v>
      </c>
    </row>
    <row r="431" spans="1:21" x14ac:dyDescent="0.2">
      <c r="A431" s="353">
        <v>259903</v>
      </c>
      <c r="B431" s="340" t="s">
        <v>1143</v>
      </c>
      <c r="C431" s="353">
        <v>-1</v>
      </c>
      <c r="D431" s="353">
        <v>3</v>
      </c>
      <c r="E431" s="353">
        <v>13</v>
      </c>
      <c r="F431" s="353">
        <v>1</v>
      </c>
      <c r="G431" s="353">
        <v>14</v>
      </c>
      <c r="H431" s="353">
        <v>44</v>
      </c>
      <c r="I431" s="353">
        <v>25</v>
      </c>
      <c r="J431" s="353">
        <v>4.5</v>
      </c>
      <c r="K431" s="353">
        <v>0.46</v>
      </c>
      <c r="L431" s="353">
        <v>2.12</v>
      </c>
      <c r="M431" s="353">
        <v>24.7</v>
      </c>
      <c r="N431" s="353">
        <v>0.6</v>
      </c>
      <c r="O431" s="353" t="s">
        <v>203</v>
      </c>
      <c r="P431" s="353">
        <v>2017</v>
      </c>
      <c r="Q431" t="s">
        <v>68</v>
      </c>
      <c r="R431" t="s">
        <v>1576</v>
      </c>
      <c r="S431" s="378" t="s">
        <v>209</v>
      </c>
      <c r="T431" s="378" t="s">
        <v>373</v>
      </c>
      <c r="U431" s="377" t="s">
        <v>162</v>
      </c>
    </row>
    <row r="432" spans="1:21" x14ac:dyDescent="0.2">
      <c r="A432" s="353">
        <v>799247</v>
      </c>
      <c r="B432" s="340" t="s">
        <v>757</v>
      </c>
      <c r="C432" s="353">
        <v>16</v>
      </c>
      <c r="D432" s="353">
        <v>7</v>
      </c>
      <c r="E432" s="353">
        <v>9</v>
      </c>
      <c r="F432" s="353">
        <v>10</v>
      </c>
      <c r="G432" s="353">
        <v>14</v>
      </c>
      <c r="H432" s="353"/>
      <c r="I432" s="353"/>
      <c r="J432" s="353"/>
      <c r="K432" s="353">
        <v>0.46</v>
      </c>
      <c r="L432" s="353">
        <v>1.85</v>
      </c>
      <c r="M432" s="353"/>
      <c r="N432" s="353"/>
      <c r="O432" s="353" t="s">
        <v>153</v>
      </c>
      <c r="P432" s="353">
        <v>2015</v>
      </c>
      <c r="Q432" t="s">
        <v>68</v>
      </c>
      <c r="R432" t="s">
        <v>1631</v>
      </c>
      <c r="S432" s="378" t="s">
        <v>323</v>
      </c>
      <c r="T432" s="378" t="s">
        <v>342</v>
      </c>
      <c r="U432" s="377" t="s">
        <v>162</v>
      </c>
    </row>
    <row r="433" spans="1:21" x14ac:dyDescent="0.2">
      <c r="A433" s="353">
        <v>891507</v>
      </c>
      <c r="B433" s="340" t="s">
        <v>976</v>
      </c>
      <c r="C433" s="353">
        <v>32</v>
      </c>
      <c r="D433" s="353">
        <v>3</v>
      </c>
      <c r="E433" s="353">
        <v>10</v>
      </c>
      <c r="F433" s="353">
        <v>13</v>
      </c>
      <c r="G433" s="353">
        <v>32</v>
      </c>
      <c r="H433" s="353"/>
      <c r="I433" s="353"/>
      <c r="J433" s="353"/>
      <c r="K433" s="353">
        <v>0.46</v>
      </c>
      <c r="L433" s="353">
        <v>1.62</v>
      </c>
      <c r="M433" s="353"/>
      <c r="N433" s="353"/>
      <c r="O433" s="353" t="s">
        <v>153</v>
      </c>
      <c r="P433" s="353">
        <v>2016</v>
      </c>
      <c r="Q433" t="s">
        <v>154</v>
      </c>
      <c r="R433" t="s">
        <v>1885</v>
      </c>
      <c r="S433" s="378" t="s">
        <v>196</v>
      </c>
      <c r="T433" s="378" t="s">
        <v>1046</v>
      </c>
      <c r="U433" s="377" t="s">
        <v>162</v>
      </c>
    </row>
    <row r="434" spans="1:21" x14ac:dyDescent="0.2">
      <c r="A434" s="353">
        <v>505586</v>
      </c>
      <c r="B434" s="340" t="s">
        <v>465</v>
      </c>
      <c r="C434" s="353">
        <v>28</v>
      </c>
      <c r="D434" s="353">
        <v>7</v>
      </c>
      <c r="E434" s="353">
        <v>4</v>
      </c>
      <c r="F434" s="353">
        <v>6</v>
      </c>
      <c r="G434" s="353">
        <v>12</v>
      </c>
      <c r="H434" s="353">
        <v>50</v>
      </c>
      <c r="I434" s="353">
        <v>131</v>
      </c>
      <c r="J434" s="353">
        <v>18.2</v>
      </c>
      <c r="K434" s="353">
        <v>0.47</v>
      </c>
      <c r="L434" s="353">
        <v>2.25</v>
      </c>
      <c r="M434" s="353">
        <v>19.399999999999999</v>
      </c>
      <c r="N434" s="353">
        <v>0.8</v>
      </c>
      <c r="O434" s="353" t="s">
        <v>153</v>
      </c>
      <c r="P434" s="353">
        <v>2004</v>
      </c>
      <c r="Q434" t="s">
        <v>154</v>
      </c>
      <c r="R434" t="s">
        <v>1962</v>
      </c>
      <c r="S434" s="378" t="s">
        <v>188</v>
      </c>
      <c r="T434" s="378" t="s">
        <v>1057</v>
      </c>
    </row>
    <row r="435" spans="1:21" x14ac:dyDescent="0.2">
      <c r="A435" s="353">
        <v>626291</v>
      </c>
      <c r="B435" s="340" t="s">
        <v>437</v>
      </c>
      <c r="C435" s="353">
        <v>16</v>
      </c>
      <c r="D435" s="353">
        <v>2</v>
      </c>
      <c r="E435" s="353">
        <v>3</v>
      </c>
      <c r="F435" s="353">
        <v>2</v>
      </c>
      <c r="G435" s="353">
        <v>19</v>
      </c>
      <c r="H435" s="353">
        <v>46</v>
      </c>
      <c r="I435" s="353">
        <v>105</v>
      </c>
      <c r="J435" s="353">
        <v>15.4</v>
      </c>
      <c r="K435" s="353">
        <v>0.47</v>
      </c>
      <c r="L435" s="353">
        <v>1.21</v>
      </c>
      <c r="M435" s="353">
        <v>13</v>
      </c>
      <c r="N435" s="353">
        <v>1.1000000000000001</v>
      </c>
      <c r="O435" s="353" t="s">
        <v>153</v>
      </c>
      <c r="P435" s="353">
        <v>2010</v>
      </c>
      <c r="Q435" t="s">
        <v>154</v>
      </c>
      <c r="R435" t="s">
        <v>1310</v>
      </c>
      <c r="S435" s="378" t="s">
        <v>155</v>
      </c>
      <c r="T435" s="378" t="s">
        <v>1024</v>
      </c>
    </row>
    <row r="436" spans="1:21" x14ac:dyDescent="0.2">
      <c r="A436" s="353">
        <v>183178</v>
      </c>
      <c r="B436" s="340" t="s">
        <v>440</v>
      </c>
      <c r="C436" s="353">
        <v>13</v>
      </c>
      <c r="D436" s="353">
        <v>3</v>
      </c>
      <c r="E436" s="353">
        <v>9</v>
      </c>
      <c r="F436" s="353">
        <v>12</v>
      </c>
      <c r="G436" s="353">
        <v>14</v>
      </c>
      <c r="H436" s="353">
        <v>42</v>
      </c>
      <c r="I436" s="353">
        <v>84</v>
      </c>
      <c r="J436" s="353">
        <v>12.9</v>
      </c>
      <c r="K436" s="353">
        <v>0.47</v>
      </c>
      <c r="L436" s="353">
        <v>1.2</v>
      </c>
      <c r="M436" s="353">
        <v>13.4</v>
      </c>
      <c r="N436" s="353">
        <v>1</v>
      </c>
      <c r="O436" s="353" t="s">
        <v>293</v>
      </c>
      <c r="P436" s="353">
        <v>2001</v>
      </c>
      <c r="Q436" t="s">
        <v>68</v>
      </c>
      <c r="R436" t="s">
        <v>1891</v>
      </c>
      <c r="S436" s="378" t="s">
        <v>294</v>
      </c>
      <c r="T436" s="378" t="s">
        <v>298</v>
      </c>
    </row>
    <row r="437" spans="1:21" x14ac:dyDescent="0.2">
      <c r="A437" s="353">
        <v>311027</v>
      </c>
      <c r="B437" s="340" t="s">
        <v>424</v>
      </c>
      <c r="C437" s="353">
        <v>13</v>
      </c>
      <c r="D437" s="353">
        <v>4</v>
      </c>
      <c r="E437" s="353">
        <v>6</v>
      </c>
      <c r="F437" s="353">
        <v>8</v>
      </c>
      <c r="G437" s="353">
        <v>16</v>
      </c>
      <c r="H437" s="353">
        <v>35</v>
      </c>
      <c r="I437" s="353">
        <v>66</v>
      </c>
      <c r="J437" s="353">
        <v>10.7</v>
      </c>
      <c r="K437" s="353">
        <v>0.47</v>
      </c>
      <c r="L437" s="353">
        <v>1.5</v>
      </c>
      <c r="M437" s="353">
        <v>13.2</v>
      </c>
      <c r="N437" s="353">
        <v>0.8</v>
      </c>
      <c r="O437" s="353" t="s">
        <v>293</v>
      </c>
      <c r="P437" s="353">
        <v>2013</v>
      </c>
      <c r="Q437" t="s">
        <v>68</v>
      </c>
      <c r="R437" t="s">
        <v>1841</v>
      </c>
      <c r="S437" s="378" t="s">
        <v>176</v>
      </c>
      <c r="T437" s="378" t="s">
        <v>1049</v>
      </c>
    </row>
    <row r="438" spans="1:21" x14ac:dyDescent="0.2">
      <c r="A438" s="353">
        <v>231985</v>
      </c>
      <c r="B438" s="340" t="s">
        <v>1012</v>
      </c>
      <c r="C438" s="353">
        <v>4</v>
      </c>
      <c r="D438" s="353">
        <v>3</v>
      </c>
      <c r="E438" s="353">
        <v>4</v>
      </c>
      <c r="F438" s="353">
        <v>2</v>
      </c>
      <c r="G438" s="353">
        <v>2</v>
      </c>
      <c r="H438" s="353">
        <v>14</v>
      </c>
      <c r="I438" s="353">
        <v>34</v>
      </c>
      <c r="J438" s="353">
        <v>6</v>
      </c>
      <c r="K438" s="353">
        <v>0.47</v>
      </c>
      <c r="L438" s="353">
        <v>1.05</v>
      </c>
      <c r="M438" s="353">
        <v>5.4</v>
      </c>
      <c r="N438" s="353">
        <v>0.9</v>
      </c>
      <c r="O438" s="353" t="s">
        <v>203</v>
      </c>
      <c r="P438" s="353">
        <v>2016</v>
      </c>
      <c r="Q438" t="s">
        <v>68</v>
      </c>
      <c r="R438" t="s">
        <v>1975</v>
      </c>
      <c r="S438" s="378" t="s">
        <v>604</v>
      </c>
      <c r="T438" s="378" t="s">
        <v>1035</v>
      </c>
      <c r="U438" s="377" t="s">
        <v>162</v>
      </c>
    </row>
    <row r="439" spans="1:21" x14ac:dyDescent="0.2">
      <c r="A439" s="353">
        <v>249995</v>
      </c>
      <c r="B439" s="340" t="s">
        <v>497</v>
      </c>
      <c r="C439" s="353">
        <v>-4</v>
      </c>
      <c r="D439" s="353">
        <v>1</v>
      </c>
      <c r="E439" s="353">
        <v>11</v>
      </c>
      <c r="F439" s="353">
        <v>-4</v>
      </c>
      <c r="G439" s="353">
        <v>9</v>
      </c>
      <c r="H439" s="353">
        <v>26</v>
      </c>
      <c r="I439" s="353">
        <v>25</v>
      </c>
      <c r="J439" s="353">
        <v>4.5999999999999996</v>
      </c>
      <c r="K439" s="353">
        <v>0.47</v>
      </c>
      <c r="L439" s="353">
        <v>2.54</v>
      </c>
      <c r="M439" s="353">
        <v>22.5</v>
      </c>
      <c r="N439" s="353">
        <v>0.5</v>
      </c>
      <c r="O439" s="353" t="s">
        <v>153</v>
      </c>
      <c r="P439" s="353">
        <v>2000</v>
      </c>
      <c r="Q439" t="s">
        <v>154</v>
      </c>
      <c r="R439" t="s">
        <v>1179</v>
      </c>
      <c r="S439" s="378" t="s">
        <v>188</v>
      </c>
      <c r="T439" s="378" t="s">
        <v>373</v>
      </c>
    </row>
    <row r="440" spans="1:21" x14ac:dyDescent="0.2">
      <c r="A440" s="353">
        <v>184291</v>
      </c>
      <c r="B440" s="340" t="s">
        <v>513</v>
      </c>
      <c r="C440" s="353">
        <v>1</v>
      </c>
      <c r="D440" s="353">
        <v>1</v>
      </c>
      <c r="E440" s="353">
        <v>0</v>
      </c>
      <c r="F440" s="353">
        <v>-1</v>
      </c>
      <c r="G440" s="353">
        <v>-2</v>
      </c>
      <c r="H440" s="353">
        <v>-17</v>
      </c>
      <c r="I440" s="353">
        <v>-2</v>
      </c>
      <c r="J440" s="353">
        <v>-0.4</v>
      </c>
      <c r="K440" s="353">
        <v>0.47</v>
      </c>
      <c r="L440" s="353">
        <v>2.5299999999999998</v>
      </c>
      <c r="M440" s="353">
        <v>14.8</v>
      </c>
      <c r="N440" s="353">
        <v>-0.3</v>
      </c>
      <c r="O440" s="353" t="s">
        <v>153</v>
      </c>
      <c r="P440" s="353">
        <v>2006</v>
      </c>
      <c r="Q440" t="s">
        <v>154</v>
      </c>
      <c r="R440" t="s">
        <v>1175</v>
      </c>
      <c r="S440" s="378" t="s">
        <v>188</v>
      </c>
      <c r="T440" s="378" t="s">
        <v>295</v>
      </c>
    </row>
    <row r="441" spans="1:21" x14ac:dyDescent="0.2">
      <c r="A441" s="353">
        <v>806869</v>
      </c>
      <c r="B441" s="340" t="s">
        <v>462</v>
      </c>
      <c r="C441" s="353">
        <v>13</v>
      </c>
      <c r="D441" s="353">
        <v>1</v>
      </c>
      <c r="E441" s="353">
        <v>7</v>
      </c>
      <c r="F441" s="353">
        <v>3</v>
      </c>
      <c r="G441" s="353">
        <v>22</v>
      </c>
      <c r="H441" s="353">
        <v>48</v>
      </c>
      <c r="I441" s="353">
        <v>123</v>
      </c>
      <c r="J441" s="353">
        <v>17.399999999999999</v>
      </c>
      <c r="K441" s="353">
        <v>0.48</v>
      </c>
      <c r="L441" s="353">
        <v>1.69</v>
      </c>
      <c r="M441" s="353">
        <v>14.2</v>
      </c>
      <c r="N441" s="353">
        <v>1</v>
      </c>
      <c r="O441" s="353" t="s">
        <v>153</v>
      </c>
      <c r="P441" s="353">
        <v>2000</v>
      </c>
      <c r="Q441" t="s">
        <v>154</v>
      </c>
      <c r="R441" t="s">
        <v>1312</v>
      </c>
      <c r="S441" s="378" t="s">
        <v>196</v>
      </c>
      <c r="T441" s="378" t="s">
        <v>219</v>
      </c>
      <c r="U441" s="377" t="s">
        <v>162</v>
      </c>
    </row>
    <row r="442" spans="1:21" x14ac:dyDescent="0.2">
      <c r="A442" s="353">
        <v>973263</v>
      </c>
      <c r="B442" s="340" t="s">
        <v>442</v>
      </c>
      <c r="C442" s="353">
        <v>14</v>
      </c>
      <c r="D442" s="353">
        <v>2</v>
      </c>
      <c r="E442" s="353">
        <v>6</v>
      </c>
      <c r="F442" s="353">
        <v>4</v>
      </c>
      <c r="G442" s="353">
        <v>17</v>
      </c>
      <c r="H442" s="353">
        <v>33</v>
      </c>
      <c r="I442" s="353">
        <v>79</v>
      </c>
      <c r="J442" s="353">
        <v>12.4</v>
      </c>
      <c r="K442" s="353">
        <v>0.48</v>
      </c>
      <c r="L442" s="353">
        <v>1.32</v>
      </c>
      <c r="M442" s="353">
        <v>13.4</v>
      </c>
      <c r="N442" s="353">
        <v>0.8</v>
      </c>
      <c r="O442" s="353" t="s">
        <v>153</v>
      </c>
      <c r="P442" s="353">
        <v>2000</v>
      </c>
      <c r="Q442" t="s">
        <v>154</v>
      </c>
      <c r="R442" t="s">
        <v>1325</v>
      </c>
      <c r="S442" s="378" t="s">
        <v>207</v>
      </c>
      <c r="T442" s="378" t="s">
        <v>219</v>
      </c>
      <c r="U442" s="377" t="s">
        <v>162</v>
      </c>
    </row>
    <row r="443" spans="1:21" x14ac:dyDescent="0.2">
      <c r="A443" s="353">
        <v>271478</v>
      </c>
      <c r="B443" s="340" t="s">
        <v>948</v>
      </c>
      <c r="C443" s="353">
        <v>12</v>
      </c>
      <c r="D443" s="353">
        <v>4</v>
      </c>
      <c r="E443" s="353">
        <v>7</v>
      </c>
      <c r="F443" s="353">
        <v>4</v>
      </c>
      <c r="G443" s="353">
        <v>17</v>
      </c>
      <c r="H443" s="353"/>
      <c r="I443" s="353"/>
      <c r="J443" s="353"/>
      <c r="K443" s="353">
        <v>0.48</v>
      </c>
      <c r="L443" s="353">
        <v>2.0299999999999998</v>
      </c>
      <c r="M443" s="353"/>
      <c r="N443" s="353"/>
      <c r="O443" s="353" t="s">
        <v>153</v>
      </c>
      <c r="P443" s="353">
        <v>2016</v>
      </c>
      <c r="Q443" t="s">
        <v>154</v>
      </c>
      <c r="R443" t="s">
        <v>1329</v>
      </c>
      <c r="S443" s="378" t="s">
        <v>949</v>
      </c>
      <c r="T443" s="378" t="s">
        <v>1026</v>
      </c>
    </row>
    <row r="444" spans="1:21" x14ac:dyDescent="0.2">
      <c r="A444" s="353">
        <v>392423</v>
      </c>
      <c r="B444" s="340" t="s">
        <v>870</v>
      </c>
      <c r="C444" s="353">
        <v>14</v>
      </c>
      <c r="D444" s="353">
        <v>7</v>
      </c>
      <c r="E444" s="353">
        <v>11</v>
      </c>
      <c r="F444" s="353">
        <v>5</v>
      </c>
      <c r="G444" s="353">
        <v>18</v>
      </c>
      <c r="H444" s="353">
        <v>45</v>
      </c>
      <c r="I444" s="353">
        <v>119</v>
      </c>
      <c r="J444" s="353">
        <v>17</v>
      </c>
      <c r="K444" s="353">
        <v>0.49</v>
      </c>
      <c r="L444" s="353">
        <v>2.21</v>
      </c>
      <c r="M444" s="353">
        <v>18.399999999999999</v>
      </c>
      <c r="N444" s="353">
        <v>0.8</v>
      </c>
      <c r="O444" s="353" t="s">
        <v>153</v>
      </c>
      <c r="P444" s="353">
        <v>2012</v>
      </c>
      <c r="Q444" t="s">
        <v>154</v>
      </c>
      <c r="R444" t="s">
        <v>1507</v>
      </c>
      <c r="S444" s="378" t="s">
        <v>247</v>
      </c>
      <c r="T444" s="378" t="s">
        <v>181</v>
      </c>
    </row>
    <row r="445" spans="1:21" x14ac:dyDescent="0.2">
      <c r="A445" s="353">
        <v>242495</v>
      </c>
      <c r="B445" s="340" t="s">
        <v>2036</v>
      </c>
      <c r="C445" s="353">
        <v>16</v>
      </c>
      <c r="D445" s="353">
        <v>3</v>
      </c>
      <c r="E445" s="353">
        <v>6</v>
      </c>
      <c r="F445" s="353">
        <v>6</v>
      </c>
      <c r="G445" s="353">
        <v>20</v>
      </c>
      <c r="H445" s="353">
        <v>46</v>
      </c>
      <c r="I445" s="353">
        <v>117</v>
      </c>
      <c r="J445" s="353">
        <v>16.8</v>
      </c>
      <c r="K445" s="353">
        <v>0.49</v>
      </c>
      <c r="L445" s="353">
        <v>1.33</v>
      </c>
      <c r="M445" s="353">
        <v>12</v>
      </c>
      <c r="N445" s="353">
        <v>1.1000000000000001</v>
      </c>
      <c r="O445" s="353" t="s">
        <v>153</v>
      </c>
      <c r="P445" s="353">
        <v>2010</v>
      </c>
      <c r="Q445" t="s">
        <v>68</v>
      </c>
      <c r="R445" t="s">
        <v>1217</v>
      </c>
      <c r="S445" s="378" t="s">
        <v>224</v>
      </c>
      <c r="T445" s="378" t="s">
        <v>318</v>
      </c>
    </row>
    <row r="446" spans="1:21" x14ac:dyDescent="0.2">
      <c r="A446" s="353">
        <v>503573</v>
      </c>
      <c r="B446" s="340" t="s">
        <v>2034</v>
      </c>
      <c r="C446" s="353">
        <v>7</v>
      </c>
      <c r="D446" s="353">
        <v>4</v>
      </c>
      <c r="E446" s="353">
        <v>7</v>
      </c>
      <c r="F446" s="353">
        <v>2</v>
      </c>
      <c r="G446" s="353">
        <v>14</v>
      </c>
      <c r="H446" s="353">
        <v>37</v>
      </c>
      <c r="I446" s="353">
        <v>100</v>
      </c>
      <c r="J446" s="353">
        <v>14.9</v>
      </c>
      <c r="K446" s="353">
        <v>0.49</v>
      </c>
      <c r="L446" s="353">
        <v>1.33</v>
      </c>
      <c r="M446" s="353">
        <v>15.6</v>
      </c>
      <c r="N446" s="353">
        <v>0.8</v>
      </c>
      <c r="O446" s="353" t="s">
        <v>153</v>
      </c>
      <c r="P446" s="353">
        <v>2011</v>
      </c>
      <c r="Q446" t="s">
        <v>68</v>
      </c>
      <c r="R446" t="s">
        <v>1218</v>
      </c>
      <c r="S446" s="378" t="s">
        <v>224</v>
      </c>
      <c r="T446" s="378" t="s">
        <v>181</v>
      </c>
      <c r="U446" s="377" t="s">
        <v>162</v>
      </c>
    </row>
    <row r="447" spans="1:21" x14ac:dyDescent="0.2">
      <c r="A447" s="353">
        <v>356592</v>
      </c>
      <c r="B447" s="340" t="s">
        <v>1127</v>
      </c>
      <c r="C447" s="353">
        <v>6</v>
      </c>
      <c r="D447" s="353">
        <v>4</v>
      </c>
      <c r="E447" s="353">
        <v>6</v>
      </c>
      <c r="F447" s="353">
        <v>2</v>
      </c>
      <c r="G447" s="353">
        <v>10</v>
      </c>
      <c r="H447" s="353">
        <v>31</v>
      </c>
      <c r="I447" s="353">
        <v>97</v>
      </c>
      <c r="J447" s="353">
        <v>14.5</v>
      </c>
      <c r="K447" s="353">
        <v>0.49</v>
      </c>
      <c r="L447" s="353">
        <v>2.23</v>
      </c>
      <c r="M447" s="353">
        <v>13.1</v>
      </c>
      <c r="N447" s="353">
        <v>0.8</v>
      </c>
      <c r="O447" s="353" t="s">
        <v>153</v>
      </c>
      <c r="P447" s="353">
        <v>2012</v>
      </c>
      <c r="Q447" t="s">
        <v>154</v>
      </c>
      <c r="R447" t="s">
        <v>1579</v>
      </c>
      <c r="S447" s="378" t="s">
        <v>247</v>
      </c>
      <c r="T447" s="378" t="s">
        <v>181</v>
      </c>
    </row>
    <row r="448" spans="1:21" x14ac:dyDescent="0.2">
      <c r="A448" s="353">
        <v>972901</v>
      </c>
      <c r="B448" s="340" t="s">
        <v>882</v>
      </c>
      <c r="C448" s="353">
        <v>10</v>
      </c>
      <c r="D448" s="353">
        <v>1</v>
      </c>
      <c r="E448" s="353">
        <v>5</v>
      </c>
      <c r="F448" s="353">
        <v>-1</v>
      </c>
      <c r="G448" s="353">
        <v>14</v>
      </c>
      <c r="H448" s="353">
        <v>32</v>
      </c>
      <c r="I448" s="353">
        <v>96</v>
      </c>
      <c r="J448" s="353">
        <v>14.4</v>
      </c>
      <c r="K448" s="353">
        <v>0.49</v>
      </c>
      <c r="L448" s="353">
        <v>1.24</v>
      </c>
      <c r="M448" s="353">
        <v>11.8</v>
      </c>
      <c r="N448" s="353">
        <v>0.9</v>
      </c>
      <c r="O448" s="353" t="s">
        <v>153</v>
      </c>
      <c r="P448" s="353">
        <v>2015</v>
      </c>
      <c r="Q448" t="s">
        <v>154</v>
      </c>
      <c r="R448" t="s">
        <v>1324</v>
      </c>
      <c r="S448" s="378" t="s">
        <v>284</v>
      </c>
      <c r="T448" s="378" t="s">
        <v>219</v>
      </c>
      <c r="U448" s="377" t="s">
        <v>162</v>
      </c>
    </row>
    <row r="449" spans="1:21" x14ac:dyDescent="0.2">
      <c r="A449" s="353">
        <v>428250</v>
      </c>
      <c r="B449" s="340" t="s">
        <v>874</v>
      </c>
      <c r="C449" s="353">
        <v>10</v>
      </c>
      <c r="D449" s="353">
        <v>5</v>
      </c>
      <c r="E449" s="353">
        <v>8</v>
      </c>
      <c r="F449" s="353">
        <v>3</v>
      </c>
      <c r="G449" s="353">
        <v>13</v>
      </c>
      <c r="H449" s="353">
        <v>33</v>
      </c>
      <c r="I449" s="353">
        <v>86</v>
      </c>
      <c r="J449" s="353">
        <v>13.2</v>
      </c>
      <c r="K449" s="353">
        <v>0.49</v>
      </c>
      <c r="L449" s="353">
        <v>2.2400000000000002</v>
      </c>
      <c r="M449" s="353">
        <v>14.4</v>
      </c>
      <c r="N449" s="353">
        <v>0.7</v>
      </c>
      <c r="O449" s="353" t="s">
        <v>153</v>
      </c>
      <c r="P449" s="353">
        <v>2012</v>
      </c>
      <c r="Q449" t="s">
        <v>154</v>
      </c>
      <c r="R449" t="s">
        <v>1504</v>
      </c>
      <c r="S449" s="378" t="s">
        <v>247</v>
      </c>
      <c r="T449" s="378" t="s">
        <v>181</v>
      </c>
    </row>
    <row r="450" spans="1:21" x14ac:dyDescent="0.2">
      <c r="A450" s="353">
        <v>618629</v>
      </c>
      <c r="B450" s="340" t="s">
        <v>477</v>
      </c>
      <c r="C450" s="353">
        <v>34</v>
      </c>
      <c r="D450" s="353">
        <v>8</v>
      </c>
      <c r="E450" s="353">
        <v>11</v>
      </c>
      <c r="F450" s="353">
        <v>16</v>
      </c>
      <c r="G450" s="353">
        <v>25</v>
      </c>
      <c r="H450" s="353">
        <v>50</v>
      </c>
      <c r="I450" s="353">
        <v>82</v>
      </c>
      <c r="J450" s="353">
        <v>12.7</v>
      </c>
      <c r="K450" s="353">
        <v>0.49</v>
      </c>
      <c r="L450" s="353">
        <v>1.79</v>
      </c>
      <c r="M450" s="353">
        <v>14.4</v>
      </c>
      <c r="N450" s="353">
        <v>1</v>
      </c>
      <c r="O450" s="353" t="s">
        <v>153</v>
      </c>
      <c r="P450" s="353">
        <v>2000</v>
      </c>
      <c r="Q450" t="s">
        <v>154</v>
      </c>
      <c r="R450" t="s">
        <v>1810</v>
      </c>
      <c r="S450" s="378" t="s">
        <v>226</v>
      </c>
      <c r="T450" s="378" t="s">
        <v>1048</v>
      </c>
      <c r="U450" s="377" t="s">
        <v>162</v>
      </c>
    </row>
    <row r="451" spans="1:21" x14ac:dyDescent="0.2">
      <c r="A451" s="353">
        <v>762880</v>
      </c>
      <c r="B451" s="340" t="s">
        <v>411</v>
      </c>
      <c r="C451" s="353">
        <v>11</v>
      </c>
      <c r="D451" s="353">
        <v>5</v>
      </c>
      <c r="E451" s="353">
        <v>7</v>
      </c>
      <c r="F451" s="353">
        <v>5</v>
      </c>
      <c r="G451" s="353">
        <v>13</v>
      </c>
      <c r="H451" s="353">
        <v>26</v>
      </c>
      <c r="I451" s="353">
        <v>75</v>
      </c>
      <c r="J451" s="353">
        <v>11.8</v>
      </c>
      <c r="K451" s="353">
        <v>0.49</v>
      </c>
      <c r="L451" s="353">
        <v>2.21</v>
      </c>
      <c r="M451" s="353">
        <v>11.6</v>
      </c>
      <c r="N451" s="353">
        <v>0.7</v>
      </c>
      <c r="O451" s="353" t="s">
        <v>153</v>
      </c>
      <c r="P451" s="353">
        <v>2011</v>
      </c>
      <c r="Q451" t="s">
        <v>68</v>
      </c>
      <c r="R451" t="s">
        <v>1243</v>
      </c>
      <c r="S451" s="378" t="s">
        <v>942</v>
      </c>
      <c r="T451" s="378" t="s">
        <v>295</v>
      </c>
    </row>
    <row r="452" spans="1:21" x14ac:dyDescent="0.2">
      <c r="A452" s="353">
        <v>948117</v>
      </c>
      <c r="B452" s="340" t="s">
        <v>1011</v>
      </c>
      <c r="C452" s="353">
        <v>20</v>
      </c>
      <c r="D452" s="353">
        <v>5</v>
      </c>
      <c r="E452" s="353">
        <v>8</v>
      </c>
      <c r="F452" s="353">
        <v>9</v>
      </c>
      <c r="G452" s="353">
        <v>16</v>
      </c>
      <c r="H452" s="353">
        <v>22</v>
      </c>
      <c r="I452" s="353">
        <v>35</v>
      </c>
      <c r="J452" s="353">
        <v>6.2</v>
      </c>
      <c r="K452" s="353">
        <v>0.49</v>
      </c>
      <c r="L452" s="353">
        <v>2.78</v>
      </c>
      <c r="M452" s="353">
        <v>10.3</v>
      </c>
      <c r="N452" s="353">
        <v>0.7</v>
      </c>
      <c r="O452" s="353" t="s">
        <v>153</v>
      </c>
      <c r="P452" s="353">
        <v>2011</v>
      </c>
      <c r="Q452" t="s">
        <v>68</v>
      </c>
      <c r="R452" t="s">
        <v>1369</v>
      </c>
      <c r="S452" s="378" t="s">
        <v>942</v>
      </c>
      <c r="T452" s="378" t="s">
        <v>295</v>
      </c>
    </row>
    <row r="453" spans="1:21" x14ac:dyDescent="0.2">
      <c r="A453" s="353">
        <v>225904</v>
      </c>
      <c r="B453" s="340" t="s">
        <v>1098</v>
      </c>
      <c r="C453" s="353"/>
      <c r="D453" s="353">
        <v>0</v>
      </c>
      <c r="E453" s="353">
        <v>3</v>
      </c>
      <c r="F453" s="353">
        <v>5</v>
      </c>
      <c r="G453" s="353"/>
      <c r="H453" s="353"/>
      <c r="I453" s="353"/>
      <c r="J453" s="353"/>
      <c r="K453" s="353">
        <v>0.49</v>
      </c>
      <c r="L453" s="353">
        <v>1.1200000000000001</v>
      </c>
      <c r="M453" s="353"/>
      <c r="N453" s="353"/>
      <c r="O453" s="353" t="s">
        <v>153</v>
      </c>
      <c r="P453" s="353">
        <v>2017</v>
      </c>
      <c r="Q453" t="s">
        <v>154</v>
      </c>
      <c r="R453" t="s">
        <v>1919</v>
      </c>
      <c r="S453" s="378" t="s">
        <v>412</v>
      </c>
      <c r="T453" s="378" t="s">
        <v>1024</v>
      </c>
    </row>
    <row r="454" spans="1:21" x14ac:dyDescent="0.2">
      <c r="A454" s="353">
        <v>785618</v>
      </c>
      <c r="B454" s="340" t="s">
        <v>524</v>
      </c>
      <c r="C454" s="353">
        <v>25</v>
      </c>
      <c r="D454" s="353">
        <v>8</v>
      </c>
      <c r="E454" s="353">
        <v>12</v>
      </c>
      <c r="F454" s="353">
        <v>10</v>
      </c>
      <c r="G454" s="353">
        <v>26</v>
      </c>
      <c r="H454" s="353">
        <v>92</v>
      </c>
      <c r="I454" s="353">
        <v>203</v>
      </c>
      <c r="J454" s="353">
        <v>24.9</v>
      </c>
      <c r="K454" s="353">
        <v>0.5</v>
      </c>
      <c r="L454" s="353">
        <v>1.86</v>
      </c>
      <c r="M454" s="353">
        <v>13.9</v>
      </c>
      <c r="N454" s="353">
        <v>1.7</v>
      </c>
      <c r="O454" s="353" t="s">
        <v>153</v>
      </c>
      <c r="P454" s="353">
        <v>2000</v>
      </c>
      <c r="Q454" t="s">
        <v>154</v>
      </c>
      <c r="R454" t="s">
        <v>1762</v>
      </c>
      <c r="S454" s="378" t="s">
        <v>166</v>
      </c>
      <c r="T454" s="378" t="s">
        <v>253</v>
      </c>
      <c r="U454" s="377" t="s">
        <v>162</v>
      </c>
    </row>
    <row r="455" spans="1:21" x14ac:dyDescent="0.2">
      <c r="A455" s="353">
        <v>946285</v>
      </c>
      <c r="B455" s="340" t="s">
        <v>1103</v>
      </c>
      <c r="C455" s="353">
        <v>11</v>
      </c>
      <c r="D455" s="353">
        <v>4</v>
      </c>
      <c r="E455" s="353">
        <v>7</v>
      </c>
      <c r="F455" s="353">
        <v>4</v>
      </c>
      <c r="G455" s="353">
        <v>15</v>
      </c>
      <c r="H455" s="353">
        <v>28</v>
      </c>
      <c r="I455" s="353">
        <v>71</v>
      </c>
      <c r="J455" s="353">
        <v>11.4</v>
      </c>
      <c r="K455" s="353">
        <v>0.5</v>
      </c>
      <c r="L455" s="353">
        <v>1.61</v>
      </c>
      <c r="M455" s="353">
        <v>11.1</v>
      </c>
      <c r="N455" s="353">
        <v>0.8</v>
      </c>
      <c r="O455" s="353" t="s">
        <v>153</v>
      </c>
      <c r="P455" s="353">
        <v>2012</v>
      </c>
      <c r="Q455" t="s">
        <v>68</v>
      </c>
      <c r="R455" t="s">
        <v>1606</v>
      </c>
      <c r="S455" s="378" t="s">
        <v>657</v>
      </c>
      <c r="T455" s="378" t="s">
        <v>1024</v>
      </c>
    </row>
    <row r="456" spans="1:21" x14ac:dyDescent="0.2">
      <c r="A456" s="353">
        <v>794115</v>
      </c>
      <c r="B456" s="340" t="s">
        <v>519</v>
      </c>
      <c r="C456" s="353">
        <v>13</v>
      </c>
      <c r="D456" s="353">
        <v>4</v>
      </c>
      <c r="E456" s="353">
        <v>6</v>
      </c>
      <c r="F456" s="353">
        <v>6</v>
      </c>
      <c r="G456" s="353">
        <v>13</v>
      </c>
      <c r="H456" s="353">
        <v>26</v>
      </c>
      <c r="I456" s="353">
        <v>61</v>
      </c>
      <c r="J456" s="353">
        <v>10</v>
      </c>
      <c r="K456" s="353">
        <v>0.5</v>
      </c>
      <c r="L456" s="353">
        <v>1.92</v>
      </c>
      <c r="M456" s="353">
        <v>8.6999999999999993</v>
      </c>
      <c r="N456" s="353">
        <v>1</v>
      </c>
      <c r="O456" s="353" t="s">
        <v>203</v>
      </c>
      <c r="P456" s="353">
        <v>2000</v>
      </c>
      <c r="Q456" t="s">
        <v>68</v>
      </c>
      <c r="R456" t="s">
        <v>1897</v>
      </c>
      <c r="S456" s="378" t="s">
        <v>751</v>
      </c>
      <c r="T456" s="378" t="s">
        <v>1023</v>
      </c>
    </row>
    <row r="457" spans="1:21" x14ac:dyDescent="0.2">
      <c r="A457" s="353">
        <v>982116</v>
      </c>
      <c r="B457" s="340" t="s">
        <v>1106</v>
      </c>
      <c r="C457" s="353">
        <v>9</v>
      </c>
      <c r="D457" s="353">
        <v>4</v>
      </c>
      <c r="E457" s="353">
        <v>5</v>
      </c>
      <c r="F457" s="353">
        <v>3</v>
      </c>
      <c r="G457" s="353">
        <v>12</v>
      </c>
      <c r="H457" s="353">
        <v>22</v>
      </c>
      <c r="I457" s="353">
        <v>54</v>
      </c>
      <c r="J457" s="353">
        <v>9.1</v>
      </c>
      <c r="K457" s="353">
        <v>0.5</v>
      </c>
      <c r="L457" s="353">
        <v>1.61</v>
      </c>
      <c r="M457" s="353">
        <v>8.9</v>
      </c>
      <c r="N457" s="353">
        <v>0.8</v>
      </c>
      <c r="O457" s="353" t="s">
        <v>153</v>
      </c>
      <c r="P457" s="353">
        <v>2012</v>
      </c>
      <c r="Q457" t="s">
        <v>68</v>
      </c>
      <c r="R457" t="s">
        <v>1632</v>
      </c>
      <c r="S457" s="378" t="s">
        <v>657</v>
      </c>
      <c r="T457" s="378" t="s">
        <v>1024</v>
      </c>
    </row>
    <row r="458" spans="1:21" x14ac:dyDescent="0.2">
      <c r="A458" s="353">
        <v>722454</v>
      </c>
      <c r="B458" s="340" t="s">
        <v>490</v>
      </c>
      <c r="C458" s="353">
        <v>10</v>
      </c>
      <c r="D458" s="353">
        <v>3</v>
      </c>
      <c r="E458" s="353">
        <v>5</v>
      </c>
      <c r="F458" s="353">
        <v>5</v>
      </c>
      <c r="G458" s="353">
        <v>9</v>
      </c>
      <c r="H458" s="353">
        <v>20</v>
      </c>
      <c r="I458" s="353">
        <v>49</v>
      </c>
      <c r="J458" s="353">
        <v>8.1999999999999993</v>
      </c>
      <c r="K458" s="353">
        <v>0.5</v>
      </c>
      <c r="L458" s="353">
        <v>1.72</v>
      </c>
      <c r="M458" s="353">
        <v>7.3</v>
      </c>
      <c r="N458" s="353">
        <v>0.9</v>
      </c>
      <c r="O458" s="353" t="s">
        <v>203</v>
      </c>
      <c r="P458" s="353">
        <v>2000</v>
      </c>
      <c r="Q458" t="s">
        <v>68</v>
      </c>
      <c r="R458" t="s">
        <v>1673</v>
      </c>
      <c r="S458" s="378" t="s">
        <v>751</v>
      </c>
      <c r="T458" s="378" t="s">
        <v>1041</v>
      </c>
    </row>
    <row r="459" spans="1:21" x14ac:dyDescent="0.2">
      <c r="A459" s="353">
        <v>740274</v>
      </c>
      <c r="B459" s="340" t="s">
        <v>1092</v>
      </c>
      <c r="C459" s="353"/>
      <c r="D459" s="353">
        <v>2</v>
      </c>
      <c r="E459" s="353">
        <v>5</v>
      </c>
      <c r="F459" s="353"/>
      <c r="G459" s="353"/>
      <c r="H459" s="353"/>
      <c r="I459" s="353"/>
      <c r="J459" s="353"/>
      <c r="K459" s="353">
        <v>0.5</v>
      </c>
      <c r="L459" s="353">
        <v>2.0299999999999998</v>
      </c>
      <c r="M459" s="353"/>
      <c r="N459" s="353"/>
      <c r="O459" s="353" t="s">
        <v>203</v>
      </c>
      <c r="P459" s="353">
        <v>2017</v>
      </c>
      <c r="Q459" t="s">
        <v>68</v>
      </c>
      <c r="R459" t="s">
        <v>1653</v>
      </c>
      <c r="S459" s="378" t="s">
        <v>323</v>
      </c>
      <c r="T459" s="378" t="s">
        <v>181</v>
      </c>
      <c r="U459" s="377" t="s">
        <v>162</v>
      </c>
    </row>
    <row r="460" spans="1:21" x14ac:dyDescent="0.2">
      <c r="A460" s="353">
        <v>938902</v>
      </c>
      <c r="B460" s="340" t="s">
        <v>851</v>
      </c>
      <c r="C460" s="353">
        <v>16</v>
      </c>
      <c r="D460" s="353">
        <v>9</v>
      </c>
      <c r="E460" s="353">
        <v>12</v>
      </c>
      <c r="F460" s="353">
        <v>8</v>
      </c>
      <c r="G460" s="353">
        <v>10</v>
      </c>
      <c r="H460" s="353">
        <v>45</v>
      </c>
      <c r="I460" s="353">
        <v>118</v>
      </c>
      <c r="J460" s="353">
        <v>16.8</v>
      </c>
      <c r="K460" s="353">
        <v>0.51</v>
      </c>
      <c r="L460" s="353">
        <v>1.55</v>
      </c>
      <c r="M460" s="353">
        <v>16.100000000000001</v>
      </c>
      <c r="N460" s="353">
        <v>0.9</v>
      </c>
      <c r="O460" s="353" t="s">
        <v>492</v>
      </c>
      <c r="P460" s="353">
        <v>2015</v>
      </c>
      <c r="Q460" t="s">
        <v>68</v>
      </c>
      <c r="R460" t="s">
        <v>1854</v>
      </c>
      <c r="S460" s="378" t="s">
        <v>751</v>
      </c>
      <c r="T460" s="378" t="s">
        <v>201</v>
      </c>
    </row>
    <row r="461" spans="1:21" x14ac:dyDescent="0.2">
      <c r="A461" s="353">
        <v>696658</v>
      </c>
      <c r="B461" s="340" t="s">
        <v>470</v>
      </c>
      <c r="C461" s="353">
        <v>8</v>
      </c>
      <c r="D461" s="353">
        <v>3</v>
      </c>
      <c r="E461" s="353">
        <v>5</v>
      </c>
      <c r="F461" s="353">
        <v>2</v>
      </c>
      <c r="G461" s="353">
        <v>11</v>
      </c>
      <c r="H461" s="353">
        <v>28</v>
      </c>
      <c r="I461" s="353">
        <v>63</v>
      </c>
      <c r="J461" s="353">
        <v>10.199999999999999</v>
      </c>
      <c r="K461" s="353">
        <v>0.51</v>
      </c>
      <c r="L461" s="353">
        <v>1.44</v>
      </c>
      <c r="M461" s="353">
        <v>10.1</v>
      </c>
      <c r="N461" s="353">
        <v>0.9</v>
      </c>
      <c r="O461" s="353" t="s">
        <v>153</v>
      </c>
      <c r="P461" s="353">
        <v>2013</v>
      </c>
      <c r="Q461" t="s">
        <v>154</v>
      </c>
      <c r="R461" t="s">
        <v>1251</v>
      </c>
      <c r="S461" s="378" t="s">
        <v>207</v>
      </c>
      <c r="T461" s="378" t="s">
        <v>1023</v>
      </c>
      <c r="U461" s="377" t="s">
        <v>162</v>
      </c>
    </row>
    <row r="462" spans="1:21" x14ac:dyDescent="0.2">
      <c r="A462" s="353">
        <v>157438</v>
      </c>
      <c r="B462" s="340" t="s">
        <v>518</v>
      </c>
      <c r="C462" s="353">
        <v>15</v>
      </c>
      <c r="D462" s="353">
        <v>1</v>
      </c>
      <c r="E462" s="353">
        <v>3</v>
      </c>
      <c r="F462" s="353">
        <v>8</v>
      </c>
      <c r="G462" s="353">
        <v>21</v>
      </c>
      <c r="H462" s="353">
        <v>71</v>
      </c>
      <c r="I462" s="353">
        <v>166</v>
      </c>
      <c r="J462" s="353">
        <v>21.6</v>
      </c>
      <c r="K462" s="353">
        <v>0.52</v>
      </c>
      <c r="L462" s="353">
        <v>1.2</v>
      </c>
      <c r="M462" s="353">
        <v>14.9</v>
      </c>
      <c r="N462" s="353">
        <v>1.3</v>
      </c>
      <c r="O462" s="353" t="s">
        <v>203</v>
      </c>
      <c r="P462" s="353">
        <v>2011</v>
      </c>
      <c r="Q462" t="s">
        <v>68</v>
      </c>
      <c r="R462" t="s">
        <v>1860</v>
      </c>
      <c r="S462" s="378" t="s">
        <v>1117</v>
      </c>
      <c r="T462" s="378" t="s">
        <v>298</v>
      </c>
      <c r="U462" s="377" t="s">
        <v>162</v>
      </c>
    </row>
    <row r="463" spans="1:21" x14ac:dyDescent="0.2">
      <c r="A463" s="353">
        <v>328021</v>
      </c>
      <c r="B463" s="340" t="s">
        <v>413</v>
      </c>
      <c r="C463" s="353">
        <v>15</v>
      </c>
      <c r="D463" s="353">
        <v>2</v>
      </c>
      <c r="E463" s="353">
        <v>6</v>
      </c>
      <c r="F463" s="353">
        <v>1</v>
      </c>
      <c r="G463" s="353">
        <v>23</v>
      </c>
      <c r="H463" s="353">
        <v>56</v>
      </c>
      <c r="I463" s="353">
        <v>142</v>
      </c>
      <c r="J463" s="353">
        <v>19.3</v>
      </c>
      <c r="K463" s="353">
        <v>0.52</v>
      </c>
      <c r="L463" s="353">
        <v>1.2</v>
      </c>
      <c r="M463" s="353">
        <v>12.9</v>
      </c>
      <c r="N463" s="353">
        <v>1.2</v>
      </c>
      <c r="O463" s="353" t="s">
        <v>153</v>
      </c>
      <c r="P463" s="353">
        <v>2013</v>
      </c>
      <c r="Q463" t="s">
        <v>154</v>
      </c>
      <c r="R463" t="s">
        <v>1271</v>
      </c>
      <c r="S463" s="378" t="s">
        <v>414</v>
      </c>
      <c r="T463" s="378" t="s">
        <v>219</v>
      </c>
    </row>
    <row r="464" spans="1:21" x14ac:dyDescent="0.2">
      <c r="A464" s="353">
        <v>651612</v>
      </c>
      <c r="B464" s="340" t="s">
        <v>1097</v>
      </c>
      <c r="C464" s="353">
        <v>5</v>
      </c>
      <c r="D464" s="353">
        <v>6</v>
      </c>
      <c r="E464" s="353">
        <v>10</v>
      </c>
      <c r="F464" s="353">
        <v>2</v>
      </c>
      <c r="G464" s="353">
        <v>12</v>
      </c>
      <c r="H464" s="353">
        <v>47</v>
      </c>
      <c r="I464" s="353">
        <v>131</v>
      </c>
      <c r="J464" s="353">
        <v>18.2</v>
      </c>
      <c r="K464" s="353">
        <v>0.52</v>
      </c>
      <c r="L464" s="353">
        <v>1.42</v>
      </c>
      <c r="M464" s="353">
        <v>14</v>
      </c>
      <c r="N464" s="353">
        <v>1</v>
      </c>
      <c r="O464" s="353" t="s">
        <v>293</v>
      </c>
      <c r="P464" s="353">
        <v>2017</v>
      </c>
      <c r="Q464" t="s">
        <v>68</v>
      </c>
      <c r="R464" t="s">
        <v>1858</v>
      </c>
      <c r="S464" s="378" t="s">
        <v>455</v>
      </c>
      <c r="T464" s="378" t="s">
        <v>1047</v>
      </c>
      <c r="U464" s="377" t="s">
        <v>162</v>
      </c>
    </row>
    <row r="465" spans="1:21" x14ac:dyDescent="0.2">
      <c r="A465" s="353">
        <v>555466</v>
      </c>
      <c r="B465" s="340" t="s">
        <v>469</v>
      </c>
      <c r="C465" s="353">
        <v>13</v>
      </c>
      <c r="D465" s="353">
        <v>4</v>
      </c>
      <c r="E465" s="353">
        <v>6</v>
      </c>
      <c r="F465" s="353">
        <v>5</v>
      </c>
      <c r="G465" s="353">
        <v>17</v>
      </c>
      <c r="H465" s="353">
        <v>51</v>
      </c>
      <c r="I465" s="353">
        <v>121</v>
      </c>
      <c r="J465" s="353">
        <v>17.2</v>
      </c>
      <c r="K465" s="353">
        <v>0.52</v>
      </c>
      <c r="L465" s="353">
        <v>1.21</v>
      </c>
      <c r="M465" s="353">
        <v>13.3</v>
      </c>
      <c r="N465" s="353">
        <v>1.1000000000000001</v>
      </c>
      <c r="O465" s="353" t="s">
        <v>344</v>
      </c>
      <c r="P465" s="353">
        <v>2000</v>
      </c>
      <c r="Q465" t="s">
        <v>68</v>
      </c>
      <c r="R465" t="s">
        <v>1238</v>
      </c>
      <c r="S465" s="378" t="s">
        <v>375</v>
      </c>
      <c r="T465" s="378" t="s">
        <v>181</v>
      </c>
    </row>
    <row r="466" spans="1:21" x14ac:dyDescent="0.2">
      <c r="A466" s="353">
        <v>852079</v>
      </c>
      <c r="B466" s="340" t="s">
        <v>776</v>
      </c>
      <c r="C466" s="353">
        <v>8</v>
      </c>
      <c r="D466" s="353">
        <v>2</v>
      </c>
      <c r="E466" s="353">
        <v>3</v>
      </c>
      <c r="F466" s="353">
        <v>3</v>
      </c>
      <c r="G466" s="353">
        <v>7</v>
      </c>
      <c r="H466" s="353">
        <v>25</v>
      </c>
      <c r="I466" s="353">
        <v>73</v>
      </c>
      <c r="J466" s="353">
        <v>11.6</v>
      </c>
      <c r="K466" s="353">
        <v>0.52</v>
      </c>
      <c r="L466" s="353">
        <v>1.2</v>
      </c>
      <c r="M466" s="353">
        <v>12.7</v>
      </c>
      <c r="N466" s="353">
        <v>0.7</v>
      </c>
      <c r="O466" s="353" t="s">
        <v>203</v>
      </c>
      <c r="P466" s="353">
        <v>2015</v>
      </c>
      <c r="Q466" t="s">
        <v>68</v>
      </c>
      <c r="R466" t="s">
        <v>1609</v>
      </c>
      <c r="S466" s="378" t="s">
        <v>777</v>
      </c>
      <c r="T466" s="378" t="s">
        <v>1049</v>
      </c>
    </row>
    <row r="467" spans="1:21" x14ac:dyDescent="0.2">
      <c r="A467" s="353">
        <v>646240</v>
      </c>
      <c r="B467" s="340" t="s">
        <v>454</v>
      </c>
      <c r="C467" s="353">
        <v>14</v>
      </c>
      <c r="D467" s="353">
        <v>0</v>
      </c>
      <c r="E467" s="353">
        <v>6</v>
      </c>
      <c r="F467" s="353">
        <v>2</v>
      </c>
      <c r="G467" s="353">
        <v>18</v>
      </c>
      <c r="H467" s="353">
        <v>42</v>
      </c>
      <c r="I467" s="353"/>
      <c r="J467" s="353"/>
      <c r="K467" s="353">
        <v>0.52</v>
      </c>
      <c r="L467" s="353">
        <v>1.4</v>
      </c>
      <c r="M467" s="353">
        <v>13.3</v>
      </c>
      <c r="N467" s="353">
        <v>1</v>
      </c>
      <c r="O467" s="353" t="s">
        <v>153</v>
      </c>
      <c r="P467" s="353">
        <v>2013</v>
      </c>
      <c r="Q467" t="s">
        <v>68</v>
      </c>
      <c r="R467" t="s">
        <v>1297</v>
      </c>
      <c r="S467" s="378" t="s">
        <v>198</v>
      </c>
      <c r="T467" s="378" t="s">
        <v>219</v>
      </c>
    </row>
    <row r="468" spans="1:21" x14ac:dyDescent="0.2">
      <c r="A468" s="353">
        <v>443309</v>
      </c>
      <c r="B468" s="340" t="s">
        <v>1161</v>
      </c>
      <c r="C468" s="353">
        <v>7</v>
      </c>
      <c r="D468" s="353">
        <v>5</v>
      </c>
      <c r="E468" s="353">
        <v>8</v>
      </c>
      <c r="F468" s="353">
        <v>1</v>
      </c>
      <c r="G468" s="353">
        <v>9</v>
      </c>
      <c r="H468" s="353"/>
      <c r="I468" s="353"/>
      <c r="J468" s="353"/>
      <c r="K468" s="353">
        <v>0.52</v>
      </c>
      <c r="L468" s="353">
        <v>1.2</v>
      </c>
      <c r="M468" s="353"/>
      <c r="N468" s="353"/>
      <c r="O468" s="353" t="s">
        <v>153</v>
      </c>
      <c r="P468" s="353">
        <v>2017</v>
      </c>
      <c r="Q468" t="s">
        <v>154</v>
      </c>
      <c r="R468" t="s">
        <v>1740</v>
      </c>
      <c r="S468" s="378" t="s">
        <v>660</v>
      </c>
      <c r="T468" s="378" t="s">
        <v>181</v>
      </c>
      <c r="U468" s="377" t="s">
        <v>162</v>
      </c>
    </row>
    <row r="469" spans="1:21" x14ac:dyDescent="0.2">
      <c r="A469" s="353">
        <v>369876</v>
      </c>
      <c r="B469" s="340" t="s">
        <v>858</v>
      </c>
      <c r="C469" s="353">
        <v>-8</v>
      </c>
      <c r="D469" s="353">
        <v>1</v>
      </c>
      <c r="E469" s="353">
        <v>1</v>
      </c>
      <c r="F469" s="353">
        <v>-6</v>
      </c>
      <c r="G469" s="353">
        <v>-4</v>
      </c>
      <c r="H469" s="353"/>
      <c r="I469" s="353"/>
      <c r="J469" s="353"/>
      <c r="K469" s="353">
        <v>0.52</v>
      </c>
      <c r="L469" s="353">
        <v>1.2</v>
      </c>
      <c r="M469" s="353"/>
      <c r="N469" s="353"/>
      <c r="O469" s="353" t="s">
        <v>203</v>
      </c>
      <c r="P469" s="353">
        <v>2015</v>
      </c>
      <c r="Q469" t="s">
        <v>68</v>
      </c>
      <c r="R469" t="s">
        <v>1816</v>
      </c>
      <c r="S469" s="378" t="s">
        <v>777</v>
      </c>
      <c r="T469" s="378" t="s">
        <v>1049</v>
      </c>
    </row>
    <row r="470" spans="1:21" x14ac:dyDescent="0.2">
      <c r="A470" s="353">
        <v>156075</v>
      </c>
      <c r="B470" s="340" t="s">
        <v>1088</v>
      </c>
      <c r="C470" s="353">
        <v>14</v>
      </c>
      <c r="D470" s="353">
        <v>0</v>
      </c>
      <c r="E470" s="353">
        <v>-1</v>
      </c>
      <c r="F470" s="353">
        <v>-2</v>
      </c>
      <c r="G470" s="353">
        <v>17</v>
      </c>
      <c r="H470" s="353"/>
      <c r="I470" s="353"/>
      <c r="J470" s="353"/>
      <c r="K470" s="353">
        <v>0.52</v>
      </c>
      <c r="L470" s="353">
        <v>1.2</v>
      </c>
      <c r="M470" s="353"/>
      <c r="N470" s="353"/>
      <c r="O470" s="353" t="s">
        <v>203</v>
      </c>
      <c r="P470" s="353">
        <v>2016</v>
      </c>
      <c r="Q470" t="s">
        <v>68</v>
      </c>
      <c r="R470" t="s">
        <v>1946</v>
      </c>
      <c r="S470" s="378" t="s">
        <v>1117</v>
      </c>
      <c r="T470" s="378" t="s">
        <v>318</v>
      </c>
    </row>
    <row r="471" spans="1:21" x14ac:dyDescent="0.2">
      <c r="A471" s="353">
        <v>272898</v>
      </c>
      <c r="B471" s="340" t="s">
        <v>516</v>
      </c>
      <c r="C471" s="353">
        <v>17</v>
      </c>
      <c r="D471" s="353">
        <v>-1</v>
      </c>
      <c r="E471" s="353">
        <v>5</v>
      </c>
      <c r="F471" s="353">
        <v>-1</v>
      </c>
      <c r="G471" s="353">
        <v>23</v>
      </c>
      <c r="H471" s="353">
        <v>78</v>
      </c>
      <c r="I471" s="353">
        <v>198</v>
      </c>
      <c r="J471" s="353">
        <v>24.4</v>
      </c>
      <c r="K471" s="353">
        <v>0.53</v>
      </c>
      <c r="L471" s="353">
        <v>1.51</v>
      </c>
      <c r="M471" s="353">
        <v>16.3</v>
      </c>
      <c r="N471" s="353">
        <v>1.3</v>
      </c>
      <c r="O471" s="353" t="s">
        <v>153</v>
      </c>
      <c r="P471" s="353">
        <v>2008</v>
      </c>
      <c r="Q471" t="s">
        <v>154</v>
      </c>
      <c r="R471" t="s">
        <v>1266</v>
      </c>
      <c r="S471" s="378" t="s">
        <v>164</v>
      </c>
      <c r="T471" s="378" t="s">
        <v>219</v>
      </c>
    </row>
    <row r="472" spans="1:21" x14ac:dyDescent="0.2">
      <c r="A472" s="353">
        <v>152181</v>
      </c>
      <c r="B472" s="340" t="s">
        <v>512</v>
      </c>
      <c r="C472" s="353">
        <v>10</v>
      </c>
      <c r="D472" s="353">
        <v>-1</v>
      </c>
      <c r="E472" s="353">
        <v>3</v>
      </c>
      <c r="F472" s="353">
        <v>-2</v>
      </c>
      <c r="G472" s="353">
        <v>17</v>
      </c>
      <c r="H472" s="353">
        <v>62</v>
      </c>
      <c r="I472" s="353">
        <v>150</v>
      </c>
      <c r="J472" s="353">
        <v>20.100000000000001</v>
      </c>
      <c r="K472" s="353">
        <v>0.53</v>
      </c>
      <c r="L472" s="353">
        <v>1.53</v>
      </c>
      <c r="M472" s="353">
        <v>16.399999999999999</v>
      </c>
      <c r="N472" s="353">
        <v>1.1000000000000001</v>
      </c>
      <c r="O472" s="353" t="s">
        <v>153</v>
      </c>
      <c r="P472" s="353">
        <v>2003</v>
      </c>
      <c r="Q472" t="s">
        <v>154</v>
      </c>
      <c r="R472" t="s">
        <v>1255</v>
      </c>
      <c r="S472" s="378" t="s">
        <v>164</v>
      </c>
      <c r="T472" s="378" t="s">
        <v>219</v>
      </c>
    </row>
    <row r="473" spans="1:21" x14ac:dyDescent="0.2">
      <c r="A473" s="353">
        <v>339184</v>
      </c>
      <c r="B473" s="340" t="s">
        <v>511</v>
      </c>
      <c r="C473" s="353">
        <v>16</v>
      </c>
      <c r="D473" s="353">
        <v>3</v>
      </c>
      <c r="E473" s="353">
        <v>9</v>
      </c>
      <c r="F473" s="353">
        <v>7</v>
      </c>
      <c r="G473" s="353">
        <v>21</v>
      </c>
      <c r="H473" s="353">
        <v>64</v>
      </c>
      <c r="I473" s="353">
        <v>148</v>
      </c>
      <c r="J473" s="353">
        <v>19.899999999999999</v>
      </c>
      <c r="K473" s="353">
        <v>0.53</v>
      </c>
      <c r="L473" s="353">
        <v>1.52</v>
      </c>
      <c r="M473" s="353">
        <v>11.8</v>
      </c>
      <c r="N473" s="353">
        <v>1.5</v>
      </c>
      <c r="O473" s="353" t="s">
        <v>153</v>
      </c>
      <c r="P473" s="353">
        <v>2004</v>
      </c>
      <c r="Q473" t="s">
        <v>154</v>
      </c>
      <c r="R473" t="s">
        <v>1924</v>
      </c>
      <c r="S473" s="378" t="s">
        <v>164</v>
      </c>
      <c r="T473" s="378" t="s">
        <v>219</v>
      </c>
    </row>
    <row r="474" spans="1:21" x14ac:dyDescent="0.2">
      <c r="A474" s="353">
        <v>119891</v>
      </c>
      <c r="B474" s="340" t="s">
        <v>526</v>
      </c>
      <c r="C474" s="353">
        <v>19</v>
      </c>
      <c r="D474" s="353">
        <v>3</v>
      </c>
      <c r="E474" s="353">
        <v>10</v>
      </c>
      <c r="F474" s="353">
        <v>8</v>
      </c>
      <c r="G474" s="353">
        <v>28</v>
      </c>
      <c r="H474" s="353">
        <v>72</v>
      </c>
      <c r="I474" s="353">
        <v>139</v>
      </c>
      <c r="J474" s="353">
        <v>19</v>
      </c>
      <c r="K474" s="353">
        <v>0.53</v>
      </c>
      <c r="L474" s="353">
        <v>1.51</v>
      </c>
      <c r="M474" s="353">
        <v>14.5</v>
      </c>
      <c r="N474" s="353">
        <v>1.3</v>
      </c>
      <c r="O474" s="353" t="s">
        <v>153</v>
      </c>
      <c r="P474" s="353">
        <v>2007</v>
      </c>
      <c r="Q474" t="s">
        <v>154</v>
      </c>
      <c r="R474" t="s">
        <v>1254</v>
      </c>
      <c r="S474" s="378" t="s">
        <v>164</v>
      </c>
      <c r="T474" s="378" t="s">
        <v>219</v>
      </c>
    </row>
    <row r="475" spans="1:21" x14ac:dyDescent="0.2">
      <c r="A475" s="353">
        <v>832899</v>
      </c>
      <c r="B475" s="340" t="s">
        <v>475</v>
      </c>
      <c r="C475" s="353">
        <v>11</v>
      </c>
      <c r="D475" s="353">
        <v>0</v>
      </c>
      <c r="E475" s="353">
        <v>3</v>
      </c>
      <c r="F475" s="353">
        <v>-1</v>
      </c>
      <c r="G475" s="353">
        <v>15</v>
      </c>
      <c r="H475" s="353">
        <v>44</v>
      </c>
      <c r="I475" s="353">
        <v>91</v>
      </c>
      <c r="J475" s="353">
        <v>13.9</v>
      </c>
      <c r="K475" s="353">
        <v>0.53</v>
      </c>
      <c r="L475" s="353">
        <v>1.52</v>
      </c>
      <c r="M475" s="353">
        <v>14.5</v>
      </c>
      <c r="N475" s="353">
        <v>0.9</v>
      </c>
      <c r="O475" s="353" t="s">
        <v>153</v>
      </c>
      <c r="P475" s="353">
        <v>2005</v>
      </c>
      <c r="Q475" t="s">
        <v>154</v>
      </c>
      <c r="R475" t="s">
        <v>1313</v>
      </c>
      <c r="S475" s="378" t="s">
        <v>207</v>
      </c>
      <c r="T475" s="378" t="s">
        <v>219</v>
      </c>
      <c r="U475" s="377" t="s">
        <v>162</v>
      </c>
    </row>
    <row r="476" spans="1:21" x14ac:dyDescent="0.2">
      <c r="A476" s="353">
        <v>937433</v>
      </c>
      <c r="B476" s="340" t="s">
        <v>476</v>
      </c>
      <c r="C476" s="353">
        <v>12</v>
      </c>
      <c r="D476" s="353">
        <v>2</v>
      </c>
      <c r="E476" s="353">
        <v>5</v>
      </c>
      <c r="F476" s="353">
        <v>3</v>
      </c>
      <c r="G476" s="353">
        <v>15</v>
      </c>
      <c r="H476" s="353">
        <v>30</v>
      </c>
      <c r="I476" s="353">
        <v>69</v>
      </c>
      <c r="J476" s="353">
        <v>11</v>
      </c>
      <c r="K476" s="353">
        <v>0.53</v>
      </c>
      <c r="L476" s="353">
        <v>1.52</v>
      </c>
      <c r="M476" s="353">
        <v>12.5</v>
      </c>
      <c r="N476" s="353">
        <v>0.8</v>
      </c>
      <c r="O476" s="353" t="s">
        <v>153</v>
      </c>
      <c r="P476" s="353">
        <v>2000</v>
      </c>
      <c r="Q476" t="s">
        <v>154</v>
      </c>
      <c r="R476" t="s">
        <v>1928</v>
      </c>
      <c r="S476" s="378" t="s">
        <v>207</v>
      </c>
      <c r="T476" s="378" t="s">
        <v>298</v>
      </c>
      <c r="U476" s="377" t="s">
        <v>162</v>
      </c>
    </row>
    <row r="477" spans="1:21" x14ac:dyDescent="0.2">
      <c r="A477" s="353">
        <v>802900</v>
      </c>
      <c r="B477" s="340" t="s">
        <v>471</v>
      </c>
      <c r="C477" s="353">
        <v>24</v>
      </c>
      <c r="D477" s="353">
        <v>5</v>
      </c>
      <c r="E477" s="353">
        <v>9</v>
      </c>
      <c r="F477" s="353">
        <v>12</v>
      </c>
      <c r="G477" s="353">
        <v>20</v>
      </c>
      <c r="H477" s="353">
        <v>32</v>
      </c>
      <c r="I477" s="353"/>
      <c r="J477" s="353"/>
      <c r="K477" s="353">
        <v>0.53</v>
      </c>
      <c r="L477" s="353">
        <v>1.98</v>
      </c>
      <c r="M477" s="353">
        <v>13.8</v>
      </c>
      <c r="N477" s="353">
        <v>0.8</v>
      </c>
      <c r="O477" s="353" t="s">
        <v>153</v>
      </c>
      <c r="P477" s="353">
        <v>2014</v>
      </c>
      <c r="Q477" t="s">
        <v>154</v>
      </c>
      <c r="R477" t="s">
        <v>1187</v>
      </c>
      <c r="S477" s="378" t="s">
        <v>226</v>
      </c>
      <c r="T477" s="378" t="s">
        <v>295</v>
      </c>
      <c r="U477" s="377" t="s">
        <v>162</v>
      </c>
    </row>
    <row r="478" spans="1:21" x14ac:dyDescent="0.2">
      <c r="A478" s="353">
        <v>657106</v>
      </c>
      <c r="B478" s="340" t="s">
        <v>935</v>
      </c>
      <c r="C478" s="353">
        <v>11</v>
      </c>
      <c r="D478" s="353">
        <v>3</v>
      </c>
      <c r="E478" s="353">
        <v>7</v>
      </c>
      <c r="F478" s="353">
        <v>2</v>
      </c>
      <c r="G478" s="353">
        <v>16</v>
      </c>
      <c r="H478" s="353"/>
      <c r="I478" s="353"/>
      <c r="J478" s="353"/>
      <c r="K478" s="353">
        <v>0.53</v>
      </c>
      <c r="L478" s="353">
        <v>1.4</v>
      </c>
      <c r="M478" s="353"/>
      <c r="N478" s="353"/>
      <c r="O478" s="353" t="s">
        <v>153</v>
      </c>
      <c r="P478" s="353">
        <v>2016</v>
      </c>
      <c r="Q478" t="s">
        <v>154</v>
      </c>
      <c r="R478" t="s">
        <v>1301</v>
      </c>
      <c r="S478" s="378" t="s">
        <v>229</v>
      </c>
      <c r="T478" s="378" t="s">
        <v>219</v>
      </c>
      <c r="U478" s="377" t="s">
        <v>162</v>
      </c>
    </row>
    <row r="479" spans="1:21" x14ac:dyDescent="0.2">
      <c r="A479" s="353">
        <v>933416</v>
      </c>
      <c r="B479" s="340" t="s">
        <v>962</v>
      </c>
      <c r="C479" s="353">
        <v>8</v>
      </c>
      <c r="D479" s="353">
        <v>2</v>
      </c>
      <c r="E479" s="353">
        <v>3</v>
      </c>
      <c r="F479" s="353">
        <v>1</v>
      </c>
      <c r="G479" s="353">
        <v>8</v>
      </c>
      <c r="H479" s="353"/>
      <c r="I479" s="353"/>
      <c r="J479" s="353"/>
      <c r="K479" s="353">
        <v>0.53</v>
      </c>
      <c r="L479" s="353">
        <v>1.4</v>
      </c>
      <c r="M479" s="353"/>
      <c r="N479" s="353"/>
      <c r="O479" s="353" t="s">
        <v>153</v>
      </c>
      <c r="P479" s="353">
        <v>2016</v>
      </c>
      <c r="Q479" t="s">
        <v>154</v>
      </c>
      <c r="R479" t="s">
        <v>1791</v>
      </c>
      <c r="S479" s="378" t="s">
        <v>155</v>
      </c>
      <c r="T479" s="378" t="s">
        <v>289</v>
      </c>
    </row>
    <row r="480" spans="1:21" x14ac:dyDescent="0.2">
      <c r="A480" s="353">
        <v>541706</v>
      </c>
      <c r="B480" s="340" t="s">
        <v>989</v>
      </c>
      <c r="C480" s="353">
        <v>4</v>
      </c>
      <c r="D480" s="353">
        <v>0</v>
      </c>
      <c r="E480" s="353">
        <v>3</v>
      </c>
      <c r="F480" s="353">
        <v>-2</v>
      </c>
      <c r="G480" s="353">
        <v>7</v>
      </c>
      <c r="H480" s="353"/>
      <c r="I480" s="353"/>
      <c r="J480" s="353"/>
      <c r="K480" s="353">
        <v>0.53</v>
      </c>
      <c r="L480" s="353">
        <v>1.4</v>
      </c>
      <c r="M480" s="353"/>
      <c r="N480" s="353"/>
      <c r="O480" s="353" t="s">
        <v>153</v>
      </c>
      <c r="P480" s="353">
        <v>2016</v>
      </c>
      <c r="Q480" t="s">
        <v>154</v>
      </c>
      <c r="R480" t="s">
        <v>2019</v>
      </c>
      <c r="S480" s="378" t="s">
        <v>155</v>
      </c>
      <c r="T480" s="378" t="s">
        <v>1051</v>
      </c>
    </row>
    <row r="481" spans="1:21" x14ac:dyDescent="0.2">
      <c r="A481" s="353">
        <v>191676</v>
      </c>
      <c r="B481" s="340" t="s">
        <v>992</v>
      </c>
      <c r="C481" s="353">
        <v>24</v>
      </c>
      <c r="D481" s="353">
        <v>9</v>
      </c>
      <c r="E481" s="353">
        <v>13</v>
      </c>
      <c r="F481" s="353">
        <v>10</v>
      </c>
      <c r="G481" s="353">
        <v>28</v>
      </c>
      <c r="H481" s="353">
        <v>104</v>
      </c>
      <c r="I481" s="353">
        <v>288</v>
      </c>
      <c r="J481" s="353">
        <v>31.1</v>
      </c>
      <c r="K481" s="353">
        <v>0.54</v>
      </c>
      <c r="L481" s="353">
        <v>1.5</v>
      </c>
      <c r="M481" s="353">
        <v>16.600000000000001</v>
      </c>
      <c r="N481" s="353">
        <v>1.5</v>
      </c>
      <c r="O481" s="353" t="s">
        <v>293</v>
      </c>
      <c r="P481" s="353">
        <v>2002</v>
      </c>
      <c r="Q481" t="s">
        <v>68</v>
      </c>
      <c r="R481" t="s">
        <v>1867</v>
      </c>
      <c r="S481" s="378" t="s">
        <v>455</v>
      </c>
      <c r="T481" s="378" t="s">
        <v>253</v>
      </c>
    </row>
    <row r="482" spans="1:21" x14ac:dyDescent="0.2">
      <c r="A482" s="353">
        <v>517508</v>
      </c>
      <c r="B482" s="340" t="s">
        <v>466</v>
      </c>
      <c r="C482" s="353">
        <v>8</v>
      </c>
      <c r="D482" s="353">
        <v>2</v>
      </c>
      <c r="E482" s="353">
        <v>5</v>
      </c>
      <c r="F482" s="353">
        <v>0</v>
      </c>
      <c r="G482" s="353">
        <v>11</v>
      </c>
      <c r="H482" s="353">
        <v>42</v>
      </c>
      <c r="I482" s="353">
        <v>154</v>
      </c>
      <c r="J482" s="353">
        <v>20.5</v>
      </c>
      <c r="K482" s="353">
        <v>0.54</v>
      </c>
      <c r="L482" s="353">
        <v>1.5</v>
      </c>
      <c r="M482" s="353">
        <v>14.2</v>
      </c>
      <c r="N482" s="353">
        <v>0.9</v>
      </c>
      <c r="O482" s="353" t="s">
        <v>293</v>
      </c>
      <c r="P482" s="353">
        <v>2013</v>
      </c>
      <c r="Q482" t="s">
        <v>68</v>
      </c>
      <c r="R482" t="s">
        <v>1930</v>
      </c>
      <c r="S482" s="378" t="s">
        <v>455</v>
      </c>
      <c r="T482" s="378" t="s">
        <v>1051</v>
      </c>
    </row>
    <row r="483" spans="1:21" x14ac:dyDescent="0.2">
      <c r="A483" s="353">
        <v>891036</v>
      </c>
      <c r="B483" s="340" t="s">
        <v>500</v>
      </c>
      <c r="C483" s="353">
        <v>27</v>
      </c>
      <c r="D483" s="353">
        <v>4</v>
      </c>
      <c r="E483" s="353">
        <v>8</v>
      </c>
      <c r="F483" s="353">
        <v>9</v>
      </c>
      <c r="G483" s="353">
        <v>31</v>
      </c>
      <c r="H483" s="353">
        <v>73</v>
      </c>
      <c r="I483" s="353">
        <v>147</v>
      </c>
      <c r="J483" s="353">
        <v>19.899999999999999</v>
      </c>
      <c r="K483" s="353">
        <v>0.54</v>
      </c>
      <c r="L483" s="353">
        <v>1.25</v>
      </c>
      <c r="M483" s="353">
        <v>15.8</v>
      </c>
      <c r="N483" s="353">
        <v>1.3</v>
      </c>
      <c r="O483" s="353" t="s">
        <v>203</v>
      </c>
      <c r="P483" s="353">
        <v>2011</v>
      </c>
      <c r="Q483" t="s">
        <v>68</v>
      </c>
      <c r="R483" t="s">
        <v>1643</v>
      </c>
      <c r="S483" s="378" t="s">
        <v>375</v>
      </c>
      <c r="T483" s="378" t="s">
        <v>1046</v>
      </c>
    </row>
    <row r="484" spans="1:21" x14ac:dyDescent="0.2">
      <c r="A484" s="353">
        <v>304659</v>
      </c>
      <c r="B484" s="340" t="s">
        <v>489</v>
      </c>
      <c r="C484" s="353">
        <v>6</v>
      </c>
      <c r="D484" s="353">
        <v>5</v>
      </c>
      <c r="E484" s="353">
        <v>7</v>
      </c>
      <c r="F484" s="353">
        <v>2</v>
      </c>
      <c r="G484" s="353">
        <v>13</v>
      </c>
      <c r="H484" s="353">
        <v>48</v>
      </c>
      <c r="I484" s="353">
        <v>142</v>
      </c>
      <c r="J484" s="353">
        <v>19.3</v>
      </c>
      <c r="K484" s="353">
        <v>0.54</v>
      </c>
      <c r="L484" s="353">
        <v>1.26</v>
      </c>
      <c r="M484" s="353">
        <v>14.2</v>
      </c>
      <c r="N484" s="353">
        <v>1</v>
      </c>
      <c r="O484" s="353" t="s">
        <v>344</v>
      </c>
      <c r="P484" s="353">
        <v>2000</v>
      </c>
      <c r="Q484" t="s">
        <v>68</v>
      </c>
      <c r="R484" t="s">
        <v>1957</v>
      </c>
      <c r="S484" s="378" t="s">
        <v>375</v>
      </c>
      <c r="T484" s="378" t="s">
        <v>1047</v>
      </c>
    </row>
    <row r="485" spans="1:21" x14ac:dyDescent="0.2">
      <c r="A485" s="353">
        <v>647487</v>
      </c>
      <c r="B485" s="340" t="s">
        <v>545</v>
      </c>
      <c r="C485" s="353">
        <v>10</v>
      </c>
      <c r="D485" s="353">
        <v>2</v>
      </c>
      <c r="E485" s="353">
        <v>6</v>
      </c>
      <c r="F485" s="353">
        <v>3</v>
      </c>
      <c r="G485" s="353">
        <v>15</v>
      </c>
      <c r="H485" s="353">
        <v>51</v>
      </c>
      <c r="I485" s="353">
        <v>120</v>
      </c>
      <c r="J485" s="353">
        <v>17</v>
      </c>
      <c r="K485" s="353">
        <v>0.54</v>
      </c>
      <c r="L485" s="353">
        <v>1.41</v>
      </c>
      <c r="M485" s="353">
        <v>13</v>
      </c>
      <c r="N485" s="353">
        <v>1.2</v>
      </c>
      <c r="O485" s="353" t="s">
        <v>153</v>
      </c>
      <c r="P485" s="353">
        <v>2012</v>
      </c>
      <c r="Q485" t="s">
        <v>154</v>
      </c>
      <c r="R485" t="s">
        <v>1298</v>
      </c>
      <c r="S485" s="378" t="s">
        <v>229</v>
      </c>
      <c r="T485" s="378" t="s">
        <v>219</v>
      </c>
    </row>
    <row r="486" spans="1:21" x14ac:dyDescent="0.2">
      <c r="A486" s="353">
        <v>302760</v>
      </c>
      <c r="B486" s="340" t="s">
        <v>778</v>
      </c>
      <c r="C486" s="353">
        <v>2</v>
      </c>
      <c r="D486" s="353">
        <v>4</v>
      </c>
      <c r="E486" s="353">
        <v>4</v>
      </c>
      <c r="F486" s="353">
        <v>-1</v>
      </c>
      <c r="G486" s="353">
        <v>4</v>
      </c>
      <c r="H486" s="353">
        <v>27</v>
      </c>
      <c r="I486" s="353">
        <v>66</v>
      </c>
      <c r="J486" s="353">
        <v>10.6</v>
      </c>
      <c r="K486" s="353">
        <v>0.54</v>
      </c>
      <c r="L486" s="353">
        <v>1.77</v>
      </c>
      <c r="M486" s="353">
        <v>10.9</v>
      </c>
      <c r="N486" s="353">
        <v>0.8</v>
      </c>
      <c r="O486" s="353" t="s">
        <v>344</v>
      </c>
      <c r="P486" s="353">
        <v>2004</v>
      </c>
      <c r="Q486" t="s">
        <v>68</v>
      </c>
      <c r="R486" t="s">
        <v>1685</v>
      </c>
      <c r="S486" s="378" t="s">
        <v>540</v>
      </c>
      <c r="T486" s="378" t="s">
        <v>1024</v>
      </c>
    </row>
    <row r="487" spans="1:21" x14ac:dyDescent="0.2">
      <c r="A487" s="353">
        <v>144923</v>
      </c>
      <c r="B487" s="340" t="s">
        <v>488</v>
      </c>
      <c r="C487" s="353">
        <v>9</v>
      </c>
      <c r="D487" s="353">
        <v>2</v>
      </c>
      <c r="E487" s="353">
        <v>4</v>
      </c>
      <c r="F487" s="353">
        <v>1</v>
      </c>
      <c r="G487" s="353">
        <v>12</v>
      </c>
      <c r="H487" s="353">
        <v>28</v>
      </c>
      <c r="I487" s="353">
        <v>63</v>
      </c>
      <c r="J487" s="353">
        <v>10.3</v>
      </c>
      <c r="K487" s="353">
        <v>0.54</v>
      </c>
      <c r="L487" s="353">
        <v>1.53</v>
      </c>
      <c r="M487" s="353">
        <v>13</v>
      </c>
      <c r="N487" s="353">
        <v>0.7</v>
      </c>
      <c r="O487" s="353" t="s">
        <v>153</v>
      </c>
      <c r="P487" s="353">
        <v>2000</v>
      </c>
      <c r="Q487" t="s">
        <v>154</v>
      </c>
      <c r="R487" t="s">
        <v>1343</v>
      </c>
      <c r="S487" s="378" t="s">
        <v>207</v>
      </c>
      <c r="T487" s="378" t="s">
        <v>215</v>
      </c>
      <c r="U487" s="377" t="s">
        <v>162</v>
      </c>
    </row>
    <row r="488" spans="1:21" x14ac:dyDescent="0.2">
      <c r="A488" s="353">
        <v>647669</v>
      </c>
      <c r="B488" s="340" t="s">
        <v>444</v>
      </c>
      <c r="C488" s="353">
        <v>10</v>
      </c>
      <c r="D488" s="353">
        <v>4</v>
      </c>
      <c r="E488" s="353">
        <v>6</v>
      </c>
      <c r="F488" s="353">
        <v>2</v>
      </c>
      <c r="G488" s="353">
        <v>6</v>
      </c>
      <c r="H488" s="353">
        <v>24</v>
      </c>
      <c r="I488" s="353">
        <v>45</v>
      </c>
      <c r="J488" s="353">
        <v>7.7</v>
      </c>
      <c r="K488" s="353">
        <v>0.54</v>
      </c>
      <c r="L488" s="353">
        <v>1.42</v>
      </c>
      <c r="M488" s="353">
        <v>9.9</v>
      </c>
      <c r="N488" s="353">
        <v>0.8</v>
      </c>
      <c r="O488" s="353" t="s">
        <v>203</v>
      </c>
      <c r="P488" s="353">
        <v>2006</v>
      </c>
      <c r="Q488" t="s">
        <v>68</v>
      </c>
      <c r="R488" t="s">
        <v>1682</v>
      </c>
      <c r="S488" s="378" t="s">
        <v>331</v>
      </c>
      <c r="T488" s="378" t="s">
        <v>1024</v>
      </c>
    </row>
    <row r="489" spans="1:21" x14ac:dyDescent="0.2">
      <c r="A489" s="353">
        <v>615310</v>
      </c>
      <c r="B489" s="340" t="s">
        <v>637</v>
      </c>
      <c r="C489" s="353">
        <v>7</v>
      </c>
      <c r="D489" s="353">
        <v>3</v>
      </c>
      <c r="E489" s="353">
        <v>6</v>
      </c>
      <c r="F489" s="353">
        <v>5</v>
      </c>
      <c r="G489" s="353">
        <v>11</v>
      </c>
      <c r="H489" s="353">
        <v>25</v>
      </c>
      <c r="I489" s="353">
        <v>44</v>
      </c>
      <c r="J489" s="353">
        <v>7.6</v>
      </c>
      <c r="K489" s="353">
        <v>0.54</v>
      </c>
      <c r="L489" s="353">
        <v>2.25</v>
      </c>
      <c r="M489" s="353">
        <v>8.4</v>
      </c>
      <c r="N489" s="353">
        <v>0.9</v>
      </c>
      <c r="O489" s="353" t="s">
        <v>153</v>
      </c>
      <c r="P489" s="353">
        <v>2011</v>
      </c>
      <c r="Q489" t="s">
        <v>154</v>
      </c>
      <c r="R489" t="s">
        <v>1308</v>
      </c>
      <c r="S489" s="378" t="s">
        <v>867</v>
      </c>
      <c r="T489" s="378" t="s">
        <v>1024</v>
      </c>
    </row>
    <row r="490" spans="1:21" x14ac:dyDescent="0.2">
      <c r="A490" s="353">
        <v>172601</v>
      </c>
      <c r="B490" s="340" t="s">
        <v>1140</v>
      </c>
      <c r="C490" s="353">
        <v>4</v>
      </c>
      <c r="D490" s="353">
        <v>2</v>
      </c>
      <c r="E490" s="353">
        <v>3</v>
      </c>
      <c r="F490" s="353">
        <v>1</v>
      </c>
      <c r="G490" s="353">
        <v>6</v>
      </c>
      <c r="H490" s="353">
        <v>13</v>
      </c>
      <c r="I490" s="353">
        <v>34</v>
      </c>
      <c r="J490" s="353">
        <v>6</v>
      </c>
      <c r="K490" s="353">
        <v>0.54</v>
      </c>
      <c r="L490" s="353">
        <v>1.48</v>
      </c>
      <c r="M490" s="353">
        <v>7.8</v>
      </c>
      <c r="N490" s="353">
        <v>0.6</v>
      </c>
      <c r="O490" s="353" t="s">
        <v>153</v>
      </c>
      <c r="P490" s="353">
        <v>2011</v>
      </c>
      <c r="Q490" t="s">
        <v>154</v>
      </c>
      <c r="R490" t="s">
        <v>1580</v>
      </c>
      <c r="S490" s="378" t="s">
        <v>615</v>
      </c>
      <c r="T490" s="378" t="s">
        <v>1041</v>
      </c>
    </row>
    <row r="491" spans="1:21" x14ac:dyDescent="0.2">
      <c r="A491" s="353">
        <v>447086</v>
      </c>
      <c r="B491" s="340" t="s">
        <v>487</v>
      </c>
      <c r="C491" s="353">
        <v>6</v>
      </c>
      <c r="D491" s="353">
        <v>2</v>
      </c>
      <c r="E491" s="353">
        <v>3</v>
      </c>
      <c r="F491" s="353">
        <v>3</v>
      </c>
      <c r="G491" s="353">
        <v>8</v>
      </c>
      <c r="H491" s="353">
        <v>13</v>
      </c>
      <c r="I491" s="353">
        <v>25</v>
      </c>
      <c r="J491" s="353">
        <v>4.5999999999999996</v>
      </c>
      <c r="K491" s="353">
        <v>0.54</v>
      </c>
      <c r="L491" s="353">
        <v>1.52</v>
      </c>
      <c r="M491" s="353">
        <v>4.4000000000000004</v>
      </c>
      <c r="N491" s="353">
        <v>1</v>
      </c>
      <c r="O491" s="353" t="s">
        <v>153</v>
      </c>
      <c r="P491" s="353">
        <v>2012</v>
      </c>
      <c r="Q491" t="s">
        <v>154</v>
      </c>
      <c r="R491" t="s">
        <v>1412</v>
      </c>
      <c r="S491" s="378" t="s">
        <v>867</v>
      </c>
      <c r="T491" s="378" t="s">
        <v>1035</v>
      </c>
    </row>
    <row r="492" spans="1:21" x14ac:dyDescent="0.2">
      <c r="A492" s="353">
        <v>322479</v>
      </c>
      <c r="B492" s="340" t="s">
        <v>1150</v>
      </c>
      <c r="C492" s="353">
        <v>15</v>
      </c>
      <c r="D492" s="353">
        <v>4</v>
      </c>
      <c r="E492" s="353">
        <v>6</v>
      </c>
      <c r="F492" s="353">
        <v>5</v>
      </c>
      <c r="G492" s="353">
        <v>14</v>
      </c>
      <c r="H492" s="353"/>
      <c r="I492" s="353"/>
      <c r="J492" s="353"/>
      <c r="K492" s="353">
        <v>0.54</v>
      </c>
      <c r="L492" s="353">
        <v>1.65</v>
      </c>
      <c r="M492" s="353"/>
      <c r="N492" s="353"/>
      <c r="O492" s="353" t="s">
        <v>203</v>
      </c>
      <c r="P492" s="353">
        <v>2016</v>
      </c>
      <c r="Q492" t="s">
        <v>68</v>
      </c>
      <c r="R492" t="s">
        <v>1710</v>
      </c>
      <c r="S492" s="378" t="s">
        <v>751</v>
      </c>
      <c r="T492" s="378" t="s">
        <v>215</v>
      </c>
    </row>
    <row r="493" spans="1:21" x14ac:dyDescent="0.2">
      <c r="A493" s="353">
        <v>300996</v>
      </c>
      <c r="B493" s="340" t="s">
        <v>447</v>
      </c>
      <c r="C493" s="353">
        <v>9</v>
      </c>
      <c r="D493" s="353">
        <v>6</v>
      </c>
      <c r="E493" s="353">
        <v>7</v>
      </c>
      <c r="F493" s="353">
        <v>2</v>
      </c>
      <c r="G493" s="353">
        <v>10</v>
      </c>
      <c r="H493" s="353">
        <v>47</v>
      </c>
      <c r="I493" s="353">
        <v>132</v>
      </c>
      <c r="J493" s="353">
        <v>18.399999999999999</v>
      </c>
      <c r="K493" s="353">
        <v>0.55000000000000004</v>
      </c>
      <c r="L493" s="353">
        <v>1.47</v>
      </c>
      <c r="M493" s="353">
        <v>13.9</v>
      </c>
      <c r="N493" s="353">
        <v>1</v>
      </c>
      <c r="O493" s="353" t="s">
        <v>344</v>
      </c>
      <c r="P493" s="353">
        <v>2000</v>
      </c>
      <c r="Q493" t="s">
        <v>68</v>
      </c>
      <c r="R493" t="s">
        <v>1956</v>
      </c>
      <c r="S493" s="378" t="s">
        <v>331</v>
      </c>
      <c r="T493" s="378" t="s">
        <v>1047</v>
      </c>
    </row>
    <row r="494" spans="1:21" x14ac:dyDescent="0.2">
      <c r="A494" s="353">
        <v>336826</v>
      </c>
      <c r="B494" s="340" t="s">
        <v>441</v>
      </c>
      <c r="C494" s="353">
        <v>20</v>
      </c>
      <c r="D494" s="353">
        <v>5</v>
      </c>
      <c r="E494" s="353">
        <v>9</v>
      </c>
      <c r="F494" s="353">
        <v>6</v>
      </c>
      <c r="G494" s="353">
        <v>19</v>
      </c>
      <c r="H494" s="353">
        <v>40</v>
      </c>
      <c r="I494" s="353">
        <v>92</v>
      </c>
      <c r="J494" s="353">
        <v>13.9</v>
      </c>
      <c r="K494" s="353">
        <v>0.55000000000000004</v>
      </c>
      <c r="L494" s="353">
        <v>1.46</v>
      </c>
      <c r="M494" s="353">
        <v>13.4</v>
      </c>
      <c r="N494" s="353">
        <v>0.9</v>
      </c>
      <c r="O494" s="353" t="s">
        <v>203</v>
      </c>
      <c r="P494" s="353">
        <v>2000</v>
      </c>
      <c r="Q494" t="s">
        <v>68</v>
      </c>
      <c r="R494" t="s">
        <v>1667</v>
      </c>
      <c r="S494" s="378" t="s">
        <v>331</v>
      </c>
      <c r="T494" s="378" t="s">
        <v>215</v>
      </c>
    </row>
    <row r="495" spans="1:21" x14ac:dyDescent="0.2">
      <c r="A495" s="353">
        <v>562728</v>
      </c>
      <c r="B495" s="340" t="s">
        <v>590</v>
      </c>
      <c r="C495" s="353">
        <v>14</v>
      </c>
      <c r="D495" s="353">
        <v>2</v>
      </c>
      <c r="E495" s="353">
        <v>6</v>
      </c>
      <c r="F495" s="353">
        <v>10</v>
      </c>
      <c r="G495" s="353">
        <v>17</v>
      </c>
      <c r="H495" s="353">
        <v>43</v>
      </c>
      <c r="I495" s="353">
        <v>68</v>
      </c>
      <c r="J495" s="353">
        <v>11</v>
      </c>
      <c r="K495" s="353">
        <v>0.55000000000000004</v>
      </c>
      <c r="L495" s="353">
        <v>1.5</v>
      </c>
      <c r="M495" s="353">
        <v>13.1</v>
      </c>
      <c r="N495" s="353">
        <v>1</v>
      </c>
      <c r="O495" s="353" t="s">
        <v>293</v>
      </c>
      <c r="P495" s="353">
        <v>2002</v>
      </c>
      <c r="Q495" t="s">
        <v>68</v>
      </c>
      <c r="R495" t="s">
        <v>1893</v>
      </c>
      <c r="S495" s="378" t="s">
        <v>584</v>
      </c>
      <c r="T495" s="378" t="s">
        <v>298</v>
      </c>
    </row>
    <row r="496" spans="1:21" x14ac:dyDescent="0.2">
      <c r="A496" s="353">
        <v>657460</v>
      </c>
      <c r="B496" s="340" t="s">
        <v>539</v>
      </c>
      <c r="C496" s="353">
        <v>8</v>
      </c>
      <c r="D496" s="353">
        <v>2</v>
      </c>
      <c r="E496" s="353">
        <v>3</v>
      </c>
      <c r="F496" s="353">
        <v>3</v>
      </c>
      <c r="G496" s="353">
        <v>8</v>
      </c>
      <c r="H496" s="353">
        <v>33</v>
      </c>
      <c r="I496" s="353">
        <v>67</v>
      </c>
      <c r="J496" s="353">
        <v>10.9</v>
      </c>
      <c r="K496" s="353">
        <v>0.55000000000000004</v>
      </c>
      <c r="L496" s="353">
        <v>1.83</v>
      </c>
      <c r="M496" s="353">
        <v>7.1</v>
      </c>
      <c r="N496" s="353">
        <v>1.4</v>
      </c>
      <c r="O496" s="353" t="s">
        <v>203</v>
      </c>
      <c r="P496" s="353">
        <v>2001</v>
      </c>
      <c r="Q496" t="s">
        <v>68</v>
      </c>
      <c r="R496" t="s">
        <v>2001</v>
      </c>
      <c r="S496" s="378" t="s">
        <v>198</v>
      </c>
      <c r="T496" s="378" t="s">
        <v>1024</v>
      </c>
    </row>
    <row r="497" spans="1:21" x14ac:dyDescent="0.2">
      <c r="A497" s="353">
        <v>269704</v>
      </c>
      <c r="B497" s="340" t="s">
        <v>816</v>
      </c>
      <c r="C497" s="353">
        <v>26</v>
      </c>
      <c r="D497" s="353">
        <v>8</v>
      </c>
      <c r="E497" s="353">
        <v>14</v>
      </c>
      <c r="F497" s="353">
        <v>20</v>
      </c>
      <c r="G497" s="353">
        <v>33</v>
      </c>
      <c r="H497" s="353">
        <v>44</v>
      </c>
      <c r="I497" s="353">
        <v>65</v>
      </c>
      <c r="J497" s="353">
        <v>10.5</v>
      </c>
      <c r="K497" s="353">
        <v>0.55000000000000004</v>
      </c>
      <c r="L497" s="353">
        <v>1.29</v>
      </c>
      <c r="M497" s="353">
        <v>12.7</v>
      </c>
      <c r="N497" s="353">
        <v>1</v>
      </c>
      <c r="O497" s="353" t="s">
        <v>153</v>
      </c>
      <c r="P497" s="353">
        <v>2014</v>
      </c>
      <c r="Q497" t="s">
        <v>154</v>
      </c>
      <c r="R497" t="s">
        <v>1242</v>
      </c>
      <c r="S497" s="378" t="s">
        <v>412</v>
      </c>
      <c r="T497" s="378" t="s">
        <v>181</v>
      </c>
      <c r="U497" s="377" t="s">
        <v>162</v>
      </c>
    </row>
    <row r="498" spans="1:21" x14ac:dyDescent="0.2">
      <c r="A498" s="353">
        <v>271064</v>
      </c>
      <c r="B498" s="340" t="s">
        <v>1070</v>
      </c>
      <c r="C498" s="353">
        <v>5</v>
      </c>
      <c r="D498" s="353">
        <v>3</v>
      </c>
      <c r="E498" s="353">
        <v>4</v>
      </c>
      <c r="F498" s="353">
        <v>3</v>
      </c>
      <c r="G498" s="353">
        <v>4</v>
      </c>
      <c r="H498" s="353">
        <v>15</v>
      </c>
      <c r="I498" s="353">
        <v>40</v>
      </c>
      <c r="J498" s="353">
        <v>6.9</v>
      </c>
      <c r="K498" s="353">
        <v>0.55000000000000004</v>
      </c>
      <c r="L498" s="353">
        <v>1.29</v>
      </c>
      <c r="M498" s="353">
        <v>5.4</v>
      </c>
      <c r="N498" s="353">
        <v>0.9</v>
      </c>
      <c r="O498" s="353" t="s">
        <v>203</v>
      </c>
      <c r="P498" s="353">
        <v>2008</v>
      </c>
      <c r="Q498" t="s">
        <v>68</v>
      </c>
      <c r="R498" t="s">
        <v>1821</v>
      </c>
      <c r="S498" s="378" t="s">
        <v>379</v>
      </c>
      <c r="T498" s="378" t="s">
        <v>1035</v>
      </c>
      <c r="U498" s="377" t="s">
        <v>162</v>
      </c>
    </row>
    <row r="499" spans="1:21" x14ac:dyDescent="0.2">
      <c r="A499" s="353">
        <v>444315</v>
      </c>
      <c r="B499" s="340" t="s">
        <v>443</v>
      </c>
      <c r="C499" s="353">
        <v>4</v>
      </c>
      <c r="D499" s="353">
        <v>4</v>
      </c>
      <c r="E499" s="353">
        <v>4</v>
      </c>
      <c r="F499" s="353">
        <v>0</v>
      </c>
      <c r="G499" s="353">
        <v>0</v>
      </c>
      <c r="H499" s="353">
        <v>18</v>
      </c>
      <c r="I499" s="353">
        <v>37</v>
      </c>
      <c r="J499" s="353">
        <v>6.5</v>
      </c>
      <c r="K499" s="353">
        <v>0.55000000000000004</v>
      </c>
      <c r="L499" s="353">
        <v>1.47</v>
      </c>
      <c r="M499" s="353">
        <v>7.4</v>
      </c>
      <c r="N499" s="353">
        <v>0.8</v>
      </c>
      <c r="O499" s="353" t="s">
        <v>203</v>
      </c>
      <c r="P499" s="353">
        <v>2000</v>
      </c>
      <c r="Q499" t="s">
        <v>68</v>
      </c>
      <c r="R499" t="s">
        <v>1724</v>
      </c>
      <c r="S499" s="378" t="s">
        <v>331</v>
      </c>
      <c r="T499" s="378" t="s">
        <v>1041</v>
      </c>
    </row>
    <row r="500" spans="1:21" x14ac:dyDescent="0.2">
      <c r="A500" s="353">
        <v>303230</v>
      </c>
      <c r="B500" s="340" t="s">
        <v>515</v>
      </c>
      <c r="C500" s="353">
        <v>-24</v>
      </c>
      <c r="D500" s="353">
        <v>1</v>
      </c>
      <c r="E500" s="353">
        <v>1</v>
      </c>
      <c r="F500" s="353">
        <v>-13</v>
      </c>
      <c r="G500" s="353">
        <v>-24</v>
      </c>
      <c r="H500" s="353">
        <v>-7</v>
      </c>
      <c r="I500" s="353">
        <v>-14</v>
      </c>
      <c r="J500" s="353">
        <v>-2.9</v>
      </c>
      <c r="K500" s="353">
        <v>0.55000000000000004</v>
      </c>
      <c r="L500" s="353">
        <v>1.62</v>
      </c>
      <c r="M500" s="353">
        <v>12.4</v>
      </c>
      <c r="N500" s="353">
        <v>-0.1</v>
      </c>
      <c r="O500" s="353" t="s">
        <v>344</v>
      </c>
      <c r="P500" s="353">
        <v>2009</v>
      </c>
      <c r="Q500" t="s">
        <v>68</v>
      </c>
      <c r="R500" t="s">
        <v>1274</v>
      </c>
      <c r="S500" s="378" t="s">
        <v>749</v>
      </c>
      <c r="T500" s="378" t="s">
        <v>1024</v>
      </c>
    </row>
    <row r="501" spans="1:21" x14ac:dyDescent="0.2">
      <c r="A501" s="353">
        <v>184416</v>
      </c>
      <c r="B501" s="340" t="s">
        <v>854</v>
      </c>
      <c r="C501" s="353">
        <v>6</v>
      </c>
      <c r="D501" s="353">
        <v>-2</v>
      </c>
      <c r="E501" s="353">
        <v>2</v>
      </c>
      <c r="F501" s="353">
        <v>-1</v>
      </c>
      <c r="G501" s="353">
        <v>14</v>
      </c>
      <c r="H501" s="353">
        <v>69</v>
      </c>
      <c r="I501" s="353">
        <v>177</v>
      </c>
      <c r="J501" s="353">
        <v>22.6</v>
      </c>
      <c r="K501" s="353">
        <v>0.56000000000000005</v>
      </c>
      <c r="L501" s="353">
        <v>1.56</v>
      </c>
      <c r="M501" s="353">
        <v>15.9</v>
      </c>
      <c r="N501" s="353">
        <v>1.2</v>
      </c>
      <c r="O501" s="353" t="s">
        <v>153</v>
      </c>
      <c r="P501" s="353">
        <v>2000</v>
      </c>
      <c r="Q501" t="s">
        <v>154</v>
      </c>
      <c r="R501" t="s">
        <v>1405</v>
      </c>
      <c r="S501" s="378" t="s">
        <v>327</v>
      </c>
      <c r="T501" s="378" t="s">
        <v>258</v>
      </c>
    </row>
    <row r="502" spans="1:21" x14ac:dyDescent="0.2">
      <c r="A502" s="353">
        <v>297689</v>
      </c>
      <c r="B502" s="340" t="s">
        <v>480</v>
      </c>
      <c r="C502" s="353">
        <v>7</v>
      </c>
      <c r="D502" s="353">
        <v>5</v>
      </c>
      <c r="E502" s="353">
        <v>7</v>
      </c>
      <c r="F502" s="353">
        <v>1</v>
      </c>
      <c r="G502" s="353">
        <v>14</v>
      </c>
      <c r="H502" s="353">
        <v>59</v>
      </c>
      <c r="I502" s="353">
        <v>154</v>
      </c>
      <c r="J502" s="353">
        <v>20.5</v>
      </c>
      <c r="K502" s="353">
        <v>0.56000000000000005</v>
      </c>
      <c r="L502" s="353">
        <v>1.33</v>
      </c>
      <c r="M502" s="353">
        <v>14.6</v>
      </c>
      <c r="N502" s="353">
        <v>1.2</v>
      </c>
      <c r="O502" s="353" t="s">
        <v>153</v>
      </c>
      <c r="P502" s="353">
        <v>2012</v>
      </c>
      <c r="Q502" t="s">
        <v>154</v>
      </c>
      <c r="R502" t="s">
        <v>1955</v>
      </c>
      <c r="S502" s="378" t="s">
        <v>399</v>
      </c>
      <c r="T502" s="378" t="s">
        <v>1047</v>
      </c>
    </row>
    <row r="503" spans="1:21" x14ac:dyDescent="0.2">
      <c r="A503" s="353">
        <v>219006</v>
      </c>
      <c r="B503" s="340" t="s">
        <v>502</v>
      </c>
      <c r="C503" s="353">
        <v>12</v>
      </c>
      <c r="D503" s="353">
        <v>2</v>
      </c>
      <c r="E503" s="353">
        <v>6</v>
      </c>
      <c r="F503" s="353">
        <v>4</v>
      </c>
      <c r="G503" s="353">
        <v>13</v>
      </c>
      <c r="H503" s="353">
        <v>35</v>
      </c>
      <c r="I503" s="353">
        <v>109</v>
      </c>
      <c r="J503" s="353">
        <v>15.9</v>
      </c>
      <c r="K503" s="353">
        <v>0.56000000000000005</v>
      </c>
      <c r="L503" s="353">
        <v>1.5</v>
      </c>
      <c r="M503" s="353">
        <v>11.9</v>
      </c>
      <c r="N503" s="353">
        <v>0.9</v>
      </c>
      <c r="O503" s="353" t="s">
        <v>293</v>
      </c>
      <c r="P503" s="353">
        <v>2001</v>
      </c>
      <c r="Q503" t="s">
        <v>68</v>
      </c>
      <c r="R503" t="s">
        <v>1773</v>
      </c>
      <c r="S503" s="378" t="s">
        <v>294</v>
      </c>
      <c r="T503" s="378" t="s">
        <v>318</v>
      </c>
    </row>
    <row r="504" spans="1:21" x14ac:dyDescent="0.2">
      <c r="A504" s="353">
        <v>147348</v>
      </c>
      <c r="B504" s="340" t="s">
        <v>501</v>
      </c>
      <c r="C504" s="353">
        <v>12</v>
      </c>
      <c r="D504" s="353">
        <v>3</v>
      </c>
      <c r="E504" s="353">
        <v>8</v>
      </c>
      <c r="F504" s="353">
        <v>11</v>
      </c>
      <c r="G504" s="353">
        <v>14</v>
      </c>
      <c r="H504" s="353">
        <v>53</v>
      </c>
      <c r="I504" s="353">
        <v>102</v>
      </c>
      <c r="J504" s="353">
        <v>15.1</v>
      </c>
      <c r="K504" s="353">
        <v>0.56000000000000005</v>
      </c>
      <c r="L504" s="353">
        <v>1.5</v>
      </c>
      <c r="M504" s="353">
        <v>12.9</v>
      </c>
      <c r="N504" s="353">
        <v>1.2</v>
      </c>
      <c r="O504" s="353" t="s">
        <v>293</v>
      </c>
      <c r="P504" s="353">
        <v>2001</v>
      </c>
      <c r="Q504" t="s">
        <v>68</v>
      </c>
      <c r="R504" t="s">
        <v>1772</v>
      </c>
      <c r="S504" s="378" t="s">
        <v>294</v>
      </c>
      <c r="T504" s="378" t="s">
        <v>298</v>
      </c>
    </row>
    <row r="505" spans="1:21" x14ac:dyDescent="0.2">
      <c r="A505" s="353">
        <v>891804</v>
      </c>
      <c r="B505" s="340" t="s">
        <v>507</v>
      </c>
      <c r="C505" s="353">
        <v>10</v>
      </c>
      <c r="D505" s="353">
        <v>4</v>
      </c>
      <c r="E505" s="353">
        <v>6</v>
      </c>
      <c r="F505" s="353">
        <v>3</v>
      </c>
      <c r="G505" s="353">
        <v>14</v>
      </c>
      <c r="H505" s="353">
        <v>37</v>
      </c>
      <c r="I505" s="353">
        <v>83</v>
      </c>
      <c r="J505" s="353">
        <v>12.8</v>
      </c>
      <c r="K505" s="353">
        <v>0.56000000000000005</v>
      </c>
      <c r="L505" s="353">
        <v>1.63</v>
      </c>
      <c r="M505" s="353">
        <v>12.7</v>
      </c>
      <c r="N505" s="353">
        <v>0.9</v>
      </c>
      <c r="O505" s="353" t="s">
        <v>153</v>
      </c>
      <c r="P505" s="353">
        <v>2005</v>
      </c>
      <c r="Q505" t="s">
        <v>154</v>
      </c>
      <c r="R505" t="s">
        <v>1334</v>
      </c>
      <c r="S505" s="378" t="s">
        <v>207</v>
      </c>
      <c r="T505" s="378" t="s">
        <v>1026</v>
      </c>
      <c r="U505" s="377" t="s">
        <v>162</v>
      </c>
    </row>
    <row r="506" spans="1:21" x14ac:dyDescent="0.2">
      <c r="A506" s="353">
        <v>320358</v>
      </c>
      <c r="B506" s="340" t="s">
        <v>450</v>
      </c>
      <c r="C506" s="353">
        <v>10</v>
      </c>
      <c r="D506" s="353">
        <v>5</v>
      </c>
      <c r="E506" s="353">
        <v>7</v>
      </c>
      <c r="F506" s="353">
        <v>2</v>
      </c>
      <c r="G506" s="353">
        <v>7</v>
      </c>
      <c r="H506" s="353">
        <v>34</v>
      </c>
      <c r="I506" s="353">
        <v>79</v>
      </c>
      <c r="J506" s="353">
        <v>12.4</v>
      </c>
      <c r="K506" s="353">
        <v>0.56000000000000005</v>
      </c>
      <c r="L506" s="353">
        <v>1.49</v>
      </c>
      <c r="M506" s="353">
        <v>11.1</v>
      </c>
      <c r="N506" s="353">
        <v>1</v>
      </c>
      <c r="O506" s="353" t="s">
        <v>203</v>
      </c>
      <c r="P506" s="353">
        <v>2004</v>
      </c>
      <c r="Q506" t="s">
        <v>68</v>
      </c>
      <c r="R506" t="s">
        <v>1681</v>
      </c>
      <c r="S506" s="378" t="s">
        <v>331</v>
      </c>
      <c r="T506" s="378" t="s">
        <v>181</v>
      </c>
    </row>
    <row r="507" spans="1:21" x14ac:dyDescent="0.2">
      <c r="A507" s="353">
        <v>985895</v>
      </c>
      <c r="B507" s="340" t="s">
        <v>485</v>
      </c>
      <c r="C507" s="353">
        <v>7</v>
      </c>
      <c r="D507" s="353">
        <v>5</v>
      </c>
      <c r="E507" s="353">
        <v>6</v>
      </c>
      <c r="F507" s="353">
        <v>0</v>
      </c>
      <c r="G507" s="353">
        <v>5</v>
      </c>
      <c r="H507" s="353">
        <v>39</v>
      </c>
      <c r="I507" s="353">
        <v>76</v>
      </c>
      <c r="J507" s="353">
        <v>11.9</v>
      </c>
      <c r="K507" s="353">
        <v>0.56000000000000005</v>
      </c>
      <c r="L507" s="353">
        <v>1.67</v>
      </c>
      <c r="M507" s="353">
        <v>12</v>
      </c>
      <c r="N507" s="353">
        <v>1</v>
      </c>
      <c r="O507" s="353" t="s">
        <v>203</v>
      </c>
      <c r="P507" s="353">
        <v>2006</v>
      </c>
      <c r="Q507" t="s">
        <v>68</v>
      </c>
      <c r="R507" t="s">
        <v>1678</v>
      </c>
      <c r="S507" s="378" t="s">
        <v>331</v>
      </c>
      <c r="T507" s="378" t="s">
        <v>1023</v>
      </c>
      <c r="U507" s="377" t="s">
        <v>162</v>
      </c>
    </row>
    <row r="508" spans="1:21" x14ac:dyDescent="0.2">
      <c r="A508" s="353">
        <v>408484</v>
      </c>
      <c r="B508" s="340" t="s">
        <v>449</v>
      </c>
      <c r="C508" s="353">
        <v>7</v>
      </c>
      <c r="D508" s="353">
        <v>4</v>
      </c>
      <c r="E508" s="353">
        <v>6</v>
      </c>
      <c r="F508" s="353">
        <v>1</v>
      </c>
      <c r="G508" s="353">
        <v>4</v>
      </c>
      <c r="H508" s="353">
        <v>26</v>
      </c>
      <c r="I508" s="353">
        <v>58</v>
      </c>
      <c r="J508" s="353">
        <v>9.5</v>
      </c>
      <c r="K508" s="353">
        <v>0.56000000000000005</v>
      </c>
      <c r="L508" s="353">
        <v>1.48</v>
      </c>
      <c r="M508" s="353">
        <v>9.1</v>
      </c>
      <c r="N508" s="353">
        <v>0.9</v>
      </c>
      <c r="O508" s="353" t="s">
        <v>203</v>
      </c>
      <c r="P508" s="353">
        <v>2000</v>
      </c>
      <c r="Q508" t="s">
        <v>68</v>
      </c>
      <c r="R508" t="s">
        <v>1680</v>
      </c>
      <c r="S508" s="378" t="s">
        <v>331</v>
      </c>
      <c r="T508" s="378" t="s">
        <v>1023</v>
      </c>
    </row>
    <row r="509" spans="1:21" x14ac:dyDescent="0.2">
      <c r="A509" s="353">
        <v>118000</v>
      </c>
      <c r="B509" s="340" t="s">
        <v>451</v>
      </c>
      <c r="C509" s="353">
        <v>7</v>
      </c>
      <c r="D509" s="353">
        <v>3</v>
      </c>
      <c r="E509" s="353">
        <v>5</v>
      </c>
      <c r="F509" s="353">
        <v>0</v>
      </c>
      <c r="G509" s="353">
        <v>6</v>
      </c>
      <c r="H509" s="353">
        <v>18</v>
      </c>
      <c r="I509" s="353">
        <v>55</v>
      </c>
      <c r="J509" s="353">
        <v>9.1999999999999993</v>
      </c>
      <c r="K509" s="353">
        <v>0.56000000000000005</v>
      </c>
      <c r="L509" s="353">
        <v>1.48</v>
      </c>
      <c r="M509" s="353">
        <v>11</v>
      </c>
      <c r="N509" s="353">
        <v>0.6</v>
      </c>
      <c r="O509" s="353" t="s">
        <v>203</v>
      </c>
      <c r="P509" s="353">
        <v>2009</v>
      </c>
      <c r="Q509" t="s">
        <v>68</v>
      </c>
      <c r="R509" t="s">
        <v>1666</v>
      </c>
      <c r="S509" s="378" t="s">
        <v>331</v>
      </c>
      <c r="T509" s="378" t="s">
        <v>181</v>
      </c>
    </row>
    <row r="510" spans="1:21" x14ac:dyDescent="0.2">
      <c r="A510" s="353">
        <v>371708</v>
      </c>
      <c r="B510" s="348" t="s">
        <v>812</v>
      </c>
      <c r="C510" s="353">
        <v>12</v>
      </c>
      <c r="D510" s="353">
        <v>4</v>
      </c>
      <c r="E510" s="353">
        <v>7</v>
      </c>
      <c r="F510" s="353">
        <v>7</v>
      </c>
      <c r="G510" s="353">
        <v>12</v>
      </c>
      <c r="H510" s="353">
        <v>21</v>
      </c>
      <c r="I510" s="353">
        <v>43</v>
      </c>
      <c r="J510" s="353">
        <v>7.5</v>
      </c>
      <c r="K510" s="353">
        <v>0.56000000000000005</v>
      </c>
      <c r="L510" s="353">
        <v>2.6</v>
      </c>
      <c r="M510" s="353">
        <v>9.1</v>
      </c>
      <c r="N510" s="353">
        <v>0.8</v>
      </c>
      <c r="O510" s="353" t="s">
        <v>153</v>
      </c>
      <c r="P510" s="353">
        <v>2015</v>
      </c>
      <c r="Q510" t="s">
        <v>154</v>
      </c>
      <c r="R510" t="s">
        <v>1288</v>
      </c>
      <c r="S510" s="378" t="s">
        <v>155</v>
      </c>
      <c r="T510" s="378" t="s">
        <v>1024</v>
      </c>
    </row>
    <row r="511" spans="1:21" x14ac:dyDescent="0.2">
      <c r="A511" s="353">
        <v>153833</v>
      </c>
      <c r="B511" s="340" t="s">
        <v>467</v>
      </c>
      <c r="C511" s="353">
        <v>6</v>
      </c>
      <c r="D511" s="353">
        <v>4</v>
      </c>
      <c r="E511" s="353">
        <v>4</v>
      </c>
      <c r="F511" s="353">
        <v>-1</v>
      </c>
      <c r="G511" s="353">
        <v>-1</v>
      </c>
      <c r="H511" s="353">
        <v>16</v>
      </c>
      <c r="I511" s="353">
        <v>40</v>
      </c>
      <c r="J511" s="353">
        <v>7</v>
      </c>
      <c r="K511" s="353">
        <v>0.56000000000000005</v>
      </c>
      <c r="L511" s="353">
        <v>1.53</v>
      </c>
      <c r="M511" s="353">
        <v>10.9</v>
      </c>
      <c r="N511" s="353">
        <v>0.5</v>
      </c>
      <c r="O511" s="353" t="s">
        <v>203</v>
      </c>
      <c r="P511" s="353">
        <v>2009</v>
      </c>
      <c r="Q511" t="s">
        <v>68</v>
      </c>
      <c r="R511" t="s">
        <v>1665</v>
      </c>
      <c r="S511" s="378" t="s">
        <v>331</v>
      </c>
      <c r="T511" s="378" t="s">
        <v>1023</v>
      </c>
    </row>
    <row r="512" spans="1:21" x14ac:dyDescent="0.2">
      <c r="A512" s="353">
        <v>590463</v>
      </c>
      <c r="B512" s="340" t="s">
        <v>760</v>
      </c>
      <c r="C512" s="353">
        <v>3</v>
      </c>
      <c r="D512" s="353">
        <v>1</v>
      </c>
      <c r="E512" s="353">
        <v>2</v>
      </c>
      <c r="F512" s="353">
        <v>0</v>
      </c>
      <c r="G512" s="353">
        <v>3</v>
      </c>
      <c r="H512" s="353">
        <v>9</v>
      </c>
      <c r="I512" s="353">
        <v>22</v>
      </c>
      <c r="J512" s="353">
        <v>4</v>
      </c>
      <c r="K512" s="353">
        <v>0.56000000000000005</v>
      </c>
      <c r="L512" s="353">
        <v>1.88</v>
      </c>
      <c r="M512" s="353">
        <v>4.5</v>
      </c>
      <c r="N512" s="353">
        <v>0.7</v>
      </c>
      <c r="O512" s="353" t="s">
        <v>153</v>
      </c>
      <c r="P512" s="353">
        <v>2010</v>
      </c>
      <c r="Q512" t="s">
        <v>154</v>
      </c>
      <c r="R512" t="s">
        <v>1299</v>
      </c>
      <c r="S512" s="378" t="s">
        <v>155</v>
      </c>
      <c r="T512" s="378" t="s">
        <v>1024</v>
      </c>
    </row>
    <row r="513" spans="1:21" x14ac:dyDescent="0.2">
      <c r="A513" s="353">
        <v>480145</v>
      </c>
      <c r="B513" s="340" t="s">
        <v>445</v>
      </c>
      <c r="C513" s="353">
        <v>1</v>
      </c>
      <c r="D513" s="353">
        <v>3</v>
      </c>
      <c r="E513" s="353">
        <v>3</v>
      </c>
      <c r="F513" s="353">
        <v>-1</v>
      </c>
      <c r="G513" s="353">
        <v>-3</v>
      </c>
      <c r="H513" s="353">
        <v>11</v>
      </c>
      <c r="I513" s="353">
        <v>22</v>
      </c>
      <c r="J513" s="353">
        <v>4</v>
      </c>
      <c r="K513" s="353">
        <v>0.56000000000000005</v>
      </c>
      <c r="L513" s="353">
        <v>1.48</v>
      </c>
      <c r="M513" s="353">
        <v>6.3</v>
      </c>
      <c r="N513" s="353">
        <v>0.6</v>
      </c>
      <c r="O513" s="353" t="s">
        <v>203</v>
      </c>
      <c r="P513" s="353">
        <v>2000</v>
      </c>
      <c r="Q513" t="s">
        <v>68</v>
      </c>
      <c r="R513" t="s">
        <v>1679</v>
      </c>
      <c r="S513" s="378" t="s">
        <v>331</v>
      </c>
      <c r="T513" s="378" t="s">
        <v>1035</v>
      </c>
    </row>
    <row r="514" spans="1:21" x14ac:dyDescent="0.2">
      <c r="A514" s="353">
        <v>809699</v>
      </c>
      <c r="B514" s="340" t="s">
        <v>927</v>
      </c>
      <c r="C514" s="353">
        <v>-3</v>
      </c>
      <c r="D514" s="353">
        <v>4</v>
      </c>
      <c r="E514" s="353">
        <v>5</v>
      </c>
      <c r="F514" s="353">
        <v>-2</v>
      </c>
      <c r="G514" s="353">
        <v>-1</v>
      </c>
      <c r="H514" s="353">
        <v>19</v>
      </c>
      <c r="I514" s="353">
        <v>42</v>
      </c>
      <c r="J514" s="353">
        <v>7.3</v>
      </c>
      <c r="K514" s="353">
        <v>0.56999999999999995</v>
      </c>
      <c r="L514" s="353">
        <v>1.35</v>
      </c>
      <c r="M514" s="353">
        <v>10.6</v>
      </c>
      <c r="N514" s="353">
        <v>0.6</v>
      </c>
      <c r="O514" s="353" t="s">
        <v>203</v>
      </c>
      <c r="P514" s="353">
        <v>2010</v>
      </c>
      <c r="Q514" t="s">
        <v>68</v>
      </c>
      <c r="R514" t="s">
        <v>1469</v>
      </c>
      <c r="S514" s="378" t="s">
        <v>773</v>
      </c>
      <c r="T514" s="378" t="s">
        <v>1024</v>
      </c>
    </row>
    <row r="515" spans="1:21" x14ac:dyDescent="0.2">
      <c r="A515" s="353">
        <v>855973</v>
      </c>
      <c r="B515" s="340" t="s">
        <v>559</v>
      </c>
      <c r="C515" s="353">
        <v>4</v>
      </c>
      <c r="D515" s="353">
        <v>3</v>
      </c>
      <c r="E515" s="353">
        <v>4</v>
      </c>
      <c r="F515" s="353">
        <v>0</v>
      </c>
      <c r="G515" s="353">
        <v>8</v>
      </c>
      <c r="H515" s="353">
        <v>7</v>
      </c>
      <c r="I515" s="353">
        <v>33</v>
      </c>
      <c r="J515" s="353">
        <v>5.9</v>
      </c>
      <c r="K515" s="353">
        <v>0.56999999999999995</v>
      </c>
      <c r="L515" s="353">
        <v>1.57</v>
      </c>
      <c r="M515" s="353">
        <v>8.6999999999999993</v>
      </c>
      <c r="N515" s="353">
        <v>0.3</v>
      </c>
      <c r="O515" s="353" t="s">
        <v>153</v>
      </c>
      <c r="P515" s="353">
        <v>2005</v>
      </c>
      <c r="Q515" t="s">
        <v>154</v>
      </c>
      <c r="R515" t="s">
        <v>1337</v>
      </c>
      <c r="S515" s="378" t="s">
        <v>284</v>
      </c>
      <c r="T515" s="378" t="s">
        <v>1024</v>
      </c>
    </row>
    <row r="516" spans="1:21" x14ac:dyDescent="0.2">
      <c r="A516" s="353">
        <v>187898</v>
      </c>
      <c r="B516" s="340" t="s">
        <v>646</v>
      </c>
      <c r="C516" s="353">
        <v>2</v>
      </c>
      <c r="D516" s="353">
        <v>1</v>
      </c>
      <c r="E516" s="353">
        <v>2</v>
      </c>
      <c r="F516" s="353">
        <v>1</v>
      </c>
      <c r="G516" s="353">
        <v>4</v>
      </c>
      <c r="H516" s="353">
        <v>4</v>
      </c>
      <c r="I516" s="353">
        <v>16</v>
      </c>
      <c r="J516" s="353">
        <v>3.1</v>
      </c>
      <c r="K516" s="353">
        <v>0.56999999999999995</v>
      </c>
      <c r="L516" s="353">
        <v>1.98</v>
      </c>
      <c r="M516" s="353">
        <v>4.5</v>
      </c>
      <c r="N516" s="353">
        <v>0.4</v>
      </c>
      <c r="O516" s="353" t="s">
        <v>153</v>
      </c>
      <c r="P516" s="353">
        <v>2012</v>
      </c>
      <c r="Q516" t="s">
        <v>154</v>
      </c>
      <c r="R516" t="s">
        <v>1262</v>
      </c>
      <c r="S516" s="378" t="s">
        <v>284</v>
      </c>
      <c r="T516" s="378" t="s">
        <v>1024</v>
      </c>
    </row>
    <row r="517" spans="1:21" x14ac:dyDescent="0.2">
      <c r="A517" s="353">
        <v>536276</v>
      </c>
      <c r="B517" s="340" t="s">
        <v>1149</v>
      </c>
      <c r="C517" s="353">
        <v>4</v>
      </c>
      <c r="D517" s="353">
        <v>0</v>
      </c>
      <c r="E517" s="353">
        <v>1</v>
      </c>
      <c r="F517" s="353">
        <v>1</v>
      </c>
      <c r="G517" s="353">
        <v>4</v>
      </c>
      <c r="H517" s="353"/>
      <c r="I517" s="353"/>
      <c r="J517" s="353"/>
      <c r="K517" s="353">
        <v>0.56999999999999995</v>
      </c>
      <c r="L517" s="353">
        <v>1.55</v>
      </c>
      <c r="M517" s="353"/>
      <c r="N517" s="353"/>
      <c r="O517" s="353" t="s">
        <v>153</v>
      </c>
      <c r="P517" s="353">
        <v>2015</v>
      </c>
      <c r="Q517" t="s">
        <v>154</v>
      </c>
      <c r="R517" t="s">
        <v>1709</v>
      </c>
      <c r="S517" s="378" t="s">
        <v>826</v>
      </c>
      <c r="T517" s="378" t="s">
        <v>1041</v>
      </c>
    </row>
    <row r="518" spans="1:21" x14ac:dyDescent="0.2">
      <c r="A518" s="353">
        <v>959502</v>
      </c>
      <c r="B518" s="340" t="s">
        <v>1115</v>
      </c>
      <c r="C518" s="353">
        <v>3</v>
      </c>
      <c r="D518" s="353">
        <v>2</v>
      </c>
      <c r="E518" s="353">
        <v>3</v>
      </c>
      <c r="F518" s="353">
        <v>0</v>
      </c>
      <c r="G518" s="353">
        <v>7</v>
      </c>
      <c r="H518" s="353">
        <v>8</v>
      </c>
      <c r="I518" s="353"/>
      <c r="J518" s="353"/>
      <c r="K518" s="353">
        <v>0.56999999999999995</v>
      </c>
      <c r="L518" s="353">
        <v>2.2400000000000002</v>
      </c>
      <c r="M518" s="353">
        <v>8.8000000000000007</v>
      </c>
      <c r="N518" s="353">
        <v>0.4</v>
      </c>
      <c r="O518" s="353" t="s">
        <v>153</v>
      </c>
      <c r="P518" s="353">
        <v>2017</v>
      </c>
      <c r="Q518" t="s">
        <v>154</v>
      </c>
      <c r="R518" t="s">
        <v>1940</v>
      </c>
      <c r="S518" s="378" t="s">
        <v>284</v>
      </c>
      <c r="T518" s="378" t="s">
        <v>1024</v>
      </c>
      <c r="U518" s="377" t="s">
        <v>162</v>
      </c>
    </row>
    <row r="519" spans="1:21" x14ac:dyDescent="0.2">
      <c r="A519" s="353">
        <v>420463</v>
      </c>
      <c r="B519" s="340" t="s">
        <v>129</v>
      </c>
      <c r="C519" s="353">
        <v>10</v>
      </c>
      <c r="D519" s="353">
        <v>-2</v>
      </c>
      <c r="E519" s="353">
        <v>3</v>
      </c>
      <c r="F519" s="353">
        <v>-2</v>
      </c>
      <c r="G519" s="353">
        <v>12</v>
      </c>
      <c r="H519" s="353">
        <v>54</v>
      </c>
      <c r="I519" s="353">
        <v>168</v>
      </c>
      <c r="J519" s="353">
        <v>21.8</v>
      </c>
      <c r="K519" s="353">
        <v>0.57999999999999996</v>
      </c>
      <c r="L519" s="353">
        <v>1.6</v>
      </c>
      <c r="M519" s="353">
        <v>15.6</v>
      </c>
      <c r="N519" s="353">
        <v>1</v>
      </c>
      <c r="O519" s="353" t="s">
        <v>153</v>
      </c>
      <c r="P519" s="353">
        <v>2008</v>
      </c>
      <c r="Q519" t="s">
        <v>68</v>
      </c>
      <c r="R519" t="s">
        <v>1178</v>
      </c>
      <c r="S519" s="378" t="s">
        <v>198</v>
      </c>
      <c r="T519" s="378" t="s">
        <v>258</v>
      </c>
    </row>
    <row r="520" spans="1:21" x14ac:dyDescent="0.2">
      <c r="A520" s="353">
        <v>668269</v>
      </c>
      <c r="B520" s="340" t="s">
        <v>499</v>
      </c>
      <c r="C520" s="353">
        <v>14</v>
      </c>
      <c r="D520" s="353">
        <v>4</v>
      </c>
      <c r="E520" s="353">
        <v>6</v>
      </c>
      <c r="F520" s="353">
        <v>2</v>
      </c>
      <c r="G520" s="353">
        <v>18</v>
      </c>
      <c r="H520" s="353">
        <v>72</v>
      </c>
      <c r="I520" s="353">
        <v>158</v>
      </c>
      <c r="J520" s="353">
        <v>20.9</v>
      </c>
      <c r="K520" s="353">
        <v>0.57999999999999996</v>
      </c>
      <c r="L520" s="353">
        <v>1.6</v>
      </c>
      <c r="M520" s="353">
        <v>12</v>
      </c>
      <c r="N520" s="353">
        <v>1.6</v>
      </c>
      <c r="O520" s="353" t="s">
        <v>203</v>
      </c>
      <c r="P520" s="353">
        <v>2007</v>
      </c>
      <c r="Q520" t="s">
        <v>68</v>
      </c>
      <c r="R520" t="s">
        <v>1703</v>
      </c>
      <c r="S520" s="378" t="s">
        <v>198</v>
      </c>
      <c r="T520" s="378" t="s">
        <v>318</v>
      </c>
    </row>
    <row r="521" spans="1:21" x14ac:dyDescent="0.2">
      <c r="A521" s="353">
        <v>764951</v>
      </c>
      <c r="B521" s="340" t="s">
        <v>498</v>
      </c>
      <c r="C521" s="353">
        <v>13</v>
      </c>
      <c r="D521" s="353">
        <v>5</v>
      </c>
      <c r="E521" s="353">
        <v>10</v>
      </c>
      <c r="F521" s="353">
        <v>3</v>
      </c>
      <c r="G521" s="353">
        <v>19</v>
      </c>
      <c r="H521" s="353">
        <v>52</v>
      </c>
      <c r="I521" s="353">
        <v>116</v>
      </c>
      <c r="J521" s="353">
        <v>16.7</v>
      </c>
      <c r="K521" s="353">
        <v>0.57999999999999996</v>
      </c>
      <c r="L521" s="353">
        <v>1.6</v>
      </c>
      <c r="M521" s="353">
        <v>13.8</v>
      </c>
      <c r="N521" s="353">
        <v>1.1000000000000001</v>
      </c>
      <c r="O521" s="353" t="s">
        <v>203</v>
      </c>
      <c r="P521" s="353">
        <v>2001</v>
      </c>
      <c r="Q521" t="s">
        <v>68</v>
      </c>
      <c r="R521" t="s">
        <v>2000</v>
      </c>
      <c r="S521" s="378" t="s">
        <v>198</v>
      </c>
      <c r="T521" s="378" t="s">
        <v>215</v>
      </c>
    </row>
    <row r="522" spans="1:21" x14ac:dyDescent="0.2">
      <c r="A522" s="353">
        <v>339002</v>
      </c>
      <c r="B522" s="340" t="s">
        <v>1009</v>
      </c>
      <c r="C522" s="353">
        <v>10</v>
      </c>
      <c r="D522" s="353">
        <v>5</v>
      </c>
      <c r="E522" s="353">
        <v>7</v>
      </c>
      <c r="F522" s="353">
        <v>3</v>
      </c>
      <c r="G522" s="353">
        <v>14</v>
      </c>
      <c r="H522" s="353">
        <v>32</v>
      </c>
      <c r="I522" s="353">
        <v>81</v>
      </c>
      <c r="J522" s="353">
        <v>12.5</v>
      </c>
      <c r="K522" s="353">
        <v>0.57999999999999996</v>
      </c>
      <c r="L522" s="353">
        <v>1.59</v>
      </c>
      <c r="M522" s="353">
        <v>14.7</v>
      </c>
      <c r="N522" s="353">
        <v>0.7</v>
      </c>
      <c r="O522" s="353" t="s">
        <v>153</v>
      </c>
      <c r="P522" s="353">
        <v>2011</v>
      </c>
      <c r="Q522" t="s">
        <v>154</v>
      </c>
      <c r="R522" t="s">
        <v>1603</v>
      </c>
      <c r="S522" s="378" t="s">
        <v>615</v>
      </c>
      <c r="T522" s="378" t="s">
        <v>1026</v>
      </c>
    </row>
    <row r="523" spans="1:21" x14ac:dyDescent="0.2">
      <c r="A523" s="353">
        <v>501981</v>
      </c>
      <c r="B523" s="340" t="s">
        <v>505</v>
      </c>
      <c r="C523" s="353">
        <v>18</v>
      </c>
      <c r="D523" s="353">
        <v>7</v>
      </c>
      <c r="E523" s="353">
        <v>7</v>
      </c>
      <c r="F523" s="353">
        <v>5</v>
      </c>
      <c r="G523" s="353">
        <v>16</v>
      </c>
      <c r="H523" s="353">
        <v>26</v>
      </c>
      <c r="I523" s="353">
        <v>52</v>
      </c>
      <c r="J523" s="353">
        <v>8.6999999999999993</v>
      </c>
      <c r="K523" s="353">
        <v>0.57999999999999996</v>
      </c>
      <c r="L523" s="353">
        <v>2</v>
      </c>
      <c r="M523" s="353">
        <v>14.9</v>
      </c>
      <c r="N523" s="353">
        <v>0.6</v>
      </c>
      <c r="O523" s="353" t="s">
        <v>293</v>
      </c>
      <c r="P523" s="353">
        <v>2002</v>
      </c>
      <c r="Q523" t="s">
        <v>68</v>
      </c>
      <c r="R523" t="s">
        <v>1864</v>
      </c>
      <c r="S523" s="378" t="s">
        <v>176</v>
      </c>
      <c r="T523" s="378" t="s">
        <v>295</v>
      </c>
    </row>
    <row r="524" spans="1:21" x14ac:dyDescent="0.2">
      <c r="A524" s="353">
        <v>159798</v>
      </c>
      <c r="B524" s="340" t="s">
        <v>712</v>
      </c>
      <c r="C524" s="353">
        <v>10</v>
      </c>
      <c r="D524" s="353">
        <v>2</v>
      </c>
      <c r="E524" s="353">
        <v>4</v>
      </c>
      <c r="F524" s="353">
        <v>5</v>
      </c>
      <c r="G524" s="353">
        <v>12</v>
      </c>
      <c r="H524" s="353">
        <v>26</v>
      </c>
      <c r="I524" s="353"/>
      <c r="J524" s="353"/>
      <c r="K524" s="353">
        <v>0.57999999999999996</v>
      </c>
      <c r="L524" s="353">
        <v>1.64</v>
      </c>
      <c r="M524" s="353">
        <v>8.9</v>
      </c>
      <c r="N524" s="353">
        <v>0.9</v>
      </c>
      <c r="O524" s="353" t="s">
        <v>153</v>
      </c>
      <c r="P524" s="353">
        <v>2013</v>
      </c>
      <c r="Q524" t="s">
        <v>154</v>
      </c>
      <c r="R524" t="s">
        <v>1549</v>
      </c>
      <c r="S524" s="378" t="s">
        <v>755</v>
      </c>
      <c r="T524" s="378" t="s">
        <v>1023</v>
      </c>
    </row>
    <row r="525" spans="1:21" x14ac:dyDescent="0.2">
      <c r="A525" s="353">
        <v>195628</v>
      </c>
      <c r="B525" s="340" t="s">
        <v>691</v>
      </c>
      <c r="C525" s="353">
        <v>7</v>
      </c>
      <c r="D525" s="353">
        <v>2</v>
      </c>
      <c r="E525" s="353">
        <v>3</v>
      </c>
      <c r="F525" s="353">
        <v>3</v>
      </c>
      <c r="G525" s="353">
        <v>9</v>
      </c>
      <c r="H525" s="353">
        <v>18</v>
      </c>
      <c r="I525" s="353"/>
      <c r="J525" s="353"/>
      <c r="K525" s="353">
        <v>0.57999999999999996</v>
      </c>
      <c r="L525" s="353">
        <v>1.63</v>
      </c>
      <c r="M525" s="353">
        <v>6.5</v>
      </c>
      <c r="N525" s="353">
        <v>0.9</v>
      </c>
      <c r="O525" s="353" t="s">
        <v>153</v>
      </c>
      <c r="P525" s="353">
        <v>2013</v>
      </c>
      <c r="Q525" t="s">
        <v>154</v>
      </c>
      <c r="R525" t="s">
        <v>1840</v>
      </c>
      <c r="S525" s="378" t="s">
        <v>755</v>
      </c>
      <c r="T525" s="378" t="s">
        <v>1041</v>
      </c>
    </row>
    <row r="526" spans="1:21" x14ac:dyDescent="0.2">
      <c r="A526" s="353">
        <v>793109</v>
      </c>
      <c r="B526" s="340" t="s">
        <v>1101</v>
      </c>
      <c r="C526" s="353">
        <v>5</v>
      </c>
      <c r="D526" s="353">
        <v>4</v>
      </c>
      <c r="E526" s="353">
        <v>7</v>
      </c>
      <c r="F526" s="353">
        <v>0</v>
      </c>
      <c r="G526" s="353">
        <v>12</v>
      </c>
      <c r="H526" s="353">
        <v>51</v>
      </c>
      <c r="I526" s="353"/>
      <c r="J526" s="353"/>
      <c r="K526" s="353">
        <v>0.57999999999999996</v>
      </c>
      <c r="L526" s="353">
        <v>1.6</v>
      </c>
      <c r="M526" s="353">
        <v>13.4</v>
      </c>
      <c r="N526" s="353">
        <v>1.1000000000000001</v>
      </c>
      <c r="O526" s="353" t="s">
        <v>153</v>
      </c>
      <c r="P526" s="353">
        <v>2017</v>
      </c>
      <c r="Q526" t="s">
        <v>68</v>
      </c>
      <c r="R526" t="s">
        <v>1942</v>
      </c>
      <c r="S526" s="378" t="s">
        <v>198</v>
      </c>
      <c r="T526" s="378" t="s">
        <v>181</v>
      </c>
    </row>
    <row r="527" spans="1:21" x14ac:dyDescent="0.2">
      <c r="A527" s="353">
        <v>889261</v>
      </c>
      <c r="B527" s="340" t="s">
        <v>534</v>
      </c>
      <c r="C527" s="353">
        <v>14</v>
      </c>
      <c r="D527" s="353">
        <v>7</v>
      </c>
      <c r="E527" s="353">
        <v>10</v>
      </c>
      <c r="F527" s="353">
        <v>7</v>
      </c>
      <c r="G527" s="353">
        <v>21</v>
      </c>
      <c r="H527" s="353">
        <v>53</v>
      </c>
      <c r="I527" s="353">
        <v>144</v>
      </c>
      <c r="J527" s="353">
        <v>19.600000000000001</v>
      </c>
      <c r="K527" s="353">
        <v>0.59</v>
      </c>
      <c r="L527" s="353">
        <v>1.85</v>
      </c>
      <c r="M527" s="353">
        <v>15.2</v>
      </c>
      <c r="N527" s="353">
        <v>1</v>
      </c>
      <c r="O527" s="353" t="s">
        <v>344</v>
      </c>
      <c r="P527" s="353">
        <v>2009</v>
      </c>
      <c r="Q527" t="s">
        <v>68</v>
      </c>
      <c r="R527" t="s">
        <v>1765</v>
      </c>
      <c r="S527" s="378" t="s">
        <v>751</v>
      </c>
      <c r="T527" s="378" t="s">
        <v>1047</v>
      </c>
    </row>
    <row r="528" spans="1:21" x14ac:dyDescent="0.2">
      <c r="A528" s="353">
        <v>686626</v>
      </c>
      <c r="B528" s="340" t="s">
        <v>1122</v>
      </c>
      <c r="C528" s="353">
        <v>9</v>
      </c>
      <c r="D528" s="353">
        <v>5</v>
      </c>
      <c r="E528" s="353">
        <v>7</v>
      </c>
      <c r="F528" s="353">
        <v>2</v>
      </c>
      <c r="G528" s="353">
        <v>16</v>
      </c>
      <c r="H528" s="353">
        <v>43</v>
      </c>
      <c r="I528" s="353">
        <v>134</v>
      </c>
      <c r="J528" s="353">
        <v>18.600000000000001</v>
      </c>
      <c r="K528" s="353">
        <v>0.59</v>
      </c>
      <c r="L528" s="353">
        <v>1.85</v>
      </c>
      <c r="M528" s="353">
        <v>14.2</v>
      </c>
      <c r="N528" s="353">
        <v>0.9</v>
      </c>
      <c r="O528" s="353" t="s">
        <v>344</v>
      </c>
      <c r="P528" s="353">
        <v>2000</v>
      </c>
      <c r="Q528" t="s">
        <v>68</v>
      </c>
      <c r="R528" t="s">
        <v>1948</v>
      </c>
      <c r="S528" s="378" t="s">
        <v>751</v>
      </c>
      <c r="T528" s="378" t="s">
        <v>1047</v>
      </c>
    </row>
    <row r="529" spans="1:21" x14ac:dyDescent="0.2">
      <c r="A529" s="353">
        <v>569988</v>
      </c>
      <c r="B529" s="340" t="s">
        <v>531</v>
      </c>
      <c r="C529" s="353">
        <v>13</v>
      </c>
      <c r="D529" s="353">
        <v>3</v>
      </c>
      <c r="E529" s="353">
        <v>7</v>
      </c>
      <c r="F529" s="353">
        <v>3</v>
      </c>
      <c r="G529" s="353">
        <v>21</v>
      </c>
      <c r="H529" s="353">
        <v>49</v>
      </c>
      <c r="I529" s="353">
        <v>122</v>
      </c>
      <c r="J529" s="353">
        <v>17.3</v>
      </c>
      <c r="K529" s="353">
        <v>0.59</v>
      </c>
      <c r="L529" s="353">
        <v>1.57</v>
      </c>
      <c r="M529" s="353">
        <v>13.9</v>
      </c>
      <c r="N529" s="353">
        <v>1</v>
      </c>
      <c r="O529" s="353" t="s">
        <v>153</v>
      </c>
      <c r="P529" s="353">
        <v>2003</v>
      </c>
      <c r="Q529" t="s">
        <v>154</v>
      </c>
      <c r="R529" t="s">
        <v>1292</v>
      </c>
      <c r="S529" s="378" t="s">
        <v>826</v>
      </c>
      <c r="T529" s="378" t="s">
        <v>219</v>
      </c>
    </row>
    <row r="530" spans="1:21" x14ac:dyDescent="0.2">
      <c r="A530" s="353">
        <v>220244</v>
      </c>
      <c r="B530" s="340" t="s">
        <v>1064</v>
      </c>
      <c r="C530" s="353">
        <v>12</v>
      </c>
      <c r="D530" s="353">
        <v>1</v>
      </c>
      <c r="E530" s="353">
        <v>7</v>
      </c>
      <c r="F530" s="353">
        <v>2</v>
      </c>
      <c r="G530" s="353">
        <v>17</v>
      </c>
      <c r="H530" s="353">
        <v>29</v>
      </c>
      <c r="I530" s="353">
        <v>94</v>
      </c>
      <c r="J530" s="353">
        <v>14.2</v>
      </c>
      <c r="K530" s="353">
        <v>0.59</v>
      </c>
      <c r="L530" s="353">
        <v>1.64</v>
      </c>
      <c r="M530" s="353">
        <v>13.9</v>
      </c>
      <c r="N530" s="353">
        <v>0.7</v>
      </c>
      <c r="O530" s="353" t="s">
        <v>153</v>
      </c>
      <c r="P530" s="353">
        <v>2000</v>
      </c>
      <c r="Q530" t="s">
        <v>154</v>
      </c>
      <c r="R530" t="s">
        <v>1559</v>
      </c>
      <c r="S530" s="378" t="s">
        <v>327</v>
      </c>
      <c r="T530" s="378" t="s">
        <v>219</v>
      </c>
      <c r="U530" s="377" t="s">
        <v>162</v>
      </c>
    </row>
    <row r="531" spans="1:21" x14ac:dyDescent="0.2">
      <c r="A531" s="353">
        <v>290668</v>
      </c>
      <c r="B531" s="340" t="s">
        <v>521</v>
      </c>
      <c r="C531" s="353">
        <v>9</v>
      </c>
      <c r="D531" s="353">
        <v>5</v>
      </c>
      <c r="E531" s="353">
        <v>8</v>
      </c>
      <c r="F531" s="353">
        <v>3</v>
      </c>
      <c r="G531" s="353">
        <v>11</v>
      </c>
      <c r="H531" s="353">
        <v>36</v>
      </c>
      <c r="I531" s="353">
        <v>93</v>
      </c>
      <c r="J531" s="353">
        <v>14</v>
      </c>
      <c r="K531" s="353">
        <v>0.59</v>
      </c>
      <c r="L531" s="353">
        <v>1.6</v>
      </c>
      <c r="M531" s="353">
        <v>12.2</v>
      </c>
      <c r="N531" s="353">
        <v>0.9</v>
      </c>
      <c r="O531" s="353" t="s">
        <v>293</v>
      </c>
      <c r="P531" s="353">
        <v>2001</v>
      </c>
      <c r="Q531" t="s">
        <v>68</v>
      </c>
      <c r="R531" t="s">
        <v>1637</v>
      </c>
      <c r="S531" s="378" t="s">
        <v>294</v>
      </c>
      <c r="T531" s="378" t="s">
        <v>181</v>
      </c>
    </row>
    <row r="532" spans="1:21" x14ac:dyDescent="0.2">
      <c r="A532" s="353">
        <v>780411</v>
      </c>
      <c r="B532" s="340" t="s">
        <v>781</v>
      </c>
      <c r="C532" s="353">
        <v>15</v>
      </c>
      <c r="D532" s="353">
        <v>5</v>
      </c>
      <c r="E532" s="353">
        <v>5</v>
      </c>
      <c r="F532" s="353">
        <v>7</v>
      </c>
      <c r="G532" s="353">
        <v>12</v>
      </c>
      <c r="H532" s="353">
        <v>32</v>
      </c>
      <c r="I532" s="353">
        <v>89</v>
      </c>
      <c r="J532" s="353">
        <v>13.6</v>
      </c>
      <c r="K532" s="353">
        <v>0.59</v>
      </c>
      <c r="L532" s="353">
        <v>1.4</v>
      </c>
      <c r="M532" s="353">
        <v>10.4</v>
      </c>
      <c r="N532" s="353">
        <v>1</v>
      </c>
      <c r="O532" s="353" t="s">
        <v>203</v>
      </c>
      <c r="P532" s="353">
        <v>2015</v>
      </c>
      <c r="Q532" t="s">
        <v>68</v>
      </c>
      <c r="R532" t="s">
        <v>1818</v>
      </c>
      <c r="S532" s="378" t="s">
        <v>777</v>
      </c>
      <c r="T532" s="378" t="s">
        <v>1049</v>
      </c>
    </row>
    <row r="533" spans="1:21" x14ac:dyDescent="0.2">
      <c r="A533" s="353">
        <v>887901</v>
      </c>
      <c r="B533" s="340" t="s">
        <v>780</v>
      </c>
      <c r="C533" s="353">
        <v>0</v>
      </c>
      <c r="D533" s="353">
        <v>1</v>
      </c>
      <c r="E533" s="353">
        <v>1</v>
      </c>
      <c r="F533" s="353">
        <v>-2</v>
      </c>
      <c r="G533" s="353">
        <v>1</v>
      </c>
      <c r="H533" s="353">
        <v>20</v>
      </c>
      <c r="I533" s="353">
        <v>66</v>
      </c>
      <c r="J533" s="353">
        <v>10.7</v>
      </c>
      <c r="K533" s="353">
        <v>0.59</v>
      </c>
      <c r="L533" s="353">
        <v>1.4</v>
      </c>
      <c r="M533" s="353">
        <v>12.4</v>
      </c>
      <c r="N533" s="353">
        <v>0.6</v>
      </c>
      <c r="O533" s="353" t="s">
        <v>203</v>
      </c>
      <c r="P533" s="353">
        <v>2015</v>
      </c>
      <c r="Q533" t="s">
        <v>68</v>
      </c>
      <c r="R533" t="s">
        <v>1610</v>
      </c>
      <c r="S533" s="378" t="s">
        <v>777</v>
      </c>
      <c r="T533" s="378" t="s">
        <v>1049</v>
      </c>
    </row>
    <row r="534" spans="1:21" x14ac:dyDescent="0.2">
      <c r="A534" s="353">
        <v>996348</v>
      </c>
      <c r="B534" s="340" t="s">
        <v>813</v>
      </c>
      <c r="C534" s="353">
        <v>10</v>
      </c>
      <c r="D534" s="353">
        <v>4</v>
      </c>
      <c r="E534" s="353">
        <v>6</v>
      </c>
      <c r="F534" s="353">
        <v>7</v>
      </c>
      <c r="G534" s="353">
        <v>7</v>
      </c>
      <c r="H534" s="353">
        <v>20</v>
      </c>
      <c r="I534" s="353">
        <v>54</v>
      </c>
      <c r="J534" s="353">
        <v>9</v>
      </c>
      <c r="K534" s="353">
        <v>0.59</v>
      </c>
      <c r="L534" s="353">
        <v>1.65</v>
      </c>
      <c r="M534" s="353">
        <v>7.5</v>
      </c>
      <c r="N534" s="353">
        <v>0.9</v>
      </c>
      <c r="O534" s="353" t="s">
        <v>203</v>
      </c>
      <c r="P534" s="353">
        <v>2000</v>
      </c>
      <c r="Q534" t="s">
        <v>68</v>
      </c>
      <c r="R534" t="s">
        <v>1464</v>
      </c>
      <c r="S534" s="378" t="s">
        <v>563</v>
      </c>
      <c r="T534" s="378" t="s">
        <v>1024</v>
      </c>
    </row>
    <row r="535" spans="1:21" x14ac:dyDescent="0.2">
      <c r="A535" s="353">
        <v>529016</v>
      </c>
      <c r="B535" s="340" t="s">
        <v>568</v>
      </c>
      <c r="C535" s="353">
        <v>16</v>
      </c>
      <c r="D535" s="353">
        <v>5</v>
      </c>
      <c r="E535" s="353">
        <v>9</v>
      </c>
      <c r="F535" s="353">
        <v>7</v>
      </c>
      <c r="G535" s="353">
        <v>18</v>
      </c>
      <c r="H535" s="353">
        <v>43</v>
      </c>
      <c r="I535" s="353"/>
      <c r="J535" s="353"/>
      <c r="K535" s="353">
        <v>0.59</v>
      </c>
      <c r="L535" s="353">
        <v>1.86</v>
      </c>
      <c r="M535" s="353">
        <v>13.1</v>
      </c>
      <c r="N535" s="353">
        <v>1</v>
      </c>
      <c r="O535" s="353" t="s">
        <v>203</v>
      </c>
      <c r="P535" s="353">
        <v>2014</v>
      </c>
      <c r="Q535" t="s">
        <v>68</v>
      </c>
      <c r="R535" t="s">
        <v>1644</v>
      </c>
      <c r="S535" s="378" t="s">
        <v>751</v>
      </c>
      <c r="T535" s="378" t="s">
        <v>215</v>
      </c>
    </row>
    <row r="536" spans="1:21" x14ac:dyDescent="0.2">
      <c r="A536" s="353">
        <v>656637</v>
      </c>
      <c r="B536" s="340" t="s">
        <v>573</v>
      </c>
      <c r="C536" s="353">
        <v>11</v>
      </c>
      <c r="D536" s="353">
        <v>2</v>
      </c>
      <c r="E536" s="353">
        <v>4</v>
      </c>
      <c r="F536" s="353">
        <v>1</v>
      </c>
      <c r="G536" s="353">
        <v>14</v>
      </c>
      <c r="H536" s="353">
        <v>48</v>
      </c>
      <c r="I536" s="353">
        <v>162</v>
      </c>
      <c r="J536" s="353">
        <v>21.3</v>
      </c>
      <c r="K536" s="353">
        <v>0.6</v>
      </c>
      <c r="L536" s="353">
        <v>1.5</v>
      </c>
      <c r="M536" s="353">
        <v>14</v>
      </c>
      <c r="N536" s="353">
        <v>1</v>
      </c>
      <c r="O536" s="353" t="s">
        <v>153</v>
      </c>
      <c r="P536" s="353">
        <v>2011</v>
      </c>
      <c r="Q536" t="s">
        <v>154</v>
      </c>
      <c r="R536" t="s">
        <v>1207</v>
      </c>
      <c r="S536" s="378" t="s">
        <v>479</v>
      </c>
      <c r="T536" s="378" t="s">
        <v>258</v>
      </c>
    </row>
    <row r="537" spans="1:21" x14ac:dyDescent="0.2">
      <c r="A537" s="353">
        <v>616797</v>
      </c>
      <c r="B537" s="340" t="s">
        <v>834</v>
      </c>
      <c r="C537" s="353">
        <v>7</v>
      </c>
      <c r="D537" s="353">
        <v>7</v>
      </c>
      <c r="E537" s="353">
        <v>9</v>
      </c>
      <c r="F537" s="353">
        <v>3</v>
      </c>
      <c r="G537" s="353">
        <v>13</v>
      </c>
      <c r="H537" s="353">
        <v>44</v>
      </c>
      <c r="I537" s="353">
        <v>132</v>
      </c>
      <c r="J537" s="353">
        <v>18.399999999999999</v>
      </c>
      <c r="K537" s="353">
        <v>0.6</v>
      </c>
      <c r="L537" s="353">
        <v>1.42</v>
      </c>
      <c r="M537" s="353">
        <v>14</v>
      </c>
      <c r="N537" s="353">
        <v>1</v>
      </c>
      <c r="O537" s="353" t="s">
        <v>344</v>
      </c>
      <c r="P537" s="353">
        <v>2000</v>
      </c>
      <c r="Q537" t="s">
        <v>68</v>
      </c>
      <c r="R537" t="s">
        <v>1720</v>
      </c>
      <c r="S537" s="378" t="s">
        <v>493</v>
      </c>
      <c r="T537" s="378" t="s">
        <v>1047</v>
      </c>
    </row>
    <row r="538" spans="1:21" x14ac:dyDescent="0.2">
      <c r="A538" s="353">
        <v>344739</v>
      </c>
      <c r="B538" s="340" t="s">
        <v>509</v>
      </c>
      <c r="C538" s="353">
        <v>12</v>
      </c>
      <c r="D538" s="353">
        <v>0</v>
      </c>
      <c r="E538" s="353">
        <v>5</v>
      </c>
      <c r="F538" s="353">
        <v>2</v>
      </c>
      <c r="G538" s="353">
        <v>18</v>
      </c>
      <c r="H538" s="353">
        <v>48</v>
      </c>
      <c r="I538" s="353">
        <v>117</v>
      </c>
      <c r="J538" s="353">
        <v>16.8</v>
      </c>
      <c r="K538" s="353">
        <v>0.6</v>
      </c>
      <c r="L538" s="353">
        <v>1.43</v>
      </c>
      <c r="M538" s="353">
        <v>13.2</v>
      </c>
      <c r="N538" s="353">
        <v>1.1000000000000001</v>
      </c>
      <c r="O538" s="353" t="s">
        <v>153</v>
      </c>
      <c r="P538" s="353">
        <v>2000</v>
      </c>
      <c r="Q538" t="s">
        <v>154</v>
      </c>
      <c r="R538" t="s">
        <v>1278</v>
      </c>
      <c r="S538" s="378" t="s">
        <v>313</v>
      </c>
      <c r="T538" s="378" t="s">
        <v>219</v>
      </c>
      <c r="U538" s="377" t="s">
        <v>162</v>
      </c>
    </row>
    <row r="539" spans="1:21" x14ac:dyDescent="0.2">
      <c r="A539" s="353">
        <v>481671</v>
      </c>
      <c r="B539" s="340" t="s">
        <v>506</v>
      </c>
      <c r="C539" s="353">
        <v>28</v>
      </c>
      <c r="D539" s="353">
        <v>10</v>
      </c>
      <c r="E539" s="353">
        <v>7</v>
      </c>
      <c r="F539" s="353">
        <v>6</v>
      </c>
      <c r="G539" s="353">
        <v>15</v>
      </c>
      <c r="H539" s="353">
        <v>42</v>
      </c>
      <c r="I539" s="353">
        <v>117</v>
      </c>
      <c r="J539" s="353">
        <v>16.7</v>
      </c>
      <c r="K539" s="353">
        <v>0.6</v>
      </c>
      <c r="L539" s="353">
        <v>1.69</v>
      </c>
      <c r="M539" s="353">
        <v>20.3</v>
      </c>
      <c r="N539" s="353">
        <v>0.7</v>
      </c>
      <c r="O539" s="353" t="s">
        <v>153</v>
      </c>
      <c r="P539" s="353">
        <v>2013</v>
      </c>
      <c r="Q539" t="s">
        <v>68</v>
      </c>
      <c r="R539" t="s">
        <v>1961</v>
      </c>
      <c r="S539" s="378" t="s">
        <v>224</v>
      </c>
      <c r="T539" s="378" t="s">
        <v>1057</v>
      </c>
    </row>
    <row r="540" spans="1:21" x14ac:dyDescent="0.2">
      <c r="A540" s="353">
        <v>151001</v>
      </c>
      <c r="B540" s="340" t="s">
        <v>836</v>
      </c>
      <c r="C540" s="353">
        <v>18</v>
      </c>
      <c r="D540" s="353">
        <v>4</v>
      </c>
      <c r="E540" s="353">
        <v>8</v>
      </c>
      <c r="F540" s="353">
        <v>7</v>
      </c>
      <c r="G540" s="353">
        <v>21</v>
      </c>
      <c r="H540" s="353">
        <v>43</v>
      </c>
      <c r="I540" s="353">
        <v>112</v>
      </c>
      <c r="J540" s="353">
        <v>16.2</v>
      </c>
      <c r="K540" s="353">
        <v>0.6</v>
      </c>
      <c r="L540" s="353">
        <v>1.44</v>
      </c>
      <c r="M540" s="353">
        <v>15.4</v>
      </c>
      <c r="N540" s="353">
        <v>0.9</v>
      </c>
      <c r="O540" s="353" t="s">
        <v>203</v>
      </c>
      <c r="P540" s="353">
        <v>2000</v>
      </c>
      <c r="Q540" t="s">
        <v>68</v>
      </c>
      <c r="R540" t="s">
        <v>1662</v>
      </c>
      <c r="S540" s="378" t="s">
        <v>493</v>
      </c>
      <c r="T540" s="378" t="s">
        <v>215</v>
      </c>
    </row>
    <row r="541" spans="1:21" x14ac:dyDescent="0.2">
      <c r="A541" s="353">
        <v>232991</v>
      </c>
      <c r="B541" s="340" t="s">
        <v>560</v>
      </c>
      <c r="C541" s="353">
        <v>27</v>
      </c>
      <c r="D541" s="353">
        <v>7</v>
      </c>
      <c r="E541" s="353">
        <v>11</v>
      </c>
      <c r="F541" s="353">
        <v>12</v>
      </c>
      <c r="G541" s="353">
        <v>23</v>
      </c>
      <c r="H541" s="353">
        <v>34</v>
      </c>
      <c r="I541" s="353">
        <v>62</v>
      </c>
      <c r="J541" s="353">
        <v>10.1</v>
      </c>
      <c r="K541" s="353">
        <v>0.6</v>
      </c>
      <c r="L541" s="353">
        <v>1.42</v>
      </c>
      <c r="M541" s="353">
        <v>14.3</v>
      </c>
      <c r="N541" s="353">
        <v>0.8</v>
      </c>
      <c r="O541" s="353" t="s">
        <v>344</v>
      </c>
      <c r="P541" s="353">
        <v>2000</v>
      </c>
      <c r="Q541" t="s">
        <v>68</v>
      </c>
      <c r="R541" t="s">
        <v>1237</v>
      </c>
      <c r="S541" s="378" t="s">
        <v>375</v>
      </c>
      <c r="T541" s="378" t="s">
        <v>295</v>
      </c>
    </row>
    <row r="542" spans="1:21" x14ac:dyDescent="0.2">
      <c r="A542" s="353">
        <v>620807</v>
      </c>
      <c r="B542" s="340" t="s">
        <v>941</v>
      </c>
      <c r="C542" s="353">
        <v>8</v>
      </c>
      <c r="D542" s="353">
        <v>8</v>
      </c>
      <c r="E542" s="353">
        <v>10</v>
      </c>
      <c r="F542" s="353">
        <v>6</v>
      </c>
      <c r="G542" s="353">
        <v>5</v>
      </c>
      <c r="H542" s="353">
        <v>5</v>
      </c>
      <c r="I542" s="353">
        <v>25</v>
      </c>
      <c r="J542" s="353">
        <v>4.5999999999999996</v>
      </c>
      <c r="K542" s="353">
        <v>0.6</v>
      </c>
      <c r="L542" s="353">
        <v>1.5</v>
      </c>
      <c r="M542" s="353">
        <v>23.6</v>
      </c>
      <c r="N542" s="353">
        <v>0.2</v>
      </c>
      <c r="O542" s="353" t="s">
        <v>153</v>
      </c>
      <c r="P542" s="353">
        <v>2011</v>
      </c>
      <c r="Q542" t="s">
        <v>154</v>
      </c>
      <c r="R542" t="s">
        <v>1764</v>
      </c>
      <c r="S542" s="378" t="s">
        <v>479</v>
      </c>
      <c r="T542" s="378" t="s">
        <v>342</v>
      </c>
    </row>
    <row r="543" spans="1:21" x14ac:dyDescent="0.2">
      <c r="A543" s="353">
        <v>156315</v>
      </c>
      <c r="B543" s="340" t="s">
        <v>682</v>
      </c>
      <c r="C543" s="353">
        <v>9</v>
      </c>
      <c r="D543" s="353">
        <v>2</v>
      </c>
      <c r="E543" s="353">
        <v>3</v>
      </c>
      <c r="F543" s="353">
        <v>4</v>
      </c>
      <c r="G543" s="353">
        <v>10</v>
      </c>
      <c r="H543" s="353">
        <v>0</v>
      </c>
      <c r="I543" s="353">
        <v>18</v>
      </c>
      <c r="J543" s="353">
        <v>3.4</v>
      </c>
      <c r="K543" s="353">
        <v>0.6</v>
      </c>
      <c r="L543" s="353">
        <v>1.75</v>
      </c>
      <c r="M543" s="353">
        <v>6</v>
      </c>
      <c r="N543" s="353">
        <v>0.1</v>
      </c>
      <c r="O543" s="353" t="s">
        <v>153</v>
      </c>
      <c r="P543" s="353">
        <v>2012</v>
      </c>
      <c r="Q543" t="s">
        <v>154</v>
      </c>
      <c r="R543" t="s">
        <v>1260</v>
      </c>
      <c r="S543" s="378" t="s">
        <v>479</v>
      </c>
      <c r="T543" s="378" t="s">
        <v>1024</v>
      </c>
    </row>
    <row r="544" spans="1:21" x14ac:dyDescent="0.2">
      <c r="A544" s="353">
        <v>836908</v>
      </c>
      <c r="B544" s="340" t="s">
        <v>635</v>
      </c>
      <c r="C544" s="353">
        <v>5</v>
      </c>
      <c r="D544" s="353">
        <v>3</v>
      </c>
      <c r="E544" s="353">
        <v>4</v>
      </c>
      <c r="F544" s="353">
        <v>1</v>
      </c>
      <c r="G544" s="353">
        <v>6</v>
      </c>
      <c r="H544" s="353">
        <v>10</v>
      </c>
      <c r="I544" s="353"/>
      <c r="J544" s="353"/>
      <c r="K544" s="353">
        <v>0.6</v>
      </c>
      <c r="L544" s="353">
        <v>1.5</v>
      </c>
      <c r="M544" s="353">
        <v>5.5</v>
      </c>
      <c r="N544" s="353">
        <v>0.6</v>
      </c>
      <c r="O544" s="353" t="s">
        <v>153</v>
      </c>
      <c r="P544" s="353">
        <v>2014</v>
      </c>
      <c r="Q544" t="s">
        <v>154</v>
      </c>
      <c r="R544" t="s">
        <v>1336</v>
      </c>
      <c r="S544" s="378" t="s">
        <v>479</v>
      </c>
      <c r="T544" s="378" t="s">
        <v>1024</v>
      </c>
    </row>
    <row r="545" spans="1:21" x14ac:dyDescent="0.2">
      <c r="A545" s="353">
        <v>725101</v>
      </c>
      <c r="B545" s="340" t="s">
        <v>990</v>
      </c>
      <c r="C545" s="353">
        <v>16</v>
      </c>
      <c r="D545" s="353">
        <v>2</v>
      </c>
      <c r="E545" s="353">
        <v>5</v>
      </c>
      <c r="F545" s="353">
        <v>4</v>
      </c>
      <c r="G545" s="353">
        <v>21</v>
      </c>
      <c r="H545" s="353"/>
      <c r="I545" s="353"/>
      <c r="J545" s="353"/>
      <c r="K545" s="353">
        <v>0.6</v>
      </c>
      <c r="L545" s="353">
        <v>1.43</v>
      </c>
      <c r="M545" s="353"/>
      <c r="N545" s="353"/>
      <c r="O545" s="353" t="s">
        <v>153</v>
      </c>
      <c r="P545" s="353">
        <v>2016</v>
      </c>
      <c r="Q545" t="s">
        <v>154</v>
      </c>
      <c r="R545" t="s">
        <v>1674</v>
      </c>
      <c r="S545" s="378" t="s">
        <v>886</v>
      </c>
      <c r="T545" s="378" t="s">
        <v>258</v>
      </c>
      <c r="U545" s="377" t="s">
        <v>162</v>
      </c>
    </row>
    <row r="546" spans="1:21" x14ac:dyDescent="0.2">
      <c r="A546" s="353">
        <v>456236</v>
      </c>
      <c r="B546" s="340" t="s">
        <v>577</v>
      </c>
      <c r="C546" s="353">
        <v>22</v>
      </c>
      <c r="D546" s="353">
        <v>8</v>
      </c>
      <c r="E546" s="353">
        <v>11</v>
      </c>
      <c r="F546" s="353">
        <v>12</v>
      </c>
      <c r="G546" s="353">
        <v>24</v>
      </c>
      <c r="H546" s="353">
        <v>73</v>
      </c>
      <c r="I546" s="353">
        <v>177</v>
      </c>
      <c r="J546" s="353">
        <v>22.6</v>
      </c>
      <c r="K546" s="353">
        <v>0.61</v>
      </c>
      <c r="L546" s="353">
        <v>1.62</v>
      </c>
      <c r="M546" s="353">
        <v>14.5</v>
      </c>
      <c r="N546" s="353">
        <v>1.4</v>
      </c>
      <c r="O546" s="353" t="s">
        <v>153</v>
      </c>
      <c r="P546" s="353">
        <v>2011</v>
      </c>
      <c r="Q546" t="s">
        <v>154</v>
      </c>
      <c r="R546" t="s">
        <v>1767</v>
      </c>
      <c r="S546" s="378" t="s">
        <v>826</v>
      </c>
      <c r="T546" s="378" t="s">
        <v>289</v>
      </c>
    </row>
    <row r="547" spans="1:21" x14ac:dyDescent="0.2">
      <c r="A547" s="353">
        <v>365981</v>
      </c>
      <c r="B547" s="340" t="s">
        <v>828</v>
      </c>
      <c r="C547" s="353">
        <v>14</v>
      </c>
      <c r="D547" s="353">
        <v>9</v>
      </c>
      <c r="E547" s="353">
        <v>12</v>
      </c>
      <c r="F547" s="353">
        <v>9</v>
      </c>
      <c r="G547" s="353">
        <v>13</v>
      </c>
      <c r="H547" s="353">
        <v>59</v>
      </c>
      <c r="I547" s="353">
        <v>122</v>
      </c>
      <c r="J547" s="353">
        <v>17.3</v>
      </c>
      <c r="K547" s="353">
        <v>0.61</v>
      </c>
      <c r="L547" s="353">
        <v>1.46</v>
      </c>
      <c r="M547" s="353">
        <v>14.8</v>
      </c>
      <c r="N547" s="353">
        <v>1.1000000000000001</v>
      </c>
      <c r="O547" s="353" t="s">
        <v>492</v>
      </c>
      <c r="P547" s="353">
        <v>2000</v>
      </c>
      <c r="Q547" t="s">
        <v>68</v>
      </c>
      <c r="R547" t="s">
        <v>1846</v>
      </c>
      <c r="S547" s="378" t="s">
        <v>493</v>
      </c>
      <c r="T547" s="378" t="s">
        <v>201</v>
      </c>
    </row>
    <row r="548" spans="1:21" x14ac:dyDescent="0.2">
      <c r="A548" s="353">
        <v>294322</v>
      </c>
      <c r="B548" s="340" t="s">
        <v>827</v>
      </c>
      <c r="C548" s="353">
        <v>9</v>
      </c>
      <c r="D548" s="353">
        <v>5</v>
      </c>
      <c r="E548" s="353">
        <v>9</v>
      </c>
      <c r="F548" s="353">
        <v>4</v>
      </c>
      <c r="G548" s="353">
        <v>13</v>
      </c>
      <c r="H548" s="353">
        <v>40</v>
      </c>
      <c r="I548" s="353">
        <v>114</v>
      </c>
      <c r="J548" s="353">
        <v>16.399999999999999</v>
      </c>
      <c r="K548" s="353">
        <v>0.61</v>
      </c>
      <c r="L548" s="353">
        <v>1.47</v>
      </c>
      <c r="M548" s="353">
        <v>13.3</v>
      </c>
      <c r="N548" s="353">
        <v>0.9</v>
      </c>
      <c r="O548" s="353" t="s">
        <v>344</v>
      </c>
      <c r="P548" s="353">
        <v>2000</v>
      </c>
      <c r="Q548" t="s">
        <v>68</v>
      </c>
      <c r="R548" t="s">
        <v>1203</v>
      </c>
      <c r="S548" s="378" t="s">
        <v>493</v>
      </c>
      <c r="T548" s="378" t="s">
        <v>181</v>
      </c>
    </row>
    <row r="549" spans="1:21" x14ac:dyDescent="0.2">
      <c r="A549" s="353">
        <v>334409</v>
      </c>
      <c r="B549" s="340" t="s">
        <v>535</v>
      </c>
      <c r="C549" s="353">
        <v>31</v>
      </c>
      <c r="D549" s="353">
        <v>7</v>
      </c>
      <c r="E549" s="353">
        <v>11</v>
      </c>
      <c r="F549" s="353">
        <v>15</v>
      </c>
      <c r="G549" s="353">
        <v>24</v>
      </c>
      <c r="H549" s="353">
        <v>53</v>
      </c>
      <c r="I549" s="353">
        <v>98</v>
      </c>
      <c r="J549" s="353">
        <v>14.7</v>
      </c>
      <c r="K549" s="353">
        <v>0.61</v>
      </c>
      <c r="L549" s="353">
        <v>1.77</v>
      </c>
      <c r="M549" s="353">
        <v>19.399999999999999</v>
      </c>
      <c r="N549" s="353">
        <v>0.8</v>
      </c>
      <c r="O549" s="353" t="s">
        <v>344</v>
      </c>
      <c r="P549" s="353">
        <v>2000</v>
      </c>
      <c r="Q549" t="s">
        <v>68</v>
      </c>
      <c r="R549" t="s">
        <v>1382</v>
      </c>
      <c r="S549" s="378" t="s">
        <v>425</v>
      </c>
      <c r="T549" s="378" t="s">
        <v>342</v>
      </c>
    </row>
    <row r="550" spans="1:21" x14ac:dyDescent="0.2">
      <c r="A550" s="353">
        <v>273078</v>
      </c>
      <c r="B550" s="340" t="s">
        <v>520</v>
      </c>
      <c r="C550" s="353">
        <v>14</v>
      </c>
      <c r="D550" s="353">
        <v>2</v>
      </c>
      <c r="E550" s="353">
        <v>8</v>
      </c>
      <c r="F550" s="353">
        <v>5</v>
      </c>
      <c r="G550" s="353">
        <v>19</v>
      </c>
      <c r="H550" s="353">
        <v>21</v>
      </c>
      <c r="I550" s="353">
        <v>69</v>
      </c>
      <c r="J550" s="353">
        <v>11.1</v>
      </c>
      <c r="K550" s="353">
        <v>0.61</v>
      </c>
      <c r="L550" s="353">
        <v>1.45</v>
      </c>
      <c r="M550" s="353">
        <v>12.6</v>
      </c>
      <c r="N550" s="353">
        <v>0.6</v>
      </c>
      <c r="O550" s="353" t="s">
        <v>153</v>
      </c>
      <c r="P550" s="353">
        <v>2000</v>
      </c>
      <c r="Q550" t="s">
        <v>154</v>
      </c>
      <c r="R550" t="s">
        <v>1353</v>
      </c>
      <c r="S550" s="378" t="s">
        <v>313</v>
      </c>
      <c r="T550" s="378" t="s">
        <v>215</v>
      </c>
      <c r="U550" s="377" t="s">
        <v>162</v>
      </c>
    </row>
    <row r="551" spans="1:21" x14ac:dyDescent="0.2">
      <c r="A551" s="353">
        <v>401810</v>
      </c>
      <c r="B551" s="340" t="s">
        <v>835</v>
      </c>
      <c r="C551" s="353">
        <v>9</v>
      </c>
      <c r="D551" s="353">
        <v>5</v>
      </c>
      <c r="E551" s="353">
        <v>4</v>
      </c>
      <c r="F551" s="353">
        <v>1</v>
      </c>
      <c r="G551" s="353">
        <v>9</v>
      </c>
      <c r="H551" s="353">
        <v>21</v>
      </c>
      <c r="I551" s="353">
        <v>49</v>
      </c>
      <c r="J551" s="353">
        <v>8.3000000000000007</v>
      </c>
      <c r="K551" s="353">
        <v>0.61</v>
      </c>
      <c r="L551" s="353">
        <v>1.45</v>
      </c>
      <c r="M551" s="353">
        <v>15.3</v>
      </c>
      <c r="N551" s="353">
        <v>0.5</v>
      </c>
      <c r="O551" s="353" t="s">
        <v>344</v>
      </c>
      <c r="P551" s="353">
        <v>2000</v>
      </c>
      <c r="Q551" t="s">
        <v>68</v>
      </c>
      <c r="R551" t="s">
        <v>1790</v>
      </c>
      <c r="S551" s="378" t="s">
        <v>493</v>
      </c>
      <c r="T551" s="378" t="s">
        <v>1048</v>
      </c>
    </row>
    <row r="552" spans="1:21" x14ac:dyDescent="0.2">
      <c r="A552" s="353">
        <v>804385</v>
      </c>
      <c r="B552" s="340" t="s">
        <v>783</v>
      </c>
      <c r="C552" s="353">
        <v>9</v>
      </c>
      <c r="D552" s="353">
        <v>6</v>
      </c>
      <c r="E552" s="353">
        <v>10</v>
      </c>
      <c r="F552" s="353">
        <v>4</v>
      </c>
      <c r="G552" s="353">
        <v>19</v>
      </c>
      <c r="H552" s="353">
        <v>50</v>
      </c>
      <c r="I552" s="353">
        <v>139</v>
      </c>
      <c r="J552" s="353">
        <v>19</v>
      </c>
      <c r="K552" s="353">
        <v>0.62</v>
      </c>
      <c r="L552" s="353">
        <v>1.81</v>
      </c>
      <c r="M552" s="353">
        <v>15.8</v>
      </c>
      <c r="N552" s="353">
        <v>0.9</v>
      </c>
      <c r="O552" s="353" t="s">
        <v>344</v>
      </c>
      <c r="P552" s="353">
        <v>2004</v>
      </c>
      <c r="Q552" t="s">
        <v>68</v>
      </c>
      <c r="R552" t="s">
        <v>1689</v>
      </c>
      <c r="S552" s="378" t="s">
        <v>540</v>
      </c>
      <c r="T552" s="378" t="s">
        <v>1047</v>
      </c>
    </row>
    <row r="553" spans="1:21" x14ac:dyDescent="0.2">
      <c r="A553" s="353">
        <v>116293</v>
      </c>
      <c r="B553" s="340" t="s">
        <v>544</v>
      </c>
      <c r="C553" s="353">
        <v>23</v>
      </c>
      <c r="D553" s="353">
        <v>4</v>
      </c>
      <c r="E553" s="353">
        <v>9</v>
      </c>
      <c r="F553" s="353">
        <v>8</v>
      </c>
      <c r="G553" s="353">
        <v>24</v>
      </c>
      <c r="H553" s="353">
        <v>53</v>
      </c>
      <c r="I553" s="353">
        <v>131</v>
      </c>
      <c r="J553" s="353">
        <v>18.2</v>
      </c>
      <c r="K553" s="353">
        <v>0.62</v>
      </c>
      <c r="L553" s="353">
        <v>1.97</v>
      </c>
      <c r="M553" s="353">
        <v>13.9</v>
      </c>
      <c r="N553" s="353">
        <v>1.1000000000000001</v>
      </c>
      <c r="O553" s="353" t="s">
        <v>203</v>
      </c>
      <c r="P553" s="353">
        <v>2005</v>
      </c>
      <c r="Q553" t="s">
        <v>68</v>
      </c>
      <c r="R553" t="s">
        <v>1730</v>
      </c>
      <c r="S553" s="378" t="s">
        <v>751</v>
      </c>
      <c r="T553" s="378" t="s">
        <v>1046</v>
      </c>
    </row>
    <row r="554" spans="1:21" x14ac:dyDescent="0.2">
      <c r="A554" s="353">
        <v>625236</v>
      </c>
      <c r="B554" s="340" t="s">
        <v>782</v>
      </c>
      <c r="C554" s="353">
        <v>1</v>
      </c>
      <c r="D554" s="353">
        <v>5</v>
      </c>
      <c r="E554" s="353">
        <v>6</v>
      </c>
      <c r="F554" s="353">
        <v>-2</v>
      </c>
      <c r="G554" s="353">
        <v>8</v>
      </c>
      <c r="H554" s="353">
        <v>34</v>
      </c>
      <c r="I554" s="353">
        <v>128</v>
      </c>
      <c r="J554" s="353">
        <v>18</v>
      </c>
      <c r="K554" s="353">
        <v>0.62</v>
      </c>
      <c r="L554" s="353">
        <v>1.81</v>
      </c>
      <c r="M554" s="353">
        <v>15.6</v>
      </c>
      <c r="N554" s="353">
        <v>0.7</v>
      </c>
      <c r="O554" s="353" t="s">
        <v>344</v>
      </c>
      <c r="P554" s="353">
        <v>2004</v>
      </c>
      <c r="Q554" t="s">
        <v>68</v>
      </c>
      <c r="R554" t="s">
        <v>1690</v>
      </c>
      <c r="S554" s="378" t="s">
        <v>540</v>
      </c>
      <c r="T554" s="378" t="s">
        <v>1047</v>
      </c>
    </row>
    <row r="555" spans="1:21" x14ac:dyDescent="0.2">
      <c r="A555" s="353">
        <v>823500</v>
      </c>
      <c r="B555" s="340" t="s">
        <v>1121</v>
      </c>
      <c r="C555" s="353">
        <v>21</v>
      </c>
      <c r="D555" s="353">
        <v>7</v>
      </c>
      <c r="E555" s="353">
        <v>11</v>
      </c>
      <c r="F555" s="353">
        <v>8</v>
      </c>
      <c r="G555" s="353">
        <v>15</v>
      </c>
      <c r="H555" s="353">
        <v>44</v>
      </c>
      <c r="I555" s="353">
        <v>126</v>
      </c>
      <c r="J555" s="353">
        <v>17.7</v>
      </c>
      <c r="K555" s="353">
        <v>0.62</v>
      </c>
      <c r="L555" s="353">
        <v>1.97</v>
      </c>
      <c r="M555" s="353">
        <v>14.7</v>
      </c>
      <c r="N555" s="353">
        <v>0.9</v>
      </c>
      <c r="O555" s="353" t="s">
        <v>344</v>
      </c>
      <c r="P555" s="353">
        <v>2016</v>
      </c>
      <c r="Q555" t="s">
        <v>68</v>
      </c>
      <c r="R555" t="s">
        <v>1947</v>
      </c>
      <c r="S555" s="378" t="s">
        <v>751</v>
      </c>
      <c r="T555" s="378" t="s">
        <v>1048</v>
      </c>
    </row>
    <row r="556" spans="1:21" x14ac:dyDescent="0.2">
      <c r="A556" s="353">
        <v>759100</v>
      </c>
      <c r="B556" s="340" t="s">
        <v>1120</v>
      </c>
      <c r="C556" s="353">
        <v>17</v>
      </c>
      <c r="D556" s="353">
        <v>3</v>
      </c>
      <c r="E556" s="353">
        <v>6</v>
      </c>
      <c r="F556" s="353">
        <v>6</v>
      </c>
      <c r="G556" s="353">
        <v>19</v>
      </c>
      <c r="H556" s="353">
        <v>48</v>
      </c>
      <c r="I556" s="353">
        <v>125</v>
      </c>
      <c r="J556" s="353">
        <v>17.7</v>
      </c>
      <c r="K556" s="353">
        <v>0.62</v>
      </c>
      <c r="L556" s="353">
        <v>1.76</v>
      </c>
      <c r="M556" s="353">
        <v>12</v>
      </c>
      <c r="N556" s="353">
        <v>1.2</v>
      </c>
      <c r="O556" s="353" t="s">
        <v>293</v>
      </c>
      <c r="P556" s="353">
        <v>2017</v>
      </c>
      <c r="Q556" t="s">
        <v>68</v>
      </c>
      <c r="R556" t="s">
        <v>1984</v>
      </c>
      <c r="S556" s="378" t="s">
        <v>455</v>
      </c>
      <c r="T556" s="378" t="s">
        <v>318</v>
      </c>
      <c r="U556" s="377" t="s">
        <v>162</v>
      </c>
    </row>
    <row r="557" spans="1:21" x14ac:dyDescent="0.2">
      <c r="A557" s="353">
        <v>768556</v>
      </c>
      <c r="B557" s="340" t="s">
        <v>784</v>
      </c>
      <c r="C557" s="353">
        <v>-6</v>
      </c>
      <c r="D557" s="353">
        <v>4</v>
      </c>
      <c r="E557" s="353">
        <v>5</v>
      </c>
      <c r="F557" s="353">
        <v>-2</v>
      </c>
      <c r="G557" s="353">
        <v>3</v>
      </c>
      <c r="H557" s="353">
        <v>26</v>
      </c>
      <c r="I557" s="353">
        <v>105</v>
      </c>
      <c r="J557" s="353">
        <v>15.5</v>
      </c>
      <c r="K557" s="353">
        <v>0.62</v>
      </c>
      <c r="L557" s="353">
        <v>1.81</v>
      </c>
      <c r="M557" s="353">
        <v>16.600000000000001</v>
      </c>
      <c r="N557" s="353">
        <v>0.6</v>
      </c>
      <c r="O557" s="353" t="s">
        <v>344</v>
      </c>
      <c r="P557" s="353">
        <v>2004</v>
      </c>
      <c r="Q557" t="s">
        <v>68</v>
      </c>
      <c r="R557" t="s">
        <v>1688</v>
      </c>
      <c r="S557" s="378" t="s">
        <v>540</v>
      </c>
      <c r="T557" s="378" t="s">
        <v>1047</v>
      </c>
    </row>
    <row r="558" spans="1:21" x14ac:dyDescent="0.2">
      <c r="A558" s="353">
        <v>810465</v>
      </c>
      <c r="B558" s="340" t="s">
        <v>543</v>
      </c>
      <c r="C558" s="353">
        <v>13</v>
      </c>
      <c r="D558" s="353">
        <v>4</v>
      </c>
      <c r="E558" s="353">
        <v>6</v>
      </c>
      <c r="F558" s="353">
        <v>4</v>
      </c>
      <c r="G558" s="353">
        <v>14</v>
      </c>
      <c r="H558" s="353">
        <v>34</v>
      </c>
      <c r="I558" s="353">
        <v>88</v>
      </c>
      <c r="J558" s="353">
        <v>13.5</v>
      </c>
      <c r="K558" s="353">
        <v>0.62</v>
      </c>
      <c r="L558" s="353">
        <v>1.65</v>
      </c>
      <c r="M558" s="353">
        <v>12.6</v>
      </c>
      <c r="N558" s="353">
        <v>0.8</v>
      </c>
      <c r="O558" s="353" t="s">
        <v>203</v>
      </c>
      <c r="P558" s="353">
        <v>2003</v>
      </c>
      <c r="Q558" t="s">
        <v>68</v>
      </c>
      <c r="R558" t="s">
        <v>1470</v>
      </c>
      <c r="S558" s="378" t="s">
        <v>955</v>
      </c>
      <c r="T558" s="378" t="s">
        <v>215</v>
      </c>
      <c r="U558" s="377" t="s">
        <v>162</v>
      </c>
    </row>
    <row r="559" spans="1:21" x14ac:dyDescent="0.2">
      <c r="A559" s="353">
        <v>473470</v>
      </c>
      <c r="B559" s="340" t="s">
        <v>833</v>
      </c>
      <c r="C559" s="353">
        <v>12</v>
      </c>
      <c r="D559" s="353">
        <v>3</v>
      </c>
      <c r="E559" s="353">
        <v>6</v>
      </c>
      <c r="F559" s="353">
        <v>4</v>
      </c>
      <c r="G559" s="353">
        <v>16</v>
      </c>
      <c r="H559" s="353">
        <v>27</v>
      </c>
      <c r="I559" s="353">
        <v>80</v>
      </c>
      <c r="J559" s="353">
        <v>12.5</v>
      </c>
      <c r="K559" s="353">
        <v>0.62</v>
      </c>
      <c r="L559" s="353">
        <v>1.49</v>
      </c>
      <c r="M559" s="353">
        <v>13.6</v>
      </c>
      <c r="N559" s="353">
        <v>0.7</v>
      </c>
      <c r="O559" s="353" t="s">
        <v>203</v>
      </c>
      <c r="P559" s="353">
        <v>2000</v>
      </c>
      <c r="Q559" t="s">
        <v>68</v>
      </c>
      <c r="R559" t="s">
        <v>1663</v>
      </c>
      <c r="S559" s="378" t="s">
        <v>493</v>
      </c>
      <c r="T559" s="378" t="s">
        <v>215</v>
      </c>
    </row>
    <row r="560" spans="1:21" x14ac:dyDescent="0.2">
      <c r="A560" s="353">
        <v>732727</v>
      </c>
      <c r="B560" s="340" t="s">
        <v>788</v>
      </c>
      <c r="C560" s="353">
        <v>12</v>
      </c>
      <c r="D560" s="353">
        <v>3</v>
      </c>
      <c r="E560" s="353">
        <v>6</v>
      </c>
      <c r="F560" s="353">
        <v>3</v>
      </c>
      <c r="G560" s="353">
        <v>15</v>
      </c>
      <c r="H560" s="353">
        <v>24</v>
      </c>
      <c r="I560" s="353">
        <v>67</v>
      </c>
      <c r="J560" s="353">
        <v>10.8</v>
      </c>
      <c r="K560" s="353">
        <v>0.62</v>
      </c>
      <c r="L560" s="353">
        <v>1.81</v>
      </c>
      <c r="M560" s="353">
        <v>13.2</v>
      </c>
      <c r="N560" s="353">
        <v>0.6</v>
      </c>
      <c r="O560" s="353" t="s">
        <v>203</v>
      </c>
      <c r="P560" s="353">
        <v>2004</v>
      </c>
      <c r="Q560" t="s">
        <v>68</v>
      </c>
      <c r="R560" t="s">
        <v>1684</v>
      </c>
      <c r="S560" s="378" t="s">
        <v>540</v>
      </c>
      <c r="T560" s="378" t="s">
        <v>215</v>
      </c>
    </row>
    <row r="561" spans="1:21" x14ac:dyDescent="0.2">
      <c r="A561" s="353">
        <v>687442</v>
      </c>
      <c r="B561" s="340" t="s">
        <v>1096</v>
      </c>
      <c r="C561" s="353">
        <v>-4</v>
      </c>
      <c r="D561" s="353">
        <v>-2</v>
      </c>
      <c r="E561" s="353">
        <v>-4</v>
      </c>
      <c r="F561" s="353">
        <v>-2</v>
      </c>
      <c r="G561" s="353">
        <v>-3</v>
      </c>
      <c r="H561" s="353">
        <v>31</v>
      </c>
      <c r="I561" s="353">
        <v>58</v>
      </c>
      <c r="J561" s="353">
        <v>9.6</v>
      </c>
      <c r="K561" s="353">
        <v>0.62</v>
      </c>
      <c r="L561" s="353">
        <v>1.76</v>
      </c>
      <c r="M561" s="353">
        <v>18</v>
      </c>
      <c r="N561" s="353">
        <v>0.6</v>
      </c>
      <c r="O561" s="353" t="s">
        <v>293</v>
      </c>
      <c r="P561" s="353">
        <v>2017</v>
      </c>
      <c r="Q561" t="s">
        <v>68</v>
      </c>
      <c r="R561" t="s">
        <v>1857</v>
      </c>
      <c r="S561" s="378" t="s">
        <v>455</v>
      </c>
      <c r="T561" s="378" t="s">
        <v>298</v>
      </c>
      <c r="U561" s="377" t="s">
        <v>162</v>
      </c>
    </row>
    <row r="562" spans="1:21" x14ac:dyDescent="0.2">
      <c r="A562" s="353">
        <v>376319</v>
      </c>
      <c r="B562" s="340" t="s">
        <v>522</v>
      </c>
      <c r="C562" s="353">
        <v>5</v>
      </c>
      <c r="D562" s="353">
        <v>4</v>
      </c>
      <c r="E562" s="353">
        <v>7</v>
      </c>
      <c r="F562" s="353">
        <v>2</v>
      </c>
      <c r="G562" s="353">
        <v>14</v>
      </c>
      <c r="H562" s="353">
        <v>10</v>
      </c>
      <c r="I562" s="353">
        <v>9</v>
      </c>
      <c r="J562" s="353">
        <v>1.7</v>
      </c>
      <c r="K562" s="353">
        <v>0.62</v>
      </c>
      <c r="L562" s="353">
        <v>1.48</v>
      </c>
      <c r="M562" s="353">
        <v>18.100000000000001</v>
      </c>
      <c r="N562" s="353">
        <v>0.3</v>
      </c>
      <c r="O562" s="353" t="s">
        <v>344</v>
      </c>
      <c r="P562" s="353">
        <v>2000</v>
      </c>
      <c r="Q562" t="s">
        <v>68</v>
      </c>
      <c r="R562" t="s">
        <v>1233</v>
      </c>
      <c r="S562" s="378" t="s">
        <v>375</v>
      </c>
      <c r="T562" s="378" t="s">
        <v>321</v>
      </c>
    </row>
    <row r="563" spans="1:21" x14ac:dyDescent="0.2">
      <c r="A563" s="353">
        <v>490706</v>
      </c>
      <c r="B563" s="340" t="s">
        <v>1158</v>
      </c>
      <c r="C563" s="353">
        <v>6</v>
      </c>
      <c r="D563" s="353">
        <v>1</v>
      </c>
      <c r="E563" s="353">
        <v>3</v>
      </c>
      <c r="F563" s="353">
        <v>1</v>
      </c>
      <c r="G563" s="353">
        <v>8</v>
      </c>
      <c r="H563" s="353">
        <v>24</v>
      </c>
      <c r="I563" s="353"/>
      <c r="J563" s="353"/>
      <c r="K563" s="353">
        <v>0.62</v>
      </c>
      <c r="L563" s="353">
        <v>1.48</v>
      </c>
      <c r="M563" s="353">
        <v>6.8</v>
      </c>
      <c r="N563" s="353">
        <v>1.1000000000000001</v>
      </c>
      <c r="O563" s="353" t="s">
        <v>153</v>
      </c>
      <c r="P563" s="353">
        <v>2016</v>
      </c>
      <c r="Q563" t="s">
        <v>154</v>
      </c>
      <c r="R563" t="s">
        <v>2010</v>
      </c>
      <c r="S563" s="378" t="s">
        <v>237</v>
      </c>
      <c r="T563" s="378" t="s">
        <v>1024</v>
      </c>
      <c r="U563" s="377" t="s">
        <v>162</v>
      </c>
    </row>
    <row r="564" spans="1:21" x14ac:dyDescent="0.2">
      <c r="A564" s="353">
        <v>446088</v>
      </c>
      <c r="B564" s="340" t="s">
        <v>794</v>
      </c>
      <c r="C564" s="353">
        <v>37</v>
      </c>
      <c r="D564" s="353">
        <v>11</v>
      </c>
      <c r="E564" s="353">
        <v>16</v>
      </c>
      <c r="F564" s="353">
        <v>19</v>
      </c>
      <c r="G564" s="353">
        <v>38</v>
      </c>
      <c r="H564" s="353">
        <v>90</v>
      </c>
      <c r="I564" s="353">
        <v>204</v>
      </c>
      <c r="J564" s="353">
        <v>24.9</v>
      </c>
      <c r="K564" s="353">
        <v>0.63</v>
      </c>
      <c r="L564" s="353">
        <v>1.81</v>
      </c>
      <c r="M564" s="353">
        <v>17.8</v>
      </c>
      <c r="N564" s="353">
        <v>1.3</v>
      </c>
      <c r="O564" s="353" t="s">
        <v>344</v>
      </c>
      <c r="P564" s="353">
        <v>2004</v>
      </c>
      <c r="Q564" t="s">
        <v>68</v>
      </c>
      <c r="R564" t="s">
        <v>1694</v>
      </c>
      <c r="S564" s="378" t="s">
        <v>540</v>
      </c>
      <c r="T564" s="378" t="s">
        <v>253</v>
      </c>
    </row>
    <row r="565" spans="1:21" x14ac:dyDescent="0.2">
      <c r="A565" s="353">
        <v>374421</v>
      </c>
      <c r="B565" s="340" t="s">
        <v>792</v>
      </c>
      <c r="C565" s="353">
        <v>9</v>
      </c>
      <c r="D565" s="353">
        <v>3</v>
      </c>
      <c r="E565" s="353">
        <v>3</v>
      </c>
      <c r="F565" s="353">
        <v>0</v>
      </c>
      <c r="G565" s="353">
        <v>12</v>
      </c>
      <c r="H565" s="353">
        <v>34</v>
      </c>
      <c r="I565" s="353">
        <v>161</v>
      </c>
      <c r="J565" s="353">
        <v>21.2</v>
      </c>
      <c r="K565" s="353">
        <v>0.63</v>
      </c>
      <c r="L565" s="353">
        <v>1.81</v>
      </c>
      <c r="M565" s="353">
        <v>17.3</v>
      </c>
      <c r="N565" s="353">
        <v>0.7</v>
      </c>
      <c r="O565" s="353" t="s">
        <v>344</v>
      </c>
      <c r="P565" s="353">
        <v>2004</v>
      </c>
      <c r="Q565" t="s">
        <v>68</v>
      </c>
      <c r="R565" t="s">
        <v>1693</v>
      </c>
      <c r="S565" s="378" t="s">
        <v>540</v>
      </c>
      <c r="T565" s="378" t="s">
        <v>1051</v>
      </c>
    </row>
    <row r="566" spans="1:21" x14ac:dyDescent="0.2">
      <c r="A566" s="353">
        <v>192146</v>
      </c>
      <c r="B566" s="340" t="s">
        <v>557</v>
      </c>
      <c r="C566" s="353">
        <v>14</v>
      </c>
      <c r="D566" s="353">
        <v>8</v>
      </c>
      <c r="E566" s="353">
        <v>10</v>
      </c>
      <c r="F566" s="353">
        <v>7</v>
      </c>
      <c r="G566" s="353">
        <v>7</v>
      </c>
      <c r="H566" s="353">
        <v>58</v>
      </c>
      <c r="I566" s="353">
        <v>147</v>
      </c>
      <c r="J566" s="353">
        <v>19.8</v>
      </c>
      <c r="K566" s="353">
        <v>0.63</v>
      </c>
      <c r="L566" s="353">
        <v>1.68</v>
      </c>
      <c r="M566" s="353">
        <v>17.5</v>
      </c>
      <c r="N566" s="353">
        <v>1</v>
      </c>
      <c r="O566" s="353" t="s">
        <v>492</v>
      </c>
      <c r="P566" s="353">
        <v>2008</v>
      </c>
      <c r="Q566" t="s">
        <v>68</v>
      </c>
      <c r="R566" t="s">
        <v>1848</v>
      </c>
      <c r="S566" s="378" t="s">
        <v>408</v>
      </c>
      <c r="T566" s="378" t="s">
        <v>201</v>
      </c>
    </row>
    <row r="567" spans="1:21" x14ac:dyDescent="0.2">
      <c r="A567" s="353">
        <v>159442</v>
      </c>
      <c r="B567" s="340" t="s">
        <v>786</v>
      </c>
      <c r="C567" s="353">
        <v>17</v>
      </c>
      <c r="D567" s="353">
        <v>7</v>
      </c>
      <c r="E567" s="353">
        <v>11</v>
      </c>
      <c r="F567" s="353">
        <v>12</v>
      </c>
      <c r="G567" s="353">
        <v>16</v>
      </c>
      <c r="H567" s="353">
        <v>58</v>
      </c>
      <c r="I567" s="353">
        <v>146</v>
      </c>
      <c r="J567" s="353">
        <v>19.7</v>
      </c>
      <c r="K567" s="353">
        <v>0.63</v>
      </c>
      <c r="L567" s="353">
        <v>1.81</v>
      </c>
      <c r="M567" s="353">
        <v>14.6</v>
      </c>
      <c r="N567" s="353">
        <v>1.1000000000000001</v>
      </c>
      <c r="O567" s="353" t="s">
        <v>344</v>
      </c>
      <c r="P567" s="353">
        <v>2004</v>
      </c>
      <c r="Q567" t="s">
        <v>68</v>
      </c>
      <c r="R567" t="s">
        <v>1168</v>
      </c>
      <c r="S567" s="378" t="s">
        <v>540</v>
      </c>
      <c r="T567" s="378" t="s">
        <v>201</v>
      </c>
    </row>
    <row r="568" spans="1:21" x14ac:dyDescent="0.2">
      <c r="A568" s="353">
        <v>341362</v>
      </c>
      <c r="B568" s="340" t="s">
        <v>659</v>
      </c>
      <c r="C568" s="353">
        <v>20</v>
      </c>
      <c r="D568" s="353">
        <v>3</v>
      </c>
      <c r="E568" s="353">
        <v>8</v>
      </c>
      <c r="F568" s="353">
        <v>8</v>
      </c>
      <c r="G568" s="353">
        <v>25</v>
      </c>
      <c r="H568" s="353">
        <v>54</v>
      </c>
      <c r="I568" s="353">
        <v>133</v>
      </c>
      <c r="J568" s="353">
        <v>18.5</v>
      </c>
      <c r="K568" s="353">
        <v>0.63</v>
      </c>
      <c r="L568" s="353">
        <v>1.5</v>
      </c>
      <c r="M568" s="353">
        <v>13.7</v>
      </c>
      <c r="N568" s="353">
        <v>1.1000000000000001</v>
      </c>
      <c r="O568" s="353" t="s">
        <v>153</v>
      </c>
      <c r="P568" s="353">
        <v>2014</v>
      </c>
      <c r="Q568" t="s">
        <v>154</v>
      </c>
      <c r="R568" t="s">
        <v>1372</v>
      </c>
      <c r="S568" s="378" t="s">
        <v>660</v>
      </c>
      <c r="T568" s="378" t="s">
        <v>181</v>
      </c>
      <c r="U568" s="377" t="s">
        <v>162</v>
      </c>
    </row>
    <row r="569" spans="1:21" x14ac:dyDescent="0.2">
      <c r="A569" s="353">
        <v>391896</v>
      </c>
      <c r="B569" s="340" t="s">
        <v>790</v>
      </c>
      <c r="C569" s="353">
        <v>24</v>
      </c>
      <c r="D569" s="353">
        <v>7</v>
      </c>
      <c r="E569" s="353">
        <v>10</v>
      </c>
      <c r="F569" s="353">
        <v>12</v>
      </c>
      <c r="G569" s="353">
        <v>21</v>
      </c>
      <c r="H569" s="353">
        <v>68</v>
      </c>
      <c r="I569" s="353">
        <v>127</v>
      </c>
      <c r="J569" s="353">
        <v>17.8</v>
      </c>
      <c r="K569" s="353">
        <v>0.63</v>
      </c>
      <c r="L569" s="353">
        <v>1.84</v>
      </c>
      <c r="M569" s="353">
        <v>20</v>
      </c>
      <c r="N569" s="353">
        <v>1</v>
      </c>
      <c r="O569" s="353" t="s">
        <v>344</v>
      </c>
      <c r="P569" s="353">
        <v>2009</v>
      </c>
      <c r="Q569" t="s">
        <v>68</v>
      </c>
      <c r="R569" t="s">
        <v>1677</v>
      </c>
      <c r="S569" s="378" t="s">
        <v>540</v>
      </c>
      <c r="T569" s="378" t="s">
        <v>342</v>
      </c>
    </row>
    <row r="570" spans="1:21" x14ac:dyDescent="0.2">
      <c r="A570" s="353">
        <v>299693</v>
      </c>
      <c r="B570" s="340" t="s">
        <v>795</v>
      </c>
      <c r="C570" s="353">
        <v>12</v>
      </c>
      <c r="D570" s="353">
        <v>8</v>
      </c>
      <c r="E570" s="353">
        <v>10</v>
      </c>
      <c r="F570" s="353">
        <v>8</v>
      </c>
      <c r="G570" s="353">
        <v>11</v>
      </c>
      <c r="H570" s="353">
        <v>44</v>
      </c>
      <c r="I570" s="353">
        <v>118</v>
      </c>
      <c r="J570" s="353">
        <v>16.8</v>
      </c>
      <c r="K570" s="353">
        <v>0.63</v>
      </c>
      <c r="L570" s="353">
        <v>1.81</v>
      </c>
      <c r="M570" s="353">
        <v>15.5</v>
      </c>
      <c r="N570" s="353">
        <v>0.9</v>
      </c>
      <c r="O570" s="353" t="s">
        <v>344</v>
      </c>
      <c r="P570" s="353">
        <v>2005</v>
      </c>
      <c r="Q570" t="s">
        <v>68</v>
      </c>
      <c r="R570" t="s">
        <v>1211</v>
      </c>
      <c r="S570" s="378" t="s">
        <v>540</v>
      </c>
      <c r="T570" s="378" t="s">
        <v>201</v>
      </c>
    </row>
    <row r="571" spans="1:21" x14ac:dyDescent="0.2">
      <c r="A571" s="353">
        <v>410258</v>
      </c>
      <c r="B571" s="340" t="s">
        <v>791</v>
      </c>
      <c r="C571" s="353">
        <v>18</v>
      </c>
      <c r="D571" s="353">
        <v>5</v>
      </c>
      <c r="E571" s="353">
        <v>8</v>
      </c>
      <c r="F571" s="353">
        <v>9</v>
      </c>
      <c r="G571" s="353">
        <v>33</v>
      </c>
      <c r="H571" s="353">
        <v>45</v>
      </c>
      <c r="I571" s="353">
        <v>116</v>
      </c>
      <c r="J571" s="353">
        <v>16.600000000000001</v>
      </c>
      <c r="K571" s="353">
        <v>0.63</v>
      </c>
      <c r="L571" s="353">
        <v>1.83</v>
      </c>
      <c r="M571" s="353">
        <v>19.2</v>
      </c>
      <c r="N571" s="353">
        <v>0.8</v>
      </c>
      <c r="O571" s="353" t="s">
        <v>344</v>
      </c>
      <c r="P571" s="353">
        <v>2004</v>
      </c>
      <c r="Q571" t="s">
        <v>68</v>
      </c>
      <c r="R571" t="s">
        <v>1691</v>
      </c>
      <c r="S571" s="378" t="s">
        <v>540</v>
      </c>
      <c r="T571" s="378" t="s">
        <v>289</v>
      </c>
    </row>
    <row r="572" spans="1:21" x14ac:dyDescent="0.2">
      <c r="A572" s="353">
        <v>354290</v>
      </c>
      <c r="B572" s="340" t="s">
        <v>532</v>
      </c>
      <c r="C572" s="353">
        <v>16</v>
      </c>
      <c r="D572" s="353">
        <v>1</v>
      </c>
      <c r="E572" s="353">
        <v>4</v>
      </c>
      <c r="F572" s="353">
        <v>2</v>
      </c>
      <c r="G572" s="353">
        <v>19</v>
      </c>
      <c r="H572" s="353">
        <v>56</v>
      </c>
      <c r="I572" s="353">
        <v>114</v>
      </c>
      <c r="J572" s="353">
        <v>16.5</v>
      </c>
      <c r="K572" s="353">
        <v>0.63</v>
      </c>
      <c r="L572" s="353">
        <v>1.5</v>
      </c>
      <c r="M572" s="353">
        <v>12.6</v>
      </c>
      <c r="N572" s="353">
        <v>1.3</v>
      </c>
      <c r="O572" s="353" t="s">
        <v>293</v>
      </c>
      <c r="P572" s="353">
        <v>2007</v>
      </c>
      <c r="Q572" t="s">
        <v>68</v>
      </c>
      <c r="R572" t="s">
        <v>1628</v>
      </c>
      <c r="S572" s="378" t="s">
        <v>354</v>
      </c>
      <c r="T572" s="378" t="s">
        <v>318</v>
      </c>
    </row>
    <row r="573" spans="1:21" x14ac:dyDescent="0.2">
      <c r="A573" s="353">
        <v>360495</v>
      </c>
      <c r="B573" s="340" t="s">
        <v>541</v>
      </c>
      <c r="C573" s="353">
        <v>2</v>
      </c>
      <c r="D573" s="353">
        <v>5</v>
      </c>
      <c r="E573" s="353">
        <v>7</v>
      </c>
      <c r="F573" s="353">
        <v>-2</v>
      </c>
      <c r="G573" s="353">
        <v>7</v>
      </c>
      <c r="H573" s="353">
        <v>31</v>
      </c>
      <c r="I573" s="353">
        <v>113</v>
      </c>
      <c r="J573" s="353">
        <v>16.3</v>
      </c>
      <c r="K573" s="353">
        <v>0.63</v>
      </c>
      <c r="L573" s="353">
        <v>1.5</v>
      </c>
      <c r="M573" s="353">
        <v>13.4</v>
      </c>
      <c r="N573" s="353">
        <v>0.8</v>
      </c>
      <c r="O573" s="353" t="s">
        <v>203</v>
      </c>
      <c r="P573" s="353">
        <v>2002</v>
      </c>
      <c r="Q573" t="s">
        <v>68</v>
      </c>
      <c r="R573" t="s">
        <v>1915</v>
      </c>
      <c r="S573" s="378" t="s">
        <v>542</v>
      </c>
      <c r="T573" s="378" t="s">
        <v>1047</v>
      </c>
      <c r="U573" s="377" t="s">
        <v>162</v>
      </c>
    </row>
    <row r="574" spans="1:21" x14ac:dyDescent="0.2">
      <c r="A574" s="353">
        <v>757575</v>
      </c>
      <c r="B574" s="340" t="s">
        <v>556</v>
      </c>
      <c r="C574" s="353">
        <v>10</v>
      </c>
      <c r="D574" s="353">
        <v>9</v>
      </c>
      <c r="E574" s="353">
        <v>9</v>
      </c>
      <c r="F574" s="353">
        <v>5</v>
      </c>
      <c r="G574" s="353">
        <v>3</v>
      </c>
      <c r="H574" s="353">
        <v>48</v>
      </c>
      <c r="I574" s="353">
        <v>108</v>
      </c>
      <c r="J574" s="353">
        <v>15.8</v>
      </c>
      <c r="K574" s="353">
        <v>0.63</v>
      </c>
      <c r="L574" s="353">
        <v>1.67</v>
      </c>
      <c r="M574" s="353">
        <v>16.600000000000001</v>
      </c>
      <c r="N574" s="353">
        <v>0.9</v>
      </c>
      <c r="O574" s="353" t="s">
        <v>492</v>
      </c>
      <c r="P574" s="353">
        <v>2006</v>
      </c>
      <c r="Q574" t="s">
        <v>68</v>
      </c>
      <c r="R574" t="s">
        <v>1845</v>
      </c>
      <c r="S574" s="378" t="s">
        <v>408</v>
      </c>
      <c r="T574" s="378" t="s">
        <v>201</v>
      </c>
    </row>
    <row r="575" spans="1:21" x14ac:dyDescent="0.2">
      <c r="A575" s="353">
        <v>303701</v>
      </c>
      <c r="B575" s="340" t="s">
        <v>739</v>
      </c>
      <c r="C575" s="353">
        <v>19</v>
      </c>
      <c r="D575" s="353">
        <v>2</v>
      </c>
      <c r="E575" s="353">
        <v>5</v>
      </c>
      <c r="F575" s="353">
        <v>5</v>
      </c>
      <c r="G575" s="353">
        <v>18</v>
      </c>
      <c r="H575" s="353">
        <v>51</v>
      </c>
      <c r="I575" s="353">
        <v>107</v>
      </c>
      <c r="J575" s="353">
        <v>15.7</v>
      </c>
      <c r="K575" s="353">
        <v>0.63</v>
      </c>
      <c r="L575" s="353">
        <v>1.7</v>
      </c>
      <c r="M575" s="353">
        <v>10</v>
      </c>
      <c r="N575" s="353">
        <v>1.5</v>
      </c>
      <c r="O575" s="353" t="s">
        <v>153</v>
      </c>
      <c r="P575" s="353">
        <v>2014</v>
      </c>
      <c r="Q575" t="s">
        <v>154</v>
      </c>
      <c r="R575" t="s">
        <v>1275</v>
      </c>
      <c r="S575" s="378" t="s">
        <v>740</v>
      </c>
      <c r="T575" s="378" t="s">
        <v>1024</v>
      </c>
    </row>
    <row r="576" spans="1:21" x14ac:dyDescent="0.2">
      <c r="A576" s="353">
        <v>195271</v>
      </c>
      <c r="B576" s="340" t="s">
        <v>787</v>
      </c>
      <c r="C576" s="353">
        <v>6</v>
      </c>
      <c r="D576" s="353">
        <v>5</v>
      </c>
      <c r="E576" s="353">
        <v>8</v>
      </c>
      <c r="F576" s="353">
        <v>3</v>
      </c>
      <c r="G576" s="353">
        <v>13</v>
      </c>
      <c r="H576" s="353">
        <v>32</v>
      </c>
      <c r="I576" s="353">
        <v>107</v>
      </c>
      <c r="J576" s="353">
        <v>15.6</v>
      </c>
      <c r="K576" s="353">
        <v>0.63</v>
      </c>
      <c r="L576" s="353">
        <v>1.83</v>
      </c>
      <c r="M576" s="353">
        <v>14.7</v>
      </c>
      <c r="N576" s="353">
        <v>0.7</v>
      </c>
      <c r="O576" s="353" t="s">
        <v>344</v>
      </c>
      <c r="P576" s="353">
        <v>2004</v>
      </c>
      <c r="Q576" t="s">
        <v>68</v>
      </c>
      <c r="R576" t="s">
        <v>1169</v>
      </c>
      <c r="S576" s="378" t="s">
        <v>540</v>
      </c>
      <c r="T576" s="378" t="s">
        <v>181</v>
      </c>
    </row>
    <row r="577" spans="1:21" x14ac:dyDescent="0.2">
      <c r="A577" s="353">
        <v>916122</v>
      </c>
      <c r="B577" s="340" t="s">
        <v>793</v>
      </c>
      <c r="C577" s="353">
        <v>20</v>
      </c>
      <c r="D577" s="353">
        <v>4</v>
      </c>
      <c r="E577" s="353">
        <v>8</v>
      </c>
      <c r="F577" s="353">
        <v>9</v>
      </c>
      <c r="G577" s="353">
        <v>22</v>
      </c>
      <c r="H577" s="353">
        <v>50</v>
      </c>
      <c r="I577" s="353">
        <v>103</v>
      </c>
      <c r="J577" s="353">
        <v>15.2</v>
      </c>
      <c r="K577" s="353">
        <v>0.63</v>
      </c>
      <c r="L577" s="353">
        <v>1.81</v>
      </c>
      <c r="M577" s="353">
        <v>13.1</v>
      </c>
      <c r="N577" s="353">
        <v>1.1000000000000001</v>
      </c>
      <c r="O577" s="353" t="s">
        <v>203</v>
      </c>
      <c r="P577" s="353">
        <v>2004</v>
      </c>
      <c r="Q577" t="s">
        <v>68</v>
      </c>
      <c r="R577" t="s">
        <v>1683</v>
      </c>
      <c r="S577" s="378" t="s">
        <v>540</v>
      </c>
      <c r="T577" s="378" t="s">
        <v>215</v>
      </c>
    </row>
    <row r="578" spans="1:21" x14ac:dyDescent="0.2">
      <c r="A578" s="353">
        <v>696898</v>
      </c>
      <c r="B578" s="340" t="s">
        <v>789</v>
      </c>
      <c r="C578" s="353">
        <v>11</v>
      </c>
      <c r="D578" s="353">
        <v>3</v>
      </c>
      <c r="E578" s="353">
        <v>6</v>
      </c>
      <c r="F578" s="353">
        <v>1</v>
      </c>
      <c r="G578" s="353">
        <v>15</v>
      </c>
      <c r="H578" s="353">
        <v>31</v>
      </c>
      <c r="I578" s="353">
        <v>99</v>
      </c>
      <c r="J578" s="353">
        <v>14.7</v>
      </c>
      <c r="K578" s="353">
        <v>0.63</v>
      </c>
      <c r="L578" s="353">
        <v>1.81</v>
      </c>
      <c r="M578" s="353">
        <v>13.5</v>
      </c>
      <c r="N578" s="353">
        <v>0.8</v>
      </c>
      <c r="O578" s="353" t="s">
        <v>203</v>
      </c>
      <c r="P578" s="353">
        <v>2004</v>
      </c>
      <c r="Q578" t="s">
        <v>68</v>
      </c>
      <c r="R578" t="s">
        <v>1695</v>
      </c>
      <c r="S578" s="378" t="s">
        <v>540</v>
      </c>
      <c r="T578" s="378" t="s">
        <v>215</v>
      </c>
    </row>
    <row r="579" spans="1:21" x14ac:dyDescent="0.2">
      <c r="A579" s="353">
        <v>155259</v>
      </c>
      <c r="B579" s="340" t="s">
        <v>552</v>
      </c>
      <c r="C579" s="353">
        <v>19</v>
      </c>
      <c r="D579" s="353">
        <v>6</v>
      </c>
      <c r="E579" s="353">
        <v>10</v>
      </c>
      <c r="F579" s="353">
        <v>9</v>
      </c>
      <c r="G579" s="353">
        <v>25</v>
      </c>
      <c r="H579" s="353">
        <v>43</v>
      </c>
      <c r="I579" s="353">
        <v>96</v>
      </c>
      <c r="J579" s="353">
        <v>14.5</v>
      </c>
      <c r="K579" s="353">
        <v>0.63</v>
      </c>
      <c r="L579" s="353">
        <v>1.85</v>
      </c>
      <c r="M579" s="353">
        <v>14.3</v>
      </c>
      <c r="N579" s="353">
        <v>0.9</v>
      </c>
      <c r="O579" s="353" t="s">
        <v>344</v>
      </c>
      <c r="P579" s="353">
        <v>2000</v>
      </c>
      <c r="Q579" t="s">
        <v>68</v>
      </c>
      <c r="R579" t="s">
        <v>1344</v>
      </c>
      <c r="S579" s="378" t="s">
        <v>425</v>
      </c>
      <c r="T579" s="378" t="s">
        <v>215</v>
      </c>
    </row>
    <row r="580" spans="1:21" x14ac:dyDescent="0.2">
      <c r="A580" s="353">
        <v>432096</v>
      </c>
      <c r="B580" s="340" t="s">
        <v>1021</v>
      </c>
      <c r="C580" s="353">
        <v>4</v>
      </c>
      <c r="D580" s="353">
        <v>5</v>
      </c>
      <c r="E580" s="353">
        <v>7</v>
      </c>
      <c r="F580" s="353">
        <v>1</v>
      </c>
      <c r="G580" s="353">
        <v>10</v>
      </c>
      <c r="H580" s="353">
        <v>37</v>
      </c>
      <c r="I580" s="353">
        <v>84</v>
      </c>
      <c r="J580" s="353">
        <v>12.9</v>
      </c>
      <c r="K580" s="353">
        <v>0.63</v>
      </c>
      <c r="L580" s="353">
        <v>1.87</v>
      </c>
      <c r="M580" s="353">
        <v>14.3</v>
      </c>
      <c r="N580" s="353">
        <v>0.8</v>
      </c>
      <c r="O580" s="353" t="s">
        <v>153</v>
      </c>
      <c r="P580" s="353">
        <v>2005</v>
      </c>
      <c r="Q580" t="s">
        <v>68</v>
      </c>
      <c r="R580" t="s">
        <v>1246</v>
      </c>
      <c r="S580" s="378" t="s">
        <v>381</v>
      </c>
      <c r="T580" s="378" t="s">
        <v>181</v>
      </c>
    </row>
    <row r="581" spans="1:21" x14ac:dyDescent="0.2">
      <c r="A581" s="353">
        <v>235234</v>
      </c>
      <c r="B581" s="340" t="s">
        <v>1079</v>
      </c>
      <c r="C581" s="353">
        <v>9</v>
      </c>
      <c r="D581" s="353">
        <v>5</v>
      </c>
      <c r="E581" s="353">
        <v>7</v>
      </c>
      <c r="F581" s="353">
        <v>5</v>
      </c>
      <c r="G581" s="353">
        <v>11</v>
      </c>
      <c r="H581" s="353">
        <v>32</v>
      </c>
      <c r="I581" s="353">
        <v>83</v>
      </c>
      <c r="J581" s="353">
        <v>12.9</v>
      </c>
      <c r="K581" s="353">
        <v>0.63</v>
      </c>
      <c r="L581" s="353">
        <v>1.7</v>
      </c>
      <c r="M581" s="353">
        <v>9</v>
      </c>
      <c r="N581" s="353">
        <v>1.1000000000000001</v>
      </c>
      <c r="O581" s="353" t="s">
        <v>203</v>
      </c>
      <c r="P581" s="353">
        <v>2008</v>
      </c>
      <c r="Q581" t="s">
        <v>68</v>
      </c>
      <c r="R581" t="s">
        <v>2005</v>
      </c>
      <c r="S581" s="378" t="s">
        <v>379</v>
      </c>
      <c r="T581" s="378" t="s">
        <v>1023</v>
      </c>
      <c r="U581" s="377" t="s">
        <v>162</v>
      </c>
    </row>
    <row r="582" spans="1:21" x14ac:dyDescent="0.2">
      <c r="A582" s="353">
        <v>920074</v>
      </c>
      <c r="B582" s="340" t="s">
        <v>885</v>
      </c>
      <c r="C582" s="353">
        <v>7</v>
      </c>
      <c r="D582" s="353">
        <v>1</v>
      </c>
      <c r="E582" s="353">
        <v>4</v>
      </c>
      <c r="F582" s="353">
        <v>1</v>
      </c>
      <c r="G582" s="353">
        <v>9</v>
      </c>
      <c r="H582" s="353">
        <v>31</v>
      </c>
      <c r="I582" s="353">
        <v>72</v>
      </c>
      <c r="J582" s="353">
        <v>11.5</v>
      </c>
      <c r="K582" s="353">
        <v>0.63</v>
      </c>
      <c r="L582" s="353">
        <v>1.84</v>
      </c>
      <c r="M582" s="353">
        <v>9.3000000000000007</v>
      </c>
      <c r="N582" s="353">
        <v>1</v>
      </c>
      <c r="O582" s="353" t="s">
        <v>153</v>
      </c>
      <c r="P582" s="353">
        <v>2015</v>
      </c>
      <c r="Q582" t="s">
        <v>154</v>
      </c>
      <c r="R582" t="s">
        <v>1346</v>
      </c>
      <c r="S582" s="378" t="s">
        <v>886</v>
      </c>
      <c r="T582" s="378" t="s">
        <v>1024</v>
      </c>
      <c r="U582" s="377" t="s">
        <v>162</v>
      </c>
    </row>
    <row r="583" spans="1:21" x14ac:dyDescent="0.2">
      <c r="A583" s="353">
        <v>318469</v>
      </c>
      <c r="B583" s="340" t="s">
        <v>533</v>
      </c>
      <c r="C583" s="353">
        <v>12</v>
      </c>
      <c r="D583" s="353">
        <v>1</v>
      </c>
      <c r="E583" s="353">
        <v>5</v>
      </c>
      <c r="F583" s="353">
        <v>5</v>
      </c>
      <c r="G583" s="353">
        <v>15</v>
      </c>
      <c r="H583" s="353">
        <v>38</v>
      </c>
      <c r="I583" s="353">
        <v>67</v>
      </c>
      <c r="J583" s="353">
        <v>10.8</v>
      </c>
      <c r="K583" s="353">
        <v>0.63</v>
      </c>
      <c r="L583" s="353">
        <v>1.5</v>
      </c>
      <c r="M583" s="353">
        <v>14</v>
      </c>
      <c r="N583" s="353">
        <v>0.9</v>
      </c>
      <c r="O583" s="353" t="s">
        <v>293</v>
      </c>
      <c r="P583" s="353">
        <v>2007</v>
      </c>
      <c r="Q583" t="s">
        <v>68</v>
      </c>
      <c r="R583" t="s">
        <v>1892</v>
      </c>
      <c r="S583" s="378" t="s">
        <v>354</v>
      </c>
      <c r="T583" s="378" t="s">
        <v>298</v>
      </c>
    </row>
    <row r="584" spans="1:21" x14ac:dyDescent="0.2">
      <c r="A584" s="353">
        <v>375303</v>
      </c>
      <c r="B584" s="340" t="s">
        <v>1013</v>
      </c>
      <c r="C584" s="353">
        <v>7</v>
      </c>
      <c r="D584" s="353">
        <v>3</v>
      </c>
      <c r="E584" s="353">
        <v>4</v>
      </c>
      <c r="F584" s="353">
        <v>2</v>
      </c>
      <c r="G584" s="353">
        <v>8</v>
      </c>
      <c r="H584" s="353">
        <v>24</v>
      </c>
      <c r="I584" s="353">
        <v>61</v>
      </c>
      <c r="J584" s="353">
        <v>10</v>
      </c>
      <c r="K584" s="353">
        <v>0.63</v>
      </c>
      <c r="L584" s="353">
        <v>1.87</v>
      </c>
      <c r="M584" s="353">
        <v>8.4</v>
      </c>
      <c r="N584" s="353">
        <v>0.9</v>
      </c>
      <c r="O584" s="353" t="s">
        <v>203</v>
      </c>
      <c r="P584" s="353">
        <v>2016</v>
      </c>
      <c r="Q584" t="s">
        <v>68</v>
      </c>
      <c r="R584" t="s">
        <v>1974</v>
      </c>
      <c r="S584" s="378" t="s">
        <v>604</v>
      </c>
      <c r="T584" s="378" t="s">
        <v>1024</v>
      </c>
      <c r="U584" s="377" t="s">
        <v>162</v>
      </c>
    </row>
    <row r="585" spans="1:21" x14ac:dyDescent="0.2">
      <c r="A585" s="353">
        <v>683847</v>
      </c>
      <c r="B585" s="340" t="s">
        <v>898</v>
      </c>
      <c r="C585" s="353">
        <v>7</v>
      </c>
      <c r="D585" s="353">
        <v>4</v>
      </c>
      <c r="E585" s="353">
        <v>5</v>
      </c>
      <c r="F585" s="353">
        <v>3</v>
      </c>
      <c r="G585" s="353">
        <v>8</v>
      </c>
      <c r="H585" s="353">
        <v>26</v>
      </c>
      <c r="I585" s="353">
        <v>61</v>
      </c>
      <c r="J585" s="353">
        <v>10</v>
      </c>
      <c r="K585" s="353">
        <v>0.63</v>
      </c>
      <c r="L585" s="353">
        <v>1.52</v>
      </c>
      <c r="M585" s="353">
        <v>9.1999999999999993</v>
      </c>
      <c r="N585" s="353">
        <v>0.9</v>
      </c>
      <c r="O585" s="353" t="s">
        <v>203</v>
      </c>
      <c r="P585" s="353">
        <v>2015</v>
      </c>
      <c r="Q585" t="s">
        <v>68</v>
      </c>
      <c r="R585" t="s">
        <v>2026</v>
      </c>
      <c r="S585" s="378" t="s">
        <v>807</v>
      </c>
      <c r="T585" s="378" t="s">
        <v>1041</v>
      </c>
    </row>
    <row r="586" spans="1:21" x14ac:dyDescent="0.2">
      <c r="A586" s="353">
        <v>999359</v>
      </c>
      <c r="B586" s="340" t="s">
        <v>594</v>
      </c>
      <c r="C586" s="353">
        <v>0</v>
      </c>
      <c r="D586" s="353">
        <v>3</v>
      </c>
      <c r="E586" s="353">
        <v>2</v>
      </c>
      <c r="F586" s="353">
        <v>-3</v>
      </c>
      <c r="G586" s="353">
        <v>0</v>
      </c>
      <c r="H586" s="353">
        <v>19</v>
      </c>
      <c r="I586" s="353">
        <v>45</v>
      </c>
      <c r="J586" s="353">
        <v>7.7</v>
      </c>
      <c r="K586" s="353">
        <v>0.63</v>
      </c>
      <c r="L586" s="353">
        <v>1.76</v>
      </c>
      <c r="M586" s="353">
        <v>9.1999999999999993</v>
      </c>
      <c r="N586" s="353">
        <v>0.7</v>
      </c>
      <c r="O586" s="353" t="s">
        <v>344</v>
      </c>
      <c r="P586" s="353">
        <v>2002</v>
      </c>
      <c r="Q586" t="s">
        <v>68</v>
      </c>
      <c r="R586" t="s">
        <v>1355</v>
      </c>
      <c r="S586" s="378" t="s">
        <v>504</v>
      </c>
      <c r="T586" s="378" t="s">
        <v>1024</v>
      </c>
    </row>
    <row r="587" spans="1:21" x14ac:dyDescent="0.2">
      <c r="A587" s="353">
        <v>133116</v>
      </c>
      <c r="B587" s="340" t="s">
        <v>715</v>
      </c>
      <c r="C587" s="353">
        <v>3</v>
      </c>
      <c r="D587" s="353">
        <v>1</v>
      </c>
      <c r="E587" s="353">
        <v>2</v>
      </c>
      <c r="F587" s="353">
        <v>2</v>
      </c>
      <c r="G587" s="353">
        <v>4</v>
      </c>
      <c r="H587" s="353">
        <v>11</v>
      </c>
      <c r="I587" s="353">
        <v>30</v>
      </c>
      <c r="J587" s="353">
        <v>5.5</v>
      </c>
      <c r="K587" s="353">
        <v>0.63</v>
      </c>
      <c r="L587" s="353">
        <v>2.2000000000000002</v>
      </c>
      <c r="M587" s="353">
        <v>4.4000000000000004</v>
      </c>
      <c r="N587" s="353">
        <v>0.9</v>
      </c>
      <c r="O587" s="353" t="s">
        <v>153</v>
      </c>
      <c r="P587" s="353">
        <v>2012</v>
      </c>
      <c r="Q587" t="s">
        <v>68</v>
      </c>
      <c r="R587" t="s">
        <v>1482</v>
      </c>
      <c r="S587" s="378" t="s">
        <v>287</v>
      </c>
      <c r="T587" s="378" t="s">
        <v>1041</v>
      </c>
    </row>
    <row r="588" spans="1:21" x14ac:dyDescent="0.2">
      <c r="A588" s="353">
        <v>305532</v>
      </c>
      <c r="B588" s="340" t="s">
        <v>624</v>
      </c>
      <c r="C588" s="353">
        <v>24</v>
      </c>
      <c r="D588" s="353">
        <v>3</v>
      </c>
      <c r="E588" s="353">
        <v>5</v>
      </c>
      <c r="F588" s="353">
        <v>10</v>
      </c>
      <c r="G588" s="353">
        <v>29</v>
      </c>
      <c r="H588" s="353">
        <v>24</v>
      </c>
      <c r="I588" s="353">
        <v>29</v>
      </c>
      <c r="J588" s="353">
        <v>5.3</v>
      </c>
      <c r="K588" s="353">
        <v>0.63</v>
      </c>
      <c r="L588" s="353">
        <v>1.83</v>
      </c>
      <c r="M588" s="353">
        <v>13.4</v>
      </c>
      <c r="N588" s="353">
        <v>0.6</v>
      </c>
      <c r="O588" s="353" t="s">
        <v>153</v>
      </c>
      <c r="P588" s="353">
        <v>2014</v>
      </c>
      <c r="Q588" t="s">
        <v>154</v>
      </c>
      <c r="R588" t="s">
        <v>1276</v>
      </c>
      <c r="S588" s="378" t="s">
        <v>412</v>
      </c>
      <c r="T588" s="378" t="s">
        <v>1024</v>
      </c>
      <c r="U588" s="377" t="s">
        <v>162</v>
      </c>
    </row>
    <row r="589" spans="1:21" x14ac:dyDescent="0.2">
      <c r="A589" s="353">
        <v>550913</v>
      </c>
      <c r="B589" s="340" t="s">
        <v>718</v>
      </c>
      <c r="C589" s="353">
        <v>2</v>
      </c>
      <c r="D589" s="353">
        <v>0</v>
      </c>
      <c r="E589" s="353">
        <v>0</v>
      </c>
      <c r="F589" s="353">
        <v>0</v>
      </c>
      <c r="G589" s="353">
        <v>2</v>
      </c>
      <c r="H589" s="353">
        <v>10</v>
      </c>
      <c r="I589" s="353">
        <v>22</v>
      </c>
      <c r="J589" s="353">
        <v>4.0999999999999996</v>
      </c>
      <c r="K589" s="353">
        <v>0.63</v>
      </c>
      <c r="L589" s="353">
        <v>1.5</v>
      </c>
      <c r="M589" s="353">
        <v>4.4000000000000004</v>
      </c>
      <c r="N589" s="353">
        <v>0.8</v>
      </c>
      <c r="O589" s="353" t="s">
        <v>153</v>
      </c>
      <c r="P589" s="353">
        <v>2012</v>
      </c>
      <c r="Q589" t="s">
        <v>154</v>
      </c>
      <c r="R589" t="s">
        <v>1414</v>
      </c>
      <c r="S589" s="378" t="s">
        <v>719</v>
      </c>
      <c r="T589" s="378" t="s">
        <v>1035</v>
      </c>
    </row>
    <row r="590" spans="1:21" x14ac:dyDescent="0.2">
      <c r="A590" s="353">
        <v>515080</v>
      </c>
      <c r="B590" s="340" t="s">
        <v>722</v>
      </c>
      <c r="C590" s="353">
        <v>3</v>
      </c>
      <c r="D590" s="353">
        <v>0</v>
      </c>
      <c r="E590" s="353">
        <v>0</v>
      </c>
      <c r="F590" s="353">
        <v>0</v>
      </c>
      <c r="G590" s="353">
        <v>3</v>
      </c>
      <c r="H590" s="353">
        <v>8</v>
      </c>
      <c r="I590" s="353">
        <v>18</v>
      </c>
      <c r="J590" s="353">
        <v>3.4</v>
      </c>
      <c r="K590" s="353">
        <v>0.63</v>
      </c>
      <c r="L590" s="353">
        <v>1.5</v>
      </c>
      <c r="M590" s="353">
        <v>4</v>
      </c>
      <c r="N590" s="353">
        <v>0.7</v>
      </c>
      <c r="O590" s="353" t="s">
        <v>153</v>
      </c>
      <c r="P590" s="353">
        <v>2012</v>
      </c>
      <c r="Q590" t="s">
        <v>154</v>
      </c>
      <c r="R590" t="s">
        <v>1413</v>
      </c>
      <c r="S590" s="378" t="s">
        <v>719</v>
      </c>
      <c r="T590" s="378" t="s">
        <v>1035</v>
      </c>
    </row>
    <row r="591" spans="1:21" x14ac:dyDescent="0.2">
      <c r="A591" s="353">
        <v>961573</v>
      </c>
      <c r="B591" s="340" t="s">
        <v>595</v>
      </c>
      <c r="C591" s="353">
        <v>4</v>
      </c>
      <c r="D591" s="353">
        <v>2</v>
      </c>
      <c r="E591" s="353">
        <v>4</v>
      </c>
      <c r="F591" s="353">
        <v>1</v>
      </c>
      <c r="G591" s="353">
        <v>6</v>
      </c>
      <c r="H591" s="353">
        <v>3</v>
      </c>
      <c r="I591" s="353">
        <v>17</v>
      </c>
      <c r="J591" s="353">
        <v>3.1</v>
      </c>
      <c r="K591" s="353">
        <v>0.63</v>
      </c>
      <c r="L591" s="353">
        <v>1.8</v>
      </c>
      <c r="M591" s="353">
        <v>5.5</v>
      </c>
      <c r="N591" s="353">
        <v>0.3</v>
      </c>
      <c r="O591" s="353" t="s">
        <v>153</v>
      </c>
      <c r="P591" s="353">
        <v>2012</v>
      </c>
      <c r="Q591" t="s">
        <v>68</v>
      </c>
      <c r="R591" t="s">
        <v>1430</v>
      </c>
      <c r="S591" s="378" t="s">
        <v>596</v>
      </c>
      <c r="T591" s="378" t="s">
        <v>1041</v>
      </c>
    </row>
    <row r="592" spans="1:21" x14ac:dyDescent="0.2">
      <c r="A592" s="353">
        <v>322008</v>
      </c>
      <c r="B592" s="340" t="s">
        <v>1104</v>
      </c>
      <c r="C592" s="353">
        <v>0</v>
      </c>
      <c r="D592" s="353">
        <v>0</v>
      </c>
      <c r="E592" s="353">
        <v>-1</v>
      </c>
      <c r="F592" s="353">
        <v>-3</v>
      </c>
      <c r="G592" s="353">
        <v>1</v>
      </c>
      <c r="H592" s="353">
        <v>3</v>
      </c>
      <c r="I592" s="353">
        <v>16</v>
      </c>
      <c r="J592" s="353">
        <v>3</v>
      </c>
      <c r="K592" s="353">
        <v>0.63</v>
      </c>
      <c r="L592" s="353">
        <v>1.6</v>
      </c>
      <c r="M592" s="353">
        <v>5</v>
      </c>
      <c r="N592" s="353">
        <v>0.3</v>
      </c>
      <c r="O592" s="353" t="s">
        <v>153</v>
      </c>
      <c r="P592" s="353">
        <v>2011</v>
      </c>
      <c r="Q592" t="s">
        <v>68</v>
      </c>
      <c r="R592" t="s">
        <v>1633</v>
      </c>
      <c r="S592" s="378" t="s">
        <v>1105</v>
      </c>
      <c r="T592" s="378" t="s">
        <v>1041</v>
      </c>
      <c r="U592" s="377" t="s">
        <v>162</v>
      </c>
    </row>
    <row r="593" spans="1:21" x14ac:dyDescent="0.2">
      <c r="A593" s="353">
        <v>174904</v>
      </c>
      <c r="B593" s="340" t="s">
        <v>986</v>
      </c>
      <c r="C593" s="353">
        <v>7</v>
      </c>
      <c r="D593" s="353">
        <v>3</v>
      </c>
      <c r="E593" s="353">
        <v>5</v>
      </c>
      <c r="F593" s="353">
        <v>3</v>
      </c>
      <c r="G593" s="353">
        <v>11</v>
      </c>
      <c r="H593" s="353"/>
      <c r="I593" s="353"/>
      <c r="J593" s="353"/>
      <c r="K593" s="353">
        <v>0.63</v>
      </c>
      <c r="L593" s="353">
        <v>1.91</v>
      </c>
      <c r="M593" s="353"/>
      <c r="N593" s="353"/>
      <c r="O593" s="353" t="s">
        <v>153</v>
      </c>
      <c r="P593" s="353">
        <v>2016</v>
      </c>
      <c r="Q593" t="s">
        <v>154</v>
      </c>
      <c r="R593" t="s">
        <v>1261</v>
      </c>
      <c r="S593" s="378" t="s">
        <v>826</v>
      </c>
      <c r="T593" s="378" t="s">
        <v>1024</v>
      </c>
    </row>
    <row r="594" spans="1:21" x14ac:dyDescent="0.2">
      <c r="A594" s="353">
        <v>789503</v>
      </c>
      <c r="B594" s="340" t="s">
        <v>889</v>
      </c>
      <c r="C594" s="353">
        <v>16</v>
      </c>
      <c r="D594" s="353">
        <v>3</v>
      </c>
      <c r="E594" s="353">
        <v>8</v>
      </c>
      <c r="F594" s="353">
        <v>6</v>
      </c>
      <c r="G594" s="353">
        <v>23</v>
      </c>
      <c r="H594" s="353"/>
      <c r="I594" s="353"/>
      <c r="J594" s="353"/>
      <c r="K594" s="353">
        <v>0.63</v>
      </c>
      <c r="L594" s="353">
        <v>1.5</v>
      </c>
      <c r="M594" s="353"/>
      <c r="N594" s="353"/>
      <c r="O594" s="353" t="s">
        <v>153</v>
      </c>
      <c r="P594" s="353">
        <v>2015</v>
      </c>
      <c r="Q594" t="s">
        <v>154</v>
      </c>
      <c r="R594" t="s">
        <v>1331</v>
      </c>
      <c r="S594" s="378" t="s">
        <v>890</v>
      </c>
      <c r="T594" s="378" t="s">
        <v>1024</v>
      </c>
    </row>
    <row r="595" spans="1:21" x14ac:dyDescent="0.2">
      <c r="A595" s="353">
        <v>925503</v>
      </c>
      <c r="B595" s="340" t="s">
        <v>1010</v>
      </c>
      <c r="C595" s="353">
        <v>4</v>
      </c>
      <c r="D595" s="353">
        <v>2</v>
      </c>
      <c r="E595" s="353">
        <v>2</v>
      </c>
      <c r="F595" s="353">
        <v>2</v>
      </c>
      <c r="G595" s="353"/>
      <c r="H595" s="353"/>
      <c r="I595" s="353"/>
      <c r="J595" s="353"/>
      <c r="K595" s="353">
        <v>0.63</v>
      </c>
      <c r="L595" s="353">
        <v>3.87</v>
      </c>
      <c r="M595" s="353"/>
      <c r="N595" s="353"/>
      <c r="O595" s="353" t="s">
        <v>153</v>
      </c>
      <c r="P595" s="353">
        <v>2017</v>
      </c>
      <c r="Q595" t="s">
        <v>68</v>
      </c>
      <c r="R595" t="s">
        <v>1347</v>
      </c>
      <c r="S595" s="378" t="s">
        <v>807</v>
      </c>
      <c r="T595" s="378" t="s">
        <v>1024</v>
      </c>
    </row>
    <row r="596" spans="1:21" x14ac:dyDescent="0.2">
      <c r="A596" s="353">
        <v>555102</v>
      </c>
      <c r="B596" s="340" t="s">
        <v>815</v>
      </c>
      <c r="C596" s="353">
        <v>13</v>
      </c>
      <c r="D596" s="353">
        <v>4</v>
      </c>
      <c r="E596" s="353">
        <v>7</v>
      </c>
      <c r="F596" s="353">
        <v>5</v>
      </c>
      <c r="G596" s="353">
        <v>15</v>
      </c>
      <c r="H596" s="353"/>
      <c r="I596" s="353"/>
      <c r="J596" s="353"/>
      <c r="K596" s="353">
        <v>0.63</v>
      </c>
      <c r="L596" s="353">
        <v>2.4900000000000002</v>
      </c>
      <c r="M596" s="353"/>
      <c r="N596" s="353"/>
      <c r="O596" s="353" t="s">
        <v>203</v>
      </c>
      <c r="P596" s="353">
        <v>2015</v>
      </c>
      <c r="Q596" t="s">
        <v>68</v>
      </c>
      <c r="R596" t="s">
        <v>1585</v>
      </c>
      <c r="S596" s="378" t="s">
        <v>721</v>
      </c>
      <c r="T596" s="378" t="s">
        <v>1024</v>
      </c>
    </row>
    <row r="597" spans="1:21" x14ac:dyDescent="0.2">
      <c r="A597" s="353">
        <v>507707</v>
      </c>
      <c r="B597" s="340" t="s">
        <v>974</v>
      </c>
      <c r="C597" s="353">
        <v>11</v>
      </c>
      <c r="D597" s="353">
        <v>1</v>
      </c>
      <c r="E597" s="353">
        <v>3</v>
      </c>
      <c r="F597" s="353">
        <v>2</v>
      </c>
      <c r="G597" s="353">
        <v>14</v>
      </c>
      <c r="H597" s="353"/>
      <c r="I597" s="353"/>
      <c r="J597" s="353"/>
      <c r="K597" s="353">
        <v>0.63</v>
      </c>
      <c r="L597" s="353">
        <v>1.8</v>
      </c>
      <c r="M597" s="353"/>
      <c r="N597" s="353"/>
      <c r="O597" s="353" t="s">
        <v>153</v>
      </c>
      <c r="P597" s="353">
        <v>2016</v>
      </c>
      <c r="Q597" t="s">
        <v>68</v>
      </c>
      <c r="R597" t="s">
        <v>1586</v>
      </c>
      <c r="S597" s="378" t="s">
        <v>807</v>
      </c>
      <c r="T597" s="378" t="s">
        <v>1023</v>
      </c>
    </row>
    <row r="598" spans="1:21" x14ac:dyDescent="0.2">
      <c r="A598" s="353">
        <v>301879</v>
      </c>
      <c r="B598" s="340" t="s">
        <v>1157</v>
      </c>
      <c r="C598" s="353">
        <v>9</v>
      </c>
      <c r="D598" s="353">
        <v>3</v>
      </c>
      <c r="E598" s="353">
        <v>6</v>
      </c>
      <c r="F598" s="353">
        <v>3</v>
      </c>
      <c r="G598" s="353">
        <v>10</v>
      </c>
      <c r="H598" s="353"/>
      <c r="I598" s="353"/>
      <c r="J598" s="353"/>
      <c r="K598" s="353">
        <v>0.63</v>
      </c>
      <c r="L598" s="353">
        <v>2.42</v>
      </c>
      <c r="M598" s="353"/>
      <c r="N598" s="353"/>
      <c r="O598" s="353" t="s">
        <v>203</v>
      </c>
      <c r="P598" s="353">
        <v>2015</v>
      </c>
      <c r="Q598" t="s">
        <v>68</v>
      </c>
      <c r="R598" t="s">
        <v>1596</v>
      </c>
      <c r="S598" s="378" t="s">
        <v>721</v>
      </c>
      <c r="T598" s="378" t="s">
        <v>1024</v>
      </c>
    </row>
    <row r="599" spans="1:21" x14ac:dyDescent="0.2">
      <c r="A599" s="353">
        <v>804674</v>
      </c>
      <c r="B599" s="340" t="s">
        <v>938</v>
      </c>
      <c r="C599" s="353">
        <v>29</v>
      </c>
      <c r="D599" s="353">
        <v>4</v>
      </c>
      <c r="E599" s="353">
        <v>8</v>
      </c>
      <c r="F599" s="353">
        <v>12</v>
      </c>
      <c r="G599" s="353">
        <v>22</v>
      </c>
      <c r="H599" s="353"/>
      <c r="I599" s="353"/>
      <c r="J599" s="353"/>
      <c r="K599" s="353">
        <v>0.63</v>
      </c>
      <c r="L599" s="353">
        <v>2.08</v>
      </c>
      <c r="M599" s="353"/>
      <c r="N599" s="353"/>
      <c r="O599" s="353" t="s">
        <v>153</v>
      </c>
      <c r="P599" s="353">
        <v>2016</v>
      </c>
      <c r="Q599" t="s">
        <v>154</v>
      </c>
      <c r="R599" t="s">
        <v>1607</v>
      </c>
      <c r="S599" s="378" t="s">
        <v>826</v>
      </c>
      <c r="T599" s="378" t="s">
        <v>1023</v>
      </c>
    </row>
    <row r="600" spans="1:21" x14ac:dyDescent="0.2">
      <c r="A600" s="353">
        <v>207076</v>
      </c>
      <c r="B600" s="340" t="s">
        <v>1151</v>
      </c>
      <c r="C600" s="353">
        <v>-26</v>
      </c>
      <c r="D600" s="353">
        <v>-5</v>
      </c>
      <c r="E600" s="353">
        <v>-14</v>
      </c>
      <c r="F600" s="353">
        <v>-10</v>
      </c>
      <c r="G600" s="353"/>
      <c r="H600" s="353"/>
      <c r="I600" s="353"/>
      <c r="J600" s="353"/>
      <c r="K600" s="353">
        <v>0.63</v>
      </c>
      <c r="L600" s="353">
        <v>1.5</v>
      </c>
      <c r="M600" s="353"/>
      <c r="N600" s="353"/>
      <c r="O600" s="353" t="s">
        <v>153</v>
      </c>
      <c r="P600" s="353">
        <v>2017</v>
      </c>
      <c r="Q600" t="s">
        <v>68</v>
      </c>
      <c r="R600" t="s">
        <v>1714</v>
      </c>
      <c r="S600" s="378" t="s">
        <v>294</v>
      </c>
      <c r="T600" s="378" t="s">
        <v>219</v>
      </c>
    </row>
    <row r="601" spans="1:21" x14ac:dyDescent="0.2">
      <c r="A601" s="353">
        <v>242909</v>
      </c>
      <c r="B601" s="340" t="s">
        <v>1152</v>
      </c>
      <c r="C601" s="353">
        <v>21</v>
      </c>
      <c r="D601" s="353">
        <v>5</v>
      </c>
      <c r="E601" s="353">
        <v>14</v>
      </c>
      <c r="F601" s="353">
        <v>5</v>
      </c>
      <c r="G601" s="353"/>
      <c r="H601" s="353"/>
      <c r="I601" s="353"/>
      <c r="J601" s="353"/>
      <c r="K601" s="353">
        <v>0.63</v>
      </c>
      <c r="L601" s="353">
        <v>1.5</v>
      </c>
      <c r="M601" s="353"/>
      <c r="N601" s="353"/>
      <c r="O601" s="353" t="s">
        <v>153</v>
      </c>
      <c r="P601" s="353">
        <v>2017</v>
      </c>
      <c r="Q601" t="s">
        <v>68</v>
      </c>
      <c r="R601" t="s">
        <v>1715</v>
      </c>
      <c r="S601" s="378" t="s">
        <v>294</v>
      </c>
      <c r="T601" s="378" t="s">
        <v>219</v>
      </c>
    </row>
    <row r="602" spans="1:21" x14ac:dyDescent="0.2">
      <c r="A602" s="353">
        <v>895227</v>
      </c>
      <c r="B602" s="340" t="s">
        <v>1109</v>
      </c>
      <c r="C602" s="353">
        <v>0</v>
      </c>
      <c r="D602" s="353">
        <v>0</v>
      </c>
      <c r="E602" s="353">
        <v>-1</v>
      </c>
      <c r="F602" s="353">
        <v>-2</v>
      </c>
      <c r="G602" s="353">
        <v>-1</v>
      </c>
      <c r="H602" s="353">
        <v>0</v>
      </c>
      <c r="I602" s="353"/>
      <c r="J602" s="353"/>
      <c r="K602" s="353">
        <v>0.63</v>
      </c>
      <c r="L602" s="353">
        <v>1.63</v>
      </c>
      <c r="M602" s="353">
        <v>2.9</v>
      </c>
      <c r="N602" s="353">
        <v>0.1</v>
      </c>
      <c r="O602" s="353" t="s">
        <v>153</v>
      </c>
      <c r="P602" s="353">
        <v>2013</v>
      </c>
      <c r="Q602" t="s">
        <v>68</v>
      </c>
      <c r="R602" t="s">
        <v>1716</v>
      </c>
      <c r="S602" s="378" t="s">
        <v>1105</v>
      </c>
      <c r="T602" s="378" t="s">
        <v>1035</v>
      </c>
      <c r="U602" s="377" t="s">
        <v>162</v>
      </c>
    </row>
    <row r="603" spans="1:21" x14ac:dyDescent="0.2">
      <c r="A603" s="353">
        <v>787671</v>
      </c>
      <c r="B603" s="340" t="s">
        <v>982</v>
      </c>
      <c r="C603" s="353">
        <v>11</v>
      </c>
      <c r="D603" s="353">
        <v>1</v>
      </c>
      <c r="E603" s="353">
        <v>6</v>
      </c>
      <c r="F603" s="353">
        <v>2</v>
      </c>
      <c r="G603" s="353">
        <v>15</v>
      </c>
      <c r="H603" s="353"/>
      <c r="I603" s="353"/>
      <c r="J603" s="353"/>
      <c r="K603" s="353">
        <v>0.63</v>
      </c>
      <c r="L603" s="353">
        <v>1.57</v>
      </c>
      <c r="M603" s="353"/>
      <c r="N603" s="353"/>
      <c r="O603" s="353" t="s">
        <v>153</v>
      </c>
      <c r="P603" s="353">
        <v>2016</v>
      </c>
      <c r="Q603" t="s">
        <v>154</v>
      </c>
      <c r="R603" t="s">
        <v>1731</v>
      </c>
      <c r="S603" s="378" t="s">
        <v>975</v>
      </c>
      <c r="T603" s="378" t="s">
        <v>1024</v>
      </c>
    </row>
    <row r="604" spans="1:21" x14ac:dyDescent="0.2">
      <c r="A604" s="353">
        <v>137307</v>
      </c>
      <c r="B604" s="340" t="s">
        <v>745</v>
      </c>
      <c r="C604" s="353">
        <v>0</v>
      </c>
      <c r="D604" s="353">
        <v>0</v>
      </c>
      <c r="E604" s="353">
        <v>0</v>
      </c>
      <c r="F604" s="353">
        <v>0</v>
      </c>
      <c r="G604" s="353">
        <v>-51</v>
      </c>
      <c r="H604" s="353"/>
      <c r="I604" s="353"/>
      <c r="J604" s="353"/>
      <c r="K604" s="353">
        <v>0.63</v>
      </c>
      <c r="L604" s="353">
        <v>1.79</v>
      </c>
      <c r="M604" s="353"/>
      <c r="N604" s="353"/>
      <c r="O604" s="353" t="s">
        <v>153</v>
      </c>
      <c r="P604" s="353">
        <v>2015</v>
      </c>
      <c r="Q604" t="s">
        <v>68</v>
      </c>
      <c r="R604" t="s">
        <v>1835</v>
      </c>
      <c r="S604" s="378" t="s">
        <v>746</v>
      </c>
      <c r="T604" s="378" t="s">
        <v>1024</v>
      </c>
    </row>
    <row r="605" spans="1:21" x14ac:dyDescent="0.2">
      <c r="A605" s="353">
        <v>396028</v>
      </c>
      <c r="B605" s="340" t="s">
        <v>137</v>
      </c>
      <c r="C605" s="353">
        <v>1</v>
      </c>
      <c r="D605" s="353">
        <v>4</v>
      </c>
      <c r="E605" s="353">
        <v>5</v>
      </c>
      <c r="F605" s="353">
        <v>0</v>
      </c>
      <c r="G605" s="353">
        <v>6</v>
      </c>
      <c r="H605" s="353">
        <v>3</v>
      </c>
      <c r="I605" s="353"/>
      <c r="J605" s="353"/>
      <c r="K605" s="353">
        <v>0.63</v>
      </c>
      <c r="L605" s="353">
        <v>1.5</v>
      </c>
      <c r="M605" s="353">
        <v>13.6</v>
      </c>
      <c r="N605" s="353">
        <v>0.1</v>
      </c>
      <c r="O605" s="353" t="s">
        <v>153</v>
      </c>
      <c r="P605" s="353">
        <v>2013</v>
      </c>
      <c r="Q605" t="s">
        <v>154</v>
      </c>
      <c r="R605" t="s">
        <v>1997</v>
      </c>
      <c r="S605" s="378" t="s">
        <v>416</v>
      </c>
      <c r="T605" s="378" t="s">
        <v>1051</v>
      </c>
      <c r="U605" s="377" t="s">
        <v>162</v>
      </c>
    </row>
    <row r="606" spans="1:21" x14ac:dyDescent="0.2">
      <c r="A606" s="353">
        <v>484980</v>
      </c>
      <c r="B606" s="340" t="s">
        <v>554</v>
      </c>
      <c r="C606" s="353">
        <v>13</v>
      </c>
      <c r="D606" s="353">
        <v>2</v>
      </c>
      <c r="E606" s="353">
        <v>4</v>
      </c>
      <c r="F606" s="353">
        <v>2</v>
      </c>
      <c r="G606" s="353">
        <v>11</v>
      </c>
      <c r="H606" s="353">
        <v>48</v>
      </c>
      <c r="I606" s="353">
        <v>133</v>
      </c>
      <c r="J606" s="353">
        <v>18.5</v>
      </c>
      <c r="K606" s="353">
        <v>0.64</v>
      </c>
      <c r="L606" s="353">
        <v>1.62</v>
      </c>
      <c r="M606" s="353">
        <v>11.3</v>
      </c>
      <c r="N606" s="353">
        <v>1.2</v>
      </c>
      <c r="O606" s="353" t="s">
        <v>153</v>
      </c>
      <c r="P606" s="353">
        <v>2002</v>
      </c>
      <c r="Q606" t="s">
        <v>154</v>
      </c>
      <c r="R606" t="s">
        <v>1390</v>
      </c>
      <c r="S606" s="378" t="s">
        <v>184</v>
      </c>
      <c r="T606" s="378" t="s">
        <v>318</v>
      </c>
      <c r="U606" s="377" t="s">
        <v>162</v>
      </c>
    </row>
    <row r="607" spans="1:21" x14ac:dyDescent="0.2">
      <c r="A607" s="353">
        <v>445841</v>
      </c>
      <c r="B607" s="340" t="s">
        <v>517</v>
      </c>
      <c r="C607" s="353">
        <v>16</v>
      </c>
      <c r="D607" s="353">
        <v>3</v>
      </c>
      <c r="E607" s="353">
        <v>7</v>
      </c>
      <c r="F607" s="353">
        <v>5</v>
      </c>
      <c r="G607" s="353">
        <v>21</v>
      </c>
      <c r="H607" s="353">
        <v>55</v>
      </c>
      <c r="I607" s="353">
        <v>133</v>
      </c>
      <c r="J607" s="353">
        <v>18.399999999999999</v>
      </c>
      <c r="K607" s="353">
        <v>0.64</v>
      </c>
      <c r="L607" s="353">
        <v>1.82</v>
      </c>
      <c r="M607" s="353">
        <v>15.3</v>
      </c>
      <c r="N607" s="353">
        <v>1.1000000000000001</v>
      </c>
      <c r="O607" s="353" t="s">
        <v>153</v>
      </c>
      <c r="P607" s="353">
        <v>2013</v>
      </c>
      <c r="Q607" t="s">
        <v>68</v>
      </c>
      <c r="R607" t="s">
        <v>1403</v>
      </c>
      <c r="S607" s="378" t="s">
        <v>224</v>
      </c>
      <c r="T607" s="378" t="s">
        <v>181</v>
      </c>
    </row>
    <row r="608" spans="1:21" x14ac:dyDescent="0.2">
      <c r="A608" s="353">
        <v>362327</v>
      </c>
      <c r="B608" s="340" t="s">
        <v>523</v>
      </c>
      <c r="C608" s="353">
        <v>33</v>
      </c>
      <c r="D608" s="353">
        <v>7</v>
      </c>
      <c r="E608" s="353">
        <v>13</v>
      </c>
      <c r="F608" s="353">
        <v>10</v>
      </c>
      <c r="G608" s="353">
        <v>21</v>
      </c>
      <c r="H608" s="353">
        <v>42</v>
      </c>
      <c r="I608" s="353">
        <v>126</v>
      </c>
      <c r="J608" s="353">
        <v>17.7</v>
      </c>
      <c r="K608" s="353">
        <v>0.64</v>
      </c>
      <c r="L608" s="353">
        <v>1.84</v>
      </c>
      <c r="M608" s="353">
        <v>17.399999999999999</v>
      </c>
      <c r="N608" s="353">
        <v>0.8</v>
      </c>
      <c r="O608" s="353" t="s">
        <v>153</v>
      </c>
      <c r="P608" s="353">
        <v>2001</v>
      </c>
      <c r="Q608" t="s">
        <v>68</v>
      </c>
      <c r="R608" t="s">
        <v>1787</v>
      </c>
      <c r="S608" s="378" t="s">
        <v>224</v>
      </c>
      <c r="T608" s="378" t="s">
        <v>1048</v>
      </c>
    </row>
    <row r="609" spans="1:21" x14ac:dyDescent="0.2">
      <c r="A609" s="353">
        <v>570044</v>
      </c>
      <c r="B609" s="340" t="s">
        <v>581</v>
      </c>
      <c r="C609" s="353">
        <v>17</v>
      </c>
      <c r="D609" s="353">
        <v>3</v>
      </c>
      <c r="E609" s="353">
        <v>5</v>
      </c>
      <c r="F609" s="353">
        <v>6</v>
      </c>
      <c r="G609" s="353">
        <v>18</v>
      </c>
      <c r="H609" s="353">
        <v>57</v>
      </c>
      <c r="I609" s="353">
        <v>120</v>
      </c>
      <c r="J609" s="353">
        <v>17.100000000000001</v>
      </c>
      <c r="K609" s="353">
        <v>0.64</v>
      </c>
      <c r="L609" s="353">
        <v>1.8</v>
      </c>
      <c r="M609" s="353">
        <v>12.2</v>
      </c>
      <c r="N609" s="353">
        <v>1.3</v>
      </c>
      <c r="O609" s="353" t="s">
        <v>203</v>
      </c>
      <c r="P609" s="353">
        <v>2000</v>
      </c>
      <c r="Q609" t="s">
        <v>68</v>
      </c>
      <c r="R609" t="s">
        <v>2002</v>
      </c>
      <c r="S609" s="378" t="s">
        <v>198</v>
      </c>
      <c r="T609" s="378" t="s">
        <v>298</v>
      </c>
    </row>
    <row r="610" spans="1:21" x14ac:dyDescent="0.2">
      <c r="A610" s="353">
        <v>407775</v>
      </c>
      <c r="B610" s="340" t="s">
        <v>566</v>
      </c>
      <c r="C610" s="353">
        <v>5</v>
      </c>
      <c r="D610" s="353">
        <v>5</v>
      </c>
      <c r="E610" s="353">
        <v>6</v>
      </c>
      <c r="F610" s="353">
        <v>2</v>
      </c>
      <c r="G610" s="353">
        <v>12</v>
      </c>
      <c r="H610" s="353">
        <v>36</v>
      </c>
      <c r="I610" s="353">
        <v>101</v>
      </c>
      <c r="J610" s="353">
        <v>15</v>
      </c>
      <c r="K610" s="353">
        <v>0.64</v>
      </c>
      <c r="L610" s="353">
        <v>1.73</v>
      </c>
      <c r="M610" s="353">
        <v>15.2</v>
      </c>
      <c r="N610" s="353">
        <v>0.8</v>
      </c>
      <c r="O610" s="353" t="s">
        <v>344</v>
      </c>
      <c r="P610" s="353">
        <v>2006</v>
      </c>
      <c r="Q610" t="s">
        <v>68</v>
      </c>
      <c r="R610" t="s">
        <v>1993</v>
      </c>
      <c r="S610" s="378" t="s">
        <v>408</v>
      </c>
      <c r="T610" s="378" t="s">
        <v>1047</v>
      </c>
    </row>
    <row r="611" spans="1:21" x14ac:dyDescent="0.2">
      <c r="A611" s="353">
        <v>562421</v>
      </c>
      <c r="B611" s="340" t="s">
        <v>588</v>
      </c>
      <c r="C611" s="353">
        <v>15</v>
      </c>
      <c r="D611" s="353">
        <v>5</v>
      </c>
      <c r="E611" s="353">
        <v>8</v>
      </c>
      <c r="F611" s="353">
        <v>4</v>
      </c>
      <c r="G611" s="353">
        <v>15</v>
      </c>
      <c r="H611" s="353">
        <v>44</v>
      </c>
      <c r="I611" s="353">
        <v>99</v>
      </c>
      <c r="J611" s="353">
        <v>14.8</v>
      </c>
      <c r="K611" s="353">
        <v>0.64</v>
      </c>
      <c r="L611" s="353">
        <v>1.83</v>
      </c>
      <c r="M611" s="353">
        <v>13.1</v>
      </c>
      <c r="N611" s="353">
        <v>1</v>
      </c>
      <c r="O611" s="353" t="s">
        <v>293</v>
      </c>
      <c r="P611" s="353">
        <v>2013</v>
      </c>
      <c r="Q611" t="s">
        <v>68</v>
      </c>
      <c r="R611" t="s">
        <v>1866</v>
      </c>
      <c r="S611" s="378" t="s">
        <v>584</v>
      </c>
      <c r="T611" s="378" t="s">
        <v>181</v>
      </c>
    </row>
    <row r="612" spans="1:21" x14ac:dyDescent="0.2">
      <c r="A612" s="353">
        <v>125856</v>
      </c>
      <c r="B612" s="340" t="s">
        <v>1130</v>
      </c>
      <c r="C612" s="353">
        <v>16</v>
      </c>
      <c r="D612" s="353">
        <v>4</v>
      </c>
      <c r="E612" s="353">
        <v>7</v>
      </c>
      <c r="F612" s="353">
        <v>7</v>
      </c>
      <c r="G612" s="353">
        <v>19</v>
      </c>
      <c r="H612" s="353">
        <v>36</v>
      </c>
      <c r="I612" s="353">
        <v>86</v>
      </c>
      <c r="J612" s="353">
        <v>13.2</v>
      </c>
      <c r="K612" s="353">
        <v>0.64</v>
      </c>
      <c r="L612" s="353">
        <v>1.8</v>
      </c>
      <c r="M612" s="353">
        <v>15.1</v>
      </c>
      <c r="N612" s="353">
        <v>0.8</v>
      </c>
      <c r="O612" s="353" t="s">
        <v>203</v>
      </c>
      <c r="P612" s="353">
        <v>2011</v>
      </c>
      <c r="Q612" t="s">
        <v>68</v>
      </c>
      <c r="R612" t="s">
        <v>1986</v>
      </c>
      <c r="S612" s="378" t="s">
        <v>749</v>
      </c>
      <c r="T612" s="378" t="s">
        <v>215</v>
      </c>
    </row>
    <row r="613" spans="1:21" x14ac:dyDescent="0.2">
      <c r="A613" s="353">
        <v>367698</v>
      </c>
      <c r="B613" s="340" t="s">
        <v>555</v>
      </c>
      <c r="C613" s="353">
        <v>15</v>
      </c>
      <c r="D613" s="353">
        <v>5</v>
      </c>
      <c r="E613" s="353">
        <v>7</v>
      </c>
      <c r="F613" s="353">
        <v>3</v>
      </c>
      <c r="G613" s="353">
        <v>18</v>
      </c>
      <c r="H613" s="353">
        <v>24</v>
      </c>
      <c r="I613" s="353">
        <v>60</v>
      </c>
      <c r="J613" s="353">
        <v>9.9</v>
      </c>
      <c r="K613" s="353">
        <v>0.64</v>
      </c>
      <c r="L613" s="353">
        <v>1.71</v>
      </c>
      <c r="M613" s="353">
        <v>13.8</v>
      </c>
      <c r="N613" s="353">
        <v>0.6</v>
      </c>
      <c r="O613" s="353" t="s">
        <v>203</v>
      </c>
      <c r="P613" s="353">
        <v>2006</v>
      </c>
      <c r="Q613" t="s">
        <v>68</v>
      </c>
      <c r="R613" t="s">
        <v>1934</v>
      </c>
      <c r="S613" s="378" t="s">
        <v>408</v>
      </c>
      <c r="T613" s="378" t="s">
        <v>215</v>
      </c>
    </row>
    <row r="614" spans="1:21" x14ac:dyDescent="0.2">
      <c r="A614" s="353">
        <v>231100</v>
      </c>
      <c r="B614" s="340" t="s">
        <v>785</v>
      </c>
      <c r="C614" s="353">
        <v>24</v>
      </c>
      <c r="D614" s="353">
        <v>6</v>
      </c>
      <c r="E614" s="353">
        <v>9</v>
      </c>
      <c r="F614" s="353">
        <v>10</v>
      </c>
      <c r="G614" s="353">
        <v>17</v>
      </c>
      <c r="H614" s="353">
        <v>29</v>
      </c>
      <c r="I614" s="353">
        <v>53</v>
      </c>
      <c r="J614" s="353">
        <v>8.8000000000000007</v>
      </c>
      <c r="K614" s="353">
        <v>0.64</v>
      </c>
      <c r="L614" s="353">
        <v>1.85</v>
      </c>
      <c r="M614" s="353">
        <v>14.8</v>
      </c>
      <c r="N614" s="353">
        <v>0.7</v>
      </c>
      <c r="O614" s="353" t="s">
        <v>344</v>
      </c>
      <c r="P614" s="353">
        <v>2004</v>
      </c>
      <c r="Q614" t="s">
        <v>68</v>
      </c>
      <c r="R614" t="s">
        <v>1210</v>
      </c>
      <c r="S614" s="378" t="s">
        <v>540</v>
      </c>
      <c r="T614" s="378" t="s">
        <v>295</v>
      </c>
    </row>
    <row r="615" spans="1:21" x14ac:dyDescent="0.2">
      <c r="A615" s="353">
        <v>515262</v>
      </c>
      <c r="B615" s="340" t="s">
        <v>572</v>
      </c>
      <c r="C615" s="353">
        <v>9</v>
      </c>
      <c r="D615" s="353">
        <v>5</v>
      </c>
      <c r="E615" s="353">
        <v>6</v>
      </c>
      <c r="F615" s="353">
        <v>0</v>
      </c>
      <c r="G615" s="353">
        <v>14</v>
      </c>
      <c r="H615" s="353">
        <v>16</v>
      </c>
      <c r="I615" s="353">
        <v>48</v>
      </c>
      <c r="J615" s="353">
        <v>8.1999999999999993</v>
      </c>
      <c r="K615" s="353">
        <v>0.64</v>
      </c>
      <c r="L615" s="353">
        <v>1.73</v>
      </c>
      <c r="M615" s="353">
        <v>14.4</v>
      </c>
      <c r="N615" s="353">
        <v>0.4</v>
      </c>
      <c r="O615" s="353" t="s">
        <v>407</v>
      </c>
      <c r="P615" s="353">
        <v>2006</v>
      </c>
      <c r="Q615" t="s">
        <v>68</v>
      </c>
      <c r="R615" t="s">
        <v>1831</v>
      </c>
      <c r="S615" s="378" t="s">
        <v>408</v>
      </c>
      <c r="T615" s="378" t="s">
        <v>298</v>
      </c>
    </row>
    <row r="616" spans="1:21" x14ac:dyDescent="0.2">
      <c r="A616" s="353">
        <v>103309</v>
      </c>
      <c r="B616" s="340" t="s">
        <v>860</v>
      </c>
      <c r="C616" s="353">
        <v>11</v>
      </c>
      <c r="D616" s="353">
        <v>4</v>
      </c>
      <c r="E616" s="353">
        <v>5</v>
      </c>
      <c r="F616" s="353">
        <v>2</v>
      </c>
      <c r="G616" s="353">
        <v>12</v>
      </c>
      <c r="H616" s="353">
        <v>38</v>
      </c>
      <c r="I616" s="353"/>
      <c r="J616" s="353"/>
      <c r="K616" s="353">
        <v>0.64</v>
      </c>
      <c r="L616" s="353">
        <v>1.8</v>
      </c>
      <c r="M616" s="353">
        <v>13.3</v>
      </c>
      <c r="N616" s="353">
        <v>0.9</v>
      </c>
      <c r="O616" s="353" t="s">
        <v>203</v>
      </c>
      <c r="P616" s="353">
        <v>2014</v>
      </c>
      <c r="Q616" t="s">
        <v>68</v>
      </c>
      <c r="R616" t="s">
        <v>1729</v>
      </c>
      <c r="S616" s="378" t="s">
        <v>749</v>
      </c>
      <c r="T616" s="378" t="s">
        <v>215</v>
      </c>
    </row>
    <row r="617" spans="1:21" x14ac:dyDescent="0.2">
      <c r="A617" s="353">
        <v>364158</v>
      </c>
      <c r="B617" s="340" t="s">
        <v>133</v>
      </c>
      <c r="C617" s="353">
        <v>14</v>
      </c>
      <c r="D617" s="353">
        <v>-4</v>
      </c>
      <c r="E617" s="353">
        <v>0</v>
      </c>
      <c r="F617" s="353">
        <v>0</v>
      </c>
      <c r="G617" s="353">
        <v>21</v>
      </c>
      <c r="H617" s="353">
        <v>21</v>
      </c>
      <c r="I617" s="353">
        <v>194</v>
      </c>
      <c r="J617" s="353">
        <v>24.1</v>
      </c>
      <c r="K617" s="353">
        <v>0.65</v>
      </c>
      <c r="L617" s="353">
        <v>2.09</v>
      </c>
      <c r="M617" s="353">
        <v>27.4</v>
      </c>
      <c r="N617" s="353">
        <v>0.4</v>
      </c>
      <c r="O617" s="353" t="s">
        <v>344</v>
      </c>
      <c r="P617" s="353">
        <v>2000</v>
      </c>
      <c r="Q617" t="s">
        <v>68</v>
      </c>
      <c r="R617" t="s">
        <v>1996</v>
      </c>
      <c r="S617" s="378" t="s">
        <v>751</v>
      </c>
      <c r="T617" s="378" t="s">
        <v>1051</v>
      </c>
    </row>
    <row r="618" spans="1:21" x14ac:dyDescent="0.2">
      <c r="A618" s="353">
        <v>614966</v>
      </c>
      <c r="B618" s="340" t="s">
        <v>569</v>
      </c>
      <c r="C618" s="353">
        <v>35</v>
      </c>
      <c r="D618" s="353">
        <v>9</v>
      </c>
      <c r="E618" s="353">
        <v>15</v>
      </c>
      <c r="F618" s="353">
        <v>15</v>
      </c>
      <c r="G618" s="353">
        <v>38</v>
      </c>
      <c r="H618" s="353">
        <v>88</v>
      </c>
      <c r="I618" s="353">
        <v>182</v>
      </c>
      <c r="J618" s="353">
        <v>23</v>
      </c>
      <c r="K618" s="353">
        <v>0.65</v>
      </c>
      <c r="L618" s="353">
        <v>2.09</v>
      </c>
      <c r="M618" s="353">
        <v>17.3</v>
      </c>
      <c r="N618" s="353">
        <v>1.3</v>
      </c>
      <c r="O618" s="353" t="s">
        <v>344</v>
      </c>
      <c r="P618" s="353">
        <v>2000</v>
      </c>
      <c r="Q618" t="s">
        <v>68</v>
      </c>
      <c r="R618" t="s">
        <v>1224</v>
      </c>
      <c r="S618" s="378" t="s">
        <v>751</v>
      </c>
      <c r="T618" s="378" t="s">
        <v>253</v>
      </c>
    </row>
    <row r="619" spans="1:21" x14ac:dyDescent="0.2">
      <c r="A619" s="353">
        <v>626945</v>
      </c>
      <c r="B619" s="340" t="s">
        <v>574</v>
      </c>
      <c r="C619" s="353">
        <v>17</v>
      </c>
      <c r="D619" s="353">
        <v>8</v>
      </c>
      <c r="E619" s="353">
        <v>9</v>
      </c>
      <c r="F619" s="353">
        <v>6</v>
      </c>
      <c r="G619" s="353">
        <v>18</v>
      </c>
      <c r="H619" s="353">
        <v>48</v>
      </c>
      <c r="I619" s="353">
        <v>148</v>
      </c>
      <c r="J619" s="353">
        <v>19.899999999999999</v>
      </c>
      <c r="K619" s="353">
        <v>0.65</v>
      </c>
      <c r="L619" s="353">
        <v>2.09</v>
      </c>
      <c r="M619" s="353">
        <v>15.6</v>
      </c>
      <c r="N619" s="353">
        <v>0.9</v>
      </c>
      <c r="O619" s="353" t="s">
        <v>344</v>
      </c>
      <c r="P619" s="353">
        <v>2008</v>
      </c>
      <c r="Q619" t="s">
        <v>68</v>
      </c>
      <c r="R619" t="s">
        <v>1721</v>
      </c>
      <c r="S619" s="378" t="s">
        <v>751</v>
      </c>
      <c r="T619" s="378" t="s">
        <v>1047</v>
      </c>
    </row>
    <row r="620" spans="1:21" x14ac:dyDescent="0.2">
      <c r="A620" s="353">
        <v>579136</v>
      </c>
      <c r="B620" s="340" t="s">
        <v>571</v>
      </c>
      <c r="C620" s="353">
        <v>5</v>
      </c>
      <c r="D620" s="353">
        <v>1</v>
      </c>
      <c r="E620" s="353">
        <v>0</v>
      </c>
      <c r="F620" s="353">
        <v>-2</v>
      </c>
      <c r="G620" s="353">
        <v>8</v>
      </c>
      <c r="H620" s="353">
        <v>33</v>
      </c>
      <c r="I620" s="353">
        <v>139</v>
      </c>
      <c r="J620" s="353">
        <v>19</v>
      </c>
      <c r="K620" s="353">
        <v>0.65</v>
      </c>
      <c r="L620" s="353">
        <v>2.09</v>
      </c>
      <c r="M620" s="353">
        <v>17.5</v>
      </c>
      <c r="N620" s="353">
        <v>0.6</v>
      </c>
      <c r="O620" s="353" t="s">
        <v>344</v>
      </c>
      <c r="P620" s="353">
        <v>2000</v>
      </c>
      <c r="Q620" t="s">
        <v>68</v>
      </c>
      <c r="R620" t="s">
        <v>2020</v>
      </c>
      <c r="S620" s="378" t="s">
        <v>751</v>
      </c>
      <c r="T620" s="378" t="s">
        <v>1051</v>
      </c>
    </row>
    <row r="621" spans="1:21" x14ac:dyDescent="0.2">
      <c r="A621" s="353">
        <v>118067</v>
      </c>
      <c r="B621" s="340" t="s">
        <v>561</v>
      </c>
      <c r="C621" s="353">
        <v>15</v>
      </c>
      <c r="D621" s="353">
        <v>6</v>
      </c>
      <c r="E621" s="353">
        <v>11</v>
      </c>
      <c r="F621" s="353">
        <v>7</v>
      </c>
      <c r="G621" s="353">
        <v>24</v>
      </c>
      <c r="H621" s="353">
        <v>47</v>
      </c>
      <c r="I621" s="353">
        <v>110</v>
      </c>
      <c r="J621" s="353">
        <v>16</v>
      </c>
      <c r="K621" s="353">
        <v>0.65</v>
      </c>
      <c r="L621" s="353">
        <v>2.09</v>
      </c>
      <c r="M621" s="353">
        <v>15.3</v>
      </c>
      <c r="N621" s="353">
        <v>0.9</v>
      </c>
      <c r="O621" s="353" t="s">
        <v>203</v>
      </c>
      <c r="P621" s="353">
        <v>2007</v>
      </c>
      <c r="Q621" t="s">
        <v>68</v>
      </c>
      <c r="R621" t="s">
        <v>1746</v>
      </c>
      <c r="S621" s="378" t="s">
        <v>751</v>
      </c>
      <c r="T621" s="378" t="s">
        <v>181</v>
      </c>
      <c r="U621" s="377" t="s">
        <v>162</v>
      </c>
    </row>
    <row r="622" spans="1:21" x14ac:dyDescent="0.2">
      <c r="A622" s="353">
        <v>772509</v>
      </c>
      <c r="B622" s="340" t="s">
        <v>868</v>
      </c>
      <c r="C622" s="353">
        <v>7</v>
      </c>
      <c r="D622" s="353">
        <v>5</v>
      </c>
      <c r="E622" s="353">
        <v>8</v>
      </c>
      <c r="F622" s="353">
        <v>3</v>
      </c>
      <c r="G622" s="353">
        <v>15</v>
      </c>
      <c r="H622" s="353">
        <v>33</v>
      </c>
      <c r="I622" s="353">
        <v>93</v>
      </c>
      <c r="J622" s="353">
        <v>14.1</v>
      </c>
      <c r="K622" s="353">
        <v>0.65</v>
      </c>
      <c r="L622" s="353">
        <v>2.09</v>
      </c>
      <c r="M622" s="353">
        <v>13.3</v>
      </c>
      <c r="N622" s="353">
        <v>0.8</v>
      </c>
      <c r="O622" s="353" t="s">
        <v>203</v>
      </c>
      <c r="P622" s="353">
        <v>2015</v>
      </c>
      <c r="Q622" t="s">
        <v>68</v>
      </c>
      <c r="R622" t="s">
        <v>1895</v>
      </c>
      <c r="S622" s="378" t="s">
        <v>751</v>
      </c>
      <c r="T622" s="378" t="s">
        <v>181</v>
      </c>
    </row>
    <row r="623" spans="1:21" x14ac:dyDescent="0.2">
      <c r="A623" s="353">
        <v>374835</v>
      </c>
      <c r="B623" s="340" t="s">
        <v>1017</v>
      </c>
      <c r="C623" s="353">
        <v>20</v>
      </c>
      <c r="D623" s="353">
        <v>6</v>
      </c>
      <c r="E623" s="353">
        <v>8</v>
      </c>
      <c r="F623" s="353">
        <v>9</v>
      </c>
      <c r="G623" s="353">
        <v>20</v>
      </c>
      <c r="H623" s="353">
        <v>36</v>
      </c>
      <c r="I623" s="353">
        <v>71</v>
      </c>
      <c r="J623" s="353">
        <v>11.3</v>
      </c>
      <c r="K623" s="353">
        <v>0.65</v>
      </c>
      <c r="L623" s="353">
        <v>1.85</v>
      </c>
      <c r="M623" s="353">
        <v>14.6</v>
      </c>
      <c r="N623" s="353">
        <v>0.8</v>
      </c>
      <c r="O623" s="353" t="s">
        <v>153</v>
      </c>
      <c r="P623" s="353">
        <v>2011</v>
      </c>
      <c r="Q623" t="s">
        <v>154</v>
      </c>
      <c r="R623" t="s">
        <v>1604</v>
      </c>
      <c r="S623" s="378" t="s">
        <v>615</v>
      </c>
      <c r="T623" s="378" t="s">
        <v>1026</v>
      </c>
    </row>
    <row r="624" spans="1:21" x14ac:dyDescent="0.2">
      <c r="A624" s="353">
        <v>843698</v>
      </c>
      <c r="B624" s="340" t="s">
        <v>567</v>
      </c>
      <c r="C624" s="353">
        <v>28</v>
      </c>
      <c r="D624" s="353">
        <v>6</v>
      </c>
      <c r="E624" s="353">
        <v>8</v>
      </c>
      <c r="F624" s="353">
        <v>13</v>
      </c>
      <c r="G624" s="353">
        <v>18</v>
      </c>
      <c r="H624" s="353">
        <v>37</v>
      </c>
      <c r="I624" s="353">
        <v>62</v>
      </c>
      <c r="J624" s="353">
        <v>10.1</v>
      </c>
      <c r="K624" s="353">
        <v>0.65</v>
      </c>
      <c r="L624" s="353">
        <v>2.09</v>
      </c>
      <c r="M624" s="353">
        <v>14.6</v>
      </c>
      <c r="N624" s="353">
        <v>0.8</v>
      </c>
      <c r="O624" s="353" t="s">
        <v>344</v>
      </c>
      <c r="P624" s="353">
        <v>2010</v>
      </c>
      <c r="Q624" t="s">
        <v>68</v>
      </c>
      <c r="R624" t="s">
        <v>1825</v>
      </c>
      <c r="S624" s="378" t="s">
        <v>751</v>
      </c>
      <c r="T624" s="378" t="s">
        <v>1048</v>
      </c>
    </row>
    <row r="625" spans="1:21" x14ac:dyDescent="0.2">
      <c r="A625" s="353">
        <v>539585</v>
      </c>
      <c r="B625" s="340" t="s">
        <v>1020</v>
      </c>
      <c r="C625" s="353">
        <v>22</v>
      </c>
      <c r="D625" s="353">
        <v>4</v>
      </c>
      <c r="E625" s="353">
        <v>2</v>
      </c>
      <c r="F625" s="353">
        <v>5</v>
      </c>
      <c r="G625" s="353">
        <v>19</v>
      </c>
      <c r="H625" s="353">
        <v>31</v>
      </c>
      <c r="I625" s="353">
        <v>59</v>
      </c>
      <c r="J625" s="353">
        <v>9.6999999999999993</v>
      </c>
      <c r="K625" s="353">
        <v>0.65</v>
      </c>
      <c r="L625" s="353">
        <v>1.95</v>
      </c>
      <c r="M625" s="353">
        <v>13.5</v>
      </c>
      <c r="N625" s="353">
        <v>0.8</v>
      </c>
      <c r="O625" s="353" t="s">
        <v>153</v>
      </c>
      <c r="P625" s="353">
        <v>2005</v>
      </c>
      <c r="Q625" t="s">
        <v>68</v>
      </c>
      <c r="R625" t="s">
        <v>1245</v>
      </c>
      <c r="S625" s="378" t="s">
        <v>381</v>
      </c>
      <c r="T625" s="378" t="s">
        <v>321</v>
      </c>
    </row>
    <row r="626" spans="1:21" x14ac:dyDescent="0.2">
      <c r="A626" s="353">
        <v>807867</v>
      </c>
      <c r="B626" s="340" t="s">
        <v>562</v>
      </c>
      <c r="C626" s="353">
        <v>13</v>
      </c>
      <c r="D626" s="353">
        <v>7</v>
      </c>
      <c r="E626" s="353">
        <v>7</v>
      </c>
      <c r="F626" s="353">
        <v>6</v>
      </c>
      <c r="G626" s="353">
        <v>8</v>
      </c>
      <c r="H626" s="353">
        <v>26</v>
      </c>
      <c r="I626" s="353">
        <v>57</v>
      </c>
      <c r="J626" s="353">
        <v>9.5</v>
      </c>
      <c r="K626" s="353">
        <v>0.65</v>
      </c>
      <c r="L626" s="353">
        <v>2.09</v>
      </c>
      <c r="M626" s="353">
        <v>13.8</v>
      </c>
      <c r="N626" s="353">
        <v>0.6</v>
      </c>
      <c r="O626" s="353" t="s">
        <v>344</v>
      </c>
      <c r="P626" s="353">
        <v>2010</v>
      </c>
      <c r="Q626" t="s">
        <v>68</v>
      </c>
      <c r="R626" t="s">
        <v>1371</v>
      </c>
      <c r="S626" s="378" t="s">
        <v>751</v>
      </c>
      <c r="T626" s="378" t="s">
        <v>295</v>
      </c>
      <c r="U626" s="377" t="s">
        <v>162</v>
      </c>
    </row>
    <row r="627" spans="1:21" x14ac:dyDescent="0.2">
      <c r="A627" s="353">
        <v>704502</v>
      </c>
      <c r="B627" s="340" t="s">
        <v>829</v>
      </c>
      <c r="C627" s="353">
        <v>3</v>
      </c>
      <c r="D627" s="353">
        <v>2</v>
      </c>
      <c r="E627" s="353">
        <v>3</v>
      </c>
      <c r="F627" s="353">
        <v>-1</v>
      </c>
      <c r="G627" s="353">
        <v>6</v>
      </c>
      <c r="H627" s="353">
        <v>34</v>
      </c>
      <c r="I627" s="353"/>
      <c r="J627" s="353"/>
      <c r="K627" s="353">
        <v>0.65</v>
      </c>
      <c r="L627" s="353">
        <v>1.84</v>
      </c>
      <c r="M627" s="353">
        <v>14.3</v>
      </c>
      <c r="N627" s="353">
        <v>0.8</v>
      </c>
      <c r="O627" s="353" t="s">
        <v>344</v>
      </c>
      <c r="P627" s="353">
        <v>2015</v>
      </c>
      <c r="Q627" t="s">
        <v>68</v>
      </c>
      <c r="R627" t="s">
        <v>1206</v>
      </c>
      <c r="S627" s="378" t="s">
        <v>749</v>
      </c>
      <c r="T627" s="378" t="s">
        <v>181</v>
      </c>
    </row>
    <row r="628" spans="1:21" x14ac:dyDescent="0.2">
      <c r="A628" s="353">
        <v>488932</v>
      </c>
      <c r="B628" s="340" t="s">
        <v>570</v>
      </c>
      <c r="C628" s="353">
        <v>9</v>
      </c>
      <c r="D628" s="353">
        <v>5</v>
      </c>
      <c r="E628" s="353">
        <v>7</v>
      </c>
      <c r="F628" s="353">
        <v>4</v>
      </c>
      <c r="G628" s="353">
        <v>17</v>
      </c>
      <c r="H628" s="353">
        <v>37</v>
      </c>
      <c r="I628" s="353"/>
      <c r="J628" s="353"/>
      <c r="K628" s="353">
        <v>0.65</v>
      </c>
      <c r="L628" s="353">
        <v>2.09</v>
      </c>
      <c r="M628" s="353">
        <v>14.4</v>
      </c>
      <c r="N628" s="353">
        <v>0.8</v>
      </c>
      <c r="O628" s="353" t="s">
        <v>344</v>
      </c>
      <c r="P628" s="353">
        <v>2014</v>
      </c>
      <c r="Q628" t="s">
        <v>68</v>
      </c>
      <c r="R628" t="s">
        <v>1418</v>
      </c>
      <c r="S628" s="378" t="s">
        <v>751</v>
      </c>
      <c r="T628" s="378" t="s">
        <v>181</v>
      </c>
      <c r="U628" s="377" t="s">
        <v>162</v>
      </c>
    </row>
    <row r="629" spans="1:21" x14ac:dyDescent="0.2">
      <c r="A629" s="353">
        <v>320176</v>
      </c>
      <c r="B629" s="340" t="s">
        <v>553</v>
      </c>
      <c r="C629" s="353">
        <v>11</v>
      </c>
      <c r="D629" s="353">
        <v>1</v>
      </c>
      <c r="E629" s="353">
        <v>3</v>
      </c>
      <c r="F629" s="353">
        <v>9</v>
      </c>
      <c r="G629" s="353">
        <v>9</v>
      </c>
      <c r="H629" s="353">
        <v>74</v>
      </c>
      <c r="I629" s="353">
        <v>155</v>
      </c>
      <c r="J629" s="353">
        <v>20.6</v>
      </c>
      <c r="K629" s="353">
        <v>0.66</v>
      </c>
      <c r="L629" s="353">
        <v>1.83</v>
      </c>
      <c r="M629" s="353">
        <v>17.3</v>
      </c>
      <c r="N629" s="353">
        <v>1.2</v>
      </c>
      <c r="O629" s="353" t="s">
        <v>153</v>
      </c>
      <c r="P629" s="353">
        <v>2011</v>
      </c>
      <c r="Q629" t="s">
        <v>154</v>
      </c>
      <c r="R629" t="s">
        <v>1815</v>
      </c>
      <c r="S629" s="378" t="s">
        <v>229</v>
      </c>
      <c r="T629" s="378" t="s">
        <v>1049</v>
      </c>
    </row>
    <row r="630" spans="1:21" x14ac:dyDescent="0.2">
      <c r="A630" s="353">
        <v>324665</v>
      </c>
      <c r="B630" s="340" t="s">
        <v>551</v>
      </c>
      <c r="C630" s="353">
        <v>11</v>
      </c>
      <c r="D630" s="353">
        <v>1</v>
      </c>
      <c r="E630" s="353">
        <v>4</v>
      </c>
      <c r="F630" s="353">
        <v>3</v>
      </c>
      <c r="G630" s="353">
        <v>13</v>
      </c>
      <c r="H630" s="353">
        <v>46</v>
      </c>
      <c r="I630" s="353">
        <v>136</v>
      </c>
      <c r="J630" s="353">
        <v>18.7</v>
      </c>
      <c r="K630" s="353">
        <v>0.66</v>
      </c>
      <c r="L630" s="353">
        <v>1.6</v>
      </c>
      <c r="M630" s="353">
        <v>12.6</v>
      </c>
      <c r="N630" s="353">
        <v>1.1000000000000001</v>
      </c>
      <c r="O630" s="353" t="s">
        <v>203</v>
      </c>
      <c r="P630" s="353">
        <v>2002</v>
      </c>
      <c r="Q630" t="s">
        <v>68</v>
      </c>
      <c r="R630" t="s">
        <v>1511</v>
      </c>
      <c r="S630" s="378" t="s">
        <v>542</v>
      </c>
      <c r="T630" s="378" t="s">
        <v>298</v>
      </c>
      <c r="U630" s="377" t="s">
        <v>162</v>
      </c>
    </row>
    <row r="631" spans="1:21" x14ac:dyDescent="0.2">
      <c r="A631" s="353">
        <v>724690</v>
      </c>
      <c r="B631" s="340" t="s">
        <v>546</v>
      </c>
      <c r="C631" s="353">
        <v>8</v>
      </c>
      <c r="D631" s="353">
        <v>3</v>
      </c>
      <c r="E631" s="353">
        <v>4</v>
      </c>
      <c r="F631" s="353">
        <v>1</v>
      </c>
      <c r="G631" s="353">
        <v>9</v>
      </c>
      <c r="H631" s="353">
        <v>41</v>
      </c>
      <c r="I631" s="353">
        <v>107</v>
      </c>
      <c r="J631" s="353">
        <v>15.6</v>
      </c>
      <c r="K631" s="353">
        <v>0.66</v>
      </c>
      <c r="L631" s="353">
        <v>1.59</v>
      </c>
      <c r="M631" s="353">
        <v>12.6</v>
      </c>
      <c r="N631" s="353">
        <v>1</v>
      </c>
      <c r="O631" s="353" t="s">
        <v>407</v>
      </c>
      <c r="P631" s="353">
        <v>2009</v>
      </c>
      <c r="Q631" t="s">
        <v>68</v>
      </c>
      <c r="R631" t="s">
        <v>1629</v>
      </c>
      <c r="S631" s="378" t="s">
        <v>547</v>
      </c>
      <c r="T631" s="378" t="s">
        <v>1049</v>
      </c>
    </row>
    <row r="632" spans="1:21" x14ac:dyDescent="0.2">
      <c r="A632" s="353">
        <v>728824</v>
      </c>
      <c r="B632" s="340" t="s">
        <v>837</v>
      </c>
      <c r="C632" s="353">
        <v>4</v>
      </c>
      <c r="D632" s="353">
        <v>5</v>
      </c>
      <c r="E632" s="353">
        <v>6</v>
      </c>
      <c r="F632" s="353">
        <v>0</v>
      </c>
      <c r="G632" s="353">
        <v>9</v>
      </c>
      <c r="H632" s="353">
        <v>37</v>
      </c>
      <c r="I632" s="353">
        <v>94</v>
      </c>
      <c r="J632" s="353">
        <v>14.1</v>
      </c>
      <c r="K632" s="353">
        <v>0.66</v>
      </c>
      <c r="L632" s="353">
        <v>1.88</v>
      </c>
      <c r="M632" s="353">
        <v>12.5</v>
      </c>
      <c r="N632" s="353">
        <v>0.9</v>
      </c>
      <c r="O632" s="353" t="s">
        <v>344</v>
      </c>
      <c r="P632" s="353">
        <v>2013</v>
      </c>
      <c r="Q632" t="s">
        <v>68</v>
      </c>
      <c r="R632" t="s">
        <v>1171</v>
      </c>
      <c r="S632" s="378" t="s">
        <v>749</v>
      </c>
      <c r="T632" s="378" t="s">
        <v>181</v>
      </c>
    </row>
    <row r="633" spans="1:21" x14ac:dyDescent="0.2">
      <c r="A633" s="353">
        <v>384511</v>
      </c>
      <c r="B633" s="340" t="s">
        <v>582</v>
      </c>
      <c r="C633" s="353">
        <v>10</v>
      </c>
      <c r="D633" s="353">
        <v>6</v>
      </c>
      <c r="E633" s="353">
        <v>8</v>
      </c>
      <c r="F633" s="353">
        <v>6</v>
      </c>
      <c r="G633" s="353">
        <v>9</v>
      </c>
      <c r="H633" s="353">
        <v>21</v>
      </c>
      <c r="I633" s="353">
        <v>87</v>
      </c>
      <c r="J633" s="353">
        <v>13.3</v>
      </c>
      <c r="K633" s="353">
        <v>0.66</v>
      </c>
      <c r="L633" s="353">
        <v>2.11</v>
      </c>
      <c r="M633" s="353">
        <v>14.5</v>
      </c>
      <c r="N633" s="353">
        <v>0.5</v>
      </c>
      <c r="O633" s="353" t="s">
        <v>203</v>
      </c>
      <c r="P633" s="353">
        <v>2012</v>
      </c>
      <c r="Q633" t="s">
        <v>68</v>
      </c>
      <c r="R633" t="s">
        <v>1749</v>
      </c>
      <c r="S633" s="378" t="s">
        <v>751</v>
      </c>
      <c r="T633" s="378" t="s">
        <v>215</v>
      </c>
    </row>
    <row r="634" spans="1:21" x14ac:dyDescent="0.2">
      <c r="A634" s="353">
        <v>154369</v>
      </c>
      <c r="B634" s="340" t="s">
        <v>549</v>
      </c>
      <c r="C634" s="353">
        <v>1</v>
      </c>
      <c r="D634" s="353">
        <v>6</v>
      </c>
      <c r="E634" s="353">
        <v>4</v>
      </c>
      <c r="F634" s="353">
        <v>1</v>
      </c>
      <c r="G634" s="353">
        <v>-1</v>
      </c>
      <c r="H634" s="353">
        <v>11</v>
      </c>
      <c r="I634" s="353">
        <v>41</v>
      </c>
      <c r="J634" s="353">
        <v>7.2</v>
      </c>
      <c r="K634" s="353">
        <v>0.66</v>
      </c>
      <c r="L634" s="353">
        <v>1.6</v>
      </c>
      <c r="M634" s="353">
        <v>16.399999999999999</v>
      </c>
      <c r="N634" s="353">
        <v>0.3</v>
      </c>
      <c r="O634" s="353" t="s">
        <v>153</v>
      </c>
      <c r="P634" s="353">
        <v>2012</v>
      </c>
      <c r="Q634" t="s">
        <v>154</v>
      </c>
      <c r="R634" t="s">
        <v>1859</v>
      </c>
      <c r="S634" s="378" t="s">
        <v>399</v>
      </c>
      <c r="T634" s="378" t="s">
        <v>298</v>
      </c>
    </row>
    <row r="635" spans="1:21" x14ac:dyDescent="0.2">
      <c r="A635" s="353">
        <v>235291</v>
      </c>
      <c r="B635" s="340" t="s">
        <v>565</v>
      </c>
      <c r="C635" s="353">
        <v>7</v>
      </c>
      <c r="D635" s="353">
        <v>0</v>
      </c>
      <c r="E635" s="353">
        <v>5</v>
      </c>
      <c r="F635" s="353">
        <v>1</v>
      </c>
      <c r="G635" s="353">
        <v>-3</v>
      </c>
      <c r="H635" s="353">
        <v>-1</v>
      </c>
      <c r="I635" s="353">
        <v>1</v>
      </c>
      <c r="J635" s="353">
        <v>0.1</v>
      </c>
      <c r="K635" s="353">
        <v>0.66</v>
      </c>
      <c r="L635" s="353">
        <v>1.95</v>
      </c>
      <c r="M635" s="353">
        <v>18.7</v>
      </c>
      <c r="N635" s="353">
        <v>0.1</v>
      </c>
      <c r="O635" s="353" t="s">
        <v>344</v>
      </c>
      <c r="P635" s="353">
        <v>2006</v>
      </c>
      <c r="Q635" t="s">
        <v>68</v>
      </c>
      <c r="R635" t="s">
        <v>1383</v>
      </c>
      <c r="S635" s="378" t="s">
        <v>425</v>
      </c>
      <c r="T635" s="378" t="s">
        <v>361</v>
      </c>
    </row>
    <row r="636" spans="1:21" x14ac:dyDescent="0.2">
      <c r="A636" s="353">
        <v>487108</v>
      </c>
      <c r="B636" s="340" t="s">
        <v>728</v>
      </c>
      <c r="C636" s="353">
        <v>17</v>
      </c>
      <c r="D636" s="353">
        <v>4</v>
      </c>
      <c r="E636" s="353">
        <v>7</v>
      </c>
      <c r="F636" s="353">
        <v>12</v>
      </c>
      <c r="G636" s="353">
        <v>19</v>
      </c>
      <c r="H636" s="353">
        <v>73</v>
      </c>
      <c r="I636" s="353"/>
      <c r="J636" s="353"/>
      <c r="K636" s="353">
        <v>0.66</v>
      </c>
      <c r="L636" s="353">
        <v>1.6</v>
      </c>
      <c r="M636" s="353">
        <v>10.8</v>
      </c>
      <c r="N636" s="353">
        <v>1.8</v>
      </c>
      <c r="O636" s="353" t="s">
        <v>153</v>
      </c>
      <c r="P636" s="353">
        <v>2014</v>
      </c>
      <c r="Q636" t="s">
        <v>154</v>
      </c>
      <c r="R636" t="s">
        <v>1332</v>
      </c>
      <c r="S636" s="378" t="s">
        <v>414</v>
      </c>
      <c r="T636" s="378" t="s">
        <v>1026</v>
      </c>
    </row>
    <row r="637" spans="1:21" x14ac:dyDescent="0.2">
      <c r="A637" s="353">
        <v>768499</v>
      </c>
      <c r="B637" s="340" t="s">
        <v>796</v>
      </c>
      <c r="C637" s="353">
        <v>23</v>
      </c>
      <c r="D637" s="353">
        <v>10</v>
      </c>
      <c r="E637" s="353">
        <v>7</v>
      </c>
      <c r="F637" s="353">
        <v>4</v>
      </c>
      <c r="G637" s="353">
        <v>12</v>
      </c>
      <c r="H637" s="353">
        <v>53</v>
      </c>
      <c r="I637" s="353">
        <v>136</v>
      </c>
      <c r="J637" s="353">
        <v>18.7</v>
      </c>
      <c r="K637" s="353">
        <v>0.67</v>
      </c>
      <c r="L637" s="353">
        <v>1.96</v>
      </c>
      <c r="M637" s="353">
        <v>19.899999999999999</v>
      </c>
      <c r="N637" s="353">
        <v>0.8</v>
      </c>
      <c r="O637" s="353" t="s">
        <v>344</v>
      </c>
      <c r="P637" s="353">
        <v>2006</v>
      </c>
      <c r="Q637" t="s">
        <v>68</v>
      </c>
      <c r="R637" t="s">
        <v>1964</v>
      </c>
      <c r="S637" s="378" t="s">
        <v>540</v>
      </c>
      <c r="T637" s="378" t="s">
        <v>1057</v>
      </c>
    </row>
    <row r="638" spans="1:21" x14ac:dyDescent="0.2">
      <c r="A638" s="353">
        <v>388702</v>
      </c>
      <c r="B638" s="340" t="s">
        <v>1059</v>
      </c>
      <c r="C638" s="353">
        <v>-3</v>
      </c>
      <c r="D638" s="353">
        <v>4</v>
      </c>
      <c r="E638" s="353">
        <v>7</v>
      </c>
      <c r="F638" s="353">
        <v>-1</v>
      </c>
      <c r="G638" s="353">
        <v>14</v>
      </c>
      <c r="H638" s="353">
        <v>36</v>
      </c>
      <c r="I638" s="353">
        <v>134</v>
      </c>
      <c r="J638" s="353">
        <v>18.5</v>
      </c>
      <c r="K638" s="353">
        <v>0.67</v>
      </c>
      <c r="L638" s="353">
        <v>1.64</v>
      </c>
      <c r="M638" s="353">
        <v>17.5</v>
      </c>
      <c r="N638" s="353">
        <v>0.7</v>
      </c>
      <c r="O638" s="353" t="s">
        <v>344</v>
      </c>
      <c r="P638" s="353">
        <v>2015</v>
      </c>
      <c r="Q638" t="s">
        <v>68</v>
      </c>
      <c r="R638" t="s">
        <v>1992</v>
      </c>
      <c r="S638" s="378" t="s">
        <v>493</v>
      </c>
      <c r="T638" s="378" t="s">
        <v>1047</v>
      </c>
    </row>
    <row r="639" spans="1:21" x14ac:dyDescent="0.2">
      <c r="A639" s="353">
        <v>317040</v>
      </c>
      <c r="B639" s="340" t="s">
        <v>848</v>
      </c>
      <c r="C639" s="353">
        <v>5</v>
      </c>
      <c r="D639" s="353">
        <v>4</v>
      </c>
      <c r="E639" s="353">
        <v>7</v>
      </c>
      <c r="F639" s="353">
        <v>2</v>
      </c>
      <c r="G639" s="353">
        <v>15</v>
      </c>
      <c r="H639" s="353">
        <v>49</v>
      </c>
      <c r="I639" s="353">
        <v>129</v>
      </c>
      <c r="J639" s="353">
        <v>18.100000000000001</v>
      </c>
      <c r="K639" s="353">
        <v>0.67</v>
      </c>
      <c r="L639" s="353">
        <v>1.63</v>
      </c>
      <c r="M639" s="353">
        <v>13.6</v>
      </c>
      <c r="N639" s="353">
        <v>1.1000000000000001</v>
      </c>
      <c r="O639" s="353" t="s">
        <v>344</v>
      </c>
      <c r="P639" s="353">
        <v>2015</v>
      </c>
      <c r="Q639" t="s">
        <v>68</v>
      </c>
      <c r="R639" t="s">
        <v>1184</v>
      </c>
      <c r="S639" s="378" t="s">
        <v>493</v>
      </c>
      <c r="T639" s="378" t="s">
        <v>181</v>
      </c>
    </row>
    <row r="640" spans="1:21" x14ac:dyDescent="0.2">
      <c r="A640" s="353">
        <v>477729</v>
      </c>
      <c r="B640" s="340" t="s">
        <v>564</v>
      </c>
      <c r="C640" s="353">
        <v>37</v>
      </c>
      <c r="D640" s="353">
        <v>9</v>
      </c>
      <c r="E640" s="353">
        <v>15</v>
      </c>
      <c r="F640" s="353">
        <v>19</v>
      </c>
      <c r="G640" s="353">
        <v>27</v>
      </c>
      <c r="H640" s="353">
        <v>69</v>
      </c>
      <c r="I640" s="353">
        <v>114</v>
      </c>
      <c r="J640" s="353">
        <v>16.399999999999999</v>
      </c>
      <c r="K640" s="353">
        <v>0.67</v>
      </c>
      <c r="L640" s="353">
        <v>1.97</v>
      </c>
      <c r="M640" s="353">
        <v>15.3</v>
      </c>
      <c r="N640" s="353">
        <v>1.2</v>
      </c>
      <c r="O640" s="353" t="s">
        <v>344</v>
      </c>
      <c r="P640" s="353">
        <v>2000</v>
      </c>
      <c r="Q640" t="s">
        <v>68</v>
      </c>
      <c r="R640" t="s">
        <v>1799</v>
      </c>
      <c r="S640" s="378" t="s">
        <v>425</v>
      </c>
      <c r="T640" s="378" t="s">
        <v>1048</v>
      </c>
    </row>
    <row r="641" spans="1:21" x14ac:dyDescent="0.2">
      <c r="A641" s="353">
        <v>920439</v>
      </c>
      <c r="B641" s="340" t="s">
        <v>922</v>
      </c>
      <c r="C641" s="353">
        <v>12</v>
      </c>
      <c r="D641" s="353">
        <v>9</v>
      </c>
      <c r="E641" s="353">
        <v>11</v>
      </c>
      <c r="F641" s="353">
        <v>7</v>
      </c>
      <c r="G641" s="353">
        <v>10</v>
      </c>
      <c r="H641" s="353">
        <v>46</v>
      </c>
      <c r="I641" s="353">
        <v>108</v>
      </c>
      <c r="J641" s="353">
        <v>15.8</v>
      </c>
      <c r="K641" s="353">
        <v>0.67</v>
      </c>
      <c r="L641" s="353">
        <v>1.64</v>
      </c>
      <c r="M641" s="353">
        <v>15.5</v>
      </c>
      <c r="N641" s="353">
        <v>0.9</v>
      </c>
      <c r="O641" s="353" t="s">
        <v>492</v>
      </c>
      <c r="P641" s="353">
        <v>2000</v>
      </c>
      <c r="Q641" t="s">
        <v>68</v>
      </c>
      <c r="R641" t="s">
        <v>1850</v>
      </c>
      <c r="S641" s="378" t="s">
        <v>773</v>
      </c>
      <c r="T641" s="378" t="s">
        <v>201</v>
      </c>
    </row>
    <row r="642" spans="1:21" x14ac:dyDescent="0.2">
      <c r="A642" s="353">
        <v>976506</v>
      </c>
      <c r="B642" s="340" t="s">
        <v>1162</v>
      </c>
      <c r="C642" s="353">
        <v>18</v>
      </c>
      <c r="D642" s="353">
        <v>6</v>
      </c>
      <c r="E642" s="353">
        <v>11</v>
      </c>
      <c r="F642" s="353">
        <v>7</v>
      </c>
      <c r="G642" s="353">
        <v>17</v>
      </c>
      <c r="H642" s="353">
        <v>41</v>
      </c>
      <c r="I642" s="353">
        <v>97</v>
      </c>
      <c r="J642" s="353">
        <v>14.6</v>
      </c>
      <c r="K642" s="353">
        <v>0.67</v>
      </c>
      <c r="L642" s="353">
        <v>1.64</v>
      </c>
      <c r="M642" s="353">
        <v>12.2</v>
      </c>
      <c r="N642" s="353">
        <v>1</v>
      </c>
      <c r="O642" s="353" t="s">
        <v>203</v>
      </c>
      <c r="P642" s="353">
        <v>2017</v>
      </c>
      <c r="Q642" t="s">
        <v>68</v>
      </c>
      <c r="R642" t="s">
        <v>1742</v>
      </c>
      <c r="S642" s="378" t="s">
        <v>287</v>
      </c>
      <c r="T642" s="378" t="s">
        <v>289</v>
      </c>
      <c r="U642" s="377" t="s">
        <v>162</v>
      </c>
    </row>
    <row r="643" spans="1:21" x14ac:dyDescent="0.2">
      <c r="A643" s="353">
        <v>848770</v>
      </c>
      <c r="B643" s="340" t="s">
        <v>920</v>
      </c>
      <c r="C643" s="353">
        <v>16</v>
      </c>
      <c r="D643" s="353">
        <v>4</v>
      </c>
      <c r="E643" s="353">
        <v>8</v>
      </c>
      <c r="F643" s="353">
        <v>7</v>
      </c>
      <c r="G643" s="353">
        <v>19</v>
      </c>
      <c r="H643" s="353">
        <v>40</v>
      </c>
      <c r="I643" s="353">
        <v>97</v>
      </c>
      <c r="J643" s="353">
        <v>14.5</v>
      </c>
      <c r="K643" s="353">
        <v>0.67</v>
      </c>
      <c r="L643" s="353">
        <v>1.64</v>
      </c>
      <c r="M643" s="353">
        <v>14</v>
      </c>
      <c r="N643" s="353">
        <v>0.9</v>
      </c>
      <c r="O643" s="353" t="s">
        <v>203</v>
      </c>
      <c r="P643" s="353">
        <v>2000</v>
      </c>
      <c r="Q643" t="s">
        <v>68</v>
      </c>
      <c r="R643" t="s">
        <v>1536</v>
      </c>
      <c r="S643" s="378" t="s">
        <v>773</v>
      </c>
      <c r="T643" s="378" t="s">
        <v>215</v>
      </c>
    </row>
    <row r="644" spans="1:21" x14ac:dyDescent="0.2">
      <c r="A644" s="353">
        <v>899773</v>
      </c>
      <c r="B644" s="340" t="s">
        <v>1063</v>
      </c>
      <c r="C644" s="353">
        <v>14</v>
      </c>
      <c r="D644" s="353">
        <v>5</v>
      </c>
      <c r="E644" s="353">
        <v>7</v>
      </c>
      <c r="F644" s="353">
        <v>5</v>
      </c>
      <c r="G644" s="353">
        <v>18</v>
      </c>
      <c r="H644" s="353">
        <v>36</v>
      </c>
      <c r="I644" s="353">
        <v>88</v>
      </c>
      <c r="J644" s="353">
        <v>13.5</v>
      </c>
      <c r="K644" s="353">
        <v>0.67</v>
      </c>
      <c r="L644" s="353">
        <v>1.64</v>
      </c>
      <c r="M644" s="353">
        <v>13.2</v>
      </c>
      <c r="N644" s="353">
        <v>0.9</v>
      </c>
      <c r="O644" s="353" t="s">
        <v>203</v>
      </c>
      <c r="P644" s="353">
        <v>2001</v>
      </c>
      <c r="Q644" t="s">
        <v>68</v>
      </c>
      <c r="R644" t="s">
        <v>1455</v>
      </c>
      <c r="S644" s="378" t="s">
        <v>773</v>
      </c>
      <c r="T644" s="378" t="s">
        <v>215</v>
      </c>
    </row>
    <row r="645" spans="1:21" x14ac:dyDescent="0.2">
      <c r="A645" s="353">
        <v>261859</v>
      </c>
      <c r="B645" s="340" t="s">
        <v>550</v>
      </c>
      <c r="C645" s="353">
        <v>4</v>
      </c>
      <c r="D645" s="353">
        <v>2</v>
      </c>
      <c r="E645" s="353">
        <v>5</v>
      </c>
      <c r="F645" s="353">
        <v>3</v>
      </c>
      <c r="G645" s="353">
        <v>8</v>
      </c>
      <c r="H645" s="353">
        <v>26</v>
      </c>
      <c r="I645" s="353">
        <v>77</v>
      </c>
      <c r="J645" s="353">
        <v>12.1</v>
      </c>
      <c r="K645" s="353">
        <v>0.67</v>
      </c>
      <c r="L645" s="353">
        <v>1.63</v>
      </c>
      <c r="M645" s="353">
        <v>14.5</v>
      </c>
      <c r="N645" s="353">
        <v>0.6</v>
      </c>
      <c r="O645" s="353" t="s">
        <v>153</v>
      </c>
      <c r="P645" s="353">
        <v>2012</v>
      </c>
      <c r="Q645" t="s">
        <v>154</v>
      </c>
      <c r="R645" t="s">
        <v>1953</v>
      </c>
      <c r="S645" s="378" t="s">
        <v>399</v>
      </c>
      <c r="T645" s="378" t="s">
        <v>1047</v>
      </c>
    </row>
    <row r="646" spans="1:21" x14ac:dyDescent="0.2">
      <c r="A646" s="353">
        <v>707638</v>
      </c>
      <c r="B646" s="340" t="s">
        <v>830</v>
      </c>
      <c r="C646" s="353">
        <v>11</v>
      </c>
      <c r="D646" s="353">
        <v>3</v>
      </c>
      <c r="E646" s="353">
        <v>5</v>
      </c>
      <c r="F646" s="353">
        <v>4</v>
      </c>
      <c r="G646" s="353">
        <v>16</v>
      </c>
      <c r="H646" s="353">
        <v>29</v>
      </c>
      <c r="I646" s="353">
        <v>74</v>
      </c>
      <c r="J646" s="353">
        <v>11.7</v>
      </c>
      <c r="K646" s="353">
        <v>0.67</v>
      </c>
      <c r="L646" s="353">
        <v>1.9</v>
      </c>
      <c r="M646" s="353">
        <v>14.1</v>
      </c>
      <c r="N646" s="353">
        <v>0.7</v>
      </c>
      <c r="O646" s="353" t="s">
        <v>203</v>
      </c>
      <c r="P646" s="353">
        <v>2011</v>
      </c>
      <c r="Q646" t="s">
        <v>68</v>
      </c>
      <c r="R646" t="s">
        <v>1671</v>
      </c>
      <c r="S646" s="378" t="s">
        <v>749</v>
      </c>
      <c r="T646" s="378" t="s">
        <v>215</v>
      </c>
    </row>
    <row r="647" spans="1:21" x14ac:dyDescent="0.2">
      <c r="A647" s="353">
        <v>800664</v>
      </c>
      <c r="B647" s="340" t="s">
        <v>558</v>
      </c>
      <c r="C647" s="353">
        <v>-3</v>
      </c>
      <c r="D647" s="353">
        <v>3</v>
      </c>
      <c r="E647" s="353">
        <v>2</v>
      </c>
      <c r="F647" s="353">
        <v>-4</v>
      </c>
      <c r="G647" s="353">
        <v>-2</v>
      </c>
      <c r="H647" s="353">
        <v>20</v>
      </c>
      <c r="I647" s="353">
        <v>58</v>
      </c>
      <c r="J647" s="353">
        <v>9.6</v>
      </c>
      <c r="K647" s="353">
        <v>0.67</v>
      </c>
      <c r="L647" s="353">
        <v>1.63</v>
      </c>
      <c r="M647" s="353">
        <v>13.7</v>
      </c>
      <c r="N647" s="353">
        <v>0.5</v>
      </c>
      <c r="O647" s="353" t="s">
        <v>407</v>
      </c>
      <c r="P647" s="353">
        <v>2007</v>
      </c>
      <c r="Q647" t="s">
        <v>68</v>
      </c>
      <c r="R647" t="s">
        <v>1557</v>
      </c>
      <c r="S647" s="378" t="s">
        <v>547</v>
      </c>
      <c r="T647" s="378" t="s">
        <v>1049</v>
      </c>
    </row>
    <row r="648" spans="1:21" x14ac:dyDescent="0.2">
      <c r="A648" s="353">
        <v>899120</v>
      </c>
      <c r="B648" s="340" t="s">
        <v>548</v>
      </c>
      <c r="C648" s="353">
        <v>-1</v>
      </c>
      <c r="D648" s="353">
        <v>2</v>
      </c>
      <c r="E648" s="353">
        <v>4</v>
      </c>
      <c r="F648" s="353">
        <v>3</v>
      </c>
      <c r="G648" s="353">
        <v>3</v>
      </c>
      <c r="H648" s="353">
        <v>3</v>
      </c>
      <c r="I648" s="353">
        <v>-7</v>
      </c>
      <c r="J648" s="353">
        <v>-1.5</v>
      </c>
      <c r="K648" s="353">
        <v>0.67</v>
      </c>
      <c r="L648" s="353">
        <v>1.63</v>
      </c>
      <c r="M648" s="353">
        <v>23</v>
      </c>
      <c r="N648" s="353">
        <v>0.2</v>
      </c>
      <c r="O648" s="353" t="s">
        <v>407</v>
      </c>
      <c r="P648" s="353">
        <v>2003</v>
      </c>
      <c r="Q648" t="s">
        <v>68</v>
      </c>
      <c r="R648" t="s">
        <v>1558</v>
      </c>
      <c r="S648" s="378" t="s">
        <v>547</v>
      </c>
      <c r="T648" s="378" t="s">
        <v>1045</v>
      </c>
    </row>
    <row r="649" spans="1:21" x14ac:dyDescent="0.2">
      <c r="A649" s="353">
        <v>167643</v>
      </c>
      <c r="B649" s="340" t="s">
        <v>902</v>
      </c>
      <c r="C649" s="353">
        <v>8</v>
      </c>
      <c r="D649" s="353">
        <v>1</v>
      </c>
      <c r="E649" s="353">
        <v>2</v>
      </c>
      <c r="F649" s="353">
        <v>-1</v>
      </c>
      <c r="G649" s="353">
        <v>15</v>
      </c>
      <c r="H649" s="353"/>
      <c r="I649" s="353"/>
      <c r="J649" s="353"/>
      <c r="K649" s="353">
        <v>0.67</v>
      </c>
      <c r="L649" s="353">
        <v>1.62</v>
      </c>
      <c r="M649" s="353"/>
      <c r="N649" s="353"/>
      <c r="O649" s="353" t="s">
        <v>153</v>
      </c>
      <c r="P649" s="353">
        <v>2015</v>
      </c>
      <c r="Q649" t="s">
        <v>68</v>
      </c>
      <c r="R649" t="s">
        <v>1220</v>
      </c>
      <c r="S649" s="378" t="s">
        <v>908</v>
      </c>
      <c r="T649" s="378" t="s">
        <v>181</v>
      </c>
      <c r="U649" s="377" t="s">
        <v>162</v>
      </c>
    </row>
    <row r="650" spans="1:21" x14ac:dyDescent="0.2">
      <c r="A650" s="353">
        <v>188300</v>
      </c>
      <c r="B650" s="340" t="s">
        <v>817</v>
      </c>
      <c r="C650" s="353">
        <v>11</v>
      </c>
      <c r="D650" s="353">
        <v>3</v>
      </c>
      <c r="E650" s="353">
        <v>5</v>
      </c>
      <c r="F650" s="353">
        <v>1</v>
      </c>
      <c r="G650" s="353">
        <v>9</v>
      </c>
      <c r="H650" s="353"/>
      <c r="I650" s="353"/>
      <c r="J650" s="353"/>
      <c r="K650" s="353">
        <v>0.67</v>
      </c>
      <c r="L650" s="353">
        <v>1.71</v>
      </c>
      <c r="M650" s="353"/>
      <c r="N650" s="353"/>
      <c r="O650" s="353" t="s">
        <v>153</v>
      </c>
      <c r="P650" s="353">
        <v>2015</v>
      </c>
      <c r="Q650" t="s">
        <v>154</v>
      </c>
      <c r="R650" t="s">
        <v>1345</v>
      </c>
      <c r="S650" s="378" t="s">
        <v>184</v>
      </c>
      <c r="T650" s="378" t="s">
        <v>215</v>
      </c>
      <c r="U650" s="377" t="s">
        <v>162</v>
      </c>
    </row>
    <row r="651" spans="1:21" x14ac:dyDescent="0.2">
      <c r="A651" s="353">
        <v>652628</v>
      </c>
      <c r="B651" s="340" t="s">
        <v>838</v>
      </c>
      <c r="C651" s="353">
        <v>18</v>
      </c>
      <c r="D651" s="353">
        <v>8</v>
      </c>
      <c r="E651" s="353">
        <v>12</v>
      </c>
      <c r="F651" s="353">
        <v>11</v>
      </c>
      <c r="G651" s="353">
        <v>18</v>
      </c>
      <c r="H651" s="353">
        <v>69</v>
      </c>
      <c r="I651" s="353">
        <v>130</v>
      </c>
      <c r="J651" s="353">
        <v>18.100000000000001</v>
      </c>
      <c r="K651" s="353">
        <v>0.68</v>
      </c>
      <c r="L651" s="353">
        <v>1.65</v>
      </c>
      <c r="M651" s="353">
        <v>14.8</v>
      </c>
      <c r="N651" s="353">
        <v>1.3</v>
      </c>
      <c r="O651" s="353" t="s">
        <v>492</v>
      </c>
      <c r="P651" s="353">
        <v>2000</v>
      </c>
      <c r="Q651" t="s">
        <v>68</v>
      </c>
      <c r="R651" t="s">
        <v>1847</v>
      </c>
      <c r="S651" s="378" t="s">
        <v>493</v>
      </c>
      <c r="T651" s="378" t="s">
        <v>201</v>
      </c>
    </row>
    <row r="652" spans="1:21" x14ac:dyDescent="0.2">
      <c r="A652" s="353">
        <v>245381</v>
      </c>
      <c r="B652" s="340" t="s">
        <v>1091</v>
      </c>
      <c r="C652" s="353">
        <v>10</v>
      </c>
      <c r="D652" s="353">
        <v>5</v>
      </c>
      <c r="E652" s="353">
        <v>5</v>
      </c>
      <c r="F652" s="353">
        <v>4</v>
      </c>
      <c r="G652" s="353">
        <v>8</v>
      </c>
      <c r="H652" s="353">
        <v>34</v>
      </c>
      <c r="I652" s="353">
        <v>76</v>
      </c>
      <c r="J652" s="353">
        <v>12</v>
      </c>
      <c r="K652" s="353">
        <v>0.68</v>
      </c>
      <c r="L652" s="353">
        <v>1.66</v>
      </c>
      <c r="M652" s="353">
        <v>15</v>
      </c>
      <c r="N652" s="353">
        <v>0.7</v>
      </c>
      <c r="O652" s="353" t="s">
        <v>344</v>
      </c>
      <c r="P652" s="353">
        <v>2015</v>
      </c>
      <c r="Q652" t="s">
        <v>68</v>
      </c>
      <c r="R652" t="s">
        <v>1484</v>
      </c>
      <c r="S652" s="378" t="s">
        <v>493</v>
      </c>
      <c r="T652" s="378" t="s">
        <v>1048</v>
      </c>
    </row>
    <row r="653" spans="1:21" x14ac:dyDescent="0.2">
      <c r="A653" s="353">
        <v>865063</v>
      </c>
      <c r="B653" s="340" t="s">
        <v>593</v>
      </c>
      <c r="C653" s="353">
        <v>15</v>
      </c>
      <c r="D653" s="353">
        <v>4</v>
      </c>
      <c r="E653" s="353">
        <v>6</v>
      </c>
      <c r="F653" s="353">
        <v>4</v>
      </c>
      <c r="G653" s="353">
        <v>16</v>
      </c>
      <c r="H653" s="353">
        <v>31</v>
      </c>
      <c r="I653" s="353">
        <v>71</v>
      </c>
      <c r="J653" s="353">
        <v>11.4</v>
      </c>
      <c r="K653" s="353">
        <v>0.68</v>
      </c>
      <c r="L653" s="353">
        <v>1.86</v>
      </c>
      <c r="M653" s="353">
        <v>13.7</v>
      </c>
      <c r="N653" s="353">
        <v>0.8</v>
      </c>
      <c r="O653" s="353" t="s">
        <v>203</v>
      </c>
      <c r="P653" s="353">
        <v>2006</v>
      </c>
      <c r="Q653" t="s">
        <v>68</v>
      </c>
      <c r="R653" t="s">
        <v>1933</v>
      </c>
      <c r="S653" s="378" t="s">
        <v>408</v>
      </c>
      <c r="T653" s="378" t="s">
        <v>215</v>
      </c>
    </row>
    <row r="654" spans="1:21" x14ac:dyDescent="0.2">
      <c r="A654" s="353">
        <v>819029</v>
      </c>
      <c r="B654" s="340" t="s">
        <v>2035</v>
      </c>
      <c r="C654" s="353">
        <v>26</v>
      </c>
      <c r="D654" s="353">
        <v>7</v>
      </c>
      <c r="E654" s="353">
        <v>10</v>
      </c>
      <c r="F654" s="353">
        <v>13</v>
      </c>
      <c r="G654" s="353">
        <v>19</v>
      </c>
      <c r="H654" s="353">
        <v>32</v>
      </c>
      <c r="I654" s="353">
        <v>61</v>
      </c>
      <c r="J654" s="353">
        <v>10</v>
      </c>
      <c r="K654" s="353">
        <v>0.68</v>
      </c>
      <c r="L654" s="353">
        <v>1.99</v>
      </c>
      <c r="M654" s="353">
        <v>15.3</v>
      </c>
      <c r="N654" s="353">
        <v>0.7</v>
      </c>
      <c r="O654" s="353" t="s">
        <v>153</v>
      </c>
      <c r="P654" s="353">
        <v>2000</v>
      </c>
      <c r="Q654" t="s">
        <v>68</v>
      </c>
      <c r="R654" t="s">
        <v>1397</v>
      </c>
      <c r="S654" s="378" t="s">
        <v>224</v>
      </c>
      <c r="T654" s="378" t="s">
        <v>295</v>
      </c>
      <c r="U654" s="377" t="s">
        <v>162</v>
      </c>
    </row>
    <row r="655" spans="1:21" x14ac:dyDescent="0.2">
      <c r="A655" s="353">
        <v>262741</v>
      </c>
      <c r="B655" s="340" t="s">
        <v>576</v>
      </c>
      <c r="C655" s="353">
        <v>3</v>
      </c>
      <c r="D655" s="353">
        <v>4</v>
      </c>
      <c r="E655" s="353">
        <v>12</v>
      </c>
      <c r="F655" s="353">
        <v>5</v>
      </c>
      <c r="G655" s="353">
        <v>10</v>
      </c>
      <c r="H655" s="353">
        <v>14</v>
      </c>
      <c r="I655" s="353">
        <v>10</v>
      </c>
      <c r="J655" s="353">
        <v>1.9</v>
      </c>
      <c r="K655" s="353">
        <v>0.68</v>
      </c>
      <c r="L655" s="353">
        <v>2.0099999999999998</v>
      </c>
      <c r="M655" s="353">
        <v>16.8</v>
      </c>
      <c r="N655" s="353">
        <v>0.3</v>
      </c>
      <c r="O655" s="353" t="s">
        <v>344</v>
      </c>
      <c r="P655" s="353">
        <v>2000</v>
      </c>
      <c r="Q655" t="s">
        <v>68</v>
      </c>
      <c r="R655" t="s">
        <v>1794</v>
      </c>
      <c r="S655" s="378" t="s">
        <v>425</v>
      </c>
      <c r="T655" s="378" t="s">
        <v>1045</v>
      </c>
    </row>
    <row r="656" spans="1:21" x14ac:dyDescent="0.2">
      <c r="A656" s="353">
        <v>589101</v>
      </c>
      <c r="B656" s="340" t="s">
        <v>864</v>
      </c>
      <c r="C656" s="353">
        <v>11</v>
      </c>
      <c r="D656" s="353">
        <v>0</v>
      </c>
      <c r="E656" s="353">
        <v>2</v>
      </c>
      <c r="F656" s="353">
        <v>1</v>
      </c>
      <c r="G656" s="353">
        <v>16</v>
      </c>
      <c r="H656" s="353"/>
      <c r="I656" s="353"/>
      <c r="J656" s="353"/>
      <c r="K656" s="353">
        <v>0.68</v>
      </c>
      <c r="L656" s="353">
        <v>1.67</v>
      </c>
      <c r="M656" s="353"/>
      <c r="N656" s="353"/>
      <c r="O656" s="353" t="s">
        <v>153</v>
      </c>
      <c r="P656" s="353">
        <v>2015</v>
      </c>
      <c r="Q656" t="s">
        <v>154</v>
      </c>
      <c r="R656" t="s">
        <v>1170</v>
      </c>
      <c r="S656" s="378" t="s">
        <v>237</v>
      </c>
      <c r="T656" s="378" t="s">
        <v>258</v>
      </c>
      <c r="U656" s="377" t="s">
        <v>162</v>
      </c>
    </row>
    <row r="657" spans="1:21" x14ac:dyDescent="0.2">
      <c r="A657" s="353">
        <v>426304</v>
      </c>
      <c r="B657" s="340" t="s">
        <v>1116</v>
      </c>
      <c r="C657" s="353"/>
      <c r="D657" s="353">
        <v>7</v>
      </c>
      <c r="E657" s="353">
        <v>10</v>
      </c>
      <c r="F657" s="353"/>
      <c r="G657" s="353"/>
      <c r="H657" s="353"/>
      <c r="I657" s="353"/>
      <c r="J657" s="353"/>
      <c r="K657" s="353">
        <v>0.68</v>
      </c>
      <c r="L657" s="353">
        <v>2</v>
      </c>
      <c r="M657" s="353"/>
      <c r="N657" s="353"/>
      <c r="O657" s="353" t="s">
        <v>203</v>
      </c>
      <c r="P657" s="353">
        <v>2017</v>
      </c>
      <c r="Q657" t="s">
        <v>68</v>
      </c>
      <c r="R657" t="s">
        <v>1939</v>
      </c>
      <c r="S657" s="378" t="s">
        <v>608</v>
      </c>
      <c r="T657" s="378" t="s">
        <v>295</v>
      </c>
      <c r="U657" s="377" t="s">
        <v>162</v>
      </c>
    </row>
    <row r="658" spans="1:21" x14ac:dyDescent="0.2">
      <c r="A658" s="353">
        <v>275495</v>
      </c>
      <c r="B658" s="340" t="s">
        <v>819</v>
      </c>
      <c r="C658" s="353">
        <v>12</v>
      </c>
      <c r="D658" s="353">
        <v>9</v>
      </c>
      <c r="E658" s="353">
        <v>10</v>
      </c>
      <c r="F658" s="353">
        <v>8</v>
      </c>
      <c r="G658" s="353">
        <v>12</v>
      </c>
      <c r="H658" s="353">
        <v>43</v>
      </c>
      <c r="I658" s="353">
        <v>108</v>
      </c>
      <c r="J658" s="353">
        <v>15.8</v>
      </c>
      <c r="K658" s="353">
        <v>0.69</v>
      </c>
      <c r="L658" s="353">
        <v>1.8</v>
      </c>
      <c r="M658" s="353">
        <v>15.8</v>
      </c>
      <c r="N658" s="353">
        <v>0.8</v>
      </c>
      <c r="O658" s="353" t="s">
        <v>492</v>
      </c>
      <c r="P658" s="353">
        <v>2000</v>
      </c>
      <c r="Q658" t="s">
        <v>68</v>
      </c>
      <c r="R658" t="s">
        <v>1851</v>
      </c>
      <c r="S658" s="378" t="s">
        <v>563</v>
      </c>
      <c r="T658" s="378" t="s">
        <v>201</v>
      </c>
    </row>
    <row r="659" spans="1:21" x14ac:dyDescent="0.2">
      <c r="A659" s="353">
        <v>634386</v>
      </c>
      <c r="B659" s="340" t="s">
        <v>587</v>
      </c>
      <c r="C659" s="353">
        <v>7</v>
      </c>
      <c r="D659" s="353">
        <v>1</v>
      </c>
      <c r="E659" s="353">
        <v>1</v>
      </c>
      <c r="F659" s="353">
        <v>-2</v>
      </c>
      <c r="G659" s="353">
        <v>10</v>
      </c>
      <c r="H659" s="353">
        <v>42</v>
      </c>
      <c r="I659" s="353">
        <v>109</v>
      </c>
      <c r="J659" s="353">
        <v>15.8</v>
      </c>
      <c r="K659" s="353">
        <v>0.69</v>
      </c>
      <c r="L659" s="353">
        <v>2</v>
      </c>
      <c r="M659" s="353">
        <v>13.1</v>
      </c>
      <c r="N659" s="353">
        <v>1</v>
      </c>
      <c r="O659" s="353" t="s">
        <v>293</v>
      </c>
      <c r="P659" s="353">
        <v>2002</v>
      </c>
      <c r="Q659" t="s">
        <v>68</v>
      </c>
      <c r="R659" t="s">
        <v>1894</v>
      </c>
      <c r="S659" s="378" t="s">
        <v>584</v>
      </c>
      <c r="T659" s="378" t="s">
        <v>298</v>
      </c>
    </row>
    <row r="660" spans="1:21" x14ac:dyDescent="0.2">
      <c r="A660" s="353">
        <v>233585</v>
      </c>
      <c r="B660" s="340" t="s">
        <v>818</v>
      </c>
      <c r="C660" s="353">
        <v>38</v>
      </c>
      <c r="D660" s="353">
        <v>10</v>
      </c>
      <c r="E660" s="353">
        <v>15</v>
      </c>
      <c r="F660" s="353">
        <v>21</v>
      </c>
      <c r="G660" s="353">
        <v>29</v>
      </c>
      <c r="H660" s="353">
        <v>59</v>
      </c>
      <c r="I660" s="353">
        <v>107</v>
      </c>
      <c r="J660" s="353">
        <v>15.7</v>
      </c>
      <c r="K660" s="353">
        <v>0.69</v>
      </c>
      <c r="L660" s="353">
        <v>1.8</v>
      </c>
      <c r="M660" s="353">
        <v>20.3</v>
      </c>
      <c r="N660" s="353">
        <v>0.9</v>
      </c>
      <c r="O660" s="353" t="s">
        <v>344</v>
      </c>
      <c r="P660" s="353">
        <v>2000</v>
      </c>
      <c r="Q660" t="s">
        <v>68</v>
      </c>
      <c r="R660" t="s">
        <v>1263</v>
      </c>
      <c r="S660" s="378" t="s">
        <v>563</v>
      </c>
      <c r="T660" s="378" t="s">
        <v>342</v>
      </c>
    </row>
    <row r="661" spans="1:21" x14ac:dyDescent="0.2">
      <c r="A661" s="353">
        <v>598557</v>
      </c>
      <c r="B661" s="340" t="s">
        <v>589</v>
      </c>
      <c r="C661" s="353">
        <v>10</v>
      </c>
      <c r="D661" s="353">
        <v>4</v>
      </c>
      <c r="E661" s="353">
        <v>8</v>
      </c>
      <c r="F661" s="353">
        <v>4</v>
      </c>
      <c r="G661" s="353">
        <v>13</v>
      </c>
      <c r="H661" s="353">
        <v>48</v>
      </c>
      <c r="I661" s="353">
        <v>104</v>
      </c>
      <c r="J661" s="353">
        <v>15.3</v>
      </c>
      <c r="K661" s="353">
        <v>0.69</v>
      </c>
      <c r="L661" s="353">
        <v>2</v>
      </c>
      <c r="M661" s="353">
        <v>13</v>
      </c>
      <c r="N661" s="353">
        <v>1.1000000000000001</v>
      </c>
      <c r="O661" s="353" t="s">
        <v>293</v>
      </c>
      <c r="P661" s="353">
        <v>2002</v>
      </c>
      <c r="Q661" t="s">
        <v>68</v>
      </c>
      <c r="R661" t="s">
        <v>1865</v>
      </c>
      <c r="S661" s="378" t="s">
        <v>584</v>
      </c>
      <c r="T661" s="378" t="s">
        <v>318</v>
      </c>
    </row>
    <row r="662" spans="1:21" x14ac:dyDescent="0.2">
      <c r="A662" s="353">
        <v>280867</v>
      </c>
      <c r="B662" s="340" t="s">
        <v>586</v>
      </c>
      <c r="C662" s="353">
        <v>21</v>
      </c>
      <c r="D662" s="353">
        <v>4</v>
      </c>
      <c r="E662" s="353">
        <v>8</v>
      </c>
      <c r="F662" s="353">
        <v>3</v>
      </c>
      <c r="G662" s="353">
        <v>22</v>
      </c>
      <c r="H662" s="353">
        <v>38</v>
      </c>
      <c r="I662" s="353">
        <v>93</v>
      </c>
      <c r="J662" s="353">
        <v>14.1</v>
      </c>
      <c r="K662" s="353">
        <v>0.69</v>
      </c>
      <c r="L662" s="353">
        <v>2</v>
      </c>
      <c r="M662" s="353">
        <v>14</v>
      </c>
      <c r="N662" s="353">
        <v>0.8</v>
      </c>
      <c r="O662" s="353" t="s">
        <v>293</v>
      </c>
      <c r="P662" s="353">
        <v>2006</v>
      </c>
      <c r="Q662" t="s">
        <v>68</v>
      </c>
      <c r="R662" t="s">
        <v>1869</v>
      </c>
      <c r="S662" s="378" t="s">
        <v>584</v>
      </c>
      <c r="T662" s="378" t="s">
        <v>215</v>
      </c>
    </row>
    <row r="663" spans="1:21" x14ac:dyDescent="0.2">
      <c r="A663" s="353">
        <v>305243</v>
      </c>
      <c r="B663" s="340" t="s">
        <v>820</v>
      </c>
      <c r="C663" s="353">
        <v>23</v>
      </c>
      <c r="D663" s="353">
        <v>5</v>
      </c>
      <c r="E663" s="353">
        <v>7</v>
      </c>
      <c r="F663" s="353">
        <v>9</v>
      </c>
      <c r="G663" s="353">
        <v>17</v>
      </c>
      <c r="H663" s="353">
        <v>36</v>
      </c>
      <c r="I663" s="353">
        <v>60</v>
      </c>
      <c r="J663" s="353">
        <v>9.8000000000000007</v>
      </c>
      <c r="K663" s="353">
        <v>0.69</v>
      </c>
      <c r="L663" s="353">
        <v>1.8</v>
      </c>
      <c r="M663" s="353">
        <v>15.2</v>
      </c>
      <c r="N663" s="353">
        <v>0.8</v>
      </c>
      <c r="O663" s="353" t="s">
        <v>344</v>
      </c>
      <c r="P663" s="353">
        <v>2000</v>
      </c>
      <c r="Q663" t="s">
        <v>68</v>
      </c>
      <c r="R663" t="s">
        <v>1544</v>
      </c>
      <c r="S663" s="378" t="s">
        <v>563</v>
      </c>
      <c r="T663" s="378" t="s">
        <v>295</v>
      </c>
    </row>
    <row r="664" spans="1:21" x14ac:dyDescent="0.2">
      <c r="A664" s="353">
        <v>526590</v>
      </c>
      <c r="B664" s="340" t="s">
        <v>893</v>
      </c>
      <c r="C664" s="353">
        <v>-7</v>
      </c>
      <c r="D664" s="353">
        <v>4</v>
      </c>
      <c r="E664" s="353">
        <v>7</v>
      </c>
      <c r="F664" s="353">
        <v>-2</v>
      </c>
      <c r="G664" s="353">
        <v>1</v>
      </c>
      <c r="H664" s="353">
        <v>-29</v>
      </c>
      <c r="I664" s="353">
        <v>-25</v>
      </c>
      <c r="J664" s="353">
        <v>-5.6</v>
      </c>
      <c r="K664" s="353">
        <v>0.69</v>
      </c>
      <c r="L664" s="353">
        <v>2</v>
      </c>
      <c r="M664" s="353">
        <v>18.899999999999999</v>
      </c>
      <c r="N664" s="353">
        <v>-0.5</v>
      </c>
      <c r="O664" s="353" t="s">
        <v>293</v>
      </c>
      <c r="P664" s="353">
        <v>2013</v>
      </c>
      <c r="Q664" t="s">
        <v>68</v>
      </c>
      <c r="R664" t="s">
        <v>1454</v>
      </c>
      <c r="S664" s="378" t="s">
        <v>584</v>
      </c>
      <c r="T664" s="378" t="s">
        <v>1045</v>
      </c>
    </row>
    <row r="665" spans="1:21" x14ac:dyDescent="0.2">
      <c r="A665" s="353">
        <v>338590</v>
      </c>
      <c r="B665" s="340" t="s">
        <v>802</v>
      </c>
      <c r="C665" s="353">
        <v>-8</v>
      </c>
      <c r="D665" s="353">
        <v>0</v>
      </c>
      <c r="E665" s="353">
        <v>0</v>
      </c>
      <c r="F665" s="353">
        <v>-8</v>
      </c>
      <c r="G665" s="353">
        <v>-16</v>
      </c>
      <c r="H665" s="353">
        <v>41</v>
      </c>
      <c r="I665" s="353">
        <v>-33</v>
      </c>
      <c r="J665" s="353">
        <v>-7.8</v>
      </c>
      <c r="K665" s="353">
        <v>0.69</v>
      </c>
      <c r="L665" s="353">
        <v>2.0499999999999998</v>
      </c>
      <c r="M665" s="353">
        <v>34</v>
      </c>
      <c r="N665" s="353">
        <v>0.5</v>
      </c>
      <c r="O665" s="353" t="s">
        <v>344</v>
      </c>
      <c r="P665" s="353">
        <v>2004</v>
      </c>
      <c r="Q665" t="s">
        <v>68</v>
      </c>
      <c r="R665" t="s">
        <v>1692</v>
      </c>
      <c r="S665" s="378" t="s">
        <v>540</v>
      </c>
      <c r="T665" s="378" t="s">
        <v>1045</v>
      </c>
    </row>
    <row r="666" spans="1:21" x14ac:dyDescent="0.2">
      <c r="A666" s="353">
        <v>908806</v>
      </c>
      <c r="B666" s="340" t="s">
        <v>616</v>
      </c>
      <c r="C666" s="353">
        <v>33</v>
      </c>
      <c r="D666" s="353">
        <v>6</v>
      </c>
      <c r="E666" s="353">
        <v>11</v>
      </c>
      <c r="F666" s="353">
        <v>17</v>
      </c>
      <c r="G666" s="353">
        <v>27</v>
      </c>
      <c r="H666" s="353">
        <v>82</v>
      </c>
      <c r="I666" s="353">
        <v>166</v>
      </c>
      <c r="J666" s="353">
        <v>21.7</v>
      </c>
      <c r="K666" s="353">
        <v>0.7</v>
      </c>
      <c r="L666" s="353">
        <v>2.39</v>
      </c>
      <c r="M666" s="353">
        <v>19.5</v>
      </c>
      <c r="N666" s="353">
        <v>1.1000000000000001</v>
      </c>
      <c r="O666" s="353" t="s">
        <v>344</v>
      </c>
      <c r="P666" s="353">
        <v>2005</v>
      </c>
      <c r="Q666" t="s">
        <v>68</v>
      </c>
      <c r="R666" t="s">
        <v>1196</v>
      </c>
      <c r="S666" s="378" t="s">
        <v>751</v>
      </c>
      <c r="T666" s="378" t="s">
        <v>342</v>
      </c>
    </row>
    <row r="667" spans="1:21" x14ac:dyDescent="0.2">
      <c r="A667" s="353">
        <v>174490</v>
      </c>
      <c r="B667" s="340" t="s">
        <v>605</v>
      </c>
      <c r="C667" s="353">
        <v>12</v>
      </c>
      <c r="D667" s="353">
        <v>9</v>
      </c>
      <c r="E667" s="353">
        <v>10</v>
      </c>
      <c r="F667" s="353">
        <v>8</v>
      </c>
      <c r="G667" s="353">
        <v>10</v>
      </c>
      <c r="H667" s="353">
        <v>58</v>
      </c>
      <c r="I667" s="353">
        <v>111</v>
      </c>
      <c r="J667" s="353">
        <v>16.100000000000001</v>
      </c>
      <c r="K667" s="353">
        <v>0.7</v>
      </c>
      <c r="L667" s="353">
        <v>2</v>
      </c>
      <c r="M667" s="353">
        <v>15.7</v>
      </c>
      <c r="N667" s="353">
        <v>1.1000000000000001</v>
      </c>
      <c r="O667" s="353" t="s">
        <v>492</v>
      </c>
      <c r="P667" s="353">
        <v>2009</v>
      </c>
      <c r="Q667" t="s">
        <v>68</v>
      </c>
      <c r="R667" t="s">
        <v>1849</v>
      </c>
      <c r="S667" s="378" t="s">
        <v>749</v>
      </c>
      <c r="T667" s="378" t="s">
        <v>201</v>
      </c>
    </row>
    <row r="668" spans="1:21" x14ac:dyDescent="0.2">
      <c r="A668" s="353">
        <v>553578</v>
      </c>
      <c r="B668" s="340" t="s">
        <v>801</v>
      </c>
      <c r="C668" s="353">
        <v>15</v>
      </c>
      <c r="D668" s="353">
        <v>5</v>
      </c>
      <c r="E668" s="353">
        <v>7</v>
      </c>
      <c r="F668" s="353">
        <v>5</v>
      </c>
      <c r="G668" s="353">
        <v>15</v>
      </c>
      <c r="H668" s="353">
        <v>38</v>
      </c>
      <c r="I668" s="353">
        <v>98</v>
      </c>
      <c r="J668" s="353">
        <v>14.6</v>
      </c>
      <c r="K668" s="353">
        <v>0.7</v>
      </c>
      <c r="L668" s="353">
        <v>2.06</v>
      </c>
      <c r="M668" s="353">
        <v>13.9</v>
      </c>
      <c r="N668" s="353">
        <v>0.9</v>
      </c>
      <c r="O668" s="353" t="s">
        <v>344</v>
      </c>
      <c r="P668" s="353">
        <v>2004</v>
      </c>
      <c r="Q668" t="s">
        <v>68</v>
      </c>
      <c r="R668" t="s">
        <v>1687</v>
      </c>
      <c r="S668" s="378" t="s">
        <v>540</v>
      </c>
      <c r="T668" s="378" t="s">
        <v>1045</v>
      </c>
    </row>
    <row r="669" spans="1:21" x14ac:dyDescent="0.2">
      <c r="A669" s="353">
        <v>188482</v>
      </c>
      <c r="B669" s="340" t="s">
        <v>731</v>
      </c>
      <c r="C669" s="353">
        <v>17</v>
      </c>
      <c r="D669" s="353">
        <v>4</v>
      </c>
      <c r="E669" s="353">
        <v>7</v>
      </c>
      <c r="F669" s="353">
        <v>6</v>
      </c>
      <c r="G669" s="353">
        <v>20</v>
      </c>
      <c r="H669" s="353">
        <v>37</v>
      </c>
      <c r="I669" s="353">
        <v>93</v>
      </c>
      <c r="J669" s="353">
        <v>14.1</v>
      </c>
      <c r="K669" s="353">
        <v>0.7</v>
      </c>
      <c r="L669" s="353">
        <v>1.7</v>
      </c>
      <c r="M669" s="353">
        <v>13.6</v>
      </c>
      <c r="N669" s="353">
        <v>0.9</v>
      </c>
      <c r="O669" s="353" t="s">
        <v>203</v>
      </c>
      <c r="P669" s="353">
        <v>2008</v>
      </c>
      <c r="Q669" t="s">
        <v>68</v>
      </c>
      <c r="R669" t="s">
        <v>1936</v>
      </c>
      <c r="S669" s="378" t="s">
        <v>464</v>
      </c>
      <c r="T669" s="378" t="s">
        <v>215</v>
      </c>
    </row>
    <row r="670" spans="1:21" x14ac:dyDescent="0.2">
      <c r="A670" s="353">
        <v>744581</v>
      </c>
      <c r="B670" s="340" t="s">
        <v>798</v>
      </c>
      <c r="C670" s="353">
        <v>14</v>
      </c>
      <c r="D670" s="353">
        <v>5</v>
      </c>
      <c r="E670" s="353">
        <v>3</v>
      </c>
      <c r="F670" s="353">
        <v>5</v>
      </c>
      <c r="G670" s="353">
        <v>6</v>
      </c>
      <c r="H670" s="353">
        <v>30</v>
      </c>
      <c r="I670" s="353">
        <v>75</v>
      </c>
      <c r="J670" s="353">
        <v>11.8</v>
      </c>
      <c r="K670" s="353">
        <v>0.7</v>
      </c>
      <c r="L670" s="353">
        <v>1.7</v>
      </c>
      <c r="M670" s="353">
        <v>13.7</v>
      </c>
      <c r="N670" s="353">
        <v>0.7</v>
      </c>
      <c r="O670" s="353" t="s">
        <v>203</v>
      </c>
      <c r="P670" s="353">
        <v>2015</v>
      </c>
      <c r="Q670" t="s">
        <v>68</v>
      </c>
      <c r="R670" t="s">
        <v>1817</v>
      </c>
      <c r="S670" s="378" t="s">
        <v>777</v>
      </c>
      <c r="T670" s="378" t="s">
        <v>1049</v>
      </c>
    </row>
    <row r="671" spans="1:21" x14ac:dyDescent="0.2">
      <c r="A671" s="353">
        <v>281212</v>
      </c>
      <c r="B671" s="340" t="s">
        <v>849</v>
      </c>
      <c r="C671" s="353">
        <v>21</v>
      </c>
      <c r="D671" s="353">
        <v>7</v>
      </c>
      <c r="E671" s="353">
        <v>8</v>
      </c>
      <c r="F671" s="353">
        <v>8</v>
      </c>
      <c r="G671" s="353">
        <v>17</v>
      </c>
      <c r="H671" s="353">
        <v>36</v>
      </c>
      <c r="I671" s="353">
        <v>70</v>
      </c>
      <c r="J671" s="353">
        <v>11.2</v>
      </c>
      <c r="K671" s="353">
        <v>0.7</v>
      </c>
      <c r="L671" s="353">
        <v>1.7</v>
      </c>
      <c r="M671" s="353">
        <v>14.6</v>
      </c>
      <c r="N671" s="353">
        <v>0.8</v>
      </c>
      <c r="O671" s="353" t="s">
        <v>344</v>
      </c>
      <c r="P671" s="353">
        <v>2015</v>
      </c>
      <c r="Q671" t="s">
        <v>68</v>
      </c>
      <c r="R671" t="s">
        <v>1781</v>
      </c>
      <c r="S671" s="378" t="s">
        <v>493</v>
      </c>
      <c r="T671" s="378" t="s">
        <v>1048</v>
      </c>
    </row>
    <row r="672" spans="1:21" x14ac:dyDescent="0.2">
      <c r="A672" s="353">
        <v>816249</v>
      </c>
      <c r="B672" s="340" t="s">
        <v>797</v>
      </c>
      <c r="C672" s="353">
        <v>11</v>
      </c>
      <c r="D672" s="353">
        <v>3</v>
      </c>
      <c r="E672" s="353">
        <v>3</v>
      </c>
      <c r="F672" s="353">
        <v>2</v>
      </c>
      <c r="G672" s="353">
        <v>4</v>
      </c>
      <c r="H672" s="353">
        <v>31</v>
      </c>
      <c r="I672" s="353">
        <v>68</v>
      </c>
      <c r="J672" s="353">
        <v>10.9</v>
      </c>
      <c r="K672" s="353">
        <v>0.7</v>
      </c>
      <c r="L672" s="353">
        <v>1.7</v>
      </c>
      <c r="M672" s="353">
        <v>13</v>
      </c>
      <c r="N672" s="353">
        <v>0.8</v>
      </c>
      <c r="O672" s="353" t="s">
        <v>203</v>
      </c>
      <c r="P672" s="353">
        <v>2015</v>
      </c>
      <c r="Q672" t="s">
        <v>68</v>
      </c>
      <c r="R672" t="s">
        <v>1828</v>
      </c>
      <c r="S672" s="378" t="s">
        <v>777</v>
      </c>
      <c r="T672" s="378" t="s">
        <v>1049</v>
      </c>
    </row>
    <row r="673" spans="1:21" x14ac:dyDescent="0.2">
      <c r="A673" s="353">
        <v>191080</v>
      </c>
      <c r="B673" s="340" t="s">
        <v>583</v>
      </c>
      <c r="C673" s="353">
        <v>30</v>
      </c>
      <c r="D673" s="353">
        <v>8</v>
      </c>
      <c r="E673" s="353">
        <v>10</v>
      </c>
      <c r="F673" s="353">
        <v>14</v>
      </c>
      <c r="G673" s="353">
        <v>24</v>
      </c>
      <c r="H673" s="353">
        <v>45</v>
      </c>
      <c r="I673" s="353">
        <v>62</v>
      </c>
      <c r="J673" s="353">
        <v>10.1</v>
      </c>
      <c r="K673" s="353">
        <v>0.7</v>
      </c>
      <c r="L673" s="353">
        <v>2.09</v>
      </c>
      <c r="M673" s="353">
        <v>15.7</v>
      </c>
      <c r="N673" s="353">
        <v>0.9</v>
      </c>
      <c r="O673" s="353" t="s">
        <v>344</v>
      </c>
      <c r="P673" s="353">
        <v>2000</v>
      </c>
      <c r="Q673" t="s">
        <v>68</v>
      </c>
      <c r="R673" t="s">
        <v>1420</v>
      </c>
      <c r="S673" s="378" t="s">
        <v>425</v>
      </c>
      <c r="T673" s="378" t="s">
        <v>295</v>
      </c>
    </row>
    <row r="674" spans="1:21" x14ac:dyDescent="0.2">
      <c r="A674" s="353">
        <v>419101</v>
      </c>
      <c r="B674" s="340" t="s">
        <v>585</v>
      </c>
      <c r="C674" s="353">
        <v>13</v>
      </c>
      <c r="D674" s="353">
        <v>3</v>
      </c>
      <c r="E674" s="353">
        <v>4</v>
      </c>
      <c r="F674" s="353">
        <v>4</v>
      </c>
      <c r="G674" s="353">
        <v>9</v>
      </c>
      <c r="H674" s="353">
        <v>18</v>
      </c>
      <c r="I674" s="353">
        <v>48</v>
      </c>
      <c r="J674" s="353">
        <v>8.1999999999999993</v>
      </c>
      <c r="K674" s="353">
        <v>0.7</v>
      </c>
      <c r="L674" s="353">
        <v>2.0099999999999998</v>
      </c>
      <c r="M674" s="353">
        <v>11.3</v>
      </c>
      <c r="N674" s="353">
        <v>0.6</v>
      </c>
      <c r="O674" s="353" t="s">
        <v>293</v>
      </c>
      <c r="P674" s="353">
        <v>2013</v>
      </c>
      <c r="Q674" t="s">
        <v>68</v>
      </c>
      <c r="R674" t="s">
        <v>1861</v>
      </c>
      <c r="S674" s="378" t="s">
        <v>584</v>
      </c>
      <c r="T674" s="378" t="s">
        <v>295</v>
      </c>
    </row>
    <row r="675" spans="1:21" x14ac:dyDescent="0.2">
      <c r="A675" s="353">
        <v>770263</v>
      </c>
      <c r="B675" s="340" t="s">
        <v>618</v>
      </c>
      <c r="C675" s="353">
        <v>-4</v>
      </c>
      <c r="D675" s="353">
        <v>1</v>
      </c>
      <c r="E675" s="353">
        <v>13</v>
      </c>
      <c r="F675" s="353">
        <v>0</v>
      </c>
      <c r="G675" s="353">
        <v>12</v>
      </c>
      <c r="H675" s="353">
        <v>40</v>
      </c>
      <c r="I675" s="353">
        <v>28</v>
      </c>
      <c r="J675" s="353">
        <v>5</v>
      </c>
      <c r="K675" s="353">
        <v>0.7</v>
      </c>
      <c r="L675" s="353">
        <v>2.39</v>
      </c>
      <c r="M675" s="353">
        <v>23.1</v>
      </c>
      <c r="N675" s="353">
        <v>0.6</v>
      </c>
      <c r="O675" s="353" t="s">
        <v>344</v>
      </c>
      <c r="P675" s="353">
        <v>2008</v>
      </c>
      <c r="Q675" t="s">
        <v>68</v>
      </c>
      <c r="R675" t="s">
        <v>1215</v>
      </c>
      <c r="S675" s="378" t="s">
        <v>751</v>
      </c>
      <c r="T675" s="378" t="s">
        <v>373</v>
      </c>
    </row>
    <row r="676" spans="1:21" x14ac:dyDescent="0.2">
      <c r="A676" s="353">
        <v>983593</v>
      </c>
      <c r="B676" s="340" t="s">
        <v>580</v>
      </c>
      <c r="C676" s="353">
        <v>7</v>
      </c>
      <c r="D676" s="353">
        <v>2</v>
      </c>
      <c r="E676" s="353">
        <v>9</v>
      </c>
      <c r="F676" s="353">
        <v>3</v>
      </c>
      <c r="G676" s="353">
        <v>15</v>
      </c>
      <c r="H676" s="353">
        <v>24</v>
      </c>
      <c r="I676" s="353">
        <v>21</v>
      </c>
      <c r="J676" s="353">
        <v>3.8</v>
      </c>
      <c r="K676" s="353">
        <v>0.7</v>
      </c>
      <c r="L676" s="353">
        <v>2.09</v>
      </c>
      <c r="M676" s="353">
        <v>17.600000000000001</v>
      </c>
      <c r="N676" s="353">
        <v>0.5</v>
      </c>
      <c r="O676" s="353" t="s">
        <v>344</v>
      </c>
      <c r="P676" s="353">
        <v>2000</v>
      </c>
      <c r="Q676" t="s">
        <v>68</v>
      </c>
      <c r="R676" t="s">
        <v>1419</v>
      </c>
      <c r="S676" s="378" t="s">
        <v>425</v>
      </c>
      <c r="T676" s="378" t="s">
        <v>321</v>
      </c>
    </row>
    <row r="677" spans="1:21" x14ac:dyDescent="0.2">
      <c r="A677" s="353">
        <v>661066</v>
      </c>
      <c r="B677" s="340" t="s">
        <v>799</v>
      </c>
      <c r="C677" s="353">
        <v>13</v>
      </c>
      <c r="D677" s="353">
        <v>-1</v>
      </c>
      <c r="E677" s="353">
        <v>6</v>
      </c>
      <c r="F677" s="353">
        <v>4</v>
      </c>
      <c r="G677" s="353">
        <v>2</v>
      </c>
      <c r="H677" s="353">
        <v>7</v>
      </c>
      <c r="I677" s="353">
        <v>11</v>
      </c>
      <c r="J677" s="353">
        <v>2.1</v>
      </c>
      <c r="K677" s="353">
        <v>0.7</v>
      </c>
      <c r="L677" s="353">
        <v>2.08</v>
      </c>
      <c r="M677" s="353">
        <v>20.100000000000001</v>
      </c>
      <c r="N677" s="353">
        <v>0.2</v>
      </c>
      <c r="O677" s="353" t="s">
        <v>344</v>
      </c>
      <c r="P677" s="353">
        <v>2004</v>
      </c>
      <c r="Q677" t="s">
        <v>68</v>
      </c>
      <c r="R677" t="s">
        <v>1686</v>
      </c>
      <c r="S677" s="378" t="s">
        <v>540</v>
      </c>
      <c r="T677" s="378" t="s">
        <v>361</v>
      </c>
    </row>
    <row r="678" spans="1:21" x14ac:dyDescent="0.2">
      <c r="A678" s="353">
        <v>806091</v>
      </c>
      <c r="B678" s="340" t="s">
        <v>617</v>
      </c>
      <c r="C678" s="353">
        <v>9</v>
      </c>
      <c r="D678" s="353">
        <v>-1</v>
      </c>
      <c r="E678" s="353">
        <v>11</v>
      </c>
      <c r="F678" s="353">
        <v>3</v>
      </c>
      <c r="G678" s="353">
        <v>-2</v>
      </c>
      <c r="H678" s="353">
        <v>13</v>
      </c>
      <c r="I678" s="353">
        <v>5</v>
      </c>
      <c r="J678" s="353">
        <v>1</v>
      </c>
      <c r="K678" s="353">
        <v>0.7</v>
      </c>
      <c r="L678" s="353">
        <v>2.39</v>
      </c>
      <c r="M678" s="353">
        <v>30.1</v>
      </c>
      <c r="N678" s="353">
        <v>0.3</v>
      </c>
      <c r="O678" s="353" t="s">
        <v>344</v>
      </c>
      <c r="P678" s="353">
        <v>2008</v>
      </c>
      <c r="Q678" t="s">
        <v>68</v>
      </c>
      <c r="R678" t="s">
        <v>1905</v>
      </c>
      <c r="S678" s="378" t="s">
        <v>751</v>
      </c>
      <c r="T678" s="378" t="s">
        <v>298</v>
      </c>
    </row>
    <row r="679" spans="1:21" x14ac:dyDescent="0.2">
      <c r="A679" s="353">
        <v>517748</v>
      </c>
      <c r="B679" s="340" t="s">
        <v>800</v>
      </c>
      <c r="C679" s="353">
        <v>-15</v>
      </c>
      <c r="D679" s="353">
        <v>3</v>
      </c>
      <c r="E679" s="353">
        <v>9</v>
      </c>
      <c r="F679" s="353">
        <v>-3</v>
      </c>
      <c r="G679" s="353">
        <v>-5</v>
      </c>
      <c r="H679" s="353">
        <v>-15</v>
      </c>
      <c r="I679" s="353">
        <v>0</v>
      </c>
      <c r="J679" s="353">
        <v>0.1</v>
      </c>
      <c r="K679" s="353">
        <v>0.7</v>
      </c>
      <c r="L679" s="353">
        <v>2.06</v>
      </c>
      <c r="M679" s="353">
        <v>21.5</v>
      </c>
      <c r="N679" s="353">
        <v>-0.1</v>
      </c>
      <c r="O679" s="353" t="s">
        <v>344</v>
      </c>
      <c r="P679" s="353">
        <v>2004</v>
      </c>
      <c r="Q679" t="s">
        <v>68</v>
      </c>
      <c r="R679" t="s">
        <v>1803</v>
      </c>
      <c r="S679" s="378" t="s">
        <v>540</v>
      </c>
      <c r="T679" s="378" t="s">
        <v>1045</v>
      </c>
    </row>
    <row r="680" spans="1:21" x14ac:dyDescent="0.2">
      <c r="A680" s="353">
        <v>481911</v>
      </c>
      <c r="B680" s="340" t="s">
        <v>803</v>
      </c>
      <c r="C680" s="353">
        <v>9</v>
      </c>
      <c r="D680" s="353">
        <v>5</v>
      </c>
      <c r="E680" s="353">
        <v>6</v>
      </c>
      <c r="F680" s="353">
        <v>8</v>
      </c>
      <c r="G680" s="353">
        <v>13</v>
      </c>
      <c r="H680" s="353">
        <v>12</v>
      </c>
      <c r="I680" s="353">
        <v>-20</v>
      </c>
      <c r="J680" s="353">
        <v>-4.5</v>
      </c>
      <c r="K680" s="353">
        <v>0.7</v>
      </c>
      <c r="L680" s="353">
        <v>2.06</v>
      </c>
      <c r="M680" s="353">
        <v>29.4</v>
      </c>
      <c r="N680" s="353">
        <v>0.3</v>
      </c>
      <c r="O680" s="353" t="s">
        <v>344</v>
      </c>
      <c r="P680" s="353">
        <v>2004</v>
      </c>
      <c r="Q680" t="s">
        <v>68</v>
      </c>
      <c r="R680" t="s">
        <v>1802</v>
      </c>
      <c r="S680" s="378" t="s">
        <v>540</v>
      </c>
      <c r="T680" s="378" t="s">
        <v>1045</v>
      </c>
    </row>
    <row r="681" spans="1:21" x14ac:dyDescent="0.2">
      <c r="A681" s="353">
        <v>848069</v>
      </c>
      <c r="B681" s="340" t="s">
        <v>613</v>
      </c>
      <c r="C681" s="353">
        <v>18</v>
      </c>
      <c r="D681" s="353">
        <v>10</v>
      </c>
      <c r="E681" s="353">
        <v>11</v>
      </c>
      <c r="F681" s="353">
        <v>8</v>
      </c>
      <c r="G681" s="353">
        <v>20</v>
      </c>
      <c r="H681" s="353">
        <v>51</v>
      </c>
      <c r="I681" s="353">
        <v>113</v>
      </c>
      <c r="J681" s="353">
        <v>16.3</v>
      </c>
      <c r="K681" s="353">
        <v>0.71</v>
      </c>
      <c r="L681" s="353">
        <v>1.95</v>
      </c>
      <c r="M681" s="353">
        <v>16.100000000000001</v>
      </c>
      <c r="N681" s="353">
        <v>1</v>
      </c>
      <c r="O681" s="353" t="s">
        <v>344</v>
      </c>
      <c r="P681" s="353">
        <v>2006</v>
      </c>
      <c r="Q681" t="s">
        <v>68</v>
      </c>
      <c r="R681" t="s">
        <v>1208</v>
      </c>
      <c r="S681" s="378" t="s">
        <v>408</v>
      </c>
      <c r="T681" s="378" t="s">
        <v>253</v>
      </c>
    </row>
    <row r="682" spans="1:21" x14ac:dyDescent="0.2">
      <c r="A682" s="353">
        <v>125799</v>
      </c>
      <c r="B682" s="340" t="s">
        <v>901</v>
      </c>
      <c r="C682" s="353">
        <v>1</v>
      </c>
      <c r="D682" s="353">
        <v>3</v>
      </c>
      <c r="E682" s="353">
        <v>15</v>
      </c>
      <c r="F682" s="353">
        <v>3</v>
      </c>
      <c r="G682" s="353">
        <v>17</v>
      </c>
      <c r="H682" s="353">
        <v>55</v>
      </c>
      <c r="I682" s="353">
        <v>45</v>
      </c>
      <c r="J682" s="353">
        <v>7.7</v>
      </c>
      <c r="K682" s="353">
        <v>0.71</v>
      </c>
      <c r="L682" s="353">
        <v>1.74</v>
      </c>
      <c r="M682" s="353">
        <v>27.4</v>
      </c>
      <c r="N682" s="353">
        <v>0.7</v>
      </c>
      <c r="O682" s="353" t="s">
        <v>203</v>
      </c>
      <c r="P682" s="353">
        <v>2013</v>
      </c>
      <c r="Q682" t="s">
        <v>68</v>
      </c>
      <c r="R682" t="s">
        <v>1513</v>
      </c>
      <c r="S682" s="378" t="s">
        <v>875</v>
      </c>
      <c r="T682" s="378" t="s">
        <v>373</v>
      </c>
    </row>
    <row r="683" spans="1:21" x14ac:dyDescent="0.2">
      <c r="A683" s="353">
        <v>224311</v>
      </c>
      <c r="B683" s="340" t="s">
        <v>609</v>
      </c>
      <c r="C683" s="353">
        <v>14</v>
      </c>
      <c r="D683" s="353">
        <v>6</v>
      </c>
      <c r="E683" s="353">
        <v>9</v>
      </c>
      <c r="F683" s="353">
        <v>8</v>
      </c>
      <c r="G683" s="353">
        <v>18</v>
      </c>
      <c r="H683" s="353">
        <v>47</v>
      </c>
      <c r="I683" s="353">
        <v>115</v>
      </c>
      <c r="J683" s="353">
        <v>16.5</v>
      </c>
      <c r="K683" s="353">
        <v>0.72</v>
      </c>
      <c r="L683" s="353">
        <v>1.78</v>
      </c>
      <c r="M683" s="353">
        <v>12.9</v>
      </c>
      <c r="N683" s="353">
        <v>1.1000000000000001</v>
      </c>
      <c r="O683" s="353" t="s">
        <v>203</v>
      </c>
      <c r="P683" s="353">
        <v>2008</v>
      </c>
      <c r="Q683" t="s">
        <v>68</v>
      </c>
      <c r="R683" t="s">
        <v>1561</v>
      </c>
      <c r="S683" s="378" t="s">
        <v>464</v>
      </c>
      <c r="T683" s="378" t="s">
        <v>181</v>
      </c>
      <c r="U683" s="377" t="s">
        <v>162</v>
      </c>
    </row>
    <row r="684" spans="1:21" x14ac:dyDescent="0.2">
      <c r="A684" s="353">
        <v>942094</v>
      </c>
      <c r="B684" s="340" t="s">
        <v>578</v>
      </c>
      <c r="C684" s="353">
        <v>18</v>
      </c>
      <c r="D684" s="353">
        <v>3</v>
      </c>
      <c r="E684" s="353">
        <v>7</v>
      </c>
      <c r="F684" s="353">
        <v>6</v>
      </c>
      <c r="G684" s="353">
        <v>18</v>
      </c>
      <c r="H684" s="353">
        <v>48</v>
      </c>
      <c r="I684" s="353">
        <v>111</v>
      </c>
      <c r="J684" s="353">
        <v>16.100000000000001</v>
      </c>
      <c r="K684" s="353">
        <v>0.72</v>
      </c>
      <c r="L684" s="353">
        <v>1.76</v>
      </c>
      <c r="M684" s="353">
        <v>11.3</v>
      </c>
      <c r="N684" s="353">
        <v>1.2</v>
      </c>
      <c r="O684" s="353" t="s">
        <v>203</v>
      </c>
      <c r="P684" s="353">
        <v>2009</v>
      </c>
      <c r="Q684" t="s">
        <v>68</v>
      </c>
      <c r="R684" t="s">
        <v>1487</v>
      </c>
      <c r="S684" s="378" t="s">
        <v>579</v>
      </c>
      <c r="T684" s="378" t="s">
        <v>289</v>
      </c>
    </row>
    <row r="685" spans="1:21" x14ac:dyDescent="0.2">
      <c r="A685" s="353">
        <v>422709</v>
      </c>
      <c r="B685" s="340" t="s">
        <v>880</v>
      </c>
      <c r="C685" s="353">
        <v>12</v>
      </c>
      <c r="D685" s="353">
        <v>5</v>
      </c>
      <c r="E685" s="353">
        <v>7</v>
      </c>
      <c r="F685" s="353">
        <v>3</v>
      </c>
      <c r="G685" s="353">
        <v>18</v>
      </c>
      <c r="H685" s="353"/>
      <c r="I685" s="353"/>
      <c r="J685" s="353"/>
      <c r="K685" s="353">
        <v>0.72</v>
      </c>
      <c r="L685" s="353">
        <v>1.78</v>
      </c>
      <c r="M685" s="353"/>
      <c r="N685" s="353"/>
      <c r="O685" s="353" t="s">
        <v>153</v>
      </c>
      <c r="P685" s="353">
        <v>2015</v>
      </c>
      <c r="Q685" t="s">
        <v>68</v>
      </c>
      <c r="R685" t="s">
        <v>1205</v>
      </c>
      <c r="S685" s="378" t="s">
        <v>879</v>
      </c>
      <c r="T685" s="378" t="s">
        <v>181</v>
      </c>
      <c r="U685" s="377" t="s">
        <v>162</v>
      </c>
    </row>
    <row r="686" spans="1:21" x14ac:dyDescent="0.2">
      <c r="A686" s="353">
        <v>170423</v>
      </c>
      <c r="B686" s="340" t="s">
        <v>575</v>
      </c>
      <c r="C686" s="353">
        <v>14</v>
      </c>
      <c r="D686" s="353">
        <v>3</v>
      </c>
      <c r="E686" s="353">
        <v>8</v>
      </c>
      <c r="F686" s="353">
        <v>2</v>
      </c>
      <c r="G686" s="353">
        <v>19</v>
      </c>
      <c r="H686" s="353">
        <v>47</v>
      </c>
      <c r="I686" s="353">
        <v>107</v>
      </c>
      <c r="J686" s="353">
        <v>15.7</v>
      </c>
      <c r="K686" s="353">
        <v>0.73</v>
      </c>
      <c r="L686" s="353">
        <v>1.79</v>
      </c>
      <c r="M686" s="353">
        <v>14</v>
      </c>
      <c r="N686" s="353">
        <v>1</v>
      </c>
      <c r="O686" s="353" t="s">
        <v>153</v>
      </c>
      <c r="P686" s="353">
        <v>2001</v>
      </c>
      <c r="Q686" t="s">
        <v>154</v>
      </c>
      <c r="R686" t="s">
        <v>1257</v>
      </c>
      <c r="S686" s="378" t="s">
        <v>237</v>
      </c>
      <c r="T686" s="378" t="s">
        <v>219</v>
      </c>
      <c r="U686" s="377" t="s">
        <v>162</v>
      </c>
    </row>
    <row r="687" spans="1:21" x14ac:dyDescent="0.2">
      <c r="A687" s="353">
        <v>175265</v>
      </c>
      <c r="B687" s="340" t="s">
        <v>877</v>
      </c>
      <c r="C687" s="353">
        <v>7</v>
      </c>
      <c r="D687" s="353">
        <v>4</v>
      </c>
      <c r="E687" s="353">
        <v>4</v>
      </c>
      <c r="F687" s="353">
        <v>0</v>
      </c>
      <c r="G687" s="353">
        <v>8</v>
      </c>
      <c r="H687" s="353">
        <v>43</v>
      </c>
      <c r="I687" s="353">
        <v>105</v>
      </c>
      <c r="J687" s="353">
        <v>15.5</v>
      </c>
      <c r="K687" s="353">
        <v>0.73</v>
      </c>
      <c r="L687" s="353">
        <v>1.79</v>
      </c>
      <c r="M687" s="353">
        <v>12.6</v>
      </c>
      <c r="N687" s="353">
        <v>1</v>
      </c>
      <c r="O687" s="353" t="s">
        <v>407</v>
      </c>
      <c r="P687" s="353">
        <v>2003</v>
      </c>
      <c r="Q687" t="s">
        <v>68</v>
      </c>
      <c r="R687" t="s">
        <v>1755</v>
      </c>
      <c r="S687" s="378" t="s">
        <v>547</v>
      </c>
      <c r="T687" s="378" t="s">
        <v>181</v>
      </c>
    </row>
    <row r="688" spans="1:21" x14ac:dyDescent="0.2">
      <c r="A688" s="353">
        <v>432153</v>
      </c>
      <c r="B688" s="340" t="s">
        <v>600</v>
      </c>
      <c r="C688" s="353">
        <v>7</v>
      </c>
      <c r="D688" s="353">
        <v>5</v>
      </c>
      <c r="E688" s="353">
        <v>4</v>
      </c>
      <c r="F688" s="353">
        <v>-2</v>
      </c>
      <c r="G688" s="353">
        <v>6</v>
      </c>
      <c r="H688" s="353">
        <v>30</v>
      </c>
      <c r="I688" s="353">
        <v>100</v>
      </c>
      <c r="J688" s="353">
        <v>14.9</v>
      </c>
      <c r="K688" s="353">
        <v>0.73</v>
      </c>
      <c r="L688" s="353">
        <v>1.8</v>
      </c>
      <c r="M688" s="353">
        <v>11.8</v>
      </c>
      <c r="N688" s="353">
        <v>0.8</v>
      </c>
      <c r="O688" s="353" t="s">
        <v>203</v>
      </c>
      <c r="P688" s="353">
        <v>2002</v>
      </c>
      <c r="Q688" t="s">
        <v>68</v>
      </c>
      <c r="R688" t="s">
        <v>1907</v>
      </c>
      <c r="S688" s="378" t="s">
        <v>542</v>
      </c>
      <c r="T688" s="378" t="s">
        <v>181</v>
      </c>
      <c r="U688" s="377" t="s">
        <v>162</v>
      </c>
    </row>
    <row r="689" spans="1:21" x14ac:dyDescent="0.2">
      <c r="A689" s="353">
        <v>872440</v>
      </c>
      <c r="B689" s="340" t="s">
        <v>1132</v>
      </c>
      <c r="C689" s="353">
        <v>14</v>
      </c>
      <c r="D689" s="353">
        <v>4</v>
      </c>
      <c r="E689" s="353">
        <v>5</v>
      </c>
      <c r="F689" s="353">
        <v>4</v>
      </c>
      <c r="G689" s="353">
        <v>14</v>
      </c>
      <c r="H689" s="353">
        <v>38</v>
      </c>
      <c r="I689" s="353">
        <v>84</v>
      </c>
      <c r="J689" s="353">
        <v>13</v>
      </c>
      <c r="K689" s="353">
        <v>0.73</v>
      </c>
      <c r="L689" s="353">
        <v>2.2000000000000002</v>
      </c>
      <c r="M689" s="353">
        <v>14.4</v>
      </c>
      <c r="N689" s="353">
        <v>0.8</v>
      </c>
      <c r="O689" s="353" t="s">
        <v>344</v>
      </c>
      <c r="P689" s="353">
        <v>2002</v>
      </c>
      <c r="Q689" t="s">
        <v>68</v>
      </c>
      <c r="R689" t="s">
        <v>1757</v>
      </c>
      <c r="S689" s="378" t="s">
        <v>425</v>
      </c>
      <c r="T689" s="378" t="s">
        <v>181</v>
      </c>
    </row>
    <row r="690" spans="1:21" x14ac:dyDescent="0.2">
      <c r="A690" s="353">
        <v>755090</v>
      </c>
      <c r="B690" s="340" t="s">
        <v>601</v>
      </c>
      <c r="C690" s="353">
        <v>9</v>
      </c>
      <c r="D690" s="353">
        <v>3</v>
      </c>
      <c r="E690" s="353">
        <v>5</v>
      </c>
      <c r="F690" s="353">
        <v>2</v>
      </c>
      <c r="G690" s="353">
        <v>13</v>
      </c>
      <c r="H690" s="353">
        <v>27</v>
      </c>
      <c r="I690" s="353">
        <v>82</v>
      </c>
      <c r="J690" s="353">
        <v>12.7</v>
      </c>
      <c r="K690" s="353">
        <v>0.73</v>
      </c>
      <c r="L690" s="353">
        <v>1.8</v>
      </c>
      <c r="M690" s="353">
        <v>13</v>
      </c>
      <c r="N690" s="353">
        <v>0.7</v>
      </c>
      <c r="O690" s="353" t="s">
        <v>203</v>
      </c>
      <c r="P690" s="353">
        <v>2008</v>
      </c>
      <c r="Q690" t="s">
        <v>68</v>
      </c>
      <c r="R690" t="s">
        <v>1909</v>
      </c>
      <c r="S690" s="378" t="s">
        <v>542</v>
      </c>
      <c r="T690" s="378" t="s">
        <v>215</v>
      </c>
      <c r="U690" s="377" t="s">
        <v>162</v>
      </c>
    </row>
    <row r="691" spans="1:21" x14ac:dyDescent="0.2">
      <c r="A691" s="354">
        <v>989491</v>
      </c>
      <c r="B691" s="297" t="s">
        <v>599</v>
      </c>
      <c r="C691" s="354">
        <v>4</v>
      </c>
      <c r="D691" s="354">
        <v>5</v>
      </c>
      <c r="E691" s="354">
        <v>5</v>
      </c>
      <c r="F691" s="354">
        <v>0</v>
      </c>
      <c r="G691" s="354">
        <v>8</v>
      </c>
      <c r="H691" s="354">
        <v>25</v>
      </c>
      <c r="I691" s="354">
        <v>74</v>
      </c>
      <c r="J691" s="354">
        <v>11.7</v>
      </c>
      <c r="K691" s="354">
        <v>0.73</v>
      </c>
      <c r="L691" s="354">
        <v>1.8</v>
      </c>
      <c r="M691" s="274">
        <v>13.1</v>
      </c>
      <c r="N691" s="354">
        <v>0.7</v>
      </c>
      <c r="O691" s="354" t="s">
        <v>203</v>
      </c>
      <c r="P691" s="354">
        <v>2008</v>
      </c>
      <c r="Q691" s="273" t="s">
        <v>68</v>
      </c>
      <c r="R691" s="273" t="s">
        <v>1911</v>
      </c>
      <c r="S691" s="379" t="s">
        <v>542</v>
      </c>
      <c r="T691" s="379" t="s">
        <v>181</v>
      </c>
      <c r="U691" s="377" t="s">
        <v>162</v>
      </c>
    </row>
    <row r="692" spans="1:21" x14ac:dyDescent="0.2">
      <c r="A692" s="353">
        <v>874032</v>
      </c>
      <c r="B692" s="340" t="s">
        <v>649</v>
      </c>
      <c r="C692" s="353">
        <v>10</v>
      </c>
      <c r="D692" s="353">
        <v>4</v>
      </c>
      <c r="E692" s="353">
        <v>6</v>
      </c>
      <c r="F692" s="353">
        <v>2</v>
      </c>
      <c r="G692" s="353">
        <v>12</v>
      </c>
      <c r="H692" s="353">
        <v>29</v>
      </c>
      <c r="I692" s="353">
        <v>61</v>
      </c>
      <c r="J692" s="353">
        <v>10</v>
      </c>
      <c r="K692" s="353">
        <v>0.73</v>
      </c>
      <c r="L692" s="353">
        <v>2.25</v>
      </c>
      <c r="M692" s="353">
        <v>11.8</v>
      </c>
      <c r="N692" s="353">
        <v>0.8</v>
      </c>
      <c r="O692" s="353" t="s">
        <v>153</v>
      </c>
      <c r="P692" s="353">
        <v>2011</v>
      </c>
      <c r="Q692" t="s">
        <v>154</v>
      </c>
      <c r="R692" t="s">
        <v>1923</v>
      </c>
      <c r="S692" s="378" t="s">
        <v>650</v>
      </c>
      <c r="T692" s="378" t="s">
        <v>181</v>
      </c>
    </row>
    <row r="693" spans="1:21" x14ac:dyDescent="0.2">
      <c r="A693" s="353">
        <v>987784</v>
      </c>
      <c r="B693" s="340" t="s">
        <v>804</v>
      </c>
      <c r="C693" s="353">
        <v>9</v>
      </c>
      <c r="D693" s="353">
        <v>2</v>
      </c>
      <c r="E693" s="353">
        <v>8</v>
      </c>
      <c r="F693" s="353">
        <v>3</v>
      </c>
      <c r="G693" s="353">
        <v>19</v>
      </c>
      <c r="H693" s="353">
        <v>26</v>
      </c>
      <c r="I693" s="353">
        <v>27</v>
      </c>
      <c r="J693" s="353">
        <v>4.9000000000000004</v>
      </c>
      <c r="K693" s="353">
        <v>0.73</v>
      </c>
      <c r="L693" s="353">
        <v>2.1800000000000002</v>
      </c>
      <c r="M693" s="353">
        <v>16.899999999999999</v>
      </c>
      <c r="N693" s="353">
        <v>0.6</v>
      </c>
      <c r="O693" s="353" t="s">
        <v>203</v>
      </c>
      <c r="P693" s="353">
        <v>2004</v>
      </c>
      <c r="Q693" t="s">
        <v>68</v>
      </c>
      <c r="R693" t="s">
        <v>1696</v>
      </c>
      <c r="S693" s="378" t="s">
        <v>540</v>
      </c>
      <c r="T693" s="378" t="s">
        <v>321</v>
      </c>
    </row>
    <row r="694" spans="1:21" x14ac:dyDescent="0.2">
      <c r="A694" s="353">
        <v>384107</v>
      </c>
      <c r="B694" s="340" t="s">
        <v>602</v>
      </c>
      <c r="C694" s="353">
        <v>15</v>
      </c>
      <c r="D694" s="353">
        <v>7</v>
      </c>
      <c r="E694" s="353">
        <v>8</v>
      </c>
      <c r="F694" s="353">
        <v>5</v>
      </c>
      <c r="G694" s="353">
        <v>17</v>
      </c>
      <c r="H694" s="353">
        <v>47</v>
      </c>
      <c r="I694" s="353">
        <v>149</v>
      </c>
      <c r="J694" s="353">
        <v>20.100000000000001</v>
      </c>
      <c r="K694" s="353">
        <v>0.74</v>
      </c>
      <c r="L694" s="353">
        <v>1.83</v>
      </c>
      <c r="M694" s="353">
        <v>15.6</v>
      </c>
      <c r="N694" s="353">
        <v>0.9</v>
      </c>
      <c r="O694" s="353" t="s">
        <v>344</v>
      </c>
      <c r="P694" s="353">
        <v>2005</v>
      </c>
      <c r="Q694" t="s">
        <v>68</v>
      </c>
      <c r="R694" t="s">
        <v>1991</v>
      </c>
      <c r="S694" s="378" t="s">
        <v>530</v>
      </c>
      <c r="T694" s="378" t="s">
        <v>1047</v>
      </c>
    </row>
    <row r="695" spans="1:21" x14ac:dyDescent="0.2">
      <c r="A695" s="353">
        <v>197517</v>
      </c>
      <c r="B695" s="340" t="s">
        <v>623</v>
      </c>
      <c r="C695" s="353">
        <v>0</v>
      </c>
      <c r="D695" s="353">
        <v>3</v>
      </c>
      <c r="E695" s="353">
        <v>5</v>
      </c>
      <c r="F695" s="353">
        <v>-1</v>
      </c>
      <c r="G695" s="353">
        <v>11</v>
      </c>
      <c r="H695" s="353">
        <v>34</v>
      </c>
      <c r="I695" s="353">
        <v>117</v>
      </c>
      <c r="J695" s="353">
        <v>16.8</v>
      </c>
      <c r="K695" s="353">
        <v>0.74</v>
      </c>
      <c r="L695" s="353">
        <v>2.16</v>
      </c>
      <c r="M695" s="353">
        <v>14.7</v>
      </c>
      <c r="N695" s="353">
        <v>0.8</v>
      </c>
      <c r="O695" s="353" t="s">
        <v>344</v>
      </c>
      <c r="P695" s="353">
        <v>2011</v>
      </c>
      <c r="Q695" t="s">
        <v>68</v>
      </c>
      <c r="R695" t="s">
        <v>1926</v>
      </c>
      <c r="S695" s="378" t="s">
        <v>749</v>
      </c>
      <c r="T695" s="378" t="s">
        <v>1047</v>
      </c>
    </row>
    <row r="696" spans="1:21" x14ac:dyDescent="0.2">
      <c r="A696" s="353">
        <v>182584</v>
      </c>
      <c r="B696" s="340" t="s">
        <v>603</v>
      </c>
      <c r="C696" s="353">
        <v>10</v>
      </c>
      <c r="D696" s="353">
        <v>-1</v>
      </c>
      <c r="E696" s="353">
        <v>2</v>
      </c>
      <c r="F696" s="353">
        <v>1</v>
      </c>
      <c r="G696" s="353">
        <v>15</v>
      </c>
      <c r="H696" s="353">
        <v>49</v>
      </c>
      <c r="I696" s="353">
        <v>118</v>
      </c>
      <c r="J696" s="353">
        <v>16.8</v>
      </c>
      <c r="K696" s="353">
        <v>0.74</v>
      </c>
      <c r="L696" s="353">
        <v>1.83</v>
      </c>
      <c r="M696" s="353">
        <v>13</v>
      </c>
      <c r="N696" s="353">
        <v>1.1000000000000001</v>
      </c>
      <c r="O696" s="353" t="s">
        <v>203</v>
      </c>
      <c r="P696" s="353">
        <v>2000</v>
      </c>
      <c r="Q696" t="s">
        <v>68</v>
      </c>
      <c r="R696" t="s">
        <v>1969</v>
      </c>
      <c r="S696" s="378" t="s">
        <v>604</v>
      </c>
      <c r="T696" s="378" t="s">
        <v>318</v>
      </c>
    </row>
    <row r="697" spans="1:21" x14ac:dyDescent="0.2">
      <c r="A697" s="353">
        <v>532325</v>
      </c>
      <c r="B697" s="340" t="s">
        <v>621</v>
      </c>
      <c r="C697" s="353">
        <v>2</v>
      </c>
      <c r="D697" s="353">
        <v>3</v>
      </c>
      <c r="E697" s="353">
        <v>3</v>
      </c>
      <c r="F697" s="353">
        <v>-3</v>
      </c>
      <c r="G697" s="353">
        <v>2</v>
      </c>
      <c r="H697" s="353">
        <v>44</v>
      </c>
      <c r="I697" s="353">
        <v>110</v>
      </c>
      <c r="J697" s="353">
        <v>16</v>
      </c>
      <c r="K697" s="353">
        <v>0.74</v>
      </c>
      <c r="L697" s="353">
        <v>1.83</v>
      </c>
      <c r="M697" s="353">
        <v>12.3</v>
      </c>
      <c r="N697" s="353">
        <v>1.1000000000000001</v>
      </c>
      <c r="O697" s="353" t="s">
        <v>203</v>
      </c>
      <c r="P697" s="353">
        <v>2003</v>
      </c>
      <c r="Q697" t="s">
        <v>68</v>
      </c>
      <c r="R697" t="s">
        <v>1708</v>
      </c>
      <c r="S697" s="378" t="s">
        <v>620</v>
      </c>
      <c r="T697" s="378" t="s">
        <v>181</v>
      </c>
    </row>
    <row r="698" spans="1:21" x14ac:dyDescent="0.2">
      <c r="A698" s="353">
        <v>390187</v>
      </c>
      <c r="B698" s="340" t="s">
        <v>597</v>
      </c>
      <c r="C698" s="353">
        <v>16</v>
      </c>
      <c r="D698" s="353">
        <v>4</v>
      </c>
      <c r="E698" s="353">
        <v>7</v>
      </c>
      <c r="F698" s="353">
        <v>6</v>
      </c>
      <c r="G698" s="353">
        <v>18</v>
      </c>
      <c r="H698" s="353">
        <v>24</v>
      </c>
      <c r="I698" s="353">
        <v>98</v>
      </c>
      <c r="J698" s="353">
        <v>14.6</v>
      </c>
      <c r="K698" s="353">
        <v>0.74</v>
      </c>
      <c r="L698" s="353">
        <v>1.82</v>
      </c>
      <c r="M698" s="353">
        <v>11.1</v>
      </c>
      <c r="N698" s="353">
        <v>0.7</v>
      </c>
      <c r="O698" s="353" t="s">
        <v>203</v>
      </c>
      <c r="P698" s="353">
        <v>2005</v>
      </c>
      <c r="Q698" t="s">
        <v>68</v>
      </c>
      <c r="R698" t="s">
        <v>1912</v>
      </c>
      <c r="S698" s="378" t="s">
        <v>542</v>
      </c>
      <c r="T698" s="378" t="s">
        <v>318</v>
      </c>
      <c r="U698" s="377" t="s">
        <v>162</v>
      </c>
    </row>
    <row r="699" spans="1:21" x14ac:dyDescent="0.2">
      <c r="A699" s="353">
        <v>640102</v>
      </c>
      <c r="B699" s="340" t="s">
        <v>911</v>
      </c>
      <c r="C699" s="353">
        <v>31</v>
      </c>
      <c r="D699" s="353">
        <v>8</v>
      </c>
      <c r="E699" s="353">
        <v>11</v>
      </c>
      <c r="F699" s="353">
        <v>14</v>
      </c>
      <c r="G699" s="353">
        <v>23</v>
      </c>
      <c r="H699" s="353"/>
      <c r="I699" s="353"/>
      <c r="J699" s="353"/>
      <c r="K699" s="353">
        <v>0.74</v>
      </c>
      <c r="L699" s="353">
        <v>1.83</v>
      </c>
      <c r="M699" s="353"/>
      <c r="N699" s="353"/>
      <c r="O699" s="353" t="s">
        <v>153</v>
      </c>
      <c r="P699" s="353">
        <v>2016</v>
      </c>
      <c r="Q699" t="s">
        <v>68</v>
      </c>
      <c r="R699" t="s">
        <v>1873</v>
      </c>
      <c r="S699" s="378" t="s">
        <v>746</v>
      </c>
      <c r="T699" s="378" t="s">
        <v>295</v>
      </c>
    </row>
    <row r="700" spans="1:21" x14ac:dyDescent="0.2">
      <c r="A700" s="353">
        <v>401695</v>
      </c>
      <c r="B700" s="340" t="s">
        <v>921</v>
      </c>
      <c r="C700" s="353">
        <v>20</v>
      </c>
      <c r="D700" s="353">
        <v>10</v>
      </c>
      <c r="E700" s="353">
        <v>13</v>
      </c>
      <c r="F700" s="353">
        <v>7</v>
      </c>
      <c r="G700" s="353">
        <v>24</v>
      </c>
      <c r="H700" s="353">
        <v>78</v>
      </c>
      <c r="I700" s="353">
        <v>175</v>
      </c>
      <c r="J700" s="353">
        <v>22.4</v>
      </c>
      <c r="K700" s="353">
        <v>0.75</v>
      </c>
      <c r="L700" s="353">
        <v>1.84</v>
      </c>
      <c r="M700" s="353">
        <v>17.2</v>
      </c>
      <c r="N700" s="353">
        <v>1.2</v>
      </c>
      <c r="O700" s="353" t="s">
        <v>344</v>
      </c>
      <c r="P700" s="353">
        <v>2006</v>
      </c>
      <c r="Q700" t="s">
        <v>68</v>
      </c>
      <c r="R700" t="s">
        <v>1392</v>
      </c>
      <c r="S700" s="378" t="s">
        <v>773</v>
      </c>
      <c r="T700" s="378" t="s">
        <v>253</v>
      </c>
    </row>
    <row r="701" spans="1:21" x14ac:dyDescent="0.2">
      <c r="A701" s="353">
        <v>196154</v>
      </c>
      <c r="B701" s="340" t="s">
        <v>1016</v>
      </c>
      <c r="C701" s="353">
        <v>11</v>
      </c>
      <c r="D701" s="353">
        <v>1</v>
      </c>
      <c r="E701" s="353">
        <v>5</v>
      </c>
      <c r="F701" s="353">
        <v>3</v>
      </c>
      <c r="G701" s="353">
        <v>16</v>
      </c>
      <c r="H701" s="353">
        <v>53</v>
      </c>
      <c r="I701" s="353">
        <v>119</v>
      </c>
      <c r="J701" s="353">
        <v>16.899999999999999</v>
      </c>
      <c r="K701" s="353">
        <v>0.75</v>
      </c>
      <c r="L701" s="353">
        <v>1.86</v>
      </c>
      <c r="M701" s="353">
        <v>12.9</v>
      </c>
      <c r="N701" s="353">
        <v>1.2</v>
      </c>
      <c r="O701" s="353" t="s">
        <v>203</v>
      </c>
      <c r="P701" s="353">
        <v>2016</v>
      </c>
      <c r="Q701" t="s">
        <v>68</v>
      </c>
      <c r="R701" t="s">
        <v>1971</v>
      </c>
      <c r="S701" s="378" t="s">
        <v>604</v>
      </c>
      <c r="T701" s="378" t="s">
        <v>318</v>
      </c>
      <c r="U701" s="377" t="s">
        <v>162</v>
      </c>
    </row>
    <row r="702" spans="1:21" x14ac:dyDescent="0.2">
      <c r="A702" s="353">
        <v>215046</v>
      </c>
      <c r="B702" s="340" t="s">
        <v>735</v>
      </c>
      <c r="C702" s="353">
        <v>21</v>
      </c>
      <c r="D702" s="353">
        <v>4</v>
      </c>
      <c r="E702" s="353">
        <v>10</v>
      </c>
      <c r="F702" s="353">
        <v>8</v>
      </c>
      <c r="G702" s="353">
        <v>22</v>
      </c>
      <c r="H702" s="353">
        <v>58</v>
      </c>
      <c r="I702" s="353">
        <v>118</v>
      </c>
      <c r="J702" s="353">
        <v>16.8</v>
      </c>
      <c r="K702" s="353">
        <v>0.75</v>
      </c>
      <c r="L702" s="353">
        <v>1.85</v>
      </c>
      <c r="M702" s="353">
        <v>16.5</v>
      </c>
      <c r="N702" s="353">
        <v>1</v>
      </c>
      <c r="O702" s="353" t="s">
        <v>203</v>
      </c>
      <c r="P702" s="353">
        <v>2014</v>
      </c>
      <c r="Q702" t="s">
        <v>68</v>
      </c>
      <c r="R702" t="s">
        <v>1976</v>
      </c>
      <c r="S702" s="378" t="s">
        <v>742</v>
      </c>
      <c r="T702" s="378" t="s">
        <v>298</v>
      </c>
    </row>
    <row r="703" spans="1:21" x14ac:dyDescent="0.2">
      <c r="A703" s="353">
        <v>359604</v>
      </c>
      <c r="B703" s="340" t="s">
        <v>612</v>
      </c>
      <c r="C703" s="353">
        <v>5</v>
      </c>
      <c r="D703" s="353">
        <v>5</v>
      </c>
      <c r="E703" s="353">
        <v>6</v>
      </c>
      <c r="F703" s="353">
        <v>1</v>
      </c>
      <c r="G703" s="353">
        <v>12</v>
      </c>
      <c r="H703" s="353">
        <v>46</v>
      </c>
      <c r="I703" s="353">
        <v>117</v>
      </c>
      <c r="J703" s="353">
        <v>16.8</v>
      </c>
      <c r="K703" s="353">
        <v>0.75</v>
      </c>
      <c r="L703" s="353">
        <v>1.85</v>
      </c>
      <c r="M703" s="353">
        <v>14.7</v>
      </c>
      <c r="N703" s="353">
        <v>0.9</v>
      </c>
      <c r="O703" s="353" t="s">
        <v>344</v>
      </c>
      <c r="P703" s="353">
        <v>2013</v>
      </c>
      <c r="Q703" t="s">
        <v>68</v>
      </c>
      <c r="R703" t="s">
        <v>1990</v>
      </c>
      <c r="S703" s="378" t="s">
        <v>742</v>
      </c>
      <c r="T703" s="378" t="s">
        <v>1047</v>
      </c>
    </row>
    <row r="704" spans="1:21" x14ac:dyDescent="0.2">
      <c r="A704" s="353">
        <v>866897</v>
      </c>
      <c r="B704" s="340" t="s">
        <v>640</v>
      </c>
      <c r="C704" s="353">
        <v>11</v>
      </c>
      <c r="D704" s="353">
        <v>10</v>
      </c>
      <c r="E704" s="353">
        <v>12</v>
      </c>
      <c r="F704" s="353">
        <v>7</v>
      </c>
      <c r="G704" s="353">
        <v>11</v>
      </c>
      <c r="H704" s="353">
        <v>48</v>
      </c>
      <c r="I704" s="353">
        <v>111</v>
      </c>
      <c r="J704" s="353">
        <v>16.100000000000001</v>
      </c>
      <c r="K704" s="353">
        <v>0.75</v>
      </c>
      <c r="L704" s="353">
        <v>2.04</v>
      </c>
      <c r="M704" s="353">
        <v>17.399999999999999</v>
      </c>
      <c r="N704" s="353">
        <v>0.9</v>
      </c>
      <c r="O704" s="353" t="s">
        <v>492</v>
      </c>
      <c r="P704" s="353">
        <v>2006</v>
      </c>
      <c r="Q704" t="s">
        <v>68</v>
      </c>
      <c r="R704" t="s">
        <v>1945</v>
      </c>
      <c r="S704" s="378" t="s">
        <v>955</v>
      </c>
      <c r="T704" s="378" t="s">
        <v>201</v>
      </c>
    </row>
    <row r="705" spans="1:21" x14ac:dyDescent="0.2">
      <c r="A705" s="353">
        <v>152652</v>
      </c>
      <c r="B705" s="340" t="s">
        <v>734</v>
      </c>
      <c r="C705" s="353">
        <v>15</v>
      </c>
      <c r="D705" s="353">
        <v>2</v>
      </c>
      <c r="E705" s="353">
        <v>2</v>
      </c>
      <c r="F705" s="353">
        <v>1</v>
      </c>
      <c r="G705" s="353">
        <v>18</v>
      </c>
      <c r="H705" s="353">
        <v>36</v>
      </c>
      <c r="I705" s="353">
        <v>108</v>
      </c>
      <c r="J705" s="353">
        <v>15.8</v>
      </c>
      <c r="K705" s="353">
        <v>0.75</v>
      </c>
      <c r="L705" s="353">
        <v>1.84</v>
      </c>
      <c r="M705" s="353">
        <v>15</v>
      </c>
      <c r="N705" s="353">
        <v>0.8</v>
      </c>
      <c r="O705" s="353" t="s">
        <v>203</v>
      </c>
      <c r="P705" s="353">
        <v>2008</v>
      </c>
      <c r="Q705" t="s">
        <v>68</v>
      </c>
      <c r="R705" t="s">
        <v>1572</v>
      </c>
      <c r="S705" s="378" t="s">
        <v>464</v>
      </c>
      <c r="T705" s="378" t="s">
        <v>1046</v>
      </c>
    </row>
    <row r="706" spans="1:21" x14ac:dyDescent="0.2">
      <c r="A706" s="353">
        <v>682070</v>
      </c>
      <c r="B706" s="340" t="s">
        <v>611</v>
      </c>
      <c r="C706" s="353">
        <v>18</v>
      </c>
      <c r="D706" s="353">
        <v>5</v>
      </c>
      <c r="E706" s="353">
        <v>9</v>
      </c>
      <c r="F706" s="353">
        <v>4</v>
      </c>
      <c r="G706" s="353">
        <v>19</v>
      </c>
      <c r="H706" s="353">
        <v>46</v>
      </c>
      <c r="I706" s="353">
        <v>97</v>
      </c>
      <c r="J706" s="353">
        <v>14.6</v>
      </c>
      <c r="K706" s="353">
        <v>0.75</v>
      </c>
      <c r="L706" s="353">
        <v>1.85</v>
      </c>
      <c r="M706" s="353">
        <v>14.6</v>
      </c>
      <c r="N706" s="353">
        <v>1</v>
      </c>
      <c r="O706" s="353" t="s">
        <v>203</v>
      </c>
      <c r="P706" s="353">
        <v>2013</v>
      </c>
      <c r="Q706" t="s">
        <v>68</v>
      </c>
      <c r="R706" t="s">
        <v>1670</v>
      </c>
      <c r="S706" s="378" t="s">
        <v>742</v>
      </c>
      <c r="T706" s="378" t="s">
        <v>215</v>
      </c>
    </row>
    <row r="707" spans="1:21" x14ac:dyDescent="0.2">
      <c r="A707" s="353">
        <v>563254</v>
      </c>
      <c r="B707" s="340" t="s">
        <v>529</v>
      </c>
      <c r="C707" s="353">
        <v>-1</v>
      </c>
      <c r="D707" s="353">
        <v>4</v>
      </c>
      <c r="E707" s="353">
        <v>3</v>
      </c>
      <c r="F707" s="353">
        <v>-3</v>
      </c>
      <c r="G707" s="353">
        <v>6</v>
      </c>
      <c r="H707" s="353">
        <v>26</v>
      </c>
      <c r="I707" s="353">
        <v>97</v>
      </c>
      <c r="J707" s="353">
        <v>14.5</v>
      </c>
      <c r="K707" s="353">
        <v>0.75</v>
      </c>
      <c r="L707" s="353">
        <v>1.84</v>
      </c>
      <c r="M707" s="353">
        <v>16</v>
      </c>
      <c r="N707" s="353">
        <v>0.6</v>
      </c>
      <c r="O707" s="353" t="s">
        <v>344</v>
      </c>
      <c r="P707" s="353">
        <v>2005</v>
      </c>
      <c r="Q707" t="s">
        <v>68</v>
      </c>
      <c r="R707" t="s">
        <v>2018</v>
      </c>
      <c r="S707" s="378" t="s">
        <v>530</v>
      </c>
      <c r="T707" s="378" t="s">
        <v>1047</v>
      </c>
    </row>
    <row r="708" spans="1:21" x14ac:dyDescent="0.2">
      <c r="A708" s="353">
        <v>594713</v>
      </c>
      <c r="B708" s="340" t="s">
        <v>932</v>
      </c>
      <c r="C708" s="353">
        <v>10</v>
      </c>
      <c r="D708" s="353">
        <v>4</v>
      </c>
      <c r="E708" s="353">
        <v>6</v>
      </c>
      <c r="F708" s="353">
        <v>3</v>
      </c>
      <c r="G708" s="353">
        <v>12</v>
      </c>
      <c r="H708" s="353">
        <v>35</v>
      </c>
      <c r="I708" s="353">
        <v>95</v>
      </c>
      <c r="J708" s="353">
        <v>14.3</v>
      </c>
      <c r="K708" s="353">
        <v>0.75</v>
      </c>
      <c r="L708" s="353">
        <v>1.84</v>
      </c>
      <c r="M708" s="353">
        <v>12.4</v>
      </c>
      <c r="N708" s="353">
        <v>0.9</v>
      </c>
      <c r="O708" s="353" t="s">
        <v>203</v>
      </c>
      <c r="P708" s="353">
        <v>2010</v>
      </c>
      <c r="Q708" t="s">
        <v>68</v>
      </c>
      <c r="R708" t="s">
        <v>1540</v>
      </c>
      <c r="S708" s="378" t="s">
        <v>773</v>
      </c>
      <c r="T708" s="378" t="s">
        <v>181</v>
      </c>
      <c r="U708" s="377" t="s">
        <v>162</v>
      </c>
    </row>
    <row r="709" spans="1:21" x14ac:dyDescent="0.2">
      <c r="A709" s="353">
        <v>178624</v>
      </c>
      <c r="B709" s="340" t="s">
        <v>983</v>
      </c>
      <c r="C709" s="353">
        <v>28</v>
      </c>
      <c r="D709" s="353">
        <v>8</v>
      </c>
      <c r="E709" s="353">
        <v>11</v>
      </c>
      <c r="F709" s="353">
        <v>14</v>
      </c>
      <c r="G709" s="353">
        <v>21</v>
      </c>
      <c r="H709" s="353">
        <v>52</v>
      </c>
      <c r="I709" s="353">
        <v>92</v>
      </c>
      <c r="J709" s="353">
        <v>13.9</v>
      </c>
      <c r="K709" s="353">
        <v>0.75</v>
      </c>
      <c r="L709" s="353">
        <v>2.25</v>
      </c>
      <c r="M709" s="353">
        <v>16.2</v>
      </c>
      <c r="N709" s="353">
        <v>1</v>
      </c>
      <c r="O709" s="353" t="s">
        <v>153</v>
      </c>
      <c r="P709" s="353">
        <v>2013</v>
      </c>
      <c r="Q709" t="s">
        <v>68</v>
      </c>
      <c r="R709" t="s">
        <v>1779</v>
      </c>
      <c r="S709" s="378" t="s">
        <v>608</v>
      </c>
      <c r="T709" s="378" t="s">
        <v>1048</v>
      </c>
    </row>
    <row r="710" spans="1:21" x14ac:dyDescent="0.2">
      <c r="A710" s="353">
        <v>523050</v>
      </c>
      <c r="B710" s="340" t="s">
        <v>1067</v>
      </c>
      <c r="C710" s="353">
        <v>19</v>
      </c>
      <c r="D710" s="353">
        <v>4</v>
      </c>
      <c r="E710" s="353">
        <v>8</v>
      </c>
      <c r="F710" s="353">
        <v>7</v>
      </c>
      <c r="G710" s="353">
        <v>18</v>
      </c>
      <c r="H710" s="353">
        <v>31</v>
      </c>
      <c r="I710" s="353">
        <v>82</v>
      </c>
      <c r="J710" s="353">
        <v>12.7</v>
      </c>
      <c r="K710" s="353">
        <v>0.75</v>
      </c>
      <c r="L710" s="353">
        <v>1.84</v>
      </c>
      <c r="M710" s="353">
        <v>13.8</v>
      </c>
      <c r="N710" s="353">
        <v>0.7</v>
      </c>
      <c r="O710" s="353" t="s">
        <v>203</v>
      </c>
      <c r="P710" s="353">
        <v>2010</v>
      </c>
      <c r="Q710" t="s">
        <v>68</v>
      </c>
      <c r="R710" t="s">
        <v>1784</v>
      </c>
      <c r="S710" s="378" t="s">
        <v>773</v>
      </c>
      <c r="T710" s="378" t="s">
        <v>181</v>
      </c>
    </row>
    <row r="711" spans="1:21" x14ac:dyDescent="0.2">
      <c r="A711" s="353">
        <v>717496</v>
      </c>
      <c r="B711" s="340" t="s">
        <v>607</v>
      </c>
      <c r="C711" s="353">
        <v>1</v>
      </c>
      <c r="D711" s="353">
        <v>2</v>
      </c>
      <c r="E711" s="353">
        <v>1</v>
      </c>
      <c r="F711" s="353">
        <v>-2</v>
      </c>
      <c r="G711" s="353">
        <v>7</v>
      </c>
      <c r="H711" s="353">
        <v>26</v>
      </c>
      <c r="I711" s="353">
        <v>79</v>
      </c>
      <c r="J711" s="353">
        <v>12.4</v>
      </c>
      <c r="K711" s="353">
        <v>0.75</v>
      </c>
      <c r="L711" s="353">
        <v>1.84</v>
      </c>
      <c r="M711" s="353">
        <v>13.6</v>
      </c>
      <c r="N711" s="353">
        <v>0.7</v>
      </c>
      <c r="O711" s="353" t="s">
        <v>344</v>
      </c>
      <c r="P711" s="353">
        <v>2006</v>
      </c>
      <c r="Q711" t="s">
        <v>68</v>
      </c>
      <c r="R711" t="s">
        <v>1174</v>
      </c>
      <c r="S711" s="378" t="s">
        <v>530</v>
      </c>
      <c r="T711" s="378" t="s">
        <v>181</v>
      </c>
    </row>
    <row r="712" spans="1:21" x14ac:dyDescent="0.2">
      <c r="A712" s="353">
        <v>673699</v>
      </c>
      <c r="B712" s="340" t="s">
        <v>984</v>
      </c>
      <c r="C712" s="353">
        <v>18</v>
      </c>
      <c r="D712" s="353">
        <v>6</v>
      </c>
      <c r="E712" s="353">
        <v>15</v>
      </c>
      <c r="F712" s="353">
        <v>9</v>
      </c>
      <c r="G712" s="353">
        <v>12</v>
      </c>
      <c r="H712" s="353">
        <v>32</v>
      </c>
      <c r="I712" s="353">
        <v>73</v>
      </c>
      <c r="J712" s="353">
        <v>11.6</v>
      </c>
      <c r="K712" s="353">
        <v>0.75</v>
      </c>
      <c r="L712" s="353">
        <v>2.31</v>
      </c>
      <c r="M712" s="353">
        <v>23.5</v>
      </c>
      <c r="N712" s="353">
        <v>0.5</v>
      </c>
      <c r="O712" s="353" t="s">
        <v>153</v>
      </c>
      <c r="P712" s="353">
        <v>2013</v>
      </c>
      <c r="Q712" t="s">
        <v>68</v>
      </c>
      <c r="R712" t="s">
        <v>1669</v>
      </c>
      <c r="S712" s="378" t="s">
        <v>608</v>
      </c>
      <c r="T712" s="378" t="s">
        <v>342</v>
      </c>
      <c r="U712" s="377" t="s">
        <v>162</v>
      </c>
    </row>
    <row r="713" spans="1:21" x14ac:dyDescent="0.2">
      <c r="A713" s="353">
        <v>666495</v>
      </c>
      <c r="B713" s="340" t="s">
        <v>598</v>
      </c>
      <c r="C713" s="353">
        <v>10</v>
      </c>
      <c r="D713" s="353">
        <v>3</v>
      </c>
      <c r="E713" s="353">
        <v>6</v>
      </c>
      <c r="F713" s="353">
        <v>1</v>
      </c>
      <c r="G713" s="353">
        <v>13</v>
      </c>
      <c r="H713" s="353">
        <v>28</v>
      </c>
      <c r="I713" s="353">
        <v>71</v>
      </c>
      <c r="J713" s="353">
        <v>11.4</v>
      </c>
      <c r="K713" s="353">
        <v>0.75</v>
      </c>
      <c r="L713" s="353">
        <v>1.84</v>
      </c>
      <c r="M713" s="353">
        <v>12.9</v>
      </c>
      <c r="N713" s="353">
        <v>0.7</v>
      </c>
      <c r="O713" s="353" t="s">
        <v>203</v>
      </c>
      <c r="P713" s="353">
        <v>2005</v>
      </c>
      <c r="Q713" t="s">
        <v>68</v>
      </c>
      <c r="R713" t="s">
        <v>1512</v>
      </c>
      <c r="S713" s="378" t="s">
        <v>530</v>
      </c>
      <c r="T713" s="378" t="s">
        <v>215</v>
      </c>
    </row>
    <row r="714" spans="1:21" x14ac:dyDescent="0.2">
      <c r="A714" s="353">
        <v>475897</v>
      </c>
      <c r="B714" s="340" t="s">
        <v>638</v>
      </c>
      <c r="C714" s="353">
        <v>23</v>
      </c>
      <c r="D714" s="353">
        <v>5</v>
      </c>
      <c r="E714" s="353">
        <v>10</v>
      </c>
      <c r="F714" s="353">
        <v>8</v>
      </c>
      <c r="G714" s="353">
        <v>27</v>
      </c>
      <c r="H714" s="353">
        <v>45</v>
      </c>
      <c r="I714" s="353">
        <v>67</v>
      </c>
      <c r="J714" s="353">
        <v>10.9</v>
      </c>
      <c r="K714" s="353">
        <v>0.75</v>
      </c>
      <c r="L714" s="353">
        <v>2.06</v>
      </c>
      <c r="M714" s="353">
        <v>13.7</v>
      </c>
      <c r="N714" s="353">
        <v>1</v>
      </c>
      <c r="O714" s="353" t="s">
        <v>203</v>
      </c>
      <c r="P714" s="353">
        <v>2000</v>
      </c>
      <c r="Q714" t="s">
        <v>68</v>
      </c>
      <c r="R714" t="s">
        <v>1768</v>
      </c>
      <c r="S714" s="378" t="s">
        <v>955</v>
      </c>
      <c r="T714" s="378" t="s">
        <v>215</v>
      </c>
    </row>
    <row r="715" spans="1:21" x14ac:dyDescent="0.2">
      <c r="A715" s="353">
        <v>552984</v>
      </c>
      <c r="B715" s="340" t="s">
        <v>998</v>
      </c>
      <c r="C715" s="353">
        <v>21</v>
      </c>
      <c r="D715" s="353">
        <v>0</v>
      </c>
      <c r="E715" s="353">
        <v>4</v>
      </c>
      <c r="F715" s="353">
        <v>8</v>
      </c>
      <c r="G715" s="353">
        <v>21</v>
      </c>
      <c r="H715" s="353">
        <v>39</v>
      </c>
      <c r="I715" s="353">
        <v>66</v>
      </c>
      <c r="J715" s="353">
        <v>10.7</v>
      </c>
      <c r="K715" s="353">
        <v>0.75</v>
      </c>
      <c r="L715" s="353">
        <v>2.56</v>
      </c>
      <c r="M715" s="353">
        <v>8.6</v>
      </c>
      <c r="N715" s="353">
        <v>1.3</v>
      </c>
      <c r="O715" s="353" t="s">
        <v>153</v>
      </c>
      <c r="P715" s="353">
        <v>2003</v>
      </c>
      <c r="Q715" t="s">
        <v>154</v>
      </c>
      <c r="R715" t="s">
        <v>1783</v>
      </c>
      <c r="S715" s="378" t="s">
        <v>608</v>
      </c>
      <c r="T715" s="378" t="s">
        <v>321</v>
      </c>
    </row>
    <row r="716" spans="1:21" x14ac:dyDescent="0.2">
      <c r="A716" s="353">
        <v>872382</v>
      </c>
      <c r="B716" s="340" t="s">
        <v>1003</v>
      </c>
      <c r="C716" s="353">
        <v>16</v>
      </c>
      <c r="D716" s="353">
        <v>0</v>
      </c>
      <c r="E716" s="353">
        <v>-3</v>
      </c>
      <c r="F716" s="353">
        <v>4</v>
      </c>
      <c r="G716" s="353">
        <v>13</v>
      </c>
      <c r="H716" s="353">
        <v>14</v>
      </c>
      <c r="I716" s="353">
        <v>61</v>
      </c>
      <c r="J716" s="353">
        <v>9.9</v>
      </c>
      <c r="K716" s="353">
        <v>0.75</v>
      </c>
      <c r="L716" s="353">
        <v>2.66</v>
      </c>
      <c r="M716" s="353">
        <v>11.9</v>
      </c>
      <c r="N716" s="353">
        <v>0.4</v>
      </c>
      <c r="O716" s="353" t="s">
        <v>153</v>
      </c>
      <c r="P716" s="353">
        <v>2004</v>
      </c>
      <c r="Q716" t="s">
        <v>154</v>
      </c>
      <c r="R716" t="s">
        <v>1311</v>
      </c>
      <c r="S716" s="378" t="s">
        <v>608</v>
      </c>
      <c r="T716" s="378" t="s">
        <v>321</v>
      </c>
    </row>
    <row r="717" spans="1:21" x14ac:dyDescent="0.2">
      <c r="A717" s="353">
        <v>558882</v>
      </c>
      <c r="B717" s="340" t="s">
        <v>930</v>
      </c>
      <c r="C717" s="353">
        <v>-3</v>
      </c>
      <c r="D717" s="353">
        <v>3</v>
      </c>
      <c r="E717" s="353">
        <v>2</v>
      </c>
      <c r="F717" s="353">
        <v>-3</v>
      </c>
      <c r="G717" s="353">
        <v>-4</v>
      </c>
      <c r="H717" s="353">
        <v>12</v>
      </c>
      <c r="I717" s="353">
        <v>50</v>
      </c>
      <c r="J717" s="353">
        <v>8.5</v>
      </c>
      <c r="K717" s="353">
        <v>0.75</v>
      </c>
      <c r="L717" s="353">
        <v>1.84</v>
      </c>
      <c r="M717" s="353">
        <v>14</v>
      </c>
      <c r="N717" s="353">
        <v>0.4</v>
      </c>
      <c r="O717" s="353" t="s">
        <v>203</v>
      </c>
      <c r="P717" s="353">
        <v>2010</v>
      </c>
      <c r="Q717" t="s">
        <v>68</v>
      </c>
      <c r="R717" t="s">
        <v>1539</v>
      </c>
      <c r="S717" s="378" t="s">
        <v>773</v>
      </c>
      <c r="T717" s="378" t="s">
        <v>1049</v>
      </c>
    </row>
    <row r="718" spans="1:21" x14ac:dyDescent="0.2">
      <c r="A718" s="353">
        <v>295972</v>
      </c>
      <c r="B718" s="340" t="s">
        <v>914</v>
      </c>
      <c r="C718" s="353">
        <v>22</v>
      </c>
      <c r="D718" s="353">
        <v>4</v>
      </c>
      <c r="E718" s="353">
        <v>4</v>
      </c>
      <c r="F718" s="353">
        <v>5</v>
      </c>
      <c r="G718" s="353">
        <v>12</v>
      </c>
      <c r="H718" s="353">
        <v>30</v>
      </c>
      <c r="I718" s="353">
        <v>49</v>
      </c>
      <c r="J718" s="353">
        <v>8.1999999999999993</v>
      </c>
      <c r="K718" s="353">
        <v>0.75</v>
      </c>
      <c r="L718" s="353">
        <v>1.84</v>
      </c>
      <c r="M718" s="353">
        <v>14.2</v>
      </c>
      <c r="N718" s="353">
        <v>0.7</v>
      </c>
      <c r="O718" s="353" t="s">
        <v>344</v>
      </c>
      <c r="P718" s="353">
        <v>2008</v>
      </c>
      <c r="Q718" t="s">
        <v>68</v>
      </c>
      <c r="R718" t="s">
        <v>1562</v>
      </c>
      <c r="S718" s="378" t="s">
        <v>464</v>
      </c>
      <c r="T718" s="378" t="s">
        <v>295</v>
      </c>
    </row>
    <row r="719" spans="1:21" x14ac:dyDescent="0.2">
      <c r="A719" s="353">
        <v>442483</v>
      </c>
      <c r="B719" s="340" t="s">
        <v>1001</v>
      </c>
      <c r="C719" s="353">
        <v>9</v>
      </c>
      <c r="D719" s="353">
        <v>1</v>
      </c>
      <c r="E719" s="353">
        <v>8</v>
      </c>
      <c r="F719" s="353">
        <v>3</v>
      </c>
      <c r="G719" s="353">
        <v>18</v>
      </c>
      <c r="H719" s="353">
        <v>29</v>
      </c>
      <c r="I719" s="353">
        <v>21</v>
      </c>
      <c r="J719" s="353">
        <v>3.8</v>
      </c>
      <c r="K719" s="353">
        <v>0.75</v>
      </c>
      <c r="L719" s="353">
        <v>2.57</v>
      </c>
      <c r="M719" s="353">
        <v>16.899999999999999</v>
      </c>
      <c r="N719" s="353">
        <v>0.6</v>
      </c>
      <c r="O719" s="353" t="s">
        <v>153</v>
      </c>
      <c r="P719" s="353">
        <v>2002</v>
      </c>
      <c r="Q719" t="s">
        <v>154</v>
      </c>
      <c r="R719" t="s">
        <v>1320</v>
      </c>
      <c r="S719" s="378" t="s">
        <v>608</v>
      </c>
      <c r="T719" s="378" t="s">
        <v>321</v>
      </c>
    </row>
    <row r="720" spans="1:21" x14ac:dyDescent="0.2">
      <c r="A720" s="353">
        <v>834788</v>
      </c>
      <c r="B720" s="340" t="s">
        <v>1006</v>
      </c>
      <c r="C720" s="353">
        <v>1</v>
      </c>
      <c r="D720" s="353">
        <v>1</v>
      </c>
      <c r="E720" s="353">
        <v>15</v>
      </c>
      <c r="F720" s="353">
        <v>2</v>
      </c>
      <c r="G720" s="353">
        <v>17</v>
      </c>
      <c r="H720" s="353">
        <v>34</v>
      </c>
      <c r="I720" s="353">
        <v>7</v>
      </c>
      <c r="J720" s="353">
        <v>1.4</v>
      </c>
      <c r="K720" s="353">
        <v>0.75</v>
      </c>
      <c r="L720" s="353">
        <v>2.61</v>
      </c>
      <c r="M720" s="353">
        <v>27</v>
      </c>
      <c r="N720" s="353">
        <v>0.5</v>
      </c>
      <c r="O720" s="353" t="s">
        <v>153</v>
      </c>
      <c r="P720" s="353">
        <v>2002</v>
      </c>
      <c r="Q720" t="s">
        <v>154</v>
      </c>
      <c r="R720" t="s">
        <v>1300</v>
      </c>
      <c r="S720" s="378" t="s">
        <v>608</v>
      </c>
      <c r="T720" s="378" t="s">
        <v>373</v>
      </c>
    </row>
    <row r="721" spans="1:21" x14ac:dyDescent="0.2">
      <c r="A721" s="353">
        <v>333690</v>
      </c>
      <c r="B721" s="340" t="s">
        <v>999</v>
      </c>
      <c r="C721" s="353">
        <v>19</v>
      </c>
      <c r="D721" s="353">
        <v>2</v>
      </c>
      <c r="E721" s="353">
        <v>-2</v>
      </c>
      <c r="F721" s="353">
        <v>1</v>
      </c>
      <c r="G721" s="353">
        <v>6</v>
      </c>
      <c r="H721" s="353">
        <v>-7</v>
      </c>
      <c r="I721" s="353">
        <v>-2</v>
      </c>
      <c r="J721" s="353">
        <v>-0.5</v>
      </c>
      <c r="K721" s="353">
        <v>0.75</v>
      </c>
      <c r="L721" s="353">
        <v>2.52</v>
      </c>
      <c r="M721" s="353">
        <v>21</v>
      </c>
      <c r="N721" s="353">
        <v>0</v>
      </c>
      <c r="O721" s="353" t="s">
        <v>153</v>
      </c>
      <c r="P721" s="353">
        <v>2006</v>
      </c>
      <c r="Q721" t="s">
        <v>154</v>
      </c>
      <c r="R721" t="s">
        <v>1886</v>
      </c>
      <c r="S721" s="378" t="s">
        <v>608</v>
      </c>
      <c r="T721" s="378" t="s">
        <v>298</v>
      </c>
    </row>
    <row r="722" spans="1:21" x14ac:dyDescent="0.2">
      <c r="A722" s="353">
        <v>502922</v>
      </c>
      <c r="B722" s="340" t="s">
        <v>610</v>
      </c>
      <c r="C722" s="353">
        <v>8</v>
      </c>
      <c r="D722" s="353">
        <v>4</v>
      </c>
      <c r="E722" s="353">
        <v>6</v>
      </c>
      <c r="F722" s="353">
        <v>6</v>
      </c>
      <c r="G722" s="353">
        <v>16</v>
      </c>
      <c r="H722" s="353">
        <v>7</v>
      </c>
      <c r="I722" s="353">
        <v>-24</v>
      </c>
      <c r="J722" s="353">
        <v>-5.4</v>
      </c>
      <c r="K722" s="353">
        <v>0.75</v>
      </c>
      <c r="L722" s="353">
        <v>1.85</v>
      </c>
      <c r="M722" s="353">
        <v>30.2</v>
      </c>
      <c r="N722" s="353">
        <v>0.2</v>
      </c>
      <c r="O722" s="353" t="s">
        <v>203</v>
      </c>
      <c r="P722" s="353">
        <v>2013</v>
      </c>
      <c r="Q722" t="s">
        <v>68</v>
      </c>
      <c r="R722" t="s">
        <v>1769</v>
      </c>
      <c r="S722" s="378" t="s">
        <v>742</v>
      </c>
      <c r="T722" s="378" t="s">
        <v>1045</v>
      </c>
    </row>
    <row r="723" spans="1:21" x14ac:dyDescent="0.2">
      <c r="A723" s="353">
        <v>634675</v>
      </c>
      <c r="B723" s="340" t="s">
        <v>733</v>
      </c>
      <c r="C723" s="353">
        <v>17</v>
      </c>
      <c r="D723" s="353">
        <v>4</v>
      </c>
      <c r="E723" s="353">
        <v>8</v>
      </c>
      <c r="F723" s="353">
        <v>4</v>
      </c>
      <c r="G723" s="353">
        <v>18</v>
      </c>
      <c r="H723" s="353">
        <v>42</v>
      </c>
      <c r="I723" s="353"/>
      <c r="J723" s="353"/>
      <c r="K723" s="353">
        <v>0.75</v>
      </c>
      <c r="L723" s="353">
        <v>1.85</v>
      </c>
      <c r="M723" s="353">
        <v>14.5</v>
      </c>
      <c r="N723" s="353">
        <v>0.9</v>
      </c>
      <c r="O723" s="353" t="s">
        <v>203</v>
      </c>
      <c r="P723" s="353">
        <v>2014</v>
      </c>
      <c r="Q723" t="s">
        <v>68</v>
      </c>
      <c r="R723" t="s">
        <v>1725</v>
      </c>
      <c r="S723" s="378" t="s">
        <v>742</v>
      </c>
      <c r="T723" s="378" t="s">
        <v>215</v>
      </c>
    </row>
    <row r="724" spans="1:21" x14ac:dyDescent="0.2">
      <c r="A724" s="353">
        <v>870907</v>
      </c>
      <c r="B724" s="340" t="s">
        <v>985</v>
      </c>
      <c r="C724" s="353">
        <v>16</v>
      </c>
      <c r="D724" s="353">
        <v>5</v>
      </c>
      <c r="E724" s="353">
        <v>9</v>
      </c>
      <c r="F724" s="353">
        <v>7</v>
      </c>
      <c r="G724" s="353">
        <v>17</v>
      </c>
      <c r="H724" s="353"/>
      <c r="I724" s="353"/>
      <c r="J724" s="353"/>
      <c r="K724" s="353">
        <v>0.75</v>
      </c>
      <c r="L724" s="353">
        <v>2.83</v>
      </c>
      <c r="M724" s="353"/>
      <c r="N724" s="353"/>
      <c r="O724" s="353" t="s">
        <v>153</v>
      </c>
      <c r="P724" s="353">
        <v>2015</v>
      </c>
      <c r="Q724" t="s">
        <v>68</v>
      </c>
      <c r="R724" t="s">
        <v>1931</v>
      </c>
      <c r="S724" s="378" t="s">
        <v>608</v>
      </c>
      <c r="T724" s="378" t="s">
        <v>295</v>
      </c>
    </row>
    <row r="725" spans="1:21" x14ac:dyDescent="0.2">
      <c r="A725" s="353">
        <v>910109</v>
      </c>
      <c r="B725" s="340" t="s">
        <v>639</v>
      </c>
      <c r="C725" s="353">
        <v>15</v>
      </c>
      <c r="D725" s="353">
        <v>9</v>
      </c>
      <c r="E725" s="353">
        <v>12</v>
      </c>
      <c r="F725" s="353">
        <v>9</v>
      </c>
      <c r="G725" s="353">
        <v>14</v>
      </c>
      <c r="H725" s="353">
        <v>58</v>
      </c>
      <c r="I725" s="353">
        <v>133</v>
      </c>
      <c r="J725" s="353">
        <v>18.399999999999999</v>
      </c>
      <c r="K725" s="353">
        <v>0.76</v>
      </c>
      <c r="L725" s="353">
        <v>2.09</v>
      </c>
      <c r="M725" s="353">
        <v>16.7</v>
      </c>
      <c r="N725" s="353">
        <v>1</v>
      </c>
      <c r="O725" s="353" t="s">
        <v>492</v>
      </c>
      <c r="P725" s="353">
        <v>2000</v>
      </c>
      <c r="Q725" t="s">
        <v>68</v>
      </c>
      <c r="R725" t="s">
        <v>1944</v>
      </c>
      <c r="S725" s="378" t="s">
        <v>955</v>
      </c>
      <c r="T725" s="378" t="s">
        <v>201</v>
      </c>
    </row>
    <row r="726" spans="1:21" x14ac:dyDescent="0.2">
      <c r="A726" s="353">
        <v>170894</v>
      </c>
      <c r="B726" s="340" t="s">
        <v>614</v>
      </c>
      <c r="C726" s="353">
        <v>20</v>
      </c>
      <c r="D726" s="353">
        <v>9</v>
      </c>
      <c r="E726" s="353">
        <v>3</v>
      </c>
      <c r="F726" s="353">
        <v>0</v>
      </c>
      <c r="G726" s="353">
        <v>8</v>
      </c>
      <c r="H726" s="353">
        <v>45</v>
      </c>
      <c r="I726" s="353">
        <v>124</v>
      </c>
      <c r="J726" s="353">
        <v>17.5</v>
      </c>
      <c r="K726" s="353">
        <v>0.76</v>
      </c>
      <c r="L726" s="353">
        <v>1.89</v>
      </c>
      <c r="M726" s="353">
        <v>19.399999999999999</v>
      </c>
      <c r="N726" s="353">
        <v>0.7</v>
      </c>
      <c r="O726" s="353" t="s">
        <v>344</v>
      </c>
      <c r="P726" s="353">
        <v>2007</v>
      </c>
      <c r="Q726" t="s">
        <v>68</v>
      </c>
      <c r="R726" t="s">
        <v>1959</v>
      </c>
      <c r="S726" s="378" t="s">
        <v>530</v>
      </c>
      <c r="T726" s="378" t="s">
        <v>1057</v>
      </c>
    </row>
    <row r="727" spans="1:21" x14ac:dyDescent="0.2">
      <c r="A727" s="353">
        <v>882530</v>
      </c>
      <c r="B727" s="340" t="s">
        <v>1077</v>
      </c>
      <c r="C727" s="353">
        <v>11</v>
      </c>
      <c r="D727" s="353">
        <v>3</v>
      </c>
      <c r="E727" s="353">
        <v>5</v>
      </c>
      <c r="F727" s="353">
        <v>-1</v>
      </c>
      <c r="G727" s="353">
        <v>9</v>
      </c>
      <c r="H727" s="353">
        <v>38</v>
      </c>
      <c r="I727" s="353">
        <v>110</v>
      </c>
      <c r="J727" s="353">
        <v>16</v>
      </c>
      <c r="K727" s="353">
        <v>0.76</v>
      </c>
      <c r="L727" s="353">
        <v>2.2000000000000002</v>
      </c>
      <c r="M727" s="353">
        <v>16.600000000000001</v>
      </c>
      <c r="N727" s="353">
        <v>0.7</v>
      </c>
      <c r="O727" s="353" t="s">
        <v>344</v>
      </c>
      <c r="P727" s="353">
        <v>2011</v>
      </c>
      <c r="Q727" t="s">
        <v>68</v>
      </c>
      <c r="R727" t="s">
        <v>1655</v>
      </c>
      <c r="S727" s="378" t="s">
        <v>749</v>
      </c>
      <c r="T727" s="378" t="s">
        <v>1047</v>
      </c>
    </row>
    <row r="728" spans="1:21" x14ac:dyDescent="0.2">
      <c r="A728" s="353">
        <v>482919</v>
      </c>
      <c r="B728" s="340" t="s">
        <v>652</v>
      </c>
      <c r="C728" s="353">
        <v>9</v>
      </c>
      <c r="D728" s="353">
        <v>4</v>
      </c>
      <c r="E728" s="353">
        <v>7</v>
      </c>
      <c r="F728" s="353">
        <v>5</v>
      </c>
      <c r="G728" s="353">
        <v>13</v>
      </c>
      <c r="H728" s="353">
        <v>37</v>
      </c>
      <c r="I728" s="353">
        <v>93</v>
      </c>
      <c r="J728" s="353">
        <v>14.1</v>
      </c>
      <c r="K728" s="353">
        <v>0.76</v>
      </c>
      <c r="L728" s="353">
        <v>2.27</v>
      </c>
      <c r="M728" s="353">
        <v>11.6</v>
      </c>
      <c r="N728" s="353">
        <v>1</v>
      </c>
      <c r="O728" s="353" t="s">
        <v>153</v>
      </c>
      <c r="P728" s="353">
        <v>2012</v>
      </c>
      <c r="Q728" t="s">
        <v>154</v>
      </c>
      <c r="R728" t="s">
        <v>1838</v>
      </c>
      <c r="S728" s="378" t="s">
        <v>867</v>
      </c>
      <c r="T728" s="378" t="s">
        <v>181</v>
      </c>
    </row>
    <row r="729" spans="1:21" x14ac:dyDescent="0.2">
      <c r="A729" s="353">
        <v>722983</v>
      </c>
      <c r="B729" s="340" t="s">
        <v>622</v>
      </c>
      <c r="C729" s="353">
        <v>24</v>
      </c>
      <c r="D729" s="353">
        <v>7</v>
      </c>
      <c r="E729" s="353">
        <v>4</v>
      </c>
      <c r="F729" s="353">
        <v>3</v>
      </c>
      <c r="G729" s="353">
        <v>12</v>
      </c>
      <c r="H729" s="353">
        <v>40</v>
      </c>
      <c r="I729" s="353">
        <v>89</v>
      </c>
      <c r="J729" s="353">
        <v>13.5</v>
      </c>
      <c r="K729" s="353">
        <v>0.76</v>
      </c>
      <c r="L729" s="353">
        <v>1.98</v>
      </c>
      <c r="M729" s="353">
        <v>17.899999999999999</v>
      </c>
      <c r="N729" s="353">
        <v>0.7</v>
      </c>
      <c r="O729" s="353" t="s">
        <v>153</v>
      </c>
      <c r="P729" s="353">
        <v>2005</v>
      </c>
      <c r="Q729" t="s">
        <v>154</v>
      </c>
      <c r="R729" t="s">
        <v>1963</v>
      </c>
      <c r="S729" s="378" t="s">
        <v>184</v>
      </c>
      <c r="T729" s="378" t="s">
        <v>1057</v>
      </c>
      <c r="U729" s="377" t="s">
        <v>162</v>
      </c>
    </row>
    <row r="730" spans="1:21" x14ac:dyDescent="0.2">
      <c r="A730" s="353">
        <v>727057</v>
      </c>
      <c r="B730" s="340" t="s">
        <v>647</v>
      </c>
      <c r="C730" s="353">
        <v>8</v>
      </c>
      <c r="D730" s="353">
        <v>4</v>
      </c>
      <c r="E730" s="353">
        <v>8</v>
      </c>
      <c r="F730" s="353">
        <v>6</v>
      </c>
      <c r="G730" s="353">
        <v>13</v>
      </c>
      <c r="H730" s="353">
        <v>36</v>
      </c>
      <c r="I730" s="353">
        <v>70</v>
      </c>
      <c r="J730" s="353">
        <v>11.2</v>
      </c>
      <c r="K730" s="353">
        <v>0.76</v>
      </c>
      <c r="L730" s="353">
        <v>2.25</v>
      </c>
      <c r="M730" s="353">
        <v>11.4</v>
      </c>
      <c r="N730" s="353">
        <v>1</v>
      </c>
      <c r="O730" s="353" t="s">
        <v>153</v>
      </c>
      <c r="P730" s="353">
        <v>2011</v>
      </c>
      <c r="Q730" t="s">
        <v>154</v>
      </c>
      <c r="R730" t="s">
        <v>1199</v>
      </c>
      <c r="S730" s="378" t="s">
        <v>867</v>
      </c>
      <c r="T730" s="378" t="s">
        <v>181</v>
      </c>
    </row>
    <row r="731" spans="1:21" x14ac:dyDescent="0.2">
      <c r="A731" s="353">
        <v>691220</v>
      </c>
      <c r="B731" s="340" t="s">
        <v>661</v>
      </c>
      <c r="C731" s="353">
        <v>11</v>
      </c>
      <c r="D731" s="353">
        <v>5</v>
      </c>
      <c r="E731" s="353">
        <v>8</v>
      </c>
      <c r="F731" s="353">
        <v>8</v>
      </c>
      <c r="G731" s="353">
        <v>9</v>
      </c>
      <c r="H731" s="353">
        <v>23</v>
      </c>
      <c r="I731" s="353">
        <v>43</v>
      </c>
      <c r="J731" s="353">
        <v>7.4</v>
      </c>
      <c r="K731" s="353">
        <v>0.76</v>
      </c>
      <c r="L731" s="353">
        <v>2.2599999999999998</v>
      </c>
      <c r="M731" s="353">
        <v>12.2</v>
      </c>
      <c r="N731" s="353">
        <v>0.7</v>
      </c>
      <c r="O731" s="353" t="s">
        <v>153</v>
      </c>
      <c r="P731" s="353">
        <v>2011</v>
      </c>
      <c r="Q731" t="s">
        <v>154</v>
      </c>
      <c r="R731" t="s">
        <v>1191</v>
      </c>
      <c r="S731" s="378" t="s">
        <v>867</v>
      </c>
      <c r="T731" s="378" t="s">
        <v>295</v>
      </c>
    </row>
    <row r="732" spans="1:21" x14ac:dyDescent="0.2">
      <c r="A732" s="353">
        <v>534099</v>
      </c>
      <c r="B732" s="340" t="s">
        <v>626</v>
      </c>
      <c r="C732" s="353">
        <v>-5</v>
      </c>
      <c r="D732" s="353">
        <v>-1</v>
      </c>
      <c r="E732" s="353">
        <v>-2</v>
      </c>
      <c r="F732" s="353">
        <v>-6</v>
      </c>
      <c r="G732" s="353">
        <v>-6</v>
      </c>
      <c r="H732" s="353">
        <v>-6</v>
      </c>
      <c r="I732" s="353">
        <v>17</v>
      </c>
      <c r="J732" s="353">
        <v>3.2</v>
      </c>
      <c r="K732" s="353">
        <v>0.76</v>
      </c>
      <c r="L732" s="353">
        <v>1.98</v>
      </c>
      <c r="M732" s="353">
        <v>15.4</v>
      </c>
      <c r="N732" s="353">
        <v>-0.1</v>
      </c>
      <c r="O732" s="353" t="s">
        <v>153</v>
      </c>
      <c r="P732" s="353">
        <v>2006</v>
      </c>
      <c r="Q732" t="s">
        <v>154</v>
      </c>
      <c r="R732" t="s">
        <v>1381</v>
      </c>
      <c r="S732" s="378" t="s">
        <v>184</v>
      </c>
      <c r="T732" s="378" t="s">
        <v>295</v>
      </c>
      <c r="U732" s="377" t="s">
        <v>162</v>
      </c>
    </row>
    <row r="733" spans="1:21" x14ac:dyDescent="0.2">
      <c r="A733" s="353">
        <v>123968</v>
      </c>
      <c r="B733" s="340" t="s">
        <v>957</v>
      </c>
      <c r="C733" s="353">
        <v>5</v>
      </c>
      <c r="D733" s="353">
        <v>4</v>
      </c>
      <c r="E733" s="353">
        <v>7</v>
      </c>
      <c r="F733" s="353">
        <v>1</v>
      </c>
      <c r="G733" s="353">
        <v>11</v>
      </c>
      <c r="H733" s="353">
        <v>31</v>
      </c>
      <c r="I733" s="353"/>
      <c r="J733" s="353"/>
      <c r="K733" s="353">
        <v>0.76</v>
      </c>
      <c r="L733" s="353">
        <v>2.0499999999999998</v>
      </c>
      <c r="M733" s="353">
        <v>12.4</v>
      </c>
      <c r="N733" s="353">
        <v>0.8</v>
      </c>
      <c r="O733" s="353" t="s">
        <v>153</v>
      </c>
      <c r="P733" s="353">
        <v>2013</v>
      </c>
      <c r="Q733" t="s">
        <v>154</v>
      </c>
      <c r="R733" t="s">
        <v>1547</v>
      </c>
      <c r="S733" s="378" t="s">
        <v>755</v>
      </c>
      <c r="T733" s="378" t="s">
        <v>181</v>
      </c>
    </row>
    <row r="734" spans="1:21" x14ac:dyDescent="0.2">
      <c r="A734" s="353">
        <v>233460</v>
      </c>
      <c r="B734" s="340" t="s">
        <v>1119</v>
      </c>
      <c r="C734" s="353">
        <v>27</v>
      </c>
      <c r="D734" s="353">
        <v>9</v>
      </c>
      <c r="E734" s="353">
        <v>5</v>
      </c>
      <c r="F734" s="353">
        <v>4</v>
      </c>
      <c r="G734" s="353">
        <v>12</v>
      </c>
      <c r="H734" s="353">
        <v>46</v>
      </c>
      <c r="I734" s="353">
        <v>124</v>
      </c>
      <c r="J734" s="353">
        <v>17.5</v>
      </c>
      <c r="K734" s="353">
        <v>0.77</v>
      </c>
      <c r="L734" s="353">
        <v>2.58</v>
      </c>
      <c r="M734" s="353">
        <v>20.5</v>
      </c>
      <c r="N734" s="353">
        <v>0.7</v>
      </c>
      <c r="O734" s="353" t="s">
        <v>344</v>
      </c>
      <c r="P734" s="353">
        <v>2006</v>
      </c>
      <c r="Q734" t="s">
        <v>68</v>
      </c>
      <c r="R734" t="s">
        <v>1601</v>
      </c>
      <c r="S734" s="378" t="s">
        <v>749</v>
      </c>
      <c r="T734" s="378" t="s">
        <v>1057</v>
      </c>
    </row>
    <row r="735" spans="1:21" x14ac:dyDescent="0.2">
      <c r="A735" s="353">
        <v>666370</v>
      </c>
      <c r="B735" s="340" t="s">
        <v>931</v>
      </c>
      <c r="C735" s="353">
        <v>22</v>
      </c>
      <c r="D735" s="353">
        <v>5</v>
      </c>
      <c r="E735" s="353">
        <v>10</v>
      </c>
      <c r="F735" s="353">
        <v>12</v>
      </c>
      <c r="G735" s="353">
        <v>16</v>
      </c>
      <c r="H735" s="353">
        <v>49</v>
      </c>
      <c r="I735" s="353">
        <v>106</v>
      </c>
      <c r="J735" s="353">
        <v>15.5</v>
      </c>
      <c r="K735" s="353">
        <v>0.77</v>
      </c>
      <c r="L735" s="353">
        <v>1.9</v>
      </c>
      <c r="M735" s="353">
        <v>16.8</v>
      </c>
      <c r="N735" s="353">
        <v>0.9</v>
      </c>
      <c r="O735" s="353" t="s">
        <v>344</v>
      </c>
      <c r="P735" s="353">
        <v>2010</v>
      </c>
      <c r="Q735" t="s">
        <v>68</v>
      </c>
      <c r="R735" t="s">
        <v>1376</v>
      </c>
      <c r="S735" s="378" t="s">
        <v>773</v>
      </c>
      <c r="T735" s="378" t="s">
        <v>342</v>
      </c>
    </row>
    <row r="736" spans="1:21" x14ac:dyDescent="0.2">
      <c r="A736" s="353">
        <v>233346</v>
      </c>
      <c r="B736" s="340" t="s">
        <v>1129</v>
      </c>
      <c r="C736" s="353">
        <v>10</v>
      </c>
      <c r="D736" s="353">
        <v>5</v>
      </c>
      <c r="E736" s="353">
        <v>5</v>
      </c>
      <c r="F736" s="353">
        <v>1</v>
      </c>
      <c r="G736" s="353">
        <v>13</v>
      </c>
      <c r="H736" s="353">
        <v>45</v>
      </c>
      <c r="I736" s="353">
        <v>100</v>
      </c>
      <c r="J736" s="353">
        <v>14.9</v>
      </c>
      <c r="K736" s="353">
        <v>0.77</v>
      </c>
      <c r="L736" s="353">
        <v>2.2799999999999998</v>
      </c>
      <c r="M736" s="353">
        <v>15</v>
      </c>
      <c r="N736" s="353">
        <v>0.9</v>
      </c>
      <c r="O736" s="353" t="s">
        <v>344</v>
      </c>
      <c r="P736" s="353">
        <v>2011</v>
      </c>
      <c r="Q736" t="s">
        <v>68</v>
      </c>
      <c r="R736" t="s">
        <v>1987</v>
      </c>
      <c r="S736" s="378" t="s">
        <v>749</v>
      </c>
      <c r="T736" s="378" t="s">
        <v>289</v>
      </c>
    </row>
    <row r="737" spans="1:21" x14ac:dyDescent="0.2">
      <c r="A737" s="353">
        <v>197632</v>
      </c>
      <c r="B737" s="340" t="s">
        <v>645</v>
      </c>
      <c r="C737" s="353">
        <v>24</v>
      </c>
      <c r="D737" s="353">
        <v>8</v>
      </c>
      <c r="E737" s="353">
        <v>12</v>
      </c>
      <c r="F737" s="353">
        <v>14</v>
      </c>
      <c r="G737" s="353">
        <v>19</v>
      </c>
      <c r="H737" s="353">
        <v>45</v>
      </c>
      <c r="I737" s="353">
        <v>96</v>
      </c>
      <c r="J737" s="353">
        <v>14.4</v>
      </c>
      <c r="K737" s="353">
        <v>0.77</v>
      </c>
      <c r="L737" s="353">
        <v>2.31</v>
      </c>
      <c r="M737" s="353">
        <v>16.600000000000001</v>
      </c>
      <c r="N737" s="353">
        <v>0.8</v>
      </c>
      <c r="O737" s="353" t="s">
        <v>344</v>
      </c>
      <c r="P737" s="353">
        <v>2006</v>
      </c>
      <c r="Q737" t="s">
        <v>68</v>
      </c>
      <c r="R737" t="s">
        <v>1225</v>
      </c>
      <c r="S737" s="378" t="s">
        <v>749</v>
      </c>
      <c r="T737" s="378" t="s">
        <v>342</v>
      </c>
    </row>
    <row r="738" spans="1:21" x14ac:dyDescent="0.2">
      <c r="A738" s="353">
        <v>166173</v>
      </c>
      <c r="B738" s="340" t="s">
        <v>654</v>
      </c>
      <c r="C738" s="353">
        <v>27</v>
      </c>
      <c r="D738" s="353">
        <v>8</v>
      </c>
      <c r="E738" s="353">
        <v>10</v>
      </c>
      <c r="F738" s="353">
        <v>13</v>
      </c>
      <c r="G738" s="353">
        <v>20</v>
      </c>
      <c r="H738" s="353">
        <v>47</v>
      </c>
      <c r="I738" s="353">
        <v>81</v>
      </c>
      <c r="J738" s="353">
        <v>12.6</v>
      </c>
      <c r="K738" s="353">
        <v>0.77</v>
      </c>
      <c r="L738" s="353">
        <v>2.36</v>
      </c>
      <c r="M738" s="353">
        <v>15.2</v>
      </c>
      <c r="N738" s="353">
        <v>0.9</v>
      </c>
      <c r="O738" s="353" t="s">
        <v>344</v>
      </c>
      <c r="P738" s="353">
        <v>2001</v>
      </c>
      <c r="Q738" t="s">
        <v>68</v>
      </c>
      <c r="R738" t="s">
        <v>1777</v>
      </c>
      <c r="S738" s="378" t="s">
        <v>749</v>
      </c>
      <c r="T738" s="378" t="s">
        <v>1048</v>
      </c>
    </row>
    <row r="739" spans="1:21" x14ac:dyDescent="0.2">
      <c r="A739" s="353">
        <v>208439</v>
      </c>
      <c r="B739" s="340" t="s">
        <v>625</v>
      </c>
      <c r="C739" s="353">
        <v>2</v>
      </c>
      <c r="D739" s="353">
        <v>2</v>
      </c>
      <c r="E739" s="353">
        <v>3</v>
      </c>
      <c r="F739" s="353">
        <v>-3</v>
      </c>
      <c r="G739" s="353">
        <v>2</v>
      </c>
      <c r="H739" s="353">
        <v>28</v>
      </c>
      <c r="I739" s="353">
        <v>76</v>
      </c>
      <c r="J739" s="353">
        <v>11.9</v>
      </c>
      <c r="K739" s="353">
        <v>0.77</v>
      </c>
      <c r="L739" s="353">
        <v>2.2000000000000002</v>
      </c>
      <c r="M739" s="353">
        <v>12.9</v>
      </c>
      <c r="N739" s="353">
        <v>0.7</v>
      </c>
      <c r="O739" s="353" t="s">
        <v>153</v>
      </c>
      <c r="P739" s="353">
        <v>2011</v>
      </c>
      <c r="Q739" t="s">
        <v>154</v>
      </c>
      <c r="R739" t="s">
        <v>1235</v>
      </c>
      <c r="S739" s="378" t="s">
        <v>155</v>
      </c>
      <c r="T739" s="378" t="s">
        <v>181</v>
      </c>
    </row>
    <row r="740" spans="1:21" x14ac:dyDescent="0.2">
      <c r="A740" s="353">
        <v>992099</v>
      </c>
      <c r="B740" s="340" t="s">
        <v>928</v>
      </c>
      <c r="C740" s="353">
        <v>18</v>
      </c>
      <c r="D740" s="353">
        <v>6</v>
      </c>
      <c r="E740" s="353">
        <v>8</v>
      </c>
      <c r="F740" s="353">
        <v>7</v>
      </c>
      <c r="G740" s="353">
        <v>14</v>
      </c>
      <c r="H740" s="353">
        <v>33</v>
      </c>
      <c r="I740" s="353">
        <v>60</v>
      </c>
      <c r="J740" s="353">
        <v>9.9</v>
      </c>
      <c r="K740" s="353">
        <v>0.77</v>
      </c>
      <c r="L740" s="353">
        <v>1.9</v>
      </c>
      <c r="M740" s="353">
        <v>14.2</v>
      </c>
      <c r="N740" s="353">
        <v>0.8</v>
      </c>
      <c r="O740" s="353" t="s">
        <v>344</v>
      </c>
      <c r="P740" s="353">
        <v>2000</v>
      </c>
      <c r="Q740" t="s">
        <v>68</v>
      </c>
      <c r="R740" t="s">
        <v>1844</v>
      </c>
      <c r="S740" s="378" t="s">
        <v>773</v>
      </c>
      <c r="T740" s="378" t="s">
        <v>1048</v>
      </c>
    </row>
    <row r="741" spans="1:21" x14ac:dyDescent="0.2">
      <c r="A741" s="353">
        <v>161687</v>
      </c>
      <c r="B741" s="340" t="s">
        <v>656</v>
      </c>
      <c r="C741" s="353">
        <v>18</v>
      </c>
      <c r="D741" s="353">
        <v>6</v>
      </c>
      <c r="E741" s="353">
        <v>8</v>
      </c>
      <c r="F741" s="353">
        <v>8</v>
      </c>
      <c r="G741" s="353">
        <v>14</v>
      </c>
      <c r="H741" s="353">
        <v>31</v>
      </c>
      <c r="I741" s="353">
        <v>55</v>
      </c>
      <c r="J741" s="353">
        <v>9.1</v>
      </c>
      <c r="K741" s="353">
        <v>0.77</v>
      </c>
      <c r="L741" s="353">
        <v>2.38</v>
      </c>
      <c r="M741" s="353">
        <v>14</v>
      </c>
      <c r="N741" s="353">
        <v>0.7</v>
      </c>
      <c r="O741" s="353" t="s">
        <v>344</v>
      </c>
      <c r="P741" s="353">
        <v>2011</v>
      </c>
      <c r="Q741" t="s">
        <v>68</v>
      </c>
      <c r="R741" t="s">
        <v>1204</v>
      </c>
      <c r="S741" s="378" t="s">
        <v>749</v>
      </c>
      <c r="T741" s="378" t="s">
        <v>295</v>
      </c>
    </row>
    <row r="742" spans="1:21" x14ac:dyDescent="0.2">
      <c r="A742" s="353">
        <v>670091</v>
      </c>
      <c r="B742" s="340" t="s">
        <v>1136</v>
      </c>
      <c r="C742" s="353">
        <v>23</v>
      </c>
      <c r="D742" s="353">
        <v>6</v>
      </c>
      <c r="E742" s="353">
        <v>11</v>
      </c>
      <c r="F742" s="353">
        <v>12</v>
      </c>
      <c r="G742" s="353">
        <v>20</v>
      </c>
      <c r="H742" s="353">
        <v>33</v>
      </c>
      <c r="I742" s="353">
        <v>54</v>
      </c>
      <c r="J742" s="353">
        <v>9</v>
      </c>
      <c r="K742" s="353">
        <v>0.77</v>
      </c>
      <c r="L742" s="353">
        <v>1.91</v>
      </c>
      <c r="M742" s="353">
        <v>15.8</v>
      </c>
      <c r="N742" s="353">
        <v>0.7</v>
      </c>
      <c r="O742" s="353" t="s">
        <v>203</v>
      </c>
      <c r="P742" s="353">
        <v>2007</v>
      </c>
      <c r="Q742" t="s">
        <v>68</v>
      </c>
      <c r="R742" t="s">
        <v>2013</v>
      </c>
      <c r="S742" s="378" t="s">
        <v>542</v>
      </c>
      <c r="T742" s="378" t="s">
        <v>295</v>
      </c>
      <c r="U742" s="377" t="s">
        <v>162</v>
      </c>
    </row>
    <row r="743" spans="1:21" x14ac:dyDescent="0.2">
      <c r="A743" s="353">
        <v>169060</v>
      </c>
      <c r="B743" s="340" t="s">
        <v>644</v>
      </c>
      <c r="C743" s="353">
        <v>6</v>
      </c>
      <c r="D743" s="353">
        <v>4</v>
      </c>
      <c r="E743" s="353">
        <v>3</v>
      </c>
      <c r="F743" s="353">
        <v>-1</v>
      </c>
      <c r="G743" s="353">
        <v>2</v>
      </c>
      <c r="H743" s="353">
        <v>4</v>
      </c>
      <c r="I743" s="353">
        <v>18</v>
      </c>
      <c r="J743" s="353">
        <v>3.4</v>
      </c>
      <c r="K743" s="353">
        <v>0.77</v>
      </c>
      <c r="L743" s="353">
        <v>2.34</v>
      </c>
      <c r="M743" s="353">
        <v>14.1</v>
      </c>
      <c r="N743" s="353">
        <v>0.2</v>
      </c>
      <c r="O743" s="353" t="s">
        <v>344</v>
      </c>
      <c r="P743" s="353">
        <v>2008</v>
      </c>
      <c r="Q743" t="s">
        <v>68</v>
      </c>
      <c r="R743" t="s">
        <v>1778</v>
      </c>
      <c r="S743" s="378" t="s">
        <v>749</v>
      </c>
      <c r="T743" s="378" t="s">
        <v>1048</v>
      </c>
    </row>
    <row r="744" spans="1:21" x14ac:dyDescent="0.2">
      <c r="A744" s="353">
        <v>918367</v>
      </c>
      <c r="B744" s="340" t="s">
        <v>1055</v>
      </c>
      <c r="C744" s="353">
        <v>-2</v>
      </c>
      <c r="D744" s="353">
        <v>3</v>
      </c>
      <c r="E744" s="353">
        <v>7</v>
      </c>
      <c r="F744" s="353">
        <v>0</v>
      </c>
      <c r="G744" s="353">
        <v>1</v>
      </c>
      <c r="H744" s="353">
        <v>27</v>
      </c>
      <c r="I744" s="353">
        <v>17</v>
      </c>
      <c r="J744" s="353">
        <v>3.3</v>
      </c>
      <c r="K744" s="353">
        <v>0.77</v>
      </c>
      <c r="L744" s="353">
        <v>2.29</v>
      </c>
      <c r="M744" s="353">
        <v>22.5</v>
      </c>
      <c r="N744" s="353">
        <v>0.5</v>
      </c>
      <c r="O744" s="353" t="s">
        <v>344</v>
      </c>
      <c r="P744" s="353">
        <v>2011</v>
      </c>
      <c r="Q744" t="s">
        <v>68</v>
      </c>
      <c r="R744" t="s">
        <v>1808</v>
      </c>
      <c r="S744" s="378" t="s">
        <v>749</v>
      </c>
      <c r="T744" s="378" t="s">
        <v>1045</v>
      </c>
    </row>
    <row r="745" spans="1:21" x14ac:dyDescent="0.2">
      <c r="A745" s="353">
        <v>889386</v>
      </c>
      <c r="B745" s="340" t="s">
        <v>684</v>
      </c>
      <c r="C745" s="353">
        <v>-2</v>
      </c>
      <c r="D745" s="353">
        <v>2</v>
      </c>
      <c r="E745" s="353">
        <v>15</v>
      </c>
      <c r="F745" s="353">
        <v>0</v>
      </c>
      <c r="G745" s="353">
        <v>14</v>
      </c>
      <c r="H745" s="353">
        <v>46</v>
      </c>
      <c r="I745" s="353">
        <v>8</v>
      </c>
      <c r="J745" s="353">
        <v>1.5</v>
      </c>
      <c r="K745" s="353">
        <v>0.77</v>
      </c>
      <c r="L745" s="353">
        <v>2.75</v>
      </c>
      <c r="M745" s="353">
        <v>26.7</v>
      </c>
      <c r="N745" s="353">
        <v>0.6</v>
      </c>
      <c r="O745" s="353" t="s">
        <v>203</v>
      </c>
      <c r="P745" s="353">
        <v>2004</v>
      </c>
      <c r="Q745" t="s">
        <v>68</v>
      </c>
      <c r="R745" t="s">
        <v>1704</v>
      </c>
      <c r="S745" s="378" t="s">
        <v>198</v>
      </c>
      <c r="T745" s="378" t="s">
        <v>373</v>
      </c>
    </row>
    <row r="746" spans="1:21" x14ac:dyDescent="0.2">
      <c r="A746" s="353">
        <v>204891</v>
      </c>
      <c r="B746" s="340" t="s">
        <v>648</v>
      </c>
      <c r="C746" s="353">
        <v>12</v>
      </c>
      <c r="D746" s="353">
        <v>-1</v>
      </c>
      <c r="E746" s="353">
        <v>6</v>
      </c>
      <c r="F746" s="353">
        <v>1</v>
      </c>
      <c r="G746" s="353">
        <v>2</v>
      </c>
      <c r="H746" s="353">
        <v>-3</v>
      </c>
      <c r="I746" s="353">
        <v>-3</v>
      </c>
      <c r="J746" s="353">
        <v>-0.6</v>
      </c>
      <c r="K746" s="353">
        <v>0.77</v>
      </c>
      <c r="L746" s="353">
        <v>2.37</v>
      </c>
      <c r="M746" s="353">
        <v>20.7</v>
      </c>
      <c r="N746" s="353">
        <v>0.1</v>
      </c>
      <c r="O746" s="353" t="s">
        <v>344</v>
      </c>
      <c r="P746" s="353">
        <v>2008</v>
      </c>
      <c r="Q746" t="s">
        <v>68</v>
      </c>
      <c r="R746" t="s">
        <v>1226</v>
      </c>
      <c r="S746" s="378" t="s">
        <v>749</v>
      </c>
      <c r="T746" s="378" t="s">
        <v>361</v>
      </c>
    </row>
    <row r="747" spans="1:21" x14ac:dyDescent="0.2">
      <c r="A747" s="353">
        <v>956268</v>
      </c>
      <c r="B747" s="340" t="s">
        <v>923</v>
      </c>
      <c r="C747" s="353">
        <v>8</v>
      </c>
      <c r="D747" s="353">
        <v>-2</v>
      </c>
      <c r="E747" s="353">
        <v>4</v>
      </c>
      <c r="F747" s="353">
        <v>2</v>
      </c>
      <c r="G747" s="353">
        <v>-2</v>
      </c>
      <c r="H747" s="353">
        <v>0</v>
      </c>
      <c r="I747" s="353">
        <v>-3</v>
      </c>
      <c r="J747" s="353">
        <v>-0.6</v>
      </c>
      <c r="K747" s="353">
        <v>0.77</v>
      </c>
      <c r="L747" s="353">
        <v>1.9</v>
      </c>
      <c r="M747" s="353">
        <v>21</v>
      </c>
      <c r="N747" s="353">
        <v>0.1</v>
      </c>
      <c r="O747" s="353" t="s">
        <v>344</v>
      </c>
      <c r="P747" s="353">
        <v>2000</v>
      </c>
      <c r="Q747" t="s">
        <v>68</v>
      </c>
      <c r="R747" t="s">
        <v>1250</v>
      </c>
      <c r="S747" s="378" t="s">
        <v>773</v>
      </c>
      <c r="T747" s="378" t="s">
        <v>361</v>
      </c>
    </row>
    <row r="748" spans="1:21" x14ac:dyDescent="0.2">
      <c r="A748" s="353">
        <v>305003</v>
      </c>
      <c r="B748" s="340" t="s">
        <v>1054</v>
      </c>
      <c r="C748" s="353">
        <v>-7</v>
      </c>
      <c r="D748" s="353">
        <v>0</v>
      </c>
      <c r="E748" s="353">
        <v>0</v>
      </c>
      <c r="F748" s="353">
        <v>-8</v>
      </c>
      <c r="G748" s="353">
        <v>-18</v>
      </c>
      <c r="H748" s="353">
        <v>31</v>
      </c>
      <c r="I748" s="353">
        <v>-50</v>
      </c>
      <c r="J748" s="353">
        <v>-12.8</v>
      </c>
      <c r="K748" s="353">
        <v>0.77</v>
      </c>
      <c r="L748" s="353">
        <v>2.33</v>
      </c>
      <c r="M748" s="353">
        <v>36.5</v>
      </c>
      <c r="N748" s="353">
        <v>0.4</v>
      </c>
      <c r="O748" s="353" t="s">
        <v>344</v>
      </c>
      <c r="P748" s="353">
        <v>2011</v>
      </c>
      <c r="Q748" t="s">
        <v>68</v>
      </c>
      <c r="R748" t="s">
        <v>1801</v>
      </c>
      <c r="S748" s="378" t="s">
        <v>749</v>
      </c>
      <c r="T748" s="378" t="s">
        <v>1045</v>
      </c>
    </row>
    <row r="749" spans="1:21" x14ac:dyDescent="0.2">
      <c r="A749" s="353">
        <v>592709</v>
      </c>
      <c r="B749" s="340" t="s">
        <v>1148</v>
      </c>
      <c r="C749" s="353"/>
      <c r="D749" s="353">
        <v>1</v>
      </c>
      <c r="E749" s="353">
        <v>6</v>
      </c>
      <c r="F749" s="353"/>
      <c r="G749" s="353"/>
      <c r="H749" s="353"/>
      <c r="I749" s="353"/>
      <c r="J749" s="353"/>
      <c r="K749" s="353">
        <v>0.77</v>
      </c>
      <c r="L749" s="353">
        <v>1.91</v>
      </c>
      <c r="M749" s="353"/>
      <c r="N749" s="353"/>
      <c r="O749" s="353" t="s">
        <v>153</v>
      </c>
      <c r="P749" s="353">
        <v>2017</v>
      </c>
      <c r="Q749" t="s">
        <v>68</v>
      </c>
      <c r="R749" t="s">
        <v>1583</v>
      </c>
      <c r="S749" s="378" t="s">
        <v>807</v>
      </c>
      <c r="T749" s="378" t="s">
        <v>219</v>
      </c>
    </row>
    <row r="750" spans="1:21" x14ac:dyDescent="0.2">
      <c r="A750" s="353">
        <v>819904</v>
      </c>
      <c r="B750" s="340" t="s">
        <v>832</v>
      </c>
      <c r="C750" s="353">
        <v>20</v>
      </c>
      <c r="D750" s="353">
        <v>4</v>
      </c>
      <c r="E750" s="353">
        <v>5</v>
      </c>
      <c r="F750" s="353">
        <v>9</v>
      </c>
      <c r="G750" s="353">
        <v>9</v>
      </c>
      <c r="H750" s="353">
        <v>3</v>
      </c>
      <c r="I750" s="353"/>
      <c r="J750" s="353"/>
      <c r="K750" s="353">
        <v>0.77</v>
      </c>
      <c r="L750" s="353">
        <v>2.44</v>
      </c>
      <c r="M750" s="353">
        <v>11.8</v>
      </c>
      <c r="N750" s="353">
        <v>0.2</v>
      </c>
      <c r="O750" s="353" t="s">
        <v>203</v>
      </c>
      <c r="P750" s="353">
        <v>2014</v>
      </c>
      <c r="Q750" t="s">
        <v>68</v>
      </c>
      <c r="R750" t="s">
        <v>1587</v>
      </c>
      <c r="S750" s="378" t="s">
        <v>749</v>
      </c>
      <c r="T750" s="378" t="s">
        <v>295</v>
      </c>
    </row>
    <row r="751" spans="1:21" x14ac:dyDescent="0.2">
      <c r="A751" s="353">
        <v>413021</v>
      </c>
      <c r="B751" s="340" t="s">
        <v>846</v>
      </c>
      <c r="C751" s="353">
        <v>4</v>
      </c>
      <c r="D751" s="353">
        <v>3</v>
      </c>
      <c r="E751" s="353">
        <v>5</v>
      </c>
      <c r="F751" s="353">
        <v>1</v>
      </c>
      <c r="G751" s="353">
        <v>6</v>
      </c>
      <c r="H751" s="353">
        <v>4</v>
      </c>
      <c r="I751" s="353"/>
      <c r="J751" s="353"/>
      <c r="K751" s="353">
        <v>0.77</v>
      </c>
      <c r="L751" s="353">
        <v>1.9</v>
      </c>
      <c r="M751" s="353">
        <v>11.1</v>
      </c>
      <c r="N751" s="353">
        <v>0.2</v>
      </c>
      <c r="O751" s="353" t="s">
        <v>203</v>
      </c>
      <c r="P751" s="353">
        <v>2014</v>
      </c>
      <c r="Q751" t="s">
        <v>68</v>
      </c>
      <c r="R751" t="s">
        <v>1910</v>
      </c>
      <c r="S751" s="378" t="s">
        <v>542</v>
      </c>
      <c r="T751" s="378" t="s">
        <v>295</v>
      </c>
      <c r="U751" s="377" t="s">
        <v>162</v>
      </c>
    </row>
    <row r="752" spans="1:21" x14ac:dyDescent="0.2">
      <c r="A752" s="353">
        <v>256305</v>
      </c>
      <c r="B752" s="340" t="s">
        <v>1153</v>
      </c>
      <c r="C752" s="353">
        <v>7</v>
      </c>
      <c r="D752" s="353">
        <v>5</v>
      </c>
      <c r="E752" s="353">
        <v>8</v>
      </c>
      <c r="F752" s="353">
        <v>3</v>
      </c>
      <c r="G752" s="353">
        <v>10</v>
      </c>
      <c r="H752" s="353"/>
      <c r="I752" s="353"/>
      <c r="J752" s="353"/>
      <c r="K752" s="353">
        <v>0.77</v>
      </c>
      <c r="L752" s="353">
        <v>1.9</v>
      </c>
      <c r="M752" s="353"/>
      <c r="N752" s="353"/>
      <c r="O752" s="353" t="s">
        <v>153</v>
      </c>
      <c r="P752" s="353">
        <v>2015</v>
      </c>
      <c r="Q752" t="s">
        <v>68</v>
      </c>
      <c r="R752" t="s">
        <v>1978</v>
      </c>
      <c r="S752" s="378" t="s">
        <v>1071</v>
      </c>
      <c r="T752" s="378" t="s">
        <v>181</v>
      </c>
    </row>
    <row r="753" spans="1:21" x14ac:dyDescent="0.2">
      <c r="A753" s="353">
        <v>849711</v>
      </c>
      <c r="B753" s="340" t="s">
        <v>843</v>
      </c>
      <c r="C753" s="353">
        <v>25</v>
      </c>
      <c r="D753" s="353">
        <v>4</v>
      </c>
      <c r="E753" s="353">
        <v>6</v>
      </c>
      <c r="F753" s="353">
        <v>11</v>
      </c>
      <c r="G753" s="353">
        <v>28</v>
      </c>
      <c r="H753" s="353">
        <v>65</v>
      </c>
      <c r="I753" s="353">
        <v>149</v>
      </c>
      <c r="J753" s="353">
        <v>20.100000000000001</v>
      </c>
      <c r="K753" s="353">
        <v>0.78</v>
      </c>
      <c r="L753" s="353">
        <v>1.95</v>
      </c>
      <c r="M753" s="353">
        <v>13.4</v>
      </c>
      <c r="N753" s="353">
        <v>1.3</v>
      </c>
      <c r="O753" s="353" t="s">
        <v>203</v>
      </c>
      <c r="P753" s="353">
        <v>2012</v>
      </c>
      <c r="Q753" t="s">
        <v>68</v>
      </c>
      <c r="R753" t="s">
        <v>2027</v>
      </c>
      <c r="S753" s="378" t="s">
        <v>807</v>
      </c>
      <c r="T753" s="378" t="s">
        <v>298</v>
      </c>
    </row>
    <row r="754" spans="1:21" x14ac:dyDescent="0.2">
      <c r="A754" s="353">
        <v>603985</v>
      </c>
      <c r="B754" s="340" t="s">
        <v>619</v>
      </c>
      <c r="C754" s="353">
        <v>6</v>
      </c>
      <c r="D754" s="353">
        <v>6</v>
      </c>
      <c r="E754" s="353">
        <v>7</v>
      </c>
      <c r="F754" s="353">
        <v>4</v>
      </c>
      <c r="G754" s="353">
        <v>1</v>
      </c>
      <c r="H754" s="353">
        <v>54</v>
      </c>
      <c r="I754" s="353">
        <v>95</v>
      </c>
      <c r="J754" s="353">
        <v>14.3</v>
      </c>
      <c r="K754" s="353">
        <v>0.78</v>
      </c>
      <c r="L754" s="353">
        <v>1.95</v>
      </c>
      <c r="M754" s="353">
        <v>13.7</v>
      </c>
      <c r="N754" s="353">
        <v>1.1000000000000001</v>
      </c>
      <c r="O754" s="353" t="s">
        <v>203</v>
      </c>
      <c r="P754" s="353">
        <v>2003</v>
      </c>
      <c r="Q754" t="s">
        <v>68</v>
      </c>
      <c r="R754" t="s">
        <v>1723</v>
      </c>
      <c r="S754" s="378" t="s">
        <v>620</v>
      </c>
      <c r="T754" s="378" t="s">
        <v>201</v>
      </c>
    </row>
    <row r="755" spans="1:21" x14ac:dyDescent="0.2">
      <c r="A755" s="353">
        <v>660290</v>
      </c>
      <c r="B755" s="340" t="s">
        <v>643</v>
      </c>
      <c r="C755" s="353">
        <v>16</v>
      </c>
      <c r="D755" s="353">
        <v>4</v>
      </c>
      <c r="E755" s="353">
        <v>7</v>
      </c>
      <c r="F755" s="353">
        <v>6</v>
      </c>
      <c r="G755" s="353">
        <v>12</v>
      </c>
      <c r="H755" s="353">
        <v>44</v>
      </c>
      <c r="I755" s="353">
        <v>79</v>
      </c>
      <c r="J755" s="353">
        <v>12.4</v>
      </c>
      <c r="K755" s="353">
        <v>0.78</v>
      </c>
      <c r="L755" s="353">
        <v>2.04</v>
      </c>
      <c r="M755" s="353">
        <v>13.6</v>
      </c>
      <c r="N755" s="353">
        <v>1</v>
      </c>
      <c r="O755" s="353" t="s">
        <v>153</v>
      </c>
      <c r="P755" s="353">
        <v>2010</v>
      </c>
      <c r="Q755" t="s">
        <v>154</v>
      </c>
      <c r="R755" t="s">
        <v>1389</v>
      </c>
      <c r="S755" s="378" t="s">
        <v>184</v>
      </c>
      <c r="T755" s="378" t="s">
        <v>342</v>
      </c>
      <c r="U755" s="377" t="s">
        <v>162</v>
      </c>
    </row>
    <row r="756" spans="1:21" x14ac:dyDescent="0.2">
      <c r="A756" s="353">
        <v>651141</v>
      </c>
      <c r="B756" s="340" t="s">
        <v>761</v>
      </c>
      <c r="C756" s="353">
        <v>23</v>
      </c>
      <c r="D756" s="353">
        <v>6</v>
      </c>
      <c r="E756" s="353">
        <v>10</v>
      </c>
      <c r="F756" s="353">
        <v>9</v>
      </c>
      <c r="G756" s="353">
        <v>21</v>
      </c>
      <c r="H756" s="353">
        <v>19</v>
      </c>
      <c r="I756" s="353">
        <v>38</v>
      </c>
      <c r="J756" s="353">
        <v>6.7</v>
      </c>
      <c r="K756" s="353">
        <v>0.78</v>
      </c>
      <c r="L756" s="353">
        <v>2.3199999999999998</v>
      </c>
      <c r="M756" s="353">
        <v>12.3</v>
      </c>
      <c r="N756" s="353">
        <v>0.6</v>
      </c>
      <c r="O756" s="353" t="s">
        <v>153</v>
      </c>
      <c r="P756" s="353">
        <v>2011</v>
      </c>
      <c r="Q756" t="s">
        <v>154</v>
      </c>
      <c r="R756" t="s">
        <v>1622</v>
      </c>
      <c r="S756" s="378" t="s">
        <v>155</v>
      </c>
      <c r="T756" s="378" t="s">
        <v>298</v>
      </c>
    </row>
    <row r="757" spans="1:21" x14ac:dyDescent="0.2">
      <c r="A757" s="353">
        <v>686972</v>
      </c>
      <c r="B757" s="340" t="s">
        <v>763</v>
      </c>
      <c r="C757" s="353">
        <v>32</v>
      </c>
      <c r="D757" s="353">
        <v>6</v>
      </c>
      <c r="E757" s="353">
        <v>14</v>
      </c>
      <c r="F757" s="353">
        <v>16</v>
      </c>
      <c r="G757" s="353">
        <v>22</v>
      </c>
      <c r="H757" s="353">
        <v>5</v>
      </c>
      <c r="I757" s="353">
        <v>28</v>
      </c>
      <c r="J757" s="353">
        <v>5</v>
      </c>
      <c r="K757" s="353">
        <v>0.78</v>
      </c>
      <c r="L757" s="353">
        <v>2.52</v>
      </c>
      <c r="M757" s="353">
        <v>14.9</v>
      </c>
      <c r="N757" s="353">
        <v>0.2</v>
      </c>
      <c r="O757" s="353" t="s">
        <v>153</v>
      </c>
      <c r="P757" s="353">
        <v>2011</v>
      </c>
      <c r="Q757" t="s">
        <v>154</v>
      </c>
      <c r="R757" t="s">
        <v>1619</v>
      </c>
      <c r="S757" s="378" t="s">
        <v>155</v>
      </c>
      <c r="T757" s="378" t="s">
        <v>295</v>
      </c>
    </row>
    <row r="758" spans="1:21" x14ac:dyDescent="0.2">
      <c r="A758" s="353">
        <v>649491</v>
      </c>
      <c r="B758" s="340" t="s">
        <v>667</v>
      </c>
      <c r="C758" s="353">
        <v>-2</v>
      </c>
      <c r="D758" s="353">
        <v>0</v>
      </c>
      <c r="E758" s="353">
        <v>12</v>
      </c>
      <c r="F758" s="353">
        <v>-1</v>
      </c>
      <c r="G758" s="353">
        <v>12</v>
      </c>
      <c r="H758" s="353">
        <v>35</v>
      </c>
      <c r="I758" s="353">
        <v>15</v>
      </c>
      <c r="J758" s="353">
        <v>2.8</v>
      </c>
      <c r="K758" s="353">
        <v>0.78</v>
      </c>
      <c r="L758" s="353">
        <v>2.19</v>
      </c>
      <c r="M758" s="353">
        <v>23.3</v>
      </c>
      <c r="N758" s="353">
        <v>0.6</v>
      </c>
      <c r="O758" s="353" t="s">
        <v>153</v>
      </c>
      <c r="P758" s="353">
        <v>2005</v>
      </c>
      <c r="Q758" t="s">
        <v>154</v>
      </c>
      <c r="R758" t="s">
        <v>1489</v>
      </c>
      <c r="S758" s="378" t="s">
        <v>826</v>
      </c>
      <c r="T758" s="378" t="s">
        <v>373</v>
      </c>
    </row>
    <row r="759" spans="1:21" x14ac:dyDescent="0.2">
      <c r="A759" s="353">
        <v>850248</v>
      </c>
      <c r="B759" s="340" t="s">
        <v>862</v>
      </c>
      <c r="C759" s="353">
        <v>12</v>
      </c>
      <c r="D759" s="353">
        <v>1</v>
      </c>
      <c r="E759" s="353">
        <v>7</v>
      </c>
      <c r="F759" s="353">
        <v>2</v>
      </c>
      <c r="G759" s="353">
        <v>20</v>
      </c>
      <c r="H759" s="353"/>
      <c r="I759" s="353"/>
      <c r="J759" s="353"/>
      <c r="K759" s="353">
        <v>0.78</v>
      </c>
      <c r="L759" s="353">
        <v>1.95</v>
      </c>
      <c r="M759" s="353"/>
      <c r="N759" s="353"/>
      <c r="O759" s="353" t="s">
        <v>153</v>
      </c>
      <c r="P759" s="353">
        <v>2015</v>
      </c>
      <c r="Q759" t="s">
        <v>68</v>
      </c>
      <c r="R759" t="s">
        <v>1553</v>
      </c>
      <c r="S759" s="378" t="s">
        <v>1071</v>
      </c>
      <c r="T759" s="378" t="s">
        <v>219</v>
      </c>
    </row>
    <row r="760" spans="1:21" x14ac:dyDescent="0.2">
      <c r="A760" s="353">
        <v>910398</v>
      </c>
      <c r="B760" s="340" t="s">
        <v>762</v>
      </c>
      <c r="C760" s="353">
        <v>14</v>
      </c>
      <c r="D760" s="353">
        <v>7</v>
      </c>
      <c r="E760" s="353">
        <v>11</v>
      </c>
      <c r="F760" s="353">
        <v>11</v>
      </c>
      <c r="G760" s="353">
        <v>9</v>
      </c>
      <c r="H760" s="353">
        <v>6</v>
      </c>
      <c r="I760" s="353"/>
      <c r="J760" s="353"/>
      <c r="K760" s="353">
        <v>0.78</v>
      </c>
      <c r="L760" s="353">
        <v>2.57</v>
      </c>
      <c r="M760" s="353">
        <v>14.2</v>
      </c>
      <c r="N760" s="353">
        <v>0.2</v>
      </c>
      <c r="O760" s="353" t="s">
        <v>153</v>
      </c>
      <c r="P760" s="353">
        <v>2014</v>
      </c>
      <c r="Q760" t="s">
        <v>154</v>
      </c>
      <c r="R760" t="s">
        <v>1826</v>
      </c>
      <c r="S760" s="378" t="s">
        <v>155</v>
      </c>
      <c r="T760" s="378" t="s">
        <v>1048</v>
      </c>
    </row>
    <row r="761" spans="1:21" x14ac:dyDescent="0.2">
      <c r="A761" s="353">
        <v>946228</v>
      </c>
      <c r="B761" s="340" t="s">
        <v>764</v>
      </c>
      <c r="C761" s="353">
        <v>-1</v>
      </c>
      <c r="D761" s="353">
        <v>2</v>
      </c>
      <c r="E761" s="353">
        <v>3</v>
      </c>
      <c r="F761" s="353">
        <v>-4</v>
      </c>
      <c r="G761" s="353">
        <v>-10</v>
      </c>
      <c r="H761" s="353">
        <v>-11</v>
      </c>
      <c r="I761" s="353"/>
      <c r="J761" s="353"/>
      <c r="K761" s="353">
        <v>0.78</v>
      </c>
      <c r="L761" s="353">
        <v>2.54</v>
      </c>
      <c r="M761" s="353">
        <v>17.2</v>
      </c>
      <c r="N761" s="353">
        <v>-0.1</v>
      </c>
      <c r="O761" s="353" t="s">
        <v>153</v>
      </c>
      <c r="P761" s="353">
        <v>2014</v>
      </c>
      <c r="Q761" t="s">
        <v>154</v>
      </c>
      <c r="R761" t="s">
        <v>1929</v>
      </c>
      <c r="S761" s="378" t="s">
        <v>155</v>
      </c>
      <c r="T761" s="378" t="s">
        <v>298</v>
      </c>
    </row>
    <row r="762" spans="1:21" x14ac:dyDescent="0.2">
      <c r="A762" s="353">
        <v>367631</v>
      </c>
      <c r="B762" s="340" t="s">
        <v>732</v>
      </c>
      <c r="C762" s="353">
        <v>9</v>
      </c>
      <c r="D762" s="353">
        <v>6</v>
      </c>
      <c r="E762" s="353">
        <v>8</v>
      </c>
      <c r="F762" s="353">
        <v>5</v>
      </c>
      <c r="G762" s="353">
        <v>9</v>
      </c>
      <c r="H762" s="353">
        <v>52</v>
      </c>
      <c r="I762" s="353">
        <v>113</v>
      </c>
      <c r="J762" s="353">
        <v>16.3</v>
      </c>
      <c r="K762" s="353">
        <v>0.79</v>
      </c>
      <c r="L762" s="353">
        <v>1.96</v>
      </c>
      <c r="M762" s="353">
        <v>15.6</v>
      </c>
      <c r="N762" s="353">
        <v>1</v>
      </c>
      <c r="O762" s="353" t="s">
        <v>203</v>
      </c>
      <c r="P762" s="353">
        <v>2008</v>
      </c>
      <c r="Q762" t="s">
        <v>68</v>
      </c>
      <c r="R762" t="s">
        <v>1935</v>
      </c>
      <c r="S762" s="378" t="s">
        <v>464</v>
      </c>
      <c r="T762" s="378" t="s">
        <v>201</v>
      </c>
    </row>
    <row r="763" spans="1:21" x14ac:dyDescent="0.2">
      <c r="A763" s="353">
        <v>306894</v>
      </c>
      <c r="B763" s="340" t="s">
        <v>1084</v>
      </c>
      <c r="C763" s="353">
        <v>9</v>
      </c>
      <c r="D763" s="353">
        <v>6</v>
      </c>
      <c r="E763" s="353">
        <v>10</v>
      </c>
      <c r="F763" s="353">
        <v>6</v>
      </c>
      <c r="G763" s="353">
        <v>16</v>
      </c>
      <c r="H763" s="353">
        <v>40</v>
      </c>
      <c r="I763" s="353">
        <v>111</v>
      </c>
      <c r="J763" s="353">
        <v>16.100000000000001</v>
      </c>
      <c r="K763" s="353">
        <v>0.79</v>
      </c>
      <c r="L763" s="353">
        <v>1.97</v>
      </c>
      <c r="M763" s="353">
        <v>12.7</v>
      </c>
      <c r="N763" s="353">
        <v>1</v>
      </c>
      <c r="O763" s="353" t="s">
        <v>203</v>
      </c>
      <c r="P763" s="353">
        <v>2008</v>
      </c>
      <c r="Q763" t="s">
        <v>68</v>
      </c>
      <c r="R763" t="s">
        <v>1819</v>
      </c>
      <c r="S763" s="378" t="s">
        <v>379</v>
      </c>
      <c r="T763" s="378" t="s">
        <v>181</v>
      </c>
      <c r="U763" s="377" t="s">
        <v>162</v>
      </c>
    </row>
    <row r="764" spans="1:21" x14ac:dyDescent="0.2">
      <c r="A764" s="353">
        <v>602094</v>
      </c>
      <c r="B764" s="340" t="s">
        <v>642</v>
      </c>
      <c r="C764" s="353">
        <v>9</v>
      </c>
      <c r="D764" s="353">
        <v>5</v>
      </c>
      <c r="E764" s="353">
        <v>8</v>
      </c>
      <c r="F764" s="353">
        <v>4</v>
      </c>
      <c r="G764" s="353">
        <v>10</v>
      </c>
      <c r="H764" s="353">
        <v>20</v>
      </c>
      <c r="I764" s="353">
        <v>45</v>
      </c>
      <c r="J764" s="353">
        <v>7.8</v>
      </c>
      <c r="K764" s="353">
        <v>0.79</v>
      </c>
      <c r="L764" s="353">
        <v>2.08</v>
      </c>
      <c r="M764" s="353">
        <v>12.1</v>
      </c>
      <c r="N764" s="353">
        <v>0.6</v>
      </c>
      <c r="O764" s="353" t="s">
        <v>153</v>
      </c>
      <c r="P764" s="353">
        <v>2006</v>
      </c>
      <c r="Q764" t="s">
        <v>154</v>
      </c>
      <c r="R764" t="s">
        <v>1809</v>
      </c>
      <c r="S764" s="378" t="s">
        <v>184</v>
      </c>
      <c r="T764" s="378" t="s">
        <v>1048</v>
      </c>
      <c r="U764" s="377" t="s">
        <v>162</v>
      </c>
    </row>
    <row r="765" spans="1:21" x14ac:dyDescent="0.2">
      <c r="A765" s="353">
        <v>671982</v>
      </c>
      <c r="B765" s="340" t="s">
        <v>677</v>
      </c>
      <c r="C765" s="353">
        <v>-2</v>
      </c>
      <c r="D765" s="353">
        <v>2</v>
      </c>
      <c r="E765" s="353">
        <v>14</v>
      </c>
      <c r="F765" s="353">
        <v>0</v>
      </c>
      <c r="G765" s="353">
        <v>13</v>
      </c>
      <c r="H765" s="353">
        <v>41</v>
      </c>
      <c r="I765" s="353">
        <v>29</v>
      </c>
      <c r="J765" s="353">
        <v>5.2</v>
      </c>
      <c r="K765" s="353">
        <v>0.79</v>
      </c>
      <c r="L765" s="353">
        <v>2.58</v>
      </c>
      <c r="M765" s="353">
        <v>23.7</v>
      </c>
      <c r="N765" s="353">
        <v>0.6</v>
      </c>
      <c r="O765" s="353" t="s">
        <v>153</v>
      </c>
      <c r="P765" s="353">
        <v>2004</v>
      </c>
      <c r="Q765" t="s">
        <v>154</v>
      </c>
      <c r="R765" t="s">
        <v>1396</v>
      </c>
      <c r="S765" s="378" t="s">
        <v>229</v>
      </c>
      <c r="T765" s="378" t="s">
        <v>373</v>
      </c>
    </row>
    <row r="766" spans="1:21" x14ac:dyDescent="0.2">
      <c r="A766" s="353">
        <v>339473</v>
      </c>
      <c r="B766" s="340" t="s">
        <v>1008</v>
      </c>
      <c r="C766" s="353">
        <v>11</v>
      </c>
      <c r="D766" s="353">
        <v>-2</v>
      </c>
      <c r="E766" s="353">
        <v>0</v>
      </c>
      <c r="F766" s="353">
        <v>0</v>
      </c>
      <c r="G766" s="353">
        <v>14</v>
      </c>
      <c r="H766" s="353">
        <v>75</v>
      </c>
      <c r="I766" s="353">
        <v>158</v>
      </c>
      <c r="J766" s="353">
        <v>20.9</v>
      </c>
      <c r="K766" s="353">
        <v>0.8</v>
      </c>
      <c r="L766" s="353">
        <v>1.99</v>
      </c>
      <c r="M766" s="353">
        <v>12.3</v>
      </c>
      <c r="N766" s="353">
        <v>1.6</v>
      </c>
      <c r="O766" s="353" t="s">
        <v>203</v>
      </c>
      <c r="P766" s="353">
        <v>2016</v>
      </c>
      <c r="Q766" t="s">
        <v>68</v>
      </c>
      <c r="R766" t="s">
        <v>1973</v>
      </c>
      <c r="S766" s="378" t="s">
        <v>604</v>
      </c>
      <c r="T766" s="378" t="s">
        <v>318</v>
      </c>
      <c r="U766" s="377" t="s">
        <v>162</v>
      </c>
    </row>
    <row r="767" spans="1:21" x14ac:dyDescent="0.2">
      <c r="A767" s="353">
        <v>785493</v>
      </c>
      <c r="B767" s="340" t="s">
        <v>633</v>
      </c>
      <c r="C767" s="353">
        <v>15</v>
      </c>
      <c r="D767" s="353">
        <v>0</v>
      </c>
      <c r="E767" s="353">
        <v>1</v>
      </c>
      <c r="F767" s="353">
        <v>1</v>
      </c>
      <c r="G767" s="353">
        <v>18</v>
      </c>
      <c r="H767" s="353">
        <v>72</v>
      </c>
      <c r="I767" s="353">
        <v>152</v>
      </c>
      <c r="J767" s="353">
        <v>20.3</v>
      </c>
      <c r="K767" s="353">
        <v>0.8</v>
      </c>
      <c r="L767" s="353">
        <v>2</v>
      </c>
      <c r="M767" s="353">
        <v>12.5</v>
      </c>
      <c r="N767" s="353">
        <v>1.5</v>
      </c>
      <c r="O767" s="353" t="s">
        <v>203</v>
      </c>
      <c r="P767" s="353">
        <v>2006</v>
      </c>
      <c r="Q767" t="s">
        <v>68</v>
      </c>
      <c r="R767" t="s">
        <v>2025</v>
      </c>
      <c r="S767" s="378" t="s">
        <v>629</v>
      </c>
      <c r="T767" s="378" t="s">
        <v>318</v>
      </c>
    </row>
    <row r="768" spans="1:21" x14ac:dyDescent="0.2">
      <c r="A768" s="353">
        <v>356063</v>
      </c>
      <c r="B768" s="340" t="s">
        <v>631</v>
      </c>
      <c r="C768" s="353">
        <v>24</v>
      </c>
      <c r="D768" s="353">
        <v>3</v>
      </c>
      <c r="E768" s="353">
        <v>5</v>
      </c>
      <c r="F768" s="353">
        <v>5</v>
      </c>
      <c r="G768" s="353">
        <v>28</v>
      </c>
      <c r="H768" s="353">
        <v>64</v>
      </c>
      <c r="I768" s="353">
        <v>132</v>
      </c>
      <c r="J768" s="353">
        <v>18.3</v>
      </c>
      <c r="K768" s="353">
        <v>0.8</v>
      </c>
      <c r="L768" s="353">
        <v>2</v>
      </c>
      <c r="M768" s="353">
        <v>13.7</v>
      </c>
      <c r="N768" s="353">
        <v>1.3</v>
      </c>
      <c r="O768" s="353" t="s">
        <v>203</v>
      </c>
      <c r="P768" s="353">
        <v>2009</v>
      </c>
      <c r="Q768" t="s">
        <v>68</v>
      </c>
      <c r="R768" t="s">
        <v>1626</v>
      </c>
      <c r="S768" s="378" t="s">
        <v>629</v>
      </c>
      <c r="T768" s="378" t="s">
        <v>1046</v>
      </c>
    </row>
    <row r="769" spans="1:21" x14ac:dyDescent="0.2">
      <c r="A769" s="353">
        <v>202002</v>
      </c>
      <c r="B769" s="340" t="s">
        <v>628</v>
      </c>
      <c r="C769" s="353">
        <v>20</v>
      </c>
      <c r="D769" s="353">
        <v>4</v>
      </c>
      <c r="E769" s="353">
        <v>10</v>
      </c>
      <c r="F769" s="353">
        <v>7</v>
      </c>
      <c r="G769" s="353">
        <v>21</v>
      </c>
      <c r="H769" s="353">
        <v>62</v>
      </c>
      <c r="I769" s="353">
        <v>127</v>
      </c>
      <c r="J769" s="353">
        <v>17.8</v>
      </c>
      <c r="K769" s="353">
        <v>0.8</v>
      </c>
      <c r="L769" s="353">
        <v>2</v>
      </c>
      <c r="M769" s="353">
        <v>13.4</v>
      </c>
      <c r="N769" s="353">
        <v>1.3</v>
      </c>
      <c r="O769" s="353" t="s">
        <v>203</v>
      </c>
      <c r="P769" s="353">
        <v>2001</v>
      </c>
      <c r="Q769" t="s">
        <v>68</v>
      </c>
      <c r="R769" t="s">
        <v>2023</v>
      </c>
      <c r="S769" s="378" t="s">
        <v>629</v>
      </c>
      <c r="T769" s="378" t="s">
        <v>181</v>
      </c>
    </row>
    <row r="770" spans="1:21" x14ac:dyDescent="0.2">
      <c r="A770" s="353">
        <v>273664</v>
      </c>
      <c r="B770" s="340" t="s">
        <v>630</v>
      </c>
      <c r="C770" s="353">
        <v>11</v>
      </c>
      <c r="D770" s="353">
        <v>1</v>
      </c>
      <c r="E770" s="353">
        <v>-1</v>
      </c>
      <c r="F770" s="353">
        <v>0</v>
      </c>
      <c r="G770" s="353">
        <v>15</v>
      </c>
      <c r="H770" s="353">
        <v>61</v>
      </c>
      <c r="I770" s="353">
        <v>114</v>
      </c>
      <c r="J770" s="353">
        <v>16.399999999999999</v>
      </c>
      <c r="K770" s="353">
        <v>0.8</v>
      </c>
      <c r="L770" s="353">
        <v>2</v>
      </c>
      <c r="M770" s="353">
        <v>12.6</v>
      </c>
      <c r="N770" s="353">
        <v>1.3</v>
      </c>
      <c r="O770" s="353" t="s">
        <v>203</v>
      </c>
      <c r="P770" s="353">
        <v>2001</v>
      </c>
      <c r="Q770" t="s">
        <v>68</v>
      </c>
      <c r="R770" t="s">
        <v>2024</v>
      </c>
      <c r="S770" s="378" t="s">
        <v>629</v>
      </c>
      <c r="T770" s="378" t="s">
        <v>298</v>
      </c>
    </row>
    <row r="771" spans="1:21" x14ac:dyDescent="0.2">
      <c r="A771" s="353">
        <v>237834</v>
      </c>
      <c r="B771" s="340" t="s">
        <v>634</v>
      </c>
      <c r="C771" s="353">
        <v>13</v>
      </c>
      <c r="D771" s="353">
        <v>2</v>
      </c>
      <c r="E771" s="353">
        <v>3</v>
      </c>
      <c r="F771" s="353">
        <v>2</v>
      </c>
      <c r="G771" s="353">
        <v>16</v>
      </c>
      <c r="H771" s="353">
        <v>65</v>
      </c>
      <c r="I771" s="353">
        <v>112</v>
      </c>
      <c r="J771" s="353">
        <v>16.2</v>
      </c>
      <c r="K771" s="353">
        <v>0.8</v>
      </c>
      <c r="L771" s="353">
        <v>2</v>
      </c>
      <c r="M771" s="353">
        <v>13.1</v>
      </c>
      <c r="N771" s="353">
        <v>1.4</v>
      </c>
      <c r="O771" s="353" t="s">
        <v>203</v>
      </c>
      <c r="P771" s="353">
        <v>2001</v>
      </c>
      <c r="Q771" t="s">
        <v>68</v>
      </c>
      <c r="R771" t="s">
        <v>1460</v>
      </c>
      <c r="S771" s="378" t="s">
        <v>629</v>
      </c>
      <c r="T771" s="378" t="s">
        <v>318</v>
      </c>
    </row>
    <row r="772" spans="1:21" x14ac:dyDescent="0.2">
      <c r="A772" s="353">
        <v>993097</v>
      </c>
      <c r="B772" s="340" t="s">
        <v>690</v>
      </c>
      <c r="C772" s="353">
        <v>10</v>
      </c>
      <c r="D772" s="353">
        <v>4</v>
      </c>
      <c r="E772" s="353">
        <v>8</v>
      </c>
      <c r="F772" s="353">
        <v>5</v>
      </c>
      <c r="G772" s="353">
        <v>17</v>
      </c>
      <c r="H772" s="353">
        <v>29</v>
      </c>
      <c r="I772" s="353">
        <v>75</v>
      </c>
      <c r="J772" s="353">
        <v>11.8</v>
      </c>
      <c r="K772" s="353">
        <v>0.8</v>
      </c>
      <c r="L772" s="353">
        <v>2.59</v>
      </c>
      <c r="M772" s="353">
        <v>13.7</v>
      </c>
      <c r="N772" s="353">
        <v>0.7</v>
      </c>
      <c r="O772" s="353" t="s">
        <v>153</v>
      </c>
      <c r="P772" s="353">
        <v>2010</v>
      </c>
      <c r="Q772" t="s">
        <v>154</v>
      </c>
      <c r="R772" t="s">
        <v>1488</v>
      </c>
      <c r="S772" s="378" t="s">
        <v>826</v>
      </c>
      <c r="T772" s="378" t="s">
        <v>181</v>
      </c>
    </row>
    <row r="773" spans="1:21" x14ac:dyDescent="0.2">
      <c r="A773" s="353">
        <v>724633</v>
      </c>
      <c r="B773" s="340" t="s">
        <v>632</v>
      </c>
      <c r="C773" s="353">
        <v>10</v>
      </c>
      <c r="D773" s="353">
        <v>2</v>
      </c>
      <c r="E773" s="353">
        <v>5</v>
      </c>
      <c r="F773" s="353">
        <v>2</v>
      </c>
      <c r="G773" s="353">
        <v>13</v>
      </c>
      <c r="H773" s="353">
        <v>41</v>
      </c>
      <c r="I773" s="353">
        <v>68</v>
      </c>
      <c r="J773" s="353">
        <v>11</v>
      </c>
      <c r="K773" s="353">
        <v>0.8</v>
      </c>
      <c r="L773" s="353">
        <v>2</v>
      </c>
      <c r="M773" s="353">
        <v>13.1</v>
      </c>
      <c r="N773" s="353">
        <v>1</v>
      </c>
      <c r="O773" s="353" t="s">
        <v>203</v>
      </c>
      <c r="P773" s="353">
        <v>2011</v>
      </c>
      <c r="Q773" t="s">
        <v>68</v>
      </c>
      <c r="R773" t="s">
        <v>1916</v>
      </c>
      <c r="S773" s="378" t="s">
        <v>629</v>
      </c>
      <c r="T773" s="378" t="s">
        <v>215</v>
      </c>
    </row>
    <row r="774" spans="1:21" x14ac:dyDescent="0.2">
      <c r="A774" s="353">
        <v>534156</v>
      </c>
      <c r="B774" s="340" t="s">
        <v>688</v>
      </c>
      <c r="C774" s="353">
        <v>13</v>
      </c>
      <c r="D774" s="353">
        <v>0</v>
      </c>
      <c r="E774" s="353">
        <v>-7</v>
      </c>
      <c r="F774" s="353">
        <v>-2</v>
      </c>
      <c r="G774" s="353">
        <v>5</v>
      </c>
      <c r="H774" s="353">
        <v>-9</v>
      </c>
      <c r="I774" s="353">
        <v>25</v>
      </c>
      <c r="J774" s="353">
        <v>4.5999999999999996</v>
      </c>
      <c r="K774" s="353">
        <v>0.8</v>
      </c>
      <c r="L774" s="353">
        <v>2.5499999999999998</v>
      </c>
      <c r="M774" s="353">
        <v>13.4</v>
      </c>
      <c r="N774" s="353">
        <v>-0.1</v>
      </c>
      <c r="O774" s="353" t="s">
        <v>153</v>
      </c>
      <c r="P774" s="353">
        <v>2003</v>
      </c>
      <c r="Q774" t="s">
        <v>154</v>
      </c>
      <c r="R774" t="s">
        <v>1285</v>
      </c>
      <c r="S774" s="378" t="s">
        <v>826</v>
      </c>
      <c r="T774" s="378" t="s">
        <v>321</v>
      </c>
    </row>
    <row r="775" spans="1:21" x14ac:dyDescent="0.2">
      <c r="A775" s="353">
        <v>949941</v>
      </c>
      <c r="B775" s="340" t="s">
        <v>627</v>
      </c>
      <c r="C775" s="353">
        <v>1</v>
      </c>
      <c r="D775" s="353">
        <v>1</v>
      </c>
      <c r="E775" s="353">
        <v>4</v>
      </c>
      <c r="F775" s="353">
        <v>-3</v>
      </c>
      <c r="G775" s="353">
        <v>9</v>
      </c>
      <c r="H775" s="353">
        <v>18</v>
      </c>
      <c r="I775" s="353">
        <v>18</v>
      </c>
      <c r="J775" s="353">
        <v>3.4</v>
      </c>
      <c r="K775" s="353">
        <v>0.8</v>
      </c>
      <c r="L775" s="353">
        <v>2</v>
      </c>
      <c r="M775" s="353">
        <v>17.3</v>
      </c>
      <c r="N775" s="353">
        <v>0.4</v>
      </c>
      <c r="O775" s="353" t="s">
        <v>203</v>
      </c>
      <c r="P775" s="353">
        <v>2011</v>
      </c>
      <c r="Q775" t="s">
        <v>68</v>
      </c>
      <c r="R775" t="s">
        <v>1221</v>
      </c>
      <c r="S775" s="378" t="s">
        <v>1117</v>
      </c>
      <c r="T775" s="378" t="s">
        <v>321</v>
      </c>
      <c r="U775" s="377" t="s">
        <v>162</v>
      </c>
    </row>
    <row r="776" spans="1:21" x14ac:dyDescent="0.2">
      <c r="A776" s="353">
        <v>293498</v>
      </c>
      <c r="B776" s="340" t="s">
        <v>673</v>
      </c>
      <c r="C776" s="353">
        <v>8</v>
      </c>
      <c r="D776" s="353">
        <v>0</v>
      </c>
      <c r="E776" s="353">
        <v>12</v>
      </c>
      <c r="F776" s="353">
        <v>2</v>
      </c>
      <c r="G776" s="353">
        <v>21</v>
      </c>
      <c r="H776" s="353">
        <v>21</v>
      </c>
      <c r="I776" s="353">
        <v>11</v>
      </c>
      <c r="J776" s="353">
        <v>2.1</v>
      </c>
      <c r="K776" s="353">
        <v>0.8</v>
      </c>
      <c r="L776" s="353">
        <v>2.2999999999999998</v>
      </c>
      <c r="M776" s="353">
        <v>19.3</v>
      </c>
      <c r="N776" s="353">
        <v>0.4</v>
      </c>
      <c r="O776" s="353" t="s">
        <v>153</v>
      </c>
      <c r="P776" s="353">
        <v>2010</v>
      </c>
      <c r="Q776" t="s">
        <v>154</v>
      </c>
      <c r="R776" t="s">
        <v>1782</v>
      </c>
      <c r="S776" s="378" t="s">
        <v>826</v>
      </c>
      <c r="T776" s="378" t="s">
        <v>1048</v>
      </c>
    </row>
    <row r="777" spans="1:21" x14ac:dyDescent="0.2">
      <c r="A777" s="353">
        <v>312850</v>
      </c>
      <c r="B777" s="340" t="s">
        <v>1160</v>
      </c>
      <c r="C777" s="353">
        <v>-20</v>
      </c>
      <c r="D777" s="353">
        <v>3</v>
      </c>
      <c r="E777" s="353">
        <v>11</v>
      </c>
      <c r="F777" s="353">
        <v>-4</v>
      </c>
      <c r="G777" s="353">
        <v>-9</v>
      </c>
      <c r="H777" s="353">
        <v>-9</v>
      </c>
      <c r="I777" s="353">
        <v>-40</v>
      </c>
      <c r="J777" s="353">
        <v>-9.6999999999999993</v>
      </c>
      <c r="K777" s="353">
        <v>0.8</v>
      </c>
      <c r="L777" s="353">
        <v>2.71</v>
      </c>
      <c r="M777" s="353">
        <v>22.3</v>
      </c>
      <c r="N777" s="353">
        <v>0</v>
      </c>
      <c r="O777" s="353" t="s">
        <v>153</v>
      </c>
      <c r="P777" s="353">
        <v>2012</v>
      </c>
      <c r="Q777" t="s">
        <v>154</v>
      </c>
      <c r="R777" t="s">
        <v>1717</v>
      </c>
      <c r="S777" s="378" t="s">
        <v>826</v>
      </c>
      <c r="T777" s="378" t="s">
        <v>1045</v>
      </c>
    </row>
    <row r="778" spans="1:21" x14ac:dyDescent="0.2">
      <c r="A778" s="353">
        <v>351049</v>
      </c>
      <c r="B778" s="340" t="s">
        <v>878</v>
      </c>
      <c r="C778" s="353">
        <v>1</v>
      </c>
      <c r="D778" s="353">
        <v>1</v>
      </c>
      <c r="E778" s="353">
        <v>3</v>
      </c>
      <c r="F778" s="353">
        <v>-2</v>
      </c>
      <c r="G778" s="353">
        <v>6</v>
      </c>
      <c r="H778" s="353"/>
      <c r="I778" s="353"/>
      <c r="J778" s="353"/>
      <c r="K778" s="353">
        <v>0.8</v>
      </c>
      <c r="L778" s="353">
        <v>2</v>
      </c>
      <c r="M778" s="353"/>
      <c r="N778" s="353"/>
      <c r="O778" s="353" t="s">
        <v>153</v>
      </c>
      <c r="P778" s="353">
        <v>2015</v>
      </c>
      <c r="Q778" t="s">
        <v>68</v>
      </c>
      <c r="R778" t="s">
        <v>1279</v>
      </c>
      <c r="S778" s="378" t="s">
        <v>879</v>
      </c>
      <c r="T778" s="378" t="s">
        <v>219</v>
      </c>
      <c r="U778" s="377" t="s">
        <v>162</v>
      </c>
    </row>
    <row r="779" spans="1:21" x14ac:dyDescent="0.2">
      <c r="A779" s="353">
        <v>814418</v>
      </c>
      <c r="B779" s="340" t="s">
        <v>947</v>
      </c>
      <c r="C779" s="353">
        <v>21</v>
      </c>
      <c r="D779" s="353">
        <v>3</v>
      </c>
      <c r="E779" s="353">
        <v>9</v>
      </c>
      <c r="F779" s="353">
        <v>7</v>
      </c>
      <c r="G779" s="353">
        <v>27</v>
      </c>
      <c r="H779" s="353"/>
      <c r="I779" s="353"/>
      <c r="J779" s="353"/>
      <c r="K779" s="353">
        <v>0.8</v>
      </c>
      <c r="L779" s="353">
        <v>1.99</v>
      </c>
      <c r="M779" s="353"/>
      <c r="N779" s="353"/>
      <c r="O779" s="353" t="s">
        <v>153</v>
      </c>
      <c r="P779" s="353">
        <v>2015</v>
      </c>
      <c r="Q779" t="s">
        <v>68</v>
      </c>
      <c r="R779" t="s">
        <v>1502</v>
      </c>
      <c r="S779" s="378" t="s">
        <v>1071</v>
      </c>
      <c r="T779" s="378" t="s">
        <v>1046</v>
      </c>
    </row>
    <row r="780" spans="1:21" x14ac:dyDescent="0.2">
      <c r="A780" s="353">
        <v>572107</v>
      </c>
      <c r="B780" s="340" t="s">
        <v>841</v>
      </c>
      <c r="C780" s="353">
        <v>12</v>
      </c>
      <c r="D780" s="353">
        <v>4</v>
      </c>
      <c r="E780" s="353">
        <v>9</v>
      </c>
      <c r="F780" s="353">
        <v>6</v>
      </c>
      <c r="G780" s="353">
        <v>17</v>
      </c>
      <c r="H780" s="353"/>
      <c r="I780" s="353"/>
      <c r="J780" s="353"/>
      <c r="K780" s="353">
        <v>0.8</v>
      </c>
      <c r="L780" s="353">
        <v>2.4300000000000002</v>
      </c>
      <c r="M780" s="353"/>
      <c r="N780" s="353"/>
      <c r="O780" s="353" t="s">
        <v>153</v>
      </c>
      <c r="P780" s="353">
        <v>2015</v>
      </c>
      <c r="Q780" t="s">
        <v>154</v>
      </c>
      <c r="R780" t="s">
        <v>1411</v>
      </c>
      <c r="S780" s="378" t="s">
        <v>826</v>
      </c>
      <c r="T780" s="378" t="s">
        <v>181</v>
      </c>
    </row>
    <row r="781" spans="1:21" x14ac:dyDescent="0.2">
      <c r="A781" s="353">
        <v>354704</v>
      </c>
      <c r="B781" s="340" t="s">
        <v>865</v>
      </c>
      <c r="C781" s="353">
        <v>15</v>
      </c>
      <c r="D781" s="353">
        <v>1</v>
      </c>
      <c r="E781" s="353">
        <v>3</v>
      </c>
      <c r="F781" s="353">
        <v>-4</v>
      </c>
      <c r="G781" s="353">
        <v>16</v>
      </c>
      <c r="H781" s="353"/>
      <c r="I781" s="353"/>
      <c r="J781" s="353"/>
      <c r="K781" s="353">
        <v>0.8</v>
      </c>
      <c r="L781" s="353">
        <v>2.25</v>
      </c>
      <c r="M781" s="353"/>
      <c r="N781" s="353"/>
      <c r="O781" s="353" t="s">
        <v>153</v>
      </c>
      <c r="P781" s="353">
        <v>2015</v>
      </c>
      <c r="Q781" t="s">
        <v>154</v>
      </c>
      <c r="R781" t="s">
        <v>1280</v>
      </c>
      <c r="S781" s="378" t="s">
        <v>826</v>
      </c>
      <c r="T781" s="378" t="s">
        <v>219</v>
      </c>
    </row>
    <row r="782" spans="1:21" x14ac:dyDescent="0.2">
      <c r="A782" s="353">
        <v>392308</v>
      </c>
      <c r="B782" s="340" t="s">
        <v>1095</v>
      </c>
      <c r="C782" s="353"/>
      <c r="D782" s="353">
        <v>1</v>
      </c>
      <c r="E782" s="353">
        <v>8</v>
      </c>
      <c r="F782" s="353">
        <v>13</v>
      </c>
      <c r="G782" s="353"/>
      <c r="H782" s="353"/>
      <c r="I782" s="353"/>
      <c r="J782" s="353"/>
      <c r="K782" s="353">
        <v>0.8</v>
      </c>
      <c r="L782" s="353">
        <v>2</v>
      </c>
      <c r="M782" s="353"/>
      <c r="N782" s="353"/>
      <c r="O782" s="353" t="s">
        <v>203</v>
      </c>
      <c r="P782" s="353">
        <v>2017</v>
      </c>
      <c r="Q782" t="s">
        <v>68</v>
      </c>
      <c r="R782" t="s">
        <v>1648</v>
      </c>
      <c r="S782" s="378" t="s">
        <v>629</v>
      </c>
      <c r="T782" s="378" t="s">
        <v>215</v>
      </c>
    </row>
    <row r="783" spans="1:21" x14ac:dyDescent="0.2">
      <c r="A783" s="353">
        <v>674101</v>
      </c>
      <c r="B783" s="340" t="s">
        <v>950</v>
      </c>
      <c r="C783" s="353">
        <v>-4</v>
      </c>
      <c r="D783" s="353">
        <v>2</v>
      </c>
      <c r="E783" s="353">
        <v>6</v>
      </c>
      <c r="F783" s="353">
        <v>0</v>
      </c>
      <c r="G783" s="353">
        <v>-8</v>
      </c>
      <c r="H783" s="353"/>
      <c r="I783" s="353"/>
      <c r="J783" s="353"/>
      <c r="K783" s="353">
        <v>0.8</v>
      </c>
      <c r="L783" s="353">
        <v>2</v>
      </c>
      <c r="M783" s="353"/>
      <c r="N783" s="353"/>
      <c r="O783" s="353" t="s">
        <v>293</v>
      </c>
      <c r="P783" s="353">
        <v>2016</v>
      </c>
      <c r="Q783" t="s">
        <v>68</v>
      </c>
      <c r="R783" t="s">
        <v>1889</v>
      </c>
      <c r="S783" s="378" t="s">
        <v>354</v>
      </c>
      <c r="T783" s="378" t="s">
        <v>289</v>
      </c>
    </row>
    <row r="784" spans="1:21" x14ac:dyDescent="0.2">
      <c r="A784" s="353">
        <v>303644</v>
      </c>
      <c r="B784" s="340" t="s">
        <v>1014</v>
      </c>
      <c r="C784" s="353">
        <v>21</v>
      </c>
      <c r="D784" s="353">
        <v>3</v>
      </c>
      <c r="E784" s="353">
        <v>7</v>
      </c>
      <c r="F784" s="353">
        <v>7</v>
      </c>
      <c r="G784" s="353">
        <v>24</v>
      </c>
      <c r="H784" s="353"/>
      <c r="I784" s="353"/>
      <c r="J784" s="353"/>
      <c r="K784" s="353">
        <v>0.8</v>
      </c>
      <c r="L784" s="353">
        <v>1.99</v>
      </c>
      <c r="M784" s="353"/>
      <c r="N784" s="353"/>
      <c r="O784" s="353" t="s">
        <v>203</v>
      </c>
      <c r="P784" s="353">
        <v>2016</v>
      </c>
      <c r="Q784" t="s">
        <v>68</v>
      </c>
      <c r="R784" t="s">
        <v>1970</v>
      </c>
      <c r="S784" s="378" t="s">
        <v>604</v>
      </c>
      <c r="T784" s="378" t="s">
        <v>1046</v>
      </c>
      <c r="U784" s="377" t="s">
        <v>162</v>
      </c>
    </row>
    <row r="785" spans="1:21" x14ac:dyDescent="0.2">
      <c r="A785" s="353">
        <v>267815</v>
      </c>
      <c r="B785" s="340" t="s">
        <v>1007</v>
      </c>
      <c r="C785" s="353">
        <v>21</v>
      </c>
      <c r="D785" s="353">
        <v>-2</v>
      </c>
      <c r="E785" s="353">
        <v>0</v>
      </c>
      <c r="F785" s="353">
        <v>1</v>
      </c>
      <c r="G785" s="353"/>
      <c r="H785" s="353"/>
      <c r="I785" s="353"/>
      <c r="J785" s="353"/>
      <c r="K785" s="353">
        <v>0.8</v>
      </c>
      <c r="L785" s="353">
        <v>1.99</v>
      </c>
      <c r="M785" s="353"/>
      <c r="N785" s="353"/>
      <c r="O785" s="353" t="s">
        <v>203</v>
      </c>
      <c r="P785" s="353">
        <v>2016</v>
      </c>
      <c r="Q785" t="s">
        <v>68</v>
      </c>
      <c r="R785" t="s">
        <v>1972</v>
      </c>
      <c r="S785" s="378" t="s">
        <v>604</v>
      </c>
      <c r="T785" s="378" t="s">
        <v>318</v>
      </c>
      <c r="U785" s="377" t="s">
        <v>162</v>
      </c>
    </row>
    <row r="786" spans="1:21" x14ac:dyDescent="0.2">
      <c r="A786" s="353">
        <v>738500</v>
      </c>
      <c r="B786" s="340" t="s">
        <v>1156</v>
      </c>
      <c r="C786" s="353">
        <v>6</v>
      </c>
      <c r="D786" s="353">
        <v>4</v>
      </c>
      <c r="E786" s="353">
        <v>6</v>
      </c>
      <c r="F786" s="353">
        <v>2</v>
      </c>
      <c r="G786" s="353">
        <v>11</v>
      </c>
      <c r="H786" s="353"/>
      <c r="I786" s="353"/>
      <c r="J786" s="353"/>
      <c r="K786" s="353">
        <v>0.8</v>
      </c>
      <c r="L786" s="353">
        <v>2.33</v>
      </c>
      <c r="M786" s="353"/>
      <c r="N786" s="353"/>
      <c r="O786" s="353" t="s">
        <v>153</v>
      </c>
      <c r="P786" s="353">
        <v>2015</v>
      </c>
      <c r="Q786" t="s">
        <v>154</v>
      </c>
      <c r="R786" t="s">
        <v>1985</v>
      </c>
      <c r="S786" s="378" t="s">
        <v>284</v>
      </c>
      <c r="T786" s="378" t="s">
        <v>181</v>
      </c>
      <c r="U786" s="377" t="s">
        <v>162</v>
      </c>
    </row>
    <row r="787" spans="1:21" x14ac:dyDescent="0.2">
      <c r="A787" s="353">
        <v>296749</v>
      </c>
      <c r="B787" s="340" t="s">
        <v>970</v>
      </c>
      <c r="C787" s="353">
        <v>23</v>
      </c>
      <c r="D787" s="353">
        <v>7</v>
      </c>
      <c r="E787" s="353">
        <v>7</v>
      </c>
      <c r="F787" s="353">
        <v>10</v>
      </c>
      <c r="G787" s="353">
        <v>20</v>
      </c>
      <c r="H787" s="353">
        <v>73</v>
      </c>
      <c r="I787" s="353">
        <v>181</v>
      </c>
      <c r="J787" s="353">
        <v>23</v>
      </c>
      <c r="K787" s="353">
        <v>0.81</v>
      </c>
      <c r="L787" s="353">
        <v>2.71</v>
      </c>
      <c r="M787" s="353">
        <v>15.3</v>
      </c>
      <c r="N787" s="353">
        <v>1.3</v>
      </c>
      <c r="O787" s="353" t="s">
        <v>344</v>
      </c>
      <c r="P787" s="353">
        <v>2000</v>
      </c>
      <c r="Q787" t="s">
        <v>68</v>
      </c>
      <c r="R787" t="s">
        <v>1241</v>
      </c>
      <c r="S787" s="378" t="s">
        <v>955</v>
      </c>
      <c r="T787" s="378" t="s">
        <v>253</v>
      </c>
    </row>
    <row r="788" spans="1:21" x14ac:dyDescent="0.2">
      <c r="A788" s="353">
        <v>260919</v>
      </c>
      <c r="B788" s="340" t="s">
        <v>695</v>
      </c>
      <c r="C788" s="353">
        <v>11</v>
      </c>
      <c r="D788" s="353">
        <v>-4</v>
      </c>
      <c r="E788" s="353">
        <v>0</v>
      </c>
      <c r="F788" s="353">
        <v>-1</v>
      </c>
      <c r="G788" s="353">
        <v>16</v>
      </c>
      <c r="H788" s="353">
        <v>16</v>
      </c>
      <c r="I788" s="353">
        <v>143</v>
      </c>
      <c r="J788" s="353">
        <v>19.5</v>
      </c>
      <c r="K788" s="353">
        <v>0.81</v>
      </c>
      <c r="L788" s="353">
        <v>2.72</v>
      </c>
      <c r="M788" s="353">
        <v>26.9</v>
      </c>
      <c r="N788" s="353">
        <v>0.3</v>
      </c>
      <c r="O788" s="353" t="s">
        <v>344</v>
      </c>
      <c r="P788" s="353">
        <v>2000</v>
      </c>
      <c r="Q788" t="s">
        <v>68</v>
      </c>
      <c r="R788" t="s">
        <v>1995</v>
      </c>
      <c r="S788" s="378" t="s">
        <v>955</v>
      </c>
      <c r="T788" s="378" t="s">
        <v>1051</v>
      </c>
    </row>
    <row r="789" spans="1:21" x14ac:dyDescent="0.2">
      <c r="A789" s="353">
        <v>440065</v>
      </c>
      <c r="B789" s="340" t="s">
        <v>701</v>
      </c>
      <c r="C789" s="353">
        <v>20</v>
      </c>
      <c r="D789" s="353">
        <v>3</v>
      </c>
      <c r="E789" s="353">
        <v>7</v>
      </c>
      <c r="F789" s="353">
        <v>6</v>
      </c>
      <c r="G789" s="353">
        <v>21</v>
      </c>
      <c r="H789" s="353">
        <v>57</v>
      </c>
      <c r="I789" s="353">
        <v>123</v>
      </c>
      <c r="J789" s="353">
        <v>17.399999999999999</v>
      </c>
      <c r="K789" s="353">
        <v>0.81</v>
      </c>
      <c r="L789" s="353">
        <v>2.68</v>
      </c>
      <c r="M789" s="353">
        <v>13.9</v>
      </c>
      <c r="N789" s="353">
        <v>1.2</v>
      </c>
      <c r="O789" s="353" t="s">
        <v>203</v>
      </c>
      <c r="P789" s="353">
        <v>2000</v>
      </c>
      <c r="Q789" t="s">
        <v>68</v>
      </c>
      <c r="R789" t="s">
        <v>1752</v>
      </c>
      <c r="S789" s="378" t="s">
        <v>955</v>
      </c>
      <c r="T789" s="378" t="s">
        <v>1046</v>
      </c>
    </row>
    <row r="790" spans="1:21" x14ac:dyDescent="0.2">
      <c r="A790" s="353">
        <v>874271</v>
      </c>
      <c r="B790" s="340" t="s">
        <v>713</v>
      </c>
      <c r="C790" s="353">
        <v>15</v>
      </c>
      <c r="D790" s="353">
        <v>7</v>
      </c>
      <c r="E790" s="353">
        <v>1</v>
      </c>
      <c r="F790" s="353">
        <v>1</v>
      </c>
      <c r="G790" s="353">
        <v>10</v>
      </c>
      <c r="H790" s="353">
        <v>47</v>
      </c>
      <c r="I790" s="353">
        <v>121</v>
      </c>
      <c r="J790" s="353">
        <v>17.2</v>
      </c>
      <c r="K790" s="353">
        <v>0.81</v>
      </c>
      <c r="L790" s="353">
        <v>2.57</v>
      </c>
      <c r="M790" s="353">
        <v>18.7</v>
      </c>
      <c r="N790" s="353">
        <v>0.8</v>
      </c>
      <c r="O790" s="353" t="s">
        <v>344</v>
      </c>
      <c r="P790" s="353">
        <v>2000</v>
      </c>
      <c r="Q790" t="s">
        <v>68</v>
      </c>
      <c r="R790" t="s">
        <v>1966</v>
      </c>
      <c r="S790" s="378" t="s">
        <v>955</v>
      </c>
      <c r="T790" s="378" t="s">
        <v>1057</v>
      </c>
    </row>
    <row r="791" spans="1:21" x14ac:dyDescent="0.2">
      <c r="A791" s="353">
        <v>968891</v>
      </c>
      <c r="B791" s="340" t="s">
        <v>697</v>
      </c>
      <c r="C791" s="353">
        <v>13</v>
      </c>
      <c r="D791" s="353">
        <v>6</v>
      </c>
      <c r="E791" s="353">
        <v>10</v>
      </c>
      <c r="F791" s="353">
        <v>6</v>
      </c>
      <c r="G791" s="353">
        <v>14</v>
      </c>
      <c r="H791" s="353">
        <v>48</v>
      </c>
      <c r="I791" s="353">
        <v>120</v>
      </c>
      <c r="J791" s="353">
        <v>17.100000000000001</v>
      </c>
      <c r="K791" s="353">
        <v>0.81</v>
      </c>
      <c r="L791" s="353">
        <v>2.72</v>
      </c>
      <c r="M791" s="353">
        <v>14.3</v>
      </c>
      <c r="N791" s="353">
        <v>1</v>
      </c>
      <c r="O791" s="353" t="s">
        <v>344</v>
      </c>
      <c r="P791" s="353">
        <v>2006</v>
      </c>
      <c r="Q791" t="s">
        <v>68</v>
      </c>
      <c r="R791" t="s">
        <v>1792</v>
      </c>
      <c r="S791" s="378" t="s">
        <v>955</v>
      </c>
      <c r="T791" s="378" t="s">
        <v>289</v>
      </c>
    </row>
    <row r="792" spans="1:21" x14ac:dyDescent="0.2">
      <c r="A792" s="353">
        <v>199406</v>
      </c>
      <c r="B792" s="340" t="s">
        <v>1075</v>
      </c>
      <c r="C792" s="353">
        <v>8</v>
      </c>
      <c r="D792" s="353">
        <v>7</v>
      </c>
      <c r="E792" s="353">
        <v>10</v>
      </c>
      <c r="F792" s="353">
        <v>5</v>
      </c>
      <c r="G792" s="353">
        <v>15</v>
      </c>
      <c r="H792" s="353">
        <v>47</v>
      </c>
      <c r="I792" s="353">
        <v>115</v>
      </c>
      <c r="J792" s="353">
        <v>16.5</v>
      </c>
      <c r="K792" s="353">
        <v>0.81</v>
      </c>
      <c r="L792" s="353">
        <v>2.02</v>
      </c>
      <c r="M792" s="353">
        <v>13.7</v>
      </c>
      <c r="N792" s="353">
        <v>1</v>
      </c>
      <c r="O792" s="353" t="s">
        <v>203</v>
      </c>
      <c r="P792" s="353">
        <v>2008</v>
      </c>
      <c r="Q792" t="s">
        <v>68</v>
      </c>
      <c r="R792" t="s">
        <v>1656</v>
      </c>
      <c r="S792" s="378" t="s">
        <v>379</v>
      </c>
      <c r="T792" s="378" t="s">
        <v>181</v>
      </c>
      <c r="U792" s="377" t="s">
        <v>162</v>
      </c>
    </row>
    <row r="793" spans="1:21" x14ac:dyDescent="0.2">
      <c r="A793" s="353">
        <v>371294</v>
      </c>
      <c r="B793" s="340" t="s">
        <v>1072</v>
      </c>
      <c r="C793" s="353">
        <v>14</v>
      </c>
      <c r="D793" s="353">
        <v>4</v>
      </c>
      <c r="E793" s="353">
        <v>6</v>
      </c>
      <c r="F793" s="353">
        <v>5</v>
      </c>
      <c r="G793" s="353">
        <v>19</v>
      </c>
      <c r="H793" s="353">
        <v>44</v>
      </c>
      <c r="I793" s="353">
        <v>112</v>
      </c>
      <c r="J793" s="353">
        <v>16.2</v>
      </c>
      <c r="K793" s="353">
        <v>0.81</v>
      </c>
      <c r="L793" s="353">
        <v>2.02</v>
      </c>
      <c r="M793" s="353">
        <v>13.9</v>
      </c>
      <c r="N793" s="353">
        <v>1</v>
      </c>
      <c r="O793" s="353" t="s">
        <v>203</v>
      </c>
      <c r="P793" s="353">
        <v>2007</v>
      </c>
      <c r="Q793" t="s">
        <v>68</v>
      </c>
      <c r="R793" t="s">
        <v>1820</v>
      </c>
      <c r="S793" s="378" t="s">
        <v>379</v>
      </c>
      <c r="T793" s="378" t="s">
        <v>215</v>
      </c>
    </row>
    <row r="794" spans="1:21" x14ac:dyDescent="0.2">
      <c r="A794" s="353">
        <v>690693</v>
      </c>
      <c r="B794" s="340" t="s">
        <v>711</v>
      </c>
      <c r="C794" s="353">
        <v>14</v>
      </c>
      <c r="D794" s="353">
        <v>6</v>
      </c>
      <c r="E794" s="353">
        <v>9</v>
      </c>
      <c r="F794" s="353">
        <v>5</v>
      </c>
      <c r="G794" s="353">
        <v>16</v>
      </c>
      <c r="H794" s="353">
        <v>38</v>
      </c>
      <c r="I794" s="353">
        <v>108</v>
      </c>
      <c r="J794" s="353">
        <v>15.8</v>
      </c>
      <c r="K794" s="353">
        <v>0.81</v>
      </c>
      <c r="L794" s="353">
        <v>2.92</v>
      </c>
      <c r="M794" s="353">
        <v>13.8</v>
      </c>
      <c r="N794" s="353">
        <v>0.9</v>
      </c>
      <c r="O794" s="353" t="s">
        <v>344</v>
      </c>
      <c r="P794" s="353">
        <v>2009</v>
      </c>
      <c r="Q794" t="s">
        <v>68</v>
      </c>
      <c r="R794" t="s">
        <v>1181</v>
      </c>
      <c r="S794" s="378" t="s">
        <v>955</v>
      </c>
      <c r="T794" s="378" t="s">
        <v>181</v>
      </c>
    </row>
    <row r="795" spans="1:21" x14ac:dyDescent="0.2">
      <c r="A795" s="353">
        <v>882068</v>
      </c>
      <c r="B795" s="340" t="s">
        <v>1073</v>
      </c>
      <c r="C795" s="353">
        <v>6</v>
      </c>
      <c r="D795" s="353">
        <v>7</v>
      </c>
      <c r="E795" s="353">
        <v>9</v>
      </c>
      <c r="F795" s="353">
        <v>5</v>
      </c>
      <c r="G795" s="353">
        <v>15</v>
      </c>
      <c r="H795" s="353">
        <v>43</v>
      </c>
      <c r="I795" s="353">
        <v>108</v>
      </c>
      <c r="J795" s="353">
        <v>15.8</v>
      </c>
      <c r="K795" s="353">
        <v>0.81</v>
      </c>
      <c r="L795" s="353">
        <v>2.02</v>
      </c>
      <c r="M795" s="353">
        <v>13.5</v>
      </c>
      <c r="N795" s="353">
        <v>1</v>
      </c>
      <c r="O795" s="353" t="s">
        <v>203</v>
      </c>
      <c r="P795" s="353">
        <v>2006</v>
      </c>
      <c r="Q795" t="s">
        <v>68</v>
      </c>
      <c r="R795" t="s">
        <v>1472</v>
      </c>
      <c r="S795" s="378" t="s">
        <v>379</v>
      </c>
      <c r="T795" s="378" t="s">
        <v>181</v>
      </c>
      <c r="U795" s="377" t="s">
        <v>162</v>
      </c>
    </row>
    <row r="796" spans="1:21" x14ac:dyDescent="0.2">
      <c r="A796" s="353">
        <v>688986</v>
      </c>
      <c r="B796" s="340" t="s">
        <v>805</v>
      </c>
      <c r="C796" s="353">
        <v>4</v>
      </c>
      <c r="D796" s="353">
        <v>0</v>
      </c>
      <c r="E796" s="353">
        <v>1</v>
      </c>
      <c r="F796" s="353">
        <v>-4</v>
      </c>
      <c r="G796" s="353">
        <v>5</v>
      </c>
      <c r="H796" s="353">
        <v>11</v>
      </c>
      <c r="I796" s="353">
        <v>103</v>
      </c>
      <c r="J796" s="353">
        <v>15.3</v>
      </c>
      <c r="K796" s="353">
        <v>0.81</v>
      </c>
      <c r="L796" s="353">
        <v>2.73</v>
      </c>
      <c r="M796" s="353">
        <v>16.5</v>
      </c>
      <c r="N796" s="353">
        <v>0.3</v>
      </c>
      <c r="O796" s="353" t="s">
        <v>344</v>
      </c>
      <c r="P796" s="353">
        <v>2004</v>
      </c>
      <c r="Q796" t="s">
        <v>68</v>
      </c>
      <c r="R796" t="s">
        <v>2022</v>
      </c>
      <c r="S796" s="378" t="s">
        <v>955</v>
      </c>
      <c r="T796" s="378" t="s">
        <v>1051</v>
      </c>
    </row>
    <row r="797" spans="1:21" x14ac:dyDescent="0.2">
      <c r="A797" s="353">
        <v>917955</v>
      </c>
      <c r="B797" s="340" t="s">
        <v>700</v>
      </c>
      <c r="C797" s="353">
        <v>29</v>
      </c>
      <c r="D797" s="353">
        <v>8</v>
      </c>
      <c r="E797" s="353">
        <v>8</v>
      </c>
      <c r="F797" s="353">
        <v>14</v>
      </c>
      <c r="G797" s="353">
        <v>24</v>
      </c>
      <c r="H797" s="353">
        <v>54</v>
      </c>
      <c r="I797" s="353">
        <v>100</v>
      </c>
      <c r="J797" s="353">
        <v>14.9</v>
      </c>
      <c r="K797" s="353">
        <v>0.81</v>
      </c>
      <c r="L797" s="353">
        <v>2.5299999999999998</v>
      </c>
      <c r="M797" s="353">
        <v>15.6</v>
      </c>
      <c r="N797" s="353">
        <v>1</v>
      </c>
      <c r="O797" s="353" t="s">
        <v>344</v>
      </c>
      <c r="P797" s="353">
        <v>2003</v>
      </c>
      <c r="Q797" t="s">
        <v>68</v>
      </c>
      <c r="R797" t="s">
        <v>1842</v>
      </c>
      <c r="S797" s="378" t="s">
        <v>955</v>
      </c>
      <c r="T797" s="378" t="s">
        <v>1048</v>
      </c>
    </row>
    <row r="798" spans="1:21" x14ac:dyDescent="0.2">
      <c r="A798" s="353">
        <v>189258</v>
      </c>
      <c r="B798" s="340" t="s">
        <v>692</v>
      </c>
      <c r="C798" s="353">
        <v>11</v>
      </c>
      <c r="D798" s="353">
        <v>6</v>
      </c>
      <c r="E798" s="353">
        <v>9</v>
      </c>
      <c r="F798" s="353">
        <v>2</v>
      </c>
      <c r="G798" s="353">
        <v>12</v>
      </c>
      <c r="H798" s="353">
        <v>40</v>
      </c>
      <c r="I798" s="353">
        <v>99</v>
      </c>
      <c r="J798" s="353">
        <v>14.8</v>
      </c>
      <c r="K798" s="353">
        <v>0.81</v>
      </c>
      <c r="L798" s="353">
        <v>2.72</v>
      </c>
      <c r="M798" s="353">
        <v>11.6</v>
      </c>
      <c r="N798" s="353">
        <v>1</v>
      </c>
      <c r="O798" s="353" t="s">
        <v>203</v>
      </c>
      <c r="P798" s="353">
        <v>2000</v>
      </c>
      <c r="Q798" t="s">
        <v>68</v>
      </c>
      <c r="R798" t="s">
        <v>1486</v>
      </c>
      <c r="S798" s="378" t="s">
        <v>955</v>
      </c>
      <c r="T798" s="378" t="s">
        <v>1045</v>
      </c>
      <c r="U798" s="377" t="s">
        <v>162</v>
      </c>
    </row>
    <row r="799" spans="1:21" x14ac:dyDescent="0.2">
      <c r="A799" s="353">
        <v>882126</v>
      </c>
      <c r="B799" s="340" t="s">
        <v>699</v>
      </c>
      <c r="C799" s="353">
        <v>32</v>
      </c>
      <c r="D799" s="353">
        <v>7</v>
      </c>
      <c r="E799" s="353">
        <v>12</v>
      </c>
      <c r="F799" s="353">
        <v>19</v>
      </c>
      <c r="G799" s="353">
        <v>26</v>
      </c>
      <c r="H799" s="353">
        <v>54</v>
      </c>
      <c r="I799" s="353">
        <v>95</v>
      </c>
      <c r="J799" s="353">
        <v>14.3</v>
      </c>
      <c r="K799" s="353">
        <v>0.81</v>
      </c>
      <c r="L799" s="353">
        <v>2.5099999999999998</v>
      </c>
      <c r="M799" s="353">
        <v>16.7</v>
      </c>
      <c r="N799" s="353">
        <v>1</v>
      </c>
      <c r="O799" s="353" t="s">
        <v>344</v>
      </c>
      <c r="P799" s="353">
        <v>2003</v>
      </c>
      <c r="Q799" t="s">
        <v>68</v>
      </c>
      <c r="R799" t="s">
        <v>1190</v>
      </c>
      <c r="S799" s="378" t="s">
        <v>955</v>
      </c>
      <c r="T799" s="378" t="s">
        <v>342</v>
      </c>
    </row>
    <row r="800" spans="1:21" x14ac:dyDescent="0.2">
      <c r="A800" s="353">
        <v>887497</v>
      </c>
      <c r="B800" s="340" t="s">
        <v>696</v>
      </c>
      <c r="C800" s="353">
        <v>15</v>
      </c>
      <c r="D800" s="353">
        <v>8</v>
      </c>
      <c r="E800" s="353">
        <v>11</v>
      </c>
      <c r="F800" s="353">
        <v>7</v>
      </c>
      <c r="G800" s="353">
        <v>17</v>
      </c>
      <c r="H800" s="353">
        <v>24</v>
      </c>
      <c r="I800" s="353">
        <v>88</v>
      </c>
      <c r="J800" s="353">
        <v>13.5</v>
      </c>
      <c r="K800" s="353">
        <v>0.81</v>
      </c>
      <c r="L800" s="353">
        <v>2.72</v>
      </c>
      <c r="M800" s="353">
        <v>16.5</v>
      </c>
      <c r="N800" s="353">
        <v>0.5</v>
      </c>
      <c r="O800" s="353" t="s">
        <v>344</v>
      </c>
      <c r="P800" s="353">
        <v>2007</v>
      </c>
      <c r="Q800" t="s">
        <v>68</v>
      </c>
      <c r="R800" t="s">
        <v>1807</v>
      </c>
      <c r="S800" s="378" t="s">
        <v>955</v>
      </c>
      <c r="T800" s="378" t="s">
        <v>1045</v>
      </c>
      <c r="U800" s="377" t="s">
        <v>162</v>
      </c>
    </row>
    <row r="801" spans="1:21" x14ac:dyDescent="0.2">
      <c r="A801" s="353">
        <v>755033</v>
      </c>
      <c r="B801" s="340" t="s">
        <v>693</v>
      </c>
      <c r="C801" s="353">
        <v>14</v>
      </c>
      <c r="D801" s="353">
        <v>7</v>
      </c>
      <c r="E801" s="353">
        <v>12</v>
      </c>
      <c r="F801" s="353">
        <v>7</v>
      </c>
      <c r="G801" s="353">
        <v>22</v>
      </c>
      <c r="H801" s="353">
        <v>38</v>
      </c>
      <c r="I801" s="353">
        <v>79</v>
      </c>
      <c r="J801" s="353">
        <v>12.4</v>
      </c>
      <c r="K801" s="353">
        <v>0.81</v>
      </c>
      <c r="L801" s="353">
        <v>2.72</v>
      </c>
      <c r="M801" s="353">
        <v>17.3</v>
      </c>
      <c r="N801" s="353">
        <v>0.7</v>
      </c>
      <c r="O801" s="353" t="s">
        <v>344</v>
      </c>
      <c r="P801" s="353">
        <v>2010</v>
      </c>
      <c r="Q801" t="s">
        <v>68</v>
      </c>
      <c r="R801" t="s">
        <v>1805</v>
      </c>
      <c r="S801" s="378" t="s">
        <v>955</v>
      </c>
      <c r="T801" s="378" t="s">
        <v>1045</v>
      </c>
      <c r="U801" s="377" t="s">
        <v>162</v>
      </c>
    </row>
    <row r="802" spans="1:21" x14ac:dyDescent="0.2">
      <c r="A802" s="353">
        <v>333518</v>
      </c>
      <c r="B802" s="340" t="s">
        <v>636</v>
      </c>
      <c r="C802" s="353">
        <v>10</v>
      </c>
      <c r="D802" s="353">
        <v>5</v>
      </c>
      <c r="E802" s="353">
        <v>6</v>
      </c>
      <c r="F802" s="353">
        <v>1</v>
      </c>
      <c r="G802" s="353">
        <v>12</v>
      </c>
      <c r="H802" s="353">
        <v>31</v>
      </c>
      <c r="I802" s="353">
        <v>79</v>
      </c>
      <c r="J802" s="353">
        <v>12.3</v>
      </c>
      <c r="K802" s="353">
        <v>0.81</v>
      </c>
      <c r="L802" s="353">
        <v>2.0299999999999998</v>
      </c>
      <c r="M802" s="353">
        <v>12.6</v>
      </c>
      <c r="N802" s="353">
        <v>0.8</v>
      </c>
      <c r="O802" s="353" t="s">
        <v>153</v>
      </c>
      <c r="P802" s="353">
        <v>2012</v>
      </c>
      <c r="Q802" t="s">
        <v>154</v>
      </c>
      <c r="R802" t="s">
        <v>1227</v>
      </c>
      <c r="S802" s="378" t="s">
        <v>399</v>
      </c>
      <c r="T802" s="378" t="s">
        <v>181</v>
      </c>
    </row>
    <row r="803" spans="1:21" x14ac:dyDescent="0.2">
      <c r="A803" s="353">
        <v>923383</v>
      </c>
      <c r="B803" s="340" t="s">
        <v>698</v>
      </c>
      <c r="C803" s="353">
        <v>18</v>
      </c>
      <c r="D803" s="353">
        <v>6</v>
      </c>
      <c r="E803" s="353">
        <v>9</v>
      </c>
      <c r="F803" s="353">
        <v>5</v>
      </c>
      <c r="G803" s="353">
        <v>17</v>
      </c>
      <c r="H803" s="353">
        <v>20</v>
      </c>
      <c r="I803" s="353">
        <v>60</v>
      </c>
      <c r="J803" s="353">
        <v>9.8000000000000007</v>
      </c>
      <c r="K803" s="353">
        <v>0.81</v>
      </c>
      <c r="L803" s="353">
        <v>2.72</v>
      </c>
      <c r="M803" s="353">
        <v>12.4</v>
      </c>
      <c r="N803" s="353">
        <v>0.6</v>
      </c>
      <c r="O803" s="353" t="s">
        <v>203</v>
      </c>
      <c r="P803" s="353">
        <v>2005</v>
      </c>
      <c r="Q803" t="s">
        <v>68</v>
      </c>
      <c r="R803" t="s">
        <v>1605</v>
      </c>
      <c r="S803" s="378" t="s">
        <v>955</v>
      </c>
      <c r="T803" s="378" t="s">
        <v>181</v>
      </c>
    </row>
    <row r="804" spans="1:21" x14ac:dyDescent="0.2">
      <c r="A804" s="353">
        <v>404236</v>
      </c>
      <c r="B804" s="340" t="s">
        <v>714</v>
      </c>
      <c r="C804" s="353">
        <v>17</v>
      </c>
      <c r="D804" s="353">
        <v>7</v>
      </c>
      <c r="E804" s="353">
        <v>7</v>
      </c>
      <c r="F804" s="353">
        <v>8</v>
      </c>
      <c r="G804" s="353">
        <v>15</v>
      </c>
      <c r="H804" s="353">
        <v>31</v>
      </c>
      <c r="I804" s="353">
        <v>51</v>
      </c>
      <c r="J804" s="353">
        <v>8.6</v>
      </c>
      <c r="K804" s="353">
        <v>0.81</v>
      </c>
      <c r="L804" s="353">
        <v>2.56</v>
      </c>
      <c r="M804" s="353">
        <v>15.4</v>
      </c>
      <c r="N804" s="353">
        <v>0.7</v>
      </c>
      <c r="O804" s="353" t="s">
        <v>344</v>
      </c>
      <c r="P804" s="353">
        <v>2000</v>
      </c>
      <c r="Q804" t="s">
        <v>68</v>
      </c>
      <c r="R804" t="s">
        <v>1213</v>
      </c>
      <c r="S804" s="378" t="s">
        <v>955</v>
      </c>
      <c r="T804" s="378" t="s">
        <v>295</v>
      </c>
    </row>
    <row r="805" spans="1:21" x14ac:dyDescent="0.2">
      <c r="A805" s="353">
        <v>836494</v>
      </c>
      <c r="B805" s="340" t="s">
        <v>606</v>
      </c>
      <c r="C805" s="353">
        <v>3</v>
      </c>
      <c r="D805" s="353">
        <v>4</v>
      </c>
      <c r="E805" s="353">
        <v>3</v>
      </c>
      <c r="F805" s="353">
        <v>-2</v>
      </c>
      <c r="G805" s="353">
        <v>-2</v>
      </c>
      <c r="H805" s="353">
        <v>21</v>
      </c>
      <c r="I805" s="353">
        <v>49</v>
      </c>
      <c r="J805" s="353">
        <v>8.3000000000000007</v>
      </c>
      <c r="K805" s="353">
        <v>0.81</v>
      </c>
      <c r="L805" s="353">
        <v>2.02</v>
      </c>
      <c r="M805" s="353">
        <v>12.1</v>
      </c>
      <c r="N805" s="353">
        <v>0.6</v>
      </c>
      <c r="O805" s="353" t="s">
        <v>407</v>
      </c>
      <c r="P805" s="353">
        <v>2007</v>
      </c>
      <c r="Q805" t="s">
        <v>68</v>
      </c>
      <c r="R805" t="s">
        <v>1902</v>
      </c>
      <c r="S805" s="378" t="s">
        <v>547</v>
      </c>
      <c r="T805" s="378" t="s">
        <v>1049</v>
      </c>
    </row>
    <row r="806" spans="1:21" x14ac:dyDescent="0.2">
      <c r="A806" s="353">
        <v>925099</v>
      </c>
      <c r="B806" s="340" t="s">
        <v>709</v>
      </c>
      <c r="C806" s="353">
        <v>-6</v>
      </c>
      <c r="D806" s="353">
        <v>0</v>
      </c>
      <c r="E806" s="353">
        <v>13</v>
      </c>
      <c r="F806" s="353">
        <v>-1</v>
      </c>
      <c r="G806" s="353">
        <v>12</v>
      </c>
      <c r="H806" s="353">
        <v>48</v>
      </c>
      <c r="I806" s="353">
        <v>31</v>
      </c>
      <c r="J806" s="353">
        <v>5.6</v>
      </c>
      <c r="K806" s="353">
        <v>0.81</v>
      </c>
      <c r="L806" s="353">
        <v>2.62</v>
      </c>
      <c r="M806" s="353">
        <v>26.7</v>
      </c>
      <c r="N806" s="353">
        <v>0.6</v>
      </c>
      <c r="O806" s="353" t="s">
        <v>344</v>
      </c>
      <c r="P806" s="353">
        <v>2009</v>
      </c>
      <c r="Q806" t="s">
        <v>68</v>
      </c>
      <c r="R806" t="s">
        <v>1182</v>
      </c>
      <c r="S806" s="378" t="s">
        <v>955</v>
      </c>
      <c r="T806" s="378" t="s">
        <v>373</v>
      </c>
    </row>
    <row r="807" spans="1:21" x14ac:dyDescent="0.2">
      <c r="A807" s="353">
        <v>368407</v>
      </c>
      <c r="B807" s="340" t="s">
        <v>910</v>
      </c>
      <c r="C807" s="353">
        <v>15</v>
      </c>
      <c r="D807" s="353">
        <v>2</v>
      </c>
      <c r="E807" s="353">
        <v>9</v>
      </c>
      <c r="F807" s="353">
        <v>6</v>
      </c>
      <c r="G807" s="353">
        <v>24</v>
      </c>
      <c r="H807" s="353">
        <v>25</v>
      </c>
      <c r="I807" s="353">
        <v>18</v>
      </c>
      <c r="J807" s="353">
        <v>3.3</v>
      </c>
      <c r="K807" s="353">
        <v>0.81</v>
      </c>
      <c r="L807" s="353">
        <v>2.62</v>
      </c>
      <c r="M807" s="353">
        <v>17.8</v>
      </c>
      <c r="N807" s="353">
        <v>0.5</v>
      </c>
      <c r="O807" s="353" t="s">
        <v>203</v>
      </c>
      <c r="P807" s="353">
        <v>2000</v>
      </c>
      <c r="Q807" t="s">
        <v>68</v>
      </c>
      <c r="R807" t="s">
        <v>1748</v>
      </c>
      <c r="S807" s="378" t="s">
        <v>955</v>
      </c>
      <c r="T807" s="378" t="s">
        <v>321</v>
      </c>
    </row>
    <row r="808" spans="1:21" x14ac:dyDescent="0.2">
      <c r="A808" s="353">
        <v>558700</v>
      </c>
      <c r="B808" s="340" t="s">
        <v>1147</v>
      </c>
      <c r="C808" s="353">
        <v>26</v>
      </c>
      <c r="D808" s="353">
        <v>9</v>
      </c>
      <c r="E808" s="353">
        <v>16</v>
      </c>
      <c r="F808" s="353">
        <v>12</v>
      </c>
      <c r="G808" s="353">
        <v>29</v>
      </c>
      <c r="H808" s="353"/>
      <c r="I808" s="353"/>
      <c r="J808" s="353"/>
      <c r="K808" s="353">
        <v>0.81</v>
      </c>
      <c r="L808" s="353">
        <v>2.72</v>
      </c>
      <c r="M808" s="353"/>
      <c r="N808" s="353"/>
      <c r="O808" s="353" t="s">
        <v>344</v>
      </c>
      <c r="P808" s="353">
        <v>2017</v>
      </c>
      <c r="Q808" t="s">
        <v>68</v>
      </c>
      <c r="R808" t="s">
        <v>1578</v>
      </c>
      <c r="S808" s="378" t="s">
        <v>955</v>
      </c>
      <c r="T808" s="378" t="s">
        <v>289</v>
      </c>
    </row>
    <row r="809" spans="1:21" x14ac:dyDescent="0.2">
      <c r="A809" s="353">
        <v>778589</v>
      </c>
      <c r="B809" s="340" t="s">
        <v>814</v>
      </c>
      <c r="C809" s="353">
        <v>1</v>
      </c>
      <c r="D809" s="353">
        <v>-1</v>
      </c>
      <c r="E809" s="353">
        <v>-1</v>
      </c>
      <c r="F809" s="353">
        <v>0</v>
      </c>
      <c r="G809" s="353">
        <v>2</v>
      </c>
      <c r="H809" s="353"/>
      <c r="I809" s="353"/>
      <c r="J809" s="353"/>
      <c r="K809" s="353">
        <v>0.82</v>
      </c>
      <c r="L809" s="353">
        <v>2.25</v>
      </c>
      <c r="M809" s="353"/>
      <c r="N809" s="353"/>
      <c r="O809" s="353" t="s">
        <v>153</v>
      </c>
      <c r="P809" s="353">
        <v>2015</v>
      </c>
      <c r="Q809" t="s">
        <v>154</v>
      </c>
      <c r="R809" t="s">
        <v>1172</v>
      </c>
      <c r="S809" s="378" t="s">
        <v>755</v>
      </c>
      <c r="T809" s="378" t="s">
        <v>181</v>
      </c>
    </row>
    <row r="810" spans="1:21" x14ac:dyDescent="0.2">
      <c r="A810" s="353">
        <v>579722</v>
      </c>
      <c r="B810" s="340" t="s">
        <v>655</v>
      </c>
      <c r="C810" s="353">
        <v>15</v>
      </c>
      <c r="D810" s="353">
        <v>4</v>
      </c>
      <c r="E810" s="353">
        <v>6</v>
      </c>
      <c r="F810" s="353">
        <v>4</v>
      </c>
      <c r="G810" s="353">
        <v>17</v>
      </c>
      <c r="H810" s="353">
        <v>46</v>
      </c>
      <c r="I810" s="353">
        <v>105</v>
      </c>
      <c r="J810" s="353">
        <v>15.4</v>
      </c>
      <c r="K810" s="353">
        <v>0.83</v>
      </c>
      <c r="L810" s="353">
        <v>2.09</v>
      </c>
      <c r="M810" s="353">
        <v>13.1</v>
      </c>
      <c r="N810" s="353">
        <v>1</v>
      </c>
      <c r="O810" s="353" t="s">
        <v>203</v>
      </c>
      <c r="P810" s="353">
        <v>2002</v>
      </c>
      <c r="Q810" t="s">
        <v>68</v>
      </c>
      <c r="R810" t="s">
        <v>1660</v>
      </c>
      <c r="S810" s="378" t="s">
        <v>504</v>
      </c>
      <c r="T810" s="378" t="s">
        <v>215</v>
      </c>
    </row>
    <row r="811" spans="1:21" x14ac:dyDescent="0.2">
      <c r="A811" s="353">
        <v>405290</v>
      </c>
      <c r="B811" s="340" t="s">
        <v>824</v>
      </c>
      <c r="C811" s="353">
        <v>8</v>
      </c>
      <c r="D811" s="353">
        <v>6</v>
      </c>
      <c r="E811" s="353">
        <v>8</v>
      </c>
      <c r="F811" s="353">
        <v>4</v>
      </c>
      <c r="G811" s="353">
        <v>13</v>
      </c>
      <c r="H811" s="353">
        <v>33</v>
      </c>
      <c r="I811" s="353">
        <v>93</v>
      </c>
      <c r="J811" s="353">
        <v>14</v>
      </c>
      <c r="K811" s="353">
        <v>0.83</v>
      </c>
      <c r="L811" s="353">
        <v>2.8</v>
      </c>
      <c r="M811" s="353">
        <v>13.5</v>
      </c>
      <c r="N811" s="353">
        <v>0.8</v>
      </c>
      <c r="O811" s="353" t="s">
        <v>203</v>
      </c>
      <c r="P811" s="353">
        <v>2008</v>
      </c>
      <c r="Q811" t="s">
        <v>68</v>
      </c>
      <c r="R811" t="s">
        <v>1463</v>
      </c>
      <c r="S811" s="378" t="s">
        <v>563</v>
      </c>
      <c r="T811" s="378" t="s">
        <v>181</v>
      </c>
    </row>
    <row r="812" spans="1:21" x14ac:dyDescent="0.2">
      <c r="A812" s="353">
        <v>333633</v>
      </c>
      <c r="B812" s="340" t="s">
        <v>822</v>
      </c>
      <c r="C812" s="353">
        <v>21</v>
      </c>
      <c r="D812" s="353">
        <v>9</v>
      </c>
      <c r="E812" s="353">
        <v>5</v>
      </c>
      <c r="F812" s="353">
        <v>4</v>
      </c>
      <c r="G812" s="353">
        <v>6</v>
      </c>
      <c r="H812" s="353">
        <v>34</v>
      </c>
      <c r="I812" s="353">
        <v>83</v>
      </c>
      <c r="J812" s="353">
        <v>12.9</v>
      </c>
      <c r="K812" s="353">
        <v>0.83</v>
      </c>
      <c r="L812" s="353">
        <v>2.6</v>
      </c>
      <c r="M812" s="353">
        <v>20.399999999999999</v>
      </c>
      <c r="N812" s="353">
        <v>0.6</v>
      </c>
      <c r="O812" s="353" t="s">
        <v>344</v>
      </c>
      <c r="P812" s="353">
        <v>2008</v>
      </c>
      <c r="Q812" t="s">
        <v>68</v>
      </c>
      <c r="R812" t="s">
        <v>1960</v>
      </c>
      <c r="S812" s="378" t="s">
        <v>563</v>
      </c>
      <c r="T812" s="378" t="s">
        <v>1057</v>
      </c>
    </row>
    <row r="813" spans="1:21" x14ac:dyDescent="0.2">
      <c r="A813" s="353">
        <v>369462</v>
      </c>
      <c r="B813" s="340" t="s">
        <v>823</v>
      </c>
      <c r="C813" s="353">
        <v>13</v>
      </c>
      <c r="D813" s="353">
        <v>-2</v>
      </c>
      <c r="E813" s="353">
        <v>4</v>
      </c>
      <c r="F813" s="353">
        <v>2</v>
      </c>
      <c r="G813" s="353">
        <v>-1</v>
      </c>
      <c r="H813" s="353">
        <v>1</v>
      </c>
      <c r="I813" s="353">
        <v>5</v>
      </c>
      <c r="J813" s="353">
        <v>1</v>
      </c>
      <c r="K813" s="353">
        <v>0.83</v>
      </c>
      <c r="L813" s="353">
        <v>2.8</v>
      </c>
      <c r="M813" s="353">
        <v>19.600000000000001</v>
      </c>
      <c r="N813" s="353">
        <v>0.1</v>
      </c>
      <c r="O813" s="353" t="s">
        <v>344</v>
      </c>
      <c r="P813" s="353">
        <v>2008</v>
      </c>
      <c r="Q813" t="s">
        <v>68</v>
      </c>
      <c r="R813" t="s">
        <v>1305</v>
      </c>
      <c r="S813" s="378" t="s">
        <v>563</v>
      </c>
      <c r="T813" s="378" t="s">
        <v>361</v>
      </c>
    </row>
    <row r="814" spans="1:21" x14ac:dyDescent="0.2">
      <c r="A814" s="353">
        <v>938498</v>
      </c>
      <c r="B814" s="340" t="s">
        <v>825</v>
      </c>
      <c r="C814" s="353">
        <v>2</v>
      </c>
      <c r="D814" s="353">
        <v>5</v>
      </c>
      <c r="E814" s="353">
        <v>7</v>
      </c>
      <c r="F814" s="353">
        <v>5</v>
      </c>
      <c r="G814" s="353">
        <v>9</v>
      </c>
      <c r="H814" s="353">
        <v>7</v>
      </c>
      <c r="I814" s="353">
        <v>-24</v>
      </c>
      <c r="J814" s="353">
        <v>-5.4</v>
      </c>
      <c r="K814" s="353">
        <v>0.83</v>
      </c>
      <c r="L814" s="353">
        <v>2.8</v>
      </c>
      <c r="M814" s="353">
        <v>22.8</v>
      </c>
      <c r="N814" s="353">
        <v>0.2</v>
      </c>
      <c r="O814" s="353" t="s">
        <v>203</v>
      </c>
      <c r="P814" s="353">
        <v>2008</v>
      </c>
      <c r="Q814" t="s">
        <v>68</v>
      </c>
      <c r="R814" t="s">
        <v>1514</v>
      </c>
      <c r="S814" s="378" t="s">
        <v>563</v>
      </c>
      <c r="T814" s="378" t="s">
        <v>1045</v>
      </c>
    </row>
    <row r="815" spans="1:21" x14ac:dyDescent="0.2">
      <c r="A815" s="353">
        <v>538751</v>
      </c>
      <c r="B815" s="340" t="s">
        <v>651</v>
      </c>
      <c r="C815" s="353">
        <v>17</v>
      </c>
      <c r="D815" s="353">
        <v>4</v>
      </c>
      <c r="E815" s="353">
        <v>8</v>
      </c>
      <c r="F815" s="353">
        <v>5</v>
      </c>
      <c r="G815" s="353">
        <v>18</v>
      </c>
      <c r="H815" s="353">
        <v>56</v>
      </c>
      <c r="I815" s="353">
        <v>112</v>
      </c>
      <c r="J815" s="353">
        <v>16.2</v>
      </c>
      <c r="K815" s="353">
        <v>0.84</v>
      </c>
      <c r="L815" s="353">
        <v>2.1</v>
      </c>
      <c r="M815" s="353">
        <v>15.2</v>
      </c>
      <c r="N815" s="353">
        <v>1.1000000000000001</v>
      </c>
      <c r="O815" s="353" t="s">
        <v>203</v>
      </c>
      <c r="P815" s="353">
        <v>2013</v>
      </c>
      <c r="Q815" t="s">
        <v>68</v>
      </c>
      <c r="R815" t="s">
        <v>1833</v>
      </c>
      <c r="S815" s="378" t="s">
        <v>742</v>
      </c>
      <c r="T815" s="378" t="s">
        <v>1046</v>
      </c>
    </row>
    <row r="816" spans="1:21" x14ac:dyDescent="0.2">
      <c r="A816" s="353">
        <v>252353</v>
      </c>
      <c r="B816" s="340" t="s">
        <v>653</v>
      </c>
      <c r="C816" s="353">
        <v>9</v>
      </c>
      <c r="D816" s="353">
        <v>3</v>
      </c>
      <c r="E816" s="353">
        <v>4</v>
      </c>
      <c r="F816" s="353">
        <v>3</v>
      </c>
      <c r="G816" s="353">
        <v>9</v>
      </c>
      <c r="H816" s="353">
        <v>26</v>
      </c>
      <c r="I816" s="353">
        <v>75</v>
      </c>
      <c r="J816" s="353">
        <v>11.9</v>
      </c>
      <c r="K816" s="353">
        <v>0.84</v>
      </c>
      <c r="L816" s="353">
        <v>2.11</v>
      </c>
      <c r="M816" s="353">
        <v>15.3</v>
      </c>
      <c r="N816" s="353">
        <v>0.6</v>
      </c>
      <c r="O816" s="353" t="s">
        <v>203</v>
      </c>
      <c r="P816" s="353">
        <v>2004</v>
      </c>
      <c r="Q816" t="s">
        <v>68</v>
      </c>
      <c r="R816" t="s">
        <v>1661</v>
      </c>
      <c r="S816" s="378" t="s">
        <v>504</v>
      </c>
      <c r="T816" s="378" t="s">
        <v>1049</v>
      </c>
    </row>
    <row r="817" spans="1:21" x14ac:dyDescent="0.2">
      <c r="A817" s="353">
        <v>179218</v>
      </c>
      <c r="B817" s="340" t="s">
        <v>737</v>
      </c>
      <c r="C817" s="353">
        <v>11</v>
      </c>
      <c r="D817" s="353">
        <v>6</v>
      </c>
      <c r="E817" s="353">
        <v>10</v>
      </c>
      <c r="F817" s="353">
        <v>6</v>
      </c>
      <c r="G817" s="353">
        <v>17</v>
      </c>
      <c r="H817" s="353">
        <v>40</v>
      </c>
      <c r="I817" s="353"/>
      <c r="J817" s="353"/>
      <c r="K817" s="353">
        <v>0.84</v>
      </c>
      <c r="L817" s="353">
        <v>2.1</v>
      </c>
      <c r="M817" s="353">
        <v>15.3</v>
      </c>
      <c r="N817" s="353">
        <v>0.8</v>
      </c>
      <c r="O817" s="353" t="s">
        <v>344</v>
      </c>
      <c r="P817" s="353">
        <v>2014</v>
      </c>
      <c r="Q817" t="s">
        <v>68</v>
      </c>
      <c r="R817" t="s">
        <v>1195</v>
      </c>
      <c r="S817" s="378" t="s">
        <v>742</v>
      </c>
      <c r="T817" s="378" t="s">
        <v>181</v>
      </c>
    </row>
    <row r="818" spans="1:21" x14ac:dyDescent="0.2">
      <c r="A818" s="353">
        <v>283044</v>
      </c>
      <c r="B818" s="340" t="s">
        <v>811</v>
      </c>
      <c r="C818" s="353">
        <v>5</v>
      </c>
      <c r="D818" s="353">
        <v>5</v>
      </c>
      <c r="E818" s="353">
        <v>11</v>
      </c>
      <c r="F818" s="353">
        <v>1</v>
      </c>
      <c r="G818" s="353">
        <v>21</v>
      </c>
      <c r="H818" s="353"/>
      <c r="I818" s="353"/>
      <c r="J818" s="353"/>
      <c r="K818" s="353">
        <v>0.84</v>
      </c>
      <c r="L818" s="353">
        <v>2.1</v>
      </c>
      <c r="M818" s="353"/>
      <c r="N818" s="353"/>
      <c r="O818" s="353" t="s">
        <v>344</v>
      </c>
      <c r="P818" s="353">
        <v>2015</v>
      </c>
      <c r="Q818" t="s">
        <v>68</v>
      </c>
      <c r="R818" t="s">
        <v>1954</v>
      </c>
      <c r="S818" s="378" t="s">
        <v>742</v>
      </c>
      <c r="T818" s="378" t="s">
        <v>1047</v>
      </c>
    </row>
    <row r="819" spans="1:21" x14ac:dyDescent="0.2">
      <c r="A819" s="353">
        <v>116822</v>
      </c>
      <c r="B819" s="340" t="s">
        <v>736</v>
      </c>
      <c r="C819" s="353">
        <v>-2</v>
      </c>
      <c r="D819" s="353">
        <v>5</v>
      </c>
      <c r="E819" s="353">
        <v>7</v>
      </c>
      <c r="F819" s="353">
        <v>1</v>
      </c>
      <c r="G819" s="353">
        <v>10</v>
      </c>
      <c r="H819" s="353">
        <v>40</v>
      </c>
      <c r="I819" s="353">
        <v>120</v>
      </c>
      <c r="J819" s="353">
        <v>17</v>
      </c>
      <c r="K819" s="353">
        <v>0.85</v>
      </c>
      <c r="L819" s="353">
        <v>2.14</v>
      </c>
      <c r="M819" s="353">
        <v>16.2</v>
      </c>
      <c r="N819" s="353">
        <v>0.8</v>
      </c>
      <c r="O819" s="353" t="s">
        <v>344</v>
      </c>
      <c r="P819" s="353">
        <v>2008</v>
      </c>
      <c r="Q819" t="s">
        <v>68</v>
      </c>
      <c r="R819" t="s">
        <v>1651</v>
      </c>
      <c r="S819" s="378" t="s">
        <v>464</v>
      </c>
      <c r="T819" s="378" t="s">
        <v>1047</v>
      </c>
    </row>
    <row r="820" spans="1:21" x14ac:dyDescent="0.2">
      <c r="A820" s="353">
        <v>282699</v>
      </c>
      <c r="B820" s="340" t="s">
        <v>672</v>
      </c>
      <c r="C820" s="353">
        <v>16</v>
      </c>
      <c r="D820" s="353">
        <v>10</v>
      </c>
      <c r="E820" s="353">
        <v>12</v>
      </c>
      <c r="F820" s="353">
        <v>12</v>
      </c>
      <c r="G820" s="353">
        <v>14</v>
      </c>
      <c r="H820" s="353">
        <v>48</v>
      </c>
      <c r="I820" s="353">
        <v>94</v>
      </c>
      <c r="J820" s="353">
        <v>14.2</v>
      </c>
      <c r="K820" s="353">
        <v>0.85</v>
      </c>
      <c r="L820" s="353">
        <v>2.15</v>
      </c>
      <c r="M820" s="353">
        <v>15.2</v>
      </c>
      <c r="N820" s="353">
        <v>0.9</v>
      </c>
      <c r="O820" s="353" t="s">
        <v>344</v>
      </c>
      <c r="P820" s="353">
        <v>2005</v>
      </c>
      <c r="Q820" t="s">
        <v>68</v>
      </c>
      <c r="R820" t="s">
        <v>1239</v>
      </c>
      <c r="S820" s="378" t="s">
        <v>375</v>
      </c>
      <c r="T820" s="378" t="s">
        <v>201</v>
      </c>
    </row>
    <row r="821" spans="1:21" x14ac:dyDescent="0.2">
      <c r="A821" s="353">
        <v>431262</v>
      </c>
      <c r="B821" s="340" t="s">
        <v>671</v>
      </c>
      <c r="C821" s="353">
        <v>24</v>
      </c>
      <c r="D821" s="353">
        <v>7</v>
      </c>
      <c r="E821" s="353">
        <v>12</v>
      </c>
      <c r="F821" s="353">
        <v>11</v>
      </c>
      <c r="G821" s="353">
        <v>16</v>
      </c>
      <c r="H821" s="353">
        <v>36</v>
      </c>
      <c r="I821" s="353">
        <v>84</v>
      </c>
      <c r="J821" s="353">
        <v>13</v>
      </c>
      <c r="K821" s="353">
        <v>0.85</v>
      </c>
      <c r="L821" s="353">
        <v>2.14</v>
      </c>
      <c r="M821" s="353">
        <v>15.7</v>
      </c>
      <c r="N821" s="353">
        <v>0.7</v>
      </c>
      <c r="O821" s="353" t="s">
        <v>203</v>
      </c>
      <c r="P821" s="353">
        <v>2013</v>
      </c>
      <c r="Q821" t="s">
        <v>68</v>
      </c>
      <c r="R821" t="s">
        <v>1751</v>
      </c>
      <c r="S821" s="378" t="s">
        <v>742</v>
      </c>
      <c r="T821" s="378" t="s">
        <v>1048</v>
      </c>
    </row>
    <row r="822" spans="1:21" x14ac:dyDescent="0.2">
      <c r="A822" s="353">
        <v>309492</v>
      </c>
      <c r="B822" s="340" t="s">
        <v>681</v>
      </c>
      <c r="C822" s="353">
        <v>17</v>
      </c>
      <c r="D822" s="353">
        <v>5</v>
      </c>
      <c r="E822" s="353">
        <v>7</v>
      </c>
      <c r="F822" s="353">
        <v>5</v>
      </c>
      <c r="G822" s="353">
        <v>16</v>
      </c>
      <c r="H822" s="353">
        <v>40</v>
      </c>
      <c r="I822" s="353">
        <v>58</v>
      </c>
      <c r="J822" s="353">
        <v>9.5</v>
      </c>
      <c r="K822" s="353">
        <v>0.85</v>
      </c>
      <c r="L822" s="353">
        <v>2.15</v>
      </c>
      <c r="M822" s="353">
        <v>14.2</v>
      </c>
      <c r="N822" s="353">
        <v>0.9</v>
      </c>
      <c r="O822" s="353" t="s">
        <v>203</v>
      </c>
      <c r="P822" s="353">
        <v>2001</v>
      </c>
      <c r="Q822" t="s">
        <v>68</v>
      </c>
      <c r="R822" t="s">
        <v>1747</v>
      </c>
      <c r="S822" s="378" t="s">
        <v>840</v>
      </c>
      <c r="T822" s="378" t="s">
        <v>215</v>
      </c>
      <c r="U822" s="377" t="s">
        <v>162</v>
      </c>
    </row>
    <row r="823" spans="1:21" x14ac:dyDescent="0.2">
      <c r="A823" s="353">
        <v>533919</v>
      </c>
      <c r="B823" s="340" t="s">
        <v>1114</v>
      </c>
      <c r="C823" s="353">
        <v>12</v>
      </c>
      <c r="D823" s="353">
        <v>6</v>
      </c>
      <c r="E823" s="353">
        <v>6</v>
      </c>
      <c r="F823" s="353">
        <v>3</v>
      </c>
      <c r="G823" s="353">
        <v>11</v>
      </c>
      <c r="H823" s="353">
        <v>25</v>
      </c>
      <c r="I823" s="353">
        <v>39</v>
      </c>
      <c r="J823" s="353">
        <v>6.7</v>
      </c>
      <c r="K823" s="353">
        <v>0.85</v>
      </c>
      <c r="L823" s="353">
        <v>2.14</v>
      </c>
      <c r="M823" s="353">
        <v>14.7</v>
      </c>
      <c r="N823" s="353">
        <v>0.6</v>
      </c>
      <c r="O823" s="353" t="s">
        <v>203</v>
      </c>
      <c r="P823" s="353">
        <v>2012</v>
      </c>
      <c r="Q823" t="s">
        <v>68</v>
      </c>
      <c r="R823" t="s">
        <v>1938</v>
      </c>
      <c r="S823" s="378" t="s">
        <v>658</v>
      </c>
      <c r="T823" s="378" t="s">
        <v>295</v>
      </c>
    </row>
    <row r="824" spans="1:21" x14ac:dyDescent="0.2">
      <c r="A824" s="353">
        <v>286708</v>
      </c>
      <c r="B824" s="340" t="s">
        <v>753</v>
      </c>
      <c r="C824" s="353">
        <v>-2</v>
      </c>
      <c r="D824" s="353">
        <v>4</v>
      </c>
      <c r="E824" s="353">
        <v>9</v>
      </c>
      <c r="F824" s="353">
        <v>3</v>
      </c>
      <c r="G824" s="353">
        <v>6</v>
      </c>
      <c r="H824" s="353">
        <v>15</v>
      </c>
      <c r="I824" s="353"/>
      <c r="J824" s="353"/>
      <c r="K824" s="353">
        <v>0.85</v>
      </c>
      <c r="L824" s="353">
        <v>2.13</v>
      </c>
      <c r="M824" s="353">
        <v>16.8</v>
      </c>
      <c r="N824" s="353">
        <v>0.4</v>
      </c>
      <c r="O824" s="353" t="s">
        <v>203</v>
      </c>
      <c r="P824" s="353">
        <v>2014</v>
      </c>
      <c r="Q824" t="s">
        <v>68</v>
      </c>
      <c r="R824" t="s">
        <v>1702</v>
      </c>
      <c r="S824" s="378" t="s">
        <v>744</v>
      </c>
      <c r="T824" s="378" t="s">
        <v>289</v>
      </c>
    </row>
    <row r="825" spans="1:21" x14ac:dyDescent="0.2">
      <c r="A825" s="353">
        <v>246868</v>
      </c>
      <c r="B825" s="340" t="s">
        <v>679</v>
      </c>
      <c r="C825" s="353">
        <v>24</v>
      </c>
      <c r="D825" s="353">
        <v>7</v>
      </c>
      <c r="E825" s="353">
        <v>9</v>
      </c>
      <c r="F825" s="353">
        <v>12</v>
      </c>
      <c r="G825" s="353">
        <v>18</v>
      </c>
      <c r="H825" s="353">
        <v>27</v>
      </c>
      <c r="I825" s="353">
        <v>72</v>
      </c>
      <c r="J825" s="353">
        <v>11.5</v>
      </c>
      <c r="K825" s="353">
        <v>0.86</v>
      </c>
      <c r="L825" s="353">
        <v>2.16</v>
      </c>
      <c r="M825" s="353">
        <v>16.100000000000001</v>
      </c>
      <c r="N825" s="353">
        <v>0.6</v>
      </c>
      <c r="O825" s="353" t="s">
        <v>344</v>
      </c>
      <c r="P825" s="353">
        <v>2005</v>
      </c>
      <c r="Q825" t="s">
        <v>68</v>
      </c>
      <c r="R825" t="s">
        <v>1234</v>
      </c>
      <c r="S825" s="378" t="s">
        <v>375</v>
      </c>
      <c r="T825" s="378" t="s">
        <v>342</v>
      </c>
    </row>
    <row r="826" spans="1:21" x14ac:dyDescent="0.2">
      <c r="A826" s="353">
        <v>920371</v>
      </c>
      <c r="B826" s="340" t="s">
        <v>748</v>
      </c>
      <c r="C826" s="353">
        <v>19</v>
      </c>
      <c r="D826" s="353">
        <v>5</v>
      </c>
      <c r="E826" s="353">
        <v>8</v>
      </c>
      <c r="F826" s="353">
        <v>8</v>
      </c>
      <c r="G826" s="353">
        <v>21</v>
      </c>
      <c r="H826" s="353">
        <v>59</v>
      </c>
      <c r="I826" s="353">
        <v>142</v>
      </c>
      <c r="J826" s="353">
        <v>19.3</v>
      </c>
      <c r="K826" s="353">
        <v>0.87</v>
      </c>
      <c r="L826" s="353">
        <v>2.2000000000000002</v>
      </c>
      <c r="M826" s="353">
        <v>12.6</v>
      </c>
      <c r="N826" s="353">
        <v>1.3</v>
      </c>
      <c r="O826" s="353" t="s">
        <v>203</v>
      </c>
      <c r="P826" s="353">
        <v>2004</v>
      </c>
      <c r="Q826" t="s">
        <v>68</v>
      </c>
      <c r="R826" t="s">
        <v>1697</v>
      </c>
      <c r="S826" s="378" t="s">
        <v>730</v>
      </c>
      <c r="T826" s="378" t="s">
        <v>1046</v>
      </c>
    </row>
    <row r="827" spans="1:21" x14ac:dyDescent="0.2">
      <c r="A827" s="353">
        <v>745828</v>
      </c>
      <c r="B827" s="340" t="s">
        <v>665</v>
      </c>
      <c r="C827" s="353">
        <v>17</v>
      </c>
      <c r="D827" s="353">
        <v>3</v>
      </c>
      <c r="E827" s="353">
        <v>8</v>
      </c>
      <c r="F827" s="353">
        <v>4</v>
      </c>
      <c r="G827" s="353">
        <v>14</v>
      </c>
      <c r="H827" s="353">
        <v>28</v>
      </c>
      <c r="I827" s="353">
        <v>50</v>
      </c>
      <c r="J827" s="353">
        <v>8.5</v>
      </c>
      <c r="K827" s="353">
        <v>0.87</v>
      </c>
      <c r="L827" s="353">
        <v>2.2000000000000002</v>
      </c>
      <c r="M827" s="353">
        <v>13.7</v>
      </c>
      <c r="N827" s="353">
        <v>0.7</v>
      </c>
      <c r="O827" s="353" t="s">
        <v>203</v>
      </c>
      <c r="P827" s="353">
        <v>2013</v>
      </c>
      <c r="Q827" t="s">
        <v>68</v>
      </c>
      <c r="R827" t="s">
        <v>1908</v>
      </c>
      <c r="S827" s="378" t="s">
        <v>542</v>
      </c>
      <c r="T827" s="378" t="s">
        <v>295</v>
      </c>
      <c r="U827" s="377" t="s">
        <v>162</v>
      </c>
    </row>
    <row r="828" spans="1:21" x14ac:dyDescent="0.2">
      <c r="A828" s="353">
        <v>377192</v>
      </c>
      <c r="B828" s="340" t="s">
        <v>720</v>
      </c>
      <c r="C828" s="353">
        <v>1</v>
      </c>
      <c r="D828" s="353">
        <v>4</v>
      </c>
      <c r="E828" s="353">
        <v>3</v>
      </c>
      <c r="F828" s="353">
        <v>-1</v>
      </c>
      <c r="G828" s="353">
        <v>3</v>
      </c>
      <c r="H828" s="353">
        <v>0</v>
      </c>
      <c r="I828" s="353">
        <v>92</v>
      </c>
      <c r="J828" s="353">
        <v>13.9</v>
      </c>
      <c r="K828" s="353">
        <v>0.88</v>
      </c>
      <c r="L828" s="353">
        <v>2.23</v>
      </c>
      <c r="M828" s="353">
        <v>13</v>
      </c>
      <c r="N828" s="353">
        <v>0.1</v>
      </c>
      <c r="O828" s="353" t="s">
        <v>203</v>
      </c>
      <c r="P828" s="353">
        <v>2014</v>
      </c>
      <c r="Q828" t="s">
        <v>68</v>
      </c>
      <c r="R828" t="s">
        <v>1914</v>
      </c>
      <c r="S828" s="378" t="s">
        <v>542</v>
      </c>
      <c r="T828" s="378" t="s">
        <v>295</v>
      </c>
      <c r="U828" s="377" t="s">
        <v>162</v>
      </c>
    </row>
    <row r="829" spans="1:21" x14ac:dyDescent="0.2">
      <c r="A829" s="353">
        <v>107201</v>
      </c>
      <c r="B829" s="340" t="s">
        <v>747</v>
      </c>
      <c r="C829" s="353">
        <v>-9</v>
      </c>
      <c r="D829" s="353">
        <v>4</v>
      </c>
      <c r="E829" s="353">
        <v>7</v>
      </c>
      <c r="F829" s="353">
        <v>-3</v>
      </c>
      <c r="G829" s="353">
        <v>5</v>
      </c>
      <c r="H829" s="353">
        <v>24</v>
      </c>
      <c r="I829" s="353">
        <v>86</v>
      </c>
      <c r="J829" s="353">
        <v>13.3</v>
      </c>
      <c r="K829" s="353">
        <v>0.88</v>
      </c>
      <c r="L829" s="353">
        <v>2.2200000000000002</v>
      </c>
      <c r="M829" s="353">
        <v>17.8</v>
      </c>
      <c r="N829" s="353">
        <v>0.5</v>
      </c>
      <c r="O829" s="353" t="s">
        <v>344</v>
      </c>
      <c r="P829" s="353">
        <v>2004</v>
      </c>
      <c r="Q829" t="s">
        <v>68</v>
      </c>
      <c r="R829" t="s">
        <v>1718</v>
      </c>
      <c r="S829" s="378" t="s">
        <v>730</v>
      </c>
      <c r="T829" s="378" t="s">
        <v>1047</v>
      </c>
    </row>
    <row r="830" spans="1:21" x14ac:dyDescent="0.2">
      <c r="A830" s="353">
        <v>288183</v>
      </c>
      <c r="B830" s="340" t="s">
        <v>683</v>
      </c>
      <c r="C830" s="353">
        <v>19</v>
      </c>
      <c r="D830" s="353">
        <v>2</v>
      </c>
      <c r="E830" s="353">
        <v>1</v>
      </c>
      <c r="F830" s="353">
        <v>5</v>
      </c>
      <c r="G830" s="353">
        <v>15</v>
      </c>
      <c r="H830" s="353">
        <v>31</v>
      </c>
      <c r="I830" s="353">
        <v>54</v>
      </c>
      <c r="J830" s="353">
        <v>9</v>
      </c>
      <c r="K830" s="353">
        <v>0.88</v>
      </c>
      <c r="L830" s="353">
        <v>2.23</v>
      </c>
      <c r="M830" s="353">
        <v>11.5</v>
      </c>
      <c r="N830" s="353">
        <v>0.9</v>
      </c>
      <c r="O830" s="353" t="s">
        <v>203</v>
      </c>
      <c r="P830" s="353">
        <v>2004</v>
      </c>
      <c r="Q830" t="s">
        <v>68</v>
      </c>
      <c r="R830" t="s">
        <v>1658</v>
      </c>
      <c r="S830" s="378" t="s">
        <v>504</v>
      </c>
      <c r="T830" s="378" t="s">
        <v>321</v>
      </c>
    </row>
    <row r="831" spans="1:21" x14ac:dyDescent="0.2">
      <c r="A831" s="353">
        <v>396325</v>
      </c>
      <c r="B831" s="340" t="s">
        <v>664</v>
      </c>
      <c r="C831" s="353">
        <v>1</v>
      </c>
      <c r="D831" s="353">
        <v>1</v>
      </c>
      <c r="E831" s="353">
        <v>15</v>
      </c>
      <c r="F831" s="353">
        <v>1</v>
      </c>
      <c r="G831" s="353">
        <v>17</v>
      </c>
      <c r="H831" s="353">
        <v>33</v>
      </c>
      <c r="I831" s="353">
        <v>0</v>
      </c>
      <c r="J831" s="353">
        <v>0</v>
      </c>
      <c r="K831" s="353">
        <v>0.88</v>
      </c>
      <c r="L831" s="353">
        <v>2.23</v>
      </c>
      <c r="M831" s="353">
        <v>27.1</v>
      </c>
      <c r="N831" s="353">
        <v>0.5</v>
      </c>
      <c r="O831" s="353" t="s">
        <v>203</v>
      </c>
      <c r="P831" s="353">
        <v>2002</v>
      </c>
      <c r="Q831" t="s">
        <v>68</v>
      </c>
      <c r="R831" t="s">
        <v>1913</v>
      </c>
      <c r="S831" s="378" t="s">
        <v>542</v>
      </c>
      <c r="T831" s="378" t="s">
        <v>373</v>
      </c>
      <c r="U831" s="377" t="s">
        <v>162</v>
      </c>
    </row>
    <row r="832" spans="1:21" x14ac:dyDescent="0.2">
      <c r="A832" s="353">
        <v>174086</v>
      </c>
      <c r="B832" s="340" t="s">
        <v>482</v>
      </c>
      <c r="C832" s="353">
        <v>28</v>
      </c>
      <c r="D832" s="353">
        <v>9</v>
      </c>
      <c r="E832" s="353">
        <v>9</v>
      </c>
      <c r="F832" s="353">
        <v>10</v>
      </c>
      <c r="G832" s="353">
        <v>22</v>
      </c>
      <c r="H832" s="353">
        <v>63</v>
      </c>
      <c r="I832" s="353">
        <v>188</v>
      </c>
      <c r="J832" s="353">
        <v>23.5</v>
      </c>
      <c r="K832" s="353">
        <v>0.89</v>
      </c>
      <c r="L832" s="353">
        <v>2.7</v>
      </c>
      <c r="M832" s="353">
        <v>17</v>
      </c>
      <c r="N832" s="353">
        <v>1.1000000000000001</v>
      </c>
      <c r="O832" s="353" t="s">
        <v>203</v>
      </c>
      <c r="P832" s="353">
        <v>2000</v>
      </c>
      <c r="Q832" t="s">
        <v>68</v>
      </c>
      <c r="R832" t="s">
        <v>1468</v>
      </c>
      <c r="S832" s="378" t="s">
        <v>453</v>
      </c>
      <c r="T832" s="378" t="s">
        <v>1047</v>
      </c>
    </row>
    <row r="833" spans="1:20" x14ac:dyDescent="0.2">
      <c r="A833" s="353">
        <v>815837</v>
      </c>
      <c r="B833" s="340" t="s">
        <v>472</v>
      </c>
      <c r="C833" s="353">
        <v>14</v>
      </c>
      <c r="D833" s="353">
        <v>8</v>
      </c>
      <c r="E833" s="353">
        <v>8</v>
      </c>
      <c r="F833" s="353">
        <v>3</v>
      </c>
      <c r="G833" s="353">
        <v>13</v>
      </c>
      <c r="H833" s="353">
        <v>59</v>
      </c>
      <c r="I833" s="353">
        <v>153</v>
      </c>
      <c r="J833" s="353">
        <v>20.399999999999999</v>
      </c>
      <c r="K833" s="353">
        <v>0.89</v>
      </c>
      <c r="L833" s="353">
        <v>2.7</v>
      </c>
      <c r="M833" s="353">
        <v>16.600000000000001</v>
      </c>
      <c r="N833" s="353">
        <v>1</v>
      </c>
      <c r="O833" s="353" t="s">
        <v>344</v>
      </c>
      <c r="P833" s="353">
        <v>2007</v>
      </c>
      <c r="Q833" t="s">
        <v>68</v>
      </c>
      <c r="R833" t="s">
        <v>1743</v>
      </c>
      <c r="S833" s="378" t="s">
        <v>453</v>
      </c>
      <c r="T833" s="378" t="s">
        <v>1047</v>
      </c>
    </row>
    <row r="834" spans="1:20" x14ac:dyDescent="0.2">
      <c r="A834" s="353">
        <v>705806</v>
      </c>
      <c r="B834" s="340" t="s">
        <v>754</v>
      </c>
      <c r="C834" s="353">
        <v>-30</v>
      </c>
      <c r="D834" s="353">
        <v>-8</v>
      </c>
      <c r="E834" s="353">
        <v>-17</v>
      </c>
      <c r="F834" s="353">
        <v>-29</v>
      </c>
      <c r="G834" s="353">
        <v>-21</v>
      </c>
      <c r="H834" s="353">
        <v>13</v>
      </c>
      <c r="I834" s="353">
        <v>135</v>
      </c>
      <c r="J834" s="353">
        <v>18.7</v>
      </c>
      <c r="K834" s="353">
        <v>0.89</v>
      </c>
      <c r="L834" s="353">
        <v>2.65</v>
      </c>
      <c r="M834" s="353">
        <v>19.2</v>
      </c>
      <c r="N834" s="353">
        <v>0.3</v>
      </c>
      <c r="O834" s="353" t="s">
        <v>153</v>
      </c>
      <c r="P834" s="353">
        <v>2011</v>
      </c>
      <c r="Q834" t="s">
        <v>154</v>
      </c>
      <c r="R834" t="s">
        <v>1903</v>
      </c>
      <c r="S834" s="378" t="s">
        <v>686</v>
      </c>
      <c r="T834" s="378" t="s">
        <v>298</v>
      </c>
    </row>
    <row r="835" spans="1:20" x14ac:dyDescent="0.2">
      <c r="A835" s="353">
        <v>780007</v>
      </c>
      <c r="B835" s="340" t="s">
        <v>495</v>
      </c>
      <c r="C835" s="353">
        <v>24</v>
      </c>
      <c r="D835" s="353">
        <v>7</v>
      </c>
      <c r="E835" s="353">
        <v>5</v>
      </c>
      <c r="F835" s="353">
        <v>3</v>
      </c>
      <c r="G835" s="353">
        <v>12</v>
      </c>
      <c r="H835" s="353">
        <v>54</v>
      </c>
      <c r="I835" s="353">
        <v>133</v>
      </c>
      <c r="J835" s="353">
        <v>18.399999999999999</v>
      </c>
      <c r="K835" s="353">
        <v>0.89</v>
      </c>
      <c r="L835" s="353">
        <v>3</v>
      </c>
      <c r="M835" s="353">
        <v>19.7</v>
      </c>
      <c r="N835" s="353">
        <v>0.8</v>
      </c>
      <c r="O835" s="353" t="s">
        <v>344</v>
      </c>
      <c r="P835" s="353">
        <v>2007</v>
      </c>
      <c r="Q835" t="s">
        <v>68</v>
      </c>
      <c r="R835" t="s">
        <v>1965</v>
      </c>
      <c r="S835" s="378" t="s">
        <v>453</v>
      </c>
      <c r="T835" s="378" t="s">
        <v>1057</v>
      </c>
    </row>
    <row r="836" spans="1:20" x14ac:dyDescent="0.2">
      <c r="A836" s="353">
        <v>759225</v>
      </c>
      <c r="B836" s="340" t="s">
        <v>706</v>
      </c>
      <c r="C836" s="353">
        <v>32</v>
      </c>
      <c r="D836" s="353">
        <v>7</v>
      </c>
      <c r="E836" s="353">
        <v>12</v>
      </c>
      <c r="F836" s="353">
        <v>17</v>
      </c>
      <c r="G836" s="353">
        <v>25</v>
      </c>
      <c r="H836" s="353">
        <v>54</v>
      </c>
      <c r="I836" s="353">
        <v>130</v>
      </c>
      <c r="J836" s="353">
        <v>18.100000000000001</v>
      </c>
      <c r="K836" s="353">
        <v>0.89</v>
      </c>
      <c r="L836" s="353">
        <v>2.67</v>
      </c>
      <c r="M836" s="353">
        <v>17.8</v>
      </c>
      <c r="N836" s="353">
        <v>0.9</v>
      </c>
      <c r="O836" s="353" t="s">
        <v>203</v>
      </c>
      <c r="P836" s="353">
        <v>2012</v>
      </c>
      <c r="Q836" t="s">
        <v>68</v>
      </c>
      <c r="R836" t="s">
        <v>1676</v>
      </c>
      <c r="S836" s="378" t="s">
        <v>538</v>
      </c>
      <c r="T836" s="378" t="s">
        <v>342</v>
      </c>
    </row>
    <row r="837" spans="1:20" x14ac:dyDescent="0.2">
      <c r="A837" s="353">
        <v>866715</v>
      </c>
      <c r="B837" s="340" t="s">
        <v>694</v>
      </c>
      <c r="C837" s="353">
        <v>-4</v>
      </c>
      <c r="D837" s="353">
        <v>4</v>
      </c>
      <c r="E837" s="353">
        <v>5</v>
      </c>
      <c r="F837" s="353">
        <v>-3</v>
      </c>
      <c r="G837" s="353">
        <v>4</v>
      </c>
      <c r="H837" s="353">
        <v>34</v>
      </c>
      <c r="I837" s="353">
        <v>127</v>
      </c>
      <c r="J837" s="353">
        <v>17.8</v>
      </c>
      <c r="K837" s="353">
        <v>0.89</v>
      </c>
      <c r="L837" s="353">
        <v>2.63</v>
      </c>
      <c r="M837" s="353">
        <v>14.8</v>
      </c>
      <c r="N837" s="353">
        <v>0.7</v>
      </c>
      <c r="O837" s="353" t="s">
        <v>203</v>
      </c>
      <c r="P837" s="353">
        <v>2012</v>
      </c>
      <c r="Q837" t="s">
        <v>68</v>
      </c>
      <c r="R837" t="s">
        <v>1458</v>
      </c>
      <c r="S837" s="378" t="s">
        <v>538</v>
      </c>
      <c r="T837" s="378" t="s">
        <v>1047</v>
      </c>
    </row>
    <row r="838" spans="1:20" x14ac:dyDescent="0.2">
      <c r="A838" s="353">
        <v>250878</v>
      </c>
      <c r="B838" s="340" t="s">
        <v>738</v>
      </c>
      <c r="C838" s="353">
        <v>24</v>
      </c>
      <c r="D838" s="353">
        <v>8</v>
      </c>
      <c r="E838" s="353">
        <v>10</v>
      </c>
      <c r="F838" s="353">
        <v>10</v>
      </c>
      <c r="G838" s="353">
        <v>20</v>
      </c>
      <c r="H838" s="353">
        <v>49</v>
      </c>
      <c r="I838" s="353">
        <v>112</v>
      </c>
      <c r="J838" s="353">
        <v>16.2</v>
      </c>
      <c r="K838" s="353">
        <v>0.89</v>
      </c>
      <c r="L838" s="353">
        <v>2.2799999999999998</v>
      </c>
      <c r="M838" s="353">
        <v>15.7</v>
      </c>
      <c r="N838" s="353">
        <v>0.9</v>
      </c>
      <c r="O838" s="353" t="s">
        <v>344</v>
      </c>
      <c r="P838" s="353">
        <v>2014</v>
      </c>
      <c r="Q838" t="s">
        <v>68</v>
      </c>
      <c r="R838" t="s">
        <v>1780</v>
      </c>
      <c r="S838" s="378" t="s">
        <v>742</v>
      </c>
      <c r="T838" s="378" t="s">
        <v>1048</v>
      </c>
    </row>
    <row r="839" spans="1:20" x14ac:dyDescent="0.2">
      <c r="A839" s="353">
        <v>795054</v>
      </c>
      <c r="B839" s="340" t="s">
        <v>702</v>
      </c>
      <c r="C839" s="353">
        <v>25</v>
      </c>
      <c r="D839" s="353">
        <v>7</v>
      </c>
      <c r="E839" s="353">
        <v>9</v>
      </c>
      <c r="F839" s="353">
        <v>10</v>
      </c>
      <c r="G839" s="353">
        <v>19</v>
      </c>
      <c r="H839" s="353">
        <v>53</v>
      </c>
      <c r="I839" s="353">
        <v>103</v>
      </c>
      <c r="J839" s="353">
        <v>15.2</v>
      </c>
      <c r="K839" s="353">
        <v>0.89</v>
      </c>
      <c r="L839" s="353">
        <v>2.69</v>
      </c>
      <c r="M839" s="353">
        <v>14</v>
      </c>
      <c r="N839" s="353">
        <v>1.1000000000000001</v>
      </c>
      <c r="O839" s="353" t="s">
        <v>203</v>
      </c>
      <c r="P839" s="353">
        <v>2012</v>
      </c>
      <c r="Q839" t="s">
        <v>68</v>
      </c>
      <c r="R839" t="s">
        <v>1459</v>
      </c>
      <c r="S839" s="378" t="s">
        <v>538</v>
      </c>
      <c r="T839" s="378" t="s">
        <v>1048</v>
      </c>
    </row>
    <row r="840" spans="1:20" x14ac:dyDescent="0.2">
      <c r="A840" s="353">
        <v>942623</v>
      </c>
      <c r="B840" s="340" t="s">
        <v>705</v>
      </c>
      <c r="C840" s="353">
        <v>18</v>
      </c>
      <c r="D840" s="353">
        <v>5</v>
      </c>
      <c r="E840" s="353">
        <v>9</v>
      </c>
      <c r="F840" s="353">
        <v>4</v>
      </c>
      <c r="G840" s="353">
        <v>18</v>
      </c>
      <c r="H840" s="353">
        <v>55</v>
      </c>
      <c r="I840" s="353">
        <v>102</v>
      </c>
      <c r="J840" s="353">
        <v>15.1</v>
      </c>
      <c r="K840" s="353">
        <v>0.89</v>
      </c>
      <c r="L840" s="353">
        <v>2.66</v>
      </c>
      <c r="M840" s="353">
        <v>14.2</v>
      </c>
      <c r="N840" s="353">
        <v>1.1000000000000001</v>
      </c>
      <c r="O840" s="353" t="s">
        <v>203</v>
      </c>
      <c r="P840" s="353">
        <v>2012</v>
      </c>
      <c r="Q840" t="s">
        <v>68</v>
      </c>
      <c r="R840" t="s">
        <v>1450</v>
      </c>
      <c r="S840" s="378" t="s">
        <v>538</v>
      </c>
      <c r="T840" s="378" t="s">
        <v>215</v>
      </c>
    </row>
    <row r="841" spans="1:20" x14ac:dyDescent="0.2">
      <c r="A841" s="353">
        <v>717371</v>
      </c>
      <c r="B841" s="340" t="s">
        <v>689</v>
      </c>
      <c r="C841" s="353">
        <v>17</v>
      </c>
      <c r="D841" s="353">
        <v>2</v>
      </c>
      <c r="E841" s="353">
        <v>3</v>
      </c>
      <c r="F841" s="353">
        <v>12</v>
      </c>
      <c r="G841" s="353">
        <v>17</v>
      </c>
      <c r="H841" s="353">
        <v>77</v>
      </c>
      <c r="I841" s="353">
        <v>102</v>
      </c>
      <c r="J841" s="353">
        <v>15.1</v>
      </c>
      <c r="K841" s="353">
        <v>0.89</v>
      </c>
      <c r="L841" s="353">
        <v>2.67</v>
      </c>
      <c r="M841" s="353">
        <v>9.4</v>
      </c>
      <c r="N841" s="353">
        <v>2.1</v>
      </c>
      <c r="O841" s="353" t="s">
        <v>203</v>
      </c>
      <c r="P841" s="353">
        <v>2010</v>
      </c>
      <c r="Q841" t="s">
        <v>68</v>
      </c>
      <c r="R841" t="s">
        <v>2028</v>
      </c>
      <c r="S841" s="378" t="s">
        <v>971</v>
      </c>
      <c r="T841" s="378" t="s">
        <v>321</v>
      </c>
    </row>
    <row r="842" spans="1:20" x14ac:dyDescent="0.2">
      <c r="A842" s="353">
        <v>789032</v>
      </c>
      <c r="B842" s="340" t="s">
        <v>666</v>
      </c>
      <c r="C842" s="353">
        <v>25</v>
      </c>
      <c r="D842" s="353">
        <v>2</v>
      </c>
      <c r="E842" s="353">
        <v>2</v>
      </c>
      <c r="F842" s="353">
        <v>10</v>
      </c>
      <c r="G842" s="353">
        <v>27</v>
      </c>
      <c r="H842" s="353">
        <v>42</v>
      </c>
      <c r="I842" s="353">
        <v>97</v>
      </c>
      <c r="J842" s="353">
        <v>14.5</v>
      </c>
      <c r="K842" s="353">
        <v>0.89</v>
      </c>
      <c r="L842" s="353">
        <v>2.27</v>
      </c>
      <c r="M842" s="353">
        <v>11.2</v>
      </c>
      <c r="N842" s="353">
        <v>1.1000000000000001</v>
      </c>
      <c r="O842" s="353" t="s">
        <v>203</v>
      </c>
      <c r="P842" s="353">
        <v>2010</v>
      </c>
      <c r="Q842" t="s">
        <v>68</v>
      </c>
      <c r="R842" t="s">
        <v>1706</v>
      </c>
      <c r="S842" s="378" t="s">
        <v>971</v>
      </c>
      <c r="T842" s="378" t="s">
        <v>321</v>
      </c>
    </row>
    <row r="843" spans="1:20" x14ac:dyDescent="0.2">
      <c r="A843" s="353">
        <v>772038</v>
      </c>
      <c r="B843" s="340" t="s">
        <v>900</v>
      </c>
      <c r="C843" s="353">
        <v>25</v>
      </c>
      <c r="D843" s="353">
        <v>3</v>
      </c>
      <c r="E843" s="353">
        <v>4</v>
      </c>
      <c r="F843" s="353">
        <v>13</v>
      </c>
      <c r="G843" s="353">
        <v>26</v>
      </c>
      <c r="H843" s="353">
        <v>73</v>
      </c>
      <c r="I843" s="353">
        <v>95</v>
      </c>
      <c r="J843" s="353">
        <v>14.3</v>
      </c>
      <c r="K843" s="353">
        <v>0.89</v>
      </c>
      <c r="L843" s="353">
        <v>2.27</v>
      </c>
      <c r="M843" s="353">
        <v>8.3000000000000007</v>
      </c>
      <c r="N843" s="353">
        <v>2.2999999999999998</v>
      </c>
      <c r="O843" s="353" t="s">
        <v>203</v>
      </c>
      <c r="P843" s="353">
        <v>2010</v>
      </c>
      <c r="Q843" t="s">
        <v>68</v>
      </c>
      <c r="R843" t="s">
        <v>1461</v>
      </c>
      <c r="S843" s="378" t="s">
        <v>875</v>
      </c>
      <c r="T843" s="378" t="s">
        <v>321</v>
      </c>
    </row>
    <row r="844" spans="1:20" x14ac:dyDescent="0.2">
      <c r="A844" s="353">
        <v>753731</v>
      </c>
      <c r="B844" s="340" t="s">
        <v>670</v>
      </c>
      <c r="C844" s="353">
        <v>20</v>
      </c>
      <c r="D844" s="353">
        <v>7</v>
      </c>
      <c r="E844" s="353">
        <v>8</v>
      </c>
      <c r="F844" s="353">
        <v>12</v>
      </c>
      <c r="G844" s="353">
        <v>16</v>
      </c>
      <c r="H844" s="353">
        <v>49</v>
      </c>
      <c r="I844" s="353">
        <v>92</v>
      </c>
      <c r="J844" s="353">
        <v>14</v>
      </c>
      <c r="K844" s="353">
        <v>0.89</v>
      </c>
      <c r="L844" s="353">
        <v>2.2999999999999998</v>
      </c>
      <c r="M844" s="353">
        <v>19.5</v>
      </c>
      <c r="N844" s="353">
        <v>0.8</v>
      </c>
      <c r="O844" s="353" t="s">
        <v>344</v>
      </c>
      <c r="P844" s="353">
        <v>2013</v>
      </c>
      <c r="Q844" t="s">
        <v>68</v>
      </c>
      <c r="R844" t="s">
        <v>1209</v>
      </c>
      <c r="S844" s="378" t="s">
        <v>742</v>
      </c>
      <c r="T844" s="378" t="s">
        <v>342</v>
      </c>
    </row>
    <row r="845" spans="1:20" x14ac:dyDescent="0.2">
      <c r="A845" s="353">
        <v>150110</v>
      </c>
      <c r="B845" s="340" t="s">
        <v>708</v>
      </c>
      <c r="C845" s="353">
        <v>25</v>
      </c>
      <c r="D845" s="353">
        <v>7</v>
      </c>
      <c r="E845" s="353">
        <v>10</v>
      </c>
      <c r="F845" s="353">
        <v>11</v>
      </c>
      <c r="G845" s="353">
        <v>17</v>
      </c>
      <c r="H845" s="353">
        <v>45</v>
      </c>
      <c r="I845" s="353">
        <v>89</v>
      </c>
      <c r="J845" s="353">
        <v>13.6</v>
      </c>
      <c r="K845" s="353">
        <v>0.89</v>
      </c>
      <c r="L845" s="353">
        <v>2.71</v>
      </c>
      <c r="M845" s="353">
        <v>14.3</v>
      </c>
      <c r="N845" s="353">
        <v>1</v>
      </c>
      <c r="O845" s="353" t="s">
        <v>203</v>
      </c>
      <c r="P845" s="353">
        <v>2012</v>
      </c>
      <c r="Q845" t="s">
        <v>68</v>
      </c>
      <c r="R845" t="s">
        <v>2004</v>
      </c>
      <c r="S845" s="378" t="s">
        <v>538</v>
      </c>
      <c r="T845" s="378" t="s">
        <v>295</v>
      </c>
    </row>
    <row r="846" spans="1:20" x14ac:dyDescent="0.2">
      <c r="A846" s="353">
        <v>155788</v>
      </c>
      <c r="B846" s="340" t="s">
        <v>510</v>
      </c>
      <c r="C846" s="353">
        <v>14</v>
      </c>
      <c r="D846" s="353">
        <v>4</v>
      </c>
      <c r="E846" s="353">
        <v>7</v>
      </c>
      <c r="F846" s="353">
        <v>5</v>
      </c>
      <c r="G846" s="353">
        <v>18</v>
      </c>
      <c r="H846" s="353">
        <v>33</v>
      </c>
      <c r="I846" s="353">
        <v>89</v>
      </c>
      <c r="J846" s="353">
        <v>13.5</v>
      </c>
      <c r="K846" s="353">
        <v>0.89</v>
      </c>
      <c r="L846" s="353">
        <v>2.7</v>
      </c>
      <c r="M846" s="353">
        <v>15</v>
      </c>
      <c r="N846" s="353">
        <v>0.7</v>
      </c>
      <c r="O846" s="353" t="s">
        <v>203</v>
      </c>
      <c r="P846" s="353">
        <v>2004</v>
      </c>
      <c r="Q846" t="s">
        <v>68</v>
      </c>
      <c r="R846" t="s">
        <v>1533</v>
      </c>
      <c r="S846" s="378" t="s">
        <v>453</v>
      </c>
      <c r="T846" s="378" t="s">
        <v>215</v>
      </c>
    </row>
    <row r="847" spans="1:20" x14ac:dyDescent="0.2">
      <c r="A847" s="353">
        <v>870964</v>
      </c>
      <c r="B847" s="340" t="s">
        <v>704</v>
      </c>
      <c r="C847" s="353">
        <v>8</v>
      </c>
      <c r="D847" s="353">
        <v>5</v>
      </c>
      <c r="E847" s="353">
        <v>7</v>
      </c>
      <c r="F847" s="353">
        <v>3</v>
      </c>
      <c r="G847" s="353">
        <v>11</v>
      </c>
      <c r="H847" s="353">
        <v>29</v>
      </c>
      <c r="I847" s="353">
        <v>80</v>
      </c>
      <c r="J847" s="353">
        <v>12.5</v>
      </c>
      <c r="K847" s="353">
        <v>0.89</v>
      </c>
      <c r="L847" s="353">
        <v>2.67</v>
      </c>
      <c r="M847" s="353">
        <v>12.8</v>
      </c>
      <c r="N847" s="353">
        <v>0.7</v>
      </c>
      <c r="O847" s="353" t="s">
        <v>203</v>
      </c>
      <c r="P847" s="353">
        <v>2012</v>
      </c>
      <c r="Q847" t="s">
        <v>68</v>
      </c>
      <c r="R847" t="s">
        <v>1453</v>
      </c>
      <c r="S847" s="378" t="s">
        <v>538</v>
      </c>
      <c r="T847" s="378" t="s">
        <v>181</v>
      </c>
    </row>
    <row r="848" spans="1:20" x14ac:dyDescent="0.2">
      <c r="A848" s="353">
        <v>395434</v>
      </c>
      <c r="B848" s="340" t="s">
        <v>132</v>
      </c>
      <c r="C848" s="353">
        <v>12</v>
      </c>
      <c r="D848" s="353">
        <v>7</v>
      </c>
      <c r="E848" s="353">
        <v>16</v>
      </c>
      <c r="F848" s="353">
        <v>11</v>
      </c>
      <c r="G848" s="353">
        <v>13</v>
      </c>
      <c r="H848" s="353">
        <v>27</v>
      </c>
      <c r="I848" s="353">
        <v>77</v>
      </c>
      <c r="J848" s="353">
        <v>12.1</v>
      </c>
      <c r="K848" s="353">
        <v>0.89</v>
      </c>
      <c r="L848" s="353">
        <v>2.2999999999999998</v>
      </c>
      <c r="M848" s="353">
        <v>14.9</v>
      </c>
      <c r="N848" s="353">
        <v>0.6</v>
      </c>
      <c r="O848" s="353" t="s">
        <v>203</v>
      </c>
      <c r="P848" s="353">
        <v>2013</v>
      </c>
      <c r="Q848" t="s">
        <v>68</v>
      </c>
      <c r="R848" t="s">
        <v>1750</v>
      </c>
      <c r="S848" s="378" t="s">
        <v>742</v>
      </c>
      <c r="T848" s="378" t="s">
        <v>298</v>
      </c>
    </row>
    <row r="849" spans="1:21" x14ac:dyDescent="0.2">
      <c r="A849" s="353">
        <v>978452</v>
      </c>
      <c r="B849" s="340" t="s">
        <v>707</v>
      </c>
      <c r="C849" s="353">
        <v>26</v>
      </c>
      <c r="D849" s="353">
        <v>7</v>
      </c>
      <c r="E849" s="353">
        <v>11</v>
      </c>
      <c r="F849" s="353">
        <v>12</v>
      </c>
      <c r="G849" s="353">
        <v>18</v>
      </c>
      <c r="H849" s="353">
        <v>35</v>
      </c>
      <c r="I849" s="353">
        <v>77</v>
      </c>
      <c r="J849" s="353">
        <v>12</v>
      </c>
      <c r="K849" s="353">
        <v>0.89</v>
      </c>
      <c r="L849" s="353">
        <v>2.68</v>
      </c>
      <c r="M849" s="353">
        <v>13.6</v>
      </c>
      <c r="N849" s="353">
        <v>0.8</v>
      </c>
      <c r="O849" s="353" t="s">
        <v>203</v>
      </c>
      <c r="P849" s="353">
        <v>2012</v>
      </c>
      <c r="Q849" t="s">
        <v>68</v>
      </c>
      <c r="R849" t="s">
        <v>1449</v>
      </c>
      <c r="S849" s="378" t="s">
        <v>538</v>
      </c>
      <c r="T849" s="378" t="s">
        <v>295</v>
      </c>
    </row>
    <row r="850" spans="1:21" x14ac:dyDescent="0.2">
      <c r="A850" s="353">
        <v>102897</v>
      </c>
      <c r="B850" s="340" t="s">
        <v>1081</v>
      </c>
      <c r="C850" s="353">
        <v>15</v>
      </c>
      <c r="D850" s="353">
        <v>2</v>
      </c>
      <c r="E850" s="353">
        <v>5</v>
      </c>
      <c r="F850" s="353">
        <v>3</v>
      </c>
      <c r="G850" s="353">
        <v>19</v>
      </c>
      <c r="H850" s="353">
        <v>38</v>
      </c>
      <c r="I850" s="353">
        <v>73</v>
      </c>
      <c r="J850" s="353">
        <v>11.6</v>
      </c>
      <c r="K850" s="353">
        <v>0.89</v>
      </c>
      <c r="L850" s="353">
        <v>2.59</v>
      </c>
      <c r="M850" s="353">
        <v>13.3</v>
      </c>
      <c r="N850" s="353">
        <v>0.9</v>
      </c>
      <c r="O850" s="353" t="s">
        <v>153</v>
      </c>
      <c r="P850" s="353">
        <v>2007</v>
      </c>
      <c r="Q850" t="s">
        <v>154</v>
      </c>
      <c r="R850" t="s">
        <v>1797</v>
      </c>
      <c r="S850" s="378" t="s">
        <v>525</v>
      </c>
      <c r="T850" s="378" t="s">
        <v>215</v>
      </c>
    </row>
    <row r="851" spans="1:21" x14ac:dyDescent="0.2">
      <c r="A851" s="353">
        <v>666313</v>
      </c>
      <c r="B851" s="340" t="s">
        <v>674</v>
      </c>
      <c r="C851" s="353">
        <v>17</v>
      </c>
      <c r="D851" s="353">
        <v>2</v>
      </c>
      <c r="E851" s="353">
        <v>1</v>
      </c>
      <c r="F851" s="353">
        <v>5</v>
      </c>
      <c r="G851" s="353">
        <v>11</v>
      </c>
      <c r="H851" s="353">
        <v>23</v>
      </c>
      <c r="I851" s="353">
        <v>70</v>
      </c>
      <c r="J851" s="353">
        <v>11.2</v>
      </c>
      <c r="K851" s="353">
        <v>0.89</v>
      </c>
      <c r="L851" s="353">
        <v>2.2799999999999998</v>
      </c>
      <c r="M851" s="353">
        <v>9.9</v>
      </c>
      <c r="N851" s="353">
        <v>0.8</v>
      </c>
      <c r="O851" s="353" t="s">
        <v>203</v>
      </c>
      <c r="P851" s="353">
        <v>2012</v>
      </c>
      <c r="Q851" t="s">
        <v>68</v>
      </c>
      <c r="R851" t="s">
        <v>1668</v>
      </c>
      <c r="S851" s="378" t="s">
        <v>806</v>
      </c>
      <c r="T851" s="378" t="s">
        <v>321</v>
      </c>
      <c r="U851" s="377" t="s">
        <v>162</v>
      </c>
    </row>
    <row r="852" spans="1:21" x14ac:dyDescent="0.2">
      <c r="A852" s="353">
        <v>353235</v>
      </c>
      <c r="B852" s="340" t="s">
        <v>508</v>
      </c>
      <c r="C852" s="353">
        <v>5</v>
      </c>
      <c r="D852" s="353">
        <v>2</v>
      </c>
      <c r="E852" s="353">
        <v>3</v>
      </c>
      <c r="F852" s="353">
        <v>0</v>
      </c>
      <c r="G852" s="353">
        <v>7</v>
      </c>
      <c r="H852" s="353">
        <v>22</v>
      </c>
      <c r="I852" s="353">
        <v>69</v>
      </c>
      <c r="J852" s="353">
        <v>11</v>
      </c>
      <c r="K852" s="353">
        <v>0.89</v>
      </c>
      <c r="L852" s="353">
        <v>2.7</v>
      </c>
      <c r="M852" s="353">
        <v>16.2</v>
      </c>
      <c r="N852" s="353">
        <v>0.5</v>
      </c>
      <c r="O852" s="353" t="s">
        <v>203</v>
      </c>
      <c r="P852" s="353">
        <v>2000</v>
      </c>
      <c r="Q852" t="s">
        <v>68</v>
      </c>
      <c r="R852" t="s">
        <v>1467</v>
      </c>
      <c r="S852" s="378" t="s">
        <v>453</v>
      </c>
      <c r="T852" s="378" t="s">
        <v>1049</v>
      </c>
    </row>
    <row r="853" spans="1:21" x14ac:dyDescent="0.2">
      <c r="A853" s="353">
        <v>401513</v>
      </c>
      <c r="B853" s="340" t="s">
        <v>1080</v>
      </c>
      <c r="C853" s="353">
        <v>16</v>
      </c>
      <c r="D853" s="353">
        <v>4</v>
      </c>
      <c r="E853" s="353">
        <v>5</v>
      </c>
      <c r="F853" s="353">
        <v>5</v>
      </c>
      <c r="G853" s="353">
        <v>13</v>
      </c>
      <c r="H853" s="353">
        <v>34</v>
      </c>
      <c r="I853" s="353">
        <v>61</v>
      </c>
      <c r="J853" s="353">
        <v>10.1</v>
      </c>
      <c r="K853" s="353">
        <v>0.89</v>
      </c>
      <c r="L853" s="353">
        <v>2.41</v>
      </c>
      <c r="M853" s="353">
        <v>14.5</v>
      </c>
      <c r="N853" s="353">
        <v>0.8</v>
      </c>
      <c r="O853" s="353" t="s">
        <v>203</v>
      </c>
      <c r="P853" s="353">
        <v>2013</v>
      </c>
      <c r="Q853" t="s">
        <v>68</v>
      </c>
      <c r="R853" t="s">
        <v>1657</v>
      </c>
      <c r="S853" s="378" t="s">
        <v>379</v>
      </c>
      <c r="T853" s="378" t="s">
        <v>295</v>
      </c>
      <c r="U853" s="377" t="s">
        <v>162</v>
      </c>
    </row>
    <row r="854" spans="1:21" x14ac:dyDescent="0.2">
      <c r="A854" s="353">
        <v>161620</v>
      </c>
      <c r="B854" s="340" t="s">
        <v>912</v>
      </c>
      <c r="C854" s="353">
        <v>20</v>
      </c>
      <c r="D854" s="353">
        <v>3</v>
      </c>
      <c r="E854" s="353">
        <v>2</v>
      </c>
      <c r="F854" s="353">
        <v>6</v>
      </c>
      <c r="G854" s="353">
        <v>19</v>
      </c>
      <c r="H854" s="353">
        <v>24</v>
      </c>
      <c r="I854" s="353">
        <v>60</v>
      </c>
      <c r="J854" s="353">
        <v>9.8000000000000007</v>
      </c>
      <c r="K854" s="353">
        <v>0.89</v>
      </c>
      <c r="L854" s="353">
        <v>2.48</v>
      </c>
      <c r="M854" s="353">
        <v>11.9</v>
      </c>
      <c r="N854" s="353">
        <v>0.7</v>
      </c>
      <c r="O854" s="353" t="s">
        <v>203</v>
      </c>
      <c r="P854" s="353">
        <v>2013</v>
      </c>
      <c r="Q854" t="s">
        <v>68</v>
      </c>
      <c r="R854" t="s">
        <v>1462</v>
      </c>
      <c r="S854" s="378" t="s">
        <v>875</v>
      </c>
      <c r="T854" s="378" t="s">
        <v>321</v>
      </c>
    </row>
    <row r="855" spans="1:21" x14ac:dyDescent="0.2">
      <c r="A855" s="353">
        <v>266049</v>
      </c>
      <c r="B855" s="340" t="s">
        <v>1134</v>
      </c>
      <c r="C855" s="353">
        <v>2</v>
      </c>
      <c r="D855" s="353">
        <v>-1</v>
      </c>
      <c r="E855" s="353">
        <v>0</v>
      </c>
      <c r="F855" s="353">
        <v>1</v>
      </c>
      <c r="G855" s="353">
        <v>8</v>
      </c>
      <c r="H855" s="353">
        <v>-22</v>
      </c>
      <c r="I855" s="353">
        <v>57</v>
      </c>
      <c r="J855" s="353">
        <v>9.5</v>
      </c>
      <c r="K855" s="353">
        <v>0.89</v>
      </c>
      <c r="L855" s="353">
        <v>2.74</v>
      </c>
      <c r="M855" s="353">
        <v>14.6</v>
      </c>
      <c r="N855" s="353">
        <v>-0.5</v>
      </c>
      <c r="O855" s="353" t="s">
        <v>203</v>
      </c>
      <c r="P855" s="353">
        <v>2014</v>
      </c>
      <c r="Q855" t="s">
        <v>68</v>
      </c>
      <c r="R855" t="s">
        <v>1711</v>
      </c>
      <c r="S855" s="378" t="s">
        <v>807</v>
      </c>
      <c r="T855" s="378" t="s">
        <v>295</v>
      </c>
    </row>
    <row r="856" spans="1:21" x14ac:dyDescent="0.2">
      <c r="A856" s="353">
        <v>317404</v>
      </c>
      <c r="B856" s="340" t="s">
        <v>481</v>
      </c>
      <c r="C856" s="353">
        <v>10</v>
      </c>
      <c r="D856" s="353">
        <v>4</v>
      </c>
      <c r="E856" s="353">
        <v>6</v>
      </c>
      <c r="F856" s="353">
        <v>2</v>
      </c>
      <c r="G856" s="353">
        <v>14</v>
      </c>
      <c r="H856" s="353">
        <v>16</v>
      </c>
      <c r="I856" s="353">
        <v>57</v>
      </c>
      <c r="J856" s="353">
        <v>9.4</v>
      </c>
      <c r="K856" s="353">
        <v>0.89</v>
      </c>
      <c r="L856" s="353">
        <v>2.5</v>
      </c>
      <c r="M856" s="353">
        <v>14</v>
      </c>
      <c r="N856" s="353">
        <v>0.4</v>
      </c>
      <c r="O856" s="353" t="s">
        <v>203</v>
      </c>
      <c r="P856" s="353">
        <v>2000</v>
      </c>
      <c r="Q856" t="s">
        <v>68</v>
      </c>
      <c r="R856" t="s">
        <v>1532</v>
      </c>
      <c r="S856" s="378" t="s">
        <v>453</v>
      </c>
      <c r="T856" s="378" t="s">
        <v>215</v>
      </c>
    </row>
    <row r="857" spans="1:21" x14ac:dyDescent="0.2">
      <c r="A857" s="353">
        <v>451393</v>
      </c>
      <c r="B857" s="340" t="s">
        <v>669</v>
      </c>
      <c r="C857" s="353">
        <v>9</v>
      </c>
      <c r="D857" s="353">
        <v>3</v>
      </c>
      <c r="E857" s="353">
        <v>7</v>
      </c>
      <c r="F857" s="353">
        <v>2</v>
      </c>
      <c r="G857" s="353">
        <v>13</v>
      </c>
      <c r="H857" s="353">
        <v>19</v>
      </c>
      <c r="I857" s="353">
        <v>55</v>
      </c>
      <c r="J857" s="353">
        <v>9.1999999999999993</v>
      </c>
      <c r="K857" s="353">
        <v>0.89</v>
      </c>
      <c r="L857" s="353">
        <v>2.25</v>
      </c>
      <c r="M857" s="353">
        <v>12.3</v>
      </c>
      <c r="N857" s="353">
        <v>0.5</v>
      </c>
      <c r="O857" s="353" t="s">
        <v>153</v>
      </c>
      <c r="P857" s="353">
        <v>2012</v>
      </c>
      <c r="Q857" t="s">
        <v>68</v>
      </c>
      <c r="R857" t="s">
        <v>1433</v>
      </c>
      <c r="S857" s="378" t="s">
        <v>596</v>
      </c>
      <c r="T857" s="378" t="s">
        <v>181</v>
      </c>
    </row>
    <row r="858" spans="1:21" x14ac:dyDescent="0.2">
      <c r="A858" s="353">
        <v>389650</v>
      </c>
      <c r="B858" s="340" t="s">
        <v>528</v>
      </c>
      <c r="C858" s="353">
        <v>19</v>
      </c>
      <c r="D858" s="353">
        <v>7</v>
      </c>
      <c r="E858" s="353">
        <v>6</v>
      </c>
      <c r="F858" s="353">
        <v>7</v>
      </c>
      <c r="G858" s="353">
        <v>11</v>
      </c>
      <c r="H858" s="353">
        <v>32</v>
      </c>
      <c r="I858" s="353">
        <v>55</v>
      </c>
      <c r="J858" s="353">
        <v>9.1999999999999993</v>
      </c>
      <c r="K858" s="353">
        <v>0.89</v>
      </c>
      <c r="L858" s="353">
        <v>2.75</v>
      </c>
      <c r="M858" s="353">
        <v>14.4</v>
      </c>
      <c r="N858" s="353">
        <v>0.7</v>
      </c>
      <c r="O858" s="353" t="s">
        <v>344</v>
      </c>
      <c r="P858" s="353">
        <v>2001</v>
      </c>
      <c r="Q858" t="s">
        <v>68</v>
      </c>
      <c r="R858" t="s">
        <v>1789</v>
      </c>
      <c r="S858" s="378" t="s">
        <v>453</v>
      </c>
      <c r="T858" s="378" t="s">
        <v>1048</v>
      </c>
    </row>
    <row r="859" spans="1:21" x14ac:dyDescent="0.2">
      <c r="A859" s="353">
        <v>136895</v>
      </c>
      <c r="B859" s="340" t="s">
        <v>486</v>
      </c>
      <c r="C859" s="353">
        <v>-3</v>
      </c>
      <c r="D859" s="353">
        <v>2</v>
      </c>
      <c r="E859" s="353">
        <v>2</v>
      </c>
      <c r="F859" s="353">
        <v>-4</v>
      </c>
      <c r="G859" s="353">
        <v>-1</v>
      </c>
      <c r="H859" s="353">
        <v>14</v>
      </c>
      <c r="I859" s="353">
        <v>53</v>
      </c>
      <c r="J859" s="353">
        <v>8.9</v>
      </c>
      <c r="K859" s="353">
        <v>0.89</v>
      </c>
      <c r="L859" s="353">
        <v>2.8</v>
      </c>
      <c r="M859" s="353">
        <v>13.7</v>
      </c>
      <c r="N859" s="353">
        <v>0.4</v>
      </c>
      <c r="O859" s="353" t="s">
        <v>344</v>
      </c>
      <c r="P859" s="353">
        <v>2007</v>
      </c>
      <c r="Q859" t="s">
        <v>68</v>
      </c>
      <c r="R859" t="s">
        <v>1812</v>
      </c>
      <c r="S859" s="378" t="s">
        <v>453</v>
      </c>
      <c r="T859" s="378" t="s">
        <v>1049</v>
      </c>
    </row>
    <row r="860" spans="1:21" x14ac:dyDescent="0.2">
      <c r="A860" s="353">
        <v>789560</v>
      </c>
      <c r="B860" s="340" t="s">
        <v>1015</v>
      </c>
      <c r="C860" s="353">
        <v>18</v>
      </c>
      <c r="D860" s="353">
        <v>6</v>
      </c>
      <c r="E860" s="353">
        <v>8</v>
      </c>
      <c r="F860" s="353">
        <v>7</v>
      </c>
      <c r="G860" s="353">
        <v>16</v>
      </c>
      <c r="H860" s="353">
        <v>38</v>
      </c>
      <c r="I860" s="353">
        <v>53</v>
      </c>
      <c r="J860" s="353">
        <v>8.9</v>
      </c>
      <c r="K860" s="353">
        <v>0.89</v>
      </c>
      <c r="L860" s="353">
        <v>2.2999999999999998</v>
      </c>
      <c r="M860" s="353">
        <v>17</v>
      </c>
      <c r="N860" s="353">
        <v>0.7</v>
      </c>
      <c r="O860" s="353" t="s">
        <v>203</v>
      </c>
      <c r="P860" s="353">
        <v>2013</v>
      </c>
      <c r="Q860" t="s">
        <v>68</v>
      </c>
      <c r="R860" t="s">
        <v>1896</v>
      </c>
      <c r="S860" s="378" t="s">
        <v>742</v>
      </c>
      <c r="T860" s="378" t="s">
        <v>295</v>
      </c>
    </row>
    <row r="861" spans="1:21" x14ac:dyDescent="0.2">
      <c r="A861" s="353">
        <v>250340</v>
      </c>
      <c r="B861" s="340" t="s">
        <v>1112</v>
      </c>
      <c r="C861" s="353">
        <v>5</v>
      </c>
      <c r="D861" s="353">
        <v>0</v>
      </c>
      <c r="E861" s="353">
        <v>0</v>
      </c>
      <c r="F861" s="353">
        <v>0</v>
      </c>
      <c r="G861" s="353">
        <v>9</v>
      </c>
      <c r="H861" s="353">
        <v>16</v>
      </c>
      <c r="I861" s="353">
        <v>51</v>
      </c>
      <c r="J861" s="353">
        <v>8.6</v>
      </c>
      <c r="K861" s="353">
        <v>0.89</v>
      </c>
      <c r="L861" s="353">
        <v>2.34</v>
      </c>
      <c r="M861" s="353">
        <v>13</v>
      </c>
      <c r="N861" s="353">
        <v>0.5</v>
      </c>
      <c r="O861" s="353" t="s">
        <v>153</v>
      </c>
      <c r="P861" s="353">
        <v>2011</v>
      </c>
      <c r="Q861" t="s">
        <v>68</v>
      </c>
      <c r="R861" t="s">
        <v>1920</v>
      </c>
      <c r="S861" s="378" t="s">
        <v>1105</v>
      </c>
      <c r="T861" s="378" t="s">
        <v>181</v>
      </c>
      <c r="U861" s="377" t="s">
        <v>162</v>
      </c>
    </row>
    <row r="862" spans="1:21" x14ac:dyDescent="0.2">
      <c r="A862" s="353">
        <v>286179</v>
      </c>
      <c r="B862" s="340" t="s">
        <v>1111</v>
      </c>
      <c r="C862" s="353">
        <v>5</v>
      </c>
      <c r="D862" s="353">
        <v>0</v>
      </c>
      <c r="E862" s="353">
        <v>0</v>
      </c>
      <c r="F862" s="353">
        <v>0</v>
      </c>
      <c r="G862" s="353">
        <v>8</v>
      </c>
      <c r="H862" s="353">
        <v>17</v>
      </c>
      <c r="I862" s="353">
        <v>50</v>
      </c>
      <c r="J862" s="353">
        <v>8.5</v>
      </c>
      <c r="K862" s="353">
        <v>0.89</v>
      </c>
      <c r="L862" s="353">
        <v>2.31</v>
      </c>
      <c r="M862" s="353">
        <v>12.1</v>
      </c>
      <c r="N862" s="353">
        <v>0.5</v>
      </c>
      <c r="O862" s="353" t="s">
        <v>153</v>
      </c>
      <c r="P862" s="353">
        <v>2011</v>
      </c>
      <c r="Q862" t="s">
        <v>68</v>
      </c>
      <c r="R862" t="s">
        <v>1901</v>
      </c>
      <c r="S862" s="378" t="s">
        <v>1105</v>
      </c>
      <c r="T862" s="378" t="s">
        <v>181</v>
      </c>
      <c r="U862" s="377" t="s">
        <v>162</v>
      </c>
    </row>
    <row r="863" spans="1:21" x14ac:dyDescent="0.2">
      <c r="A863" s="353">
        <v>353821</v>
      </c>
      <c r="B863" s="340" t="s">
        <v>514</v>
      </c>
      <c r="C863" s="353">
        <v>12</v>
      </c>
      <c r="D863" s="353">
        <v>4</v>
      </c>
      <c r="E863" s="353">
        <v>5</v>
      </c>
      <c r="F863" s="353">
        <v>3</v>
      </c>
      <c r="G863" s="353">
        <v>9</v>
      </c>
      <c r="H863" s="353">
        <v>25</v>
      </c>
      <c r="I863" s="353">
        <v>48</v>
      </c>
      <c r="J863" s="353">
        <v>8.1999999999999993</v>
      </c>
      <c r="K863" s="353">
        <v>0.89</v>
      </c>
      <c r="L863" s="353">
        <v>2.95</v>
      </c>
      <c r="M863" s="353">
        <v>13</v>
      </c>
      <c r="N863" s="353">
        <v>0.7</v>
      </c>
      <c r="O863" s="353" t="s">
        <v>203</v>
      </c>
      <c r="P863" s="353">
        <v>2001</v>
      </c>
      <c r="Q863" t="s">
        <v>68</v>
      </c>
      <c r="R863" t="s">
        <v>1515</v>
      </c>
      <c r="S863" s="378" t="s">
        <v>453</v>
      </c>
      <c r="T863" s="378" t="s">
        <v>295</v>
      </c>
    </row>
    <row r="864" spans="1:21" x14ac:dyDescent="0.2">
      <c r="A864" s="353">
        <v>317990</v>
      </c>
      <c r="B864" s="340" t="s">
        <v>494</v>
      </c>
      <c r="C864" s="353">
        <v>18</v>
      </c>
      <c r="D864" s="353">
        <v>5</v>
      </c>
      <c r="E864" s="353">
        <v>6</v>
      </c>
      <c r="F864" s="353">
        <v>6</v>
      </c>
      <c r="G864" s="353">
        <v>11</v>
      </c>
      <c r="H864" s="353">
        <v>26</v>
      </c>
      <c r="I864" s="353">
        <v>45</v>
      </c>
      <c r="J864" s="353">
        <v>7.7</v>
      </c>
      <c r="K864" s="353">
        <v>0.89</v>
      </c>
      <c r="L864" s="353">
        <v>2.95</v>
      </c>
      <c r="M864" s="353">
        <v>13.4</v>
      </c>
      <c r="N864" s="353">
        <v>0.7</v>
      </c>
      <c r="O864" s="353" t="s">
        <v>344</v>
      </c>
      <c r="P864" s="353">
        <v>2001</v>
      </c>
      <c r="Q864" t="s">
        <v>68</v>
      </c>
      <c r="R864" t="s">
        <v>1192</v>
      </c>
      <c r="S864" s="378" t="s">
        <v>453</v>
      </c>
      <c r="T864" s="378" t="s">
        <v>295</v>
      </c>
    </row>
    <row r="865" spans="1:20" x14ac:dyDescent="0.2">
      <c r="A865" s="353">
        <v>114280</v>
      </c>
      <c r="B865" s="340" t="s">
        <v>710</v>
      </c>
      <c r="C865" s="353">
        <v>8</v>
      </c>
      <c r="D865" s="353">
        <v>5</v>
      </c>
      <c r="E865" s="353">
        <v>6</v>
      </c>
      <c r="F865" s="353">
        <v>2</v>
      </c>
      <c r="G865" s="353">
        <v>11</v>
      </c>
      <c r="H865" s="353">
        <v>15</v>
      </c>
      <c r="I865" s="353">
        <v>42</v>
      </c>
      <c r="J865" s="353">
        <v>7.2</v>
      </c>
      <c r="K865" s="353">
        <v>0.89</v>
      </c>
      <c r="L865" s="353">
        <v>2.72</v>
      </c>
      <c r="M865" s="353">
        <v>15</v>
      </c>
      <c r="N865" s="353">
        <v>0.4</v>
      </c>
      <c r="O865" s="353" t="s">
        <v>203</v>
      </c>
      <c r="P865" s="353">
        <v>2012</v>
      </c>
      <c r="Q865" t="s">
        <v>68</v>
      </c>
      <c r="R865" t="s">
        <v>1448</v>
      </c>
      <c r="S865" s="378" t="s">
        <v>538</v>
      </c>
      <c r="T865" s="378" t="s">
        <v>295</v>
      </c>
    </row>
    <row r="866" spans="1:20" x14ac:dyDescent="0.2">
      <c r="A866" s="353">
        <v>516914</v>
      </c>
      <c r="B866" s="340" t="s">
        <v>678</v>
      </c>
      <c r="C866" s="353">
        <v>3</v>
      </c>
      <c r="D866" s="353">
        <v>1</v>
      </c>
      <c r="E866" s="353">
        <v>17</v>
      </c>
      <c r="F866" s="353">
        <v>-1</v>
      </c>
      <c r="G866" s="353">
        <v>19</v>
      </c>
      <c r="H866" s="353">
        <v>79</v>
      </c>
      <c r="I866" s="353">
        <v>40</v>
      </c>
      <c r="J866" s="353">
        <v>6.9</v>
      </c>
      <c r="K866" s="353">
        <v>0.89</v>
      </c>
      <c r="L866" s="353">
        <v>2.57</v>
      </c>
      <c r="M866" s="353">
        <v>27.4</v>
      </c>
      <c r="N866" s="353">
        <v>0.9</v>
      </c>
      <c r="O866" s="353" t="s">
        <v>203</v>
      </c>
      <c r="P866" s="353">
        <v>2012</v>
      </c>
      <c r="Q866" t="s">
        <v>68</v>
      </c>
      <c r="R866" t="s">
        <v>1707</v>
      </c>
      <c r="S866" s="378" t="s">
        <v>971</v>
      </c>
      <c r="T866" s="378" t="s">
        <v>373</v>
      </c>
    </row>
    <row r="867" spans="1:20" x14ac:dyDescent="0.2">
      <c r="A867" s="353">
        <v>917716</v>
      </c>
      <c r="B867" s="340" t="s">
        <v>668</v>
      </c>
      <c r="C867" s="353">
        <v>19</v>
      </c>
      <c r="D867" s="353">
        <v>4</v>
      </c>
      <c r="E867" s="353">
        <v>8</v>
      </c>
      <c r="F867" s="353">
        <v>6</v>
      </c>
      <c r="G867" s="353">
        <v>17</v>
      </c>
      <c r="H867" s="353">
        <v>15</v>
      </c>
      <c r="I867" s="353">
        <v>12</v>
      </c>
      <c r="J867" s="353">
        <v>2.4</v>
      </c>
      <c r="K867" s="353">
        <v>0.89</v>
      </c>
      <c r="L867" s="353">
        <v>2.25</v>
      </c>
      <c r="M867" s="353">
        <v>13</v>
      </c>
      <c r="N867" s="353">
        <v>0.4</v>
      </c>
      <c r="O867" s="353" t="s">
        <v>153</v>
      </c>
      <c r="P867" s="353">
        <v>2012</v>
      </c>
      <c r="Q867" t="s">
        <v>68</v>
      </c>
      <c r="R867" t="s">
        <v>1837</v>
      </c>
      <c r="S867" s="378" t="s">
        <v>596</v>
      </c>
      <c r="T867" s="378" t="s">
        <v>298</v>
      </c>
    </row>
    <row r="868" spans="1:20" x14ac:dyDescent="0.2">
      <c r="A868" s="353">
        <v>763474</v>
      </c>
      <c r="B868" s="340" t="s">
        <v>703</v>
      </c>
      <c r="C868" s="353">
        <v>15</v>
      </c>
      <c r="D868" s="353">
        <v>-2</v>
      </c>
      <c r="E868" s="353">
        <v>7</v>
      </c>
      <c r="F868" s="353">
        <v>4</v>
      </c>
      <c r="G868" s="353">
        <v>3</v>
      </c>
      <c r="H868" s="353">
        <v>5</v>
      </c>
      <c r="I868" s="353">
        <v>6</v>
      </c>
      <c r="J868" s="353">
        <v>1.2</v>
      </c>
      <c r="K868" s="353">
        <v>0.89</v>
      </c>
      <c r="L868" s="353">
        <v>2.71</v>
      </c>
      <c r="M868" s="353">
        <v>18.899999999999999</v>
      </c>
      <c r="N868" s="353">
        <v>0.2</v>
      </c>
      <c r="O868" s="353" t="s">
        <v>203</v>
      </c>
      <c r="P868" s="353">
        <v>2012</v>
      </c>
      <c r="Q868" t="s">
        <v>68</v>
      </c>
      <c r="R868" t="s">
        <v>1906</v>
      </c>
      <c r="S868" s="378" t="s">
        <v>538</v>
      </c>
      <c r="T868" s="378" t="s">
        <v>361</v>
      </c>
    </row>
    <row r="869" spans="1:20" x14ac:dyDescent="0.2">
      <c r="A869" s="353">
        <v>174672</v>
      </c>
      <c r="B869" s="340" t="s">
        <v>496</v>
      </c>
      <c r="C869" s="353">
        <v>12</v>
      </c>
      <c r="D869" s="353">
        <v>-2</v>
      </c>
      <c r="E869" s="353">
        <v>5</v>
      </c>
      <c r="F869" s="353">
        <v>4</v>
      </c>
      <c r="G869" s="353">
        <v>1</v>
      </c>
      <c r="H869" s="353">
        <v>2</v>
      </c>
      <c r="I869" s="353">
        <v>2</v>
      </c>
      <c r="J869" s="353">
        <v>0.5</v>
      </c>
      <c r="K869" s="353">
        <v>0.89</v>
      </c>
      <c r="L869" s="353">
        <v>2.95</v>
      </c>
      <c r="M869" s="353">
        <v>20.7</v>
      </c>
      <c r="N869" s="353">
        <v>0.1</v>
      </c>
      <c r="O869" s="353" t="s">
        <v>344</v>
      </c>
      <c r="P869" s="353">
        <v>2001</v>
      </c>
      <c r="Q869" t="s">
        <v>68</v>
      </c>
      <c r="R869" t="s">
        <v>1193</v>
      </c>
      <c r="S869" s="378" t="s">
        <v>453</v>
      </c>
      <c r="T869" s="378" t="s">
        <v>361</v>
      </c>
    </row>
    <row r="870" spans="1:20" x14ac:dyDescent="0.2">
      <c r="A870" s="353">
        <v>127621</v>
      </c>
      <c r="B870" s="340" t="s">
        <v>680</v>
      </c>
      <c r="C870" s="353">
        <v>18</v>
      </c>
      <c r="D870" s="353">
        <v>2</v>
      </c>
      <c r="E870" s="353">
        <v>-3</v>
      </c>
      <c r="F870" s="353">
        <v>1</v>
      </c>
      <c r="G870" s="353">
        <v>6</v>
      </c>
      <c r="H870" s="353">
        <v>-6</v>
      </c>
      <c r="I870" s="353">
        <v>-1</v>
      </c>
      <c r="J870" s="353">
        <v>-0.2</v>
      </c>
      <c r="K870" s="353">
        <v>0.89</v>
      </c>
      <c r="L870" s="353">
        <v>2.81</v>
      </c>
      <c r="M870" s="353">
        <v>20.2</v>
      </c>
      <c r="N870" s="353">
        <v>0</v>
      </c>
      <c r="O870" s="353" t="s">
        <v>203</v>
      </c>
      <c r="P870" s="353">
        <v>2013</v>
      </c>
      <c r="Q870" t="s">
        <v>68</v>
      </c>
      <c r="R870" t="s">
        <v>1548</v>
      </c>
      <c r="S870" s="378" t="s">
        <v>840</v>
      </c>
      <c r="T870" s="378" t="s">
        <v>298</v>
      </c>
    </row>
    <row r="871" spans="1:20" x14ac:dyDescent="0.2">
      <c r="A871" s="353">
        <v>318873</v>
      </c>
      <c r="B871" s="340" t="s">
        <v>1083</v>
      </c>
      <c r="C871" s="353">
        <v>7</v>
      </c>
      <c r="D871" s="353">
        <v>4</v>
      </c>
      <c r="E871" s="353">
        <v>6</v>
      </c>
      <c r="F871" s="353">
        <v>3</v>
      </c>
      <c r="G871" s="353">
        <v>10</v>
      </c>
      <c r="H871" s="353"/>
      <c r="I871" s="353"/>
      <c r="J871" s="353"/>
      <c r="K871" s="353">
        <v>0.89</v>
      </c>
      <c r="L871" s="353">
        <v>2.2999999999999998</v>
      </c>
      <c r="M871" s="353"/>
      <c r="N871" s="353"/>
      <c r="O871" s="353" t="s">
        <v>153</v>
      </c>
      <c r="P871" s="353">
        <v>2015</v>
      </c>
      <c r="Q871" t="s">
        <v>154</v>
      </c>
      <c r="R871" t="s">
        <v>1546</v>
      </c>
      <c r="S871" s="378" t="s">
        <v>953</v>
      </c>
      <c r="T871" s="378" t="s">
        <v>181</v>
      </c>
    </row>
    <row r="872" spans="1:20" x14ac:dyDescent="0.2">
      <c r="A872" s="353">
        <v>205302</v>
      </c>
      <c r="B872" s="340" t="s">
        <v>844</v>
      </c>
      <c r="C872" s="353">
        <v>5</v>
      </c>
      <c r="D872" s="353">
        <v>1</v>
      </c>
      <c r="E872" s="353">
        <v>3</v>
      </c>
      <c r="F872" s="353">
        <v>2</v>
      </c>
      <c r="G872" s="353">
        <v>1</v>
      </c>
      <c r="H872" s="353"/>
      <c r="I872" s="353"/>
      <c r="J872" s="353"/>
      <c r="K872" s="353">
        <v>0.89</v>
      </c>
      <c r="L872" s="353">
        <v>2.2400000000000002</v>
      </c>
      <c r="M872" s="353"/>
      <c r="N872" s="353"/>
      <c r="O872" s="353" t="s">
        <v>153</v>
      </c>
      <c r="P872" s="353">
        <v>2015</v>
      </c>
      <c r="Q872" t="s">
        <v>154</v>
      </c>
      <c r="R872" t="s">
        <v>1611</v>
      </c>
      <c r="S872" s="378" t="s">
        <v>845</v>
      </c>
      <c r="T872" s="378" t="s">
        <v>219</v>
      </c>
    </row>
    <row r="873" spans="1:20" x14ac:dyDescent="0.2">
      <c r="A873" s="353">
        <v>861229</v>
      </c>
      <c r="B873" s="340" t="s">
        <v>685</v>
      </c>
      <c r="C873" s="353">
        <v>10</v>
      </c>
      <c r="D873" s="353">
        <v>3</v>
      </c>
      <c r="E873" s="353">
        <v>8</v>
      </c>
      <c r="F873" s="353">
        <v>2</v>
      </c>
      <c r="G873" s="353">
        <v>10</v>
      </c>
      <c r="H873" s="353">
        <v>23</v>
      </c>
      <c r="I873" s="353"/>
      <c r="J873" s="353"/>
      <c r="K873" s="353">
        <v>0.89</v>
      </c>
      <c r="L873" s="353">
        <v>2.58</v>
      </c>
      <c r="M873" s="353">
        <v>11.2</v>
      </c>
      <c r="N873" s="353">
        <v>0.7</v>
      </c>
      <c r="O873" s="353" t="s">
        <v>153</v>
      </c>
      <c r="P873" s="353">
        <v>2013</v>
      </c>
      <c r="Q873" t="s">
        <v>154</v>
      </c>
      <c r="R873" t="s">
        <v>1630</v>
      </c>
      <c r="S873" s="378" t="s">
        <v>686</v>
      </c>
      <c r="T873" s="378" t="s">
        <v>295</v>
      </c>
    </row>
    <row r="874" spans="1:20" x14ac:dyDescent="0.2">
      <c r="A874" s="353">
        <v>878223</v>
      </c>
      <c r="B874" s="340" t="s">
        <v>1082</v>
      </c>
      <c r="C874" s="353">
        <v>20</v>
      </c>
      <c r="D874" s="353">
        <v>6</v>
      </c>
      <c r="E874" s="353">
        <v>11</v>
      </c>
      <c r="F874" s="353">
        <v>13</v>
      </c>
      <c r="G874" s="353">
        <v>16</v>
      </c>
      <c r="H874" s="353">
        <v>-32</v>
      </c>
      <c r="I874" s="353"/>
      <c r="J874" s="353"/>
      <c r="K874" s="353">
        <v>0.89</v>
      </c>
      <c r="L874" s="353">
        <v>2.79</v>
      </c>
      <c r="M874" s="353">
        <v>18.600000000000001</v>
      </c>
      <c r="N874" s="353">
        <v>-0.6</v>
      </c>
      <c r="O874" s="353" t="s">
        <v>153</v>
      </c>
      <c r="P874" s="353">
        <v>2013</v>
      </c>
      <c r="Q874" t="s">
        <v>154</v>
      </c>
      <c r="R874" t="s">
        <v>1639</v>
      </c>
      <c r="S874" s="378" t="s">
        <v>686</v>
      </c>
      <c r="T874" s="378" t="s">
        <v>295</v>
      </c>
    </row>
    <row r="875" spans="1:20" x14ac:dyDescent="0.2">
      <c r="A875" s="353">
        <v>551440</v>
      </c>
      <c r="B875" s="340" t="s">
        <v>897</v>
      </c>
      <c r="C875" s="353">
        <v>19</v>
      </c>
      <c r="D875" s="353">
        <v>4</v>
      </c>
      <c r="E875" s="353">
        <v>8</v>
      </c>
      <c r="F875" s="353">
        <v>7</v>
      </c>
      <c r="G875" s="353">
        <v>21</v>
      </c>
      <c r="H875" s="353"/>
      <c r="I875" s="353"/>
      <c r="J875" s="353"/>
      <c r="K875" s="353">
        <v>0.89</v>
      </c>
      <c r="L875" s="353">
        <v>2.46</v>
      </c>
      <c r="M875" s="353"/>
      <c r="N875" s="353"/>
      <c r="O875" s="353" t="s">
        <v>153</v>
      </c>
      <c r="P875" s="353">
        <v>2016</v>
      </c>
      <c r="Q875" t="s">
        <v>68</v>
      </c>
      <c r="R875" t="s">
        <v>1785</v>
      </c>
      <c r="S875" s="378" t="s">
        <v>807</v>
      </c>
      <c r="T875" s="378" t="s">
        <v>215</v>
      </c>
    </row>
    <row r="876" spans="1:20" x14ac:dyDescent="0.2">
      <c r="A876" s="353">
        <v>989905</v>
      </c>
      <c r="B876" s="340" t="s">
        <v>1087</v>
      </c>
      <c r="C876" s="353">
        <v>5</v>
      </c>
      <c r="D876" s="353">
        <v>1</v>
      </c>
      <c r="E876" s="353">
        <v>4</v>
      </c>
      <c r="F876" s="353">
        <v>0</v>
      </c>
      <c r="G876" s="353">
        <v>10</v>
      </c>
      <c r="H876" s="353"/>
      <c r="I876" s="353"/>
      <c r="J876" s="353"/>
      <c r="K876" s="353">
        <v>0.89</v>
      </c>
      <c r="L876" s="353">
        <v>2.25</v>
      </c>
      <c r="M876" s="353"/>
      <c r="N876" s="353"/>
      <c r="O876" s="353" t="s">
        <v>153</v>
      </c>
      <c r="P876" s="353">
        <v>2016</v>
      </c>
      <c r="Q876" t="s">
        <v>154</v>
      </c>
      <c r="R876" t="s">
        <v>1796</v>
      </c>
      <c r="S876" s="378" t="s">
        <v>525</v>
      </c>
      <c r="T876" s="378" t="s">
        <v>219</v>
      </c>
    </row>
    <row r="877" spans="1:20" x14ac:dyDescent="0.2">
      <c r="A877" s="353">
        <v>762823</v>
      </c>
      <c r="B877" s="340" t="s">
        <v>687</v>
      </c>
      <c r="C877" s="353">
        <v>9</v>
      </c>
      <c r="D877" s="353">
        <v>0</v>
      </c>
      <c r="E877" s="353">
        <v>5</v>
      </c>
      <c r="F877" s="353">
        <v>3</v>
      </c>
      <c r="G877" s="353">
        <v>4</v>
      </c>
      <c r="H877" s="353">
        <v>30</v>
      </c>
      <c r="I877" s="353"/>
      <c r="J877" s="353"/>
      <c r="K877" s="353">
        <v>0.89</v>
      </c>
      <c r="L877" s="353">
        <v>2.56</v>
      </c>
      <c r="M877" s="353">
        <v>15.7</v>
      </c>
      <c r="N877" s="353">
        <v>0.7</v>
      </c>
      <c r="O877" s="353" t="s">
        <v>153</v>
      </c>
      <c r="P877" s="353">
        <v>2014</v>
      </c>
      <c r="Q877" t="s">
        <v>154</v>
      </c>
      <c r="R877" t="s">
        <v>1904</v>
      </c>
      <c r="S877" s="378" t="s">
        <v>686</v>
      </c>
      <c r="T877" s="378" t="s">
        <v>298</v>
      </c>
    </row>
    <row r="878" spans="1:20" x14ac:dyDescent="0.2">
      <c r="A878" s="353">
        <v>708107</v>
      </c>
      <c r="B878" s="340" t="s">
        <v>1154</v>
      </c>
      <c r="C878" s="353">
        <v>9</v>
      </c>
      <c r="D878" s="353">
        <v>5</v>
      </c>
      <c r="E878" s="353">
        <v>9</v>
      </c>
      <c r="F878" s="353">
        <v>4</v>
      </c>
      <c r="G878" s="353">
        <v>13</v>
      </c>
      <c r="H878" s="353"/>
      <c r="I878" s="353"/>
      <c r="J878" s="353"/>
      <c r="K878" s="353">
        <v>0.89</v>
      </c>
      <c r="L878" s="353">
        <v>2.68</v>
      </c>
      <c r="M878" s="353"/>
      <c r="N878" s="353"/>
      <c r="O878" s="353" t="s">
        <v>153</v>
      </c>
      <c r="P878" s="353">
        <v>2016</v>
      </c>
      <c r="Q878" t="s">
        <v>68</v>
      </c>
      <c r="R878" t="s">
        <v>1980</v>
      </c>
      <c r="S878" s="378" t="s">
        <v>287</v>
      </c>
      <c r="T878" s="378" t="s">
        <v>181</v>
      </c>
    </row>
    <row r="879" spans="1:20" x14ac:dyDescent="0.2">
      <c r="A879" s="353">
        <v>456707</v>
      </c>
      <c r="B879" s="340" t="s">
        <v>917</v>
      </c>
      <c r="C879" s="353">
        <v>0</v>
      </c>
      <c r="D879" s="353">
        <v>0</v>
      </c>
      <c r="E879" s="353">
        <v>0</v>
      </c>
      <c r="F879" s="353">
        <v>0</v>
      </c>
      <c r="G879" s="353">
        <v>-2</v>
      </c>
      <c r="H879" s="353"/>
      <c r="I879" s="353"/>
      <c r="J879" s="353"/>
      <c r="K879" s="353"/>
      <c r="L879" s="353"/>
      <c r="M879" s="353"/>
      <c r="N879" s="353"/>
      <c r="O879" s="353" t="s">
        <v>153</v>
      </c>
      <c r="P879" s="353">
        <v>2016</v>
      </c>
      <c r="Q879" t="s">
        <v>68</v>
      </c>
      <c r="R879" t="s">
        <v>1289</v>
      </c>
      <c r="S879" s="378" t="s">
        <v>918</v>
      </c>
      <c r="T879" s="378" t="s">
        <v>1024</v>
      </c>
    </row>
    <row r="880" spans="1:20" x14ac:dyDescent="0.2">
      <c r="A880" s="353">
        <v>600676</v>
      </c>
      <c r="B880" s="340" t="s">
        <v>1107</v>
      </c>
      <c r="C880" s="353"/>
      <c r="D880" s="353">
        <v>0</v>
      </c>
      <c r="E880" s="353">
        <v>0</v>
      </c>
      <c r="F880" s="353">
        <v>0</v>
      </c>
      <c r="G880" s="353">
        <v>0</v>
      </c>
      <c r="H880" s="353">
        <v>-65</v>
      </c>
      <c r="I880" s="353"/>
      <c r="J880" s="353"/>
      <c r="K880" s="353"/>
      <c r="L880" s="353"/>
      <c r="M880" s="353">
        <v>34.4</v>
      </c>
      <c r="N880" s="353">
        <v>-0.7</v>
      </c>
      <c r="O880" s="353" t="s">
        <v>153</v>
      </c>
      <c r="P880" s="353">
        <v>2014</v>
      </c>
      <c r="Q880" t="s">
        <v>68</v>
      </c>
      <c r="R880" t="s">
        <v>1641</v>
      </c>
      <c r="S880" s="378" t="s">
        <v>717</v>
      </c>
      <c r="T880" s="378" t="s">
        <v>1024</v>
      </c>
    </row>
    <row r="881" spans="1:20" x14ac:dyDescent="0.2">
      <c r="A881" s="353">
        <v>636506</v>
      </c>
      <c r="B881" s="340" t="s">
        <v>1108</v>
      </c>
      <c r="C881" s="353"/>
      <c r="D881" s="353">
        <v>0</v>
      </c>
      <c r="E881" s="353">
        <v>0</v>
      </c>
      <c r="F881" s="353">
        <v>0</v>
      </c>
      <c r="G881" s="353">
        <v>0</v>
      </c>
      <c r="H881" s="353">
        <v>-37</v>
      </c>
      <c r="I881" s="353"/>
      <c r="J881" s="353"/>
      <c r="K881" s="353"/>
      <c r="L881" s="353"/>
      <c r="M881" s="353">
        <v>19.100000000000001</v>
      </c>
      <c r="N881" s="353">
        <v>-0.7</v>
      </c>
      <c r="O881" s="353" t="s">
        <v>153</v>
      </c>
      <c r="P881" s="353">
        <v>2014</v>
      </c>
      <c r="Q881" t="s">
        <v>68</v>
      </c>
      <c r="R881" t="s">
        <v>1642</v>
      </c>
      <c r="S881" s="378" t="s">
        <v>717</v>
      </c>
      <c r="T881" s="378" t="s">
        <v>1024</v>
      </c>
    </row>
    <row r="882" spans="1:20" x14ac:dyDescent="0.2">
      <c r="A882" s="353">
        <v>524769</v>
      </c>
      <c r="B882" s="340" t="s">
        <v>716</v>
      </c>
      <c r="C882" s="353"/>
      <c r="D882" s="353">
        <v>0</v>
      </c>
      <c r="E882" s="353">
        <v>0</v>
      </c>
      <c r="F882" s="353">
        <v>0</v>
      </c>
      <c r="G882" s="353">
        <v>0</v>
      </c>
      <c r="H882" s="353">
        <v>-42</v>
      </c>
      <c r="I882" s="353"/>
      <c r="J882" s="353"/>
      <c r="K882" s="353"/>
      <c r="L882" s="353"/>
      <c r="M882" s="353">
        <v>21.4</v>
      </c>
      <c r="N882" s="353">
        <v>-0.7</v>
      </c>
      <c r="O882" s="353" t="s">
        <v>153</v>
      </c>
      <c r="P882" s="353">
        <v>2014</v>
      </c>
      <c r="Q882" t="s">
        <v>68</v>
      </c>
      <c r="R882" t="s">
        <v>1770</v>
      </c>
      <c r="S882" s="378" t="s">
        <v>717</v>
      </c>
      <c r="T882" s="378" t="s">
        <v>1024</v>
      </c>
    </row>
    <row r="883" spans="1:20" x14ac:dyDescent="0.2">
      <c r="A883" s="353"/>
      <c r="B883" s="340"/>
      <c r="C883" s="353"/>
      <c r="D883" s="353"/>
      <c r="E883" s="353"/>
      <c r="F883" s="353"/>
      <c r="G883" s="353"/>
      <c r="H883" s="353"/>
      <c r="I883" s="353"/>
      <c r="J883" s="353"/>
      <c r="K883" s="353"/>
      <c r="L883" s="353"/>
      <c r="M883" s="353"/>
      <c r="N883" s="353"/>
      <c r="O883" s="353"/>
      <c r="P883" s="353"/>
      <c r="Q883"/>
      <c r="R883"/>
      <c r="S883" s="378"/>
      <c r="T883" s="378"/>
    </row>
    <row r="884" spans="1:20" x14ac:dyDescent="0.2">
      <c r="A884" s="353"/>
      <c r="B884" s="340"/>
      <c r="C884" s="353"/>
      <c r="D884" s="353"/>
      <c r="E884" s="353"/>
      <c r="F884" s="353"/>
      <c r="G884" s="353"/>
      <c r="H884" s="353"/>
      <c r="I884" s="353"/>
      <c r="J884" s="353"/>
      <c r="K884" s="353"/>
      <c r="L884" s="353"/>
      <c r="M884" s="353"/>
      <c r="N884" s="353"/>
      <c r="O884" s="353"/>
      <c r="P884" s="353"/>
      <c r="Q884"/>
      <c r="R884"/>
      <c r="S884" s="378"/>
      <c r="T884" s="378"/>
    </row>
    <row r="885" spans="1:20" x14ac:dyDescent="0.2">
      <c r="A885" s="353"/>
      <c r="B885" s="340"/>
      <c r="C885" s="353"/>
      <c r="D885" s="353"/>
      <c r="E885" s="353"/>
      <c r="F885" s="353"/>
      <c r="G885" s="353"/>
      <c r="H885" s="353"/>
      <c r="I885" s="353"/>
      <c r="J885" s="353"/>
      <c r="K885" s="353"/>
      <c r="L885" s="353"/>
      <c r="M885" s="353"/>
      <c r="N885" s="353"/>
      <c r="O885" s="353"/>
      <c r="P885" s="353"/>
      <c r="Q885"/>
      <c r="R885"/>
      <c r="S885" s="378"/>
      <c r="T885" s="378"/>
    </row>
    <row r="886" spans="1:20" x14ac:dyDescent="0.2">
      <c r="A886" s="353"/>
      <c r="B886" s="340"/>
      <c r="C886" s="353"/>
      <c r="D886" s="353"/>
      <c r="E886" s="353"/>
      <c r="F886" s="353"/>
      <c r="G886" s="353"/>
      <c r="H886" s="353"/>
      <c r="I886" s="353"/>
      <c r="J886" s="353"/>
      <c r="K886" s="353"/>
      <c r="L886" s="353"/>
      <c r="M886" s="353"/>
      <c r="N886" s="353"/>
      <c r="O886" s="353"/>
      <c r="P886" s="353"/>
      <c r="Q886"/>
      <c r="R886"/>
      <c r="S886" s="378"/>
      <c r="T886" s="378"/>
    </row>
    <row r="887" spans="1:20" x14ac:dyDescent="0.2">
      <c r="A887" s="354"/>
      <c r="B887" s="297"/>
      <c r="C887" s="354"/>
      <c r="D887" s="354"/>
      <c r="E887" s="354"/>
      <c r="F887" s="354"/>
      <c r="G887" s="354"/>
      <c r="H887" s="354"/>
      <c r="I887" s="354"/>
      <c r="J887" s="354"/>
      <c r="K887" s="354"/>
      <c r="L887" s="354"/>
      <c r="M887" s="274"/>
      <c r="N887" s="354"/>
      <c r="O887" s="354"/>
      <c r="P887" s="354"/>
      <c r="Q887" s="273"/>
      <c r="R887" s="273"/>
      <c r="S887" s="379"/>
      <c r="T887" s="379"/>
    </row>
    <row r="888" spans="1:20" x14ac:dyDescent="0.2">
      <c r="A888" s="354"/>
      <c r="B888" s="297"/>
      <c r="C888" s="354"/>
      <c r="D888" s="354"/>
      <c r="E888" s="354"/>
      <c r="F888" s="354"/>
      <c r="G888" s="354"/>
      <c r="H888" s="354"/>
      <c r="I888" s="354"/>
      <c r="J888" s="354"/>
      <c r="K888" s="354"/>
      <c r="L888" s="354"/>
      <c r="M888" s="274"/>
      <c r="N888" s="354"/>
      <c r="O888" s="354"/>
      <c r="P888" s="354"/>
      <c r="Q888" s="273"/>
      <c r="R888" s="273"/>
      <c r="S888" s="379"/>
      <c r="T888" s="379"/>
    </row>
    <row r="889" spans="1:20" x14ac:dyDescent="0.2">
      <c r="A889" s="354"/>
      <c r="B889" s="297"/>
      <c r="C889" s="354"/>
      <c r="D889" s="354"/>
      <c r="E889" s="354"/>
      <c r="F889" s="354"/>
      <c r="G889" s="354"/>
      <c r="H889" s="354"/>
      <c r="I889" s="354"/>
      <c r="J889" s="354"/>
      <c r="K889" s="354"/>
      <c r="L889" s="354"/>
      <c r="M889" s="274"/>
      <c r="N889" s="354"/>
      <c r="O889" s="354"/>
      <c r="P889" s="354"/>
      <c r="Q889" s="273"/>
      <c r="R889" s="273"/>
      <c r="S889" s="379"/>
      <c r="T889" s="379"/>
    </row>
    <row r="890" spans="1:20" x14ac:dyDescent="0.2">
      <c r="A890" s="354"/>
      <c r="B890" s="297"/>
      <c r="C890" s="354"/>
      <c r="D890" s="354"/>
      <c r="E890" s="354"/>
      <c r="F890" s="354"/>
      <c r="G890" s="354"/>
      <c r="H890" s="354"/>
      <c r="I890" s="354"/>
      <c r="J890" s="354"/>
      <c r="K890" s="354"/>
      <c r="L890" s="354"/>
      <c r="M890" s="274"/>
      <c r="N890" s="354"/>
      <c r="O890" s="354"/>
      <c r="P890" s="354"/>
      <c r="Q890" s="273"/>
      <c r="R890" s="273"/>
      <c r="S890" s="379"/>
      <c r="T890" s="379"/>
    </row>
    <row r="891" spans="1:20" x14ac:dyDescent="0.2">
      <c r="A891" s="354"/>
      <c r="B891" s="297"/>
      <c r="C891" s="354"/>
      <c r="D891" s="354"/>
      <c r="E891" s="354"/>
      <c r="F891" s="354"/>
      <c r="G891" s="354"/>
      <c r="H891" s="354"/>
      <c r="I891" s="354"/>
      <c r="J891" s="354"/>
      <c r="K891" s="354"/>
      <c r="L891" s="354"/>
      <c r="M891" s="274"/>
      <c r="N891" s="354"/>
      <c r="O891" s="354"/>
      <c r="P891" s="354"/>
      <c r="Q891" s="273"/>
      <c r="R891" s="273"/>
      <c r="S891" s="379"/>
      <c r="T891" s="379"/>
    </row>
    <row r="892" spans="1:20" x14ac:dyDescent="0.2">
      <c r="A892" s="354"/>
      <c r="B892" s="297"/>
      <c r="C892" s="354"/>
      <c r="D892" s="354"/>
      <c r="E892" s="354"/>
      <c r="F892" s="354"/>
      <c r="G892" s="354"/>
      <c r="H892" s="354"/>
      <c r="I892" s="354"/>
      <c r="J892" s="354"/>
      <c r="K892" s="354"/>
      <c r="L892" s="354"/>
      <c r="M892" s="274"/>
      <c r="N892" s="354"/>
      <c r="O892" s="354"/>
      <c r="P892" s="354"/>
      <c r="Q892" s="273"/>
      <c r="R892" s="273"/>
      <c r="S892" s="379"/>
      <c r="T892" s="379"/>
    </row>
    <row r="893" spans="1:20" x14ac:dyDescent="0.2">
      <c r="A893" s="354"/>
      <c r="B893" s="297"/>
      <c r="C893" s="354"/>
      <c r="D893" s="354"/>
      <c r="E893" s="354"/>
      <c r="F893" s="354"/>
      <c r="G893" s="354"/>
      <c r="H893" s="354"/>
      <c r="I893" s="354"/>
      <c r="J893" s="354"/>
      <c r="K893" s="354"/>
      <c r="L893" s="354"/>
      <c r="M893" s="274"/>
      <c r="N893" s="354"/>
      <c r="O893" s="354"/>
      <c r="P893" s="354"/>
      <c r="Q893" s="273"/>
      <c r="R893" s="273"/>
      <c r="S893" s="379"/>
      <c r="T893" s="379"/>
    </row>
    <row r="894" spans="1:20" x14ac:dyDescent="0.2">
      <c r="A894" s="354"/>
      <c r="B894" s="297"/>
      <c r="C894" s="354"/>
      <c r="D894" s="354"/>
      <c r="E894" s="354"/>
      <c r="F894" s="354"/>
      <c r="G894" s="354"/>
      <c r="H894" s="354"/>
      <c r="I894" s="354"/>
      <c r="J894" s="354"/>
      <c r="K894" s="354"/>
      <c r="L894" s="354"/>
      <c r="M894" s="274"/>
      <c r="N894" s="354"/>
      <c r="O894" s="354"/>
      <c r="P894" s="354"/>
      <c r="Q894" s="273"/>
      <c r="R894" s="273"/>
      <c r="S894" s="379"/>
      <c r="T894" s="379"/>
    </row>
    <row r="895" spans="1:20" x14ac:dyDescent="0.2">
      <c r="M895" s="274"/>
    </row>
    <row r="896" spans="1:20" x14ac:dyDescent="0.2">
      <c r="M896" s="274"/>
    </row>
    <row r="897" spans="13:13" x14ac:dyDescent="0.2">
      <c r="M897" s="274"/>
    </row>
    <row r="898" spans="13:13" x14ac:dyDescent="0.2">
      <c r="M898" s="274"/>
    </row>
    <row r="899" spans="13:13" x14ac:dyDescent="0.2">
      <c r="M899" s="274"/>
    </row>
    <row r="900" spans="13:13" x14ac:dyDescent="0.2">
      <c r="M900" s="274"/>
    </row>
    <row r="901" spans="13:13" x14ac:dyDescent="0.2">
      <c r="M901" s="274"/>
    </row>
    <row r="902" spans="13:13" x14ac:dyDescent="0.2">
      <c r="M902" s="274"/>
    </row>
    <row r="903" spans="13:13" x14ac:dyDescent="0.2">
      <c r="M903" s="274"/>
    </row>
    <row r="904" spans="13:13" x14ac:dyDescent="0.2">
      <c r="M904" s="274"/>
    </row>
    <row r="905" spans="13:13" x14ac:dyDescent="0.2">
      <c r="M905" s="274"/>
    </row>
    <row r="906" spans="13:13" x14ac:dyDescent="0.2">
      <c r="M906" s="274"/>
    </row>
    <row r="907" spans="13:13" x14ac:dyDescent="0.2">
      <c r="M907" s="274"/>
    </row>
    <row r="908" spans="13:13" x14ac:dyDescent="0.2">
      <c r="M908" s="274"/>
    </row>
    <row r="909" spans="13:13" x14ac:dyDescent="0.2">
      <c r="M909" s="274"/>
    </row>
    <row r="910" spans="13:13" x14ac:dyDescent="0.2">
      <c r="M910" s="274"/>
    </row>
    <row r="911" spans="13:13" x14ac:dyDescent="0.2">
      <c r="M911" s="274"/>
    </row>
    <row r="912" spans="13:13" x14ac:dyDescent="0.2">
      <c r="M912" s="274"/>
    </row>
    <row r="913" spans="13:13" x14ac:dyDescent="0.2">
      <c r="M913" s="274"/>
    </row>
    <row r="914" spans="13:13" x14ac:dyDescent="0.2">
      <c r="M914" s="274"/>
    </row>
    <row r="915" spans="13:13" x14ac:dyDescent="0.2">
      <c r="M915" s="274"/>
    </row>
    <row r="916" spans="13:13" x14ac:dyDescent="0.2">
      <c r="M916" s="274"/>
    </row>
    <row r="917" spans="13:13" x14ac:dyDescent="0.2">
      <c r="M917" s="274"/>
    </row>
    <row r="918" spans="13:13" x14ac:dyDescent="0.2">
      <c r="M918" s="274"/>
    </row>
    <row r="919" spans="13:13" x14ac:dyDescent="0.2">
      <c r="M919" s="274"/>
    </row>
    <row r="920" spans="13:13" x14ac:dyDescent="0.2">
      <c r="M920" s="274"/>
    </row>
    <row r="921" spans="13:13" x14ac:dyDescent="0.2">
      <c r="M921" s="274"/>
    </row>
    <row r="922" spans="13:13" x14ac:dyDescent="0.2">
      <c r="M922" s="274"/>
    </row>
    <row r="923" spans="13:13" x14ac:dyDescent="0.2">
      <c r="M923" s="274"/>
    </row>
    <row r="924" spans="13:13" x14ac:dyDescent="0.2">
      <c r="M924" s="274"/>
    </row>
    <row r="925" spans="13:13" x14ac:dyDescent="0.2">
      <c r="M925" s="274"/>
    </row>
    <row r="926" spans="13:13" x14ac:dyDescent="0.2">
      <c r="M926" s="274"/>
    </row>
    <row r="927" spans="13:13" x14ac:dyDescent="0.2">
      <c r="M927" s="274"/>
    </row>
    <row r="928" spans="13:13" x14ac:dyDescent="0.2">
      <c r="M928" s="274"/>
    </row>
    <row r="929" spans="13:13" x14ac:dyDescent="0.2">
      <c r="M929" s="274"/>
    </row>
    <row r="930" spans="13:13" x14ac:dyDescent="0.2">
      <c r="M930" s="274"/>
    </row>
    <row r="931" spans="13:13" x14ac:dyDescent="0.2">
      <c r="M931" s="274"/>
    </row>
    <row r="932" spans="13:13" x14ac:dyDescent="0.2">
      <c r="M932" s="274"/>
    </row>
    <row r="933" spans="13:13" x14ac:dyDescent="0.2">
      <c r="M933" s="274"/>
    </row>
    <row r="934" spans="13:13" x14ac:dyDescent="0.2">
      <c r="M934" s="274"/>
    </row>
    <row r="935" spans="13:13" x14ac:dyDescent="0.2">
      <c r="M935" s="274"/>
    </row>
    <row r="936" spans="13:13" x14ac:dyDescent="0.2">
      <c r="M936" s="274"/>
    </row>
    <row r="937" spans="13:13" x14ac:dyDescent="0.2">
      <c r="M937" s="274"/>
    </row>
    <row r="938" spans="13:13" x14ac:dyDescent="0.2">
      <c r="M938" s="274"/>
    </row>
    <row r="939" spans="13:13" x14ac:dyDescent="0.2">
      <c r="M939" s="274"/>
    </row>
    <row r="940" spans="13:13" x14ac:dyDescent="0.2">
      <c r="M940" s="274"/>
    </row>
    <row r="941" spans="13:13" x14ac:dyDescent="0.2">
      <c r="M941" s="274"/>
    </row>
    <row r="942" spans="13:13" x14ac:dyDescent="0.2">
      <c r="M942" s="274"/>
    </row>
    <row r="943" spans="13:13" x14ac:dyDescent="0.2">
      <c r="M943" s="274"/>
    </row>
    <row r="944" spans="13:13" x14ac:dyDescent="0.2">
      <c r="M944" s="274"/>
    </row>
    <row r="945" spans="13:13" x14ac:dyDescent="0.2">
      <c r="M945" s="274"/>
    </row>
    <row r="946" spans="13:13" x14ac:dyDescent="0.2">
      <c r="M946" s="274"/>
    </row>
    <row r="947" spans="13:13" x14ac:dyDescent="0.2">
      <c r="M947" s="274"/>
    </row>
    <row r="948" spans="13:13" x14ac:dyDescent="0.2">
      <c r="M948" s="274"/>
    </row>
    <row r="949" spans="13:13" x14ac:dyDescent="0.2">
      <c r="M949" s="274"/>
    </row>
    <row r="950" spans="13:13" x14ac:dyDescent="0.2">
      <c r="M950" s="274"/>
    </row>
    <row r="951" spans="13:13" x14ac:dyDescent="0.2">
      <c r="M951" s="274"/>
    </row>
    <row r="952" spans="13:13" x14ac:dyDescent="0.2">
      <c r="M952" s="274"/>
    </row>
    <row r="953" spans="13:13" x14ac:dyDescent="0.2">
      <c r="M953" s="274"/>
    </row>
    <row r="954" spans="13:13" x14ac:dyDescent="0.2">
      <c r="M954" s="274"/>
    </row>
    <row r="955" spans="13:13" x14ac:dyDescent="0.2">
      <c r="M955" s="274"/>
    </row>
    <row r="956" spans="13:13" x14ac:dyDescent="0.2">
      <c r="M956" s="274"/>
    </row>
    <row r="957" spans="13:13" x14ac:dyDescent="0.2">
      <c r="M957" s="274"/>
    </row>
    <row r="958" spans="13:13" x14ac:dyDescent="0.2">
      <c r="M958" s="274"/>
    </row>
    <row r="959" spans="13:13" x14ac:dyDescent="0.2">
      <c r="M959" s="274"/>
    </row>
    <row r="960" spans="13:13" x14ac:dyDescent="0.2">
      <c r="M960" s="274"/>
    </row>
    <row r="961" spans="13:13" x14ac:dyDescent="0.2">
      <c r="M961" s="274"/>
    </row>
    <row r="962" spans="13:13" x14ac:dyDescent="0.2">
      <c r="M962" s="274"/>
    </row>
    <row r="963" spans="13:13" x14ac:dyDescent="0.2">
      <c r="M963" s="274"/>
    </row>
    <row r="964" spans="13:13" x14ac:dyDescent="0.2">
      <c r="M964" s="274"/>
    </row>
    <row r="965" spans="13:13" x14ac:dyDescent="0.2">
      <c r="M965" s="274"/>
    </row>
    <row r="966" spans="13:13" x14ac:dyDescent="0.2">
      <c r="M966" s="274"/>
    </row>
    <row r="967" spans="13:13" x14ac:dyDescent="0.2">
      <c r="M967" s="274"/>
    </row>
    <row r="968" spans="13:13" x14ac:dyDescent="0.2">
      <c r="M968" s="274"/>
    </row>
    <row r="969" spans="13:13" x14ac:dyDescent="0.2">
      <c r="M969" s="274"/>
    </row>
    <row r="970" spans="13:13" x14ac:dyDescent="0.2">
      <c r="M970" s="274"/>
    </row>
    <row r="971" spans="13:13" x14ac:dyDescent="0.2">
      <c r="M971" s="274"/>
    </row>
    <row r="972" spans="13:13" x14ac:dyDescent="0.2">
      <c r="M972" s="274"/>
    </row>
    <row r="973" spans="13:13" x14ac:dyDescent="0.2">
      <c r="M973" s="274"/>
    </row>
    <row r="974" spans="13:13" x14ac:dyDescent="0.2">
      <c r="M974" s="274"/>
    </row>
    <row r="975" spans="13:13" x14ac:dyDescent="0.2">
      <c r="M975" s="274"/>
    </row>
    <row r="976" spans="13:13" x14ac:dyDescent="0.2">
      <c r="M976" s="274"/>
    </row>
    <row r="977" spans="13:13" x14ac:dyDescent="0.2">
      <c r="M977" s="274"/>
    </row>
    <row r="978" spans="13:13" x14ac:dyDescent="0.2">
      <c r="M978" s="274"/>
    </row>
    <row r="979" spans="13:13" x14ac:dyDescent="0.2">
      <c r="M979" s="274"/>
    </row>
    <row r="980" spans="13:13" x14ac:dyDescent="0.2">
      <c r="M980" s="274"/>
    </row>
    <row r="981" spans="13:13" x14ac:dyDescent="0.2">
      <c r="M981" s="274"/>
    </row>
    <row r="982" spans="13:13" x14ac:dyDescent="0.2">
      <c r="M982" s="274"/>
    </row>
    <row r="983" spans="13:13" x14ac:dyDescent="0.2">
      <c r="M983" s="274"/>
    </row>
    <row r="984" spans="13:13" x14ac:dyDescent="0.2">
      <c r="M984" s="274"/>
    </row>
    <row r="985" spans="13:13" x14ac:dyDescent="0.2">
      <c r="M985" s="274"/>
    </row>
    <row r="986" spans="13:13" x14ac:dyDescent="0.2">
      <c r="M986" s="274"/>
    </row>
    <row r="987" spans="13:13" x14ac:dyDescent="0.2">
      <c r="M987" s="274"/>
    </row>
    <row r="988" spans="13:13" x14ac:dyDescent="0.2">
      <c r="M988" s="274"/>
    </row>
    <row r="989" spans="13:13" x14ac:dyDescent="0.2">
      <c r="M989" s="274"/>
    </row>
    <row r="990" spans="13:13" x14ac:dyDescent="0.2">
      <c r="M990" s="274"/>
    </row>
    <row r="991" spans="13:13" x14ac:dyDescent="0.2">
      <c r="M991" s="274"/>
    </row>
    <row r="992" spans="13:13" x14ac:dyDescent="0.2">
      <c r="M992" s="274"/>
    </row>
    <row r="993" spans="13:13" x14ac:dyDescent="0.2">
      <c r="M993" s="274"/>
    </row>
    <row r="994" spans="13:13" x14ac:dyDescent="0.2">
      <c r="M994" s="274"/>
    </row>
    <row r="995" spans="13:13" x14ac:dyDescent="0.2">
      <c r="M995" s="274"/>
    </row>
    <row r="996" spans="13:13" x14ac:dyDescent="0.2">
      <c r="M996" s="274"/>
    </row>
    <row r="997" spans="13:13" x14ac:dyDescent="0.2">
      <c r="M997" s="274"/>
    </row>
    <row r="998" spans="13:13" x14ac:dyDescent="0.2">
      <c r="M998" s="274"/>
    </row>
    <row r="999" spans="13:13" x14ac:dyDescent="0.2">
      <c r="M999" s="274"/>
    </row>
    <row r="1000" spans="13:13" x14ac:dyDescent="0.2">
      <c r="M1000" s="274"/>
    </row>
    <row r="1001" spans="13:13" x14ac:dyDescent="0.2">
      <c r="M1001" s="274"/>
    </row>
    <row r="1002" spans="13:13" x14ac:dyDescent="0.2">
      <c r="M1002" s="274"/>
    </row>
    <row r="1003" spans="13:13" x14ac:dyDescent="0.2">
      <c r="M1003" s="274"/>
    </row>
    <row r="1004" spans="13:13" x14ac:dyDescent="0.2">
      <c r="M1004" s="274"/>
    </row>
    <row r="1005" spans="13:13" x14ac:dyDescent="0.2">
      <c r="M1005" s="274"/>
    </row>
    <row r="1006" spans="13:13" x14ac:dyDescent="0.2">
      <c r="M1006" s="274"/>
    </row>
    <row r="1007" spans="13:13" x14ac:dyDescent="0.2">
      <c r="M1007" s="274"/>
    </row>
    <row r="1008" spans="13:13" x14ac:dyDescent="0.2">
      <c r="M1008" s="274"/>
    </row>
    <row r="1009" spans="13:13" x14ac:dyDescent="0.2">
      <c r="M1009" s="274"/>
    </row>
    <row r="1010" spans="13:13" x14ac:dyDescent="0.2">
      <c r="M1010" s="274"/>
    </row>
    <row r="1011" spans="13:13" x14ac:dyDescent="0.2">
      <c r="M1011" s="274"/>
    </row>
    <row r="1012" spans="13:13" x14ac:dyDescent="0.2">
      <c r="M1012" s="274"/>
    </row>
    <row r="1013" spans="13:13" x14ac:dyDescent="0.2">
      <c r="M1013" s="274"/>
    </row>
    <row r="1014" spans="13:13" x14ac:dyDescent="0.2">
      <c r="M1014" s="274"/>
    </row>
    <row r="1015" spans="13:13" x14ac:dyDescent="0.2">
      <c r="M1015" s="274"/>
    </row>
    <row r="1016" spans="13:13" x14ac:dyDescent="0.2">
      <c r="M1016" s="274"/>
    </row>
    <row r="1017" spans="13:13" x14ac:dyDescent="0.2">
      <c r="M1017" s="274"/>
    </row>
    <row r="1018" spans="13:13" x14ac:dyDescent="0.2">
      <c r="M1018" s="274"/>
    </row>
    <row r="1019" spans="13:13" x14ac:dyDescent="0.2">
      <c r="M1019" s="274"/>
    </row>
    <row r="1020" spans="13:13" x14ac:dyDescent="0.2">
      <c r="M1020" s="274"/>
    </row>
    <row r="1021" spans="13:13" x14ac:dyDescent="0.2">
      <c r="M1021" s="274"/>
    </row>
    <row r="1022" spans="13:13" x14ac:dyDescent="0.2">
      <c r="M1022" s="274"/>
    </row>
    <row r="1023" spans="13:13" x14ac:dyDescent="0.2">
      <c r="M1023" s="274"/>
    </row>
    <row r="1024" spans="13:13" x14ac:dyDescent="0.2">
      <c r="M1024" s="274"/>
    </row>
    <row r="1025" spans="13:13" x14ac:dyDescent="0.2">
      <c r="M1025" s="274"/>
    </row>
    <row r="1026" spans="13:13" x14ac:dyDescent="0.2">
      <c r="M1026" s="274"/>
    </row>
    <row r="1027" spans="13:13" x14ac:dyDescent="0.2">
      <c r="M1027" s="274"/>
    </row>
    <row r="1028" spans="13:13" x14ac:dyDescent="0.2">
      <c r="M1028" s="274"/>
    </row>
    <row r="1029" spans="13:13" x14ac:dyDescent="0.2">
      <c r="M1029" s="274"/>
    </row>
    <row r="1030" spans="13:13" x14ac:dyDescent="0.2">
      <c r="M1030" s="274"/>
    </row>
    <row r="1031" spans="13:13" x14ac:dyDescent="0.2">
      <c r="M1031" s="274"/>
    </row>
    <row r="1032" spans="13:13" x14ac:dyDescent="0.2">
      <c r="M1032" s="274"/>
    </row>
    <row r="1033" spans="13:13" x14ac:dyDescent="0.2">
      <c r="M1033" s="274"/>
    </row>
    <row r="1034" spans="13:13" x14ac:dyDescent="0.2">
      <c r="M1034" s="274"/>
    </row>
    <row r="1035" spans="13:13" x14ac:dyDescent="0.2">
      <c r="M1035" s="274"/>
    </row>
    <row r="1036" spans="13:13" x14ac:dyDescent="0.2">
      <c r="M1036" s="274"/>
    </row>
    <row r="1037" spans="13:13" x14ac:dyDescent="0.2">
      <c r="M1037" s="274"/>
    </row>
    <row r="1038" spans="13:13" x14ac:dyDescent="0.2">
      <c r="M1038" s="274"/>
    </row>
    <row r="1039" spans="13:13" x14ac:dyDescent="0.2">
      <c r="M1039" s="274"/>
    </row>
    <row r="1040" spans="13:13" x14ac:dyDescent="0.2">
      <c r="M1040" s="274"/>
    </row>
    <row r="1041" spans="13:13" x14ac:dyDescent="0.2">
      <c r="M1041" s="274"/>
    </row>
    <row r="1042" spans="13:13" x14ac:dyDescent="0.2">
      <c r="M1042" s="274"/>
    </row>
    <row r="1043" spans="13:13" x14ac:dyDescent="0.2">
      <c r="M1043" s="274"/>
    </row>
    <row r="1044" spans="13:13" x14ac:dyDescent="0.2">
      <c r="M1044" s="274"/>
    </row>
    <row r="1045" spans="13:13" x14ac:dyDescent="0.2">
      <c r="M1045" s="274"/>
    </row>
    <row r="1046" spans="13:13" x14ac:dyDescent="0.2">
      <c r="M1046" s="274"/>
    </row>
    <row r="1047" spans="13:13" x14ac:dyDescent="0.2">
      <c r="M1047" s="274"/>
    </row>
    <row r="1048" spans="13:13" x14ac:dyDescent="0.2">
      <c r="M1048" s="274"/>
    </row>
    <row r="1049" spans="13:13" x14ac:dyDescent="0.2">
      <c r="M1049" s="274"/>
    </row>
    <row r="1050" spans="13:13" x14ac:dyDescent="0.2">
      <c r="M1050" s="274"/>
    </row>
    <row r="1051" spans="13:13" x14ac:dyDescent="0.2">
      <c r="M1051" s="274"/>
    </row>
    <row r="1052" spans="13:13" x14ac:dyDescent="0.2">
      <c r="M1052" s="274"/>
    </row>
    <row r="1053" spans="13:13" x14ac:dyDescent="0.2">
      <c r="M1053" s="274"/>
    </row>
    <row r="1054" spans="13:13" x14ac:dyDescent="0.2">
      <c r="M1054" s="274"/>
    </row>
    <row r="1055" spans="13:13" x14ac:dyDescent="0.2">
      <c r="M1055" s="274"/>
    </row>
    <row r="1056" spans="13:13" x14ac:dyDescent="0.2">
      <c r="M1056" s="274"/>
    </row>
    <row r="1057" spans="13:13" x14ac:dyDescent="0.2">
      <c r="M1057" s="274"/>
    </row>
  </sheetData>
  <sortState ref="A22:U883">
    <sortCondition ref="K22"/>
  </sortState>
  <mergeCells count="2">
    <mergeCell ref="C20:J20"/>
    <mergeCell ref="K20:L20"/>
  </mergeCells>
  <phoneticPr fontId="12" type="noConversion"/>
  <pageMargins left="0.44" right="0.35" top="0.61" bottom="0.62" header="0.5" footer="0.5"/>
  <pageSetup paperSize="9" scale="85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4" r:id="rId4" name="Button 134">
              <controlPr defaultSize="0" print="0" autoFill="0" autoPict="0" macro="[0]!ResetSort">
                <anchor moveWithCells="1">
                  <from>
                    <xdr:col>0</xdr:col>
                    <xdr:colOff>171450</xdr:colOff>
                    <xdr:row>15</xdr:row>
                    <xdr:rowOff>19050</xdr:rowOff>
                  </from>
                  <to>
                    <xdr:col>1</xdr:col>
                    <xdr:colOff>523875</xdr:colOff>
                    <xdr:row>16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/>
  <dimension ref="A2:R62"/>
  <sheetViews>
    <sheetView showGridLines="0" showRowColHeaders="0" workbookViewId="0"/>
  </sheetViews>
  <sheetFormatPr defaultRowHeight="12.75" x14ac:dyDescent="0.2"/>
  <cols>
    <col min="1" max="2" width="2.7109375" style="98" customWidth="1"/>
    <col min="3" max="7" width="9.140625" style="98"/>
    <col min="8" max="8" width="11.140625" style="98" bestFit="1" customWidth="1"/>
    <col min="9" max="9" width="9.28515625" style="98" bestFit="1" customWidth="1"/>
    <col min="10" max="17" width="9.140625" style="98"/>
    <col min="18" max="18" width="2.7109375" style="98" customWidth="1"/>
    <col min="19" max="16384" width="9.140625" style="98"/>
  </cols>
  <sheetData>
    <row r="2" spans="1:18" x14ac:dyDescent="0.2">
      <c r="B2" s="104"/>
      <c r="C2" s="104"/>
      <c r="D2" s="104"/>
      <c r="E2" s="104"/>
      <c r="F2" s="104"/>
      <c r="G2" s="104"/>
      <c r="H2" s="104"/>
      <c r="I2" s="104"/>
      <c r="J2" s="104"/>
      <c r="K2" s="104"/>
      <c r="L2" s="104"/>
      <c r="M2" s="104"/>
      <c r="N2" s="104"/>
      <c r="O2" s="104"/>
      <c r="P2" s="104"/>
      <c r="Q2" s="104"/>
      <c r="R2" s="104"/>
    </row>
    <row r="3" spans="1:18" x14ac:dyDescent="0.2">
      <c r="B3" s="104"/>
      <c r="C3" s="104"/>
      <c r="D3" s="104"/>
      <c r="E3" s="104"/>
      <c r="F3" s="104"/>
      <c r="G3" s="104"/>
      <c r="H3" s="104"/>
      <c r="I3" s="104"/>
      <c r="J3" s="104"/>
      <c r="K3" s="104"/>
      <c r="L3" s="104"/>
      <c r="M3" s="104"/>
      <c r="N3" s="104"/>
      <c r="O3" s="104"/>
      <c r="P3" s="104"/>
      <c r="Q3" s="104"/>
      <c r="R3" s="104"/>
    </row>
    <row r="4" spans="1:18" x14ac:dyDescent="0.2">
      <c r="B4" s="104"/>
      <c r="C4" s="104"/>
      <c r="D4" s="104"/>
      <c r="E4" s="104"/>
      <c r="F4" s="104"/>
      <c r="G4" s="104"/>
      <c r="H4" s="104"/>
      <c r="I4" s="104"/>
      <c r="J4" s="104"/>
      <c r="K4" s="104"/>
      <c r="L4" s="104"/>
      <c r="M4" s="104"/>
      <c r="N4" s="104"/>
      <c r="O4" s="104"/>
      <c r="P4" s="104"/>
      <c r="Q4" s="104"/>
      <c r="R4" s="104"/>
    </row>
    <row r="5" spans="1:18" x14ac:dyDescent="0.2">
      <c r="B5" s="104"/>
      <c r="C5" s="104"/>
      <c r="D5" s="104"/>
      <c r="E5" s="104"/>
      <c r="F5" s="104"/>
      <c r="G5" s="104"/>
      <c r="H5" s="104"/>
      <c r="I5" s="104"/>
      <c r="J5" s="104"/>
      <c r="K5" s="104"/>
      <c r="L5" s="104"/>
      <c r="M5" s="104"/>
      <c r="N5" s="104"/>
      <c r="O5" s="104"/>
      <c r="P5" s="104"/>
      <c r="Q5" s="104"/>
      <c r="R5" s="104"/>
    </row>
    <row r="6" spans="1:18" x14ac:dyDescent="0.2">
      <c r="B6" s="104"/>
      <c r="C6" s="104"/>
      <c r="D6" s="104"/>
      <c r="E6" s="104"/>
      <c r="F6" s="104"/>
      <c r="G6" s="104"/>
      <c r="H6" s="104"/>
      <c r="I6" s="104"/>
      <c r="J6" s="104"/>
      <c r="K6" s="104"/>
      <c r="L6" s="104"/>
      <c r="M6" s="104"/>
      <c r="N6" s="104"/>
      <c r="O6" s="104"/>
      <c r="P6" s="104"/>
      <c r="Q6" s="104"/>
      <c r="R6" s="104"/>
    </row>
    <row r="7" spans="1:18" ht="15" x14ac:dyDescent="0.2">
      <c r="B7" s="104"/>
      <c r="C7" s="105"/>
      <c r="D7" s="104"/>
      <c r="E7" s="105"/>
      <c r="F7" s="104"/>
      <c r="G7" s="104"/>
      <c r="H7" s="104"/>
      <c r="I7" s="104"/>
      <c r="J7" s="104"/>
      <c r="K7" s="104"/>
      <c r="L7" s="104"/>
      <c r="M7" s="104"/>
      <c r="N7" s="104"/>
      <c r="O7" s="104"/>
      <c r="P7" s="104"/>
      <c r="Q7" s="104"/>
      <c r="R7" s="104"/>
    </row>
    <row r="8" spans="1:18" ht="15.75" x14ac:dyDescent="0.25">
      <c r="B8" s="104"/>
      <c r="C8" s="20" t="s">
        <v>2041</v>
      </c>
      <c r="D8" s="106"/>
      <c r="E8" s="106"/>
      <c r="F8" s="106"/>
      <c r="G8" s="106"/>
      <c r="H8" s="106"/>
      <c r="I8" s="106"/>
      <c r="J8" s="106"/>
      <c r="K8" s="106"/>
      <c r="L8" s="106"/>
      <c r="M8" s="106"/>
      <c r="N8" s="106"/>
      <c r="O8" s="106"/>
      <c r="P8" s="104"/>
      <c r="Q8" s="104"/>
      <c r="R8" s="104"/>
    </row>
    <row r="9" spans="1:18" x14ac:dyDescent="0.2">
      <c r="B9" s="107"/>
      <c r="C9" s="104"/>
      <c r="D9" s="104"/>
      <c r="E9" s="107"/>
      <c r="F9" s="104"/>
      <c r="G9" s="104"/>
      <c r="H9" s="104"/>
      <c r="I9" s="104"/>
      <c r="J9" s="104"/>
      <c r="K9" s="104"/>
      <c r="L9" s="104"/>
      <c r="M9" s="104"/>
      <c r="N9" s="104"/>
      <c r="O9" s="104"/>
      <c r="P9" s="104"/>
      <c r="Q9" s="104"/>
      <c r="R9" s="104"/>
    </row>
    <row r="10" spans="1:18" x14ac:dyDescent="0.2">
      <c r="A10" s="99"/>
      <c r="B10" s="107"/>
      <c r="C10" s="107"/>
      <c r="D10" s="104"/>
      <c r="E10" s="104"/>
      <c r="F10" s="104"/>
      <c r="G10" s="104"/>
      <c r="H10" s="104"/>
      <c r="I10" s="104"/>
      <c r="J10" s="104"/>
      <c r="K10" s="104"/>
      <c r="L10" s="104"/>
      <c r="M10" s="104"/>
      <c r="N10" s="104"/>
      <c r="O10" s="104"/>
      <c r="P10" s="104"/>
      <c r="Q10" s="104"/>
      <c r="R10" s="104"/>
    </row>
    <row r="11" spans="1:18" x14ac:dyDescent="0.2">
      <c r="B11" s="104"/>
      <c r="C11" s="107"/>
      <c r="D11" s="104"/>
      <c r="E11" s="104"/>
      <c r="F11" s="104"/>
      <c r="G11" s="104"/>
      <c r="H11" s="104"/>
      <c r="I11" s="104"/>
      <c r="J11" s="104"/>
      <c r="K11" s="104"/>
      <c r="L11" s="104"/>
      <c r="M11" s="104"/>
      <c r="N11" s="104"/>
      <c r="O11" s="104"/>
      <c r="P11" s="104"/>
      <c r="Q11" s="104"/>
      <c r="R11" s="104"/>
    </row>
    <row r="12" spans="1:18" x14ac:dyDescent="0.2">
      <c r="B12" s="104"/>
      <c r="C12" s="104"/>
      <c r="D12" s="104"/>
      <c r="E12" s="104"/>
      <c r="F12" s="104"/>
      <c r="G12" s="104"/>
      <c r="H12" s="104"/>
      <c r="I12" s="104"/>
      <c r="J12" s="104"/>
      <c r="K12" s="104"/>
      <c r="L12" s="104"/>
      <c r="M12" s="104"/>
      <c r="N12" s="104"/>
      <c r="O12" s="104"/>
      <c r="P12" s="104"/>
      <c r="Q12" s="104"/>
      <c r="R12" s="104"/>
    </row>
    <row r="13" spans="1:18" x14ac:dyDescent="0.2">
      <c r="B13" s="104"/>
      <c r="C13" s="104"/>
      <c r="D13" s="104"/>
      <c r="E13" s="104"/>
      <c r="F13" s="104"/>
      <c r="G13" s="104"/>
      <c r="H13" s="104"/>
      <c r="I13" s="104"/>
      <c r="J13" s="104"/>
      <c r="K13" s="104"/>
      <c r="L13" s="104"/>
      <c r="M13" s="104"/>
      <c r="N13" s="104"/>
      <c r="O13" s="104"/>
      <c r="P13" s="104"/>
      <c r="Q13" s="104"/>
      <c r="R13" s="104"/>
    </row>
    <row r="14" spans="1:18" x14ac:dyDescent="0.2">
      <c r="B14" s="104"/>
      <c r="C14" s="104"/>
      <c r="D14" s="104"/>
      <c r="E14" s="104"/>
      <c r="F14" s="104"/>
      <c r="G14" s="104"/>
      <c r="H14" s="104"/>
      <c r="I14" s="104"/>
      <c r="J14" s="104"/>
      <c r="K14" s="104"/>
      <c r="L14" s="104"/>
      <c r="M14" s="104"/>
      <c r="N14" s="104"/>
      <c r="O14" s="104"/>
      <c r="P14" s="104"/>
      <c r="Q14" s="104"/>
      <c r="R14" s="104"/>
    </row>
    <row r="15" spans="1:18" x14ac:dyDescent="0.2">
      <c r="B15" s="104"/>
      <c r="C15" s="104"/>
      <c r="D15" s="104"/>
      <c r="E15" s="104"/>
      <c r="F15" s="104"/>
      <c r="G15" s="104"/>
      <c r="H15" s="104"/>
      <c r="I15" s="104"/>
      <c r="J15" s="104"/>
      <c r="K15" s="104"/>
      <c r="L15" s="104"/>
      <c r="M15" s="104"/>
      <c r="N15" s="104"/>
      <c r="O15" s="104"/>
      <c r="P15" s="104"/>
      <c r="Q15" s="104"/>
      <c r="R15" s="104"/>
    </row>
    <row r="16" spans="1:18" x14ac:dyDescent="0.2">
      <c r="B16" s="104"/>
      <c r="C16" s="104"/>
      <c r="D16" s="104"/>
      <c r="E16" s="104"/>
      <c r="F16" s="104"/>
      <c r="G16" s="104"/>
      <c r="H16" s="104"/>
      <c r="I16" s="104"/>
      <c r="J16" s="104"/>
      <c r="K16" s="104"/>
      <c r="L16" s="104"/>
      <c r="M16" s="104"/>
      <c r="N16" s="104"/>
      <c r="O16" s="104"/>
      <c r="P16" s="104"/>
      <c r="Q16" s="104"/>
      <c r="R16" s="104"/>
    </row>
    <row r="17" spans="2:18" x14ac:dyDescent="0.2">
      <c r="B17" s="104"/>
      <c r="C17" s="104"/>
      <c r="D17" s="104"/>
      <c r="E17" s="104"/>
      <c r="F17" s="104"/>
      <c r="G17" s="104"/>
      <c r="H17" s="104"/>
      <c r="I17" s="104"/>
      <c r="J17" s="104"/>
      <c r="K17" s="104"/>
      <c r="L17" s="104"/>
      <c r="M17" s="104"/>
      <c r="N17" s="104"/>
      <c r="O17" s="104"/>
      <c r="P17" s="104"/>
      <c r="Q17" s="104"/>
      <c r="R17" s="104"/>
    </row>
    <row r="18" spans="2:18" x14ac:dyDescent="0.2">
      <c r="B18" s="104"/>
      <c r="C18" s="104"/>
      <c r="D18" s="104"/>
      <c r="E18" s="104"/>
      <c r="F18" s="104"/>
      <c r="G18" s="104"/>
      <c r="H18" s="104"/>
      <c r="I18" s="104"/>
      <c r="J18" s="104"/>
      <c r="K18" s="104"/>
      <c r="L18" s="104"/>
      <c r="M18" s="104"/>
      <c r="N18" s="104"/>
      <c r="O18" s="104"/>
      <c r="P18" s="104"/>
      <c r="Q18" s="104"/>
      <c r="R18" s="104"/>
    </row>
    <row r="19" spans="2:18" x14ac:dyDescent="0.2">
      <c r="B19" s="104"/>
      <c r="C19" s="104"/>
      <c r="D19" s="104"/>
      <c r="E19" s="104"/>
      <c r="F19" s="104"/>
      <c r="G19" s="104"/>
      <c r="H19" s="104"/>
      <c r="I19" s="104"/>
      <c r="J19" s="104"/>
      <c r="K19" s="104"/>
      <c r="L19" s="104"/>
      <c r="M19" s="104"/>
      <c r="N19" s="104"/>
      <c r="O19" s="104"/>
      <c r="P19" s="104"/>
      <c r="Q19" s="104"/>
      <c r="R19" s="104"/>
    </row>
    <row r="20" spans="2:18" x14ac:dyDescent="0.2">
      <c r="B20" s="104"/>
      <c r="C20" s="104"/>
      <c r="D20" s="104"/>
      <c r="E20" s="104"/>
      <c r="F20" s="104"/>
      <c r="G20" s="104"/>
      <c r="H20" s="104"/>
      <c r="I20" s="104"/>
      <c r="J20" s="104"/>
      <c r="K20" s="104"/>
      <c r="L20" s="104"/>
      <c r="M20" s="104"/>
      <c r="N20" s="104"/>
      <c r="O20" s="104"/>
      <c r="P20" s="104"/>
      <c r="Q20" s="104"/>
      <c r="R20" s="104"/>
    </row>
    <row r="21" spans="2:18" x14ac:dyDescent="0.2">
      <c r="B21" s="104"/>
      <c r="C21" s="104"/>
      <c r="D21" s="104"/>
      <c r="E21" s="104"/>
      <c r="F21" s="104"/>
      <c r="G21" s="104"/>
      <c r="H21" s="104"/>
      <c r="I21" s="104"/>
      <c r="J21" s="104"/>
      <c r="K21" s="104"/>
      <c r="L21" s="104"/>
      <c r="M21" s="104"/>
      <c r="N21" s="104"/>
      <c r="O21" s="104"/>
      <c r="P21" s="104"/>
      <c r="Q21" s="104"/>
      <c r="R21" s="104"/>
    </row>
    <row r="22" spans="2:18" x14ac:dyDescent="0.2">
      <c r="B22" s="104"/>
      <c r="C22" s="104"/>
      <c r="D22" s="104"/>
      <c r="E22" s="104"/>
      <c r="F22" s="104"/>
      <c r="G22" s="104"/>
      <c r="H22" s="104"/>
      <c r="I22" s="104"/>
      <c r="J22" s="104"/>
      <c r="K22" s="104"/>
      <c r="L22" s="104"/>
      <c r="M22" s="104"/>
      <c r="N22" s="104"/>
      <c r="O22" s="104"/>
      <c r="P22" s="104"/>
      <c r="Q22" s="104"/>
      <c r="R22" s="104"/>
    </row>
    <row r="23" spans="2:18" x14ac:dyDescent="0.2">
      <c r="B23" s="104"/>
      <c r="C23" s="104"/>
      <c r="D23" s="104"/>
      <c r="E23" s="104"/>
      <c r="F23" s="104"/>
      <c r="G23" s="104"/>
      <c r="H23" s="104"/>
      <c r="I23" s="104"/>
      <c r="J23" s="104"/>
      <c r="K23" s="104"/>
      <c r="L23" s="104"/>
      <c r="M23" s="104"/>
      <c r="N23" s="104"/>
      <c r="O23" s="104"/>
      <c r="P23" s="104"/>
      <c r="Q23" s="104"/>
      <c r="R23" s="104"/>
    </row>
    <row r="24" spans="2:18" x14ac:dyDescent="0.2">
      <c r="B24" s="104"/>
      <c r="C24" s="104"/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</row>
    <row r="25" spans="2:18" x14ac:dyDescent="0.2">
      <c r="B25" s="104"/>
      <c r="C25" s="104"/>
      <c r="D25" s="104"/>
      <c r="E25" s="104"/>
      <c r="F25" s="104"/>
      <c r="G25" s="104"/>
      <c r="H25" s="104"/>
      <c r="I25" s="104"/>
      <c r="J25" s="104"/>
      <c r="K25" s="104"/>
      <c r="L25" s="104"/>
      <c r="M25" s="104"/>
      <c r="N25" s="104"/>
      <c r="O25" s="104"/>
      <c r="P25" s="104"/>
      <c r="Q25" s="104"/>
      <c r="R25" s="104"/>
    </row>
    <row r="26" spans="2:18" x14ac:dyDescent="0.2">
      <c r="B26" s="104"/>
      <c r="C26" s="104"/>
      <c r="D26" s="104"/>
      <c r="E26" s="104"/>
      <c r="F26" s="104"/>
      <c r="G26" s="104"/>
      <c r="H26" s="104"/>
      <c r="I26" s="104"/>
      <c r="J26" s="104"/>
      <c r="K26" s="104"/>
      <c r="L26" s="104"/>
      <c r="M26" s="104"/>
      <c r="N26" s="104"/>
      <c r="O26" s="104"/>
      <c r="P26" s="104"/>
      <c r="Q26" s="104"/>
      <c r="R26" s="104"/>
    </row>
    <row r="27" spans="2:18" x14ac:dyDescent="0.2">
      <c r="B27" s="104"/>
      <c r="C27" s="104"/>
      <c r="D27" s="104"/>
      <c r="E27" s="104"/>
      <c r="F27" s="104"/>
      <c r="G27" s="104"/>
      <c r="H27" s="104"/>
      <c r="I27" s="104"/>
      <c r="J27" s="104"/>
      <c r="K27" s="104"/>
      <c r="L27" s="104"/>
      <c r="M27" s="104"/>
      <c r="N27" s="104"/>
      <c r="O27" s="104"/>
      <c r="P27" s="104"/>
      <c r="Q27" s="104"/>
      <c r="R27" s="104"/>
    </row>
    <row r="28" spans="2:18" x14ac:dyDescent="0.2">
      <c r="B28" s="104"/>
      <c r="C28" s="104"/>
      <c r="D28" s="104"/>
      <c r="E28" s="104"/>
      <c r="F28" s="104"/>
      <c r="G28" s="104"/>
      <c r="H28" s="104"/>
      <c r="I28" s="104"/>
      <c r="J28" s="104"/>
      <c r="K28" s="104"/>
      <c r="L28" s="104"/>
      <c r="M28" s="104"/>
      <c r="N28" s="104"/>
      <c r="O28" s="104"/>
      <c r="P28" s="104"/>
      <c r="Q28" s="104"/>
      <c r="R28" s="104"/>
    </row>
    <row r="29" spans="2:18" x14ac:dyDescent="0.2">
      <c r="B29" s="104"/>
      <c r="C29" s="104"/>
      <c r="D29" s="104"/>
      <c r="E29" s="104"/>
      <c r="F29" s="104"/>
      <c r="G29" s="104"/>
      <c r="H29" s="104"/>
      <c r="I29" s="104"/>
      <c r="J29" s="104"/>
      <c r="K29" s="104"/>
      <c r="L29" s="104"/>
      <c r="M29" s="104"/>
      <c r="N29" s="104"/>
      <c r="O29" s="104"/>
      <c r="P29" s="104"/>
      <c r="Q29" s="104"/>
      <c r="R29" s="104"/>
    </row>
    <row r="30" spans="2:18" x14ac:dyDescent="0.2">
      <c r="B30" s="104"/>
      <c r="C30" s="104"/>
      <c r="D30" s="104"/>
      <c r="E30" s="104"/>
      <c r="F30" s="104"/>
      <c r="G30" s="104"/>
      <c r="H30" s="104"/>
      <c r="I30" s="104"/>
      <c r="J30" s="104"/>
      <c r="K30" s="104"/>
      <c r="L30" s="104"/>
      <c r="M30" s="104"/>
      <c r="N30" s="104"/>
      <c r="O30" s="104"/>
      <c r="P30" s="104"/>
      <c r="Q30" s="104"/>
      <c r="R30" s="104"/>
    </row>
    <row r="31" spans="2:18" x14ac:dyDescent="0.2">
      <c r="B31" s="104"/>
      <c r="C31" s="104"/>
      <c r="D31" s="104"/>
      <c r="E31" s="104"/>
      <c r="F31" s="104"/>
      <c r="G31" s="104"/>
      <c r="H31" s="104"/>
      <c r="I31" s="104"/>
      <c r="J31" s="104"/>
      <c r="K31" s="104"/>
      <c r="L31" s="104"/>
      <c r="M31" s="104"/>
      <c r="N31" s="104"/>
      <c r="O31" s="104"/>
      <c r="P31" s="104"/>
      <c r="Q31" s="104"/>
      <c r="R31" s="104"/>
    </row>
    <row r="32" spans="2:18" x14ac:dyDescent="0.2">
      <c r="B32" s="104"/>
      <c r="C32" s="104"/>
      <c r="D32" s="104"/>
      <c r="E32" s="104"/>
      <c r="F32" s="104"/>
      <c r="G32" s="104"/>
      <c r="H32" s="104"/>
      <c r="I32" s="104"/>
      <c r="J32" s="104"/>
      <c r="K32" s="104"/>
      <c r="L32" s="104"/>
      <c r="M32" s="104"/>
      <c r="N32" s="104"/>
      <c r="O32" s="104"/>
      <c r="P32" s="104"/>
      <c r="Q32" s="104"/>
      <c r="R32" s="104"/>
    </row>
    <row r="33" spans="2:18" x14ac:dyDescent="0.2">
      <c r="B33" s="104"/>
      <c r="C33" s="104"/>
      <c r="D33" s="104"/>
      <c r="E33" s="104"/>
      <c r="F33" s="104"/>
      <c r="G33" s="104"/>
      <c r="H33" s="104"/>
      <c r="I33" s="104"/>
      <c r="J33" s="104"/>
      <c r="K33" s="104"/>
      <c r="L33" s="104"/>
      <c r="M33" s="104"/>
      <c r="N33" s="104"/>
      <c r="O33" s="104"/>
      <c r="P33" s="104"/>
      <c r="Q33" s="104"/>
      <c r="R33" s="104"/>
    </row>
    <row r="34" spans="2:18" x14ac:dyDescent="0.2">
      <c r="B34" s="104"/>
      <c r="C34" s="104"/>
      <c r="D34" s="104"/>
      <c r="E34" s="104"/>
      <c r="F34" s="104"/>
      <c r="G34" s="104"/>
      <c r="H34" s="104"/>
      <c r="I34" s="104"/>
      <c r="J34" s="104"/>
      <c r="K34" s="104"/>
      <c r="L34" s="104"/>
      <c r="M34" s="104"/>
      <c r="N34" s="104"/>
      <c r="O34" s="104"/>
      <c r="P34" s="104"/>
      <c r="Q34" s="104"/>
      <c r="R34" s="104"/>
    </row>
    <row r="35" spans="2:18" x14ac:dyDescent="0.2">
      <c r="B35" s="104"/>
      <c r="C35" s="104"/>
      <c r="D35" s="104"/>
      <c r="E35" s="104"/>
      <c r="F35" s="104"/>
      <c r="G35" s="104"/>
      <c r="H35" s="104"/>
      <c r="I35" s="104"/>
      <c r="J35" s="104"/>
      <c r="K35" s="104"/>
      <c r="L35" s="104"/>
      <c r="M35" s="104"/>
      <c r="N35" s="104"/>
      <c r="O35" s="104"/>
      <c r="P35" s="104"/>
      <c r="Q35" s="104"/>
      <c r="R35" s="104"/>
    </row>
    <row r="36" spans="2:18" x14ac:dyDescent="0.2">
      <c r="B36" s="104"/>
      <c r="C36" s="104"/>
      <c r="D36" s="104"/>
      <c r="E36" s="104"/>
      <c r="F36" s="104"/>
      <c r="G36" s="104"/>
      <c r="H36" s="104"/>
      <c r="I36" s="104"/>
      <c r="J36" s="104"/>
      <c r="K36" s="104"/>
      <c r="L36" s="104"/>
      <c r="M36" s="104"/>
      <c r="N36" s="104"/>
      <c r="O36" s="104"/>
      <c r="P36" s="104"/>
      <c r="Q36" s="104"/>
      <c r="R36" s="104"/>
    </row>
    <row r="37" spans="2:18" x14ac:dyDescent="0.2">
      <c r="B37" s="104"/>
      <c r="C37" s="104"/>
      <c r="D37" s="104"/>
      <c r="E37" s="104"/>
      <c r="F37" s="104"/>
      <c r="G37" s="104"/>
      <c r="H37" s="104"/>
      <c r="I37" s="104"/>
      <c r="J37" s="104"/>
      <c r="K37" s="104"/>
      <c r="L37" s="104"/>
      <c r="M37" s="104"/>
      <c r="N37" s="104"/>
      <c r="O37" s="104"/>
      <c r="P37" s="104"/>
      <c r="Q37" s="104"/>
      <c r="R37" s="104"/>
    </row>
    <row r="38" spans="2:18" x14ac:dyDescent="0.2">
      <c r="B38" s="104"/>
      <c r="C38" s="104"/>
      <c r="D38" s="104"/>
      <c r="E38" s="104"/>
      <c r="F38" s="104"/>
      <c r="G38" s="104"/>
      <c r="H38" s="104"/>
      <c r="I38" s="104"/>
      <c r="J38" s="104"/>
      <c r="K38" s="104"/>
      <c r="L38" s="104"/>
      <c r="M38" s="104"/>
      <c r="N38" s="104"/>
      <c r="O38" s="104"/>
      <c r="P38" s="104"/>
      <c r="Q38" s="104"/>
      <c r="R38" s="104"/>
    </row>
    <row r="39" spans="2:18" x14ac:dyDescent="0.2">
      <c r="B39" s="104"/>
      <c r="C39" s="104"/>
      <c r="D39" s="104"/>
      <c r="E39" s="104"/>
      <c r="F39" s="104"/>
      <c r="G39" s="104"/>
      <c r="H39" s="104"/>
      <c r="I39" s="104"/>
      <c r="J39" s="104"/>
      <c r="K39" s="104"/>
      <c r="L39" s="104"/>
      <c r="M39" s="104"/>
      <c r="N39" s="104"/>
      <c r="O39" s="104"/>
      <c r="P39" s="104"/>
      <c r="Q39" s="104"/>
      <c r="R39" s="104"/>
    </row>
    <row r="40" spans="2:18" x14ac:dyDescent="0.2">
      <c r="B40" s="104"/>
      <c r="C40" s="104"/>
      <c r="D40" s="104"/>
      <c r="E40" s="104"/>
      <c r="F40" s="104"/>
      <c r="G40" s="104"/>
      <c r="H40" s="104"/>
      <c r="I40" s="104"/>
      <c r="J40" s="104"/>
      <c r="K40" s="104"/>
      <c r="L40" s="104"/>
      <c r="M40" s="104"/>
      <c r="N40" s="104"/>
      <c r="O40" s="104"/>
      <c r="P40" s="104"/>
      <c r="Q40" s="104"/>
      <c r="R40" s="104"/>
    </row>
    <row r="41" spans="2:18" x14ac:dyDescent="0.2">
      <c r="B41" s="104"/>
      <c r="C41" s="104"/>
      <c r="D41" s="104"/>
      <c r="E41" s="104"/>
      <c r="F41" s="104"/>
      <c r="G41" s="104"/>
      <c r="H41" s="104"/>
      <c r="I41" s="104"/>
      <c r="J41" s="104"/>
      <c r="K41" s="104"/>
      <c r="L41" s="104"/>
      <c r="M41" s="104"/>
      <c r="N41" s="104"/>
      <c r="O41" s="104"/>
      <c r="P41" s="104"/>
      <c r="Q41" s="104"/>
      <c r="R41" s="104"/>
    </row>
    <row r="42" spans="2:18" x14ac:dyDescent="0.2">
      <c r="B42" s="104"/>
      <c r="C42" s="20" t="s">
        <v>1069</v>
      </c>
      <c r="D42" s="104"/>
      <c r="E42" s="104"/>
      <c r="F42" s="104"/>
      <c r="G42" s="104"/>
      <c r="H42" s="104"/>
      <c r="I42" s="104"/>
      <c r="J42" s="104"/>
      <c r="K42" s="104"/>
      <c r="L42" s="104"/>
      <c r="M42" s="104"/>
      <c r="N42" s="104"/>
      <c r="O42" s="104"/>
      <c r="P42" s="104"/>
      <c r="Q42" s="104"/>
      <c r="R42" s="104"/>
    </row>
    <row r="43" spans="2:18" x14ac:dyDescent="0.2">
      <c r="B43" s="104"/>
      <c r="C43" s="104" t="s">
        <v>21</v>
      </c>
      <c r="D43" s="104"/>
      <c r="E43" s="104"/>
      <c r="F43" s="104"/>
      <c r="G43" s="104"/>
      <c r="H43" s="104"/>
      <c r="I43" s="104"/>
      <c r="J43" s="104"/>
      <c r="K43" s="104"/>
      <c r="L43" s="104"/>
      <c r="M43" s="104"/>
      <c r="N43" s="104"/>
      <c r="O43" s="104"/>
      <c r="P43" s="104"/>
      <c r="Q43" s="104"/>
      <c r="R43" s="104"/>
    </row>
    <row r="44" spans="2:18" x14ac:dyDescent="0.2">
      <c r="B44" s="104"/>
      <c r="C44" s="104" t="s">
        <v>51</v>
      </c>
      <c r="D44" s="104"/>
      <c r="E44" s="104"/>
      <c r="F44" s="104"/>
      <c r="G44" s="104"/>
      <c r="H44" s="104"/>
      <c r="I44" s="104"/>
      <c r="J44" s="104"/>
      <c r="K44" s="104"/>
      <c r="L44" s="104"/>
      <c r="M44" s="104"/>
      <c r="N44" s="104"/>
      <c r="O44" s="104"/>
      <c r="P44" s="104"/>
      <c r="Q44" s="104"/>
      <c r="R44" s="104"/>
    </row>
    <row r="45" spans="2:18" x14ac:dyDescent="0.2">
      <c r="B45" s="104"/>
      <c r="C45" s="104" t="s">
        <v>52</v>
      </c>
      <c r="D45" s="104"/>
      <c r="E45" s="104"/>
      <c r="F45" s="104"/>
      <c r="G45" s="104"/>
      <c r="H45" s="104"/>
      <c r="I45" s="104"/>
      <c r="J45" s="104"/>
      <c r="K45" s="104"/>
      <c r="L45" s="104"/>
      <c r="M45" s="104"/>
      <c r="N45" s="104"/>
      <c r="O45" s="104"/>
      <c r="P45" s="104"/>
      <c r="Q45" s="104"/>
      <c r="R45" s="104"/>
    </row>
    <row r="46" spans="2:18" ht="15" x14ac:dyDescent="0.2">
      <c r="B46" s="104"/>
      <c r="C46" s="105"/>
      <c r="D46" s="104"/>
      <c r="E46" s="104"/>
      <c r="F46" s="104"/>
      <c r="G46" s="104"/>
      <c r="H46" s="104"/>
      <c r="I46" s="104"/>
      <c r="J46" s="104"/>
      <c r="K46" s="104"/>
      <c r="L46" s="104"/>
      <c r="M46" s="104"/>
      <c r="N46" s="104"/>
      <c r="O46" s="104"/>
      <c r="P46" s="104"/>
      <c r="Q46" s="104"/>
      <c r="R46" s="104"/>
    </row>
    <row r="51" spans="4:9" hidden="1" x14ac:dyDescent="0.2"/>
    <row r="52" spans="4:9" hidden="1" x14ac:dyDescent="0.2">
      <c r="D52" s="100"/>
      <c r="G52" s="101"/>
    </row>
    <row r="53" spans="4:9" hidden="1" x14ac:dyDescent="0.2">
      <c r="D53" s="102"/>
      <c r="G53" s="101"/>
      <c r="H53" s="103"/>
    </row>
    <row r="54" spans="4:9" hidden="1" x14ac:dyDescent="0.2">
      <c r="D54" s="102"/>
      <c r="G54" s="101"/>
      <c r="H54" s="103"/>
    </row>
    <row r="55" spans="4:9" hidden="1" x14ac:dyDescent="0.2">
      <c r="D55" s="102"/>
      <c r="G55" s="101"/>
      <c r="H55" s="103"/>
    </row>
    <row r="56" spans="4:9" hidden="1" x14ac:dyDescent="0.2">
      <c r="D56" s="102"/>
      <c r="G56" s="101"/>
      <c r="H56" s="103"/>
    </row>
    <row r="57" spans="4:9" hidden="1" x14ac:dyDescent="0.2">
      <c r="D57" s="102"/>
      <c r="G57" s="101"/>
      <c r="H57" s="103"/>
    </row>
    <row r="58" spans="4:9" hidden="1" x14ac:dyDescent="0.2">
      <c r="D58" s="102"/>
      <c r="G58" s="101"/>
      <c r="H58" s="103"/>
      <c r="I58" s="103"/>
    </row>
    <row r="59" spans="4:9" hidden="1" x14ac:dyDescent="0.2">
      <c r="D59" s="102"/>
      <c r="G59" s="101"/>
      <c r="H59" s="103"/>
      <c r="I59" s="103"/>
    </row>
    <row r="60" spans="4:9" hidden="1" x14ac:dyDescent="0.2">
      <c r="D60" s="102"/>
      <c r="G60" s="101"/>
      <c r="H60" s="103"/>
      <c r="I60" s="103"/>
    </row>
    <row r="61" spans="4:9" hidden="1" x14ac:dyDescent="0.2">
      <c r="D61" s="102"/>
      <c r="G61" s="101"/>
      <c r="H61" s="103"/>
      <c r="I61" s="103"/>
    </row>
    <row r="62" spans="4:9" hidden="1" x14ac:dyDescent="0.2"/>
  </sheetData>
  <phoneticPr fontId="12" type="noConversion"/>
  <pageMargins left="0.71" right="0.56000000000000005" top="0.85" bottom="0.68" header="0.5" footer="0.5"/>
  <pageSetup paperSize="9" scale="85" orientation="landscape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0"/>
  <dimension ref="B2:T78"/>
  <sheetViews>
    <sheetView showGridLines="0" showRowColHeaders="0" workbookViewId="0"/>
  </sheetViews>
  <sheetFormatPr defaultRowHeight="12.75" x14ac:dyDescent="0.2"/>
  <cols>
    <col min="1" max="1" width="2.7109375" style="130" customWidth="1"/>
    <col min="2" max="19" width="9.140625" style="130"/>
    <col min="20" max="20" width="2.7109375" style="130" customWidth="1"/>
    <col min="21" max="16384" width="9.140625" style="130"/>
  </cols>
  <sheetData>
    <row r="2" spans="2:20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2:20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2:20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2:20" x14ac:dyDescent="0.2">
      <c r="B5" s="392" t="str">
        <f>'Värdeutveckling - konto'!C8</f>
        <v>Nästa uppdatering: 2017-12-18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2:20" ht="15.75" x14ac:dyDescent="0.25">
      <c r="B6" s="2"/>
      <c r="C6" s="134"/>
      <c r="D6" s="135"/>
      <c r="E6" s="135"/>
      <c r="F6" s="2"/>
      <c r="G6" s="2"/>
      <c r="H6" s="135"/>
      <c r="I6" s="135"/>
      <c r="J6" s="135"/>
      <c r="K6" s="135"/>
      <c r="L6" s="135"/>
      <c r="M6" s="135"/>
      <c r="N6" s="135"/>
      <c r="O6" s="135"/>
      <c r="P6" s="2"/>
      <c r="Q6" s="2"/>
      <c r="R6" s="2"/>
      <c r="S6" s="2"/>
      <c r="T6" s="2"/>
    </row>
    <row r="7" spans="2:20" ht="15.75" x14ac:dyDescent="0.25">
      <c r="B7" s="254"/>
      <c r="C7" s="135"/>
      <c r="D7" s="134"/>
      <c r="E7" s="134"/>
      <c r="F7" s="134"/>
      <c r="G7" s="134"/>
      <c r="H7" s="134"/>
      <c r="I7" s="134"/>
      <c r="J7" s="134"/>
      <c r="K7" s="134"/>
      <c r="L7" s="134"/>
      <c r="M7" s="134"/>
      <c r="N7" s="134"/>
      <c r="O7" s="134"/>
      <c r="P7" s="2"/>
      <c r="Q7" s="2"/>
      <c r="R7" s="2"/>
      <c r="S7" s="2"/>
      <c r="T7" s="2"/>
    </row>
    <row r="8" spans="2:20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</row>
    <row r="9" spans="2:20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</row>
    <row r="10" spans="2:20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</row>
    <row r="11" spans="2:20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</row>
    <row r="12" spans="2:20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</row>
    <row r="13" spans="2:20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</row>
    <row r="14" spans="2:20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</row>
    <row r="15" spans="2:20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</row>
    <row r="16" spans="2:20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</row>
    <row r="17" spans="2:20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</row>
    <row r="18" spans="2:20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</row>
    <row r="19" spans="2:20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</row>
    <row r="20" spans="2:20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</row>
    <row r="21" spans="2:20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</row>
    <row r="22" spans="2:20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</row>
    <row r="23" spans="2:20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</row>
    <row r="24" spans="2:20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</row>
    <row r="25" spans="2:20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</row>
    <row r="26" spans="2:20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</row>
    <row r="27" spans="2:20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</row>
    <row r="28" spans="2:20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</row>
    <row r="29" spans="2:20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</row>
    <row r="30" spans="2:20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</row>
    <row r="31" spans="2:20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</row>
    <row r="32" spans="2:20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</row>
    <row r="33" spans="2:20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</row>
    <row r="34" spans="2:20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</row>
    <row r="35" spans="2:20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</row>
    <row r="36" spans="2:20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</row>
    <row r="37" spans="2:20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</row>
    <row r="38" spans="2:20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</row>
    <row r="39" spans="2:20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</row>
    <row r="40" spans="2:20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</row>
    <row r="41" spans="2:20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</row>
    <row r="42" spans="2:20" x14ac:dyDescent="0.2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</row>
    <row r="43" spans="2:20" x14ac:dyDescent="0.2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</row>
    <row r="44" spans="2:20" x14ac:dyDescent="0.2">
      <c r="B44" s="2"/>
      <c r="C44" s="139" t="s">
        <v>139</v>
      </c>
      <c r="D44" s="136"/>
      <c r="E44" s="136"/>
      <c r="F44" s="136"/>
      <c r="G44" s="136"/>
      <c r="H44" s="136"/>
      <c r="I44" s="136"/>
      <c r="J44" s="136"/>
      <c r="K44" s="136"/>
      <c r="L44" s="136"/>
      <c r="M44" s="136"/>
      <c r="N44" s="136"/>
      <c r="O44" s="136"/>
      <c r="P44" s="136"/>
      <c r="Q44" s="136"/>
      <c r="R44" s="136"/>
      <c r="S44" s="2"/>
      <c r="T44" s="2"/>
    </row>
    <row r="45" spans="2:20" x14ac:dyDescent="0.2">
      <c r="B45" s="2"/>
      <c r="C45" s="139" t="s">
        <v>140</v>
      </c>
      <c r="D45" s="136"/>
      <c r="E45" s="136"/>
      <c r="F45" s="136"/>
      <c r="G45" s="136"/>
      <c r="H45" s="136"/>
      <c r="I45" s="136"/>
      <c r="J45" s="136"/>
      <c r="K45" s="136"/>
      <c r="L45" s="136"/>
      <c r="M45" s="136"/>
      <c r="N45" s="136"/>
      <c r="O45" s="136"/>
      <c r="P45" s="136"/>
      <c r="Q45" s="136"/>
      <c r="R45" s="136"/>
      <c r="S45" s="2"/>
      <c r="T45" s="2"/>
    </row>
    <row r="46" spans="2:20" x14ac:dyDescent="0.2">
      <c r="B46" s="2"/>
      <c r="C46" s="136"/>
      <c r="D46" s="136"/>
      <c r="E46" s="136"/>
      <c r="F46" s="136"/>
      <c r="G46" s="136"/>
      <c r="H46" s="136"/>
      <c r="I46" s="136"/>
      <c r="J46" s="136"/>
      <c r="K46" s="136"/>
      <c r="L46" s="136"/>
      <c r="M46" s="136"/>
      <c r="N46" s="136"/>
      <c r="O46" s="136"/>
      <c r="P46" s="136"/>
      <c r="Q46" s="136"/>
      <c r="R46" s="136"/>
      <c r="S46" s="2"/>
      <c r="T46" s="2"/>
    </row>
    <row r="47" spans="2:20" x14ac:dyDescent="0.2">
      <c r="B47" s="2"/>
      <c r="C47" s="137" t="s">
        <v>57</v>
      </c>
      <c r="D47" s="134"/>
      <c r="E47" s="134"/>
      <c r="F47" s="136"/>
      <c r="G47" s="136"/>
      <c r="H47" s="136"/>
      <c r="I47" s="136"/>
      <c r="J47" s="136"/>
      <c r="K47" s="136"/>
      <c r="L47" s="136"/>
      <c r="M47" s="136"/>
      <c r="N47" s="136"/>
      <c r="O47" s="136"/>
      <c r="P47" s="136"/>
      <c r="Q47" s="136"/>
      <c r="R47" s="136"/>
      <c r="S47" s="2"/>
      <c r="T47" s="2"/>
    </row>
    <row r="48" spans="2:20" x14ac:dyDescent="0.2">
      <c r="B48" s="2"/>
      <c r="C48" s="136" t="s">
        <v>1018</v>
      </c>
      <c r="D48" s="136"/>
      <c r="E48" s="136"/>
      <c r="F48" s="136"/>
      <c r="G48" s="136"/>
      <c r="H48" s="136"/>
      <c r="I48" s="305"/>
      <c r="J48" s="136"/>
      <c r="K48" s="136"/>
      <c r="L48" s="136"/>
      <c r="M48" s="136"/>
      <c r="N48" s="136"/>
      <c r="O48" s="136"/>
      <c r="P48" s="136"/>
      <c r="Q48" s="136"/>
      <c r="R48" s="136"/>
      <c r="S48" s="2"/>
      <c r="T48" s="2"/>
    </row>
    <row r="49" spans="2:20" x14ac:dyDescent="0.2">
      <c r="B49" s="2"/>
      <c r="C49" s="136" t="s">
        <v>1019</v>
      </c>
      <c r="D49" s="136"/>
      <c r="E49" s="136"/>
      <c r="F49" s="136"/>
      <c r="G49" s="136"/>
      <c r="H49" s="136"/>
      <c r="I49" s="136"/>
      <c r="J49" s="136"/>
      <c r="K49" s="136"/>
      <c r="L49" s="136"/>
      <c r="M49" s="136"/>
      <c r="N49" s="136"/>
      <c r="O49" s="136"/>
      <c r="P49" s="136"/>
      <c r="Q49" s="136"/>
      <c r="R49" s="136"/>
      <c r="S49" s="2"/>
      <c r="T49" s="2"/>
    </row>
    <row r="50" spans="2:20" x14ac:dyDescent="0.2">
      <c r="B50" s="2"/>
      <c r="C50" s="136" t="s">
        <v>56</v>
      </c>
      <c r="D50" s="136"/>
      <c r="E50" s="136"/>
      <c r="F50" s="136"/>
      <c r="G50" s="136"/>
      <c r="H50" s="136"/>
      <c r="I50" s="136"/>
      <c r="J50" s="136"/>
      <c r="K50" s="136"/>
      <c r="L50" s="136"/>
      <c r="M50" s="136"/>
      <c r="N50" s="136"/>
      <c r="O50" s="136"/>
      <c r="P50" s="136"/>
      <c r="Q50" s="136"/>
      <c r="R50" s="136"/>
      <c r="S50" s="2"/>
      <c r="T50" s="2"/>
    </row>
    <row r="51" spans="2:20" x14ac:dyDescent="0.2">
      <c r="B51" s="2"/>
      <c r="C51" s="134"/>
      <c r="D51" s="136"/>
      <c r="E51" s="136"/>
      <c r="F51" s="136"/>
      <c r="G51" s="136"/>
      <c r="H51" s="136"/>
      <c r="I51" s="136"/>
      <c r="J51" s="136"/>
      <c r="K51" s="136"/>
      <c r="L51" s="136"/>
      <c r="M51" s="136"/>
      <c r="N51" s="136"/>
      <c r="O51" s="136"/>
      <c r="P51" s="136"/>
      <c r="Q51" s="136"/>
      <c r="R51" s="136"/>
      <c r="S51" s="2"/>
      <c r="T51" s="2"/>
    </row>
    <row r="52" spans="2:20" x14ac:dyDescent="0.2">
      <c r="B52" s="2"/>
      <c r="C52" s="137" t="s">
        <v>25</v>
      </c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</row>
    <row r="53" spans="2:20" x14ac:dyDescent="0.2">
      <c r="B53" s="2"/>
      <c r="C53" s="138" t="s">
        <v>134</v>
      </c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</row>
    <row r="54" spans="2:20" x14ac:dyDescent="0.2">
      <c r="B54" s="2"/>
      <c r="C54" s="134" t="s">
        <v>85</v>
      </c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</row>
    <row r="55" spans="2:20" x14ac:dyDescent="0.2">
      <c r="B55" s="2"/>
      <c r="C55" s="134" t="s">
        <v>135</v>
      </c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</row>
    <row r="56" spans="2:20" x14ac:dyDescent="0.2"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</row>
    <row r="57" spans="2:20" x14ac:dyDescent="0.2">
      <c r="B57" s="2"/>
      <c r="C57" s="134" t="s">
        <v>141</v>
      </c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</row>
    <row r="58" spans="2:20" x14ac:dyDescent="0.2">
      <c r="B58" s="2"/>
      <c r="C58" s="20" t="s">
        <v>142</v>
      </c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</row>
    <row r="59" spans="2:20" x14ac:dyDescent="0.2">
      <c r="B59" s="2"/>
      <c r="C59" s="20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</row>
    <row r="60" spans="2:20" x14ac:dyDescent="0.2">
      <c r="B60" s="2"/>
      <c r="C60" s="136" t="s">
        <v>26</v>
      </c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</row>
    <row r="61" spans="2:20" x14ac:dyDescent="0.2"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</row>
    <row r="62" spans="2:20" x14ac:dyDescent="0.2"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</row>
    <row r="63" spans="2:20" x14ac:dyDescent="0.2"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</row>
    <row r="64" spans="2:20" x14ac:dyDescent="0.2"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</row>
    <row r="65" spans="2:20" x14ac:dyDescent="0.2"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</row>
    <row r="66" spans="2:20" x14ac:dyDescent="0.2">
      <c r="B66" s="2"/>
      <c r="C66" s="134" t="s">
        <v>27</v>
      </c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</row>
    <row r="67" spans="2:20" x14ac:dyDescent="0.2"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</row>
    <row r="68" spans="2:20" x14ac:dyDescent="0.2">
      <c r="B68" s="2"/>
      <c r="C68" s="134" t="s">
        <v>28</v>
      </c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</row>
    <row r="69" spans="2:20" x14ac:dyDescent="0.2">
      <c r="B69" s="2"/>
      <c r="C69" s="134" t="s">
        <v>29</v>
      </c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</row>
    <row r="70" spans="2:20" x14ac:dyDescent="0.2">
      <c r="B70" s="2"/>
      <c r="C70" s="134" t="s">
        <v>136</v>
      </c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</row>
    <row r="71" spans="2:20" x14ac:dyDescent="0.2"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</row>
    <row r="73" spans="2:20" x14ac:dyDescent="0.2">
      <c r="C73" s="132"/>
    </row>
    <row r="74" spans="2:20" x14ac:dyDescent="0.2">
      <c r="C74" s="131"/>
    </row>
    <row r="78" spans="2:20" ht="15.75" x14ac:dyDescent="0.3">
      <c r="C78" s="133"/>
    </row>
  </sheetData>
  <phoneticPr fontId="12" type="noConversion"/>
  <pageMargins left="0.75" right="0.75" top="1" bottom="0.8" header="0.5" footer="0.5"/>
  <pageSetup paperSize="9" scale="85" orientation="landscape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Equation.3" shapeId="209935" r:id="rId4">
          <objectPr defaultSize="0" autoPict="0" r:id="rId5">
            <anchor moveWithCells="1" sizeWithCells="1">
              <from>
                <xdr:col>2</xdr:col>
                <xdr:colOff>9525</xdr:colOff>
                <xdr:row>60</xdr:row>
                <xdr:rowOff>47625</xdr:rowOff>
              </from>
              <to>
                <xdr:col>5</xdr:col>
                <xdr:colOff>38100</xdr:colOff>
                <xdr:row>64</xdr:row>
                <xdr:rowOff>9525</xdr:rowOff>
              </to>
            </anchor>
          </objectPr>
        </oleObject>
      </mc:Choice>
      <mc:Fallback>
        <oleObject progId="Equation.3" shapeId="209935" r:id="rId4"/>
      </mc:Fallback>
    </mc:AlternateContent>
  </oleObjec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6"/>
  <dimension ref="B2:U54"/>
  <sheetViews>
    <sheetView showGridLines="0" showRowColHeaders="0" workbookViewId="0"/>
  </sheetViews>
  <sheetFormatPr defaultRowHeight="12.75" x14ac:dyDescent="0.2"/>
  <cols>
    <col min="1" max="1" width="2.7109375" style="130" customWidth="1"/>
    <col min="2" max="20" width="9.140625" style="130"/>
    <col min="21" max="21" width="2.7109375" style="130" customWidth="1"/>
    <col min="22" max="16384" width="9.140625" style="130"/>
  </cols>
  <sheetData>
    <row r="2" spans="2:21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</row>
    <row r="3" spans="2:21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</row>
    <row r="4" spans="2:21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</row>
    <row r="5" spans="2:21" x14ac:dyDescent="0.2">
      <c r="B5" s="322" t="str">
        <f>'Värdeutveckling - konto'!C8</f>
        <v>Nästa uppdatering: 2017-12-18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</row>
    <row r="6" spans="2:21" x14ac:dyDescent="0.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</row>
    <row r="7" spans="2:21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</row>
    <row r="8" spans="2:21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</row>
    <row r="9" spans="2:21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</row>
    <row r="10" spans="2:21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</row>
    <row r="11" spans="2:21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</row>
    <row r="12" spans="2:21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</row>
    <row r="13" spans="2:21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</row>
    <row r="14" spans="2:21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</row>
    <row r="15" spans="2:21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</row>
    <row r="16" spans="2:21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</row>
    <row r="17" spans="2:21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</row>
    <row r="18" spans="2:21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</row>
    <row r="19" spans="2:21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</row>
    <row r="20" spans="2:21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</row>
    <row r="21" spans="2:21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</row>
    <row r="22" spans="2:21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</row>
    <row r="23" spans="2:21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  <row r="24" spans="2:21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</row>
    <row r="25" spans="2:21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</row>
    <row r="26" spans="2:21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</row>
    <row r="27" spans="2:21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</row>
    <row r="28" spans="2:21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</row>
    <row r="29" spans="2:21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</row>
    <row r="30" spans="2:21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</row>
    <row r="31" spans="2:21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</row>
    <row r="32" spans="2:21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</row>
    <row r="33" spans="2:21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</row>
    <row r="34" spans="2:21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</row>
    <row r="35" spans="2:21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</row>
    <row r="36" spans="2:21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</row>
    <row r="37" spans="2:21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</row>
    <row r="38" spans="2:21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</row>
    <row r="39" spans="2:21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</row>
    <row r="40" spans="2:21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</row>
    <row r="41" spans="2:21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</row>
    <row r="42" spans="2:21" x14ac:dyDescent="0.2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</row>
    <row r="43" spans="2:21" x14ac:dyDescent="0.2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</row>
    <row r="44" spans="2:21" x14ac:dyDescent="0.2">
      <c r="B44" s="2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"/>
      <c r="T44" s="2"/>
      <c r="U44" s="2"/>
    </row>
    <row r="45" spans="2:21" x14ac:dyDescent="0.2">
      <c r="B45" s="2"/>
      <c r="C45" s="20" t="s">
        <v>126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"/>
      <c r="T45" s="2"/>
      <c r="U45" s="2"/>
    </row>
    <row r="46" spans="2:21" x14ac:dyDescent="0.2">
      <c r="B46" s="2"/>
      <c r="C46" s="20" t="s">
        <v>118</v>
      </c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"/>
      <c r="T46" s="2"/>
      <c r="U46" s="2"/>
    </row>
    <row r="47" spans="2:21" x14ac:dyDescent="0.2">
      <c r="B47" s="2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"/>
      <c r="T47" s="2"/>
      <c r="U47" s="2"/>
    </row>
    <row r="48" spans="2:21" x14ac:dyDescent="0.2">
      <c r="B48" s="2"/>
      <c r="C48" s="20" t="s">
        <v>808</v>
      </c>
      <c r="D48" s="2"/>
      <c r="E48" s="2"/>
      <c r="F48" s="2"/>
      <c r="G48" s="2"/>
      <c r="H48" s="2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"/>
      <c r="T48" s="2"/>
      <c r="U48" s="2"/>
    </row>
    <row r="49" spans="2:21" x14ac:dyDescent="0.2">
      <c r="B49" s="2"/>
      <c r="C49" s="21" t="s">
        <v>809</v>
      </c>
      <c r="D49" s="2"/>
      <c r="E49" s="2"/>
      <c r="F49" s="2"/>
      <c r="G49" s="2"/>
      <c r="H49" s="2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"/>
      <c r="T49" s="2"/>
      <c r="U49" s="2"/>
    </row>
    <row r="50" spans="2:21" x14ac:dyDescent="0.2">
      <c r="B50" s="2"/>
      <c r="C50" s="2"/>
      <c r="D50" s="2"/>
      <c r="E50" s="2"/>
      <c r="F50" s="2"/>
      <c r="G50" s="2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"/>
      <c r="T50" s="2"/>
      <c r="U50" s="2"/>
    </row>
    <row r="51" spans="2:21" x14ac:dyDescent="0.2"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08"/>
      <c r="P51" s="108"/>
      <c r="Q51" s="108"/>
      <c r="R51" s="108"/>
    </row>
    <row r="52" spans="2:21" x14ac:dyDescent="0.2">
      <c r="C52" s="108"/>
      <c r="D52" s="108"/>
      <c r="E52" s="108"/>
      <c r="F52" s="108"/>
      <c r="G52" s="108"/>
      <c r="H52" s="108"/>
      <c r="I52" s="108"/>
      <c r="J52" s="108"/>
      <c r="K52" s="108"/>
      <c r="L52" s="108"/>
      <c r="M52" s="108"/>
      <c r="N52" s="108"/>
      <c r="O52" s="108"/>
      <c r="P52" s="108"/>
      <c r="Q52" s="108"/>
      <c r="R52" s="108"/>
    </row>
    <row r="53" spans="2:21" x14ac:dyDescent="0.2">
      <c r="C53" s="108"/>
      <c r="D53" s="108"/>
      <c r="E53" s="108"/>
      <c r="F53" s="108"/>
      <c r="G53" s="108"/>
      <c r="H53" s="108"/>
    </row>
    <row r="54" spans="2:21" x14ac:dyDescent="0.2">
      <c r="C54" s="108"/>
      <c r="D54" s="108"/>
      <c r="E54" s="108"/>
      <c r="F54" s="108"/>
      <c r="G54" s="108"/>
      <c r="H54" s="108"/>
    </row>
  </sheetData>
  <phoneticPr fontId="12" type="noConversion"/>
  <pageMargins left="0.75" right="0.75" top="1" bottom="0.61" header="0.5" footer="0.5"/>
  <pageSetup paperSize="9" scale="85" orientation="landscape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7"/>
  <dimension ref="B2:T56"/>
  <sheetViews>
    <sheetView showRowColHeaders="0" workbookViewId="0"/>
  </sheetViews>
  <sheetFormatPr defaultRowHeight="12.75" x14ac:dyDescent="0.2"/>
  <cols>
    <col min="1" max="1" width="2.7109375" style="130" customWidth="1"/>
    <col min="2" max="17" width="9.140625" style="130"/>
    <col min="18" max="19" width="9.140625" style="130" customWidth="1"/>
    <col min="20" max="20" width="9.140625" style="130"/>
    <col min="21" max="21" width="2.7109375" style="130" customWidth="1"/>
    <col min="22" max="16384" width="9.140625" style="130"/>
  </cols>
  <sheetData>
    <row r="2" spans="2:20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2:20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2:20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2:20" ht="12" customHeight="1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2:20" x14ac:dyDescent="0.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2:20" x14ac:dyDescent="0.2">
      <c r="B7" s="322" t="str">
        <f>'Värdeutveckling - konto'!C8</f>
        <v>Nästa uppdatering: 2017-12-18</v>
      </c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</row>
    <row r="8" spans="2:20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</row>
    <row r="9" spans="2:20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</row>
    <row r="10" spans="2:20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</row>
    <row r="11" spans="2:20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</row>
    <row r="12" spans="2:20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</row>
    <row r="13" spans="2:20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</row>
    <row r="14" spans="2:20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</row>
    <row r="15" spans="2:20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</row>
    <row r="16" spans="2:20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</row>
    <row r="17" spans="2:20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</row>
    <row r="18" spans="2:20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</row>
    <row r="19" spans="2:20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</row>
    <row r="20" spans="2:20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</row>
    <row r="21" spans="2:20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</row>
    <row r="22" spans="2:20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</row>
    <row r="23" spans="2:20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</row>
    <row r="24" spans="2:20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</row>
    <row r="25" spans="2:20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</row>
    <row r="26" spans="2:20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</row>
    <row r="27" spans="2:20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</row>
    <row r="28" spans="2:20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</row>
    <row r="29" spans="2:20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</row>
    <row r="30" spans="2:20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</row>
    <row r="31" spans="2:20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</row>
    <row r="32" spans="2:20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</row>
    <row r="33" spans="2:20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</row>
    <row r="34" spans="2:20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</row>
    <row r="35" spans="2:20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</row>
    <row r="36" spans="2:20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</row>
    <row r="37" spans="2:20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</row>
    <row r="38" spans="2:20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</row>
    <row r="39" spans="2:20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</row>
    <row r="40" spans="2:20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</row>
    <row r="41" spans="2:20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</row>
    <row r="42" spans="2:20" x14ac:dyDescent="0.2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</row>
    <row r="43" spans="2:20" x14ac:dyDescent="0.2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</row>
    <row r="44" spans="2:20" x14ac:dyDescent="0.2">
      <c r="B44" s="20"/>
      <c r="C44" s="20" t="s">
        <v>0</v>
      </c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"/>
      <c r="S44" s="2"/>
      <c r="T44" s="2"/>
    </row>
    <row r="45" spans="2:20" x14ac:dyDescent="0.2">
      <c r="B45" s="20"/>
      <c r="C45" s="20" t="s">
        <v>12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"/>
      <c r="S45" s="2"/>
      <c r="T45" s="2"/>
    </row>
    <row r="46" spans="2:20" x14ac:dyDescent="0.2">
      <c r="B46" s="20"/>
      <c r="C46" s="20" t="s">
        <v>13</v>
      </c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"/>
      <c r="S46" s="2"/>
      <c r="T46" s="2"/>
    </row>
    <row r="47" spans="2:20" x14ac:dyDescent="0.2"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"/>
      <c r="S47" s="2"/>
      <c r="T47" s="2"/>
    </row>
    <row r="48" spans="2:20" x14ac:dyDescent="0.2">
      <c r="B48" s="108"/>
      <c r="C48" s="108"/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108"/>
      <c r="P48" s="108"/>
      <c r="Q48" s="108"/>
      <c r="R48" s="108"/>
      <c r="S48" s="108"/>
    </row>
    <row r="49" spans="2:19" x14ac:dyDescent="0.2">
      <c r="B49" s="108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08"/>
      <c r="P49" s="108"/>
      <c r="Q49" s="108"/>
      <c r="R49" s="108"/>
      <c r="S49" s="108"/>
    </row>
    <row r="50" spans="2:19" x14ac:dyDescent="0.2">
      <c r="B50" s="108"/>
      <c r="C50" s="108"/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08"/>
      <c r="P50" s="108"/>
      <c r="Q50" s="108"/>
      <c r="R50" s="108"/>
      <c r="S50" s="108"/>
    </row>
    <row r="51" spans="2:19" x14ac:dyDescent="0.2">
      <c r="B51" s="108"/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08"/>
      <c r="P51" s="108"/>
      <c r="Q51" s="108"/>
      <c r="R51" s="108"/>
      <c r="S51" s="108"/>
    </row>
    <row r="52" spans="2:19" x14ac:dyDescent="0.2">
      <c r="B52" s="108"/>
      <c r="C52" s="108"/>
      <c r="D52" s="108"/>
      <c r="E52" s="108"/>
      <c r="F52" s="108"/>
      <c r="G52" s="108"/>
      <c r="H52" s="108"/>
      <c r="I52" s="108"/>
      <c r="J52" s="108"/>
      <c r="K52" s="108"/>
      <c r="L52" s="108"/>
      <c r="M52" s="108"/>
      <c r="N52" s="108"/>
      <c r="O52" s="108"/>
      <c r="P52" s="108"/>
      <c r="Q52" s="108"/>
      <c r="R52" s="108"/>
      <c r="S52" s="108"/>
    </row>
    <row r="53" spans="2:19" x14ac:dyDescent="0.2">
      <c r="R53" s="108"/>
      <c r="S53" s="108"/>
    </row>
    <row r="54" spans="2:19" x14ac:dyDescent="0.2">
      <c r="R54" s="108"/>
      <c r="S54" s="108"/>
    </row>
    <row r="55" spans="2:19" x14ac:dyDescent="0.2">
      <c r="R55" s="108"/>
      <c r="S55" s="108"/>
    </row>
    <row r="56" spans="2:19" x14ac:dyDescent="0.2">
      <c r="R56" s="108"/>
      <c r="S56" s="108"/>
    </row>
  </sheetData>
  <phoneticPr fontId="12" type="noConversion"/>
  <pageMargins left="0.75" right="0.75" top="1" bottom="0.56999999999999995" header="0.5" footer="0.5"/>
  <pageSetup paperSize="9" scale="85" orientation="landscape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2"/>
  <dimension ref="B2:R52"/>
  <sheetViews>
    <sheetView showGridLines="0" showRowColHeaders="0" workbookViewId="0"/>
  </sheetViews>
  <sheetFormatPr defaultRowHeight="12.75" x14ac:dyDescent="0.2"/>
  <cols>
    <col min="1" max="1" width="2.7109375" style="130" customWidth="1"/>
    <col min="2" max="17" width="9.140625" style="130"/>
    <col min="18" max="18" width="2.7109375" style="130" customWidth="1"/>
    <col min="19" max="16384" width="9.140625" style="130"/>
  </cols>
  <sheetData>
    <row r="2" spans="2:18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2:18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</row>
    <row r="4" spans="2:18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2:18" x14ac:dyDescent="0.2">
      <c r="B5" s="322" t="str">
        <f>'Värdeutveckling - konto'!C8</f>
        <v>Nästa uppdatering: 2017-12-18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2:18" x14ac:dyDescent="0.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2:18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</row>
    <row r="8" spans="2:18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</row>
    <row r="9" spans="2:18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</row>
    <row r="10" spans="2:18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2:18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</row>
    <row r="12" spans="2:18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</row>
    <row r="13" spans="2:18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</row>
    <row r="14" spans="2:18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</row>
    <row r="15" spans="2:18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spans="2:18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spans="2:18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spans="2:18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</row>
    <row r="19" spans="2:18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spans="2:18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spans="2:18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spans="2:18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spans="2:18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</row>
    <row r="24" spans="2:18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spans="2:18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</row>
    <row r="26" spans="2:18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</row>
    <row r="27" spans="2:18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</row>
    <row r="28" spans="2:18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</row>
    <row r="29" spans="2:18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</row>
    <row r="30" spans="2:18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</row>
    <row r="31" spans="2:18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</row>
    <row r="32" spans="2:18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spans="2:18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</row>
    <row r="34" spans="2:18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</row>
    <row r="35" spans="2:18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</row>
    <row r="36" spans="2:18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spans="2:18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</row>
    <row r="38" spans="2:18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spans="2:18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</row>
    <row r="40" spans="2:18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</row>
    <row r="41" spans="2:18" x14ac:dyDescent="0.2">
      <c r="B41" s="20"/>
      <c r="C41" s="141" t="s">
        <v>143</v>
      </c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</row>
    <row r="42" spans="2:18" x14ac:dyDescent="0.2">
      <c r="B42" s="20"/>
      <c r="C42" s="141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</row>
    <row r="43" spans="2:18" x14ac:dyDescent="0.2">
      <c r="B43" s="20"/>
      <c r="C43" s="141" t="s">
        <v>53</v>
      </c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</row>
    <row r="44" spans="2:18" x14ac:dyDescent="0.2">
      <c r="B44" s="20"/>
      <c r="C44" s="141" t="s">
        <v>112</v>
      </c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</row>
    <row r="45" spans="2:18" x14ac:dyDescent="0.2">
      <c r="B45" s="20"/>
      <c r="C45" s="141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</row>
    <row r="46" spans="2:18" x14ac:dyDescent="0.2">
      <c r="B46" s="20"/>
      <c r="C46" s="141" t="s">
        <v>16</v>
      </c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</row>
    <row r="47" spans="2:18" x14ac:dyDescent="0.2">
      <c r="B47" s="20"/>
      <c r="C47" s="141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</row>
    <row r="48" spans="2:18" x14ac:dyDescent="0.2">
      <c r="B48" s="108"/>
      <c r="C48" s="140"/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108"/>
      <c r="P48" s="108"/>
      <c r="Q48" s="108"/>
      <c r="R48" s="108"/>
    </row>
    <row r="49" spans="2:18" x14ac:dyDescent="0.2">
      <c r="B49" s="108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08"/>
      <c r="P49" s="108"/>
      <c r="Q49" s="108"/>
      <c r="R49" s="108"/>
    </row>
    <row r="50" spans="2:18" x14ac:dyDescent="0.2">
      <c r="B50" s="108"/>
      <c r="C50" s="108"/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08"/>
      <c r="P50" s="108"/>
      <c r="Q50" s="108"/>
      <c r="R50" s="108"/>
    </row>
    <row r="51" spans="2:18" x14ac:dyDescent="0.2">
      <c r="B51" s="108"/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08"/>
      <c r="P51" s="108"/>
      <c r="Q51" s="108"/>
      <c r="R51" s="108"/>
    </row>
    <row r="52" spans="2:18" x14ac:dyDescent="0.2">
      <c r="B52" s="108"/>
      <c r="R52" s="108"/>
    </row>
  </sheetData>
  <phoneticPr fontId="12" type="noConversion"/>
  <pageMargins left="0.75" right="0.75" top="0.77" bottom="0.54" header="0.5" footer="0.38"/>
  <pageSetup paperSize="9" scale="85" orientation="landscape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4"/>
  <dimension ref="B2:R56"/>
  <sheetViews>
    <sheetView showGridLines="0" showRowColHeaders="0" zoomScaleNormal="100" workbookViewId="0"/>
  </sheetViews>
  <sheetFormatPr defaultRowHeight="12.75" x14ac:dyDescent="0.2"/>
  <cols>
    <col min="1" max="1" width="2.7109375" style="130" customWidth="1"/>
    <col min="2" max="17" width="9.140625" style="130"/>
    <col min="18" max="18" width="2.7109375" style="130" customWidth="1"/>
    <col min="19" max="16384" width="9.140625" style="130"/>
  </cols>
  <sheetData>
    <row r="2" spans="2:18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2:18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</row>
    <row r="4" spans="2:18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2:18" x14ac:dyDescent="0.2">
      <c r="B5" s="322" t="str">
        <f>'Värdeutveckling - konto'!C8</f>
        <v>Nästa uppdatering: 2017-12-18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2:18" x14ac:dyDescent="0.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2:18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</row>
    <row r="8" spans="2:18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</row>
    <row r="9" spans="2:18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</row>
    <row r="10" spans="2:18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2:18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</row>
    <row r="12" spans="2:18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</row>
    <row r="13" spans="2:18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</row>
    <row r="14" spans="2:18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</row>
    <row r="15" spans="2:18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spans="2:18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spans="2:18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spans="2:18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</row>
    <row r="19" spans="2:18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spans="2:18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spans="2:18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spans="2:18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spans="2:18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</row>
    <row r="24" spans="2:18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spans="2:18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</row>
    <row r="26" spans="2:18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</row>
    <row r="27" spans="2:18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</row>
    <row r="28" spans="2:18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</row>
    <row r="29" spans="2:18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</row>
    <row r="30" spans="2:18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</row>
    <row r="31" spans="2:18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</row>
    <row r="32" spans="2:18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spans="2:18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</row>
    <row r="34" spans="2:18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</row>
    <row r="35" spans="2:18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</row>
    <row r="36" spans="2:18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spans="2:18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</row>
    <row r="38" spans="2:18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spans="2:18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</row>
    <row r="40" spans="2:18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</row>
    <row r="41" spans="2:18" x14ac:dyDescent="0.2">
      <c r="B41" s="20"/>
      <c r="C41" s="141" t="s">
        <v>144</v>
      </c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"/>
    </row>
    <row r="42" spans="2:18" x14ac:dyDescent="0.2">
      <c r="B42" s="20"/>
      <c r="C42" s="104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"/>
    </row>
    <row r="43" spans="2:18" x14ac:dyDescent="0.2">
      <c r="B43" s="20"/>
      <c r="C43" s="104" t="s">
        <v>108</v>
      </c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"/>
    </row>
    <row r="44" spans="2:18" x14ac:dyDescent="0.2">
      <c r="B44" s="20"/>
      <c r="C44" s="104" t="s">
        <v>112</v>
      </c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"/>
    </row>
    <row r="45" spans="2:18" x14ac:dyDescent="0.2">
      <c r="B45" s="20"/>
      <c r="C45" s="104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"/>
    </row>
    <row r="46" spans="2:18" x14ac:dyDescent="0.2">
      <c r="B46" s="20"/>
      <c r="C46" s="104" t="s">
        <v>5</v>
      </c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"/>
    </row>
    <row r="47" spans="2:18" x14ac:dyDescent="0.2">
      <c r="B47" s="20"/>
      <c r="C47" s="104" t="s">
        <v>114</v>
      </c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"/>
    </row>
    <row r="48" spans="2:18" x14ac:dyDescent="0.2">
      <c r="B48" s="20"/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"/>
    </row>
    <row r="49" spans="2:17" x14ac:dyDescent="0.2">
      <c r="B49" s="108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08"/>
      <c r="P49" s="108"/>
      <c r="Q49" s="108"/>
    </row>
    <row r="50" spans="2:17" x14ac:dyDescent="0.2">
      <c r="B50" s="108"/>
      <c r="C50" s="108"/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08"/>
      <c r="P50" s="108"/>
      <c r="Q50" s="108"/>
    </row>
    <row r="51" spans="2:17" x14ac:dyDescent="0.2">
      <c r="B51" s="108"/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08"/>
      <c r="P51" s="108"/>
      <c r="Q51" s="108"/>
    </row>
    <row r="52" spans="2:17" x14ac:dyDescent="0.2">
      <c r="B52" s="108"/>
      <c r="C52" s="108"/>
      <c r="D52" s="108"/>
      <c r="E52" s="108"/>
      <c r="F52" s="108"/>
      <c r="G52" s="108"/>
      <c r="H52" s="108"/>
      <c r="I52" s="108"/>
      <c r="J52" s="108"/>
      <c r="K52" s="108"/>
      <c r="L52" s="108"/>
      <c r="M52" s="108"/>
      <c r="N52" s="108"/>
      <c r="O52" s="108"/>
      <c r="P52" s="108"/>
      <c r="Q52" s="108"/>
    </row>
    <row r="53" spans="2:17" x14ac:dyDescent="0.2">
      <c r="B53" s="108"/>
      <c r="C53" s="108"/>
      <c r="D53" s="108"/>
      <c r="E53" s="108"/>
      <c r="F53" s="108"/>
      <c r="G53" s="108"/>
      <c r="H53" s="108"/>
      <c r="I53" s="108"/>
      <c r="J53" s="108"/>
      <c r="K53" s="108"/>
      <c r="L53" s="108"/>
      <c r="M53" s="108"/>
      <c r="N53" s="108"/>
      <c r="O53" s="108"/>
      <c r="P53" s="108"/>
      <c r="Q53" s="108"/>
    </row>
    <row r="54" spans="2:17" x14ac:dyDescent="0.2">
      <c r="B54" s="108"/>
      <c r="C54" s="108"/>
      <c r="D54" s="108"/>
      <c r="E54" s="108"/>
      <c r="F54" s="108"/>
      <c r="G54" s="108"/>
      <c r="H54" s="108"/>
      <c r="I54" s="108"/>
      <c r="J54" s="108"/>
      <c r="K54" s="108"/>
      <c r="L54" s="108"/>
      <c r="M54" s="108"/>
      <c r="N54" s="108"/>
      <c r="O54" s="108"/>
      <c r="P54" s="108"/>
      <c r="Q54" s="108"/>
    </row>
    <row r="55" spans="2:17" x14ac:dyDescent="0.2">
      <c r="B55" s="108"/>
      <c r="C55" s="108"/>
      <c r="D55" s="108"/>
      <c r="E55" s="108"/>
      <c r="F55" s="108"/>
      <c r="G55" s="108"/>
      <c r="H55" s="108"/>
      <c r="I55" s="108"/>
      <c r="J55" s="108"/>
      <c r="K55" s="108"/>
      <c r="L55" s="108"/>
      <c r="M55" s="108"/>
      <c r="N55" s="108"/>
      <c r="O55" s="108"/>
      <c r="P55" s="108"/>
      <c r="Q55" s="108"/>
    </row>
    <row r="56" spans="2:17" x14ac:dyDescent="0.2">
      <c r="B56" s="108"/>
      <c r="C56" s="108"/>
      <c r="D56" s="108"/>
      <c r="E56" s="108"/>
      <c r="F56" s="108"/>
      <c r="G56" s="108"/>
      <c r="H56" s="108"/>
      <c r="I56" s="108"/>
      <c r="J56" s="108"/>
      <c r="K56" s="108"/>
      <c r="L56" s="108"/>
      <c r="M56" s="108"/>
      <c r="N56" s="108"/>
      <c r="O56" s="108"/>
      <c r="P56" s="108"/>
      <c r="Q56" s="108"/>
    </row>
  </sheetData>
  <phoneticPr fontId="12" type="noConversion"/>
  <pageMargins left="0.75" right="0.75" top="0.56000000000000005" bottom="0.5" header="0.5" footer="0.31"/>
  <pageSetup paperSize="9" scale="85" orientation="landscape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B2:T244"/>
  <sheetViews>
    <sheetView showRowColHeaders="0" workbookViewId="0">
      <pane ySplit="26" topLeftCell="A219" activePane="bottomLeft" state="frozen"/>
      <selection pane="bottomLeft" activeCell="A230" sqref="A230"/>
    </sheetView>
  </sheetViews>
  <sheetFormatPr defaultRowHeight="12.75" x14ac:dyDescent="0.2"/>
  <cols>
    <col min="1" max="1" width="2.85546875" style="81" customWidth="1"/>
    <col min="2" max="2" width="14.140625" style="81" customWidth="1"/>
    <col min="3" max="3" width="19.42578125" style="83" customWidth="1"/>
    <col min="4" max="4" width="17.42578125" style="83" customWidth="1"/>
    <col min="5" max="5" width="13.140625" style="83" customWidth="1"/>
    <col min="6" max="6" width="12.85546875" style="83" customWidth="1"/>
    <col min="7" max="9" width="10.7109375" style="83" customWidth="1"/>
    <col min="10" max="21" width="10.7109375" style="81" customWidth="1"/>
    <col min="22" max="42" width="10.140625" style="81" customWidth="1"/>
    <col min="43" max="16384" width="9.140625" style="81"/>
  </cols>
  <sheetData>
    <row r="2" spans="2:14" ht="24.95" customHeight="1" x14ac:dyDescent="0.2">
      <c r="B2" s="44"/>
      <c r="C2" s="39"/>
      <c r="D2" s="39"/>
      <c r="E2" s="39"/>
      <c r="F2" s="39"/>
      <c r="G2" s="39"/>
      <c r="H2" s="39"/>
      <c r="I2" s="39"/>
      <c r="J2" s="44"/>
      <c r="K2" s="44"/>
      <c r="L2" s="44"/>
      <c r="M2" s="44"/>
    </row>
    <row r="3" spans="2:14" ht="24.95" customHeight="1" x14ac:dyDescent="0.2">
      <c r="B3" s="44"/>
      <c r="C3" s="39"/>
      <c r="D3" s="39"/>
      <c r="E3" s="39"/>
      <c r="F3" s="39"/>
      <c r="G3" s="39"/>
      <c r="H3" s="39"/>
      <c r="I3" s="39"/>
      <c r="J3" s="44"/>
      <c r="K3" s="44"/>
      <c r="L3" s="44"/>
      <c r="M3" s="44"/>
    </row>
    <row r="4" spans="2:14" x14ac:dyDescent="0.2">
      <c r="B4" s="134"/>
      <c r="C4" s="153"/>
      <c r="D4" s="153"/>
      <c r="E4" s="39"/>
      <c r="F4" s="39"/>
      <c r="G4" s="153"/>
      <c r="H4" s="153"/>
      <c r="I4" s="153"/>
      <c r="J4" s="134"/>
      <c r="K4" s="134"/>
      <c r="L4" s="134"/>
      <c r="M4" s="134"/>
      <c r="N4" s="131"/>
    </row>
    <row r="5" spans="2:14" ht="18" x14ac:dyDescent="0.25">
      <c r="B5" s="327" t="s">
        <v>122</v>
      </c>
      <c r="C5" s="153"/>
      <c r="D5" s="153"/>
      <c r="E5" s="39"/>
      <c r="F5" s="39"/>
      <c r="G5" s="153"/>
      <c r="H5" s="153"/>
      <c r="I5" s="153"/>
      <c r="J5" s="134"/>
      <c r="K5" s="134"/>
      <c r="L5" s="134"/>
      <c r="M5" s="134"/>
      <c r="N5" s="142"/>
    </row>
    <row r="6" spans="2:14" x14ac:dyDescent="0.2">
      <c r="B6" s="392" t="str">
        <f>'Värdeutveckling - konto'!C8</f>
        <v>Nästa uppdatering: 2017-12-18</v>
      </c>
      <c r="C6" s="153"/>
      <c r="D6" s="153"/>
      <c r="E6" s="153"/>
      <c r="F6" s="153"/>
      <c r="G6" s="153"/>
      <c r="H6" s="153"/>
      <c r="I6" s="153"/>
      <c r="J6" s="134"/>
      <c r="K6" s="134"/>
      <c r="L6" s="134"/>
      <c r="M6" s="134"/>
      <c r="N6" s="143"/>
    </row>
    <row r="7" spans="2:14" ht="17.25" customHeight="1" x14ac:dyDescent="0.2">
      <c r="B7" s="266" t="s">
        <v>87</v>
      </c>
      <c r="C7" s="153"/>
      <c r="D7" s="153"/>
      <c r="E7" s="153"/>
      <c r="F7" s="153"/>
      <c r="G7" s="153"/>
      <c r="H7" s="153"/>
      <c r="I7" s="153"/>
      <c r="J7" s="134"/>
      <c r="K7" s="134"/>
      <c r="L7" s="134"/>
      <c r="M7" s="134"/>
      <c r="N7" s="143"/>
    </row>
    <row r="8" spans="2:14" x14ac:dyDescent="0.2">
      <c r="B8" s="266" t="s">
        <v>101</v>
      </c>
      <c r="C8" s="153"/>
      <c r="D8" s="153"/>
      <c r="E8" s="153"/>
      <c r="F8" s="153"/>
      <c r="G8" s="153"/>
      <c r="H8" s="153"/>
      <c r="I8" s="153"/>
      <c r="J8" s="134"/>
      <c r="K8" s="134"/>
      <c r="L8" s="134"/>
      <c r="M8" s="134"/>
      <c r="N8" s="143"/>
    </row>
    <row r="9" spans="2:14" x14ac:dyDescent="0.2">
      <c r="B9" s="266" t="s">
        <v>102</v>
      </c>
      <c r="C9" s="153"/>
      <c r="D9" s="153"/>
      <c r="E9" s="153"/>
      <c r="F9" s="153"/>
      <c r="G9" s="153"/>
      <c r="H9" s="153"/>
      <c r="I9" s="153"/>
      <c r="J9" s="134"/>
      <c r="K9" s="134"/>
      <c r="L9" s="134"/>
      <c r="M9" s="134"/>
      <c r="N9" s="143"/>
    </row>
    <row r="10" spans="2:14" x14ac:dyDescent="0.2">
      <c r="B10" s="266" t="s">
        <v>90</v>
      </c>
      <c r="C10" s="153"/>
      <c r="D10" s="153"/>
      <c r="E10" s="153"/>
      <c r="F10" s="153"/>
      <c r="G10" s="153"/>
      <c r="H10" s="153"/>
      <c r="I10" s="153"/>
      <c r="J10" s="134"/>
      <c r="K10" s="134"/>
      <c r="L10" s="134"/>
      <c r="M10" s="134"/>
      <c r="N10" s="143"/>
    </row>
    <row r="11" spans="2:14" x14ac:dyDescent="0.2">
      <c r="B11" s="266" t="s">
        <v>15</v>
      </c>
      <c r="C11" s="153"/>
      <c r="D11" s="153"/>
      <c r="E11" s="153"/>
      <c r="F11" s="153"/>
      <c r="G11" s="153"/>
      <c r="H11" s="153"/>
      <c r="I11" s="153"/>
      <c r="J11" s="134"/>
      <c r="K11" s="134"/>
      <c r="L11" s="134"/>
      <c r="M11" s="134"/>
      <c r="N11" s="131"/>
    </row>
    <row r="12" spans="2:14" x14ac:dyDescent="0.2">
      <c r="B12" s="328"/>
      <c r="C12" s="153"/>
      <c r="D12" s="153"/>
      <c r="E12" s="153"/>
      <c r="F12" s="153"/>
      <c r="G12" s="153"/>
      <c r="H12" s="153"/>
      <c r="I12" s="153"/>
      <c r="J12" s="134"/>
      <c r="K12" s="134"/>
      <c r="L12" s="134"/>
      <c r="M12" s="134"/>
      <c r="N12" s="131"/>
    </row>
    <row r="13" spans="2:14" x14ac:dyDescent="0.2">
      <c r="B13" s="329" t="s">
        <v>145</v>
      </c>
      <c r="C13" s="153"/>
      <c r="D13" s="153"/>
      <c r="E13" s="153"/>
      <c r="F13" s="153"/>
      <c r="G13" s="153"/>
      <c r="H13" s="153"/>
      <c r="I13" s="153"/>
      <c r="J13" s="134"/>
      <c r="K13" s="134"/>
      <c r="L13" s="134"/>
      <c r="M13" s="134"/>
      <c r="N13" s="143"/>
    </row>
    <row r="14" spans="2:14" x14ac:dyDescent="0.2">
      <c r="B14" s="329" t="s">
        <v>146</v>
      </c>
      <c r="C14" s="153"/>
      <c r="D14" s="153"/>
      <c r="E14" s="153"/>
      <c r="F14" s="153"/>
      <c r="G14" s="153"/>
      <c r="H14" s="153"/>
      <c r="I14" s="153"/>
      <c r="J14" s="134"/>
      <c r="K14" s="134"/>
      <c r="L14" s="134"/>
      <c r="M14" s="134"/>
      <c r="N14" s="144"/>
    </row>
    <row r="15" spans="2:14" x14ac:dyDescent="0.2">
      <c r="B15" s="318"/>
      <c r="C15" s="134"/>
      <c r="D15" s="134"/>
      <c r="E15" s="134"/>
      <c r="F15" s="134"/>
      <c r="G15" s="134"/>
      <c r="H15" s="134"/>
      <c r="I15" s="134"/>
      <c r="J15" s="134"/>
      <c r="K15" s="134"/>
      <c r="L15" s="134"/>
      <c r="M15" s="134"/>
      <c r="N15" s="143"/>
    </row>
    <row r="16" spans="2:14" x14ac:dyDescent="0.2">
      <c r="B16" s="330" t="s">
        <v>86</v>
      </c>
      <c r="C16" s="134"/>
      <c r="D16" s="134"/>
      <c r="E16" s="134"/>
      <c r="F16" s="134"/>
      <c r="G16" s="134"/>
      <c r="H16" s="134"/>
      <c r="I16" s="134"/>
      <c r="J16" s="134"/>
      <c r="K16" s="134"/>
      <c r="L16" s="134"/>
      <c r="M16" s="134"/>
      <c r="N16" s="131"/>
    </row>
    <row r="17" spans="2:20" x14ac:dyDescent="0.2">
      <c r="B17" s="134"/>
      <c r="C17" s="134"/>
      <c r="D17" s="134"/>
      <c r="E17" s="134"/>
      <c r="F17" s="134"/>
      <c r="G17" s="134"/>
      <c r="H17" s="134"/>
      <c r="I17" s="134"/>
      <c r="J17" s="134"/>
      <c r="K17" s="134"/>
      <c r="L17" s="134"/>
      <c r="M17" s="134"/>
      <c r="N17" s="145"/>
    </row>
    <row r="18" spans="2:20" ht="3.75" customHeight="1" x14ac:dyDescent="0.2">
      <c r="B18" s="134"/>
      <c r="C18" s="134"/>
      <c r="D18" s="134"/>
      <c r="E18" s="134"/>
      <c r="F18" s="134"/>
      <c r="G18" s="134"/>
      <c r="H18" s="134"/>
      <c r="I18" s="134"/>
      <c r="J18" s="134"/>
      <c r="K18" s="134"/>
      <c r="L18" s="134"/>
      <c r="M18" s="134"/>
      <c r="N18" s="145"/>
    </row>
    <row r="19" spans="2:20" ht="3.75" customHeight="1" x14ac:dyDescent="0.2">
      <c r="B19" s="134"/>
      <c r="C19" s="134"/>
      <c r="D19" s="134"/>
      <c r="E19" s="134"/>
      <c r="F19" s="134"/>
      <c r="G19" s="134"/>
      <c r="H19" s="134"/>
      <c r="I19" s="134"/>
      <c r="J19" s="134"/>
      <c r="K19" s="134"/>
      <c r="L19" s="134"/>
      <c r="M19" s="134"/>
      <c r="N19" s="143"/>
    </row>
    <row r="20" spans="2:20" ht="3.75" customHeight="1" x14ac:dyDescent="0.2">
      <c r="B20" s="134"/>
      <c r="C20" s="134"/>
      <c r="D20" s="134"/>
      <c r="E20" s="134"/>
      <c r="F20" s="134"/>
      <c r="G20" s="134"/>
      <c r="H20" s="134"/>
      <c r="I20" s="134"/>
      <c r="J20" s="134"/>
      <c r="K20" s="134"/>
      <c r="L20" s="134"/>
      <c r="M20" s="134"/>
      <c r="N20" s="143"/>
    </row>
    <row r="21" spans="2:20" ht="3.75" customHeight="1" x14ac:dyDescent="0.2">
      <c r="B21" s="134"/>
      <c r="C21" s="134"/>
      <c r="D21" s="134"/>
      <c r="E21" s="134"/>
      <c r="F21" s="134"/>
      <c r="G21" s="134"/>
      <c r="H21" s="134"/>
      <c r="I21" s="134"/>
      <c r="J21" s="134"/>
      <c r="K21" s="134"/>
      <c r="L21" s="134"/>
      <c r="M21" s="134"/>
      <c r="N21" s="143"/>
      <c r="O21" s="131"/>
      <c r="P21" s="131"/>
      <c r="Q21" s="131"/>
      <c r="R21" s="131"/>
      <c r="S21" s="131"/>
      <c r="T21" s="131"/>
    </row>
    <row r="22" spans="2:20" ht="3.75" customHeight="1" x14ac:dyDescent="0.2">
      <c r="B22" s="134"/>
      <c r="C22" s="134"/>
      <c r="D22" s="134"/>
      <c r="E22" s="134"/>
      <c r="F22" s="134"/>
      <c r="G22" s="134"/>
      <c r="H22" s="134"/>
      <c r="I22" s="134"/>
      <c r="J22" s="134"/>
      <c r="K22" s="134"/>
      <c r="L22" s="134"/>
      <c r="M22" s="134"/>
      <c r="N22" s="143"/>
      <c r="O22" s="131"/>
      <c r="P22" s="131"/>
      <c r="Q22" s="131"/>
      <c r="R22" s="131"/>
      <c r="S22" s="131"/>
      <c r="T22" s="131"/>
    </row>
    <row r="23" spans="2:20" ht="3.75" customHeight="1" x14ac:dyDescent="0.2">
      <c r="B23" s="154"/>
      <c r="C23" s="134"/>
      <c r="D23" s="134"/>
      <c r="E23" s="134"/>
      <c r="F23" s="134"/>
      <c r="G23" s="134"/>
      <c r="H23" s="134"/>
      <c r="I23" s="134"/>
      <c r="J23" s="134"/>
      <c r="K23" s="134"/>
      <c r="L23" s="134"/>
      <c r="M23" s="134"/>
      <c r="N23" s="131"/>
      <c r="O23" s="131"/>
      <c r="P23" s="131"/>
      <c r="Q23" s="131"/>
      <c r="R23" s="131"/>
      <c r="S23" s="131"/>
      <c r="T23" s="131"/>
    </row>
    <row r="24" spans="2:20" ht="3.75" customHeight="1" x14ac:dyDescent="0.2">
      <c r="B24" s="134"/>
      <c r="C24" s="134"/>
      <c r="D24" s="134"/>
      <c r="E24" s="134"/>
      <c r="F24" s="134"/>
      <c r="G24" s="134"/>
      <c r="H24" s="134"/>
      <c r="I24" s="134"/>
      <c r="J24" s="134"/>
      <c r="K24" s="134"/>
      <c r="L24" s="134"/>
      <c r="M24" s="134"/>
      <c r="N24" s="131"/>
      <c r="O24" s="131"/>
      <c r="P24" s="131"/>
      <c r="Q24" s="131"/>
      <c r="R24" s="131"/>
      <c r="S24" s="131"/>
      <c r="T24" s="131"/>
    </row>
    <row r="25" spans="2:20" s="148" customFormat="1" ht="12.75" customHeight="1" x14ac:dyDescent="0.2">
      <c r="B25" s="240" t="s">
        <v>150</v>
      </c>
      <c r="C25" s="416" t="s">
        <v>115</v>
      </c>
      <c r="D25" s="416" t="s">
        <v>116</v>
      </c>
      <c r="E25" s="417" t="s">
        <v>35</v>
      </c>
      <c r="F25" s="417" t="s">
        <v>131</v>
      </c>
      <c r="G25" s="156"/>
      <c r="H25" s="156"/>
      <c r="I25" s="157"/>
      <c r="J25" s="155"/>
      <c r="K25" s="155"/>
      <c r="L25" s="155"/>
      <c r="M25" s="155"/>
      <c r="N25" s="146"/>
      <c r="O25" s="146"/>
      <c r="P25" s="146"/>
      <c r="Q25" s="146"/>
      <c r="R25" s="146"/>
      <c r="S25" s="146"/>
      <c r="T25" s="146"/>
    </row>
    <row r="26" spans="2:20" s="148" customFormat="1" ht="12.75" customHeight="1" x14ac:dyDescent="0.2">
      <c r="B26" s="241"/>
      <c r="C26" s="416"/>
      <c r="D26" s="416"/>
      <c r="E26" s="418"/>
      <c r="F26" s="418"/>
      <c r="G26" s="158"/>
      <c r="H26" s="158"/>
      <c r="I26" s="157"/>
      <c r="J26" s="159"/>
      <c r="K26" s="160"/>
      <c r="L26" s="159"/>
      <c r="M26" s="159"/>
      <c r="N26" s="149"/>
      <c r="O26" s="147"/>
      <c r="P26" s="147"/>
      <c r="Q26" s="147"/>
      <c r="R26" s="147"/>
      <c r="S26" s="147"/>
      <c r="T26" s="147"/>
    </row>
    <row r="27" spans="2:20" x14ac:dyDescent="0.2">
      <c r="B27" s="161">
        <v>36873</v>
      </c>
      <c r="C27" s="162">
        <v>4.1944485443448101E-2</v>
      </c>
      <c r="D27" s="163">
        <v>3.4185081486749702E-2</v>
      </c>
      <c r="E27" s="163"/>
      <c r="F27" s="134"/>
      <c r="G27" s="163"/>
      <c r="H27" s="163"/>
      <c r="I27" s="164"/>
      <c r="J27" s="165"/>
      <c r="K27" s="162"/>
      <c r="L27" s="134"/>
      <c r="M27" s="134"/>
      <c r="N27" s="150"/>
      <c r="O27" s="131"/>
      <c r="P27" s="131"/>
      <c r="Q27" s="131"/>
      <c r="R27" s="131"/>
      <c r="S27" s="131"/>
      <c r="T27" s="131"/>
    </row>
    <row r="28" spans="2:20" x14ac:dyDescent="0.2">
      <c r="B28" s="161">
        <v>36891</v>
      </c>
      <c r="C28" s="162">
        <v>2.9172234535217278E-2</v>
      </c>
      <c r="D28" s="163">
        <v>2.1548629423359555E-2</v>
      </c>
      <c r="E28" s="163">
        <v>2.2797217369079588E-2</v>
      </c>
      <c r="F28" s="166">
        <v>1.4385435572878524E-2</v>
      </c>
      <c r="G28" s="153"/>
      <c r="H28" s="167"/>
      <c r="I28" s="164"/>
      <c r="J28" s="165"/>
      <c r="K28" s="162"/>
      <c r="L28" s="167"/>
      <c r="M28" s="134"/>
      <c r="N28" s="150"/>
      <c r="O28" s="131"/>
      <c r="P28" s="131"/>
      <c r="Q28" s="131"/>
      <c r="R28" s="131"/>
      <c r="S28" s="131"/>
      <c r="T28" s="131"/>
    </row>
    <row r="29" spans="2:20" x14ac:dyDescent="0.2">
      <c r="B29" s="161">
        <v>36922</v>
      </c>
      <c r="C29" s="162">
        <v>3.4470444993645266E-2</v>
      </c>
      <c r="D29" s="163">
        <v>2.7404682439887473E-2</v>
      </c>
      <c r="E29" s="134"/>
      <c r="F29" s="134"/>
      <c r="G29" s="163"/>
      <c r="H29" s="163"/>
      <c r="I29" s="163"/>
      <c r="J29" s="165"/>
      <c r="K29" s="162"/>
      <c r="L29" s="167"/>
      <c r="M29" s="134"/>
      <c r="N29" s="150"/>
      <c r="O29" s="131"/>
      <c r="P29" s="131"/>
      <c r="Q29" s="131"/>
      <c r="R29" s="131"/>
      <c r="S29" s="131"/>
      <c r="T29" s="131"/>
    </row>
    <row r="30" spans="2:20" x14ac:dyDescent="0.2">
      <c r="B30" s="161">
        <v>36950</v>
      </c>
      <c r="C30" s="162">
        <v>1.5265800868734553E-2</v>
      </c>
      <c r="D30" s="162">
        <v>7.8503517895816E-3</v>
      </c>
      <c r="E30" s="162"/>
      <c r="F30" s="166"/>
      <c r="G30" s="162"/>
      <c r="H30" s="162"/>
      <c r="I30" s="162"/>
      <c r="J30" s="165"/>
      <c r="K30" s="162"/>
      <c r="L30" s="167"/>
      <c r="M30" s="134"/>
      <c r="N30" s="150"/>
      <c r="O30" s="131"/>
      <c r="P30" s="131"/>
      <c r="Q30" s="131"/>
      <c r="R30" s="131"/>
      <c r="S30" s="131"/>
      <c r="T30" s="131"/>
    </row>
    <row r="31" spans="2:20" x14ac:dyDescent="0.2">
      <c r="B31" s="161">
        <v>36981</v>
      </c>
      <c r="C31" s="162">
        <v>-1.8410568162869163E-3</v>
      </c>
      <c r="D31" s="162">
        <v>-1.0267239300616793E-2</v>
      </c>
      <c r="E31" s="162"/>
      <c r="F31" s="166"/>
      <c r="G31" s="162"/>
      <c r="H31" s="162"/>
      <c r="I31" s="162"/>
      <c r="J31" s="165"/>
      <c r="K31" s="162"/>
      <c r="L31" s="167"/>
      <c r="M31" s="134"/>
      <c r="N31" s="150"/>
      <c r="O31" s="131"/>
      <c r="P31" s="131"/>
      <c r="Q31" s="131"/>
      <c r="R31" s="131"/>
      <c r="S31" s="131"/>
      <c r="T31" s="131"/>
    </row>
    <row r="32" spans="2:20" x14ac:dyDescent="0.2">
      <c r="B32" s="161">
        <v>37011</v>
      </c>
      <c r="C32" s="162">
        <v>2.0691238008785837E-2</v>
      </c>
      <c r="D32" s="162">
        <v>1.0771200659497771E-2</v>
      </c>
      <c r="E32" s="162"/>
      <c r="F32" s="166"/>
      <c r="G32" s="162"/>
      <c r="H32" s="162"/>
      <c r="I32" s="162"/>
      <c r="J32" s="165"/>
      <c r="K32" s="162"/>
      <c r="L32" s="167"/>
      <c r="M32" s="134"/>
      <c r="N32" s="150"/>
      <c r="O32" s="131"/>
      <c r="P32" s="131"/>
      <c r="Q32" s="131"/>
      <c r="R32" s="131"/>
      <c r="S32" s="131"/>
      <c r="T32" s="131"/>
    </row>
    <row r="33" spans="2:20" x14ac:dyDescent="0.2">
      <c r="B33" s="161">
        <v>37042</v>
      </c>
      <c r="C33" s="162">
        <v>2.985371110015975E-2</v>
      </c>
      <c r="D33" s="162">
        <v>1.8881108471976438E-2</v>
      </c>
      <c r="E33" s="162"/>
      <c r="F33" s="166"/>
      <c r="G33" s="162"/>
      <c r="H33" s="162"/>
      <c r="I33" s="162"/>
      <c r="J33" s="165"/>
      <c r="K33" s="162"/>
      <c r="L33" s="167"/>
      <c r="M33" s="134"/>
      <c r="N33" s="150"/>
      <c r="O33" s="131"/>
      <c r="P33" s="131"/>
      <c r="Q33" s="131"/>
      <c r="R33" s="131"/>
      <c r="S33" s="131"/>
      <c r="T33" s="131"/>
    </row>
    <row r="34" spans="2:20" x14ac:dyDescent="0.2">
      <c r="B34" s="161">
        <v>37072</v>
      </c>
      <c r="C34" s="162">
        <v>2.1832256757043877E-2</v>
      </c>
      <c r="D34" s="162">
        <v>1.1325475944840457E-2</v>
      </c>
      <c r="E34" s="162"/>
      <c r="F34" s="166"/>
      <c r="G34" s="162"/>
      <c r="H34" s="162"/>
      <c r="I34" s="162"/>
      <c r="J34" s="165"/>
      <c r="K34" s="162"/>
      <c r="L34" s="167"/>
      <c r="M34" s="134"/>
      <c r="N34" s="150"/>
      <c r="O34" s="131"/>
      <c r="P34" s="131"/>
      <c r="Q34" s="131"/>
      <c r="R34" s="131"/>
      <c r="S34" s="131"/>
      <c r="T34" s="131"/>
    </row>
    <row r="35" spans="2:20" x14ac:dyDescent="0.2">
      <c r="B35" s="161">
        <v>37103</v>
      </c>
      <c r="C35" s="162">
        <v>9.9048701493387632E-3</v>
      </c>
      <c r="D35" s="162">
        <v>4.7028351006228597E-4</v>
      </c>
      <c r="E35" s="162"/>
      <c r="F35" s="166"/>
      <c r="G35" s="162"/>
      <c r="H35" s="162"/>
      <c r="I35" s="162"/>
      <c r="J35" s="165"/>
      <c r="K35" s="162"/>
      <c r="L35" s="167"/>
      <c r="M35" s="134"/>
      <c r="N35" s="150"/>
      <c r="O35" s="131"/>
      <c r="P35" s="131"/>
      <c r="Q35" s="131"/>
      <c r="R35" s="131"/>
      <c r="S35" s="131"/>
      <c r="T35" s="131"/>
    </row>
    <row r="36" spans="2:20" x14ac:dyDescent="0.2">
      <c r="B36" s="161">
        <v>37134</v>
      </c>
      <c r="C36" s="162">
        <v>-5.8520358709966656E-3</v>
      </c>
      <c r="D36" s="162">
        <v>-1.5417734422042306E-2</v>
      </c>
      <c r="E36" s="134"/>
      <c r="F36" s="166"/>
      <c r="G36" s="162"/>
      <c r="H36" s="162"/>
      <c r="I36" s="162"/>
      <c r="J36" s="165"/>
      <c r="K36" s="162"/>
      <c r="L36" s="167"/>
      <c r="M36" s="134"/>
      <c r="N36" s="150"/>
      <c r="O36" s="131"/>
      <c r="P36" s="131"/>
      <c r="Q36" s="131"/>
      <c r="R36" s="131"/>
      <c r="S36" s="131"/>
      <c r="T36" s="131"/>
    </row>
    <row r="37" spans="2:20" x14ac:dyDescent="0.2">
      <c r="B37" s="161">
        <v>37164</v>
      </c>
      <c r="C37" s="162">
        <v>-2.8352978395008131E-2</v>
      </c>
      <c r="D37" s="162">
        <v>-3.8834699205131495E-2</v>
      </c>
      <c r="E37" s="162"/>
      <c r="F37" s="166"/>
      <c r="G37" s="162"/>
      <c r="H37" s="162"/>
      <c r="I37" s="162"/>
      <c r="J37" s="165"/>
      <c r="K37" s="162"/>
      <c r="L37" s="167"/>
      <c r="M37" s="134"/>
      <c r="N37" s="150"/>
    </row>
    <row r="38" spans="2:20" x14ac:dyDescent="0.2">
      <c r="B38" s="161">
        <v>37195</v>
      </c>
      <c r="C38" s="162">
        <v>-1.585379730917981E-2</v>
      </c>
      <c r="D38" s="162">
        <v>-2.5904718303681462E-2</v>
      </c>
      <c r="E38" s="162"/>
      <c r="F38" s="166"/>
      <c r="G38" s="162"/>
      <c r="H38" s="162"/>
      <c r="I38" s="162"/>
      <c r="J38" s="165"/>
      <c r="K38" s="162"/>
      <c r="L38" s="167"/>
      <c r="M38" s="134"/>
      <c r="N38" s="150"/>
    </row>
    <row r="39" spans="2:20" x14ac:dyDescent="0.2">
      <c r="B39" s="161">
        <v>37225</v>
      </c>
      <c r="C39" s="162">
        <v>1.5011297694889443E-3</v>
      </c>
      <c r="D39" s="162">
        <v>-8.6559676423678678E-3</v>
      </c>
      <c r="E39" s="162"/>
      <c r="F39" s="166"/>
      <c r="G39" s="162"/>
      <c r="H39" s="162"/>
      <c r="I39" s="162"/>
      <c r="J39" s="165"/>
      <c r="K39" s="162"/>
      <c r="L39" s="167"/>
      <c r="M39" s="134"/>
      <c r="N39" s="150"/>
    </row>
    <row r="40" spans="2:20" x14ac:dyDescent="0.2">
      <c r="B40" s="161">
        <v>37256</v>
      </c>
      <c r="C40" s="162">
        <v>4.0387541055679332E-3</v>
      </c>
      <c r="D40" s="162">
        <v>-6.1731336402864878E-3</v>
      </c>
      <c r="E40" s="163">
        <v>2.3982968330383304E-2</v>
      </c>
      <c r="F40" s="166">
        <v>1.2858501944238876E-2</v>
      </c>
      <c r="G40" s="162"/>
      <c r="H40" s="162"/>
      <c r="I40" s="162"/>
      <c r="J40" s="165"/>
      <c r="K40" s="162"/>
      <c r="L40" s="167"/>
      <c r="M40" s="134"/>
      <c r="N40" s="150"/>
    </row>
    <row r="41" spans="2:20" x14ac:dyDescent="0.2">
      <c r="B41" s="161">
        <v>37287</v>
      </c>
      <c r="C41" s="162">
        <v>-5.667357900465719E-3</v>
      </c>
      <c r="D41" s="162">
        <v>-1.5298287953683931E-2</v>
      </c>
      <c r="E41" s="134"/>
      <c r="F41" s="134"/>
      <c r="G41" s="162"/>
      <c r="H41" s="162"/>
      <c r="I41" s="162"/>
      <c r="J41" s="165"/>
      <c r="K41" s="162"/>
      <c r="L41" s="167"/>
      <c r="M41" s="134"/>
      <c r="N41" s="150"/>
    </row>
    <row r="42" spans="2:20" x14ac:dyDescent="0.2">
      <c r="B42" s="161">
        <v>37315</v>
      </c>
      <c r="C42" s="162">
        <v>-3.2903120307584913E-3</v>
      </c>
      <c r="D42" s="162">
        <v>-1.3144274988336146E-2</v>
      </c>
      <c r="E42" s="162"/>
      <c r="F42" s="166"/>
      <c r="G42" s="162"/>
      <c r="H42" s="162"/>
      <c r="I42" s="162"/>
      <c r="J42" s="165"/>
      <c r="K42" s="162"/>
      <c r="L42" s="167"/>
      <c r="M42" s="134"/>
      <c r="N42" s="150"/>
    </row>
    <row r="43" spans="2:20" x14ac:dyDescent="0.2">
      <c r="B43" s="161">
        <v>37346</v>
      </c>
      <c r="C43" s="162">
        <v>2.3982886472156918E-3</v>
      </c>
      <c r="D43" s="162">
        <v>-8.6379847426899525E-3</v>
      </c>
      <c r="E43" s="162"/>
      <c r="F43" s="166"/>
      <c r="G43" s="162"/>
      <c r="H43" s="162"/>
      <c r="I43" s="162"/>
      <c r="J43" s="165"/>
      <c r="K43" s="162"/>
      <c r="L43" s="167"/>
      <c r="M43" s="134"/>
      <c r="N43" s="150"/>
    </row>
    <row r="44" spans="2:20" x14ac:dyDescent="0.2">
      <c r="B44" s="161">
        <v>37376</v>
      </c>
      <c r="C44" s="162">
        <v>-1.2952820132294431E-2</v>
      </c>
      <c r="D44" s="162">
        <v>-2.4244469021596826E-2</v>
      </c>
      <c r="E44" s="162"/>
      <c r="F44" s="166"/>
      <c r="G44" s="162"/>
      <c r="H44" s="162"/>
      <c r="I44" s="162"/>
      <c r="J44" s="165"/>
      <c r="K44" s="162"/>
      <c r="L44" s="167"/>
      <c r="M44" s="134"/>
      <c r="N44" s="150"/>
    </row>
    <row r="45" spans="2:20" x14ac:dyDescent="0.2">
      <c r="B45" s="161">
        <v>37407</v>
      </c>
      <c r="C45" s="162">
        <v>-2.2360659830725063E-2</v>
      </c>
      <c r="D45" s="162">
        <v>-3.3758340216878069E-2</v>
      </c>
      <c r="E45" s="162"/>
      <c r="F45" s="166"/>
      <c r="G45" s="162"/>
      <c r="H45" s="162"/>
      <c r="I45" s="162"/>
      <c r="J45" s="165"/>
      <c r="K45" s="162"/>
      <c r="L45" s="167"/>
      <c r="M45" s="134"/>
      <c r="N45" s="150"/>
    </row>
    <row r="46" spans="2:20" x14ac:dyDescent="0.2">
      <c r="B46" s="161">
        <v>37437</v>
      </c>
      <c r="C46" s="162">
        <v>-4.5427655968047501E-2</v>
      </c>
      <c r="D46" s="162">
        <v>-5.6242413003703695E-2</v>
      </c>
      <c r="E46" s="162"/>
      <c r="F46" s="166"/>
      <c r="G46" s="162"/>
      <c r="H46" s="162"/>
      <c r="I46" s="162"/>
      <c r="J46" s="165"/>
      <c r="K46" s="162"/>
      <c r="L46" s="167"/>
      <c r="M46" s="134"/>
      <c r="N46" s="150"/>
    </row>
    <row r="47" spans="2:20" x14ac:dyDescent="0.2">
      <c r="B47" s="161">
        <v>37468</v>
      </c>
      <c r="C47" s="162">
        <v>-6.1224875463743861E-2</v>
      </c>
      <c r="D47" s="162">
        <v>-7.1328747213725285E-2</v>
      </c>
      <c r="E47" s="162"/>
      <c r="F47" s="166"/>
      <c r="G47" s="162"/>
      <c r="H47" s="162"/>
      <c r="I47" s="162"/>
      <c r="J47" s="165"/>
      <c r="K47" s="162"/>
      <c r="L47" s="167"/>
      <c r="M47" s="134"/>
      <c r="N47" s="150"/>
    </row>
    <row r="48" spans="2:20" x14ac:dyDescent="0.2">
      <c r="B48" s="161">
        <v>37499</v>
      </c>
      <c r="C48" s="162">
        <v>-6.1997545623277285E-2</v>
      </c>
      <c r="D48" s="162">
        <v>-7.2026959066810781E-2</v>
      </c>
      <c r="E48" s="134"/>
      <c r="F48" s="166"/>
      <c r="G48" s="162"/>
      <c r="H48" s="162"/>
      <c r="I48" s="162"/>
      <c r="J48" s="165"/>
      <c r="K48" s="162"/>
      <c r="L48" s="167"/>
      <c r="M48" s="134"/>
      <c r="N48" s="150"/>
    </row>
    <row r="49" spans="2:14" x14ac:dyDescent="0.2">
      <c r="B49" s="161">
        <v>37529</v>
      </c>
      <c r="C49" s="162">
        <v>-8.5605650565585945E-2</v>
      </c>
      <c r="D49" s="162">
        <v>-9.6191525348371942E-2</v>
      </c>
      <c r="E49" s="162"/>
      <c r="F49" s="166"/>
      <c r="G49" s="162"/>
      <c r="H49" s="162"/>
      <c r="I49" s="162"/>
      <c r="J49" s="165"/>
      <c r="K49" s="162"/>
      <c r="L49" s="167"/>
      <c r="M49" s="134"/>
      <c r="N49" s="150"/>
    </row>
    <row r="50" spans="2:14" x14ac:dyDescent="0.2">
      <c r="B50" s="161">
        <v>37560</v>
      </c>
      <c r="C50" s="162">
        <v>-6.703261910928289E-2</v>
      </c>
      <c r="D50" s="162">
        <v>-7.811047611313271E-2</v>
      </c>
      <c r="E50" s="162"/>
      <c r="F50" s="166"/>
      <c r="G50" s="162"/>
      <c r="H50" s="162"/>
      <c r="I50" s="162"/>
      <c r="J50" s="165"/>
      <c r="K50" s="162"/>
      <c r="L50" s="167"/>
      <c r="M50" s="134"/>
      <c r="N50" s="150"/>
    </row>
    <row r="51" spans="2:14" x14ac:dyDescent="0.2">
      <c r="B51" s="161">
        <v>37590</v>
      </c>
      <c r="C51" s="162">
        <v>-5.2669649763952171E-2</v>
      </c>
      <c r="D51" s="162">
        <v>-6.3490325914083545E-2</v>
      </c>
      <c r="E51" s="162"/>
      <c r="F51" s="166"/>
      <c r="G51" s="162"/>
      <c r="H51" s="162"/>
      <c r="I51" s="162"/>
      <c r="J51" s="165"/>
      <c r="K51" s="162"/>
      <c r="L51" s="167"/>
      <c r="M51" s="134"/>
      <c r="N51" s="150"/>
    </row>
    <row r="52" spans="2:14" x14ac:dyDescent="0.2">
      <c r="B52" s="161">
        <v>37621</v>
      </c>
      <c r="C52" s="162">
        <v>-7.0741388653405013E-2</v>
      </c>
      <c r="D52" s="162">
        <v>-8.1363488144732155E-2</v>
      </c>
      <c r="E52" s="163">
        <v>2.7880635261535645E-2</v>
      </c>
      <c r="F52" s="166">
        <v>1.731618596262785E-2</v>
      </c>
      <c r="G52" s="162"/>
      <c r="H52" s="162"/>
      <c r="I52" s="162"/>
      <c r="J52" s="165"/>
      <c r="K52" s="162"/>
      <c r="L52" s="167"/>
      <c r="M52" s="134"/>
      <c r="N52" s="150"/>
    </row>
    <row r="53" spans="2:14" x14ac:dyDescent="0.2">
      <c r="B53" s="161">
        <v>37652</v>
      </c>
      <c r="C53" s="162">
        <v>-7.0135071498244037E-2</v>
      </c>
      <c r="D53" s="162">
        <v>-8.1082083561948126E-2</v>
      </c>
      <c r="E53" s="134"/>
      <c r="F53" s="134"/>
      <c r="G53" s="162"/>
      <c r="H53" s="162"/>
      <c r="I53" s="162"/>
      <c r="J53" s="165"/>
      <c r="K53" s="162"/>
      <c r="L53" s="167"/>
      <c r="M53" s="134"/>
      <c r="N53" s="150"/>
    </row>
    <row r="54" spans="2:14" x14ac:dyDescent="0.2">
      <c r="B54" s="161">
        <v>37680</v>
      </c>
      <c r="C54" s="162">
        <v>-7.2571541857751262E-2</v>
      </c>
      <c r="D54" s="162">
        <v>-8.4368288687806992E-2</v>
      </c>
      <c r="E54" s="162"/>
      <c r="F54" s="166"/>
      <c r="G54" s="162"/>
      <c r="H54" s="162"/>
      <c r="I54" s="162"/>
      <c r="J54" s="165"/>
      <c r="K54" s="162"/>
      <c r="L54" s="167"/>
      <c r="M54" s="134"/>
      <c r="N54" s="150"/>
    </row>
    <row r="55" spans="2:14" x14ac:dyDescent="0.2">
      <c r="B55" s="161">
        <v>37711</v>
      </c>
      <c r="C55" s="162">
        <v>-7.1063686828130704E-2</v>
      </c>
      <c r="D55" s="162">
        <v>-8.3327589721909345E-2</v>
      </c>
      <c r="E55" s="162"/>
      <c r="F55" s="166"/>
      <c r="G55" s="162"/>
      <c r="H55" s="162"/>
      <c r="I55" s="162"/>
      <c r="J55" s="165"/>
      <c r="K55" s="162"/>
      <c r="L55" s="167"/>
      <c r="M55" s="134"/>
      <c r="N55" s="150"/>
    </row>
    <row r="56" spans="2:14" x14ac:dyDescent="0.2">
      <c r="B56" s="161">
        <v>37741</v>
      </c>
      <c r="C56" s="162">
        <v>-5.4954814205048427E-2</v>
      </c>
      <c r="D56" s="162">
        <v>-6.6895914983121973E-2</v>
      </c>
      <c r="E56" s="162"/>
      <c r="F56" s="166"/>
      <c r="G56" s="162"/>
      <c r="H56" s="162"/>
      <c r="I56" s="162"/>
      <c r="J56" s="165"/>
      <c r="K56" s="162"/>
      <c r="L56" s="167"/>
      <c r="M56" s="134"/>
      <c r="N56" s="150"/>
    </row>
    <row r="57" spans="2:14" x14ac:dyDescent="0.2">
      <c r="B57" s="161">
        <v>37772</v>
      </c>
      <c r="C57" s="162">
        <v>-5.1866752709012774E-2</v>
      </c>
      <c r="D57" s="162">
        <v>-6.3604430327384165E-2</v>
      </c>
      <c r="E57" s="162"/>
      <c r="F57" s="166"/>
      <c r="G57" s="162"/>
      <c r="H57" s="162"/>
      <c r="I57" s="162"/>
      <c r="J57" s="165"/>
      <c r="K57" s="162"/>
      <c r="L57" s="167"/>
      <c r="M57" s="134"/>
      <c r="N57" s="150"/>
    </row>
    <row r="58" spans="2:14" x14ac:dyDescent="0.2">
      <c r="B58" s="161">
        <v>37802</v>
      </c>
      <c r="C58" s="162">
        <v>-4.0726863641158295E-2</v>
      </c>
      <c r="D58" s="162">
        <v>-5.2157286858934504E-2</v>
      </c>
      <c r="E58" s="162"/>
      <c r="F58" s="166"/>
      <c r="G58" s="162"/>
      <c r="H58" s="162"/>
      <c r="I58" s="162"/>
      <c r="J58" s="165"/>
      <c r="K58" s="162"/>
      <c r="L58" s="167"/>
      <c r="M58" s="134"/>
      <c r="N58" s="150"/>
    </row>
    <row r="59" spans="2:14" x14ac:dyDescent="0.2">
      <c r="B59" s="161">
        <v>37833</v>
      </c>
      <c r="C59" s="162">
        <v>-3.2080109833262468E-2</v>
      </c>
      <c r="D59" s="162">
        <v>-4.3131071458743397E-2</v>
      </c>
      <c r="E59" s="162"/>
      <c r="F59" s="166"/>
      <c r="G59" s="162"/>
      <c r="H59" s="162"/>
      <c r="I59" s="162"/>
      <c r="J59" s="165"/>
      <c r="K59" s="162"/>
      <c r="L59" s="167"/>
      <c r="M59" s="134"/>
      <c r="N59" s="150"/>
    </row>
    <row r="60" spans="2:14" x14ac:dyDescent="0.2">
      <c r="B60" s="161">
        <v>37864</v>
      </c>
      <c r="C60" s="162">
        <v>-2.3525179201037201E-2</v>
      </c>
      <c r="D60" s="162">
        <v>-3.4524092565202391E-2</v>
      </c>
      <c r="E60" s="134"/>
      <c r="F60" s="166"/>
      <c r="G60" s="162"/>
      <c r="H60" s="162"/>
      <c r="I60" s="162"/>
      <c r="J60" s="165"/>
      <c r="K60" s="162"/>
      <c r="L60" s="167"/>
      <c r="M60" s="134"/>
      <c r="N60" s="150"/>
    </row>
    <row r="61" spans="2:14" x14ac:dyDescent="0.2">
      <c r="B61" s="161">
        <v>37894</v>
      </c>
      <c r="C61" s="162">
        <v>-3.3240878057555143E-2</v>
      </c>
      <c r="D61" s="162">
        <v>-4.4827020282767416E-2</v>
      </c>
      <c r="E61" s="162"/>
      <c r="F61" s="166"/>
      <c r="G61" s="162"/>
      <c r="H61" s="162"/>
      <c r="I61" s="162"/>
      <c r="J61" s="165"/>
      <c r="K61" s="162"/>
      <c r="L61" s="167"/>
      <c r="M61" s="134"/>
      <c r="N61" s="150"/>
    </row>
    <row r="62" spans="2:14" x14ac:dyDescent="0.2">
      <c r="B62" s="161">
        <v>37925</v>
      </c>
      <c r="C62" s="162">
        <v>-2.0371364102513268E-2</v>
      </c>
      <c r="D62" s="162">
        <v>-3.2079646012366569E-2</v>
      </c>
      <c r="E62" s="162"/>
      <c r="F62" s="166"/>
      <c r="G62" s="162"/>
      <c r="H62" s="162"/>
      <c r="I62" s="162"/>
      <c r="J62" s="165"/>
      <c r="K62" s="162"/>
      <c r="L62" s="167"/>
      <c r="M62" s="134"/>
      <c r="N62" s="150"/>
    </row>
    <row r="63" spans="2:14" x14ac:dyDescent="0.2">
      <c r="B63" s="161">
        <v>37955</v>
      </c>
      <c r="C63" s="162">
        <v>-2.0828327760144809E-2</v>
      </c>
      <c r="D63" s="162">
        <v>-3.2182176662197692E-2</v>
      </c>
      <c r="E63" s="162"/>
      <c r="F63" s="166"/>
      <c r="G63" s="162"/>
      <c r="H63" s="162"/>
      <c r="I63" s="162"/>
      <c r="J63" s="165"/>
      <c r="K63" s="162"/>
      <c r="L63" s="167"/>
      <c r="M63" s="134"/>
      <c r="N63" s="150"/>
    </row>
    <row r="64" spans="2:14" x14ac:dyDescent="0.2">
      <c r="B64" s="161">
        <v>37986</v>
      </c>
      <c r="C64" s="162">
        <v>-1.6626373368198985E-2</v>
      </c>
      <c r="D64" s="162">
        <v>-2.8072136451758656E-2</v>
      </c>
      <c r="E64" s="163">
        <v>3.0487141609191897E-2</v>
      </c>
      <c r="F64" s="166">
        <v>1.946856297105648E-2</v>
      </c>
      <c r="G64" s="162"/>
      <c r="H64" s="162"/>
      <c r="I64" s="162"/>
      <c r="J64" s="165"/>
      <c r="K64" s="162"/>
      <c r="L64" s="167"/>
      <c r="M64" s="134"/>
      <c r="N64" s="150"/>
    </row>
    <row r="65" spans="2:14" x14ac:dyDescent="0.2">
      <c r="B65" s="161">
        <v>38017</v>
      </c>
      <c r="C65" s="162">
        <v>-4.7650734584944116E-3</v>
      </c>
      <c r="D65" s="162">
        <v>-1.5971690400716887E-2</v>
      </c>
      <c r="E65" s="134"/>
      <c r="F65" s="134"/>
      <c r="G65" s="162"/>
      <c r="H65" s="162"/>
      <c r="I65" s="162"/>
      <c r="J65" s="165"/>
      <c r="K65" s="162"/>
      <c r="L65" s="167"/>
      <c r="M65" s="134"/>
      <c r="N65" s="150"/>
    </row>
    <row r="66" spans="2:14" x14ac:dyDescent="0.2">
      <c r="B66" s="161">
        <v>38046</v>
      </c>
      <c r="C66" s="162">
        <v>1.0376537058383413E-3</v>
      </c>
      <c r="D66" s="162">
        <v>-9.8531879500926012E-3</v>
      </c>
      <c r="E66" s="162"/>
      <c r="F66" s="166"/>
      <c r="G66" s="162"/>
      <c r="H66" s="162"/>
      <c r="I66" s="162"/>
      <c r="J66" s="165"/>
      <c r="K66" s="162"/>
      <c r="L66" s="167"/>
      <c r="M66" s="134"/>
      <c r="N66" s="150"/>
    </row>
    <row r="67" spans="2:14" x14ac:dyDescent="0.2">
      <c r="B67" s="161">
        <v>38077</v>
      </c>
      <c r="C67" s="162">
        <v>6.9231923160418716E-4</v>
      </c>
      <c r="D67" s="162">
        <v>-1.0917284193586507E-2</v>
      </c>
      <c r="E67" s="162"/>
      <c r="F67" s="166"/>
      <c r="G67" s="162"/>
      <c r="H67" s="162"/>
      <c r="I67" s="162"/>
      <c r="J67" s="165"/>
      <c r="K67" s="162"/>
      <c r="L67" s="167"/>
      <c r="M67" s="134"/>
      <c r="N67" s="150"/>
    </row>
    <row r="68" spans="2:14" x14ac:dyDescent="0.2">
      <c r="B68" s="161">
        <v>38107</v>
      </c>
      <c r="C68" s="162">
        <v>-5.9282198337367719E-4</v>
      </c>
      <c r="D68" s="162">
        <v>-1.2082717703069346E-2</v>
      </c>
      <c r="E68" s="162"/>
      <c r="F68" s="166"/>
      <c r="G68" s="162"/>
      <c r="H68" s="162"/>
      <c r="I68" s="162"/>
      <c r="J68" s="165"/>
      <c r="K68" s="162"/>
      <c r="L68" s="167"/>
      <c r="M68" s="134"/>
      <c r="N68" s="150"/>
    </row>
    <row r="69" spans="2:14" x14ac:dyDescent="0.2">
      <c r="B69" s="161">
        <v>38138</v>
      </c>
      <c r="C69" s="162">
        <v>-4.4633515740136499E-3</v>
      </c>
      <c r="D69" s="162">
        <v>-1.6072427072010176E-2</v>
      </c>
      <c r="E69" s="162"/>
      <c r="F69" s="166"/>
      <c r="G69" s="162"/>
      <c r="H69" s="162"/>
      <c r="I69" s="162"/>
      <c r="J69" s="165"/>
      <c r="K69" s="162"/>
      <c r="L69" s="167"/>
      <c r="M69" s="134"/>
      <c r="N69" s="150"/>
    </row>
    <row r="70" spans="2:14" x14ac:dyDescent="0.2">
      <c r="B70" s="161">
        <v>38168</v>
      </c>
      <c r="C70" s="162">
        <v>6.494845643696661E-4</v>
      </c>
      <c r="D70" s="162">
        <v>-1.0460542731541622E-2</v>
      </c>
      <c r="E70" s="162"/>
      <c r="F70" s="166"/>
      <c r="G70" s="162"/>
      <c r="H70" s="162"/>
      <c r="I70" s="162"/>
      <c r="J70" s="165"/>
      <c r="K70" s="162"/>
      <c r="L70" s="167"/>
      <c r="M70" s="134"/>
      <c r="N70" s="150"/>
    </row>
    <row r="71" spans="2:14" x14ac:dyDescent="0.2">
      <c r="B71" s="161">
        <v>38199</v>
      </c>
      <c r="C71" s="162">
        <v>-4.0807779733609889E-3</v>
      </c>
      <c r="D71" s="162">
        <v>-1.489083907696509E-2</v>
      </c>
      <c r="E71" s="162"/>
      <c r="F71" s="166"/>
      <c r="G71" s="162"/>
      <c r="H71" s="162"/>
      <c r="I71" s="162"/>
      <c r="J71" s="165"/>
      <c r="K71" s="162"/>
      <c r="L71" s="167"/>
      <c r="M71" s="134"/>
      <c r="N71" s="150"/>
    </row>
    <row r="72" spans="2:14" x14ac:dyDescent="0.2">
      <c r="B72" s="161">
        <v>38230</v>
      </c>
      <c r="C72" s="162">
        <v>-5.081345602871332E-3</v>
      </c>
      <c r="D72" s="162">
        <v>-1.5674661955586866E-2</v>
      </c>
      <c r="E72" s="134"/>
      <c r="F72" s="166"/>
      <c r="G72" s="162"/>
      <c r="H72" s="162"/>
      <c r="I72" s="162"/>
      <c r="J72" s="165"/>
      <c r="K72" s="162"/>
      <c r="L72" s="167"/>
      <c r="M72" s="134"/>
      <c r="N72" s="150"/>
    </row>
    <row r="73" spans="2:14" x14ac:dyDescent="0.2">
      <c r="B73" s="161">
        <v>38260</v>
      </c>
      <c r="C73" s="162">
        <v>-3.5102540217259244E-3</v>
      </c>
      <c r="D73" s="162">
        <v>-1.476524487914932E-2</v>
      </c>
      <c r="E73" s="162"/>
      <c r="F73" s="166"/>
      <c r="G73" s="162"/>
      <c r="H73" s="162"/>
      <c r="I73" s="162"/>
      <c r="J73" s="165"/>
      <c r="K73" s="162"/>
      <c r="L73" s="167"/>
      <c r="M73" s="134"/>
      <c r="N73" s="150"/>
    </row>
    <row r="74" spans="2:14" x14ac:dyDescent="0.2">
      <c r="B74" s="161">
        <v>38291</v>
      </c>
      <c r="C74" s="162">
        <v>-3.4181846243503907E-3</v>
      </c>
      <c r="D74" s="162">
        <v>-1.4868318328853047E-2</v>
      </c>
      <c r="E74" s="162"/>
      <c r="F74" s="166"/>
      <c r="G74" s="162"/>
      <c r="H74" s="162"/>
      <c r="I74" s="162"/>
      <c r="J74" s="165"/>
      <c r="K74" s="162"/>
      <c r="L74" s="167"/>
      <c r="M74" s="134"/>
      <c r="N74" s="150"/>
    </row>
    <row r="75" spans="2:14" x14ac:dyDescent="0.2">
      <c r="B75" s="161">
        <v>38321</v>
      </c>
      <c r="C75" s="162">
        <v>3.4493808749515471E-4</v>
      </c>
      <c r="D75" s="162">
        <v>-1.0471397953667361E-2</v>
      </c>
      <c r="E75" s="162"/>
      <c r="F75" s="166"/>
      <c r="G75" s="162"/>
      <c r="H75" s="162"/>
      <c r="I75" s="162"/>
      <c r="J75" s="165"/>
      <c r="K75" s="162"/>
      <c r="L75" s="167"/>
      <c r="M75" s="134"/>
      <c r="N75" s="150"/>
    </row>
    <row r="76" spans="2:14" x14ac:dyDescent="0.2">
      <c r="B76" s="161">
        <v>38352</v>
      </c>
      <c r="C76" s="162">
        <v>3.2363981008529663E-3</v>
      </c>
      <c r="D76" s="162">
        <v>-7.5207632668000679E-3</v>
      </c>
      <c r="E76" s="163">
        <v>2.9854731559753416E-2</v>
      </c>
      <c r="F76" s="166">
        <v>1.946168072920984E-2</v>
      </c>
      <c r="G76" s="162"/>
      <c r="H76" s="162"/>
      <c r="I76" s="162"/>
      <c r="J76" s="165"/>
      <c r="K76" s="162"/>
      <c r="L76" s="167"/>
      <c r="M76" s="134"/>
      <c r="N76" s="150"/>
    </row>
    <row r="77" spans="2:14" x14ac:dyDescent="0.2">
      <c r="B77" s="161">
        <v>38383</v>
      </c>
      <c r="C77" s="162">
        <v>1.0241518593147002E-2</v>
      </c>
      <c r="D77" s="162">
        <v>4.3491823343178027E-5</v>
      </c>
      <c r="E77" s="134"/>
      <c r="F77" s="134"/>
      <c r="G77" s="162"/>
      <c r="H77" s="162"/>
      <c r="I77" s="162"/>
      <c r="J77" s="165"/>
      <c r="K77" s="162"/>
      <c r="L77" s="167"/>
      <c r="M77" s="134"/>
      <c r="N77" s="150"/>
    </row>
    <row r="78" spans="2:14" x14ac:dyDescent="0.2">
      <c r="B78" s="161">
        <v>38411</v>
      </c>
      <c r="C78" s="162">
        <v>1.482239235496002E-2</v>
      </c>
      <c r="D78" s="162">
        <v>4.1942931763401248E-3</v>
      </c>
      <c r="E78" s="162"/>
      <c r="F78" s="166"/>
      <c r="G78" s="162"/>
      <c r="H78" s="162"/>
      <c r="I78" s="162"/>
      <c r="J78" s="165"/>
      <c r="K78" s="162"/>
      <c r="L78" s="167"/>
      <c r="M78" s="134"/>
      <c r="N78" s="150"/>
    </row>
    <row r="79" spans="2:14" x14ac:dyDescent="0.2">
      <c r="B79" s="161">
        <v>38442</v>
      </c>
      <c r="C79" s="162">
        <v>1.4477044854297232E-2</v>
      </c>
      <c r="D79" s="162">
        <v>3.7261994448885005E-3</v>
      </c>
      <c r="E79" s="162"/>
      <c r="F79" s="166"/>
      <c r="G79" s="162"/>
      <c r="H79" s="162"/>
      <c r="I79" s="162"/>
      <c r="J79" s="165"/>
      <c r="K79" s="162"/>
      <c r="L79" s="167"/>
      <c r="M79" s="134"/>
      <c r="N79" s="150"/>
    </row>
    <row r="80" spans="2:14" x14ac:dyDescent="0.2">
      <c r="B80" s="161">
        <v>38472</v>
      </c>
      <c r="C80" s="162">
        <v>1.2525283838135183E-2</v>
      </c>
      <c r="D80" s="162">
        <v>1.741840457652799E-3</v>
      </c>
      <c r="E80" s="162"/>
      <c r="F80" s="166"/>
      <c r="G80" s="162"/>
      <c r="H80" s="162"/>
      <c r="I80" s="162"/>
      <c r="J80" s="165"/>
      <c r="K80" s="162"/>
      <c r="L80" s="167"/>
      <c r="M80" s="134"/>
      <c r="N80" s="150"/>
    </row>
    <row r="81" spans="2:14" x14ac:dyDescent="0.2">
      <c r="B81" s="161">
        <v>38503</v>
      </c>
      <c r="C81" s="162">
        <v>2.2922137451328074E-2</v>
      </c>
      <c r="D81" s="162">
        <v>1.2080834781232008E-2</v>
      </c>
      <c r="E81" s="162"/>
      <c r="F81" s="166"/>
      <c r="G81" s="162"/>
      <c r="H81" s="162"/>
      <c r="I81" s="162"/>
      <c r="J81" s="165"/>
      <c r="K81" s="162"/>
      <c r="L81" s="167"/>
      <c r="M81" s="134"/>
      <c r="N81" s="150"/>
    </row>
    <row r="82" spans="2:14" x14ac:dyDescent="0.2">
      <c r="B82" s="161">
        <v>38533</v>
      </c>
      <c r="C82" s="162">
        <v>3.1608211033280577E-2</v>
      </c>
      <c r="D82" s="162">
        <v>2.0727322154043826E-2</v>
      </c>
      <c r="E82" s="162"/>
      <c r="F82" s="166"/>
      <c r="G82" s="162"/>
      <c r="H82" s="162"/>
      <c r="I82" s="162"/>
      <c r="J82" s="165"/>
      <c r="K82" s="162"/>
      <c r="L82" s="167"/>
      <c r="M82" s="134"/>
      <c r="N82" s="150"/>
    </row>
    <row r="83" spans="2:14" x14ac:dyDescent="0.2">
      <c r="B83" s="161">
        <v>38564</v>
      </c>
      <c r="C83" s="162">
        <v>3.7373515279066051E-2</v>
      </c>
      <c r="D83" s="162">
        <v>2.6871026698744638E-2</v>
      </c>
      <c r="E83" s="162"/>
      <c r="F83" s="166"/>
      <c r="G83" s="162"/>
      <c r="H83" s="162"/>
      <c r="I83" s="162"/>
      <c r="J83" s="165"/>
      <c r="K83" s="162"/>
      <c r="L83" s="167"/>
      <c r="M83" s="134"/>
      <c r="N83" s="150"/>
    </row>
    <row r="84" spans="2:14" x14ac:dyDescent="0.2">
      <c r="B84" s="161">
        <v>38595</v>
      </c>
      <c r="C84" s="162">
        <v>3.4547599092232276E-2</v>
      </c>
      <c r="D84" s="162">
        <v>2.3982048101524711E-2</v>
      </c>
      <c r="E84" s="134"/>
      <c r="F84" s="166"/>
      <c r="G84" s="162"/>
      <c r="H84" s="162"/>
      <c r="I84" s="162"/>
      <c r="J84" s="165"/>
      <c r="K84" s="162"/>
      <c r="L84" s="167"/>
      <c r="M84" s="134"/>
      <c r="N84" s="150"/>
    </row>
    <row r="85" spans="2:14" x14ac:dyDescent="0.2">
      <c r="B85" s="161">
        <v>38625</v>
      </c>
      <c r="C85" s="162">
        <v>4.2610079736795259E-2</v>
      </c>
      <c r="D85" s="162">
        <v>3.1351522851562619E-2</v>
      </c>
      <c r="E85" s="162"/>
      <c r="F85" s="166"/>
      <c r="G85" s="162"/>
      <c r="H85" s="162"/>
      <c r="I85" s="162"/>
      <c r="J85" s="165"/>
      <c r="K85" s="167"/>
      <c r="L85" s="167"/>
      <c r="M85" s="44"/>
    </row>
    <row r="86" spans="2:14" x14ac:dyDescent="0.2">
      <c r="B86" s="161">
        <v>38656</v>
      </c>
      <c r="C86" s="162">
        <v>3.9599620455029606E-2</v>
      </c>
      <c r="D86" s="162">
        <v>2.8289954554848729E-2</v>
      </c>
      <c r="E86" s="162"/>
      <c r="F86" s="166"/>
      <c r="G86" s="162"/>
      <c r="H86" s="162"/>
      <c r="I86" s="162"/>
      <c r="J86" s="165"/>
      <c r="K86" s="167"/>
      <c r="L86" s="167"/>
      <c r="M86" s="44"/>
    </row>
    <row r="87" spans="2:14" x14ac:dyDescent="0.2">
      <c r="B87" s="161">
        <v>38686</v>
      </c>
      <c r="C87" s="162">
        <v>4.7240474686750543E-2</v>
      </c>
      <c r="D87" s="162">
        <v>3.6174714678961495E-2</v>
      </c>
      <c r="E87" s="162"/>
      <c r="F87" s="166"/>
      <c r="G87" s="162"/>
      <c r="H87" s="162"/>
      <c r="I87" s="162"/>
      <c r="J87" s="165"/>
      <c r="K87" s="167"/>
      <c r="L87" s="167"/>
      <c r="M87" s="44"/>
    </row>
    <row r="88" spans="2:14" x14ac:dyDescent="0.2">
      <c r="B88" s="161">
        <v>38717</v>
      </c>
      <c r="C88" s="162">
        <v>5.0999656319618225E-2</v>
      </c>
      <c r="D88" s="162">
        <v>3.9969120847023198E-2</v>
      </c>
      <c r="E88" s="163">
        <v>2.9321951866149901E-2</v>
      </c>
      <c r="F88" s="166">
        <v>1.8905712826249532E-2</v>
      </c>
      <c r="G88" s="162"/>
      <c r="H88" s="162"/>
      <c r="I88" s="162"/>
      <c r="J88" s="165"/>
      <c r="K88" s="167"/>
      <c r="L88" s="167"/>
      <c r="M88" s="44"/>
    </row>
    <row r="89" spans="2:14" x14ac:dyDescent="0.2">
      <c r="B89" s="161">
        <v>38748</v>
      </c>
      <c r="C89" s="162">
        <v>5.0136571265158199E-2</v>
      </c>
      <c r="D89" s="162">
        <v>3.9924696157996209E-2</v>
      </c>
      <c r="E89" s="134"/>
      <c r="F89" s="134"/>
      <c r="G89" s="162"/>
      <c r="H89" s="162"/>
      <c r="I89" s="162"/>
      <c r="J89" s="165"/>
      <c r="K89" s="167"/>
      <c r="L89" s="167"/>
      <c r="M89" s="44"/>
    </row>
    <row r="90" spans="2:14" x14ac:dyDescent="0.2">
      <c r="B90" s="161">
        <v>38776</v>
      </c>
      <c r="C90" s="162">
        <v>5.6744259739211399E-2</v>
      </c>
      <c r="D90" s="162">
        <v>4.6057149056302427E-2</v>
      </c>
      <c r="E90" s="163"/>
      <c r="F90" s="166"/>
      <c r="G90" s="162"/>
      <c r="H90" s="162"/>
      <c r="I90" s="162"/>
      <c r="J90" s="165"/>
      <c r="K90" s="167"/>
      <c r="L90" s="167"/>
      <c r="M90" s="44"/>
    </row>
    <row r="91" spans="2:14" x14ac:dyDescent="0.2">
      <c r="B91" s="161">
        <v>38807</v>
      </c>
      <c r="C91" s="162">
        <v>5.9380883833274292E-2</v>
      </c>
      <c r="D91" s="162">
        <v>4.8141964784657709E-2</v>
      </c>
      <c r="E91" s="134"/>
      <c r="F91" s="166"/>
      <c r="G91" s="162"/>
      <c r="H91" s="162"/>
      <c r="I91" s="162"/>
      <c r="J91" s="165"/>
      <c r="K91" s="167"/>
      <c r="L91" s="167"/>
      <c r="M91" s="44"/>
    </row>
    <row r="92" spans="2:14" x14ac:dyDescent="0.2">
      <c r="B92" s="161">
        <v>38837</v>
      </c>
      <c r="C92" s="162">
        <v>5.7893895207078321E-2</v>
      </c>
      <c r="D92" s="162">
        <v>4.6268814703733341E-2</v>
      </c>
      <c r="E92" s="162"/>
      <c r="F92" s="166"/>
      <c r="G92" s="162"/>
      <c r="H92" s="162"/>
      <c r="I92" s="162"/>
      <c r="J92" s="165"/>
      <c r="K92" s="167"/>
      <c r="L92" s="167"/>
      <c r="M92" s="44"/>
    </row>
    <row r="93" spans="2:14" x14ac:dyDescent="0.2">
      <c r="B93" s="161">
        <v>38868</v>
      </c>
      <c r="C93" s="162">
        <v>4.3999999999999997E-2</v>
      </c>
      <c r="D93" s="162">
        <v>3.2266482805877184E-2</v>
      </c>
      <c r="E93" s="162"/>
      <c r="F93" s="166"/>
      <c r="G93" s="162"/>
      <c r="H93" s="162"/>
      <c r="I93" s="162"/>
      <c r="J93" s="165"/>
      <c r="K93" s="167"/>
      <c r="L93" s="167"/>
      <c r="M93" s="44"/>
    </row>
    <row r="94" spans="2:14" x14ac:dyDescent="0.2">
      <c r="B94" s="161">
        <v>38898</v>
      </c>
      <c r="C94" s="162">
        <v>4.3799999999999999E-2</v>
      </c>
      <c r="D94" s="162">
        <v>3.2376415782498835E-2</v>
      </c>
      <c r="E94" s="162"/>
      <c r="F94" s="166"/>
      <c r="G94" s="162"/>
      <c r="H94" s="162"/>
      <c r="I94" s="162"/>
      <c r="J94" s="165"/>
      <c r="K94" s="167"/>
      <c r="L94" s="167"/>
      <c r="M94" s="44"/>
    </row>
    <row r="95" spans="2:14" x14ac:dyDescent="0.2">
      <c r="B95" s="161">
        <v>38929</v>
      </c>
      <c r="C95" s="162">
        <v>4.359794932972591E-2</v>
      </c>
      <c r="D95" s="162">
        <v>3.2415263728103216E-2</v>
      </c>
      <c r="E95" s="162"/>
      <c r="F95" s="166"/>
      <c r="G95" s="162"/>
      <c r="H95" s="162"/>
      <c r="I95" s="162"/>
      <c r="J95" s="165"/>
      <c r="K95" s="167"/>
      <c r="L95" s="167"/>
      <c r="M95" s="44"/>
    </row>
    <row r="96" spans="2:14" x14ac:dyDescent="0.2">
      <c r="B96" s="161">
        <v>38960</v>
      </c>
      <c r="C96" s="162">
        <v>4.7822286996518748E-2</v>
      </c>
      <c r="D96" s="162">
        <v>3.6615016583132709E-2</v>
      </c>
      <c r="E96" s="162"/>
      <c r="F96" s="166"/>
      <c r="G96" s="162"/>
      <c r="H96" s="162"/>
      <c r="I96" s="162"/>
      <c r="J96" s="165"/>
      <c r="K96" s="167"/>
      <c r="L96" s="167"/>
      <c r="M96" s="44"/>
    </row>
    <row r="97" spans="2:13" x14ac:dyDescent="0.2">
      <c r="B97" s="161">
        <v>38990</v>
      </c>
      <c r="C97" s="162">
        <v>5.1760927419626929E-2</v>
      </c>
      <c r="D97" s="162">
        <v>4.0069293877977863E-2</v>
      </c>
      <c r="E97" s="162"/>
      <c r="F97" s="166"/>
      <c r="G97" s="162"/>
      <c r="H97" s="162"/>
      <c r="I97" s="162"/>
      <c r="J97" s="165"/>
      <c r="K97" s="167"/>
      <c r="L97" s="167"/>
      <c r="M97" s="44"/>
    </row>
    <row r="98" spans="2:13" x14ac:dyDescent="0.2">
      <c r="B98" s="161">
        <v>39021</v>
      </c>
      <c r="C98" s="162">
        <v>5.5149368696020322E-2</v>
      </c>
      <c r="D98" s="162">
        <v>4.3494004748145132E-2</v>
      </c>
      <c r="E98" s="162"/>
      <c r="F98" s="166"/>
      <c r="G98" s="162"/>
      <c r="H98" s="162"/>
      <c r="I98" s="162"/>
      <c r="J98" s="165"/>
      <c r="K98" s="167"/>
      <c r="L98" s="167"/>
      <c r="M98" s="44"/>
    </row>
    <row r="99" spans="2:13" x14ac:dyDescent="0.2">
      <c r="B99" s="161">
        <v>39051</v>
      </c>
      <c r="C99" s="162">
        <v>5.3271803275811547E-2</v>
      </c>
      <c r="D99" s="162">
        <v>4.1607747360923319E-2</v>
      </c>
      <c r="E99" s="165"/>
      <c r="F99" s="166"/>
      <c r="G99" s="162"/>
      <c r="H99" s="162"/>
      <c r="I99" s="162"/>
      <c r="J99" s="165"/>
      <c r="K99" s="167"/>
      <c r="L99" s="167"/>
      <c r="M99" s="44"/>
    </row>
    <row r="100" spans="2:13" x14ac:dyDescent="0.2">
      <c r="B100" s="161">
        <v>39082</v>
      </c>
      <c r="C100" s="162">
        <v>5.8835127949714669E-2</v>
      </c>
      <c r="D100" s="162">
        <v>4.7248204632641677E-2</v>
      </c>
      <c r="E100" s="162">
        <v>2.8684389648437503E-2</v>
      </c>
      <c r="F100" s="166">
        <v>1.8187786090944069E-2</v>
      </c>
      <c r="G100" s="162"/>
      <c r="H100" s="162"/>
      <c r="I100" s="162"/>
      <c r="J100" s="165"/>
      <c r="K100" s="167"/>
      <c r="L100" s="167"/>
      <c r="M100" s="44"/>
    </row>
    <row r="101" spans="2:13" x14ac:dyDescent="0.2">
      <c r="B101" s="168">
        <v>39113</v>
      </c>
      <c r="C101" s="162">
        <v>6.2E-2</v>
      </c>
      <c r="D101" s="162">
        <v>5.0643140205407722E-2</v>
      </c>
      <c r="E101" s="134"/>
      <c r="F101" s="134"/>
      <c r="G101" s="162"/>
      <c r="H101" s="162"/>
      <c r="I101" s="162"/>
      <c r="J101" s="165"/>
      <c r="K101" s="167"/>
      <c r="L101" s="167"/>
      <c r="M101" s="44"/>
    </row>
    <row r="102" spans="2:13" x14ac:dyDescent="0.2">
      <c r="B102" s="161">
        <v>39141</v>
      </c>
      <c r="C102" s="162">
        <v>6.0193528731770071E-2</v>
      </c>
      <c r="D102" s="162">
        <v>4.8689985855187246E-2</v>
      </c>
      <c r="E102" s="165"/>
      <c r="F102" s="166"/>
      <c r="G102" s="162"/>
      <c r="H102" s="162"/>
      <c r="I102" s="162"/>
      <c r="J102" s="165"/>
      <c r="K102" s="167"/>
      <c r="L102" s="167"/>
      <c r="M102" s="44"/>
    </row>
    <row r="103" spans="2:13" x14ac:dyDescent="0.2">
      <c r="B103" s="161">
        <v>39172</v>
      </c>
      <c r="C103" s="163">
        <v>6.4564324830753222E-2</v>
      </c>
      <c r="D103" s="162">
        <v>5.2522620695754307E-2</v>
      </c>
      <c r="E103" s="165"/>
      <c r="F103" s="166"/>
      <c r="G103" s="162"/>
      <c r="H103" s="162"/>
      <c r="I103" s="162"/>
      <c r="J103" s="165"/>
      <c r="K103" s="167"/>
      <c r="L103" s="167"/>
      <c r="M103" s="44"/>
    </row>
    <row r="104" spans="2:13" x14ac:dyDescent="0.2">
      <c r="B104" s="161">
        <v>39202</v>
      </c>
      <c r="C104" s="162">
        <v>6.7463896782851265E-2</v>
      </c>
      <c r="D104" s="162">
        <v>5.5033553075613639E-2</v>
      </c>
      <c r="E104" s="134"/>
      <c r="F104" s="166"/>
      <c r="G104" s="162"/>
      <c r="H104" s="162"/>
      <c r="I104" s="162"/>
      <c r="J104" s="165"/>
      <c r="K104" s="167"/>
      <c r="L104" s="167"/>
      <c r="M104" s="44"/>
    </row>
    <row r="105" spans="2:13" x14ac:dyDescent="0.2">
      <c r="B105" s="161">
        <v>39233</v>
      </c>
      <c r="C105" s="162">
        <v>7.2349404324642028E-2</v>
      </c>
      <c r="D105" s="162">
        <v>6.0039238342899148E-2</v>
      </c>
      <c r="E105" s="134"/>
      <c r="F105" s="166"/>
      <c r="G105" s="162"/>
      <c r="H105" s="162"/>
      <c r="I105" s="162"/>
      <c r="J105" s="165"/>
      <c r="K105" s="167"/>
      <c r="L105" s="167"/>
      <c r="M105" s="44"/>
    </row>
    <row r="106" spans="2:13" x14ac:dyDescent="0.2">
      <c r="B106" s="161">
        <v>39263</v>
      </c>
      <c r="C106" s="163">
        <v>7.0343827295215947E-2</v>
      </c>
      <c r="D106" s="162">
        <v>5.8000055826007646E-2</v>
      </c>
      <c r="E106" s="134"/>
      <c r="F106" s="166"/>
      <c r="G106" s="162"/>
      <c r="H106" s="162"/>
      <c r="I106" s="162"/>
      <c r="J106" s="165"/>
      <c r="K106" s="167"/>
      <c r="L106" s="167"/>
      <c r="M106" s="44"/>
    </row>
    <row r="107" spans="2:13" x14ac:dyDescent="0.2">
      <c r="B107" s="161">
        <v>39294</v>
      </c>
      <c r="C107" s="163">
        <v>6.7299999999999999E-2</v>
      </c>
      <c r="D107" s="162">
        <v>5.5202713208013732E-2</v>
      </c>
      <c r="E107" s="134"/>
      <c r="F107" s="166"/>
      <c r="G107" s="162"/>
      <c r="H107" s="162"/>
      <c r="I107" s="162"/>
      <c r="J107" s="165"/>
      <c r="K107" s="167"/>
      <c r="L107" s="167"/>
      <c r="M107" s="44"/>
    </row>
    <row r="108" spans="2:13" x14ac:dyDescent="0.2">
      <c r="B108" s="161">
        <v>39325</v>
      </c>
      <c r="C108" s="162">
        <v>6.5489151248442859E-2</v>
      </c>
      <c r="D108" s="162">
        <v>5.3521367869992176E-2</v>
      </c>
      <c r="E108" s="134"/>
      <c r="F108" s="166"/>
      <c r="G108" s="162"/>
      <c r="H108" s="162"/>
      <c r="I108" s="162"/>
      <c r="J108" s="165"/>
      <c r="K108" s="167"/>
      <c r="L108" s="167"/>
      <c r="M108" s="44"/>
    </row>
    <row r="109" spans="2:13" x14ac:dyDescent="0.2">
      <c r="B109" s="161">
        <v>39353</v>
      </c>
      <c r="C109" s="162">
        <v>6.5394162553259028E-2</v>
      </c>
      <c r="D109" s="162">
        <v>5.2674689687163712E-2</v>
      </c>
      <c r="E109" s="134"/>
      <c r="F109" s="166"/>
      <c r="G109" s="134"/>
      <c r="H109" s="162"/>
      <c r="I109" s="134"/>
      <c r="J109" s="165"/>
      <c r="K109" s="167"/>
      <c r="L109" s="167"/>
      <c r="M109" s="44"/>
    </row>
    <row r="110" spans="2:13" x14ac:dyDescent="0.2">
      <c r="B110" s="161">
        <v>39386</v>
      </c>
      <c r="C110" s="162">
        <v>6.6821058285115434E-2</v>
      </c>
      <c r="D110" s="162">
        <v>5.3727785198714129E-2</v>
      </c>
      <c r="E110" s="134"/>
      <c r="F110" s="166"/>
      <c r="G110" s="134"/>
      <c r="H110" s="162"/>
      <c r="I110" s="134"/>
      <c r="J110" s="165"/>
      <c r="K110" s="167"/>
      <c r="L110" s="167"/>
      <c r="M110" s="44"/>
    </row>
    <row r="111" spans="2:13" x14ac:dyDescent="0.2">
      <c r="B111" s="161">
        <v>39416</v>
      </c>
      <c r="C111" s="162">
        <v>5.9590164348598797E-2</v>
      </c>
      <c r="D111" s="162">
        <v>4.6141160304356443E-2</v>
      </c>
      <c r="E111" s="134"/>
      <c r="F111" s="166"/>
      <c r="G111" s="134"/>
      <c r="H111" s="162"/>
      <c r="I111" s="134"/>
      <c r="J111" s="165"/>
      <c r="K111" s="167"/>
      <c r="L111" s="167"/>
      <c r="M111" s="44"/>
    </row>
    <row r="112" spans="2:13" x14ac:dyDescent="0.2">
      <c r="B112" s="161">
        <v>39447</v>
      </c>
      <c r="C112" s="162">
        <v>5.781260430812836E-2</v>
      </c>
      <c r="D112" s="162">
        <v>4.4545527707018584E-2</v>
      </c>
      <c r="E112" s="163">
        <v>3.0921567382812501E-2</v>
      </c>
      <c r="F112" s="166">
        <v>1.7944317787332631E-2</v>
      </c>
      <c r="G112" s="134"/>
      <c r="H112" s="162"/>
      <c r="I112" s="134"/>
      <c r="J112" s="165"/>
      <c r="K112" s="167"/>
      <c r="L112" s="167"/>
      <c r="M112" s="44"/>
    </row>
    <row r="113" spans="2:13" x14ac:dyDescent="0.2">
      <c r="B113" s="161">
        <v>39478</v>
      </c>
      <c r="C113" s="163">
        <v>3.8598902509140144E-2</v>
      </c>
      <c r="D113" s="162">
        <v>2.6024271859803161E-2</v>
      </c>
      <c r="E113" s="134"/>
      <c r="F113" s="166"/>
      <c r="G113" s="134"/>
      <c r="H113" s="162"/>
      <c r="I113" s="134"/>
      <c r="J113" s="165"/>
      <c r="K113" s="167"/>
      <c r="L113" s="167"/>
      <c r="M113" s="44"/>
    </row>
    <row r="114" spans="2:13" x14ac:dyDescent="0.2">
      <c r="B114" s="161">
        <v>39507</v>
      </c>
      <c r="C114" s="163">
        <v>4.0303905909068509E-2</v>
      </c>
      <c r="D114" s="162">
        <v>2.7461672860831232E-2</v>
      </c>
      <c r="E114" s="134"/>
      <c r="F114" s="166"/>
      <c r="G114" s="134"/>
      <c r="H114" s="162"/>
      <c r="I114" s="134"/>
      <c r="J114" s="165"/>
      <c r="K114" s="167"/>
      <c r="L114" s="167"/>
      <c r="M114" s="44"/>
    </row>
    <row r="115" spans="2:13" x14ac:dyDescent="0.2">
      <c r="B115" s="161">
        <v>39538</v>
      </c>
      <c r="C115" s="163">
        <v>3.244250437241801E-2</v>
      </c>
      <c r="D115" s="162">
        <v>1.9037555292700015E-2</v>
      </c>
      <c r="E115" s="134"/>
      <c r="F115" s="166"/>
      <c r="G115" s="134"/>
      <c r="H115" s="162"/>
      <c r="I115" s="134"/>
      <c r="J115" s="165"/>
      <c r="K115" s="167"/>
      <c r="L115" s="167"/>
      <c r="M115" s="44"/>
    </row>
    <row r="116" spans="2:13" x14ac:dyDescent="0.2">
      <c r="B116" s="161">
        <v>39568</v>
      </c>
      <c r="C116" s="163">
        <v>3.9764054710611244E-2</v>
      </c>
      <c r="D116" s="162">
        <v>2.6007256561989545E-2</v>
      </c>
      <c r="E116" s="134"/>
      <c r="F116" s="166"/>
      <c r="G116" s="134"/>
      <c r="H116" s="162"/>
      <c r="I116" s="134"/>
      <c r="J116" s="165"/>
      <c r="K116" s="167"/>
      <c r="L116" s="167"/>
      <c r="M116" s="44"/>
    </row>
    <row r="117" spans="2:13" x14ac:dyDescent="0.2">
      <c r="B117" s="161">
        <v>39599</v>
      </c>
      <c r="C117" s="163">
        <v>4.2500000000000003E-2</v>
      </c>
      <c r="D117" s="162">
        <v>2.8487882226032157E-2</v>
      </c>
      <c r="E117" s="134"/>
      <c r="F117" s="166"/>
      <c r="G117" s="134"/>
      <c r="H117" s="162"/>
      <c r="I117" s="134"/>
      <c r="J117" s="165"/>
      <c r="K117" s="167"/>
      <c r="L117" s="167"/>
      <c r="M117" s="44"/>
    </row>
    <row r="118" spans="2:13" x14ac:dyDescent="0.2">
      <c r="B118" s="161">
        <v>39629</v>
      </c>
      <c r="C118" s="162">
        <v>2.7672873595805437E-2</v>
      </c>
      <c r="D118" s="162">
        <v>1.358501620340391E-2</v>
      </c>
      <c r="E118" s="134"/>
      <c r="F118" s="166"/>
      <c r="G118" s="134"/>
      <c r="H118" s="162"/>
      <c r="I118" s="134"/>
      <c r="J118" s="165"/>
      <c r="K118" s="167"/>
      <c r="L118" s="167"/>
      <c r="M118" s="44"/>
    </row>
    <row r="119" spans="2:13" x14ac:dyDescent="0.2">
      <c r="B119" s="161">
        <v>39660</v>
      </c>
      <c r="C119" s="162">
        <v>2.5698025510801501E-2</v>
      </c>
      <c r="D119" s="162">
        <v>1.1878917786482424E-2</v>
      </c>
      <c r="E119" s="134"/>
      <c r="F119" s="166"/>
      <c r="G119" s="134"/>
      <c r="H119" s="162"/>
      <c r="I119" s="134"/>
      <c r="J119" s="165"/>
      <c r="K119" s="167"/>
      <c r="L119" s="167"/>
      <c r="M119" s="44"/>
    </row>
    <row r="120" spans="2:13" x14ac:dyDescent="0.2">
      <c r="B120" s="161">
        <v>39691</v>
      </c>
      <c r="C120" s="162">
        <v>2.7445335039780076E-2</v>
      </c>
      <c r="D120" s="162">
        <v>1.3558157509492297E-2</v>
      </c>
      <c r="E120" s="134"/>
      <c r="F120" s="166"/>
      <c r="G120" s="134"/>
      <c r="H120" s="162"/>
      <c r="I120" s="134"/>
      <c r="J120" s="165"/>
      <c r="K120" s="167"/>
      <c r="L120" s="167"/>
      <c r="M120" s="44"/>
    </row>
    <row r="121" spans="2:13" x14ac:dyDescent="0.2">
      <c r="B121" s="161">
        <v>39721</v>
      </c>
      <c r="C121" s="162">
        <v>1.250261342755922E-2</v>
      </c>
      <c r="D121" s="162">
        <v>-1.8499898710262475E-3</v>
      </c>
      <c r="E121" s="134"/>
      <c r="F121" s="166"/>
      <c r="G121" s="134"/>
      <c r="H121" s="162"/>
      <c r="I121" s="134"/>
      <c r="J121" s="165"/>
      <c r="K121" s="167"/>
      <c r="L121" s="167"/>
      <c r="M121" s="44"/>
    </row>
    <row r="122" spans="2:13" x14ac:dyDescent="0.2">
      <c r="B122" s="161">
        <v>39752</v>
      </c>
      <c r="C122" s="162">
        <v>-7.5383875148255456E-3</v>
      </c>
      <c r="D122" s="162">
        <v>-2.1634276779328276E-2</v>
      </c>
      <c r="E122" s="134"/>
      <c r="F122" s="166"/>
      <c r="G122" s="134"/>
      <c r="H122" s="162"/>
      <c r="I122" s="134"/>
      <c r="J122" s="165"/>
      <c r="K122" s="167"/>
      <c r="L122" s="167"/>
      <c r="M122" s="44"/>
    </row>
    <row r="123" spans="2:13" x14ac:dyDescent="0.2">
      <c r="B123" s="161">
        <v>39782</v>
      </c>
      <c r="C123" s="162">
        <v>-1.1504305720920358E-2</v>
      </c>
      <c r="D123" s="162">
        <v>-2.4876939720925084E-2</v>
      </c>
      <c r="E123" s="134"/>
      <c r="F123" s="166"/>
      <c r="G123" s="134"/>
      <c r="H123" s="162"/>
      <c r="I123" s="134"/>
      <c r="J123" s="165"/>
      <c r="K123" s="167"/>
      <c r="L123" s="167"/>
      <c r="M123" s="44"/>
    </row>
    <row r="124" spans="2:13" x14ac:dyDescent="0.2">
      <c r="B124" s="161">
        <v>39813</v>
      </c>
      <c r="C124" s="162">
        <v>-7.8772533498704424E-3</v>
      </c>
      <c r="D124" s="162">
        <v>-2.0525774681651843E-2</v>
      </c>
      <c r="E124" s="163">
        <v>3.5105043945312511E-2</v>
      </c>
      <c r="F124" s="166">
        <v>2.2184246086472958E-2</v>
      </c>
      <c r="G124" s="134"/>
      <c r="H124" s="162"/>
      <c r="I124" s="134"/>
      <c r="J124" s="165"/>
      <c r="K124" s="167"/>
      <c r="L124" s="167"/>
      <c r="M124" s="44"/>
    </row>
    <row r="125" spans="2:13" x14ac:dyDescent="0.2">
      <c r="B125" s="161">
        <v>39844</v>
      </c>
      <c r="C125" s="162">
        <v>-1.0905817471719459E-2</v>
      </c>
      <c r="D125" s="162">
        <v>-2.2917707176761448E-2</v>
      </c>
      <c r="E125" s="134"/>
      <c r="F125" s="166"/>
      <c r="G125" s="134"/>
      <c r="H125" s="162"/>
      <c r="I125" s="134"/>
      <c r="J125" s="165"/>
      <c r="K125" s="167"/>
      <c r="L125" s="167"/>
      <c r="M125" s="44"/>
    </row>
    <row r="126" spans="2:13" x14ac:dyDescent="0.2">
      <c r="B126" s="161">
        <v>39872</v>
      </c>
      <c r="C126" s="162">
        <v>-1.1421187647476256E-2</v>
      </c>
      <c r="D126" s="162">
        <v>-2.3372180736469406E-2</v>
      </c>
      <c r="E126" s="134"/>
      <c r="F126" s="166"/>
      <c r="G126" s="134"/>
      <c r="H126" s="162"/>
      <c r="I126" s="134"/>
      <c r="J126" s="165"/>
      <c r="K126" s="167"/>
      <c r="L126" s="167"/>
      <c r="M126" s="44"/>
    </row>
    <row r="127" spans="2:13" x14ac:dyDescent="0.2">
      <c r="B127" s="161">
        <v>39903</v>
      </c>
      <c r="C127" s="162">
        <v>-1.1433679364785697E-2</v>
      </c>
      <c r="D127" s="162">
        <v>-2.3511776323394629E-2</v>
      </c>
      <c r="E127" s="134"/>
      <c r="F127" s="166"/>
      <c r="G127" s="134"/>
      <c r="H127" s="162"/>
      <c r="I127" s="134"/>
      <c r="J127" s="165"/>
      <c r="K127" s="167"/>
      <c r="L127" s="167"/>
      <c r="M127" s="44"/>
    </row>
    <row r="128" spans="2:13" x14ac:dyDescent="0.2">
      <c r="B128" s="161">
        <v>39933</v>
      </c>
      <c r="C128" s="162">
        <v>5.8475468159503363E-3</v>
      </c>
      <c r="D128" s="162">
        <v>-6.4777286344437357E-3</v>
      </c>
      <c r="E128" s="134"/>
      <c r="F128" s="166"/>
      <c r="G128" s="134"/>
      <c r="H128" s="162"/>
      <c r="I128" s="134"/>
      <c r="J128" s="165"/>
      <c r="K128" s="167"/>
      <c r="L128" s="167"/>
      <c r="M128" s="44"/>
    </row>
    <row r="129" spans="2:13" x14ac:dyDescent="0.2">
      <c r="B129" s="161">
        <v>39964</v>
      </c>
      <c r="C129" s="162">
        <v>1.1170524943810163E-2</v>
      </c>
      <c r="D129" s="162">
        <v>-1.1924484536891544E-3</v>
      </c>
      <c r="E129" s="134"/>
      <c r="F129" s="166"/>
      <c r="G129" s="134"/>
      <c r="H129" s="162"/>
      <c r="I129" s="134"/>
      <c r="J129" s="165"/>
      <c r="K129" s="167"/>
      <c r="L129" s="167"/>
      <c r="M129" s="44"/>
    </row>
    <row r="130" spans="2:13" x14ac:dyDescent="0.2">
      <c r="B130" s="161">
        <v>39994</v>
      </c>
      <c r="C130" s="162">
        <v>1.3029093251482361E-2</v>
      </c>
      <c r="D130" s="162">
        <v>5.473128672552896E-4</v>
      </c>
      <c r="E130" s="134"/>
      <c r="F130" s="166"/>
      <c r="G130" s="134"/>
      <c r="H130" s="162"/>
      <c r="I130" s="134"/>
      <c r="J130" s="165"/>
      <c r="K130" s="167"/>
      <c r="L130" s="167"/>
      <c r="M130" s="44"/>
    </row>
    <row r="131" spans="2:13" x14ac:dyDescent="0.2">
      <c r="B131" s="161">
        <v>40025</v>
      </c>
      <c r="C131" s="162">
        <v>1.8901288726589967E-2</v>
      </c>
      <c r="D131" s="162">
        <v>6.7386723308759944E-3</v>
      </c>
      <c r="E131" s="134"/>
      <c r="F131" s="166"/>
      <c r="G131" s="134"/>
      <c r="H131" s="162"/>
      <c r="I131" s="134"/>
      <c r="J131" s="165"/>
      <c r="K131" s="167"/>
      <c r="L131" s="167"/>
      <c r="M131" s="44"/>
    </row>
    <row r="132" spans="2:13" x14ac:dyDescent="0.2">
      <c r="B132" s="161">
        <v>40056</v>
      </c>
      <c r="C132" s="162">
        <v>2.1092283118913844E-2</v>
      </c>
      <c r="D132" s="162">
        <v>8.8289205702789531E-3</v>
      </c>
      <c r="E132" s="134"/>
      <c r="F132" s="166"/>
      <c r="G132" s="134"/>
      <c r="H132" s="162"/>
      <c r="I132" s="134"/>
      <c r="J132" s="165"/>
      <c r="K132" s="167"/>
      <c r="L132" s="167"/>
      <c r="M132" s="44"/>
    </row>
    <row r="133" spans="2:13" x14ac:dyDescent="0.2">
      <c r="B133" s="161">
        <v>40086</v>
      </c>
      <c r="C133" s="162">
        <v>2.4270381294047346E-2</v>
      </c>
      <c r="D133" s="162">
        <v>1.1823532400842218E-2</v>
      </c>
      <c r="E133" s="134"/>
      <c r="F133" s="166"/>
      <c r="G133" s="134"/>
      <c r="H133" s="162"/>
      <c r="I133" s="134"/>
      <c r="J133" s="165"/>
      <c r="K133" s="167"/>
      <c r="L133" s="167"/>
      <c r="M133" s="44"/>
    </row>
    <row r="134" spans="2:13" x14ac:dyDescent="0.2">
      <c r="B134" s="161">
        <v>40117</v>
      </c>
      <c r="C134" s="162">
        <v>2.6668072977410431E-2</v>
      </c>
      <c r="D134" s="162">
        <v>1.4087793226733147E-2</v>
      </c>
      <c r="E134" s="134"/>
      <c r="F134" s="166"/>
      <c r="G134" s="134"/>
      <c r="H134" s="162"/>
      <c r="I134" s="134"/>
      <c r="J134" s="165"/>
      <c r="K134" s="167"/>
      <c r="L134" s="167"/>
      <c r="M134" s="44"/>
    </row>
    <row r="135" spans="2:13" x14ac:dyDescent="0.2">
      <c r="B135" s="161">
        <v>40147</v>
      </c>
      <c r="C135" s="162">
        <v>2.8385516527609313E-2</v>
      </c>
      <c r="D135" s="162">
        <v>1.5873251118418308E-2</v>
      </c>
      <c r="E135" s="134"/>
      <c r="F135" s="166"/>
      <c r="G135" s="134"/>
      <c r="H135" s="162"/>
      <c r="I135" s="134"/>
      <c r="J135" s="165"/>
      <c r="K135" s="167"/>
      <c r="L135" s="167"/>
      <c r="M135" s="44"/>
    </row>
    <row r="136" spans="2:13" x14ac:dyDescent="0.2">
      <c r="B136" s="161">
        <v>40178</v>
      </c>
      <c r="C136" s="162">
        <v>3.2962104678153983E-2</v>
      </c>
      <c r="D136" s="162">
        <v>1.9308385716834797E-2</v>
      </c>
      <c r="E136" s="163">
        <v>2.8925034179687503E-2</v>
      </c>
      <c r="F136" s="166">
        <v>1.6326040939315112E-2</v>
      </c>
      <c r="G136" s="134"/>
      <c r="H136" s="162"/>
      <c r="I136" s="134"/>
      <c r="J136" s="165"/>
      <c r="K136" s="167"/>
      <c r="L136" s="167"/>
      <c r="M136" s="44"/>
    </row>
    <row r="137" spans="2:13" x14ac:dyDescent="0.2">
      <c r="B137" s="161">
        <v>40209</v>
      </c>
      <c r="C137" s="162">
        <v>3.0703852564881555E-2</v>
      </c>
      <c r="D137" s="162">
        <v>1.8584471684042425E-2</v>
      </c>
      <c r="E137" s="134"/>
      <c r="F137" s="166"/>
      <c r="G137" s="134"/>
      <c r="H137" s="162"/>
      <c r="I137" s="134"/>
      <c r="J137" s="165"/>
      <c r="K137" s="167"/>
      <c r="L137" s="167"/>
      <c r="M137" s="44"/>
    </row>
    <row r="138" spans="2:13" x14ac:dyDescent="0.2">
      <c r="B138" s="161">
        <v>40237</v>
      </c>
      <c r="C138" s="162">
        <v>2.7390350802765685E-2</v>
      </c>
      <c r="D138" s="162">
        <v>1.4971511735579091E-2</v>
      </c>
      <c r="E138" s="134"/>
      <c r="F138" s="166"/>
      <c r="G138" s="134"/>
      <c r="H138" s="162"/>
      <c r="I138" s="134"/>
      <c r="J138" s="165"/>
      <c r="K138" s="167"/>
      <c r="L138" s="167"/>
      <c r="M138" s="44"/>
    </row>
    <row r="139" spans="2:13" x14ac:dyDescent="0.2">
      <c r="B139" s="169">
        <v>40268</v>
      </c>
      <c r="C139" s="170">
        <v>3.669809625032866E-2</v>
      </c>
      <c r="D139" s="162">
        <v>2.4071410714172625E-2</v>
      </c>
      <c r="E139" s="134"/>
      <c r="F139" s="166"/>
      <c r="G139" s="134"/>
      <c r="H139" s="162"/>
      <c r="I139" s="134"/>
      <c r="J139" s="165"/>
      <c r="K139" s="167"/>
      <c r="L139" s="167"/>
      <c r="M139" s="44"/>
    </row>
    <row r="140" spans="2:13" x14ac:dyDescent="0.2">
      <c r="B140" s="169">
        <v>40298</v>
      </c>
      <c r="C140" s="170">
        <v>3.8628510169618754E-2</v>
      </c>
      <c r="D140" s="162">
        <v>2.603844629148E-2</v>
      </c>
      <c r="E140" s="134"/>
      <c r="F140" s="166"/>
      <c r="G140" s="134"/>
      <c r="H140" s="162"/>
      <c r="I140" s="134"/>
      <c r="J140" s="165"/>
      <c r="K140" s="167"/>
      <c r="L140" s="167"/>
      <c r="M140" s="44"/>
    </row>
    <row r="141" spans="2:13" x14ac:dyDescent="0.2">
      <c r="B141" s="169">
        <v>40329</v>
      </c>
      <c r="C141" s="170">
        <v>3.3225234782453976E-2</v>
      </c>
      <c r="D141" s="162">
        <v>2.0644845305179516E-2</v>
      </c>
      <c r="E141" s="134"/>
      <c r="F141" s="166"/>
      <c r="G141" s="134"/>
      <c r="H141" s="162"/>
      <c r="I141" s="134"/>
      <c r="J141" s="165"/>
      <c r="K141" s="167"/>
      <c r="L141" s="167"/>
      <c r="M141" s="44"/>
    </row>
    <row r="142" spans="2:13" x14ac:dyDescent="0.2">
      <c r="B142" s="169">
        <v>40359</v>
      </c>
      <c r="C142" s="170">
        <v>3.0566288151634442E-2</v>
      </c>
      <c r="D142" s="162">
        <v>1.8075096199156038E-2</v>
      </c>
      <c r="E142" s="134"/>
      <c r="F142" s="166"/>
      <c r="G142" s="134"/>
      <c r="H142" s="162"/>
      <c r="I142" s="134"/>
      <c r="J142" s="165"/>
      <c r="K142" s="167"/>
      <c r="L142" s="167"/>
      <c r="M142" s="44"/>
    </row>
    <row r="143" spans="2:13" x14ac:dyDescent="0.2">
      <c r="B143" s="169">
        <v>40390</v>
      </c>
      <c r="C143" s="170">
        <v>3.2312782361443991E-2</v>
      </c>
      <c r="D143" s="162">
        <v>2.0071045031447188E-2</v>
      </c>
      <c r="E143" s="134"/>
      <c r="F143" s="166"/>
      <c r="G143" s="134"/>
      <c r="H143" s="162"/>
      <c r="I143" s="134"/>
      <c r="J143" s="165"/>
      <c r="K143" s="167"/>
      <c r="L143" s="167"/>
      <c r="M143" s="44"/>
    </row>
    <row r="144" spans="2:13" x14ac:dyDescent="0.2">
      <c r="B144" s="169">
        <v>40421</v>
      </c>
      <c r="C144" s="170">
        <v>2.9506999372779858E-2</v>
      </c>
      <c r="D144" s="162">
        <v>1.7359436795189032E-2</v>
      </c>
      <c r="E144" s="134"/>
      <c r="F144" s="166"/>
      <c r="G144" s="134"/>
      <c r="H144" s="171"/>
      <c r="I144" s="134"/>
      <c r="J144" s="165"/>
      <c r="K144" s="167"/>
      <c r="L144" s="167"/>
      <c r="M144" s="44"/>
    </row>
    <row r="145" spans="2:13" x14ac:dyDescent="0.2">
      <c r="B145" s="169">
        <v>40451</v>
      </c>
      <c r="C145" s="170">
        <v>3.335931017917132E-2</v>
      </c>
      <c r="D145" s="162">
        <v>2.0682496548403373E-2</v>
      </c>
      <c r="E145" s="134"/>
      <c r="F145" s="166"/>
      <c r="G145" s="134"/>
      <c r="H145" s="171"/>
      <c r="I145" s="134"/>
      <c r="J145" s="165"/>
      <c r="K145" s="167"/>
      <c r="L145" s="167"/>
      <c r="M145" s="44"/>
    </row>
    <row r="146" spans="2:13" x14ac:dyDescent="0.2">
      <c r="B146" s="169">
        <v>40482</v>
      </c>
      <c r="C146" s="170">
        <v>3.5975209023492986E-2</v>
      </c>
      <c r="D146" s="162">
        <v>2.3125833495651227E-2</v>
      </c>
      <c r="E146" s="134"/>
      <c r="F146" s="166"/>
      <c r="G146" s="134"/>
      <c r="H146" s="171"/>
      <c r="I146" s="134"/>
      <c r="J146" s="165"/>
      <c r="K146" s="167"/>
      <c r="L146" s="167"/>
      <c r="M146" s="44"/>
    </row>
    <row r="147" spans="2:13" x14ac:dyDescent="0.2">
      <c r="B147" s="169">
        <v>40512</v>
      </c>
      <c r="C147" s="170">
        <v>3.7473871553749323E-2</v>
      </c>
      <c r="D147" s="162">
        <v>2.4458909450991939E-2</v>
      </c>
      <c r="E147" s="134"/>
      <c r="F147" s="166"/>
      <c r="G147" s="134"/>
      <c r="H147" s="171"/>
      <c r="I147" s="134"/>
      <c r="J147" s="165"/>
      <c r="K147" s="167"/>
      <c r="L147" s="167"/>
      <c r="M147" s="44"/>
    </row>
    <row r="148" spans="2:13" x14ac:dyDescent="0.2">
      <c r="B148" s="169">
        <v>40543</v>
      </c>
      <c r="C148" s="170">
        <v>4.28437739610672E-2</v>
      </c>
      <c r="D148" s="162">
        <v>2.8949994981807947E-2</v>
      </c>
      <c r="E148" s="172">
        <v>2.2445375976562501E-2</v>
      </c>
      <c r="F148" s="166">
        <v>8.3401417466919536E-3</v>
      </c>
      <c r="G148" s="134"/>
      <c r="H148" s="162"/>
      <c r="I148" s="134"/>
      <c r="J148" s="165"/>
      <c r="K148" s="167"/>
      <c r="L148" s="134"/>
      <c r="M148" s="44"/>
    </row>
    <row r="149" spans="2:13" x14ac:dyDescent="0.2">
      <c r="B149" s="169">
        <v>40574</v>
      </c>
      <c r="C149" s="173">
        <v>3.8442396321812032E-2</v>
      </c>
      <c r="D149" s="162">
        <v>2.5641282056729553E-2</v>
      </c>
      <c r="E149" s="134"/>
      <c r="F149" s="166"/>
      <c r="G149" s="134"/>
      <c r="H149" s="162"/>
      <c r="I149" s="134"/>
      <c r="J149" s="165"/>
      <c r="K149" s="167"/>
      <c r="L149" s="44"/>
      <c r="M149" s="44"/>
    </row>
    <row r="150" spans="2:13" x14ac:dyDescent="0.2">
      <c r="B150" s="169">
        <v>40602</v>
      </c>
      <c r="C150" s="170">
        <v>3.8625571906551304E-2</v>
      </c>
      <c r="D150" s="162">
        <v>2.5498098365235977E-2</v>
      </c>
      <c r="E150" s="134"/>
      <c r="F150" s="166"/>
      <c r="G150" s="134"/>
      <c r="H150" s="162"/>
      <c r="I150" s="134"/>
      <c r="J150" s="165"/>
      <c r="K150" s="167"/>
      <c r="L150" s="44"/>
      <c r="M150" s="44"/>
    </row>
    <row r="151" spans="2:13" x14ac:dyDescent="0.2">
      <c r="B151" s="169">
        <v>40633</v>
      </c>
      <c r="C151" s="170">
        <v>3.905410892308208E-2</v>
      </c>
      <c r="D151" s="162">
        <v>2.5557541452574606E-2</v>
      </c>
      <c r="E151" s="134"/>
      <c r="F151" s="166"/>
      <c r="G151" s="134"/>
      <c r="H151" s="162"/>
      <c r="I151" s="134"/>
      <c r="J151" s="165"/>
      <c r="K151" s="167"/>
      <c r="L151" s="44"/>
      <c r="M151" s="44"/>
    </row>
    <row r="152" spans="2:13" x14ac:dyDescent="0.2">
      <c r="B152" s="169">
        <v>40663</v>
      </c>
      <c r="C152" s="170">
        <v>3.9851568220885765E-2</v>
      </c>
      <c r="D152" s="162">
        <v>2.61421381643685E-2</v>
      </c>
      <c r="E152" s="134"/>
      <c r="F152" s="166"/>
      <c r="G152" s="134"/>
      <c r="H152" s="162"/>
      <c r="I152" s="134"/>
      <c r="J152" s="165"/>
      <c r="K152" s="167"/>
      <c r="L152" s="44"/>
      <c r="M152" s="44"/>
    </row>
    <row r="153" spans="2:13" x14ac:dyDescent="0.2">
      <c r="B153" s="169">
        <v>40694</v>
      </c>
      <c r="C153" s="170">
        <v>3.8890105359171354E-2</v>
      </c>
      <c r="D153" s="162">
        <v>2.5145744937958403E-2</v>
      </c>
      <c r="E153" s="134"/>
      <c r="F153" s="166"/>
      <c r="G153" s="134"/>
      <c r="H153" s="162"/>
      <c r="I153" s="134"/>
      <c r="J153" s="165"/>
      <c r="K153" s="167"/>
      <c r="L153" s="44"/>
      <c r="M153" s="44"/>
    </row>
    <row r="154" spans="2:13" x14ac:dyDescent="0.2">
      <c r="B154" s="169">
        <v>40724</v>
      </c>
      <c r="C154" s="170">
        <v>3.7436450723536942E-2</v>
      </c>
      <c r="D154" s="162">
        <v>2.3929728238789583E-2</v>
      </c>
      <c r="E154" s="134"/>
      <c r="F154" s="166"/>
      <c r="G154" s="134"/>
      <c r="H154" s="162"/>
      <c r="I154" s="134"/>
      <c r="J154" s="165"/>
      <c r="K154" s="167"/>
      <c r="L154" s="44"/>
      <c r="M154" s="44"/>
    </row>
    <row r="155" spans="2:13" x14ac:dyDescent="0.2">
      <c r="B155" s="169">
        <v>40755</v>
      </c>
      <c r="C155" s="170">
        <v>3.4277375851144785E-2</v>
      </c>
      <c r="D155" s="162">
        <v>2.0909664735007993E-2</v>
      </c>
      <c r="E155" s="134"/>
      <c r="F155" s="166"/>
      <c r="G155" s="134"/>
      <c r="H155" s="162"/>
      <c r="I155" s="134"/>
      <c r="J155" s="165"/>
      <c r="K155" s="167"/>
      <c r="L155" s="44"/>
      <c r="M155" s="44"/>
    </row>
    <row r="156" spans="2:13" x14ac:dyDescent="0.2">
      <c r="B156" s="169">
        <v>40786</v>
      </c>
      <c r="C156" s="170">
        <v>2.3176244540428031E-2</v>
      </c>
      <c r="D156" s="162">
        <v>9.9986986813036527E-3</v>
      </c>
      <c r="E156" s="134"/>
      <c r="F156" s="166"/>
      <c r="G156" s="134"/>
      <c r="H156" s="162"/>
      <c r="I156" s="134"/>
      <c r="J156" s="165"/>
      <c r="K156" s="167"/>
      <c r="L156" s="44"/>
      <c r="M156" s="44"/>
    </row>
    <row r="157" spans="2:13" x14ac:dyDescent="0.2">
      <c r="B157" s="169">
        <v>40816</v>
      </c>
      <c r="C157" s="170">
        <v>1.6991182799443404E-2</v>
      </c>
      <c r="D157" s="162">
        <v>3.5362049089282532E-3</v>
      </c>
      <c r="E157" s="134"/>
      <c r="F157" s="166"/>
      <c r="G157" s="134"/>
      <c r="H157" s="162"/>
      <c r="I157" s="134"/>
      <c r="J157" s="165"/>
      <c r="K157" s="167"/>
      <c r="L157" s="44"/>
      <c r="M157" s="44"/>
    </row>
    <row r="158" spans="2:13" x14ac:dyDescent="0.2">
      <c r="B158" s="169">
        <v>40847</v>
      </c>
      <c r="C158" s="162">
        <v>2.4613764648437501E-2</v>
      </c>
      <c r="D158" s="162">
        <v>1.1123333942320901E-2</v>
      </c>
      <c r="E158" s="134"/>
      <c r="F158" s="166"/>
      <c r="G158" s="134"/>
      <c r="H158" s="162"/>
      <c r="I158" s="134"/>
      <c r="J158" s="165"/>
      <c r="K158" s="167"/>
      <c r="L158" s="44"/>
      <c r="M158" s="44"/>
    </row>
    <row r="159" spans="2:13" x14ac:dyDescent="0.2">
      <c r="B159" s="169">
        <v>40877</v>
      </c>
      <c r="C159" s="162">
        <v>2.3371118164062503E-2</v>
      </c>
      <c r="D159" s="162">
        <v>9.8214578965045707E-3</v>
      </c>
      <c r="E159" s="134"/>
      <c r="F159" s="166"/>
      <c r="G159" s="134"/>
      <c r="H159" s="162"/>
      <c r="I159" s="134"/>
      <c r="J159" s="134"/>
      <c r="K159" s="134"/>
      <c r="L159" s="44"/>
      <c r="M159" s="44"/>
    </row>
    <row r="160" spans="2:13" x14ac:dyDescent="0.2">
      <c r="B160" s="169">
        <v>40908</v>
      </c>
      <c r="C160" s="162">
        <v>2.492214739322662E-2</v>
      </c>
      <c r="D160" s="162">
        <v>1.0515910236677195E-2</v>
      </c>
      <c r="E160" s="172">
        <v>2.5404243164062507E-2</v>
      </c>
      <c r="F160" s="166">
        <v>1.1775920690321406E-2</v>
      </c>
      <c r="G160" s="134"/>
      <c r="H160" s="162"/>
      <c r="I160" s="134"/>
      <c r="J160" s="134"/>
      <c r="K160" s="134"/>
      <c r="L160" s="44"/>
      <c r="M160" s="44"/>
    </row>
    <row r="161" spans="2:13" x14ac:dyDescent="0.2">
      <c r="B161" s="169">
        <v>40939</v>
      </c>
      <c r="C161" s="162">
        <v>3.1015268554687503E-2</v>
      </c>
      <c r="D161" s="162">
        <v>1.7941996911883917E-2</v>
      </c>
      <c r="E161" s="134"/>
      <c r="F161" s="134"/>
      <c r="G161" s="134"/>
      <c r="H161" s="134"/>
      <c r="I161" s="134"/>
      <c r="J161" s="134"/>
      <c r="K161" s="134"/>
      <c r="L161" s="44"/>
      <c r="M161" s="44"/>
    </row>
    <row r="162" spans="2:13" x14ac:dyDescent="0.2">
      <c r="B162" s="169">
        <v>40968</v>
      </c>
      <c r="C162" s="162">
        <v>3.5189965820312516E-2</v>
      </c>
      <c r="D162" s="162">
        <v>2.1729992452113711E-2</v>
      </c>
      <c r="E162" s="134"/>
      <c r="F162" s="134"/>
      <c r="G162" s="134"/>
      <c r="H162" s="134"/>
      <c r="I162" s="134"/>
      <c r="J162" s="134"/>
      <c r="K162" s="134"/>
      <c r="L162" s="44"/>
      <c r="M162" s="44"/>
    </row>
    <row r="163" spans="2:13" x14ac:dyDescent="0.2">
      <c r="B163" s="174">
        <v>40999</v>
      </c>
      <c r="C163" s="170">
        <v>3.4631059570312511E-2</v>
      </c>
      <c r="D163" s="162">
        <v>2.1076218730202267E-2</v>
      </c>
      <c r="E163" s="134"/>
      <c r="F163" s="134"/>
      <c r="G163" s="134"/>
      <c r="H163" s="134"/>
      <c r="I163" s="134"/>
      <c r="J163" s="134"/>
      <c r="K163" s="134"/>
      <c r="L163" s="44"/>
      <c r="M163" s="44"/>
    </row>
    <row r="164" spans="2:13" x14ac:dyDescent="0.2">
      <c r="B164" s="174">
        <v>41029</v>
      </c>
      <c r="C164" s="170">
        <v>3.3569233398437495E-2</v>
      </c>
      <c r="D164" s="162">
        <v>2.0288992060290667E-2</v>
      </c>
      <c r="E164" s="134"/>
      <c r="F164" s="134"/>
      <c r="G164" s="134"/>
      <c r="H164" s="134"/>
      <c r="I164" s="134"/>
      <c r="J164" s="134"/>
      <c r="K164" s="134"/>
      <c r="L164" s="44"/>
      <c r="M164" s="44"/>
    </row>
    <row r="165" spans="2:13" x14ac:dyDescent="0.2">
      <c r="B165" s="174">
        <v>41060</v>
      </c>
      <c r="C165" s="170">
        <v>2.8288481445312506E-2</v>
      </c>
      <c r="D165" s="173">
        <v>1.4865738425540842E-2</v>
      </c>
      <c r="E165" s="134"/>
      <c r="F165" s="134"/>
      <c r="G165" s="39"/>
      <c r="H165" s="39"/>
      <c r="I165" s="39"/>
      <c r="J165" s="44"/>
      <c r="K165" s="44"/>
      <c r="L165" s="44"/>
      <c r="M165" s="44"/>
    </row>
    <row r="166" spans="2:13" x14ac:dyDescent="0.2">
      <c r="B166" s="174">
        <v>41090</v>
      </c>
      <c r="C166" s="170">
        <v>2.8859262695312506E-2</v>
      </c>
      <c r="D166" s="173">
        <v>1.5632923947092037E-2</v>
      </c>
      <c r="E166" s="134"/>
      <c r="F166" s="134"/>
      <c r="G166" s="39"/>
      <c r="H166" s="39"/>
      <c r="I166" s="39"/>
      <c r="J166" s="44"/>
      <c r="K166" s="44"/>
      <c r="L166" s="44"/>
      <c r="M166" s="44"/>
    </row>
    <row r="167" spans="2:13" x14ac:dyDescent="0.2">
      <c r="B167" s="174">
        <v>41121</v>
      </c>
      <c r="C167" s="170">
        <v>3.0935004882812506E-2</v>
      </c>
      <c r="D167" s="173">
        <v>1.7977601349618677E-2</v>
      </c>
      <c r="E167" s="134"/>
      <c r="F167" s="134"/>
      <c r="G167" s="39"/>
      <c r="H167" s="39"/>
      <c r="I167" s="39"/>
      <c r="J167" s="44"/>
      <c r="K167" s="44"/>
      <c r="L167" s="44"/>
      <c r="M167" s="44"/>
    </row>
    <row r="168" spans="2:13" x14ac:dyDescent="0.2">
      <c r="B168" s="174">
        <v>41152</v>
      </c>
      <c r="C168" s="170">
        <v>3.1047563476562505E-2</v>
      </c>
      <c r="D168" s="173">
        <v>1.809066091010636E-2</v>
      </c>
      <c r="E168" s="134"/>
      <c r="F168" s="134"/>
      <c r="G168" s="39"/>
      <c r="H168" s="39"/>
      <c r="I168" s="39"/>
      <c r="J168" s="44"/>
      <c r="K168" s="44"/>
      <c r="L168" s="44"/>
      <c r="M168" s="44"/>
    </row>
    <row r="169" spans="2:13" x14ac:dyDescent="0.2">
      <c r="B169" s="174">
        <v>41182</v>
      </c>
      <c r="C169" s="170">
        <v>3.2554301757812515E-2</v>
      </c>
      <c r="D169" s="173">
        <v>1.9407039951484961E-2</v>
      </c>
      <c r="E169" s="134"/>
      <c r="F169" s="134"/>
      <c r="G169" s="39"/>
      <c r="H169" s="39"/>
      <c r="I169" s="39"/>
      <c r="J169" s="44"/>
      <c r="K169" s="44"/>
      <c r="L169" s="44"/>
      <c r="M169" s="44"/>
    </row>
    <row r="170" spans="2:13" x14ac:dyDescent="0.2">
      <c r="B170" s="174">
        <v>41213</v>
      </c>
      <c r="C170" s="170">
        <v>3.2000000000000001E-2</v>
      </c>
      <c r="D170" s="173">
        <v>1.9E-2</v>
      </c>
      <c r="E170" s="134"/>
      <c r="F170" s="134"/>
      <c r="G170" s="39"/>
      <c r="H170" s="39"/>
      <c r="I170" s="39"/>
      <c r="J170" s="44"/>
      <c r="K170" s="44"/>
      <c r="L170" s="44"/>
      <c r="M170" s="44"/>
    </row>
    <row r="171" spans="2:13" x14ac:dyDescent="0.2">
      <c r="B171" s="174">
        <v>41243</v>
      </c>
      <c r="C171" s="170">
        <v>3.4284340820312509E-2</v>
      </c>
      <c r="D171" s="173">
        <v>2.1419156062164157E-2</v>
      </c>
      <c r="E171" s="134"/>
      <c r="F171" s="134"/>
      <c r="G171" s="39"/>
      <c r="H171" s="39"/>
      <c r="I171" s="39"/>
      <c r="J171" s="44"/>
      <c r="K171" s="44"/>
      <c r="L171" s="44"/>
      <c r="M171" s="44"/>
    </row>
    <row r="172" spans="2:13" x14ac:dyDescent="0.2">
      <c r="B172" s="174">
        <v>41274</v>
      </c>
      <c r="C172" s="170">
        <v>3.4646333007812502E-2</v>
      </c>
      <c r="D172" s="173">
        <v>2.1999999999999999E-2</v>
      </c>
      <c r="E172" s="172">
        <v>2.8646831054687502E-2</v>
      </c>
      <c r="F172" s="166">
        <v>1.5767971616328147E-2</v>
      </c>
      <c r="G172" s="39"/>
      <c r="H172" s="39"/>
      <c r="I172" s="39"/>
      <c r="J172" s="44"/>
      <c r="K172" s="44"/>
      <c r="L172" s="44"/>
      <c r="M172" s="44"/>
    </row>
    <row r="173" spans="2:13" x14ac:dyDescent="0.2">
      <c r="B173" s="174">
        <v>41305</v>
      </c>
      <c r="C173" s="170">
        <v>3.8501791992187492E-2</v>
      </c>
      <c r="D173" s="162">
        <v>2.5999999999999999E-2</v>
      </c>
      <c r="E173" s="134"/>
      <c r="F173" s="166"/>
      <c r="G173" s="39"/>
      <c r="H173" s="39"/>
      <c r="I173" s="39"/>
      <c r="J173" s="44"/>
      <c r="K173" s="44"/>
      <c r="L173" s="44"/>
      <c r="M173" s="44"/>
    </row>
    <row r="174" spans="2:13" x14ac:dyDescent="0.2">
      <c r="B174" s="169">
        <v>41333</v>
      </c>
      <c r="C174" s="170">
        <v>3.9431303710937518E-2</v>
      </c>
      <c r="D174" s="162">
        <v>2.7E-2</v>
      </c>
      <c r="E174" s="134"/>
      <c r="F174" s="134"/>
      <c r="G174" s="39"/>
      <c r="H174" s="39"/>
      <c r="I174" s="39"/>
      <c r="J174" s="44"/>
      <c r="K174" s="44"/>
      <c r="L174" s="44"/>
      <c r="M174" s="44"/>
    </row>
    <row r="175" spans="2:13" x14ac:dyDescent="0.2">
      <c r="B175" s="169">
        <v>41364</v>
      </c>
      <c r="C175" s="170">
        <v>4.0993569335937508E-2</v>
      </c>
      <c r="D175" s="175">
        <v>2.8000000000000001E-2</v>
      </c>
      <c r="E175" s="39"/>
      <c r="F175" s="39"/>
      <c r="G175" s="39"/>
      <c r="H175" s="39"/>
      <c r="I175" s="39"/>
      <c r="J175" s="44"/>
      <c r="K175" s="44"/>
      <c r="L175" s="44"/>
      <c r="M175" s="44"/>
    </row>
    <row r="176" spans="2:13" x14ac:dyDescent="0.2">
      <c r="B176" s="169">
        <v>41394</v>
      </c>
      <c r="C176" s="170">
        <v>4.2931303710937507E-2</v>
      </c>
      <c r="D176" s="175">
        <v>3.021634960992059E-2</v>
      </c>
      <c r="E176" s="39"/>
      <c r="F176" s="39"/>
      <c r="G176" s="39"/>
      <c r="H176" s="39"/>
      <c r="I176" s="39"/>
      <c r="J176" s="44"/>
      <c r="K176" s="44"/>
      <c r="L176" s="44"/>
      <c r="M176" s="44"/>
    </row>
    <row r="177" spans="2:13" x14ac:dyDescent="0.2">
      <c r="B177" s="169">
        <v>41425</v>
      </c>
      <c r="C177" s="170">
        <v>4.5287895507812509E-2</v>
      </c>
      <c r="D177" s="175">
        <v>3.2510235111782526E-2</v>
      </c>
      <c r="E177" s="39"/>
      <c r="F177" s="39"/>
      <c r="G177" s="39"/>
      <c r="H177" s="39"/>
      <c r="I177" s="39"/>
      <c r="J177" s="44"/>
      <c r="K177" s="44"/>
      <c r="L177" s="44"/>
      <c r="M177" s="44"/>
    </row>
    <row r="178" spans="2:13" x14ac:dyDescent="0.2">
      <c r="B178" s="169">
        <v>41455</v>
      </c>
      <c r="C178" s="170">
        <v>4.1000000000000002E-2</v>
      </c>
      <c r="D178" s="175">
        <v>2.9000000000000001E-2</v>
      </c>
      <c r="E178" s="39"/>
      <c r="F178" s="39"/>
      <c r="G178" s="39"/>
      <c r="H178" s="39"/>
      <c r="I178" s="39"/>
      <c r="J178" s="44"/>
      <c r="K178" s="44"/>
      <c r="L178" s="44"/>
      <c r="M178" s="44"/>
    </row>
    <row r="179" spans="2:13" x14ac:dyDescent="0.2">
      <c r="B179" s="169">
        <v>41486</v>
      </c>
      <c r="C179" s="170">
        <v>4.4999999999999998E-2</v>
      </c>
      <c r="D179" s="175">
        <v>3.2000000000000001E-2</v>
      </c>
      <c r="E179" s="39"/>
      <c r="F179" s="39"/>
      <c r="G179" s="39"/>
      <c r="H179" s="39"/>
      <c r="I179" s="39"/>
      <c r="J179" s="44"/>
      <c r="K179" s="44"/>
      <c r="L179" s="44"/>
      <c r="M179" s="44"/>
    </row>
    <row r="180" spans="2:13" x14ac:dyDescent="0.2">
      <c r="B180" s="169">
        <v>41517</v>
      </c>
      <c r="C180" s="173">
        <v>4.3019926757812507E-2</v>
      </c>
      <c r="D180" s="173">
        <v>3.0565346771909807E-2</v>
      </c>
      <c r="E180" s="39"/>
      <c r="F180" s="39"/>
      <c r="G180" s="39"/>
      <c r="H180" s="39"/>
      <c r="I180" s="39"/>
      <c r="J180" s="44"/>
      <c r="K180" s="44"/>
      <c r="L180" s="44"/>
      <c r="M180" s="44"/>
    </row>
    <row r="181" spans="2:13" x14ac:dyDescent="0.2">
      <c r="B181" s="169">
        <v>41547</v>
      </c>
      <c r="C181" s="173">
        <v>4.5229418945312502E-2</v>
      </c>
      <c r="D181" s="173">
        <v>3.2590249313495745E-2</v>
      </c>
      <c r="E181" s="39"/>
      <c r="F181" s="39"/>
      <c r="G181" s="39"/>
      <c r="H181" s="39"/>
      <c r="I181" s="39"/>
      <c r="J181" s="44"/>
      <c r="K181" s="44"/>
      <c r="L181" s="44"/>
      <c r="M181" s="44"/>
    </row>
    <row r="182" spans="2:13" x14ac:dyDescent="0.2">
      <c r="B182" s="169">
        <v>41578</v>
      </c>
      <c r="C182" s="173">
        <v>4.9000000000000002E-2</v>
      </c>
      <c r="D182" s="173">
        <v>3.5999999999999997E-2</v>
      </c>
      <c r="E182" s="39"/>
      <c r="F182" s="39"/>
      <c r="G182" s="39"/>
      <c r="H182" s="39"/>
      <c r="I182" s="39"/>
      <c r="J182" s="44"/>
      <c r="K182" s="44"/>
      <c r="L182" s="44"/>
      <c r="M182" s="44"/>
    </row>
    <row r="183" spans="2:13" x14ac:dyDescent="0.2">
      <c r="B183" s="169">
        <v>41608</v>
      </c>
      <c r="C183" s="173">
        <v>5.0999999999999997E-2</v>
      </c>
      <c r="D183" s="173">
        <v>3.9E-2</v>
      </c>
      <c r="E183" s="39"/>
      <c r="F183" s="39"/>
      <c r="G183" s="39"/>
      <c r="H183" s="39"/>
      <c r="I183" s="39"/>
      <c r="J183" s="44"/>
      <c r="K183" s="44"/>
      <c r="L183" s="44"/>
      <c r="M183" s="44"/>
    </row>
    <row r="184" spans="2:13" x14ac:dyDescent="0.2">
      <c r="B184" s="169">
        <v>41639</v>
      </c>
      <c r="C184" s="170">
        <v>5.0999999999999997E-2</v>
      </c>
      <c r="D184" s="173">
        <v>3.7999999999999999E-2</v>
      </c>
      <c r="E184" s="172">
        <v>2.4E-2</v>
      </c>
      <c r="F184" s="166">
        <v>1.2E-2</v>
      </c>
      <c r="G184" s="176"/>
      <c r="H184" s="39"/>
      <c r="I184" s="39"/>
      <c r="J184" s="44"/>
      <c r="K184" s="44"/>
      <c r="L184" s="44"/>
      <c r="M184" s="44"/>
    </row>
    <row r="185" spans="2:13" x14ac:dyDescent="0.2">
      <c r="B185" s="169">
        <v>41670</v>
      </c>
      <c r="C185" s="170">
        <v>4.7509770507812507E-2</v>
      </c>
      <c r="D185" s="173">
        <v>3.5704475850176109E-2</v>
      </c>
      <c r="E185" s="39"/>
      <c r="F185" s="39"/>
      <c r="G185" s="39"/>
      <c r="H185" s="39"/>
      <c r="I185" s="39"/>
      <c r="J185" s="44"/>
      <c r="K185" s="44"/>
      <c r="L185" s="44"/>
      <c r="M185" s="44"/>
    </row>
    <row r="186" spans="2:13" x14ac:dyDescent="0.2">
      <c r="B186" s="169">
        <v>41698</v>
      </c>
      <c r="C186" s="173">
        <v>5.1708959960937523E-2</v>
      </c>
      <c r="D186" s="173">
        <v>3.9678287364250497E-2</v>
      </c>
      <c r="E186" s="39"/>
      <c r="F186" s="39"/>
      <c r="G186" s="39"/>
      <c r="H186" s="39"/>
      <c r="I186" s="39"/>
      <c r="J186" s="44"/>
      <c r="K186" s="44"/>
      <c r="L186" s="44"/>
      <c r="M186" s="44"/>
    </row>
    <row r="187" spans="2:13" x14ac:dyDescent="0.2">
      <c r="B187" s="169">
        <v>41729</v>
      </c>
      <c r="C187" s="173">
        <v>5.1999999999999998E-2</v>
      </c>
      <c r="D187" s="173">
        <v>0.04</v>
      </c>
      <c r="E187" s="39"/>
      <c r="F187" s="39"/>
      <c r="G187" s="39"/>
      <c r="H187" s="39"/>
      <c r="I187" s="39"/>
      <c r="J187" s="44"/>
      <c r="K187" s="44"/>
      <c r="L187" s="44"/>
      <c r="M187" s="44"/>
    </row>
    <row r="188" spans="2:13" x14ac:dyDescent="0.2">
      <c r="B188" s="169">
        <v>41759</v>
      </c>
      <c r="C188" s="170">
        <v>5.3138706054687512E-2</v>
      </c>
      <c r="D188" s="173">
        <v>4.0989521007804397E-2</v>
      </c>
      <c r="E188" s="39"/>
      <c r="F188" s="39"/>
      <c r="G188" s="39"/>
      <c r="H188" s="39"/>
      <c r="I188" s="39"/>
      <c r="J188" s="44"/>
      <c r="K188" s="44"/>
      <c r="L188" s="44"/>
      <c r="M188" s="44"/>
    </row>
    <row r="189" spans="2:13" x14ac:dyDescent="0.2">
      <c r="B189" s="169">
        <v>41790</v>
      </c>
      <c r="C189" s="170">
        <v>5.7033979492187512E-2</v>
      </c>
      <c r="D189" s="173">
        <v>4.4864681036111742E-2</v>
      </c>
      <c r="E189" s="39"/>
      <c r="F189" s="39"/>
      <c r="G189" s="39"/>
      <c r="H189" s="39"/>
      <c r="I189" s="39"/>
      <c r="J189" s="44"/>
      <c r="K189" s="44"/>
      <c r="L189" s="44"/>
      <c r="M189" s="44"/>
    </row>
    <row r="190" spans="2:13" x14ac:dyDescent="0.2">
      <c r="B190" s="245">
        <v>41820</v>
      </c>
      <c r="C190" s="170">
        <v>5.8000000000000003E-2</v>
      </c>
      <c r="D190" s="173">
        <v>4.5999999999999999E-2</v>
      </c>
      <c r="E190" s="39"/>
      <c r="F190" s="39"/>
      <c r="G190" s="39"/>
      <c r="H190" s="39"/>
      <c r="I190" s="39"/>
      <c r="J190" s="44"/>
      <c r="K190" s="44"/>
      <c r="L190" s="44"/>
      <c r="M190" s="44"/>
    </row>
    <row r="191" spans="2:13" x14ac:dyDescent="0.2">
      <c r="B191" s="169">
        <v>41851</v>
      </c>
      <c r="C191" s="170">
        <v>5.8898247070312507E-2</v>
      </c>
      <c r="D191" s="170">
        <v>4.6876804335680644E-2</v>
      </c>
      <c r="E191" s="39"/>
      <c r="F191" s="39"/>
      <c r="G191" s="39"/>
      <c r="H191" s="39"/>
      <c r="I191" s="39"/>
      <c r="J191" s="44"/>
      <c r="K191" s="44"/>
      <c r="L191" s="44"/>
      <c r="M191" s="44"/>
    </row>
    <row r="192" spans="2:13" x14ac:dyDescent="0.2">
      <c r="B192" s="169">
        <v>41882</v>
      </c>
      <c r="C192" s="170">
        <v>6.0087006835937512E-2</v>
      </c>
      <c r="D192" s="170">
        <v>4.8158070905524042E-2</v>
      </c>
      <c r="E192" s="170"/>
      <c r="F192" s="170"/>
      <c r="G192" s="170"/>
      <c r="H192" s="39"/>
      <c r="I192" s="39"/>
      <c r="J192" s="44"/>
      <c r="K192" s="44"/>
      <c r="L192" s="44"/>
      <c r="M192" s="44"/>
    </row>
    <row r="193" spans="2:13" x14ac:dyDescent="0.2">
      <c r="B193" s="169">
        <v>41912</v>
      </c>
      <c r="C193" s="170">
        <v>5.9308852539062498E-2</v>
      </c>
      <c r="D193" s="170">
        <v>4.7353837554251488E-2</v>
      </c>
      <c r="E193" s="170"/>
      <c r="F193" s="170"/>
      <c r="G193" s="170"/>
      <c r="H193" s="39"/>
      <c r="I193" s="39"/>
      <c r="J193" s="44"/>
      <c r="K193" s="44"/>
      <c r="L193" s="44"/>
      <c r="M193" s="44"/>
    </row>
    <row r="194" spans="2:13" x14ac:dyDescent="0.2">
      <c r="B194" s="169">
        <v>41943</v>
      </c>
      <c r="C194" s="170">
        <v>6.1238891601562498E-2</v>
      </c>
      <c r="D194" s="170">
        <v>4.9283665742172023E-2</v>
      </c>
      <c r="E194" s="170"/>
      <c r="F194" s="170"/>
      <c r="G194" s="170"/>
      <c r="H194" s="39"/>
      <c r="I194" s="39"/>
      <c r="J194" s="44"/>
      <c r="K194" s="44"/>
      <c r="L194" s="44"/>
      <c r="M194" s="44"/>
    </row>
    <row r="195" spans="2:13" x14ac:dyDescent="0.2">
      <c r="B195" s="169">
        <v>41973</v>
      </c>
      <c r="C195" s="170">
        <v>6.3145004882812508E-2</v>
      </c>
      <c r="D195" s="170">
        <v>5.1296585932272709E-2</v>
      </c>
      <c r="E195" s="170"/>
      <c r="F195" s="170"/>
      <c r="G195" s="170"/>
      <c r="H195" s="39"/>
      <c r="I195" s="39"/>
      <c r="J195" s="44"/>
      <c r="K195" s="44"/>
      <c r="L195" s="44"/>
      <c r="M195" s="44"/>
    </row>
    <row r="196" spans="2:13" x14ac:dyDescent="0.2">
      <c r="B196" s="169">
        <v>42004</v>
      </c>
      <c r="C196" s="170">
        <v>6.4257553710937484E-2</v>
      </c>
      <c r="D196" s="170">
        <v>5.2363437649265432E-2</v>
      </c>
      <c r="E196" s="170">
        <v>2.4825893554687499E-2</v>
      </c>
      <c r="F196" s="170">
        <v>1.3372464750312618E-2</v>
      </c>
      <c r="G196" s="170"/>
      <c r="H196" s="39"/>
      <c r="I196" s="39"/>
      <c r="J196" s="44"/>
      <c r="K196" s="44"/>
      <c r="L196" s="44"/>
      <c r="M196" s="44"/>
    </row>
    <row r="197" spans="2:13" x14ac:dyDescent="0.2">
      <c r="B197" s="169">
        <v>42035</v>
      </c>
      <c r="C197" s="170">
        <v>6.8076977539062514E-2</v>
      </c>
      <c r="D197" s="170">
        <v>5.6750176126521223E-2</v>
      </c>
      <c r="E197" s="170"/>
      <c r="F197" s="170"/>
      <c r="G197" s="170"/>
      <c r="H197" s="39"/>
      <c r="I197" s="39"/>
      <c r="J197" s="44"/>
      <c r="K197" s="44"/>
      <c r="L197" s="44"/>
      <c r="M197" s="44"/>
    </row>
    <row r="198" spans="2:13" x14ac:dyDescent="0.2">
      <c r="B198" s="169">
        <v>42063</v>
      </c>
      <c r="C198" s="170">
        <v>7.3548276367187485E-2</v>
      </c>
      <c r="D198" s="170">
        <v>6.1839418162997983E-2</v>
      </c>
      <c r="E198" s="170"/>
      <c r="F198" s="170"/>
      <c r="G198" s="170"/>
      <c r="H198" s="39"/>
      <c r="I198" s="39"/>
      <c r="J198" s="44"/>
      <c r="K198" s="44"/>
      <c r="L198" s="44"/>
      <c r="M198" s="44"/>
    </row>
    <row r="199" spans="2:13" x14ac:dyDescent="0.2">
      <c r="B199" s="169">
        <v>42094</v>
      </c>
      <c r="C199" s="170">
        <v>7.4999999999999997E-2</v>
      </c>
      <c r="D199" s="170">
        <v>6.3E-2</v>
      </c>
      <c r="E199" s="170"/>
      <c r="F199" s="170"/>
      <c r="G199" s="170"/>
      <c r="H199" s="39"/>
      <c r="I199" s="39"/>
      <c r="J199" s="44"/>
      <c r="K199" s="44"/>
      <c r="L199" s="44"/>
      <c r="M199" s="44"/>
    </row>
    <row r="200" spans="2:13" x14ac:dyDescent="0.2">
      <c r="B200" s="169">
        <v>42124</v>
      </c>
      <c r="C200" s="170">
        <v>7.4109584960937488E-2</v>
      </c>
      <c r="D200" s="170">
        <v>6.2452188892409222E-2</v>
      </c>
      <c r="E200" s="170"/>
      <c r="F200" s="170"/>
      <c r="G200" s="170"/>
      <c r="H200" s="39"/>
      <c r="I200" s="39"/>
      <c r="J200" s="44"/>
      <c r="K200" s="44"/>
      <c r="L200" s="44"/>
      <c r="M200" s="44"/>
    </row>
    <row r="201" spans="2:13" x14ac:dyDescent="0.2">
      <c r="B201" s="169">
        <v>42155</v>
      </c>
      <c r="C201" s="170">
        <v>7.5254829101562518E-2</v>
      </c>
      <c r="D201" s="170">
        <v>6.3451950031283566E-2</v>
      </c>
      <c r="E201" s="170"/>
      <c r="F201" s="170"/>
      <c r="G201" s="170"/>
      <c r="H201" s="39"/>
      <c r="I201" s="39"/>
      <c r="J201" s="44"/>
      <c r="K201" s="44"/>
      <c r="L201" s="44"/>
      <c r="M201" s="44"/>
    </row>
    <row r="202" spans="2:13" x14ac:dyDescent="0.2">
      <c r="B202" s="169">
        <v>42185</v>
      </c>
      <c r="C202" s="170">
        <v>6.9000000000000006E-2</v>
      </c>
      <c r="D202" s="170">
        <v>5.8000000000000003E-2</v>
      </c>
      <c r="E202" s="170"/>
      <c r="F202" s="170"/>
      <c r="G202" s="170"/>
      <c r="H202" s="39"/>
      <c r="I202" s="39"/>
      <c r="J202" s="44"/>
      <c r="K202" s="44"/>
      <c r="L202" s="44"/>
      <c r="M202" s="44"/>
    </row>
    <row r="203" spans="2:13" x14ac:dyDescent="0.2">
      <c r="B203" s="169">
        <v>42216</v>
      </c>
      <c r="C203" s="170">
        <v>7.2231967773437503E-2</v>
      </c>
      <c r="D203" s="170">
        <v>6.0691903343027098E-2</v>
      </c>
      <c r="E203" s="170"/>
      <c r="F203" s="170"/>
      <c r="G203" s="170"/>
      <c r="H203" s="39"/>
      <c r="I203" s="39"/>
      <c r="J203" s="44"/>
      <c r="K203" s="44"/>
      <c r="L203" s="44"/>
      <c r="M203" s="44"/>
    </row>
    <row r="204" spans="2:13" x14ac:dyDescent="0.2">
      <c r="B204" s="169">
        <v>42247</v>
      </c>
      <c r="C204" s="170">
        <v>6.4853579101562489E-2</v>
      </c>
      <c r="D204" s="170">
        <v>5.354101860584537E-2</v>
      </c>
      <c r="E204" s="170"/>
      <c r="F204" s="170"/>
      <c r="G204" s="170"/>
      <c r="H204" s="39"/>
      <c r="I204" s="39"/>
      <c r="J204" s="44"/>
      <c r="K204" s="44"/>
      <c r="L204" s="44"/>
      <c r="M204" s="44"/>
    </row>
    <row r="205" spans="2:13" x14ac:dyDescent="0.2">
      <c r="B205" s="169">
        <v>42277</v>
      </c>
      <c r="C205" s="170">
        <v>6.0220356445312498E-2</v>
      </c>
      <c r="D205" s="170">
        <v>4.8799148656467617E-2</v>
      </c>
      <c r="E205" s="170"/>
      <c r="F205" s="170"/>
      <c r="G205" s="170"/>
      <c r="H205" s="39"/>
      <c r="I205" s="39"/>
      <c r="J205" s="44"/>
      <c r="K205" s="44"/>
      <c r="L205" s="44"/>
      <c r="M205" s="44"/>
    </row>
    <row r="206" spans="2:13" x14ac:dyDescent="0.2">
      <c r="B206" s="169">
        <v>42308</v>
      </c>
      <c r="C206" s="170">
        <v>6.6949321289062516E-2</v>
      </c>
      <c r="D206" s="170">
        <v>5.5464333436504587E-2</v>
      </c>
      <c r="E206" s="170"/>
      <c r="F206" s="170"/>
      <c r="G206" s="170"/>
      <c r="H206" s="39"/>
      <c r="I206" s="39"/>
      <c r="J206" s="44"/>
      <c r="K206" s="44"/>
      <c r="L206" s="44"/>
      <c r="M206" s="44"/>
    </row>
    <row r="207" spans="2:13" x14ac:dyDescent="0.2">
      <c r="B207" s="169">
        <v>42338</v>
      </c>
      <c r="C207" s="170">
        <v>6.824416503906254E-2</v>
      </c>
      <c r="D207" s="170">
        <v>5.6878755217900645E-2</v>
      </c>
      <c r="E207" s="170"/>
      <c r="F207" s="170"/>
      <c r="G207" s="170"/>
      <c r="H207" s="39"/>
      <c r="I207" s="39"/>
      <c r="J207" s="44"/>
      <c r="K207" s="44"/>
      <c r="L207" s="44"/>
      <c r="M207" s="44"/>
    </row>
    <row r="208" spans="2:13" x14ac:dyDescent="0.2">
      <c r="B208" s="169">
        <v>42369</v>
      </c>
      <c r="C208" s="170">
        <v>6.4044057617187497E-2</v>
      </c>
      <c r="D208" s="170">
        <v>5.2694345074882021E-2</v>
      </c>
      <c r="E208" s="170">
        <v>2.8203940429687498E-2</v>
      </c>
      <c r="F208" s="170">
        <v>1.7236519414362217E-2</v>
      </c>
      <c r="G208" s="170"/>
      <c r="H208" s="39"/>
      <c r="I208" s="39"/>
      <c r="J208" s="44"/>
      <c r="K208" s="44"/>
      <c r="L208" s="44"/>
      <c r="M208" s="44"/>
    </row>
    <row r="209" spans="2:13" x14ac:dyDescent="0.2">
      <c r="B209" s="169">
        <v>42400</v>
      </c>
      <c r="C209" s="170">
        <v>5.7633999023437521E-2</v>
      </c>
      <c r="D209" s="170">
        <v>4.6569628501169191E-2</v>
      </c>
      <c r="E209" s="170"/>
      <c r="F209" s="170"/>
      <c r="G209" s="170"/>
      <c r="H209" s="39"/>
      <c r="I209" s="39"/>
      <c r="J209" s="44"/>
      <c r="K209" s="44"/>
      <c r="L209" s="44"/>
      <c r="M209" s="44"/>
    </row>
    <row r="210" spans="2:13" x14ac:dyDescent="0.2">
      <c r="B210" s="169">
        <v>42429</v>
      </c>
      <c r="C210" s="170">
        <v>5.7370122070312501E-2</v>
      </c>
      <c r="D210" s="170">
        <v>4.6191734216294966E-2</v>
      </c>
      <c r="E210" s="170"/>
      <c r="F210" s="170"/>
      <c r="G210" s="170"/>
      <c r="H210" s="39"/>
      <c r="I210" s="39"/>
      <c r="J210" s="44"/>
      <c r="K210" s="44"/>
      <c r="L210" s="44"/>
      <c r="M210" s="44"/>
    </row>
    <row r="211" spans="2:13" x14ac:dyDescent="0.2">
      <c r="B211" s="169">
        <v>42460</v>
      </c>
      <c r="C211" s="170">
        <v>5.8672514648437521E-2</v>
      </c>
      <c r="D211" s="170">
        <v>4.7278269191232569E-2</v>
      </c>
      <c r="E211" s="170"/>
      <c r="F211" s="170"/>
      <c r="G211" s="170"/>
      <c r="H211" s="39"/>
      <c r="I211" s="39"/>
      <c r="J211" s="44"/>
      <c r="K211" s="44"/>
      <c r="L211" s="44"/>
      <c r="M211" s="44"/>
    </row>
    <row r="212" spans="2:13" x14ac:dyDescent="0.2">
      <c r="B212" s="169">
        <v>42490</v>
      </c>
      <c r="C212" s="170">
        <v>5.8484155273437519E-2</v>
      </c>
      <c r="D212" s="170">
        <v>4.7145950147996496E-2</v>
      </c>
      <c r="E212" s="170"/>
      <c r="F212" s="170"/>
      <c r="G212" s="170"/>
      <c r="H212" s="39"/>
      <c r="I212" s="39"/>
      <c r="J212" s="44"/>
      <c r="K212" s="44"/>
      <c r="L212" s="44"/>
      <c r="M212" s="44"/>
    </row>
    <row r="213" spans="2:13" x14ac:dyDescent="0.2">
      <c r="B213" s="169">
        <v>42521</v>
      </c>
      <c r="C213" s="170">
        <v>6.1221791992187496E-2</v>
      </c>
      <c r="D213" s="170">
        <v>4.9809464284329863E-2</v>
      </c>
      <c r="E213" s="170"/>
      <c r="F213" s="170"/>
      <c r="G213" s="170"/>
      <c r="H213" s="39"/>
      <c r="I213" s="39"/>
      <c r="J213" s="44"/>
      <c r="K213" s="44"/>
      <c r="L213" s="44"/>
      <c r="M213" s="44"/>
    </row>
    <row r="214" spans="2:13" x14ac:dyDescent="0.2">
      <c r="B214" s="169">
        <v>42551</v>
      </c>
      <c r="C214" s="170">
        <v>5.9694028320312509E-2</v>
      </c>
      <c r="D214" s="170">
        <v>4.8291149941902312E-2</v>
      </c>
      <c r="E214" s="170"/>
      <c r="F214" s="170"/>
      <c r="G214" s="170"/>
      <c r="H214" s="39"/>
      <c r="I214" s="39"/>
      <c r="J214" s="44"/>
      <c r="K214" s="44"/>
      <c r="L214" s="44"/>
      <c r="M214" s="44"/>
    </row>
    <row r="215" spans="2:13" x14ac:dyDescent="0.2">
      <c r="B215" s="169">
        <v>42582</v>
      </c>
      <c r="C215" s="170">
        <v>6.4098120117187476E-2</v>
      </c>
      <c r="D215" s="170">
        <v>5.2662670970432757E-2</v>
      </c>
      <c r="E215" s="170"/>
      <c r="F215" s="170"/>
      <c r="G215" s="170"/>
      <c r="H215" s="39"/>
      <c r="I215" s="39"/>
      <c r="J215" s="44"/>
      <c r="K215" s="44"/>
      <c r="L215" s="44"/>
      <c r="M215" s="44"/>
    </row>
    <row r="216" spans="2:13" x14ac:dyDescent="0.2">
      <c r="B216" s="169">
        <v>42613</v>
      </c>
      <c r="C216" s="170">
        <v>6.4803186058998125E-2</v>
      </c>
      <c r="D216" s="170">
        <v>5.3458447876366E-2</v>
      </c>
      <c r="E216" s="170"/>
      <c r="F216" s="170"/>
      <c r="G216" s="170"/>
      <c r="H216" s="39"/>
      <c r="I216" s="39"/>
      <c r="J216" s="44"/>
      <c r="K216" s="44"/>
      <c r="L216" s="44"/>
      <c r="M216" s="44"/>
    </row>
    <row r="217" spans="2:13" x14ac:dyDescent="0.2">
      <c r="B217" s="169">
        <v>42643</v>
      </c>
      <c r="C217" s="170">
        <v>6.4854136109352145E-2</v>
      </c>
      <c r="D217" s="170">
        <v>5.3470725589369827E-2</v>
      </c>
      <c r="E217" s="170"/>
      <c r="F217" s="170"/>
      <c r="G217" s="170"/>
      <c r="H217" s="39"/>
      <c r="I217" s="39"/>
      <c r="J217" s="44"/>
      <c r="K217" s="44"/>
      <c r="L217" s="44"/>
      <c r="M217" s="44"/>
    </row>
    <row r="218" spans="2:13" x14ac:dyDescent="0.2">
      <c r="B218" s="169">
        <v>42674</v>
      </c>
      <c r="C218" s="170">
        <v>6.5986338257789628E-2</v>
      </c>
      <c r="D218" s="170">
        <v>5.4467302236123727E-2</v>
      </c>
      <c r="E218" s="170"/>
      <c r="F218" s="170"/>
      <c r="G218" s="170"/>
      <c r="H218" s="39"/>
      <c r="I218" s="39"/>
      <c r="J218" s="44"/>
      <c r="K218" s="44"/>
      <c r="L218" s="44"/>
      <c r="M218" s="44"/>
    </row>
    <row r="219" spans="2:13" x14ac:dyDescent="0.2">
      <c r="B219" s="169">
        <v>42704</v>
      </c>
      <c r="C219" s="170">
        <v>6.7281797528266921E-2</v>
      </c>
      <c r="D219" s="170">
        <v>5.5777449633751752E-2</v>
      </c>
      <c r="E219" s="170"/>
      <c r="F219" s="170"/>
      <c r="G219" s="170"/>
      <c r="H219" s="39"/>
      <c r="I219" s="39"/>
      <c r="J219" s="44"/>
      <c r="K219" s="44"/>
      <c r="L219" s="44"/>
      <c r="M219" s="44"/>
    </row>
    <row r="220" spans="2:13" x14ac:dyDescent="0.2">
      <c r="B220" s="169">
        <v>42735</v>
      </c>
      <c r="C220" s="170">
        <v>6.7250260710716256E-2</v>
      </c>
      <c r="D220" s="170">
        <v>5.5777449633751752E-2</v>
      </c>
      <c r="E220" s="170">
        <v>2.9847344756126402E-2</v>
      </c>
      <c r="F220" s="170">
        <v>1.8557478048362164E-2</v>
      </c>
      <c r="G220" s="170"/>
      <c r="H220" s="39"/>
      <c r="I220" s="39"/>
      <c r="J220" s="44"/>
      <c r="K220" s="44"/>
      <c r="L220" s="44"/>
      <c r="M220" s="44"/>
    </row>
    <row r="221" spans="2:13" x14ac:dyDescent="0.2">
      <c r="B221" s="169">
        <v>42766</v>
      </c>
      <c r="C221" s="170">
        <v>6.678140461444855E-2</v>
      </c>
      <c r="D221" s="170">
        <v>5.546034285313195E-2</v>
      </c>
      <c r="E221" s="170"/>
      <c r="F221" s="170"/>
      <c r="G221" s="170"/>
      <c r="H221" s="39"/>
      <c r="I221" s="39"/>
      <c r="J221" s="44"/>
      <c r="K221" s="44"/>
      <c r="L221" s="44"/>
      <c r="M221" s="44"/>
    </row>
    <row r="222" spans="2:13" x14ac:dyDescent="0.2">
      <c r="B222" s="169">
        <v>42794</v>
      </c>
      <c r="C222" s="170">
        <v>7.0446261763572687E-2</v>
      </c>
      <c r="D222" s="170">
        <v>5.8792211776401704E-2</v>
      </c>
      <c r="E222" s="170"/>
      <c r="F222" s="170"/>
      <c r="G222" s="170"/>
      <c r="H222" s="39"/>
      <c r="I222" s="39"/>
      <c r="J222" s="44"/>
      <c r="K222" s="44"/>
      <c r="L222" s="44"/>
      <c r="M222" s="44"/>
    </row>
    <row r="223" spans="2:13" x14ac:dyDescent="0.2">
      <c r="B223" s="169">
        <v>42825</v>
      </c>
      <c r="C223" s="170">
        <v>7.0515719056129467E-2</v>
      </c>
      <c r="D223" s="170">
        <v>5.8912153091711827E-2</v>
      </c>
      <c r="E223" s="170"/>
      <c r="F223" s="170"/>
      <c r="G223" s="170"/>
      <c r="H223" s="39"/>
      <c r="I223" s="39"/>
      <c r="J223" s="44"/>
      <c r="K223" s="44"/>
      <c r="L223" s="44"/>
      <c r="M223" s="44"/>
    </row>
    <row r="224" spans="2:13" x14ac:dyDescent="0.2">
      <c r="B224" s="169">
        <v>42855</v>
      </c>
      <c r="C224" s="170">
        <v>7.1395435929298437E-2</v>
      </c>
      <c r="D224" s="170">
        <v>5.9548415034212709E-2</v>
      </c>
      <c r="E224" s="170"/>
      <c r="F224" s="170"/>
      <c r="G224" s="170"/>
      <c r="H224" s="39"/>
      <c r="I224" s="39"/>
      <c r="J224" s="44"/>
      <c r="K224" s="44"/>
      <c r="L224" s="44"/>
      <c r="M224" s="44"/>
    </row>
    <row r="225" spans="2:13" x14ac:dyDescent="0.2">
      <c r="B225" s="169">
        <v>42886</v>
      </c>
      <c r="C225" s="170">
        <v>7.172808945178985E-2</v>
      </c>
      <c r="D225" s="170">
        <v>5.9891908623134427E-2</v>
      </c>
      <c r="E225" s="170"/>
      <c r="F225" s="170"/>
      <c r="G225" s="170"/>
      <c r="H225" s="39"/>
      <c r="I225" s="39"/>
      <c r="J225" s="44"/>
      <c r="K225" s="44"/>
      <c r="L225" s="44"/>
      <c r="M225" s="44"/>
    </row>
    <row r="226" spans="2:13" x14ac:dyDescent="0.2">
      <c r="B226" s="169">
        <v>42916</v>
      </c>
      <c r="C226" s="170">
        <v>6.9000000000000006E-2</v>
      </c>
      <c r="D226" s="170">
        <v>5.8000000000000003E-2</v>
      </c>
      <c r="E226" s="170"/>
      <c r="F226" s="170"/>
      <c r="G226" s="170"/>
      <c r="H226" s="39"/>
      <c r="I226" s="39"/>
      <c r="J226" s="44"/>
      <c r="K226" s="44"/>
      <c r="L226" s="44"/>
      <c r="M226" s="44"/>
    </row>
    <row r="227" spans="2:13" x14ac:dyDescent="0.2">
      <c r="B227" s="169">
        <v>42947</v>
      </c>
      <c r="C227" s="170">
        <v>6.8000000000000005E-2</v>
      </c>
      <c r="D227" s="170">
        <v>5.6000000000000001E-2</v>
      </c>
      <c r="E227" s="170"/>
      <c r="F227" s="170"/>
      <c r="G227" s="170"/>
      <c r="H227" s="39"/>
      <c r="I227" s="39"/>
      <c r="J227" s="44"/>
      <c r="K227" s="44"/>
      <c r="L227" s="44"/>
      <c r="M227" s="44"/>
    </row>
    <row r="228" spans="2:13" x14ac:dyDescent="0.2">
      <c r="B228" s="169">
        <v>42978</v>
      </c>
      <c r="C228" s="170">
        <v>6.6752430796623241E-2</v>
      </c>
      <c r="D228" s="170">
        <v>5.4891996275059585E-2</v>
      </c>
      <c r="E228" s="170"/>
      <c r="F228" s="170"/>
      <c r="G228" s="170"/>
      <c r="H228" s="39"/>
      <c r="I228" s="39"/>
      <c r="J228" s="44"/>
      <c r="K228" s="44"/>
      <c r="L228" s="44"/>
      <c r="M228" s="44"/>
    </row>
    <row r="229" spans="2:13" x14ac:dyDescent="0.2">
      <c r="B229" s="169">
        <v>43008</v>
      </c>
      <c r="C229" s="170">
        <v>6.9597551226615914E-2</v>
      </c>
      <c r="D229" s="170">
        <v>5.7685399402702231E-2</v>
      </c>
      <c r="E229" s="170"/>
      <c r="F229" s="170"/>
      <c r="G229" s="170"/>
      <c r="H229" s="44"/>
      <c r="I229" s="44"/>
      <c r="J229" s="44"/>
      <c r="K229" s="44"/>
      <c r="L229" s="44"/>
      <c r="M229" s="44"/>
    </row>
    <row r="230" spans="2:13" x14ac:dyDescent="0.2">
      <c r="B230" s="169">
        <v>43039</v>
      </c>
      <c r="C230" s="170">
        <v>7.2357377409934989E-2</v>
      </c>
      <c r="D230" s="170">
        <v>6.0492862078971532E-2</v>
      </c>
      <c r="E230" s="170"/>
      <c r="F230" s="170"/>
      <c r="G230" s="170"/>
      <c r="H230" s="44"/>
      <c r="I230" s="44"/>
      <c r="J230" s="44"/>
      <c r="K230" s="44"/>
      <c r="L230" s="44"/>
      <c r="M230" s="44"/>
    </row>
    <row r="231" spans="2:13" x14ac:dyDescent="0.2">
      <c r="B231" s="169">
        <v>43069</v>
      </c>
      <c r="C231" s="170"/>
      <c r="D231" s="170"/>
      <c r="E231" s="170"/>
      <c r="F231" s="170"/>
      <c r="G231" s="170"/>
      <c r="H231" s="44"/>
      <c r="I231" s="44"/>
      <c r="J231" s="44"/>
      <c r="K231" s="44"/>
      <c r="L231" s="44"/>
      <c r="M231" s="44"/>
    </row>
    <row r="232" spans="2:13" x14ac:dyDescent="0.2">
      <c r="B232" s="169">
        <v>43100</v>
      </c>
      <c r="C232" s="170"/>
      <c r="D232" s="170"/>
      <c r="E232" s="170"/>
      <c r="F232" s="170"/>
      <c r="G232" s="170"/>
      <c r="H232" s="44"/>
      <c r="I232" s="44"/>
      <c r="J232" s="44"/>
      <c r="K232" s="44"/>
      <c r="L232" s="44"/>
      <c r="M232" s="44"/>
    </row>
    <row r="233" spans="2:13" x14ac:dyDescent="0.2">
      <c r="B233" s="169"/>
      <c r="C233" s="170"/>
      <c r="D233" s="170"/>
      <c r="E233" s="170"/>
      <c r="F233" s="170"/>
      <c r="G233" s="170"/>
      <c r="H233" s="44"/>
      <c r="I233" s="44"/>
      <c r="J233" s="44"/>
      <c r="K233" s="44"/>
      <c r="L233" s="44"/>
      <c r="M233" s="44"/>
    </row>
    <row r="234" spans="2:13" x14ac:dyDescent="0.2">
      <c r="B234" s="169"/>
      <c r="C234" s="44"/>
      <c r="D234" s="44"/>
      <c r="E234" s="44"/>
      <c r="F234" s="44"/>
      <c r="G234" s="44"/>
      <c r="H234" s="44"/>
      <c r="I234" s="44"/>
      <c r="J234" s="44"/>
      <c r="K234" s="44"/>
      <c r="L234" s="44"/>
      <c r="M234" s="44"/>
    </row>
    <row r="235" spans="2:13" x14ac:dyDescent="0.2">
      <c r="B235" s="169"/>
      <c r="C235" s="44"/>
      <c r="D235" s="44"/>
      <c r="E235" s="44"/>
      <c r="F235" s="44"/>
      <c r="G235" s="44"/>
      <c r="H235" s="44"/>
      <c r="I235" s="44"/>
      <c r="J235" s="44"/>
      <c r="K235" s="44"/>
      <c r="L235" s="44"/>
      <c r="M235" s="44"/>
    </row>
    <row r="236" spans="2:13" x14ac:dyDescent="0.2">
      <c r="B236" s="169"/>
      <c r="C236" s="44"/>
      <c r="D236" s="44"/>
      <c r="E236" s="44"/>
      <c r="F236" s="44"/>
      <c r="G236" s="44"/>
      <c r="H236" s="44"/>
      <c r="I236" s="44"/>
      <c r="J236" s="44"/>
      <c r="K236" s="44"/>
      <c r="L236" s="44"/>
      <c r="M236" s="44"/>
    </row>
    <row r="237" spans="2:13" x14ac:dyDescent="0.2">
      <c r="B237" s="169"/>
      <c r="C237" s="44"/>
      <c r="D237" s="44"/>
      <c r="E237" s="44"/>
      <c r="F237" s="44"/>
      <c r="G237" s="44"/>
      <c r="H237" s="44"/>
      <c r="I237" s="44"/>
      <c r="J237" s="44"/>
      <c r="K237" s="44"/>
      <c r="L237" s="44"/>
      <c r="M237" s="44"/>
    </row>
    <row r="238" spans="2:13" x14ac:dyDescent="0.2">
      <c r="B238" s="169"/>
      <c r="C238" s="44"/>
      <c r="D238" s="44"/>
      <c r="E238" s="44"/>
      <c r="F238" s="44"/>
      <c r="G238" s="44"/>
      <c r="H238" s="44"/>
      <c r="I238" s="44"/>
      <c r="J238" s="44"/>
      <c r="K238" s="44"/>
      <c r="L238" s="44"/>
      <c r="M238" s="44"/>
    </row>
    <row r="239" spans="2:13" x14ac:dyDescent="0.2">
      <c r="B239" s="169"/>
      <c r="C239" s="44"/>
      <c r="D239" s="44"/>
      <c r="E239" s="44"/>
      <c r="F239" s="44"/>
      <c r="G239" s="44"/>
      <c r="H239" s="44"/>
      <c r="I239" s="44"/>
      <c r="J239" s="44"/>
      <c r="K239" s="44"/>
      <c r="L239" s="44"/>
      <c r="M239" s="44"/>
    </row>
    <row r="240" spans="2:13" x14ac:dyDescent="0.2">
      <c r="B240" s="169"/>
      <c r="C240" s="44"/>
      <c r="D240" s="44"/>
      <c r="E240" s="44"/>
      <c r="F240" s="44"/>
      <c r="G240" s="44"/>
      <c r="H240" s="44"/>
      <c r="I240" s="44"/>
      <c r="J240" s="44"/>
      <c r="K240" s="44"/>
      <c r="L240" s="44"/>
      <c r="M240" s="44"/>
    </row>
    <row r="241" spans="2:13" x14ac:dyDescent="0.2">
      <c r="B241" s="169"/>
      <c r="C241" s="44"/>
      <c r="D241" s="44"/>
      <c r="E241" s="44"/>
      <c r="F241" s="44"/>
      <c r="G241" s="44"/>
      <c r="H241" s="44"/>
      <c r="I241" s="44"/>
      <c r="J241" s="44"/>
      <c r="K241" s="44"/>
      <c r="L241" s="44"/>
      <c r="M241" s="44"/>
    </row>
    <row r="242" spans="2:13" x14ac:dyDescent="0.2">
      <c r="B242" s="169"/>
      <c r="C242" s="44"/>
      <c r="D242" s="44"/>
      <c r="E242" s="44"/>
      <c r="F242" s="44"/>
      <c r="G242" s="44"/>
      <c r="H242" s="44"/>
      <c r="I242" s="44"/>
      <c r="J242" s="44"/>
      <c r="K242" s="44"/>
      <c r="L242" s="44"/>
      <c r="M242" s="44"/>
    </row>
    <row r="243" spans="2:13" x14ac:dyDescent="0.2">
      <c r="B243" s="169"/>
      <c r="C243" s="44"/>
      <c r="D243" s="44"/>
      <c r="E243" s="44"/>
      <c r="F243" s="44"/>
      <c r="G243" s="44"/>
      <c r="H243" s="44"/>
      <c r="I243" s="44"/>
      <c r="J243" s="44"/>
      <c r="K243" s="44"/>
      <c r="L243" s="44"/>
      <c r="M243" s="44"/>
    </row>
    <row r="244" spans="2:13" x14ac:dyDescent="0.2">
      <c r="B244" s="169"/>
      <c r="C244" s="44"/>
      <c r="D244" s="44"/>
      <c r="E244" s="44"/>
      <c r="F244" s="44"/>
      <c r="G244" s="44"/>
      <c r="H244" s="44"/>
      <c r="I244" s="44"/>
      <c r="J244" s="44"/>
      <c r="K244" s="44"/>
      <c r="L244" s="44"/>
      <c r="M244" s="44"/>
    </row>
  </sheetData>
  <mergeCells count="4">
    <mergeCell ref="C25:C26"/>
    <mergeCell ref="D25:D26"/>
    <mergeCell ref="E25:E26"/>
    <mergeCell ref="F25:F26"/>
  </mergeCells>
  <phoneticPr fontId="12" type="noConversion"/>
  <pageMargins left="0.1" right="0.11" top="1" bottom="1" header="0.5" footer="0.5"/>
  <pageSetup scale="85" orientation="landscape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2:V91"/>
  <sheetViews>
    <sheetView showGridLines="0" showRowColHeaders="0" workbookViewId="0">
      <pane ySplit="14" topLeftCell="A15" activePane="bottomLeft" state="frozen"/>
      <selection pane="bottomLeft"/>
    </sheetView>
  </sheetViews>
  <sheetFormatPr defaultRowHeight="12.75" x14ac:dyDescent="0.2"/>
  <cols>
    <col min="1" max="1" width="2.85546875" style="81" customWidth="1"/>
    <col min="2" max="2" width="26" style="81" customWidth="1"/>
    <col min="3" max="9" width="8.85546875" style="83" customWidth="1"/>
    <col min="10" max="14" width="8.85546875" style="81" customWidth="1"/>
    <col min="15" max="16" width="12.85546875" style="81" customWidth="1"/>
    <col min="17" max="19" width="12.7109375" style="81" customWidth="1"/>
    <col min="20" max="23" width="10.7109375" style="81" customWidth="1"/>
    <col min="24" max="44" width="10.140625" style="81" customWidth="1"/>
    <col min="45" max="16384" width="9.140625" style="81"/>
  </cols>
  <sheetData>
    <row r="2" spans="1:22" ht="24.95" customHeight="1" x14ac:dyDescent="0.2">
      <c r="B2" s="44"/>
      <c r="C2" s="39"/>
      <c r="D2" s="39"/>
      <c r="E2" s="39"/>
      <c r="F2" s="39"/>
      <c r="G2" s="39"/>
      <c r="H2" s="39"/>
      <c r="I2" s="39"/>
      <c r="J2" s="44"/>
      <c r="K2" s="44"/>
      <c r="L2" s="44"/>
      <c r="M2" s="44"/>
      <c r="N2" s="44"/>
      <c r="O2" s="44"/>
      <c r="P2" s="44"/>
      <c r="Q2" s="44"/>
      <c r="R2" s="44"/>
      <c r="S2" s="44"/>
    </row>
    <row r="3" spans="1:22" ht="24.95" customHeight="1" x14ac:dyDescent="0.2">
      <c r="B3" s="44"/>
      <c r="C3" s="39"/>
      <c r="D3" s="39"/>
      <c r="E3" s="39"/>
      <c r="F3" s="39"/>
      <c r="G3" s="39"/>
      <c r="H3" s="39"/>
      <c r="I3" s="39"/>
      <c r="J3" s="44"/>
      <c r="K3" s="44"/>
      <c r="L3" s="44"/>
      <c r="M3" s="44"/>
      <c r="N3" s="44"/>
      <c r="O3" s="44"/>
      <c r="P3" s="44"/>
      <c r="Q3" s="44"/>
      <c r="R3" s="44"/>
      <c r="S3" s="44"/>
    </row>
    <row r="4" spans="1:22" x14ac:dyDescent="0.2">
      <c r="A4" s="81" t="s">
        <v>91</v>
      </c>
      <c r="B4" s="44"/>
      <c r="C4" s="39"/>
      <c r="D4" s="39"/>
      <c r="E4" s="39"/>
      <c r="F4" s="39"/>
      <c r="G4" s="39"/>
      <c r="H4" s="39"/>
      <c r="I4" s="39"/>
      <c r="J4" s="44"/>
      <c r="K4" s="44"/>
      <c r="L4" s="44"/>
      <c r="M4" s="44"/>
      <c r="N4" s="44"/>
      <c r="O4" s="44"/>
      <c r="P4" s="44"/>
      <c r="Q4" s="44"/>
      <c r="R4" s="44"/>
      <c r="S4" s="44"/>
    </row>
    <row r="5" spans="1:22" ht="18" x14ac:dyDescent="0.25">
      <c r="B5" s="321" t="s">
        <v>123</v>
      </c>
      <c r="C5" s="39"/>
      <c r="D5" s="39"/>
      <c r="E5" s="39"/>
      <c r="F5" s="39"/>
      <c r="G5" s="39"/>
      <c r="H5" s="39"/>
      <c r="I5" s="39"/>
      <c r="J5" s="44"/>
      <c r="K5" s="44"/>
      <c r="L5" s="44"/>
      <c r="M5" s="44"/>
      <c r="N5" s="44"/>
      <c r="O5" s="44"/>
      <c r="P5" s="44"/>
      <c r="Q5" s="89"/>
      <c r="R5" s="89"/>
      <c r="S5" s="89"/>
    </row>
    <row r="6" spans="1:22" x14ac:dyDescent="0.2">
      <c r="B6" s="322" t="str">
        <f>'Värdeutveckling - konto'!C8</f>
        <v>Nästa uppdatering: 2017-12-18</v>
      </c>
      <c r="C6" s="39"/>
      <c r="D6" s="39"/>
      <c r="E6" s="39"/>
      <c r="F6" s="39"/>
      <c r="G6" s="39"/>
      <c r="H6" s="39"/>
      <c r="I6" s="39"/>
      <c r="J6" s="44"/>
      <c r="K6" s="44"/>
      <c r="L6" s="44"/>
      <c r="M6" s="44"/>
      <c r="N6" s="44"/>
      <c r="O6" s="44"/>
      <c r="P6" s="44"/>
      <c r="Q6" s="44"/>
      <c r="R6" s="44"/>
      <c r="S6" s="44"/>
    </row>
    <row r="7" spans="1:22" ht="17.25" customHeight="1" x14ac:dyDescent="0.2">
      <c r="B7" s="53" t="s">
        <v>119</v>
      </c>
      <c r="C7" s="39"/>
      <c r="D7" s="39"/>
      <c r="E7" s="39"/>
      <c r="F7" s="39"/>
      <c r="G7" s="39"/>
      <c r="H7" s="39"/>
      <c r="I7" s="39"/>
      <c r="J7" s="44"/>
      <c r="K7" s="44"/>
      <c r="L7" s="44"/>
      <c r="M7" s="44"/>
      <c r="N7" s="44"/>
      <c r="O7" s="44"/>
      <c r="P7" s="44"/>
      <c r="Q7" s="191"/>
      <c r="R7" s="191"/>
      <c r="S7" s="191"/>
    </row>
    <row r="8" spans="1:22" x14ac:dyDescent="0.2">
      <c r="B8" s="53" t="s">
        <v>120</v>
      </c>
      <c r="C8" s="39"/>
      <c r="D8" s="39"/>
      <c r="E8" s="39"/>
      <c r="F8" s="39"/>
      <c r="G8" s="39"/>
      <c r="H8" s="39"/>
      <c r="I8" s="39"/>
      <c r="J8" s="44"/>
      <c r="K8" s="44"/>
      <c r="L8" s="44"/>
      <c r="M8" s="44"/>
      <c r="N8" s="44"/>
      <c r="O8" s="44"/>
      <c r="P8" s="44"/>
      <c r="Q8" s="191"/>
      <c r="R8" s="191"/>
      <c r="S8" s="191"/>
    </row>
    <row r="9" spans="1:22" x14ac:dyDescent="0.2">
      <c r="B9" s="53" t="s">
        <v>121</v>
      </c>
      <c r="C9" s="39"/>
      <c r="D9" s="39"/>
      <c r="E9" s="39"/>
      <c r="F9" s="39"/>
      <c r="G9" s="39"/>
      <c r="H9" s="39"/>
      <c r="I9" s="39"/>
      <c r="J9" s="44"/>
      <c r="K9" s="44"/>
      <c r="L9" s="44"/>
      <c r="M9" s="44"/>
      <c r="N9" s="44"/>
      <c r="O9" s="44"/>
      <c r="P9" s="44"/>
      <c r="Q9" s="191"/>
      <c r="R9" s="191"/>
      <c r="S9" s="191"/>
    </row>
    <row r="10" spans="1:22" s="178" customFormat="1" x14ac:dyDescent="0.2">
      <c r="B10" s="191"/>
      <c r="C10" s="46"/>
      <c r="D10" s="46"/>
      <c r="E10" s="46"/>
      <c r="F10" s="46"/>
      <c r="G10" s="46"/>
      <c r="H10" s="46"/>
      <c r="I10" s="46"/>
      <c r="J10" s="42"/>
      <c r="K10" s="42"/>
      <c r="L10" s="42"/>
      <c r="M10" s="42"/>
      <c r="N10" s="42"/>
      <c r="O10" s="42"/>
      <c r="P10" s="42"/>
      <c r="Q10" s="192"/>
      <c r="R10" s="192"/>
      <c r="S10" s="192"/>
    </row>
    <row r="11" spans="1:22" s="178" customFormat="1" x14ac:dyDescent="0.2">
      <c r="B11" s="42"/>
      <c r="C11" s="46"/>
      <c r="D11" s="46"/>
      <c r="E11" s="46"/>
      <c r="F11" s="46"/>
      <c r="G11" s="46"/>
      <c r="H11" s="46"/>
      <c r="I11" s="46"/>
      <c r="J11" s="42"/>
      <c r="K11" s="42"/>
      <c r="L11" s="42"/>
      <c r="M11" s="42"/>
      <c r="N11" s="42"/>
      <c r="O11" s="42"/>
      <c r="P11" s="42"/>
      <c r="Q11" s="42"/>
      <c r="R11" s="42"/>
      <c r="S11" s="42"/>
    </row>
    <row r="12" spans="1:22" s="178" customFormat="1" ht="39" customHeight="1" x14ac:dyDescent="0.2">
      <c r="B12" s="42"/>
      <c r="C12" s="46"/>
      <c r="D12" s="46"/>
      <c r="E12" s="46"/>
      <c r="F12" s="46"/>
      <c r="G12" s="46"/>
      <c r="H12" s="46"/>
      <c r="I12" s="46"/>
      <c r="J12" s="42"/>
      <c r="K12" s="42"/>
      <c r="L12" s="42"/>
      <c r="M12" s="42"/>
      <c r="N12" s="42"/>
      <c r="O12" s="42"/>
      <c r="P12" s="42"/>
      <c r="Q12" s="42"/>
      <c r="R12" s="42"/>
      <c r="S12" s="42"/>
    </row>
    <row r="13" spans="1:22" s="148" customFormat="1" ht="12.75" customHeight="1" x14ac:dyDescent="0.2">
      <c r="B13" s="192"/>
      <c r="C13" s="193"/>
      <c r="D13" s="193"/>
      <c r="E13" s="193"/>
      <c r="F13" s="193"/>
      <c r="G13" s="193"/>
      <c r="H13" s="193"/>
      <c r="I13" s="192"/>
      <c r="J13" s="194"/>
      <c r="K13" s="194"/>
      <c r="L13" s="194"/>
      <c r="M13" s="194"/>
      <c r="N13" s="194"/>
      <c r="O13" s="194"/>
      <c r="P13" s="194"/>
      <c r="Q13" s="194"/>
      <c r="R13" s="194"/>
      <c r="S13" s="194"/>
      <c r="T13" s="180"/>
      <c r="U13" s="180"/>
      <c r="V13" s="180"/>
    </row>
    <row r="14" spans="1:22" s="181" customFormat="1" x14ac:dyDescent="0.2">
      <c r="B14" s="325" t="s">
        <v>84</v>
      </c>
      <c r="C14" s="234">
        <v>2001</v>
      </c>
      <c r="D14" s="234">
        <v>2002</v>
      </c>
      <c r="E14" s="234">
        <v>2003</v>
      </c>
      <c r="F14" s="234">
        <v>2004</v>
      </c>
      <c r="G14" s="234">
        <v>2005</v>
      </c>
      <c r="H14" s="235">
        <v>39082</v>
      </c>
      <c r="I14" s="234">
        <v>2007</v>
      </c>
      <c r="J14" s="234">
        <v>2008</v>
      </c>
      <c r="K14" s="238">
        <v>2009</v>
      </c>
      <c r="L14" s="238">
        <v>2010</v>
      </c>
      <c r="M14" s="238">
        <v>2011</v>
      </c>
      <c r="N14" s="238">
        <v>2012</v>
      </c>
      <c r="O14" s="236">
        <v>41639</v>
      </c>
      <c r="P14" s="236">
        <v>42004</v>
      </c>
      <c r="Q14" s="236">
        <v>42369</v>
      </c>
      <c r="R14" s="236">
        <v>42370</v>
      </c>
      <c r="S14" s="239">
        <v>43039</v>
      </c>
      <c r="T14" s="182"/>
    </row>
    <row r="15" spans="1:22" ht="20.100000000000001" customHeight="1" x14ac:dyDescent="0.2">
      <c r="B15" s="53" t="s">
        <v>987</v>
      </c>
      <c r="C15" s="173">
        <v>-0.111</v>
      </c>
      <c r="D15" s="228">
        <v>-0.31223079839764201</v>
      </c>
      <c r="E15" s="228">
        <v>0.1782730775091621</v>
      </c>
      <c r="F15" s="228">
        <v>8.7501758829949594E-2</v>
      </c>
      <c r="G15" s="228">
        <v>0.30552648011758543</v>
      </c>
      <c r="H15" s="228">
        <v>0.12140116450721394</v>
      </c>
      <c r="I15" s="228">
        <v>5.6636805614445285E-2</v>
      </c>
      <c r="J15" s="228">
        <v>-0.34156819000074978</v>
      </c>
      <c r="K15" s="228">
        <v>0.34685505788951732</v>
      </c>
      <c r="L15" s="173">
        <v>0.12151293044644662</v>
      </c>
      <c r="M15" s="175">
        <v>-0.10687426681227297</v>
      </c>
      <c r="N15" s="175">
        <v>0.12125473461444458</v>
      </c>
      <c r="O15" s="175">
        <v>0.21099999999999999</v>
      </c>
      <c r="P15" s="175">
        <v>0.20699999999999999</v>
      </c>
      <c r="Q15" s="290">
        <v>6.4000000000000001E-2</v>
      </c>
      <c r="R15" s="290">
        <v>0.10855501959583491</v>
      </c>
      <c r="S15" s="339">
        <v>0.12281109661700196</v>
      </c>
      <c r="U15" s="184"/>
    </row>
    <row r="16" spans="1:22" ht="20.100000000000001" customHeight="1" x14ac:dyDescent="0.2">
      <c r="B16" s="326" t="s">
        <v>988</v>
      </c>
      <c r="C16" s="335">
        <v>-0.106</v>
      </c>
      <c r="D16" s="335">
        <v>-0.26700000000000002</v>
      </c>
      <c r="E16" s="335">
        <v>0.187</v>
      </c>
      <c r="F16" s="335">
        <v>0.10100000000000001</v>
      </c>
      <c r="G16" s="335">
        <v>0.251</v>
      </c>
      <c r="H16" s="335">
        <v>0.105</v>
      </c>
      <c r="I16" s="335">
        <v>4.7E-2</v>
      </c>
      <c r="J16" s="336">
        <v>-0.36199999999999999</v>
      </c>
      <c r="K16" s="336">
        <v>0.35141800246609134</v>
      </c>
      <c r="L16" s="202">
        <v>0.14644453351666153</v>
      </c>
      <c r="M16" s="201">
        <v>-0.10536246609942557</v>
      </c>
      <c r="N16" s="201">
        <v>0.17497988455497548</v>
      </c>
      <c r="O16" s="201">
        <v>0.318</v>
      </c>
      <c r="P16" s="201">
        <v>0.29099999999999998</v>
      </c>
      <c r="Q16" s="291">
        <v>6.2E-2</v>
      </c>
      <c r="R16" s="291">
        <v>0.15138751375459392</v>
      </c>
      <c r="S16" s="291">
        <v>0.13997492244189713</v>
      </c>
      <c r="U16" s="184"/>
    </row>
    <row r="17" spans="1:21" ht="5.0999999999999996" customHeight="1" x14ac:dyDescent="0.2">
      <c r="B17" s="44"/>
      <c r="C17" s="39"/>
      <c r="D17" s="39"/>
      <c r="E17" s="39"/>
      <c r="F17" s="39"/>
      <c r="G17" s="39"/>
      <c r="H17" s="39"/>
      <c r="I17" s="39"/>
      <c r="J17" s="39"/>
      <c r="K17" s="39"/>
      <c r="L17" s="44"/>
      <c r="M17" s="44"/>
      <c r="N17" s="44"/>
      <c r="O17" s="44"/>
      <c r="P17" s="44"/>
      <c r="Q17" s="51"/>
      <c r="R17" s="51"/>
      <c r="S17" s="51"/>
      <c r="U17" s="184"/>
    </row>
    <row r="18" spans="1:21" x14ac:dyDescent="0.2">
      <c r="B18" s="200" t="s">
        <v>147</v>
      </c>
      <c r="C18" s="39"/>
      <c r="D18" s="39"/>
      <c r="E18" s="39"/>
      <c r="F18" s="39"/>
      <c r="G18" s="39"/>
      <c r="H18" s="39"/>
      <c r="I18" s="39"/>
      <c r="J18" s="44"/>
      <c r="K18" s="44"/>
      <c r="L18" s="20"/>
      <c r="M18" s="44"/>
      <c r="N18" s="44"/>
      <c r="O18" s="44"/>
      <c r="P18" s="44"/>
      <c r="Q18" s="196"/>
      <c r="R18" s="196"/>
      <c r="S18" s="196"/>
      <c r="U18" s="184"/>
    </row>
    <row r="19" spans="1:21" x14ac:dyDescent="0.2">
      <c r="B19" s="200" t="s">
        <v>148</v>
      </c>
      <c r="C19" s="39"/>
      <c r="D19" s="39"/>
      <c r="E19" s="39"/>
      <c r="F19" s="39"/>
      <c r="G19" s="39"/>
      <c r="H19" s="39"/>
      <c r="I19" s="39"/>
      <c r="J19" s="44"/>
      <c r="K19" s="44"/>
      <c r="L19" s="20"/>
      <c r="M19" s="44"/>
      <c r="N19" s="44"/>
      <c r="O19" s="44"/>
      <c r="P19" s="44"/>
      <c r="Q19" s="43"/>
      <c r="R19" s="43"/>
      <c r="S19" s="43"/>
      <c r="U19" s="184"/>
    </row>
    <row r="20" spans="1:21" x14ac:dyDescent="0.2">
      <c r="B20" s="200" t="s">
        <v>1100</v>
      </c>
      <c r="C20" s="39"/>
      <c r="D20" s="39"/>
      <c r="E20" s="39"/>
      <c r="F20" s="39"/>
      <c r="G20" s="39"/>
      <c r="H20" s="39"/>
      <c r="I20" s="39"/>
      <c r="J20" s="44"/>
      <c r="K20" s="44"/>
      <c r="L20" s="20"/>
      <c r="M20" s="44"/>
      <c r="N20" s="44"/>
      <c r="O20" s="44"/>
      <c r="P20" s="44"/>
      <c r="Q20" s="43"/>
      <c r="R20" s="43"/>
      <c r="S20" s="43"/>
      <c r="U20" s="184"/>
    </row>
    <row r="21" spans="1:21" ht="20.100000000000001" customHeight="1" x14ac:dyDescent="0.2">
      <c r="A21" s="178"/>
      <c r="B21" s="44"/>
      <c r="C21" s="197"/>
      <c r="D21" s="197"/>
      <c r="E21" s="197"/>
      <c r="F21" s="197"/>
      <c r="G21" s="197"/>
      <c r="H21" s="197"/>
      <c r="I21" s="197"/>
      <c r="J21" s="197"/>
      <c r="K21" s="197"/>
      <c r="L21" s="198"/>
      <c r="M21" s="42"/>
      <c r="N21" s="199"/>
      <c r="O21" s="44"/>
      <c r="P21" s="44"/>
      <c r="Q21" s="43"/>
      <c r="R21" s="43"/>
      <c r="S21" s="43"/>
      <c r="U21" s="184"/>
    </row>
    <row r="22" spans="1:21" x14ac:dyDescent="0.2">
      <c r="A22" s="178"/>
      <c r="F22" s="187"/>
      <c r="G22" s="187"/>
      <c r="H22" s="187"/>
      <c r="I22" s="187"/>
      <c r="J22" s="187"/>
      <c r="K22" s="187"/>
      <c r="L22" s="189"/>
      <c r="M22" s="178"/>
      <c r="N22" s="188"/>
      <c r="Q22" s="185"/>
      <c r="R22" s="185"/>
      <c r="S22" s="185"/>
      <c r="U22" s="184"/>
    </row>
    <row r="23" spans="1:21" x14ac:dyDescent="0.2">
      <c r="A23" s="178"/>
      <c r="F23" s="179"/>
      <c r="G23" s="179"/>
      <c r="H23" s="179"/>
      <c r="I23" s="179"/>
      <c r="J23" s="178"/>
      <c r="K23" s="178"/>
      <c r="L23" s="178"/>
      <c r="M23" s="178"/>
      <c r="N23" s="188"/>
      <c r="Q23" s="185"/>
      <c r="R23" s="185"/>
      <c r="S23" s="185"/>
      <c r="U23" s="184"/>
    </row>
    <row r="24" spans="1:21" x14ac:dyDescent="0.2">
      <c r="F24" s="151"/>
      <c r="G24" s="151"/>
      <c r="H24" s="151"/>
      <c r="I24" s="151"/>
      <c r="K24" s="82"/>
      <c r="L24" s="82"/>
      <c r="Q24" s="185"/>
      <c r="R24" s="185"/>
      <c r="S24" s="185"/>
      <c r="U24" s="184"/>
    </row>
    <row r="25" spans="1:21" x14ac:dyDescent="0.2">
      <c r="B25" s="108"/>
      <c r="C25" s="108"/>
      <c r="D25" s="108"/>
      <c r="E25" s="187"/>
      <c r="F25" s="151"/>
      <c r="G25" s="151"/>
      <c r="H25" s="151"/>
      <c r="I25" s="151"/>
      <c r="K25" s="82"/>
      <c r="L25" s="82"/>
      <c r="Q25" s="185"/>
      <c r="R25" s="185"/>
      <c r="S25" s="185"/>
      <c r="U25" s="184"/>
    </row>
    <row r="26" spans="1:21" x14ac:dyDescent="0.2">
      <c r="B26" s="108"/>
      <c r="C26" s="108"/>
      <c r="D26" s="108"/>
      <c r="E26" s="179"/>
      <c r="F26" s="108"/>
      <c r="G26" s="108"/>
      <c r="H26" s="151"/>
      <c r="I26" s="151"/>
      <c r="K26" s="82"/>
      <c r="L26" s="82"/>
      <c r="M26" s="185"/>
      <c r="N26" s="188"/>
      <c r="O26" s="188"/>
      <c r="P26" s="188"/>
      <c r="Q26" s="186"/>
      <c r="R26" s="186"/>
      <c r="S26" s="186"/>
    </row>
    <row r="27" spans="1:21" x14ac:dyDescent="0.2">
      <c r="B27" s="108"/>
      <c r="C27" s="108"/>
      <c r="D27" s="108"/>
      <c r="E27" s="151"/>
      <c r="F27" s="108"/>
      <c r="G27" s="108"/>
      <c r="H27" s="151"/>
      <c r="I27" s="151"/>
      <c r="K27" s="82"/>
      <c r="L27" s="82"/>
      <c r="M27" s="185"/>
      <c r="O27" s="184"/>
      <c r="P27" s="184"/>
    </row>
    <row r="28" spans="1:21" x14ac:dyDescent="0.2">
      <c r="B28" s="108"/>
      <c r="C28" s="108"/>
      <c r="D28" s="108"/>
      <c r="E28" s="151"/>
      <c r="F28" s="108"/>
      <c r="G28" s="108"/>
      <c r="H28" s="151"/>
      <c r="I28" s="151"/>
      <c r="K28" s="82"/>
      <c r="L28" s="185"/>
      <c r="M28" s="186"/>
      <c r="N28" s="186"/>
    </row>
    <row r="29" spans="1:21" x14ac:dyDescent="0.2">
      <c r="B29" s="108"/>
      <c r="C29" s="108"/>
      <c r="D29" s="108"/>
      <c r="E29" s="108"/>
      <c r="F29" s="108"/>
      <c r="G29" s="108"/>
      <c r="H29" s="151"/>
      <c r="I29" s="151"/>
      <c r="J29" s="186"/>
      <c r="K29" s="82"/>
      <c r="M29" s="186"/>
      <c r="N29" s="184"/>
    </row>
    <row r="30" spans="1:21" x14ac:dyDescent="0.2">
      <c r="E30" s="108"/>
      <c r="F30" s="108"/>
      <c r="G30" s="108"/>
      <c r="H30" s="151"/>
      <c r="I30" s="151"/>
      <c r="K30" s="86"/>
      <c r="M30" s="186"/>
      <c r="N30" s="184"/>
    </row>
    <row r="31" spans="1:21" x14ac:dyDescent="0.2">
      <c r="B31" s="151"/>
      <c r="C31" s="151"/>
      <c r="D31" s="151"/>
      <c r="E31" s="151"/>
      <c r="F31" s="151"/>
      <c r="G31" s="151"/>
      <c r="H31" s="151"/>
      <c r="I31" s="151"/>
      <c r="K31" s="86"/>
      <c r="N31" s="184"/>
    </row>
    <row r="32" spans="1:21" x14ac:dyDescent="0.2">
      <c r="B32" s="151"/>
      <c r="C32" s="151"/>
      <c r="D32" s="151"/>
      <c r="E32" s="151"/>
      <c r="F32" s="151"/>
      <c r="G32" s="151"/>
      <c r="H32" s="151"/>
      <c r="I32" s="151"/>
      <c r="K32" s="86"/>
      <c r="N32" s="184"/>
    </row>
    <row r="33" spans="2:14" x14ac:dyDescent="0.2">
      <c r="B33" s="151"/>
      <c r="C33" s="151"/>
      <c r="D33" s="151"/>
      <c r="E33" s="151"/>
      <c r="F33" s="151"/>
      <c r="G33" s="151"/>
      <c r="H33" s="151"/>
      <c r="I33" s="151"/>
      <c r="K33" s="86"/>
      <c r="N33" s="184"/>
    </row>
    <row r="34" spans="2:14" x14ac:dyDescent="0.2">
      <c r="B34" s="151"/>
      <c r="C34" s="151"/>
      <c r="D34" s="151"/>
      <c r="E34" s="151"/>
      <c r="F34" s="151"/>
      <c r="G34" s="151"/>
      <c r="H34" s="151"/>
      <c r="I34" s="151"/>
      <c r="K34" s="86"/>
      <c r="N34" s="184"/>
    </row>
    <row r="35" spans="2:14" x14ac:dyDescent="0.2">
      <c r="B35" s="151"/>
      <c r="C35" s="151"/>
      <c r="D35" s="151"/>
      <c r="E35" s="151"/>
      <c r="F35" s="151"/>
      <c r="G35" s="151"/>
      <c r="H35" s="151"/>
      <c r="I35" s="151"/>
      <c r="K35" s="86"/>
      <c r="N35" s="184"/>
    </row>
    <row r="36" spans="2:14" ht="14.25" x14ac:dyDescent="0.2">
      <c r="B36" s="190"/>
      <c r="C36" s="151"/>
      <c r="D36" s="151"/>
      <c r="E36" s="151"/>
      <c r="F36" s="151"/>
      <c r="G36" s="151"/>
      <c r="H36" s="151"/>
      <c r="I36" s="151"/>
      <c r="K36" s="86"/>
      <c r="N36" s="184"/>
    </row>
    <row r="37" spans="2:14" x14ac:dyDescent="0.2">
      <c r="B37" s="151"/>
      <c r="C37" s="151"/>
      <c r="D37" s="151"/>
      <c r="E37" s="151"/>
      <c r="F37" s="151"/>
      <c r="G37" s="151"/>
      <c r="H37" s="151"/>
      <c r="I37" s="151"/>
      <c r="K37" s="86"/>
      <c r="N37" s="184"/>
    </row>
    <row r="38" spans="2:14" x14ac:dyDescent="0.2">
      <c r="B38" s="151"/>
      <c r="C38" s="151"/>
      <c r="D38" s="151"/>
      <c r="E38" s="151"/>
      <c r="F38" s="151"/>
      <c r="G38" s="151"/>
      <c r="H38" s="151"/>
      <c r="I38" s="151"/>
      <c r="K38" s="86"/>
      <c r="N38" s="184"/>
    </row>
    <row r="39" spans="2:14" x14ac:dyDescent="0.2">
      <c r="B39" s="151"/>
      <c r="C39" s="151"/>
      <c r="D39" s="151"/>
      <c r="E39" s="151"/>
      <c r="F39" s="151"/>
      <c r="G39" s="151"/>
      <c r="H39" s="151"/>
      <c r="I39" s="151"/>
      <c r="K39" s="86"/>
      <c r="N39" s="184"/>
    </row>
    <row r="40" spans="2:14" x14ac:dyDescent="0.2">
      <c r="B40" s="151"/>
      <c r="C40" s="151"/>
      <c r="D40" s="151"/>
      <c r="E40" s="151"/>
      <c r="F40" s="151"/>
      <c r="G40" s="151"/>
      <c r="H40" s="151"/>
      <c r="I40" s="151"/>
      <c r="K40" s="86"/>
      <c r="N40" s="184"/>
    </row>
    <row r="41" spans="2:14" x14ac:dyDescent="0.2">
      <c r="B41" s="151"/>
      <c r="C41" s="151"/>
      <c r="D41" s="151"/>
      <c r="E41" s="151"/>
      <c r="F41" s="151"/>
      <c r="G41" s="151"/>
      <c r="H41" s="151"/>
      <c r="I41" s="151"/>
      <c r="K41" s="86"/>
      <c r="N41" s="184"/>
    </row>
    <row r="42" spans="2:14" x14ac:dyDescent="0.2">
      <c r="B42" s="151"/>
      <c r="C42" s="151"/>
      <c r="D42" s="151"/>
      <c r="E42" s="151"/>
      <c r="F42" s="151"/>
      <c r="G42" s="151"/>
      <c r="H42" s="151"/>
      <c r="I42" s="151"/>
      <c r="K42" s="86"/>
      <c r="N42" s="184"/>
    </row>
    <row r="43" spans="2:14" x14ac:dyDescent="0.2">
      <c r="B43" s="151"/>
      <c r="C43" s="151"/>
      <c r="D43" s="151"/>
      <c r="E43" s="151"/>
      <c r="F43" s="151"/>
      <c r="G43" s="151"/>
      <c r="H43" s="151"/>
      <c r="I43" s="151"/>
      <c r="K43" s="86"/>
      <c r="N43" s="184"/>
    </row>
    <row r="44" spans="2:14" x14ac:dyDescent="0.2">
      <c r="B44" s="151"/>
      <c r="C44" s="151"/>
      <c r="D44" s="151"/>
      <c r="E44" s="151"/>
      <c r="F44" s="151"/>
      <c r="G44" s="151"/>
      <c r="H44" s="151"/>
      <c r="I44" s="151"/>
      <c r="K44" s="86"/>
      <c r="N44" s="184"/>
    </row>
    <row r="45" spans="2:14" x14ac:dyDescent="0.2">
      <c r="B45" s="151"/>
      <c r="C45" s="151"/>
      <c r="D45" s="151"/>
      <c r="E45" s="151"/>
      <c r="F45" s="151"/>
      <c r="G45" s="151"/>
      <c r="H45" s="151"/>
      <c r="I45" s="151"/>
      <c r="K45" s="86"/>
      <c r="N45" s="184"/>
    </row>
    <row r="46" spans="2:14" x14ac:dyDescent="0.2">
      <c r="B46" s="151"/>
      <c r="C46" s="151"/>
      <c r="D46" s="151"/>
      <c r="E46" s="151"/>
      <c r="F46" s="151"/>
      <c r="G46" s="151"/>
      <c r="H46" s="151"/>
      <c r="I46" s="151"/>
      <c r="K46" s="86"/>
      <c r="N46" s="184"/>
    </row>
    <row r="47" spans="2:14" x14ac:dyDescent="0.2">
      <c r="B47" s="151"/>
      <c r="C47" s="151"/>
      <c r="D47" s="151"/>
      <c r="E47" s="151"/>
      <c r="F47" s="151"/>
      <c r="G47" s="151"/>
      <c r="H47" s="151"/>
      <c r="I47" s="151"/>
      <c r="K47" s="86"/>
      <c r="N47" s="184"/>
    </row>
    <row r="48" spans="2:14" x14ac:dyDescent="0.2">
      <c r="B48" s="151"/>
      <c r="C48" s="151"/>
      <c r="D48" s="151"/>
      <c r="E48" s="151"/>
      <c r="F48" s="151"/>
      <c r="G48" s="151"/>
      <c r="H48" s="151"/>
      <c r="I48" s="151"/>
      <c r="K48" s="86"/>
      <c r="N48" s="184"/>
    </row>
    <row r="49" spans="2:14" x14ac:dyDescent="0.2">
      <c r="B49" s="151"/>
      <c r="C49" s="151"/>
      <c r="D49" s="151"/>
      <c r="E49" s="151"/>
      <c r="F49" s="151"/>
      <c r="G49" s="151"/>
      <c r="H49" s="151"/>
      <c r="I49" s="151"/>
      <c r="K49" s="86"/>
      <c r="N49" s="184"/>
    </row>
    <row r="50" spans="2:14" x14ac:dyDescent="0.2">
      <c r="B50" s="151"/>
      <c r="C50" s="151"/>
      <c r="D50" s="151"/>
      <c r="E50" s="151"/>
      <c r="F50" s="151"/>
      <c r="G50" s="151"/>
      <c r="H50" s="151"/>
      <c r="I50" s="151"/>
      <c r="K50" s="86"/>
      <c r="N50" s="184"/>
    </row>
    <row r="51" spans="2:14" x14ac:dyDescent="0.2">
      <c r="B51" s="151"/>
      <c r="C51" s="151"/>
      <c r="D51" s="151"/>
      <c r="E51" s="151"/>
      <c r="F51" s="151"/>
      <c r="G51" s="151"/>
      <c r="H51" s="151"/>
      <c r="I51" s="151"/>
      <c r="K51" s="86"/>
      <c r="N51" s="184"/>
    </row>
    <row r="52" spans="2:14" x14ac:dyDescent="0.2">
      <c r="B52" s="151"/>
      <c r="C52" s="151"/>
      <c r="D52" s="151"/>
      <c r="E52" s="151"/>
      <c r="F52" s="151"/>
      <c r="G52" s="151"/>
      <c r="H52" s="151"/>
      <c r="I52" s="151"/>
      <c r="K52" s="86"/>
      <c r="N52" s="184"/>
    </row>
    <row r="53" spans="2:14" x14ac:dyDescent="0.2">
      <c r="B53" s="151"/>
      <c r="C53" s="151"/>
      <c r="D53" s="151"/>
      <c r="E53" s="151"/>
      <c r="F53" s="151"/>
      <c r="G53" s="151"/>
      <c r="H53" s="151"/>
      <c r="I53" s="151"/>
      <c r="K53" s="86"/>
      <c r="N53" s="184"/>
    </row>
    <row r="54" spans="2:14" x14ac:dyDescent="0.2">
      <c r="B54" s="151"/>
      <c r="C54" s="151"/>
      <c r="D54" s="151"/>
      <c r="E54" s="151"/>
      <c r="F54" s="151"/>
      <c r="G54" s="151"/>
      <c r="H54" s="151"/>
      <c r="I54" s="151"/>
      <c r="K54" s="86"/>
      <c r="N54" s="184"/>
    </row>
    <row r="55" spans="2:14" x14ac:dyDescent="0.2">
      <c r="B55" s="151"/>
      <c r="C55" s="151"/>
      <c r="D55" s="151"/>
      <c r="E55" s="151"/>
      <c r="F55" s="151"/>
      <c r="G55" s="151"/>
      <c r="H55" s="151"/>
      <c r="I55" s="151"/>
      <c r="K55" s="86"/>
      <c r="N55" s="184"/>
    </row>
    <row r="56" spans="2:14" x14ac:dyDescent="0.2">
      <c r="B56" s="151"/>
      <c r="C56" s="151"/>
      <c r="D56" s="151"/>
      <c r="E56" s="151"/>
      <c r="F56" s="151"/>
      <c r="G56" s="151"/>
      <c r="H56" s="151"/>
      <c r="I56" s="151"/>
      <c r="K56" s="86"/>
      <c r="N56" s="184"/>
    </row>
    <row r="57" spans="2:14" x14ac:dyDescent="0.2">
      <c r="B57" s="151"/>
      <c r="C57" s="151"/>
      <c r="D57" s="151"/>
      <c r="E57" s="151"/>
      <c r="F57" s="151"/>
      <c r="G57" s="151"/>
      <c r="H57" s="151"/>
      <c r="I57" s="151"/>
      <c r="K57" s="86"/>
      <c r="N57" s="184"/>
    </row>
    <row r="58" spans="2:14" x14ac:dyDescent="0.2">
      <c r="B58" s="151"/>
      <c r="C58" s="151"/>
      <c r="D58" s="151"/>
      <c r="E58" s="151"/>
      <c r="F58" s="151"/>
      <c r="G58" s="151"/>
      <c r="H58" s="151"/>
      <c r="I58" s="151"/>
      <c r="K58" s="86"/>
      <c r="N58" s="184"/>
    </row>
    <row r="59" spans="2:14" x14ac:dyDescent="0.2">
      <c r="B59" s="151"/>
      <c r="C59" s="151"/>
      <c r="D59" s="151"/>
      <c r="E59" s="151"/>
      <c r="F59" s="151"/>
      <c r="G59" s="151"/>
      <c r="H59" s="151"/>
      <c r="I59" s="151"/>
      <c r="K59" s="86"/>
      <c r="N59" s="184"/>
    </row>
    <row r="60" spans="2:14" x14ac:dyDescent="0.2">
      <c r="B60" s="151"/>
      <c r="C60" s="151"/>
      <c r="D60" s="151"/>
      <c r="E60" s="151"/>
      <c r="F60" s="151"/>
      <c r="G60" s="151"/>
      <c r="H60" s="151"/>
      <c r="I60" s="151"/>
      <c r="K60" s="86"/>
      <c r="N60" s="184"/>
    </row>
    <row r="61" spans="2:14" x14ac:dyDescent="0.2">
      <c r="B61" s="151"/>
      <c r="C61" s="151"/>
      <c r="D61" s="151"/>
      <c r="E61" s="151"/>
      <c r="F61" s="151"/>
      <c r="G61" s="151"/>
      <c r="H61" s="151"/>
      <c r="I61" s="151"/>
      <c r="K61" s="86"/>
      <c r="N61" s="184"/>
    </row>
    <row r="62" spans="2:14" x14ac:dyDescent="0.2">
      <c r="B62" s="151"/>
      <c r="C62" s="151"/>
      <c r="D62" s="151"/>
      <c r="E62" s="151"/>
      <c r="F62" s="151"/>
      <c r="G62" s="151"/>
      <c r="H62" s="151"/>
      <c r="I62" s="151"/>
      <c r="K62" s="86"/>
      <c r="N62" s="184"/>
    </row>
    <row r="63" spans="2:14" x14ac:dyDescent="0.2">
      <c r="B63" s="151"/>
      <c r="C63" s="151"/>
      <c r="D63" s="151"/>
      <c r="E63" s="151"/>
      <c r="F63" s="151"/>
      <c r="G63" s="151"/>
      <c r="H63" s="151"/>
      <c r="I63" s="151"/>
      <c r="K63" s="86"/>
      <c r="N63" s="184"/>
    </row>
    <row r="64" spans="2:14" x14ac:dyDescent="0.2">
      <c r="B64" s="151"/>
      <c r="C64" s="151"/>
      <c r="D64" s="151"/>
      <c r="E64" s="151"/>
      <c r="F64" s="151"/>
      <c r="G64" s="151"/>
      <c r="H64" s="151"/>
      <c r="I64" s="151"/>
      <c r="K64" s="86"/>
      <c r="N64" s="184"/>
    </row>
    <row r="65" spans="2:14" x14ac:dyDescent="0.2">
      <c r="B65" s="151"/>
      <c r="C65" s="151"/>
      <c r="D65" s="151"/>
      <c r="E65" s="151"/>
      <c r="F65" s="151"/>
      <c r="G65" s="151"/>
      <c r="H65" s="151"/>
      <c r="I65" s="151"/>
      <c r="K65" s="86"/>
      <c r="N65" s="184"/>
    </row>
    <row r="66" spans="2:14" x14ac:dyDescent="0.2">
      <c r="B66" s="151"/>
      <c r="C66" s="151"/>
      <c r="D66" s="151"/>
      <c r="E66" s="151"/>
      <c r="F66" s="151"/>
      <c r="G66" s="151"/>
      <c r="H66" s="151"/>
      <c r="I66" s="151"/>
      <c r="K66" s="86"/>
      <c r="N66" s="184"/>
    </row>
    <row r="67" spans="2:14" x14ac:dyDescent="0.2">
      <c r="B67" s="151"/>
      <c r="C67" s="151"/>
      <c r="D67" s="151"/>
      <c r="E67" s="151"/>
      <c r="F67" s="151"/>
      <c r="G67" s="151"/>
      <c r="H67" s="151"/>
      <c r="I67" s="151"/>
      <c r="K67" s="86"/>
      <c r="N67" s="184"/>
    </row>
    <row r="68" spans="2:14" x14ac:dyDescent="0.2">
      <c r="B68" s="151"/>
      <c r="C68" s="151"/>
      <c r="D68" s="151"/>
      <c r="E68" s="151"/>
      <c r="F68" s="151"/>
      <c r="G68" s="151"/>
      <c r="H68" s="151"/>
      <c r="I68" s="151"/>
      <c r="N68" s="184"/>
    </row>
    <row r="69" spans="2:14" x14ac:dyDescent="0.2">
      <c r="B69" s="151"/>
      <c r="C69" s="151"/>
      <c r="D69" s="151"/>
      <c r="E69" s="151"/>
      <c r="F69" s="151"/>
      <c r="G69" s="151"/>
      <c r="H69" s="151"/>
      <c r="I69" s="151"/>
      <c r="N69" s="184"/>
    </row>
    <row r="70" spans="2:14" x14ac:dyDescent="0.2">
      <c r="B70" s="151"/>
      <c r="C70" s="151"/>
      <c r="D70" s="151"/>
      <c r="E70" s="151"/>
      <c r="F70" s="151"/>
      <c r="G70" s="151"/>
      <c r="H70" s="151"/>
      <c r="I70" s="151"/>
      <c r="N70" s="184"/>
    </row>
    <row r="71" spans="2:14" x14ac:dyDescent="0.2">
      <c r="B71" s="151"/>
      <c r="C71" s="151"/>
      <c r="D71" s="151"/>
      <c r="E71" s="151"/>
      <c r="F71" s="151"/>
      <c r="G71" s="151"/>
      <c r="H71" s="151"/>
      <c r="I71" s="151"/>
      <c r="N71" s="184"/>
    </row>
    <row r="72" spans="2:14" x14ac:dyDescent="0.2">
      <c r="B72" s="151"/>
      <c r="C72" s="151"/>
      <c r="D72" s="151"/>
      <c r="E72" s="151"/>
      <c r="F72" s="151"/>
      <c r="G72" s="151"/>
      <c r="H72" s="151"/>
      <c r="I72" s="151"/>
    </row>
    <row r="73" spans="2:14" x14ac:dyDescent="0.2">
      <c r="B73" s="151"/>
      <c r="C73" s="151"/>
      <c r="D73" s="151"/>
      <c r="E73" s="151"/>
      <c r="F73" s="151"/>
      <c r="G73" s="151"/>
      <c r="H73" s="151"/>
      <c r="I73" s="151"/>
    </row>
    <row r="74" spans="2:14" x14ac:dyDescent="0.2">
      <c r="B74" s="151"/>
      <c r="C74" s="151"/>
      <c r="D74" s="151"/>
      <c r="E74" s="151"/>
      <c r="F74" s="151"/>
      <c r="G74" s="151"/>
      <c r="H74" s="151"/>
      <c r="I74" s="151"/>
    </row>
    <row r="75" spans="2:14" x14ac:dyDescent="0.2">
      <c r="B75" s="151"/>
      <c r="C75" s="151"/>
      <c r="D75" s="151"/>
      <c r="E75" s="151"/>
      <c r="F75" s="151"/>
      <c r="G75" s="151"/>
      <c r="H75" s="151"/>
      <c r="I75" s="151"/>
    </row>
    <row r="76" spans="2:14" x14ac:dyDescent="0.2">
      <c r="B76" s="151"/>
      <c r="C76" s="151"/>
      <c r="D76" s="151"/>
      <c r="E76" s="151"/>
      <c r="F76" s="151"/>
      <c r="G76" s="151"/>
      <c r="H76" s="151"/>
      <c r="I76" s="151"/>
    </row>
    <row r="77" spans="2:14" x14ac:dyDescent="0.2">
      <c r="B77" s="151"/>
      <c r="C77" s="151"/>
      <c r="D77" s="151"/>
      <c r="E77" s="151"/>
      <c r="F77" s="151"/>
      <c r="G77" s="151"/>
      <c r="H77" s="151"/>
      <c r="I77" s="151"/>
    </row>
    <row r="78" spans="2:14" x14ac:dyDescent="0.2">
      <c r="B78" s="151"/>
      <c r="C78" s="151"/>
      <c r="D78" s="151"/>
      <c r="E78" s="151"/>
      <c r="F78" s="151"/>
      <c r="G78" s="151"/>
      <c r="H78" s="151"/>
      <c r="I78" s="151"/>
    </row>
    <row r="79" spans="2:14" x14ac:dyDescent="0.2">
      <c r="B79" s="151"/>
      <c r="C79" s="151"/>
      <c r="D79" s="151"/>
      <c r="E79" s="151"/>
      <c r="F79" s="151"/>
      <c r="G79" s="151"/>
      <c r="H79" s="151"/>
      <c r="I79" s="151"/>
    </row>
    <row r="80" spans="2:14" x14ac:dyDescent="0.2">
      <c r="B80" s="151"/>
      <c r="C80" s="151"/>
      <c r="D80" s="151"/>
      <c r="E80" s="151"/>
      <c r="F80" s="151"/>
      <c r="G80" s="151"/>
      <c r="H80" s="151"/>
      <c r="I80" s="151"/>
    </row>
    <row r="81" spans="2:9" x14ac:dyDescent="0.2">
      <c r="B81" s="151"/>
      <c r="C81" s="151"/>
      <c r="D81" s="151"/>
      <c r="E81" s="151"/>
      <c r="F81" s="151"/>
      <c r="G81" s="151"/>
      <c r="H81" s="151"/>
      <c r="I81" s="151"/>
    </row>
    <row r="82" spans="2:9" x14ac:dyDescent="0.2">
      <c r="B82" s="151"/>
      <c r="C82" s="151"/>
      <c r="D82" s="151"/>
      <c r="E82" s="151"/>
      <c r="F82" s="151"/>
      <c r="G82" s="151"/>
      <c r="H82" s="151"/>
      <c r="I82" s="151"/>
    </row>
    <row r="83" spans="2:9" x14ac:dyDescent="0.2">
      <c r="B83" s="151"/>
      <c r="C83" s="151"/>
      <c r="D83" s="151"/>
      <c r="E83" s="151"/>
      <c r="F83" s="151"/>
      <c r="G83" s="151"/>
      <c r="H83" s="151"/>
      <c r="I83" s="151"/>
    </row>
    <row r="84" spans="2:9" x14ac:dyDescent="0.2">
      <c r="B84" s="151"/>
      <c r="C84" s="151"/>
      <c r="D84" s="151"/>
      <c r="E84" s="151"/>
      <c r="F84" s="151"/>
      <c r="G84" s="151"/>
      <c r="H84" s="151"/>
      <c r="I84" s="151"/>
    </row>
    <row r="85" spans="2:9" x14ac:dyDescent="0.2">
      <c r="B85" s="151"/>
      <c r="C85" s="151"/>
      <c r="D85" s="151"/>
      <c r="E85" s="151"/>
      <c r="F85" s="151"/>
      <c r="G85" s="151"/>
      <c r="H85" s="151"/>
      <c r="I85" s="151"/>
    </row>
    <row r="86" spans="2:9" x14ac:dyDescent="0.2">
      <c r="B86" s="151"/>
      <c r="C86" s="151"/>
      <c r="D86" s="151"/>
      <c r="E86" s="151"/>
      <c r="F86" s="151"/>
      <c r="G86" s="151"/>
      <c r="H86" s="151"/>
      <c r="I86" s="151"/>
    </row>
    <row r="87" spans="2:9" x14ac:dyDescent="0.2">
      <c r="B87" s="151"/>
      <c r="C87" s="151"/>
      <c r="D87" s="151"/>
      <c r="E87" s="151"/>
      <c r="F87" s="151"/>
      <c r="G87" s="151"/>
      <c r="H87" s="151"/>
      <c r="I87" s="151"/>
    </row>
    <row r="88" spans="2:9" x14ac:dyDescent="0.2">
      <c r="B88" s="151"/>
      <c r="C88" s="151"/>
      <c r="D88" s="151"/>
      <c r="E88" s="151"/>
      <c r="F88" s="151"/>
      <c r="G88" s="151"/>
      <c r="H88" s="151"/>
      <c r="I88" s="151"/>
    </row>
    <row r="89" spans="2:9" x14ac:dyDescent="0.2">
      <c r="B89" s="151"/>
      <c r="C89" s="151"/>
      <c r="D89" s="151"/>
      <c r="E89" s="151"/>
      <c r="F89" s="151"/>
      <c r="G89" s="151"/>
      <c r="H89" s="151"/>
      <c r="I89" s="151"/>
    </row>
    <row r="90" spans="2:9" x14ac:dyDescent="0.2">
      <c r="B90" s="151"/>
      <c r="C90" s="151"/>
      <c r="D90" s="151"/>
      <c r="E90" s="151"/>
      <c r="F90" s="151"/>
      <c r="G90" s="151"/>
      <c r="H90" s="151"/>
      <c r="I90" s="151"/>
    </row>
    <row r="91" spans="2:9" x14ac:dyDescent="0.2">
      <c r="B91" s="151"/>
      <c r="C91" s="151"/>
      <c r="D91" s="151"/>
      <c r="E91" s="151"/>
      <c r="F91" s="151"/>
      <c r="G91" s="151"/>
      <c r="H91" s="151"/>
      <c r="I91" s="151"/>
    </row>
  </sheetData>
  <phoneticPr fontId="12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2:AC97"/>
  <sheetViews>
    <sheetView showRowColHeaders="0" workbookViewId="0">
      <pane ySplit="15" topLeftCell="A16" activePane="bottomLeft" state="frozen"/>
      <selection pane="bottomLeft"/>
    </sheetView>
  </sheetViews>
  <sheetFormatPr defaultRowHeight="12.75" x14ac:dyDescent="0.2"/>
  <cols>
    <col min="1" max="1" width="2.85546875" style="81" customWidth="1"/>
    <col min="2" max="2" width="26" style="81" customWidth="1"/>
    <col min="3" max="9" width="7.28515625" style="83" customWidth="1"/>
    <col min="10" max="14" width="7.28515625" style="81" customWidth="1"/>
    <col min="15" max="17" width="10.7109375" style="81" customWidth="1"/>
    <col min="18" max="20" width="12.7109375" style="81" customWidth="1"/>
    <col min="21" max="23" width="10.7109375" style="81" customWidth="1"/>
    <col min="24" max="44" width="10.140625" style="81" customWidth="1"/>
    <col min="45" max="16384" width="9.140625" style="81"/>
  </cols>
  <sheetData>
    <row r="2" spans="1:29" ht="24.95" customHeight="1" x14ac:dyDescent="0.2">
      <c r="B2" s="44"/>
      <c r="C2" s="39"/>
      <c r="D2" s="39"/>
      <c r="E2" s="39"/>
      <c r="F2" s="39"/>
      <c r="G2" s="39"/>
      <c r="H2" s="39"/>
      <c r="I2" s="39"/>
      <c r="J2" s="44"/>
      <c r="K2" s="44"/>
      <c r="L2" s="44"/>
      <c r="M2" s="44"/>
      <c r="N2" s="44"/>
      <c r="O2" s="44"/>
      <c r="P2" s="44"/>
      <c r="Q2" s="44"/>
      <c r="R2" s="44"/>
      <c r="S2" s="44"/>
      <c r="T2" s="44"/>
    </row>
    <row r="3" spans="1:29" ht="24.95" customHeight="1" x14ac:dyDescent="0.2">
      <c r="B3" s="44"/>
      <c r="C3" s="39"/>
      <c r="D3" s="39"/>
      <c r="E3" s="39"/>
      <c r="F3" s="39"/>
      <c r="G3" s="39"/>
      <c r="H3" s="39"/>
      <c r="I3" s="39"/>
      <c r="J3" s="44"/>
      <c r="K3" s="44"/>
      <c r="L3" s="44"/>
      <c r="M3" s="44"/>
      <c r="N3" s="44"/>
      <c r="O3" s="44"/>
      <c r="P3" s="44"/>
      <c r="Q3" s="44"/>
      <c r="R3" s="44"/>
      <c r="S3" s="44"/>
      <c r="T3" s="44"/>
    </row>
    <row r="4" spans="1:29" x14ac:dyDescent="0.2">
      <c r="B4" s="44"/>
      <c r="C4" s="39"/>
      <c r="D4" s="39"/>
      <c r="E4" s="39"/>
      <c r="F4" s="39"/>
      <c r="G4" s="39"/>
      <c r="H4" s="39"/>
      <c r="I4" s="39"/>
      <c r="J4" s="44"/>
      <c r="K4" s="44"/>
      <c r="L4" s="44"/>
      <c r="M4" s="44"/>
      <c r="N4" s="44"/>
      <c r="O4" s="44"/>
      <c r="P4" s="44"/>
      <c r="Q4" s="44"/>
      <c r="R4" s="44"/>
      <c r="S4" s="44"/>
      <c r="T4" s="44"/>
    </row>
    <row r="5" spans="1:29" x14ac:dyDescent="0.2">
      <c r="B5" s="44"/>
      <c r="C5" s="39"/>
      <c r="D5" s="39"/>
      <c r="E5" s="39"/>
      <c r="F5" s="39"/>
      <c r="G5" s="39"/>
      <c r="H5" s="39"/>
      <c r="I5" s="39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</row>
    <row r="6" spans="1:29" ht="18" x14ac:dyDescent="0.25">
      <c r="B6" s="316" t="s">
        <v>6</v>
      </c>
      <c r="C6" s="39"/>
      <c r="D6" s="39"/>
      <c r="E6" s="39"/>
      <c r="F6" s="39"/>
      <c r="G6" s="39"/>
      <c r="H6" s="39"/>
      <c r="I6" s="39"/>
      <c r="J6" s="39"/>
      <c r="K6" s="44"/>
      <c r="L6" s="44"/>
      <c r="M6" s="44"/>
      <c r="N6" s="44"/>
      <c r="O6" s="44"/>
      <c r="P6" s="89"/>
      <c r="Q6" s="89"/>
      <c r="R6" s="44"/>
      <c r="S6" s="44"/>
      <c r="T6" s="44"/>
    </row>
    <row r="7" spans="1:29" x14ac:dyDescent="0.2">
      <c r="B7" s="322" t="str">
        <f>'Värdeutveckling - konto'!C8</f>
        <v>Nästa uppdatering: 2017-12-18</v>
      </c>
      <c r="C7" s="39"/>
      <c r="D7" s="39"/>
      <c r="E7" s="39"/>
      <c r="F7" s="39"/>
      <c r="G7" s="39"/>
      <c r="H7" s="39"/>
      <c r="I7" s="39"/>
      <c r="J7" s="44"/>
      <c r="K7" s="44"/>
      <c r="L7" s="44"/>
      <c r="M7" s="44"/>
      <c r="N7" s="44"/>
      <c r="O7" s="44"/>
      <c r="P7" s="44"/>
      <c r="Q7" s="44"/>
      <c r="R7" s="44"/>
      <c r="S7" s="44"/>
      <c r="T7" s="44"/>
    </row>
    <row r="8" spans="1:29" ht="18.75" customHeight="1" x14ac:dyDescent="0.2">
      <c r="B8" s="53" t="s">
        <v>4</v>
      </c>
      <c r="C8" s="39"/>
      <c r="D8" s="39"/>
      <c r="E8" s="39"/>
      <c r="F8" s="39"/>
      <c r="G8" s="39"/>
      <c r="H8" s="39"/>
      <c r="I8" s="39"/>
      <c r="J8" s="44"/>
      <c r="K8" s="44"/>
      <c r="L8" s="44"/>
      <c r="M8" s="44"/>
      <c r="N8" s="44"/>
      <c r="O8" s="44"/>
      <c r="P8" s="191"/>
      <c r="Q8" s="191"/>
      <c r="R8" s="44"/>
      <c r="S8" s="44"/>
      <c r="T8" s="44"/>
    </row>
    <row r="9" spans="1:29" x14ac:dyDescent="0.2">
      <c r="B9" s="323" t="s">
        <v>1</v>
      </c>
      <c r="C9" s="39"/>
      <c r="D9" s="39"/>
      <c r="E9" s="39"/>
      <c r="F9" s="39"/>
      <c r="G9" s="39"/>
      <c r="H9" s="39"/>
      <c r="I9" s="39"/>
      <c r="J9" s="44"/>
      <c r="K9" s="44"/>
      <c r="L9" s="44"/>
      <c r="M9" s="44"/>
      <c r="N9" s="44"/>
      <c r="O9" s="44"/>
      <c r="P9" s="191"/>
      <c r="Q9" s="191"/>
      <c r="R9" s="44"/>
      <c r="S9" s="44"/>
      <c r="T9" s="44"/>
    </row>
    <row r="10" spans="1:29" x14ac:dyDescent="0.2">
      <c r="B10" s="53" t="s">
        <v>2</v>
      </c>
      <c r="C10" s="39"/>
      <c r="D10" s="39"/>
      <c r="E10" s="39"/>
      <c r="F10" s="39"/>
      <c r="G10" s="39"/>
      <c r="H10" s="39"/>
      <c r="I10" s="39"/>
      <c r="J10" s="44"/>
      <c r="K10" s="44"/>
      <c r="L10" s="44"/>
      <c r="M10" s="44"/>
      <c r="N10" s="44"/>
      <c r="O10" s="44"/>
      <c r="P10" s="191"/>
      <c r="Q10" s="191"/>
      <c r="R10" s="44"/>
      <c r="S10" s="44"/>
      <c r="T10" s="44"/>
    </row>
    <row r="11" spans="1:29" x14ac:dyDescent="0.2">
      <c r="B11" s="53" t="s">
        <v>3</v>
      </c>
      <c r="C11" s="39"/>
      <c r="D11" s="39"/>
      <c r="E11" s="39"/>
      <c r="F11" s="39"/>
      <c r="G11" s="39"/>
      <c r="H11" s="39"/>
      <c r="I11" s="39"/>
      <c r="J11" s="44"/>
      <c r="K11" s="44"/>
      <c r="L11" s="44"/>
      <c r="M11" s="44"/>
      <c r="N11" s="44"/>
      <c r="O11" s="44"/>
      <c r="P11" s="191"/>
      <c r="Q11" s="191"/>
      <c r="R11" s="44"/>
      <c r="S11" s="44"/>
      <c r="T11" s="44"/>
    </row>
    <row r="12" spans="1:29" x14ac:dyDescent="0.2">
      <c r="B12" s="191"/>
      <c r="C12" s="39"/>
      <c r="D12" s="39"/>
      <c r="E12" s="39"/>
      <c r="F12" s="39"/>
      <c r="G12" s="39"/>
      <c r="H12" s="39"/>
      <c r="I12" s="39"/>
      <c r="J12" s="44"/>
      <c r="K12" s="44"/>
      <c r="L12" s="44"/>
      <c r="M12" s="44"/>
      <c r="N12" s="44"/>
      <c r="O12" s="44"/>
      <c r="P12" s="44"/>
      <c r="Q12" s="44"/>
      <c r="R12" s="44"/>
      <c r="S12" s="44"/>
      <c r="T12" s="44"/>
    </row>
    <row r="13" spans="1:29" ht="39" customHeight="1" x14ac:dyDescent="0.2">
      <c r="B13" s="191"/>
      <c r="C13" s="39"/>
      <c r="D13" s="39"/>
      <c r="E13" s="39"/>
      <c r="F13" s="39"/>
      <c r="G13" s="39"/>
      <c r="H13" s="39"/>
      <c r="I13" s="39"/>
      <c r="J13" s="44"/>
      <c r="K13" s="44"/>
      <c r="L13" s="44"/>
      <c r="M13" s="44"/>
      <c r="N13" s="44"/>
      <c r="O13" s="44"/>
      <c r="P13" s="44"/>
      <c r="Q13" s="44"/>
      <c r="R13" s="44"/>
      <c r="S13" s="44"/>
      <c r="T13" s="44"/>
    </row>
    <row r="14" spans="1:29" s="148" customFormat="1" ht="12.75" customHeight="1" x14ac:dyDescent="0.2">
      <c r="B14" s="192"/>
      <c r="C14" s="193"/>
      <c r="D14" s="193"/>
      <c r="E14" s="193"/>
      <c r="F14" s="193"/>
      <c r="G14" s="193"/>
      <c r="H14" s="193"/>
      <c r="I14" s="192"/>
      <c r="J14" s="194"/>
      <c r="K14" s="194"/>
      <c r="L14" s="194"/>
      <c r="M14" s="194"/>
      <c r="N14" s="194"/>
      <c r="O14" s="194"/>
      <c r="P14" s="194"/>
      <c r="Q14" s="194"/>
      <c r="R14" s="194"/>
      <c r="S14" s="194"/>
      <c r="T14" s="194"/>
      <c r="U14" s="180"/>
      <c r="V14" s="180"/>
    </row>
    <row r="15" spans="1:29" s="148" customFormat="1" ht="20.100000000000001" customHeight="1" x14ac:dyDescent="0.2">
      <c r="A15" s="181"/>
      <c r="B15" s="325" t="s">
        <v>946</v>
      </c>
      <c r="C15" s="234">
        <v>2000</v>
      </c>
      <c r="D15" s="234">
        <v>2001</v>
      </c>
      <c r="E15" s="234">
        <v>2002</v>
      </c>
      <c r="F15" s="234">
        <v>2003</v>
      </c>
      <c r="G15" s="234">
        <v>2004</v>
      </c>
      <c r="H15" s="234">
        <v>2005</v>
      </c>
      <c r="I15" s="235">
        <v>39082</v>
      </c>
      <c r="J15" s="235">
        <v>39447</v>
      </c>
      <c r="K15" s="235">
        <v>39448</v>
      </c>
      <c r="L15" s="235">
        <v>40178</v>
      </c>
      <c r="M15" s="236">
        <v>40543</v>
      </c>
      <c r="N15" s="236">
        <v>40908</v>
      </c>
      <c r="O15" s="236">
        <v>41274</v>
      </c>
      <c r="P15" s="235">
        <v>41639</v>
      </c>
      <c r="Q15" s="235">
        <v>42004</v>
      </c>
      <c r="R15" s="235">
        <v>42369</v>
      </c>
      <c r="S15" s="235">
        <v>42370</v>
      </c>
      <c r="T15" s="237">
        <v>43039</v>
      </c>
      <c r="U15" s="181"/>
      <c r="V15" s="181"/>
      <c r="W15" s="181"/>
      <c r="X15" s="181"/>
      <c r="Y15" s="181"/>
      <c r="Z15" s="181"/>
      <c r="AA15" s="181"/>
      <c r="AB15" s="181"/>
      <c r="AC15" s="181"/>
    </row>
    <row r="16" spans="1:29" ht="20.100000000000001" customHeight="1" x14ac:dyDescent="0.2">
      <c r="B16" s="318" t="s">
        <v>94</v>
      </c>
      <c r="C16" s="38">
        <v>55.831616023629408</v>
      </c>
      <c r="D16" s="38">
        <v>74.033547998326426</v>
      </c>
      <c r="E16" s="38">
        <v>93.93715098490317</v>
      </c>
      <c r="F16" s="38">
        <v>114.64956724755694</v>
      </c>
      <c r="G16" s="38">
        <v>136.62021154457284</v>
      </c>
      <c r="H16" s="38">
        <v>159.77779842054943</v>
      </c>
      <c r="I16" s="38">
        <v>209</v>
      </c>
      <c r="J16" s="38">
        <v>235.50159071018251</v>
      </c>
      <c r="K16" s="38">
        <v>263.98657166722467</v>
      </c>
      <c r="L16" s="38">
        <v>293.39683174242759</v>
      </c>
      <c r="M16" s="206">
        <v>323.04324834873717</v>
      </c>
      <c r="N16" s="206">
        <v>354.29697772737427</v>
      </c>
      <c r="O16" s="38">
        <v>387</v>
      </c>
      <c r="P16" s="38">
        <v>421</v>
      </c>
      <c r="Q16" s="38">
        <v>456</v>
      </c>
      <c r="R16" s="38">
        <v>496</v>
      </c>
      <c r="S16" s="38">
        <v>538.21494048724287</v>
      </c>
      <c r="T16" s="38">
        <v>545.26620181822477</v>
      </c>
    </row>
    <row r="17" spans="2:20" ht="20.100000000000001" customHeight="1" x14ac:dyDescent="0.2">
      <c r="B17" s="324" t="s">
        <v>95</v>
      </c>
      <c r="C17" s="242">
        <v>52.735199475111202</v>
      </c>
      <c r="D17" s="242">
        <v>65.023593666597904</v>
      </c>
      <c r="E17" s="242">
        <v>59.275358189472996</v>
      </c>
      <c r="F17" s="242">
        <v>93.920076415257597</v>
      </c>
      <c r="G17" s="242">
        <v>124.75628531142399</v>
      </c>
      <c r="H17" s="242">
        <v>192.35696213467801</v>
      </c>
      <c r="I17" s="242">
        <v>267</v>
      </c>
      <c r="J17" s="242">
        <v>308.29568458589898</v>
      </c>
      <c r="K17" s="242">
        <v>230.23493756186801</v>
      </c>
      <c r="L17" s="243">
        <v>340.16227208294498</v>
      </c>
      <c r="M17" s="244">
        <v>408.47751268748601</v>
      </c>
      <c r="N17" s="244">
        <v>393.15689279941199</v>
      </c>
      <c r="O17" s="242">
        <v>471</v>
      </c>
      <c r="P17" s="242">
        <v>602</v>
      </c>
      <c r="Q17" s="242">
        <v>759</v>
      </c>
      <c r="R17" s="242">
        <v>839</v>
      </c>
      <c r="S17" s="242">
        <v>959.84765629860874</v>
      </c>
      <c r="T17" s="242">
        <v>1071.7600503661699</v>
      </c>
    </row>
    <row r="18" spans="2:20" ht="20.100000000000001" customHeight="1" x14ac:dyDescent="0.2">
      <c r="B18" s="44"/>
      <c r="C18" s="195"/>
      <c r="D18" s="195"/>
      <c r="E18" s="195"/>
      <c r="F18" s="195"/>
      <c r="G18" s="195"/>
      <c r="H18" s="195"/>
      <c r="I18" s="195"/>
      <c r="J18" s="44"/>
      <c r="K18" s="38"/>
      <c r="L18" s="44"/>
      <c r="M18" s="44"/>
      <c r="N18" s="206"/>
      <c r="O18" s="44"/>
      <c r="P18" s="44"/>
      <c r="Q18" s="44"/>
      <c r="R18" s="44"/>
      <c r="S18" s="44"/>
      <c r="T18" s="44"/>
    </row>
    <row r="19" spans="2:20" x14ac:dyDescent="0.2">
      <c r="B19" s="151"/>
      <c r="C19" s="151"/>
      <c r="D19" s="151"/>
      <c r="E19" s="151"/>
      <c r="F19" s="151"/>
      <c r="G19" s="151"/>
      <c r="H19" s="151"/>
      <c r="I19" s="151"/>
      <c r="K19" s="82"/>
      <c r="L19" s="203"/>
      <c r="N19" s="184"/>
    </row>
    <row r="20" spans="2:20" x14ac:dyDescent="0.2">
      <c r="B20" s="151"/>
      <c r="C20" s="151"/>
      <c r="D20" s="151"/>
      <c r="E20" s="151"/>
      <c r="F20" s="151"/>
      <c r="G20" s="151"/>
      <c r="H20" s="151"/>
      <c r="I20" s="151"/>
      <c r="K20" s="82"/>
      <c r="N20" s="184"/>
      <c r="P20" s="178"/>
      <c r="Q20" s="178"/>
      <c r="R20" s="178"/>
      <c r="S20" s="178"/>
      <c r="T20" s="178"/>
    </row>
    <row r="21" spans="2:20" x14ac:dyDescent="0.2">
      <c r="B21" s="151"/>
      <c r="C21" s="151"/>
      <c r="D21" s="151"/>
      <c r="E21" s="151"/>
      <c r="F21" s="151"/>
      <c r="G21" s="151"/>
      <c r="H21" s="151"/>
      <c r="I21" s="151"/>
      <c r="K21" s="82"/>
      <c r="N21" s="184"/>
      <c r="P21" s="178"/>
      <c r="Q21" s="178"/>
      <c r="R21" s="111"/>
      <c r="S21" s="111"/>
      <c r="T21" s="111"/>
    </row>
    <row r="22" spans="2:20" x14ac:dyDescent="0.2">
      <c r="B22" s="204"/>
      <c r="C22" s="151"/>
      <c r="D22" s="151"/>
      <c r="E22" s="151"/>
      <c r="F22" s="151"/>
      <c r="G22" s="151"/>
      <c r="H22" s="151"/>
      <c r="I22" s="151"/>
      <c r="K22" s="82"/>
      <c r="L22" s="204"/>
      <c r="N22" s="184"/>
      <c r="P22" s="178"/>
      <c r="Q22" s="178"/>
      <c r="R22" s="111"/>
      <c r="S22" s="111"/>
      <c r="T22" s="111"/>
    </row>
    <row r="23" spans="2:20" x14ac:dyDescent="0.2">
      <c r="B23" s="204"/>
      <c r="C23" s="151"/>
      <c r="D23" s="151"/>
      <c r="E23" s="151"/>
      <c r="F23" s="151"/>
      <c r="G23" s="205"/>
      <c r="H23" s="205"/>
      <c r="I23" s="151"/>
      <c r="K23" s="82"/>
      <c r="N23" s="184"/>
      <c r="P23" s="178"/>
      <c r="Q23" s="178"/>
      <c r="R23" s="178"/>
      <c r="S23" s="178"/>
      <c r="T23" s="178"/>
    </row>
    <row r="24" spans="2:20" x14ac:dyDescent="0.2">
      <c r="B24" s="151"/>
      <c r="C24" s="151"/>
      <c r="D24" s="151"/>
      <c r="E24" s="151"/>
      <c r="F24" s="151"/>
      <c r="G24" s="205"/>
      <c r="H24" s="205"/>
      <c r="K24" s="82"/>
      <c r="N24" s="184"/>
      <c r="P24" s="178"/>
      <c r="Q24" s="178"/>
      <c r="R24" s="178"/>
      <c r="S24" s="178"/>
      <c r="T24" s="178"/>
    </row>
    <row r="25" spans="2:20" x14ac:dyDescent="0.2">
      <c r="B25" s="151"/>
      <c r="C25" s="151"/>
      <c r="D25" s="151"/>
      <c r="E25" s="151"/>
      <c r="F25" s="151"/>
      <c r="G25" s="205"/>
      <c r="H25" s="205"/>
      <c r="K25" s="82"/>
      <c r="N25" s="184"/>
    </row>
    <row r="26" spans="2:20" x14ac:dyDescent="0.2">
      <c r="B26" s="151"/>
      <c r="C26" s="151"/>
      <c r="D26" s="151"/>
      <c r="E26" s="151"/>
      <c r="F26" s="151"/>
      <c r="G26" s="151"/>
      <c r="H26" s="151"/>
      <c r="I26" s="151"/>
      <c r="K26" s="82"/>
      <c r="N26" s="184"/>
    </row>
    <row r="27" spans="2:20" x14ac:dyDescent="0.2">
      <c r="B27" s="151"/>
      <c r="C27" s="151"/>
      <c r="D27" s="151"/>
      <c r="E27" s="151"/>
      <c r="F27" s="151"/>
      <c r="G27" s="151"/>
      <c r="H27" s="151"/>
      <c r="I27" s="151"/>
      <c r="K27" s="82"/>
      <c r="N27" s="184"/>
    </row>
    <row r="28" spans="2:20" x14ac:dyDescent="0.2">
      <c r="B28" s="151"/>
      <c r="C28" s="151"/>
      <c r="D28" s="151"/>
      <c r="E28" s="151"/>
      <c r="F28" s="151"/>
      <c r="G28" s="151"/>
      <c r="H28" s="151"/>
      <c r="I28" s="151"/>
      <c r="K28" s="82"/>
      <c r="N28" s="184"/>
    </row>
    <row r="29" spans="2:20" x14ac:dyDescent="0.2">
      <c r="B29" s="151"/>
      <c r="C29" s="151"/>
      <c r="D29" s="151"/>
      <c r="E29" s="151"/>
      <c r="F29" s="151"/>
      <c r="G29" s="151"/>
      <c r="H29" s="151"/>
      <c r="I29" s="151"/>
      <c r="K29" s="82"/>
      <c r="N29" s="184"/>
    </row>
    <row r="30" spans="2:20" x14ac:dyDescent="0.2">
      <c r="B30" s="151"/>
      <c r="C30" s="151"/>
      <c r="D30" s="151"/>
      <c r="E30" s="151"/>
      <c r="F30" s="151"/>
      <c r="G30" s="151"/>
      <c r="H30" s="151"/>
      <c r="I30" s="151"/>
      <c r="K30" s="82"/>
      <c r="N30" s="184"/>
    </row>
    <row r="31" spans="2:20" x14ac:dyDescent="0.2">
      <c r="B31" s="151"/>
      <c r="C31" s="151"/>
      <c r="D31" s="151"/>
      <c r="E31" s="151"/>
      <c r="F31" s="151"/>
      <c r="G31" s="151"/>
      <c r="H31" s="151"/>
      <c r="I31" s="151"/>
      <c r="K31" s="82"/>
      <c r="N31" s="184"/>
    </row>
    <row r="32" spans="2:20" x14ac:dyDescent="0.2">
      <c r="B32" s="151"/>
      <c r="C32" s="151"/>
      <c r="D32" s="151"/>
      <c r="E32" s="151"/>
      <c r="F32" s="151"/>
      <c r="G32" s="151"/>
      <c r="H32" s="151"/>
      <c r="I32" s="151"/>
      <c r="K32" s="82"/>
      <c r="N32" s="184"/>
    </row>
    <row r="33" spans="2:14" x14ac:dyDescent="0.2">
      <c r="B33" s="151"/>
      <c r="C33" s="151"/>
      <c r="D33" s="151"/>
      <c r="E33" s="151"/>
      <c r="F33" s="151"/>
      <c r="G33" s="151"/>
      <c r="H33" s="151"/>
      <c r="I33" s="151"/>
      <c r="K33" s="86"/>
      <c r="N33" s="184"/>
    </row>
    <row r="34" spans="2:14" x14ac:dyDescent="0.2">
      <c r="B34" s="151"/>
      <c r="C34" s="151"/>
      <c r="D34" s="151"/>
      <c r="E34" s="151"/>
      <c r="F34" s="151"/>
      <c r="G34" s="151"/>
      <c r="H34" s="151"/>
      <c r="I34" s="151"/>
      <c r="K34" s="86"/>
      <c r="N34" s="184"/>
    </row>
    <row r="35" spans="2:14" x14ac:dyDescent="0.2">
      <c r="B35" s="151"/>
      <c r="C35" s="151"/>
      <c r="D35" s="151"/>
      <c r="E35" s="151"/>
      <c r="F35" s="151"/>
      <c r="G35" s="151"/>
      <c r="H35" s="151"/>
      <c r="I35" s="151"/>
      <c r="K35" s="86"/>
      <c r="N35" s="184"/>
    </row>
    <row r="36" spans="2:14" x14ac:dyDescent="0.2">
      <c r="B36" s="151"/>
      <c r="C36" s="151"/>
      <c r="D36" s="151"/>
      <c r="E36" s="151"/>
      <c r="F36" s="151"/>
      <c r="G36" s="151"/>
      <c r="H36" s="151"/>
      <c r="I36" s="151"/>
      <c r="K36" s="86"/>
      <c r="N36" s="184"/>
    </row>
    <row r="37" spans="2:14" x14ac:dyDescent="0.2">
      <c r="B37" s="151"/>
      <c r="C37" s="151"/>
      <c r="D37" s="151"/>
      <c r="E37" s="151"/>
      <c r="F37" s="151"/>
      <c r="G37" s="151"/>
      <c r="H37" s="151"/>
      <c r="I37" s="151"/>
      <c r="K37" s="86"/>
      <c r="N37" s="184"/>
    </row>
    <row r="38" spans="2:14" x14ac:dyDescent="0.2">
      <c r="B38" s="151"/>
      <c r="C38" s="151"/>
      <c r="D38" s="151"/>
      <c r="E38" s="151"/>
      <c r="F38" s="151"/>
      <c r="G38" s="151"/>
      <c r="H38" s="151"/>
      <c r="I38" s="151"/>
      <c r="K38" s="86"/>
      <c r="N38" s="184"/>
    </row>
    <row r="39" spans="2:14" x14ac:dyDescent="0.2">
      <c r="B39" s="151"/>
      <c r="C39" s="151"/>
      <c r="D39" s="151"/>
      <c r="E39" s="151"/>
      <c r="F39" s="151"/>
      <c r="G39" s="151"/>
      <c r="H39" s="151"/>
      <c r="I39" s="151"/>
      <c r="K39" s="86"/>
      <c r="N39" s="184"/>
    </row>
    <row r="40" spans="2:14" x14ac:dyDescent="0.2">
      <c r="B40" s="151"/>
      <c r="C40" s="151"/>
      <c r="D40" s="151"/>
      <c r="E40" s="151"/>
      <c r="F40" s="151"/>
      <c r="G40" s="151"/>
      <c r="H40" s="151"/>
      <c r="I40" s="151"/>
      <c r="K40" s="86"/>
      <c r="N40" s="184"/>
    </row>
    <row r="41" spans="2:14" x14ac:dyDescent="0.2">
      <c r="B41" s="151"/>
      <c r="C41" s="151"/>
      <c r="D41" s="151"/>
      <c r="E41" s="151"/>
      <c r="F41" s="151"/>
      <c r="G41" s="151"/>
      <c r="H41" s="151"/>
      <c r="I41" s="151"/>
      <c r="K41" s="86"/>
      <c r="N41" s="184"/>
    </row>
    <row r="42" spans="2:14" x14ac:dyDescent="0.2">
      <c r="B42" s="151"/>
      <c r="C42" s="151"/>
      <c r="D42" s="151"/>
      <c r="E42" s="151"/>
      <c r="F42" s="151"/>
      <c r="G42" s="151"/>
      <c r="H42" s="151"/>
      <c r="I42" s="151"/>
      <c r="K42" s="86"/>
      <c r="N42" s="184"/>
    </row>
    <row r="43" spans="2:14" x14ac:dyDescent="0.2">
      <c r="B43" s="151"/>
      <c r="C43" s="151"/>
      <c r="D43" s="151"/>
      <c r="E43" s="151"/>
      <c r="F43" s="151"/>
      <c r="G43" s="151"/>
      <c r="H43" s="151"/>
      <c r="I43" s="151"/>
      <c r="K43" s="86"/>
      <c r="N43" s="184"/>
    </row>
    <row r="44" spans="2:14" x14ac:dyDescent="0.2">
      <c r="B44" s="151"/>
      <c r="C44" s="151"/>
      <c r="D44" s="151"/>
      <c r="E44" s="151"/>
      <c r="F44" s="151"/>
      <c r="G44" s="151"/>
      <c r="H44" s="151"/>
      <c r="I44" s="151"/>
      <c r="K44" s="86"/>
      <c r="N44" s="184"/>
    </row>
    <row r="45" spans="2:14" x14ac:dyDescent="0.2">
      <c r="B45" s="151"/>
      <c r="C45" s="151"/>
      <c r="D45" s="151"/>
      <c r="E45" s="151"/>
      <c r="F45" s="151"/>
      <c r="G45" s="151"/>
      <c r="H45" s="151"/>
      <c r="I45" s="151"/>
      <c r="K45" s="86"/>
      <c r="N45" s="184"/>
    </row>
    <row r="46" spans="2:14" x14ac:dyDescent="0.2">
      <c r="B46" s="151"/>
      <c r="C46" s="151"/>
      <c r="D46" s="151"/>
      <c r="E46" s="151"/>
      <c r="F46" s="151"/>
      <c r="G46" s="151"/>
      <c r="H46" s="151"/>
      <c r="I46" s="151"/>
      <c r="K46" s="86"/>
      <c r="N46" s="184"/>
    </row>
    <row r="47" spans="2:14" x14ac:dyDescent="0.2">
      <c r="B47" s="151"/>
      <c r="C47" s="151"/>
      <c r="D47" s="151"/>
      <c r="E47" s="151"/>
      <c r="F47" s="151"/>
      <c r="G47" s="151"/>
      <c r="H47" s="151"/>
      <c r="I47" s="151"/>
      <c r="K47" s="86"/>
      <c r="N47" s="184"/>
    </row>
    <row r="48" spans="2:14" x14ac:dyDescent="0.2">
      <c r="B48" s="151"/>
      <c r="C48" s="151"/>
      <c r="D48" s="151"/>
      <c r="E48" s="151"/>
      <c r="F48" s="151"/>
      <c r="G48" s="151"/>
      <c r="H48" s="151"/>
      <c r="I48" s="151"/>
      <c r="K48" s="86"/>
      <c r="N48" s="184"/>
    </row>
    <row r="49" spans="2:14" x14ac:dyDescent="0.2">
      <c r="B49" s="151"/>
      <c r="C49" s="151"/>
      <c r="D49" s="151"/>
      <c r="E49" s="151"/>
      <c r="F49" s="151"/>
      <c r="G49" s="151"/>
      <c r="H49" s="151"/>
      <c r="I49" s="151"/>
      <c r="K49" s="86"/>
      <c r="N49" s="184"/>
    </row>
    <row r="50" spans="2:14" x14ac:dyDescent="0.2">
      <c r="B50" s="151"/>
      <c r="C50" s="151"/>
      <c r="D50" s="151"/>
      <c r="E50" s="151"/>
      <c r="F50" s="151"/>
      <c r="G50" s="151"/>
      <c r="H50" s="151"/>
      <c r="I50" s="151"/>
      <c r="K50" s="86"/>
      <c r="N50" s="184"/>
    </row>
    <row r="51" spans="2:14" x14ac:dyDescent="0.2">
      <c r="B51" s="151"/>
      <c r="C51" s="151"/>
      <c r="D51" s="151"/>
      <c r="E51" s="151"/>
      <c r="F51" s="151"/>
      <c r="G51" s="151"/>
      <c r="H51" s="151"/>
      <c r="I51" s="151"/>
      <c r="K51" s="86"/>
      <c r="N51" s="184"/>
    </row>
    <row r="52" spans="2:14" x14ac:dyDescent="0.2">
      <c r="B52" s="151"/>
      <c r="C52" s="151"/>
      <c r="D52" s="151"/>
      <c r="E52" s="151"/>
      <c r="F52" s="151"/>
      <c r="G52" s="151"/>
      <c r="H52" s="151"/>
      <c r="I52" s="151"/>
      <c r="K52" s="86"/>
      <c r="N52" s="184"/>
    </row>
    <row r="53" spans="2:14" x14ac:dyDescent="0.2">
      <c r="B53" s="151"/>
      <c r="C53" s="151"/>
      <c r="D53" s="151"/>
      <c r="E53" s="151"/>
      <c r="F53" s="151"/>
      <c r="G53" s="151"/>
      <c r="H53" s="151"/>
      <c r="I53" s="151"/>
      <c r="K53" s="86"/>
      <c r="N53" s="184"/>
    </row>
    <row r="54" spans="2:14" x14ac:dyDescent="0.2">
      <c r="B54" s="151"/>
      <c r="C54" s="151"/>
      <c r="D54" s="151"/>
      <c r="E54" s="151"/>
      <c r="F54" s="151"/>
      <c r="G54" s="151"/>
      <c r="H54" s="151"/>
      <c r="I54" s="151"/>
      <c r="K54" s="86"/>
      <c r="N54" s="184"/>
    </row>
    <row r="55" spans="2:14" x14ac:dyDescent="0.2">
      <c r="B55" s="151"/>
      <c r="C55" s="151"/>
      <c r="D55" s="151"/>
      <c r="E55" s="151"/>
      <c r="F55" s="151"/>
      <c r="G55" s="151"/>
      <c r="H55" s="151"/>
      <c r="I55" s="151"/>
      <c r="K55" s="86"/>
      <c r="N55" s="184"/>
    </row>
    <row r="56" spans="2:14" x14ac:dyDescent="0.2">
      <c r="B56" s="151"/>
      <c r="C56" s="151"/>
      <c r="D56" s="151"/>
      <c r="E56" s="151"/>
      <c r="F56" s="151"/>
      <c r="G56" s="151"/>
      <c r="H56" s="151"/>
      <c r="I56" s="151"/>
      <c r="K56" s="86"/>
      <c r="N56" s="184"/>
    </row>
    <row r="57" spans="2:14" x14ac:dyDescent="0.2">
      <c r="B57" s="151"/>
      <c r="C57" s="151"/>
      <c r="D57" s="151"/>
      <c r="E57" s="151"/>
      <c r="F57" s="151"/>
      <c r="G57" s="151"/>
      <c r="H57" s="151"/>
      <c r="I57" s="151"/>
      <c r="K57" s="86"/>
      <c r="N57" s="184"/>
    </row>
    <row r="58" spans="2:14" x14ac:dyDescent="0.2">
      <c r="B58" s="151"/>
      <c r="C58" s="151"/>
      <c r="D58" s="151"/>
      <c r="E58" s="151"/>
      <c r="F58" s="151"/>
      <c r="G58" s="151"/>
      <c r="H58" s="151"/>
      <c r="I58" s="151"/>
      <c r="K58" s="86"/>
      <c r="N58" s="184"/>
    </row>
    <row r="59" spans="2:14" x14ac:dyDescent="0.2">
      <c r="B59" s="151"/>
      <c r="C59" s="151"/>
      <c r="D59" s="151"/>
      <c r="E59" s="151"/>
      <c r="F59" s="151"/>
      <c r="G59" s="151"/>
      <c r="H59" s="151"/>
      <c r="I59" s="151"/>
      <c r="K59" s="86"/>
      <c r="N59" s="184"/>
    </row>
    <row r="60" spans="2:14" x14ac:dyDescent="0.2">
      <c r="B60" s="151"/>
      <c r="C60" s="151"/>
      <c r="D60" s="151"/>
      <c r="E60" s="151"/>
      <c r="F60" s="151"/>
      <c r="G60" s="151"/>
      <c r="H60" s="151"/>
      <c r="I60" s="151"/>
      <c r="K60" s="86"/>
      <c r="N60" s="184"/>
    </row>
    <row r="61" spans="2:14" x14ac:dyDescent="0.2">
      <c r="B61" s="151"/>
      <c r="C61" s="151"/>
      <c r="D61" s="151"/>
      <c r="E61" s="151"/>
      <c r="F61" s="151"/>
      <c r="G61" s="151"/>
      <c r="H61" s="151"/>
      <c r="I61" s="151"/>
      <c r="K61" s="86"/>
      <c r="N61" s="184"/>
    </row>
    <row r="62" spans="2:14" x14ac:dyDescent="0.2">
      <c r="B62" s="151"/>
      <c r="C62" s="151"/>
      <c r="D62" s="151"/>
      <c r="E62" s="151"/>
      <c r="F62" s="151"/>
      <c r="G62" s="151"/>
      <c r="H62" s="151"/>
      <c r="I62" s="151"/>
      <c r="K62" s="86"/>
      <c r="N62" s="184"/>
    </row>
    <row r="63" spans="2:14" x14ac:dyDescent="0.2">
      <c r="B63" s="151"/>
      <c r="C63" s="151"/>
      <c r="D63" s="151"/>
      <c r="E63" s="151"/>
      <c r="F63" s="151"/>
      <c r="G63" s="151"/>
      <c r="H63" s="151"/>
      <c r="I63" s="151"/>
      <c r="K63" s="86"/>
      <c r="N63" s="184"/>
    </row>
    <row r="64" spans="2:14" x14ac:dyDescent="0.2">
      <c r="B64" s="151"/>
      <c r="C64" s="151"/>
      <c r="D64" s="151"/>
      <c r="E64" s="151"/>
      <c r="F64" s="151"/>
      <c r="G64" s="151"/>
      <c r="H64" s="151"/>
      <c r="I64" s="151"/>
      <c r="K64" s="86"/>
      <c r="N64" s="184"/>
    </row>
    <row r="65" spans="2:14" x14ac:dyDescent="0.2">
      <c r="B65" s="151"/>
      <c r="C65" s="151"/>
      <c r="D65" s="151"/>
      <c r="E65" s="151"/>
      <c r="F65" s="151"/>
      <c r="G65" s="151"/>
      <c r="H65" s="151"/>
      <c r="I65" s="151"/>
      <c r="K65" s="86"/>
      <c r="N65" s="184"/>
    </row>
    <row r="66" spans="2:14" x14ac:dyDescent="0.2">
      <c r="B66" s="151"/>
      <c r="C66" s="151"/>
      <c r="D66" s="151"/>
      <c r="E66" s="151"/>
      <c r="F66" s="151"/>
      <c r="G66" s="151"/>
      <c r="H66" s="151"/>
      <c r="I66" s="151"/>
      <c r="K66" s="86"/>
      <c r="N66" s="184"/>
    </row>
    <row r="67" spans="2:14" x14ac:dyDescent="0.2">
      <c r="B67" s="151"/>
      <c r="C67" s="151"/>
      <c r="D67" s="151"/>
      <c r="E67" s="151"/>
      <c r="F67" s="151"/>
      <c r="G67" s="151"/>
      <c r="H67" s="151"/>
      <c r="I67" s="151"/>
      <c r="K67" s="86"/>
      <c r="N67" s="184"/>
    </row>
    <row r="68" spans="2:14" x14ac:dyDescent="0.2">
      <c r="B68" s="151"/>
      <c r="C68" s="151"/>
      <c r="D68" s="151"/>
      <c r="E68" s="151"/>
      <c r="F68" s="151"/>
      <c r="G68" s="151"/>
      <c r="H68" s="151"/>
      <c r="I68" s="151"/>
      <c r="K68" s="86"/>
      <c r="N68" s="184"/>
    </row>
    <row r="69" spans="2:14" x14ac:dyDescent="0.2">
      <c r="B69" s="151"/>
      <c r="C69" s="151"/>
      <c r="D69" s="151"/>
      <c r="E69" s="151"/>
      <c r="F69" s="151"/>
      <c r="G69" s="151"/>
      <c r="H69" s="151"/>
      <c r="I69" s="151"/>
      <c r="K69" s="86"/>
      <c r="N69" s="184"/>
    </row>
    <row r="70" spans="2:14" x14ac:dyDescent="0.2">
      <c r="B70" s="151"/>
      <c r="C70" s="151"/>
      <c r="D70" s="151"/>
      <c r="E70" s="151"/>
      <c r="F70" s="151"/>
      <c r="G70" s="151"/>
      <c r="H70" s="151"/>
      <c r="I70" s="151"/>
      <c r="K70" s="86"/>
      <c r="N70" s="184"/>
    </row>
    <row r="71" spans="2:14" x14ac:dyDescent="0.2">
      <c r="B71" s="151"/>
      <c r="C71" s="151"/>
      <c r="D71" s="151"/>
      <c r="E71" s="151"/>
      <c r="F71" s="151"/>
      <c r="G71" s="151"/>
      <c r="H71" s="151"/>
      <c r="I71" s="151"/>
      <c r="K71" s="86"/>
      <c r="N71" s="184"/>
    </row>
    <row r="72" spans="2:14" x14ac:dyDescent="0.2">
      <c r="B72" s="151"/>
      <c r="C72" s="151"/>
      <c r="D72" s="151"/>
      <c r="E72" s="151"/>
      <c r="F72" s="151"/>
      <c r="G72" s="151"/>
      <c r="H72" s="151"/>
      <c r="I72" s="151"/>
      <c r="K72" s="86"/>
      <c r="N72" s="184"/>
    </row>
    <row r="73" spans="2:14" x14ac:dyDescent="0.2">
      <c r="B73" s="151"/>
      <c r="C73" s="151"/>
      <c r="D73" s="151"/>
      <c r="E73" s="151"/>
      <c r="F73" s="151"/>
      <c r="G73" s="151"/>
      <c r="H73" s="151"/>
      <c r="I73" s="151"/>
      <c r="K73" s="86"/>
      <c r="N73" s="184"/>
    </row>
    <row r="74" spans="2:14" x14ac:dyDescent="0.2">
      <c r="B74" s="151"/>
      <c r="C74" s="151"/>
      <c r="D74" s="151"/>
      <c r="E74" s="151"/>
      <c r="F74" s="151"/>
      <c r="G74" s="151"/>
      <c r="H74" s="151"/>
      <c r="I74" s="151"/>
    </row>
    <row r="75" spans="2:14" x14ac:dyDescent="0.2">
      <c r="B75" s="151"/>
      <c r="C75" s="151"/>
      <c r="D75" s="151"/>
      <c r="E75" s="151"/>
      <c r="F75" s="151"/>
      <c r="G75" s="151"/>
      <c r="H75" s="151"/>
      <c r="I75" s="151"/>
    </row>
    <row r="76" spans="2:14" x14ac:dyDescent="0.2">
      <c r="B76" s="151"/>
      <c r="C76" s="151"/>
      <c r="D76" s="151"/>
      <c r="E76" s="151"/>
      <c r="F76" s="151"/>
      <c r="G76" s="151"/>
      <c r="H76" s="151"/>
      <c r="I76" s="151"/>
    </row>
    <row r="77" spans="2:14" x14ac:dyDescent="0.2">
      <c r="B77" s="151"/>
      <c r="C77" s="151"/>
      <c r="D77" s="151"/>
      <c r="E77" s="151"/>
      <c r="F77" s="151"/>
      <c r="G77" s="151"/>
      <c r="H77" s="151"/>
      <c r="I77" s="151"/>
    </row>
    <row r="78" spans="2:14" x14ac:dyDescent="0.2">
      <c r="B78" s="151"/>
      <c r="C78" s="151"/>
      <c r="D78" s="151"/>
      <c r="E78" s="151"/>
      <c r="F78" s="151"/>
      <c r="G78" s="151"/>
      <c r="H78" s="151"/>
      <c r="I78" s="151"/>
    </row>
    <row r="79" spans="2:14" x14ac:dyDescent="0.2">
      <c r="B79" s="151"/>
      <c r="C79" s="151"/>
      <c r="D79" s="151"/>
      <c r="E79" s="151"/>
      <c r="F79" s="151"/>
      <c r="G79" s="151"/>
      <c r="H79" s="151"/>
      <c r="I79" s="151"/>
    </row>
    <row r="80" spans="2:14" x14ac:dyDescent="0.2">
      <c r="B80" s="151"/>
      <c r="C80" s="151"/>
      <c r="D80" s="151"/>
      <c r="E80" s="151"/>
      <c r="F80" s="151"/>
      <c r="G80" s="151"/>
      <c r="H80" s="151"/>
      <c r="I80" s="151"/>
    </row>
    <row r="81" spans="2:9" x14ac:dyDescent="0.2">
      <c r="B81" s="151"/>
      <c r="C81" s="151"/>
      <c r="D81" s="151"/>
      <c r="E81" s="151"/>
      <c r="F81" s="151"/>
      <c r="G81" s="151"/>
      <c r="H81" s="151"/>
      <c r="I81" s="151"/>
    </row>
    <row r="82" spans="2:9" x14ac:dyDescent="0.2">
      <c r="B82" s="151"/>
      <c r="C82" s="151"/>
      <c r="D82" s="151"/>
      <c r="E82" s="151"/>
      <c r="F82" s="151"/>
      <c r="G82" s="151"/>
      <c r="H82" s="151"/>
      <c r="I82" s="151"/>
    </row>
    <row r="83" spans="2:9" x14ac:dyDescent="0.2">
      <c r="B83" s="151"/>
      <c r="C83" s="151"/>
      <c r="D83" s="151"/>
      <c r="E83" s="151"/>
      <c r="F83" s="151"/>
      <c r="G83" s="151"/>
      <c r="H83" s="151"/>
      <c r="I83" s="151"/>
    </row>
    <row r="84" spans="2:9" x14ac:dyDescent="0.2">
      <c r="B84" s="151"/>
      <c r="C84" s="151"/>
      <c r="D84" s="151"/>
      <c r="E84" s="151"/>
      <c r="F84" s="151"/>
      <c r="G84" s="151"/>
      <c r="H84" s="151"/>
      <c r="I84" s="151"/>
    </row>
    <row r="85" spans="2:9" x14ac:dyDescent="0.2">
      <c r="B85" s="151"/>
      <c r="C85" s="151"/>
      <c r="D85" s="151"/>
      <c r="E85" s="151"/>
      <c r="F85" s="151"/>
      <c r="G85" s="151"/>
      <c r="H85" s="151"/>
      <c r="I85" s="151"/>
    </row>
    <row r="86" spans="2:9" x14ac:dyDescent="0.2">
      <c r="B86" s="151"/>
      <c r="C86" s="151"/>
      <c r="D86" s="151"/>
      <c r="E86" s="151"/>
      <c r="F86" s="151"/>
      <c r="G86" s="151"/>
      <c r="H86" s="151"/>
      <c r="I86" s="151"/>
    </row>
    <row r="87" spans="2:9" x14ac:dyDescent="0.2">
      <c r="B87" s="151"/>
      <c r="C87" s="151"/>
      <c r="D87" s="151"/>
      <c r="E87" s="151"/>
      <c r="F87" s="151"/>
      <c r="G87" s="151"/>
      <c r="H87" s="151"/>
      <c r="I87" s="151"/>
    </row>
    <row r="88" spans="2:9" x14ac:dyDescent="0.2">
      <c r="B88" s="151"/>
      <c r="C88" s="151"/>
      <c r="D88" s="151"/>
      <c r="E88" s="151"/>
      <c r="F88" s="151"/>
      <c r="G88" s="151"/>
      <c r="H88" s="151"/>
      <c r="I88" s="151"/>
    </row>
    <row r="89" spans="2:9" x14ac:dyDescent="0.2">
      <c r="B89" s="151"/>
      <c r="C89" s="151"/>
      <c r="D89" s="151"/>
      <c r="E89" s="151"/>
      <c r="F89" s="151"/>
      <c r="G89" s="151"/>
      <c r="H89" s="151"/>
      <c r="I89" s="151"/>
    </row>
    <row r="90" spans="2:9" x14ac:dyDescent="0.2">
      <c r="B90" s="151"/>
      <c r="C90" s="151"/>
      <c r="D90" s="151"/>
      <c r="E90" s="151"/>
      <c r="F90" s="151"/>
      <c r="G90" s="151"/>
      <c r="H90" s="151"/>
      <c r="I90" s="151"/>
    </row>
    <row r="91" spans="2:9" x14ac:dyDescent="0.2">
      <c r="B91" s="151"/>
      <c r="C91" s="151"/>
      <c r="D91" s="151"/>
      <c r="E91" s="151"/>
      <c r="F91" s="151"/>
      <c r="G91" s="151"/>
      <c r="H91" s="151"/>
      <c r="I91" s="151"/>
    </row>
    <row r="92" spans="2:9" x14ac:dyDescent="0.2">
      <c r="B92" s="151"/>
      <c r="C92" s="151"/>
      <c r="D92" s="151"/>
      <c r="E92" s="151"/>
      <c r="F92" s="151"/>
      <c r="G92" s="151"/>
      <c r="H92" s="151"/>
      <c r="I92" s="151"/>
    </row>
    <row r="93" spans="2:9" x14ac:dyDescent="0.2">
      <c r="B93" s="151"/>
      <c r="C93" s="151"/>
      <c r="D93" s="151"/>
      <c r="E93" s="151"/>
      <c r="F93" s="151"/>
      <c r="G93" s="151"/>
      <c r="H93" s="151"/>
      <c r="I93" s="151"/>
    </row>
    <row r="94" spans="2:9" x14ac:dyDescent="0.2">
      <c r="B94" s="151"/>
      <c r="C94" s="151"/>
      <c r="D94" s="151"/>
      <c r="E94" s="151"/>
      <c r="F94" s="151"/>
      <c r="G94" s="151"/>
      <c r="H94" s="151"/>
      <c r="I94" s="151"/>
    </row>
    <row r="95" spans="2:9" x14ac:dyDescent="0.2">
      <c r="B95" s="151"/>
      <c r="C95" s="151"/>
      <c r="D95" s="151"/>
      <c r="E95" s="151"/>
      <c r="F95" s="151"/>
      <c r="G95" s="151"/>
      <c r="H95" s="151"/>
      <c r="I95" s="151"/>
    </row>
    <row r="96" spans="2:9" x14ac:dyDescent="0.2">
      <c r="B96" s="151"/>
      <c r="C96" s="151"/>
      <c r="D96" s="151"/>
      <c r="E96" s="151"/>
      <c r="F96" s="151"/>
      <c r="G96" s="151"/>
      <c r="H96" s="151"/>
      <c r="I96" s="151"/>
    </row>
    <row r="97" spans="2:9" x14ac:dyDescent="0.2">
      <c r="B97" s="151"/>
      <c r="C97" s="151"/>
      <c r="D97" s="151"/>
      <c r="E97" s="151"/>
      <c r="F97" s="151"/>
      <c r="G97" s="151"/>
      <c r="H97" s="151"/>
      <c r="I97" s="151"/>
    </row>
  </sheetData>
  <phoneticPr fontId="12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B2:V270"/>
  <sheetViews>
    <sheetView showGridLines="0" showRowColHeaders="0" workbookViewId="0">
      <pane ySplit="23" topLeftCell="A210" activePane="bottomLeft" state="frozen"/>
      <selection activeCell="E11" sqref="E11"/>
      <selection pane="bottomLeft"/>
    </sheetView>
  </sheetViews>
  <sheetFormatPr defaultRowHeight="12.75" x14ac:dyDescent="0.2"/>
  <cols>
    <col min="1" max="1" width="2.85546875" style="81" customWidth="1"/>
    <col min="2" max="2" width="10.140625" style="81" bestFit="1" customWidth="1"/>
    <col min="3" max="7" width="26" style="81" customWidth="1"/>
    <col min="8" max="8" width="6.28515625" style="81" customWidth="1"/>
    <col min="9" max="9" width="26" style="81" customWidth="1"/>
    <col min="10" max="10" width="2.85546875" style="81" customWidth="1"/>
    <col min="11" max="11" width="10.140625" style="81" bestFit="1" customWidth="1"/>
    <col min="12" max="17" width="26" style="81" customWidth="1"/>
    <col min="18" max="43" width="10.140625" style="81" customWidth="1"/>
    <col min="44" max="16384" width="9.140625" style="81"/>
  </cols>
  <sheetData>
    <row r="2" spans="2:11" ht="24.95" customHeight="1" x14ac:dyDescent="0.2">
      <c r="B2" s="44"/>
      <c r="C2" s="44"/>
      <c r="D2" s="44"/>
      <c r="E2" s="44"/>
      <c r="F2" s="44"/>
      <c r="G2" s="44"/>
      <c r="H2" s="44"/>
    </row>
    <row r="3" spans="2:11" ht="24.95" customHeight="1" x14ac:dyDescent="0.2">
      <c r="B3" s="44"/>
      <c r="C3" s="44"/>
      <c r="D3" s="44"/>
      <c r="E3" s="44"/>
      <c r="F3" s="44"/>
      <c r="G3" s="44"/>
      <c r="H3" s="44"/>
    </row>
    <row r="4" spans="2:11" x14ac:dyDescent="0.2">
      <c r="B4" s="44"/>
      <c r="C4" s="44"/>
      <c r="D4" s="44"/>
      <c r="E4" s="44"/>
      <c r="F4" s="44"/>
      <c r="G4" s="44"/>
      <c r="H4" s="44"/>
    </row>
    <row r="5" spans="2:11" ht="18" x14ac:dyDescent="0.25">
      <c r="B5" s="321" t="s">
        <v>124</v>
      </c>
      <c r="C5" s="44"/>
      <c r="D5" s="44"/>
      <c r="E5" s="44"/>
      <c r="F5" s="44"/>
      <c r="G5" s="44"/>
      <c r="H5" s="44"/>
      <c r="I5" s="177"/>
      <c r="K5" s="177"/>
    </row>
    <row r="6" spans="2:11" ht="12.75" customHeight="1" x14ac:dyDescent="0.25">
      <c r="B6" s="322" t="str">
        <f>'Värdeutveckling - konto'!C8</f>
        <v>Nästa uppdatering: 2017-12-18</v>
      </c>
      <c r="C6" s="44"/>
      <c r="D6" s="44"/>
      <c r="E6" s="44"/>
      <c r="F6" s="44"/>
      <c r="G6" s="44"/>
      <c r="H6" s="44"/>
      <c r="I6" s="87"/>
      <c r="K6" s="177"/>
    </row>
    <row r="7" spans="2:11" x14ac:dyDescent="0.2">
      <c r="B7" s="44"/>
      <c r="C7" s="44"/>
      <c r="D7" s="44"/>
      <c r="E7" s="44"/>
      <c r="F7" s="44"/>
      <c r="G7" s="44"/>
      <c r="H7" s="44"/>
      <c r="I7" s="87"/>
      <c r="K7" s="87"/>
    </row>
    <row r="8" spans="2:11" x14ac:dyDescent="0.2">
      <c r="B8" s="317"/>
      <c r="C8" s="44"/>
      <c r="D8" s="44"/>
      <c r="E8" s="44"/>
      <c r="F8" s="44"/>
      <c r="G8" s="44"/>
      <c r="H8" s="44"/>
      <c r="I8" s="87"/>
      <c r="K8" s="87"/>
    </row>
    <row r="9" spans="2:11" x14ac:dyDescent="0.2">
      <c r="B9" s="318"/>
      <c r="C9" s="44"/>
      <c r="D9" s="44"/>
      <c r="E9" s="44"/>
      <c r="F9" s="44"/>
      <c r="G9" s="44"/>
      <c r="H9" s="44"/>
      <c r="I9" s="87"/>
    </row>
    <row r="10" spans="2:11" x14ac:dyDescent="0.2">
      <c r="B10" s="53" t="s">
        <v>149</v>
      </c>
      <c r="C10" s="44"/>
      <c r="D10" s="44"/>
      <c r="E10" s="44"/>
      <c r="F10" s="44"/>
      <c r="G10" s="44"/>
      <c r="H10" s="44"/>
      <c r="I10" s="87"/>
      <c r="K10" s="87"/>
    </row>
    <row r="11" spans="2:11" x14ac:dyDescent="0.2">
      <c r="B11" s="53" t="s">
        <v>151</v>
      </c>
      <c r="C11" s="44"/>
      <c r="D11" s="44"/>
      <c r="E11" s="44"/>
      <c r="F11" s="44"/>
      <c r="G11" s="44"/>
      <c r="H11" s="44"/>
      <c r="I11" s="87"/>
      <c r="K11" s="87"/>
    </row>
    <row r="12" spans="2:11" x14ac:dyDescent="0.2">
      <c r="B12" s="53" t="s">
        <v>152</v>
      </c>
      <c r="C12" s="44"/>
      <c r="D12" s="44"/>
      <c r="E12" s="44"/>
      <c r="F12" s="44"/>
      <c r="G12" s="44"/>
      <c r="H12" s="44"/>
      <c r="I12" s="87"/>
    </row>
    <row r="13" spans="2:11" x14ac:dyDescent="0.2">
      <c r="B13" s="53"/>
      <c r="C13" s="44"/>
      <c r="D13" s="44"/>
      <c r="E13" s="44"/>
      <c r="F13" s="44"/>
      <c r="G13" s="44"/>
      <c r="H13" s="44"/>
      <c r="I13" s="87"/>
    </row>
    <row r="14" spans="2:11" x14ac:dyDescent="0.2">
      <c r="B14" s="53" t="s">
        <v>5</v>
      </c>
      <c r="C14" s="44"/>
      <c r="D14" s="44"/>
      <c r="E14" s="44"/>
      <c r="F14" s="44"/>
      <c r="G14" s="44"/>
      <c r="H14" s="44"/>
      <c r="I14" s="207"/>
      <c r="K14" s="87"/>
    </row>
    <row r="15" spans="2:11" x14ac:dyDescent="0.2">
      <c r="B15" s="53" t="s">
        <v>104</v>
      </c>
      <c r="C15" s="44"/>
      <c r="D15" s="44"/>
      <c r="E15" s="44"/>
      <c r="F15" s="44"/>
      <c r="G15" s="44"/>
      <c r="H15" s="44"/>
      <c r="I15" s="207"/>
      <c r="K15" s="87"/>
    </row>
    <row r="16" spans="2:11" x14ac:dyDescent="0.2">
      <c r="B16" s="191"/>
      <c r="C16" s="44"/>
      <c r="D16" s="44"/>
      <c r="E16" s="44"/>
      <c r="F16" s="44"/>
      <c r="G16" s="44"/>
      <c r="H16" s="44"/>
      <c r="I16" s="207"/>
      <c r="K16" s="87"/>
    </row>
    <row r="17" spans="2:22" x14ac:dyDescent="0.2">
      <c r="B17" s="191"/>
      <c r="C17" s="44"/>
      <c r="D17" s="44"/>
      <c r="E17" s="44"/>
      <c r="F17" s="44"/>
      <c r="G17" s="44"/>
      <c r="H17" s="44"/>
      <c r="I17" s="207"/>
      <c r="K17" s="87"/>
    </row>
    <row r="18" spans="2:22" x14ac:dyDescent="0.2">
      <c r="B18" s="191"/>
      <c r="C18" s="44"/>
      <c r="D18" s="44"/>
      <c r="E18" s="44"/>
      <c r="F18" s="44"/>
      <c r="G18" s="44"/>
      <c r="H18" s="44"/>
      <c r="I18" s="87"/>
      <c r="K18" s="87"/>
    </row>
    <row r="19" spans="2:22" x14ac:dyDescent="0.2">
      <c r="B19" s="44"/>
      <c r="C19" s="216"/>
      <c r="D19" s="216"/>
      <c r="E19" s="216"/>
      <c r="F19" s="216"/>
      <c r="G19" s="216"/>
      <c r="H19" s="216"/>
      <c r="I19" s="87"/>
      <c r="L19" s="208"/>
      <c r="M19" s="208"/>
      <c r="N19" s="208"/>
      <c r="O19" s="208"/>
      <c r="P19" s="208"/>
      <c r="Q19" s="208"/>
      <c r="R19" s="208"/>
      <c r="S19" s="208"/>
      <c r="T19" s="208"/>
      <c r="U19" s="208"/>
      <c r="V19" s="178"/>
    </row>
    <row r="20" spans="2:22" x14ac:dyDescent="0.2">
      <c r="B20" s="44"/>
      <c r="C20" s="217"/>
      <c r="D20" s="217"/>
      <c r="E20" s="217"/>
      <c r="F20" s="217"/>
      <c r="G20" s="217"/>
      <c r="H20" s="217"/>
      <c r="I20" s="87"/>
      <c r="L20" s="209"/>
      <c r="M20" s="209"/>
      <c r="N20" s="209"/>
      <c r="O20" s="209"/>
      <c r="P20" s="209"/>
      <c r="Q20" s="209"/>
      <c r="R20" s="209"/>
      <c r="S20" s="209"/>
      <c r="T20" s="209"/>
      <c r="U20" s="209"/>
      <c r="V20" s="178"/>
    </row>
    <row r="21" spans="2:22" x14ac:dyDescent="0.2">
      <c r="B21" s="191"/>
      <c r="C21" s="217"/>
      <c r="D21" s="217"/>
      <c r="E21" s="217"/>
      <c r="F21" s="217"/>
      <c r="G21" s="217"/>
      <c r="H21" s="217"/>
      <c r="I21" s="209"/>
      <c r="K21" s="87"/>
      <c r="L21" s="209"/>
      <c r="M21" s="209"/>
      <c r="N21" s="209"/>
      <c r="O21" s="209"/>
      <c r="P21" s="209"/>
      <c r="Q21" s="209"/>
      <c r="R21" s="209"/>
      <c r="S21" s="209"/>
      <c r="T21" s="209"/>
      <c r="U21" s="209"/>
      <c r="V21" s="178"/>
    </row>
    <row r="22" spans="2:22" s="148" customFormat="1" ht="12.75" customHeight="1" x14ac:dyDescent="0.2">
      <c r="B22" s="232" t="s">
        <v>150</v>
      </c>
      <c r="C22" s="420" t="s">
        <v>10</v>
      </c>
      <c r="D22" s="420" t="s">
        <v>11</v>
      </c>
      <c r="E22" s="420" t="s">
        <v>88</v>
      </c>
      <c r="F22" s="420" t="s">
        <v>89</v>
      </c>
      <c r="G22" s="194"/>
      <c r="H22" s="194"/>
      <c r="I22" s="180"/>
      <c r="K22" s="180"/>
      <c r="L22" s="419"/>
      <c r="M22" s="419"/>
      <c r="N22" s="419"/>
      <c r="O22" s="419"/>
      <c r="P22" s="180"/>
      <c r="Q22" s="180"/>
    </row>
    <row r="23" spans="2:22" s="148" customFormat="1" x14ac:dyDescent="0.2">
      <c r="B23" s="233"/>
      <c r="C23" s="420"/>
      <c r="D23" s="420"/>
      <c r="E23" s="420"/>
      <c r="F23" s="420"/>
      <c r="G23" s="218"/>
      <c r="H23" s="219"/>
      <c r="I23" s="211"/>
      <c r="K23" s="210"/>
      <c r="L23" s="419"/>
      <c r="M23" s="419"/>
      <c r="N23" s="419"/>
      <c r="O23" s="419"/>
      <c r="P23" s="211"/>
      <c r="Q23" s="212"/>
    </row>
    <row r="24" spans="2:22" x14ac:dyDescent="0.2">
      <c r="B24" s="220">
        <v>36873</v>
      </c>
      <c r="C24" s="175">
        <v>0</v>
      </c>
      <c r="D24" s="175">
        <v>0</v>
      </c>
      <c r="E24" s="175">
        <v>0</v>
      </c>
      <c r="F24" s="175"/>
      <c r="G24" s="44"/>
      <c r="H24" s="38"/>
      <c r="K24" s="152"/>
      <c r="L24" s="151"/>
      <c r="M24" s="151"/>
      <c r="N24" s="151"/>
      <c r="O24" s="151"/>
      <c r="Q24" s="82"/>
    </row>
    <row r="25" spans="2:22" x14ac:dyDescent="0.2">
      <c r="B25" s="220">
        <v>36891</v>
      </c>
      <c r="C25" s="175">
        <v>-4.5388155165690725E-2</v>
      </c>
      <c r="D25" s="175">
        <v>-4.4660831855340755E-2</v>
      </c>
      <c r="E25" s="175">
        <v>-4.5388155165690725E-2</v>
      </c>
      <c r="F25" s="175">
        <v>-4.4660831855340755E-2</v>
      </c>
      <c r="G25" s="44"/>
      <c r="H25" s="38"/>
      <c r="K25" s="152"/>
      <c r="L25" s="151"/>
      <c r="M25" s="151"/>
      <c r="N25" s="151"/>
      <c r="O25" s="151"/>
      <c r="Q25" s="82"/>
    </row>
    <row r="26" spans="2:22" x14ac:dyDescent="0.2">
      <c r="B26" s="220">
        <v>36922</v>
      </c>
      <c r="C26" s="175">
        <v>-2.3061835549637144E-2</v>
      </c>
      <c r="D26" s="175">
        <v>-1.9328789449330031E-2</v>
      </c>
      <c r="E26" s="175">
        <v>-2.3061835549637144E-2</v>
      </c>
      <c r="F26" s="175">
        <v>-1.9328789449330031E-2</v>
      </c>
      <c r="G26" s="44"/>
      <c r="H26" s="38"/>
      <c r="K26" s="152"/>
      <c r="L26" s="151"/>
      <c r="M26" s="151"/>
      <c r="N26" s="151"/>
      <c r="O26" s="151"/>
      <c r="Q26" s="82"/>
    </row>
    <row r="27" spans="2:22" x14ac:dyDescent="0.2">
      <c r="B27" s="220">
        <v>36950</v>
      </c>
      <c r="C27" s="175">
        <v>-9.3336214097018311E-2</v>
      </c>
      <c r="D27" s="175">
        <v>-9.2990949898273945E-2</v>
      </c>
      <c r="E27" s="175">
        <v>-9.3336214097018311E-2</v>
      </c>
      <c r="F27" s="175">
        <v>-9.2990949898273945E-2</v>
      </c>
      <c r="G27" s="44"/>
      <c r="H27" s="38"/>
      <c r="K27" s="152"/>
      <c r="L27" s="151"/>
      <c r="M27" s="151"/>
      <c r="N27" s="151"/>
      <c r="O27" s="151"/>
      <c r="Q27" s="82"/>
    </row>
    <row r="28" spans="2:22" x14ac:dyDescent="0.2">
      <c r="B28" s="220">
        <v>36981</v>
      </c>
      <c r="C28" s="175">
        <v>-0.15455948709528244</v>
      </c>
      <c r="D28" s="175">
        <v>-0.16063029954622343</v>
      </c>
      <c r="E28" s="175">
        <v>-0.15455948709528244</v>
      </c>
      <c r="F28" s="175">
        <v>-0.16063029954622343</v>
      </c>
      <c r="G28" s="44"/>
      <c r="H28" s="38"/>
      <c r="K28" s="152"/>
      <c r="L28" s="151"/>
      <c r="M28" s="151"/>
      <c r="N28" s="151"/>
      <c r="O28" s="151"/>
      <c r="Q28" s="82"/>
    </row>
    <row r="29" spans="2:22" x14ac:dyDescent="0.2">
      <c r="B29" s="220">
        <v>37011</v>
      </c>
      <c r="C29" s="175">
        <v>-0.10298425231858033</v>
      </c>
      <c r="D29" s="175">
        <v>-0.1170998991535821</v>
      </c>
      <c r="E29" s="175">
        <v>-0.10298425231858033</v>
      </c>
      <c r="F29" s="175">
        <v>-0.1170998991535821</v>
      </c>
      <c r="G29" s="44"/>
      <c r="H29" s="38"/>
      <c r="K29" s="152"/>
      <c r="L29" s="151"/>
      <c r="M29" s="151"/>
      <c r="N29" s="151"/>
      <c r="O29" s="151"/>
      <c r="Q29" s="82"/>
    </row>
    <row r="30" spans="2:22" x14ac:dyDescent="0.2">
      <c r="B30" s="220">
        <v>37042</v>
      </c>
      <c r="C30" s="175">
        <v>-7.016137882463358E-2</v>
      </c>
      <c r="D30" s="175">
        <v>-9.0924429539379514E-2</v>
      </c>
      <c r="E30" s="175">
        <v>-7.016137882463358E-2</v>
      </c>
      <c r="F30" s="175">
        <v>-9.0924429539379514E-2</v>
      </c>
      <c r="G30" s="44"/>
      <c r="H30" s="38"/>
      <c r="K30" s="152"/>
      <c r="L30" s="151"/>
      <c r="M30" s="151"/>
      <c r="N30" s="151"/>
      <c r="O30" s="151"/>
      <c r="Q30" s="82"/>
    </row>
    <row r="31" spans="2:22" x14ac:dyDescent="0.2">
      <c r="B31" s="220">
        <v>37072</v>
      </c>
      <c r="C31" s="175">
        <v>-9.557327690967421E-2</v>
      </c>
      <c r="D31" s="175">
        <v>-0.11445061440242799</v>
      </c>
      <c r="E31" s="175">
        <v>-9.557327690967421E-2</v>
      </c>
      <c r="F31" s="175">
        <v>-0.11445061440242799</v>
      </c>
      <c r="G31" s="44"/>
      <c r="H31" s="38"/>
      <c r="K31" s="152"/>
      <c r="L31" s="151"/>
      <c r="M31" s="151"/>
      <c r="N31" s="151"/>
      <c r="O31" s="151"/>
      <c r="Q31" s="82"/>
    </row>
    <row r="32" spans="2:22" x14ac:dyDescent="0.2">
      <c r="B32" s="220">
        <v>37103</v>
      </c>
      <c r="C32" s="175">
        <v>-0.13384481410068805</v>
      </c>
      <c r="D32" s="175">
        <v>-0.14747483201292899</v>
      </c>
      <c r="E32" s="175">
        <v>-0.13384481410068805</v>
      </c>
      <c r="F32" s="175">
        <v>-0.14747483201292899</v>
      </c>
      <c r="G32" s="44"/>
      <c r="H32" s="38"/>
      <c r="K32" s="152"/>
      <c r="L32" s="151"/>
      <c r="M32" s="151"/>
      <c r="N32" s="151"/>
      <c r="O32" s="151"/>
      <c r="Q32" s="82"/>
    </row>
    <row r="33" spans="2:17" x14ac:dyDescent="0.2">
      <c r="B33" s="220">
        <v>37134</v>
      </c>
      <c r="C33" s="175">
        <v>-0.18550338163818569</v>
      </c>
      <c r="D33" s="175">
        <v>-0.20041755738546863</v>
      </c>
      <c r="E33" s="175">
        <v>-0.18550338163818569</v>
      </c>
      <c r="F33" s="175">
        <v>-0.20041755738546863</v>
      </c>
      <c r="G33" s="44"/>
      <c r="H33" s="38"/>
      <c r="K33" s="152"/>
      <c r="L33" s="151"/>
      <c r="M33" s="151"/>
      <c r="N33" s="151"/>
      <c r="O33" s="151"/>
      <c r="Q33" s="82"/>
    </row>
    <row r="34" spans="2:17" x14ac:dyDescent="0.2">
      <c r="B34" s="220">
        <v>37164</v>
      </c>
      <c r="C34" s="175">
        <v>-0.25676123723683508</v>
      </c>
      <c r="D34" s="175">
        <v>-0.27658828092670085</v>
      </c>
      <c r="E34" s="175">
        <v>-0.25676123723683508</v>
      </c>
      <c r="F34" s="175">
        <v>-0.27658828092670085</v>
      </c>
      <c r="G34" s="44"/>
      <c r="H34" s="38"/>
      <c r="K34" s="152"/>
      <c r="L34" s="151"/>
      <c r="M34" s="151"/>
      <c r="N34" s="151"/>
      <c r="O34" s="151"/>
      <c r="Q34" s="82"/>
    </row>
    <row r="35" spans="2:17" x14ac:dyDescent="0.2">
      <c r="B35" s="220">
        <v>37195</v>
      </c>
      <c r="C35" s="175">
        <v>-0.21912568174453229</v>
      </c>
      <c r="D35" s="175">
        <v>-0.23769720027606334</v>
      </c>
      <c r="E35" s="175">
        <v>-0.21912568174453229</v>
      </c>
      <c r="F35" s="175">
        <v>-0.23769720027606334</v>
      </c>
      <c r="G35" s="44"/>
      <c r="H35" s="38"/>
      <c r="K35" s="152"/>
      <c r="L35" s="151"/>
      <c r="M35" s="151"/>
      <c r="N35" s="151"/>
      <c r="O35" s="151"/>
      <c r="Q35" s="82"/>
    </row>
    <row r="36" spans="2:17" x14ac:dyDescent="0.2">
      <c r="B36" s="220">
        <v>37225</v>
      </c>
      <c r="C36" s="175">
        <v>-0.16090624193691538</v>
      </c>
      <c r="D36" s="175">
        <v>-0.18116667814571941</v>
      </c>
      <c r="E36" s="175">
        <v>-0.16090624193691538</v>
      </c>
      <c r="F36" s="175">
        <v>-0.18116667814571941</v>
      </c>
      <c r="G36" s="44"/>
      <c r="H36" s="38"/>
      <c r="K36" s="152"/>
      <c r="L36" s="151"/>
      <c r="M36" s="151"/>
      <c r="N36" s="151"/>
      <c r="O36" s="151"/>
      <c r="Q36" s="82"/>
    </row>
    <row r="37" spans="2:17" x14ac:dyDescent="0.2">
      <c r="B37" s="220">
        <v>37256</v>
      </c>
      <c r="C37" s="175">
        <v>-0.15163030159442259</v>
      </c>
      <c r="D37" s="175">
        <v>-0.17303629027404399</v>
      </c>
      <c r="E37" s="175">
        <v>-0.15163030159442259</v>
      </c>
      <c r="F37" s="175">
        <v>-0.17303629027404399</v>
      </c>
      <c r="G37" s="44"/>
      <c r="H37" s="38"/>
      <c r="K37" s="152"/>
      <c r="L37" s="151"/>
      <c r="M37" s="151"/>
      <c r="N37" s="151"/>
      <c r="O37" s="151"/>
      <c r="Q37" s="82"/>
    </row>
    <row r="38" spans="2:17" x14ac:dyDescent="0.2">
      <c r="B38" s="220">
        <v>37287</v>
      </c>
      <c r="C38" s="175">
        <v>-0.16226125402914071</v>
      </c>
      <c r="D38" s="175">
        <v>-0.17982548286273181</v>
      </c>
      <c r="E38" s="175">
        <v>-0.18662022488362295</v>
      </c>
      <c r="F38" s="175">
        <v>-0.20507862007785627</v>
      </c>
      <c r="G38" s="44"/>
      <c r="H38" s="38"/>
      <c r="K38" s="152"/>
      <c r="L38" s="151"/>
      <c r="M38" s="151"/>
      <c r="N38" s="151"/>
      <c r="O38" s="151"/>
      <c r="Q38" s="82"/>
    </row>
    <row r="39" spans="2:17" x14ac:dyDescent="0.2">
      <c r="B39" s="220">
        <v>37315</v>
      </c>
      <c r="C39" s="175">
        <v>-0.15995282583486503</v>
      </c>
      <c r="D39" s="175">
        <v>-0.17789240716081489</v>
      </c>
      <c r="E39" s="175">
        <v>-0.19577125072951806</v>
      </c>
      <c r="F39" s="175">
        <v>-0.21577248539957083</v>
      </c>
      <c r="G39" s="44"/>
      <c r="H39" s="38"/>
      <c r="K39" s="152"/>
      <c r="L39" s="151"/>
      <c r="M39" s="151"/>
      <c r="N39" s="151"/>
      <c r="O39" s="151"/>
      <c r="Q39" s="82"/>
    </row>
    <row r="40" spans="2:17" x14ac:dyDescent="0.2">
      <c r="B40" s="220">
        <v>37346</v>
      </c>
      <c r="C40" s="175">
        <v>-0.13668758570700124</v>
      </c>
      <c r="D40" s="175">
        <v>-0.1598893652815141</v>
      </c>
      <c r="E40" s="175">
        <v>-0.17796435824374601</v>
      </c>
      <c r="F40" s="175">
        <v>-0.20548652285000768</v>
      </c>
      <c r="G40" s="44"/>
      <c r="H40" s="38"/>
      <c r="K40" s="152"/>
      <c r="L40" s="151"/>
      <c r="M40" s="151"/>
      <c r="N40" s="151"/>
      <c r="O40" s="151"/>
      <c r="Q40" s="82"/>
    </row>
    <row r="41" spans="2:17" x14ac:dyDescent="0.2">
      <c r="B41" s="220">
        <v>37376</v>
      </c>
      <c r="C41" s="175">
        <v>-0.16588858009420038</v>
      </c>
      <c r="D41" s="175">
        <v>-0.1893815764872061</v>
      </c>
      <c r="E41" s="175">
        <v>-0.22660606519990201</v>
      </c>
      <c r="F41" s="175">
        <v>-0.25551269083185868</v>
      </c>
      <c r="G41" s="44"/>
      <c r="H41" s="41"/>
      <c r="K41" s="152"/>
      <c r="L41" s="151"/>
      <c r="M41" s="151"/>
      <c r="N41" s="151"/>
      <c r="O41" s="151"/>
      <c r="Q41" s="86"/>
    </row>
    <row r="42" spans="2:17" x14ac:dyDescent="0.2">
      <c r="B42" s="220">
        <v>37407</v>
      </c>
      <c r="C42" s="175">
        <v>-0.17925892347518058</v>
      </c>
      <c r="D42" s="175">
        <v>-0.202477220739679</v>
      </c>
      <c r="E42" s="175">
        <v>-0.25645158127320089</v>
      </c>
      <c r="F42" s="175">
        <v>-0.28607394152218535</v>
      </c>
      <c r="G42" s="44"/>
      <c r="H42" s="41"/>
      <c r="K42" s="152"/>
      <c r="L42" s="151"/>
      <c r="M42" s="151"/>
      <c r="N42" s="151"/>
      <c r="O42" s="151"/>
      <c r="Q42" s="86"/>
    </row>
    <row r="43" spans="2:17" x14ac:dyDescent="0.2">
      <c r="B43" s="220">
        <v>37437</v>
      </c>
      <c r="C43" s="175">
        <v>-0.22050976223006347</v>
      </c>
      <c r="D43" s="175">
        <v>-0.24061222909381852</v>
      </c>
      <c r="E43" s="175">
        <v>-0.32593737992429506</v>
      </c>
      <c r="F43" s="175">
        <v>-0.35184388618635543</v>
      </c>
      <c r="G43" s="44"/>
      <c r="H43" s="41"/>
      <c r="K43" s="152"/>
      <c r="L43" s="151"/>
      <c r="M43" s="151"/>
      <c r="N43" s="151"/>
      <c r="O43" s="151"/>
      <c r="Q43" s="86"/>
    </row>
    <row r="44" spans="2:17" x14ac:dyDescent="0.2">
      <c r="B44" s="220">
        <v>37468</v>
      </c>
      <c r="C44" s="175">
        <v>-0.24416776840847387</v>
      </c>
      <c r="D44" s="175">
        <v>-0.26110857275586996</v>
      </c>
      <c r="E44" s="175">
        <v>-0.37284385787911678</v>
      </c>
      <c r="F44" s="175">
        <v>-0.39495439392157172</v>
      </c>
      <c r="G44" s="44"/>
      <c r="H44" s="41"/>
      <c r="K44" s="152"/>
      <c r="L44" s="151"/>
      <c r="M44" s="151"/>
      <c r="N44" s="151"/>
      <c r="O44" s="151"/>
      <c r="Q44" s="86"/>
    </row>
    <row r="45" spans="2:17" x14ac:dyDescent="0.2">
      <c r="B45" s="220">
        <v>37499</v>
      </c>
      <c r="C45" s="175">
        <v>-0.23780624183716714</v>
      </c>
      <c r="D45" s="175">
        <v>-0.25420894591188581</v>
      </c>
      <c r="E45" s="175">
        <v>-0.37825195439072901</v>
      </c>
      <c r="F45" s="175">
        <v>-0.40039202796785789</v>
      </c>
      <c r="G45" s="44"/>
      <c r="H45" s="41"/>
      <c r="K45" s="152"/>
      <c r="L45" s="151"/>
      <c r="M45" s="151"/>
      <c r="N45" s="151"/>
      <c r="O45" s="151"/>
      <c r="Q45" s="86"/>
    </row>
    <row r="46" spans="2:17" x14ac:dyDescent="0.2">
      <c r="B46" s="220">
        <v>37529</v>
      </c>
      <c r="C46" s="175">
        <v>-0.27439234057319351</v>
      </c>
      <c r="D46" s="175">
        <v>-0.29238390797011871</v>
      </c>
      <c r="E46" s="175">
        <v>-0.44458184201584461</v>
      </c>
      <c r="F46" s="175">
        <v>-0.46845774097472637</v>
      </c>
      <c r="G46" s="44"/>
      <c r="H46" s="41"/>
      <c r="K46" s="152"/>
      <c r="L46" s="151"/>
      <c r="M46" s="151"/>
      <c r="N46" s="151"/>
      <c r="O46" s="151"/>
      <c r="Q46" s="86"/>
    </row>
    <row r="47" spans="2:17" x14ac:dyDescent="0.2">
      <c r="B47" s="220">
        <v>37560</v>
      </c>
      <c r="C47" s="175">
        <v>-0.23343554860848559</v>
      </c>
      <c r="D47" s="175">
        <v>-0.2529240597264083</v>
      </c>
      <c r="E47" s="175">
        <v>-0.39921608781484508</v>
      </c>
      <c r="F47" s="175">
        <v>-0.42692108303906973</v>
      </c>
      <c r="G47" s="44"/>
      <c r="H47" s="41"/>
      <c r="K47" s="152"/>
      <c r="L47" s="151"/>
      <c r="M47" s="151"/>
      <c r="N47" s="151"/>
      <c r="O47" s="151"/>
      <c r="Q47" s="86"/>
    </row>
    <row r="48" spans="2:17" x14ac:dyDescent="0.2">
      <c r="B48" s="220">
        <v>37590</v>
      </c>
      <c r="C48" s="175">
        <v>-0.20070973309006235</v>
      </c>
      <c r="D48" s="175">
        <v>-0.21912139700742306</v>
      </c>
      <c r="E48" s="175">
        <v>-0.36113506922304062</v>
      </c>
      <c r="F48" s="175">
        <v>-0.3890432569526493</v>
      </c>
      <c r="G48" s="44"/>
      <c r="H48" s="41"/>
      <c r="K48" s="152"/>
      <c r="L48" s="151"/>
      <c r="M48" s="151"/>
      <c r="N48" s="151"/>
      <c r="O48" s="151"/>
      <c r="Q48" s="86"/>
    </row>
    <row r="49" spans="2:17" x14ac:dyDescent="0.2">
      <c r="B49" s="220">
        <v>37621</v>
      </c>
      <c r="C49" s="175">
        <v>-0.22785838594751284</v>
      </c>
      <c r="D49" s="175">
        <v>-0.24546098585877341</v>
      </c>
      <c r="E49" s="175">
        <v>-0.41650742840072186</v>
      </c>
      <c r="F49" s="175">
        <v>-0.44280807503042408</v>
      </c>
      <c r="G49" s="44"/>
      <c r="H49" s="41"/>
      <c r="K49" s="152"/>
      <c r="L49" s="151"/>
      <c r="M49" s="151"/>
      <c r="N49" s="151"/>
      <c r="O49" s="151"/>
      <c r="Q49" s="86"/>
    </row>
    <row r="50" spans="2:17" x14ac:dyDescent="0.2">
      <c r="B50" s="220">
        <v>37652</v>
      </c>
      <c r="C50" s="175">
        <v>-0.23460327412364324</v>
      </c>
      <c r="D50" s="175">
        <v>-0.25253463167868995</v>
      </c>
      <c r="E50" s="175">
        <v>-0.43969955560310947</v>
      </c>
      <c r="F50" s="175">
        <v>-0.46669954078600318</v>
      </c>
      <c r="G50" s="44"/>
      <c r="H50" s="41"/>
      <c r="K50" s="152"/>
      <c r="L50" s="151"/>
      <c r="M50" s="151"/>
      <c r="N50" s="151"/>
      <c r="O50" s="151"/>
      <c r="Q50" s="86"/>
    </row>
    <row r="51" spans="2:17" x14ac:dyDescent="0.2">
      <c r="B51" s="220">
        <v>37680</v>
      </c>
      <c r="C51" s="175">
        <v>-0.23240386065007368</v>
      </c>
      <c r="D51" s="175">
        <v>-0.25269517603713187</v>
      </c>
      <c r="E51" s="175">
        <v>-0.44849588278422881</v>
      </c>
      <c r="F51" s="175">
        <v>-0.47959722847491704</v>
      </c>
      <c r="G51" s="44"/>
      <c r="H51" s="41"/>
      <c r="K51" s="152"/>
      <c r="L51" s="151"/>
      <c r="M51" s="151"/>
      <c r="N51" s="151"/>
      <c r="O51" s="151"/>
      <c r="Q51" s="86"/>
    </row>
    <row r="52" spans="2:17" x14ac:dyDescent="0.2">
      <c r="B52" s="220">
        <v>37711</v>
      </c>
      <c r="C52" s="175">
        <v>-0.22512802037218171</v>
      </c>
      <c r="D52" s="175">
        <v>-0.24654438583516525</v>
      </c>
      <c r="E52" s="175">
        <v>-0.44851136723349694</v>
      </c>
      <c r="F52" s="175">
        <v>-0.4822156403582547</v>
      </c>
      <c r="G52" s="44"/>
      <c r="H52" s="41"/>
      <c r="K52" s="152"/>
      <c r="L52" s="151"/>
      <c r="M52" s="151"/>
      <c r="N52" s="151"/>
      <c r="O52" s="151"/>
      <c r="Q52" s="86"/>
    </row>
    <row r="53" spans="2:17" x14ac:dyDescent="0.2">
      <c r="B53" s="220">
        <v>37741</v>
      </c>
      <c r="C53" s="175">
        <v>-0.19717702713728946</v>
      </c>
      <c r="D53" s="175">
        <v>-0.21738415643477516</v>
      </c>
      <c r="E53" s="175">
        <v>-0.41183682582898196</v>
      </c>
      <c r="F53" s="175">
        <v>-0.44580177240055074</v>
      </c>
      <c r="G53" s="44"/>
      <c r="H53" s="41"/>
      <c r="K53" s="152"/>
      <c r="L53" s="151"/>
      <c r="M53" s="151"/>
      <c r="N53" s="151"/>
      <c r="O53" s="151"/>
      <c r="Q53" s="86"/>
    </row>
    <row r="54" spans="2:17" x14ac:dyDescent="0.2">
      <c r="B54" s="220">
        <v>37772</v>
      </c>
      <c r="C54" s="175">
        <v>-0.18833333094140081</v>
      </c>
      <c r="D54" s="175">
        <v>-0.20771433610726042</v>
      </c>
      <c r="E54" s="175">
        <v>-0.40646780652014425</v>
      </c>
      <c r="F54" s="175">
        <v>-0.44014036902277165</v>
      </c>
      <c r="G54" s="44"/>
      <c r="H54" s="41"/>
      <c r="K54" s="152"/>
      <c r="L54" s="151"/>
      <c r="M54" s="151"/>
      <c r="N54" s="151"/>
      <c r="O54" s="151"/>
      <c r="Q54" s="86"/>
    </row>
    <row r="55" spans="2:17" x14ac:dyDescent="0.2">
      <c r="B55" s="220">
        <v>37802</v>
      </c>
      <c r="C55" s="175">
        <v>-0.16813844327559169</v>
      </c>
      <c r="D55" s="175">
        <v>-0.18641163030864216</v>
      </c>
      <c r="E55" s="175">
        <v>-0.37846552335272365</v>
      </c>
      <c r="F55" s="175">
        <v>-0.41203778532502877</v>
      </c>
      <c r="G55" s="44"/>
      <c r="H55" s="41"/>
      <c r="K55" s="152"/>
      <c r="L55" s="151"/>
      <c r="M55" s="151"/>
      <c r="N55" s="151"/>
      <c r="O55" s="151"/>
      <c r="Q55" s="86"/>
    </row>
    <row r="56" spans="2:17" x14ac:dyDescent="0.2">
      <c r="B56" s="220">
        <v>37833</v>
      </c>
      <c r="C56" s="175">
        <v>-0.1518031259781758</v>
      </c>
      <c r="D56" s="175">
        <v>-0.16879672984135718</v>
      </c>
      <c r="E56" s="175">
        <v>-0.35534931744811826</v>
      </c>
      <c r="F56" s="175">
        <v>-0.38818737606076836</v>
      </c>
      <c r="G56" s="44"/>
      <c r="H56" s="41"/>
      <c r="K56" s="152"/>
      <c r="L56" s="151"/>
      <c r="M56" s="151"/>
      <c r="N56" s="151"/>
      <c r="O56" s="151"/>
      <c r="Q56" s="86"/>
    </row>
    <row r="57" spans="2:17" x14ac:dyDescent="0.2">
      <c r="B57" s="220">
        <v>37864</v>
      </c>
      <c r="C57" s="175">
        <v>-0.13574346501764911</v>
      </c>
      <c r="D57" s="175">
        <v>-0.15240816443373728</v>
      </c>
      <c r="E57" s="175">
        <v>-0.33047415193973351</v>
      </c>
      <c r="F57" s="175">
        <v>-0.36434969177653775</v>
      </c>
      <c r="G57" s="44"/>
      <c r="H57" s="41"/>
      <c r="K57" s="152"/>
      <c r="L57" s="151"/>
      <c r="M57" s="151"/>
      <c r="N57" s="151"/>
      <c r="O57" s="151"/>
      <c r="Q57" s="86"/>
    </row>
    <row r="58" spans="2:17" x14ac:dyDescent="0.2">
      <c r="B58" s="220">
        <v>37894</v>
      </c>
      <c r="C58" s="175">
        <v>-0.14681322947025155</v>
      </c>
      <c r="D58" s="175">
        <v>-0.16496042280154943</v>
      </c>
      <c r="E58" s="175">
        <v>-0.36228741759380223</v>
      </c>
      <c r="F58" s="175">
        <v>-0.39889811482558968</v>
      </c>
      <c r="G58" s="44"/>
      <c r="H58" s="41"/>
      <c r="K58" s="152"/>
      <c r="L58" s="151"/>
      <c r="M58" s="151"/>
      <c r="N58" s="151"/>
      <c r="O58" s="151"/>
      <c r="Q58" s="86"/>
    </row>
    <row r="59" spans="2:17" x14ac:dyDescent="0.2">
      <c r="B59" s="220">
        <v>37925</v>
      </c>
      <c r="C59" s="175">
        <v>-0.1251331817775535</v>
      </c>
      <c r="D59" s="175">
        <v>-0.14341679706964161</v>
      </c>
      <c r="E59" s="175">
        <v>-0.32288254981017206</v>
      </c>
      <c r="F59" s="175">
        <v>-0.36221314390509929</v>
      </c>
      <c r="G59" s="44"/>
      <c r="H59" s="41"/>
      <c r="K59" s="152"/>
      <c r="L59" s="151"/>
      <c r="M59" s="151"/>
      <c r="N59" s="151"/>
      <c r="O59" s="151"/>
      <c r="Q59" s="86"/>
    </row>
    <row r="60" spans="2:17" x14ac:dyDescent="0.2">
      <c r="B60" s="220">
        <v>37955</v>
      </c>
      <c r="C60" s="175">
        <v>-0.12301693246698986</v>
      </c>
      <c r="D60" s="175">
        <v>-0.14019184001357088</v>
      </c>
      <c r="E60" s="175">
        <v>-0.32551293599988529</v>
      </c>
      <c r="F60" s="175">
        <v>-0.36332105025932415</v>
      </c>
      <c r="G60" s="44"/>
      <c r="H60" s="41"/>
      <c r="K60" s="152"/>
      <c r="L60" s="151"/>
      <c r="M60" s="151"/>
      <c r="N60" s="151"/>
      <c r="O60" s="151"/>
      <c r="Q60" s="86"/>
    </row>
    <row r="61" spans="2:17" x14ac:dyDescent="0.2">
      <c r="B61" s="220">
        <v>37986</v>
      </c>
      <c r="C61" s="175">
        <v>-0.1143751986773297</v>
      </c>
      <c r="D61" s="175">
        <v>-0.13155412420909063</v>
      </c>
      <c r="E61" s="175">
        <v>-0.31237214995239981</v>
      </c>
      <c r="F61" s="175">
        <v>-0.35161580686466432</v>
      </c>
      <c r="G61" s="44"/>
      <c r="H61" s="41"/>
      <c r="K61" s="152"/>
      <c r="L61" s="151"/>
      <c r="M61" s="151"/>
      <c r="N61" s="151"/>
      <c r="O61" s="151"/>
      <c r="Q61" s="86"/>
    </row>
    <row r="62" spans="2:17" x14ac:dyDescent="0.2">
      <c r="B62" s="220">
        <v>38017</v>
      </c>
      <c r="C62" s="175">
        <v>-9.8706449952690956E-2</v>
      </c>
      <c r="D62" s="175">
        <v>-0.11510276230671346</v>
      </c>
      <c r="E62" s="175">
        <v>-0.28042428168822753</v>
      </c>
      <c r="F62" s="175">
        <v>-0.32002683021401934</v>
      </c>
      <c r="G62" s="44"/>
      <c r="H62" s="41"/>
      <c r="K62" s="152"/>
      <c r="L62" s="151"/>
      <c r="M62" s="151"/>
      <c r="N62" s="151"/>
      <c r="O62" s="151"/>
      <c r="Q62" s="86"/>
    </row>
    <row r="63" spans="2:17" x14ac:dyDescent="0.2">
      <c r="B63" s="220">
        <v>38046</v>
      </c>
      <c r="C63" s="175">
        <v>-8.9088952368647556E-2</v>
      </c>
      <c r="D63" s="175">
        <v>-0.10451536454155341</v>
      </c>
      <c r="E63" s="175">
        <v>-0.26159113811669987</v>
      </c>
      <c r="F63" s="175">
        <v>-0.30046877743691702</v>
      </c>
      <c r="G63" s="44"/>
      <c r="H63" s="41"/>
      <c r="K63" s="152"/>
      <c r="L63" s="151"/>
      <c r="M63" s="151"/>
      <c r="N63" s="151"/>
      <c r="O63" s="151"/>
      <c r="Q63" s="86"/>
    </row>
    <row r="64" spans="2:17" x14ac:dyDescent="0.2">
      <c r="B64" s="220">
        <v>38077</v>
      </c>
      <c r="C64" s="175">
        <v>-8.7406605538522308E-2</v>
      </c>
      <c r="D64" s="175">
        <v>-0.10454961524634732</v>
      </c>
      <c r="E64" s="175">
        <v>-0.26279025098696795</v>
      </c>
      <c r="F64" s="175">
        <v>-0.30685396898452577</v>
      </c>
      <c r="G64" s="44"/>
      <c r="H64" s="41"/>
      <c r="K64" s="152"/>
      <c r="L64" s="151"/>
      <c r="M64" s="151"/>
      <c r="N64" s="151"/>
      <c r="O64" s="151"/>
      <c r="Q64" s="86"/>
    </row>
    <row r="65" spans="2:17" x14ac:dyDescent="0.2">
      <c r="B65" s="220">
        <v>38107</v>
      </c>
      <c r="C65" s="175">
        <v>-8.6988615271393566E-2</v>
      </c>
      <c r="D65" s="175">
        <v>-0.10371465734584484</v>
      </c>
      <c r="E65" s="175">
        <v>-0.26724240937259902</v>
      </c>
      <c r="F65" s="175">
        <v>-0.31104001768855316</v>
      </c>
      <c r="G65" s="44"/>
      <c r="H65" s="41"/>
      <c r="K65" s="152"/>
      <c r="L65" s="151"/>
      <c r="M65" s="151"/>
      <c r="N65" s="151"/>
      <c r="O65" s="151"/>
      <c r="Q65" s="86"/>
    </row>
    <row r="66" spans="2:17" x14ac:dyDescent="0.2">
      <c r="B66" s="220">
        <v>38138</v>
      </c>
      <c r="C66" s="175">
        <v>-8.9931885662111632E-2</v>
      </c>
      <c r="D66" s="175">
        <v>-0.10685537216643326</v>
      </c>
      <c r="E66" s="175">
        <v>-0.28095073852229646</v>
      </c>
      <c r="F66" s="175">
        <v>-0.32561856126314637</v>
      </c>
      <c r="G66" s="44"/>
      <c r="H66" s="41"/>
      <c r="K66" s="152"/>
      <c r="L66" s="151"/>
      <c r="M66" s="151"/>
      <c r="N66" s="151"/>
      <c r="O66" s="151"/>
      <c r="Q66" s="86"/>
    </row>
    <row r="67" spans="2:17" x14ac:dyDescent="0.2">
      <c r="B67" s="220">
        <v>38168</v>
      </c>
      <c r="C67" s="175">
        <v>-8.1594111492517385E-2</v>
      </c>
      <c r="D67" s="175">
        <v>-9.7162913472718326E-2</v>
      </c>
      <c r="E67" s="175">
        <v>-0.26287547044942672</v>
      </c>
      <c r="F67" s="175">
        <v>-0.3056915958661327</v>
      </c>
      <c r="G67" s="44"/>
      <c r="H67" s="41"/>
      <c r="K67" s="152"/>
      <c r="L67" s="151"/>
      <c r="M67" s="151"/>
      <c r="N67" s="151"/>
      <c r="O67" s="151"/>
      <c r="Q67" s="86"/>
    </row>
    <row r="68" spans="2:17" x14ac:dyDescent="0.2">
      <c r="B68" s="220">
        <v>38199</v>
      </c>
      <c r="C68" s="175">
        <v>-8.5704517293054172E-2</v>
      </c>
      <c r="D68" s="175">
        <v>-0.10048598561228328</v>
      </c>
      <c r="E68" s="175">
        <v>-0.28002496412248912</v>
      </c>
      <c r="F68" s="175">
        <v>-0.32087094461392418</v>
      </c>
      <c r="G68" s="44"/>
      <c r="H68" s="41"/>
      <c r="K68" s="152"/>
      <c r="L68" s="151"/>
      <c r="M68" s="151"/>
      <c r="N68" s="151"/>
      <c r="O68" s="151"/>
      <c r="Q68" s="86"/>
    </row>
    <row r="69" spans="2:17" x14ac:dyDescent="0.2">
      <c r="B69" s="220">
        <v>38230</v>
      </c>
      <c r="C69" s="175">
        <v>-8.5215270792155073E-2</v>
      </c>
      <c r="D69" s="175">
        <v>-9.9406515102145931E-2</v>
      </c>
      <c r="E69" s="175">
        <v>-0.28394579712309564</v>
      </c>
      <c r="F69" s="175">
        <v>-0.32384098096418845</v>
      </c>
      <c r="G69" s="44"/>
      <c r="H69" s="41"/>
      <c r="K69" s="152"/>
      <c r="L69" s="151"/>
      <c r="M69" s="151"/>
      <c r="N69" s="151"/>
      <c r="O69" s="151"/>
      <c r="Q69" s="86"/>
    </row>
    <row r="70" spans="2:17" x14ac:dyDescent="0.2">
      <c r="B70" s="220">
        <v>38260</v>
      </c>
      <c r="C70" s="175">
        <v>-8.159684410507495E-2</v>
      </c>
      <c r="D70" s="175">
        <v>-9.7256122030551784E-2</v>
      </c>
      <c r="E70" s="175">
        <v>-0.27840323907420905</v>
      </c>
      <c r="F70" s="175">
        <v>-0.32347084548463501</v>
      </c>
      <c r="G70" s="44"/>
      <c r="H70" s="41"/>
      <c r="K70" s="152"/>
      <c r="L70" s="151"/>
      <c r="M70" s="151"/>
      <c r="N70" s="151"/>
      <c r="O70" s="151"/>
      <c r="Q70" s="86"/>
    </row>
    <row r="71" spans="2:17" x14ac:dyDescent="0.2">
      <c r="B71" s="220">
        <v>38291</v>
      </c>
      <c r="C71" s="175">
        <v>-7.9882149410125725E-2</v>
      </c>
      <c r="D71" s="175">
        <v>-9.5905139396950667E-2</v>
      </c>
      <c r="E71" s="175">
        <v>-0.27824987083614972</v>
      </c>
      <c r="F71" s="175">
        <v>-0.32525352693472087</v>
      </c>
      <c r="G71" s="44"/>
      <c r="H71" s="41"/>
      <c r="K71" s="152"/>
      <c r="L71" s="151"/>
      <c r="M71" s="151"/>
      <c r="N71" s="151"/>
      <c r="O71" s="151"/>
      <c r="Q71" s="86"/>
    </row>
    <row r="72" spans="2:17" x14ac:dyDescent="0.2">
      <c r="B72" s="220">
        <v>38321</v>
      </c>
      <c r="C72" s="175">
        <v>-7.3719529380124937E-2</v>
      </c>
      <c r="D72" s="175">
        <v>-8.8181181115921548E-2</v>
      </c>
      <c r="E72" s="175">
        <v>-0.26384370438779248</v>
      </c>
      <c r="F72" s="175">
        <v>-0.30784445648773473</v>
      </c>
      <c r="G72" s="44"/>
      <c r="H72" s="41"/>
      <c r="K72" s="152"/>
      <c r="L72" s="151"/>
      <c r="M72" s="151"/>
      <c r="N72" s="151"/>
      <c r="O72" s="151"/>
      <c r="Q72" s="86"/>
    </row>
    <row r="73" spans="2:17" x14ac:dyDescent="0.2">
      <c r="B73" s="220">
        <v>38352</v>
      </c>
      <c r="C73" s="175">
        <v>-6.8696459652047626E-2</v>
      </c>
      <c r="D73" s="175">
        <v>-8.2935944173102905E-2</v>
      </c>
      <c r="E73" s="175">
        <v>-0.2521934119949012</v>
      </c>
      <c r="F73" s="175">
        <v>-0.29689051299592184</v>
      </c>
      <c r="G73" s="44"/>
      <c r="H73" s="41"/>
      <c r="K73" s="152"/>
      <c r="L73" s="151"/>
      <c r="M73" s="151"/>
      <c r="N73" s="151"/>
      <c r="O73" s="151"/>
      <c r="Q73" s="86"/>
    </row>
    <row r="74" spans="2:17" x14ac:dyDescent="0.2">
      <c r="B74" s="220">
        <v>38383</v>
      </c>
      <c r="C74" s="175">
        <v>-6.341088664394734E-2</v>
      </c>
      <c r="D74" s="175">
        <v>-7.6224112759343265E-2</v>
      </c>
      <c r="E74" s="175">
        <v>-0.23887742096441089</v>
      </c>
      <c r="F74" s="175">
        <v>-0.2805077311527554</v>
      </c>
      <c r="G74" s="44"/>
      <c r="H74" s="41"/>
      <c r="K74" s="152"/>
      <c r="L74" s="151"/>
      <c r="M74" s="151"/>
      <c r="N74" s="151"/>
      <c r="O74" s="151"/>
      <c r="Q74" s="86"/>
    </row>
    <row r="75" spans="2:17" x14ac:dyDescent="0.2">
      <c r="B75" s="220">
        <v>38411</v>
      </c>
      <c r="C75" s="175">
        <v>-5.6910768482158702E-2</v>
      </c>
      <c r="D75" s="175">
        <v>-7.0598211042535719E-2</v>
      </c>
      <c r="E75" s="175">
        <v>-0.22044037074748646</v>
      </c>
      <c r="F75" s="175">
        <v>-0.26651033451061856</v>
      </c>
      <c r="G75" s="44"/>
      <c r="H75" s="41"/>
      <c r="K75" s="152"/>
      <c r="L75" s="151"/>
      <c r="M75" s="151"/>
      <c r="N75" s="151"/>
      <c r="O75" s="151"/>
      <c r="Q75" s="86"/>
    </row>
    <row r="76" spans="2:17" x14ac:dyDescent="0.2">
      <c r="B76" s="220">
        <v>38442</v>
      </c>
      <c r="C76" s="175">
        <v>-5.5930861892893091E-2</v>
      </c>
      <c r="D76" s="175">
        <v>-6.9835735237260943E-2</v>
      </c>
      <c r="E76" s="175">
        <v>-0.2207386506537321</v>
      </c>
      <c r="F76" s="175">
        <v>-0.26836327207553767</v>
      </c>
      <c r="G76" s="44"/>
      <c r="H76" s="41"/>
      <c r="K76" s="152"/>
      <c r="L76" s="151"/>
      <c r="M76" s="151"/>
      <c r="N76" s="151"/>
      <c r="O76" s="151"/>
      <c r="Q76" s="86"/>
    </row>
    <row r="77" spans="2:17" x14ac:dyDescent="0.2">
      <c r="B77" s="220">
        <v>38472</v>
      </c>
      <c r="C77" s="175">
        <v>-5.6873786580065921E-2</v>
      </c>
      <c r="D77" s="175">
        <v>-7.0805954993096609E-2</v>
      </c>
      <c r="E77" s="175">
        <v>-0.22788257530025025</v>
      </c>
      <c r="F77" s="175">
        <v>-0.27610546941961367</v>
      </c>
      <c r="G77" s="44"/>
      <c r="H77" s="41"/>
      <c r="K77" s="152"/>
      <c r="L77" s="151"/>
      <c r="M77" s="151"/>
      <c r="N77" s="151"/>
      <c r="O77" s="151"/>
      <c r="Q77" s="86"/>
    </row>
    <row r="78" spans="2:17" x14ac:dyDescent="0.2">
      <c r="B78" s="220">
        <v>38503</v>
      </c>
      <c r="C78" s="175">
        <v>-4.3985259422495315E-2</v>
      </c>
      <c r="D78" s="175">
        <v>-5.791941284542701E-2</v>
      </c>
      <c r="E78" s="175">
        <v>-0.1832471684524668</v>
      </c>
      <c r="F78" s="175">
        <v>-0.23453097093279718</v>
      </c>
      <c r="G78" s="44"/>
      <c r="H78" s="41"/>
      <c r="K78" s="152"/>
      <c r="L78" s="151"/>
      <c r="M78" s="151"/>
      <c r="N78" s="151"/>
      <c r="O78" s="151"/>
      <c r="Q78" s="86"/>
    </row>
    <row r="79" spans="2:17" x14ac:dyDescent="0.2">
      <c r="B79" s="220">
        <v>38533</v>
      </c>
      <c r="C79" s="175">
        <v>-3.3018014505805326E-2</v>
      </c>
      <c r="D79" s="175">
        <v>-4.6928443506298878E-2</v>
      </c>
      <c r="E79" s="175">
        <v>-0.14263136710218371</v>
      </c>
      <c r="F79" s="175">
        <v>-0.19675199763817275</v>
      </c>
      <c r="G79" s="44"/>
      <c r="H79" s="41"/>
      <c r="K79" s="152"/>
      <c r="L79" s="151"/>
      <c r="M79" s="151"/>
      <c r="N79" s="151"/>
      <c r="O79" s="151"/>
      <c r="Q79" s="86"/>
    </row>
    <row r="80" spans="2:17" x14ac:dyDescent="0.2">
      <c r="B80" s="220">
        <v>38564</v>
      </c>
      <c r="C80" s="175">
        <v>-2.5325259264046607E-2</v>
      </c>
      <c r="D80" s="175">
        <v>-3.8343913031174237E-2</v>
      </c>
      <c r="E80" s="175">
        <v>-0.11281950386238349</v>
      </c>
      <c r="F80" s="175">
        <v>-0.16584711404670061</v>
      </c>
      <c r="G80" s="44"/>
      <c r="H80" s="41"/>
      <c r="K80" s="152"/>
      <c r="L80" s="151"/>
      <c r="M80" s="151"/>
      <c r="N80" s="151"/>
      <c r="O80" s="151"/>
      <c r="Q80" s="86"/>
    </row>
    <row r="81" spans="2:17" x14ac:dyDescent="0.2">
      <c r="B81" s="220">
        <v>38595</v>
      </c>
      <c r="C81" s="175">
        <v>-2.746217415188934E-2</v>
      </c>
      <c r="D81" s="175">
        <v>-4.0589498864344042E-2</v>
      </c>
      <c r="E81" s="175">
        <v>-0.12389555584764222</v>
      </c>
      <c r="F81" s="175">
        <v>-0.17773262779984145</v>
      </c>
      <c r="G81" s="44"/>
      <c r="H81" s="41"/>
      <c r="K81" s="152"/>
      <c r="L81" s="151"/>
      <c r="M81" s="151"/>
      <c r="N81" s="151"/>
      <c r="O81" s="151"/>
      <c r="Q81" s="86"/>
    </row>
    <row r="82" spans="2:17" x14ac:dyDescent="0.2">
      <c r="B82" s="220">
        <v>38625</v>
      </c>
      <c r="C82" s="175">
        <v>-1.7256064356471201E-2</v>
      </c>
      <c r="D82" s="175">
        <v>-3.174243636300067E-2</v>
      </c>
      <c r="E82" s="175">
        <v>-8.0690388803733248E-2</v>
      </c>
      <c r="F82" s="175">
        <v>-0.14330388484831758</v>
      </c>
      <c r="G82" s="44"/>
      <c r="H82" s="44"/>
      <c r="K82" s="152"/>
      <c r="L82" s="151"/>
      <c r="M82" s="151"/>
      <c r="N82" s="151"/>
      <c r="O82" s="151"/>
    </row>
    <row r="83" spans="2:17" x14ac:dyDescent="0.2">
      <c r="B83" s="220">
        <v>38656</v>
      </c>
      <c r="C83" s="175">
        <v>-1.9685498604054108E-2</v>
      </c>
      <c r="D83" s="175">
        <v>-3.4242878040501412E-2</v>
      </c>
      <c r="E83" s="175">
        <v>-9.3126559629821304E-2</v>
      </c>
      <c r="F83" s="175">
        <v>-0.1563893314970044</v>
      </c>
      <c r="G83" s="44"/>
      <c r="H83" s="44"/>
      <c r="K83" s="152"/>
      <c r="L83" s="151"/>
      <c r="M83" s="151"/>
      <c r="N83" s="151"/>
      <c r="O83" s="151"/>
    </row>
    <row r="84" spans="2:17" x14ac:dyDescent="0.2">
      <c r="B84" s="220">
        <v>38686</v>
      </c>
      <c r="C84" s="175">
        <v>-9.9800295892689128E-3</v>
      </c>
      <c r="D84" s="175">
        <v>-2.3941612747295116E-2</v>
      </c>
      <c r="E84" s="175">
        <v>-4.8914028745870031E-2</v>
      </c>
      <c r="F84" s="175">
        <v>-0.11306253230933627</v>
      </c>
      <c r="G84" s="44"/>
      <c r="H84" s="44"/>
      <c r="K84" s="152"/>
      <c r="L84" s="151"/>
      <c r="M84" s="151"/>
      <c r="N84" s="151"/>
      <c r="O84" s="151"/>
    </row>
    <row r="85" spans="2:17" x14ac:dyDescent="0.2">
      <c r="B85" s="220">
        <v>38717</v>
      </c>
      <c r="C85" s="175">
        <v>-4.7110674544711406E-3</v>
      </c>
      <c r="D85" s="175">
        <v>-1.8584321752021737E-2</v>
      </c>
      <c r="E85" s="175">
        <v>-2.3718697352962059E-2</v>
      </c>
      <c r="F85" s="175">
        <v>-8.9889644409592573E-2</v>
      </c>
      <c r="G85" s="44"/>
      <c r="H85" s="44"/>
      <c r="K85" s="152"/>
      <c r="L85" s="151"/>
      <c r="M85" s="151"/>
      <c r="N85" s="151"/>
      <c r="O85" s="151"/>
    </row>
    <row r="86" spans="2:17" x14ac:dyDescent="0.2">
      <c r="B86" s="220">
        <v>38748</v>
      </c>
      <c r="C86" s="175">
        <v>-2.0261592519472682E-3</v>
      </c>
      <c r="D86" s="175">
        <v>-1.4184660194154763E-2</v>
      </c>
      <c r="E86" s="175">
        <v>-1.0424394650775493E-2</v>
      </c>
      <c r="F86" s="175">
        <v>-7.0204544063659946E-2</v>
      </c>
      <c r="G86" s="44"/>
      <c r="H86" s="44"/>
      <c r="K86" s="152"/>
      <c r="L86" s="151"/>
      <c r="M86" s="151"/>
      <c r="N86" s="151"/>
      <c r="O86" s="151"/>
    </row>
    <row r="87" spans="2:17" x14ac:dyDescent="0.2">
      <c r="B87" s="220">
        <v>38776</v>
      </c>
      <c r="C87" s="175">
        <v>5.6487653200738563E-3</v>
      </c>
      <c r="D87" s="175">
        <v>-7.305353855676322E-3</v>
      </c>
      <c r="E87" s="175">
        <v>3.0014183035481645E-2</v>
      </c>
      <c r="F87" s="175">
        <v>-3.6722228966105219E-2</v>
      </c>
      <c r="G87" s="44"/>
      <c r="H87" s="44"/>
      <c r="K87" s="152"/>
      <c r="L87" s="151"/>
      <c r="M87" s="151"/>
      <c r="N87" s="151"/>
      <c r="O87" s="151"/>
    </row>
    <row r="88" spans="2:17" x14ac:dyDescent="0.2">
      <c r="B88" s="220">
        <v>38807</v>
      </c>
      <c r="C88" s="175">
        <v>9.2249715902352758E-3</v>
      </c>
      <c r="D88" s="175">
        <v>-4.9091212224618985E-3</v>
      </c>
      <c r="E88" s="175">
        <v>5.0193361401623671E-2</v>
      </c>
      <c r="F88" s="175">
        <v>-2.4759461132572658E-2</v>
      </c>
      <c r="G88" s="44"/>
      <c r="H88" s="44"/>
      <c r="K88" s="152"/>
      <c r="L88" s="151"/>
      <c r="M88" s="151"/>
      <c r="N88" s="151"/>
      <c r="O88" s="151"/>
    </row>
    <row r="89" spans="2:17" x14ac:dyDescent="0.2">
      <c r="B89" s="220">
        <v>38837</v>
      </c>
      <c r="C89" s="175">
        <v>8.0992276958389287E-3</v>
      </c>
      <c r="D89" s="175">
        <v>-6.7395195982034029E-3</v>
      </c>
      <c r="E89" s="175">
        <v>4.4662754434510399E-2</v>
      </c>
      <c r="F89" s="175">
        <v>-3.4774530142283711E-2</v>
      </c>
      <c r="G89" s="44"/>
      <c r="H89" s="44"/>
      <c r="K89" s="152"/>
      <c r="L89" s="151"/>
      <c r="M89" s="151"/>
      <c r="N89" s="151"/>
      <c r="O89" s="151"/>
    </row>
    <row r="90" spans="2:17" x14ac:dyDescent="0.2">
      <c r="B90" s="220">
        <v>38868</v>
      </c>
      <c r="C90" s="175">
        <v>-5.4074952826941303E-3</v>
      </c>
      <c r="D90" s="175">
        <v>-2.0103622327111714E-2</v>
      </c>
      <c r="E90" s="175">
        <v>-2.9381641778342127E-2</v>
      </c>
      <c r="F90" s="175">
        <v>-0.10457422845614006</v>
      </c>
      <c r="G90" s="44"/>
      <c r="H90" s="44"/>
      <c r="K90" s="152"/>
      <c r="L90" s="151"/>
      <c r="M90" s="151"/>
      <c r="N90" s="151"/>
      <c r="O90" s="151"/>
    </row>
    <row r="91" spans="2:17" x14ac:dyDescent="0.2">
      <c r="B91" s="220">
        <v>38898</v>
      </c>
      <c r="C91" s="175">
        <v>-4.8403012667731504E-3</v>
      </c>
      <c r="D91" s="175">
        <v>-1.9273541886137835E-2</v>
      </c>
      <c r="E91" s="175">
        <v>-2.6726971994004423E-2</v>
      </c>
      <c r="F91" s="175">
        <v>-0.10187289427717072</v>
      </c>
      <c r="G91" s="44"/>
      <c r="H91" s="44"/>
      <c r="K91" s="152"/>
      <c r="L91" s="151"/>
      <c r="M91" s="151"/>
      <c r="N91" s="151"/>
      <c r="O91" s="151"/>
    </row>
    <row r="92" spans="2:17" x14ac:dyDescent="0.2">
      <c r="B92" s="221">
        <v>38929</v>
      </c>
      <c r="C92" s="175">
        <v>-4.3741452361311106E-3</v>
      </c>
      <c r="D92" s="175">
        <v>-1.8297318019034781E-2</v>
      </c>
      <c r="E92" s="175">
        <v>-2.4535188841549926E-2</v>
      </c>
      <c r="F92" s="175">
        <v>-9.8298300815212403E-2</v>
      </c>
      <c r="G92" s="44"/>
      <c r="H92" s="44"/>
      <c r="K92" s="215"/>
      <c r="L92" s="151"/>
      <c r="M92" s="151"/>
      <c r="N92" s="151"/>
      <c r="O92" s="151"/>
    </row>
    <row r="93" spans="2:17" x14ac:dyDescent="0.2">
      <c r="B93" s="220">
        <v>38960</v>
      </c>
      <c r="C93" s="175">
        <v>6.9304414696169658E-4</v>
      </c>
      <c r="D93" s="175">
        <v>-1.3213011309038181E-2</v>
      </c>
      <c r="E93" s="175">
        <v>3.9915687660647681E-3</v>
      </c>
      <c r="F93" s="175">
        <v>-7.2548754782877811E-2</v>
      </c>
      <c r="G93" s="44"/>
      <c r="H93" s="44"/>
      <c r="K93" s="152"/>
      <c r="L93" s="151"/>
      <c r="M93" s="151"/>
      <c r="N93" s="151"/>
      <c r="O93" s="151"/>
    </row>
    <row r="94" spans="2:17" x14ac:dyDescent="0.2">
      <c r="B94" s="221">
        <v>38990</v>
      </c>
      <c r="C94" s="175">
        <v>5.45304819675696E-3</v>
      </c>
      <c r="D94" s="175">
        <v>-9.3213483735131719E-3</v>
      </c>
      <c r="E94" s="175">
        <v>3.2231571212107513E-2</v>
      </c>
      <c r="F94" s="175">
        <v>-5.1995407084950984E-2</v>
      </c>
      <c r="G94" s="44"/>
      <c r="H94" s="44"/>
      <c r="K94" s="215"/>
      <c r="L94" s="151"/>
      <c r="M94" s="151"/>
      <c r="N94" s="151"/>
      <c r="O94" s="151"/>
    </row>
    <row r="95" spans="2:17" x14ac:dyDescent="0.2">
      <c r="B95" s="221">
        <v>39021</v>
      </c>
      <c r="C95" s="175">
        <v>9.6585518189129527E-3</v>
      </c>
      <c r="D95" s="175">
        <v>-4.9851276550716417E-3</v>
      </c>
      <c r="E95" s="175">
        <v>5.8520543949904802E-2</v>
      </c>
      <c r="F95" s="175">
        <v>-2.7953483777956367E-2</v>
      </c>
      <c r="G95" s="44"/>
      <c r="H95" s="44"/>
      <c r="K95" s="215"/>
      <c r="L95" s="151"/>
      <c r="M95" s="151"/>
      <c r="N95" s="151"/>
      <c r="O95" s="151"/>
    </row>
    <row r="96" spans="2:17" x14ac:dyDescent="0.2">
      <c r="B96" s="221">
        <v>39051</v>
      </c>
      <c r="C96" s="175">
        <v>8.4141557924484189E-3</v>
      </c>
      <c r="D96" s="175">
        <v>-6.2182206623906389E-3</v>
      </c>
      <c r="E96" s="175">
        <v>5.1558894569992075E-2</v>
      </c>
      <c r="F96" s="175">
        <v>-3.5560096346273329E-2</v>
      </c>
      <c r="G96" s="44"/>
      <c r="H96" s="44"/>
      <c r="K96" s="215"/>
      <c r="L96" s="151"/>
      <c r="M96" s="151"/>
      <c r="N96" s="151"/>
      <c r="O96" s="151"/>
    </row>
    <row r="97" spans="2:17" x14ac:dyDescent="0.2">
      <c r="B97" s="220">
        <v>39082</v>
      </c>
      <c r="C97" s="175">
        <v>1.500756008888593E-2</v>
      </c>
      <c r="D97" s="175">
        <v>4.8259698982211496E-4</v>
      </c>
      <c r="E97" s="175">
        <v>9.4850367645782585E-2</v>
      </c>
      <c r="F97" s="175">
        <v>4.1447878383795711E-3</v>
      </c>
      <c r="G97" s="44"/>
      <c r="H97" s="44"/>
      <c r="K97" s="152"/>
      <c r="L97" s="151"/>
      <c r="M97" s="151"/>
      <c r="N97" s="151"/>
      <c r="O97" s="151"/>
    </row>
    <row r="98" spans="2:17" x14ac:dyDescent="0.2">
      <c r="B98" s="220">
        <v>39113</v>
      </c>
      <c r="C98" s="175">
        <v>1.8518194889937556E-2</v>
      </c>
      <c r="D98" s="175">
        <v>4.9619284156534604E-3</v>
      </c>
      <c r="E98" s="175">
        <v>0.11980107996956058</v>
      </c>
      <c r="F98" s="175">
        <v>3.2145341244179226E-2</v>
      </c>
      <c r="G98" s="44"/>
      <c r="H98" s="44"/>
      <c r="K98" s="152"/>
      <c r="L98" s="151"/>
      <c r="M98" s="151"/>
      <c r="N98" s="151"/>
      <c r="O98" s="151"/>
    </row>
    <row r="99" spans="2:17" x14ac:dyDescent="0.2">
      <c r="B99" s="220">
        <v>39141</v>
      </c>
      <c r="C99" s="175">
        <v>1.7444917265784232E-2</v>
      </c>
      <c r="D99" s="175">
        <v>3.264471702695726E-3</v>
      </c>
      <c r="E99" s="175">
        <v>0.11414872101073859</v>
      </c>
      <c r="F99" s="175">
        <v>2.177297611981488E-2</v>
      </c>
      <c r="G99" s="44"/>
      <c r="H99" s="44"/>
      <c r="K99" s="152"/>
      <c r="L99" s="151"/>
      <c r="M99" s="151"/>
      <c r="N99" s="151"/>
      <c r="O99" s="151"/>
    </row>
    <row r="100" spans="2:17" x14ac:dyDescent="0.2">
      <c r="B100" s="220">
        <v>39172</v>
      </c>
      <c r="C100" s="175">
        <v>2.224375243149157E-2</v>
      </c>
      <c r="D100" s="175">
        <v>7.1303960019744039E-3</v>
      </c>
      <c r="E100" s="175">
        <v>0.14950697704275284</v>
      </c>
      <c r="F100" s="175">
        <v>4.7325921233070556E-2</v>
      </c>
      <c r="G100" s="222"/>
      <c r="H100" s="222"/>
      <c r="I100" s="186"/>
      <c r="K100" s="152"/>
      <c r="L100" s="151"/>
      <c r="M100" s="151"/>
      <c r="N100" s="151"/>
      <c r="O100" s="151"/>
      <c r="P100" s="186"/>
      <c r="Q100" s="186"/>
    </row>
    <row r="101" spans="2:17" x14ac:dyDescent="0.2">
      <c r="B101" s="220">
        <v>39202</v>
      </c>
      <c r="C101" s="175">
        <v>2.5673479879851469E-2</v>
      </c>
      <c r="D101" s="195">
        <v>9.9017579650937382E-3</v>
      </c>
      <c r="E101" s="175">
        <v>0.17663535705172673</v>
      </c>
      <c r="F101" s="175">
        <v>6.6641734695774613E-2</v>
      </c>
      <c r="G101" s="222"/>
      <c r="H101" s="222"/>
      <c r="I101" s="186"/>
      <c r="K101" s="152"/>
      <c r="L101" s="151"/>
      <c r="M101" s="183"/>
      <c r="N101" s="151"/>
      <c r="O101" s="151"/>
      <c r="P101" s="186"/>
      <c r="Q101" s="186"/>
    </row>
    <row r="102" spans="2:17" x14ac:dyDescent="0.2">
      <c r="B102" s="221">
        <v>39233</v>
      </c>
      <c r="C102" s="175">
        <v>2.9137083472588143E-2</v>
      </c>
      <c r="D102" s="195">
        <v>1.3685123987246861E-2</v>
      </c>
      <c r="E102" s="175">
        <v>0.20524677975003369</v>
      </c>
      <c r="F102" s="175">
        <v>9.3748545807426531E-2</v>
      </c>
      <c r="G102" s="222"/>
      <c r="H102" s="222"/>
      <c r="I102" s="186"/>
      <c r="K102" s="214"/>
      <c r="L102" s="151"/>
      <c r="M102" s="183"/>
      <c r="N102" s="151"/>
      <c r="O102" s="151"/>
      <c r="P102" s="186"/>
      <c r="Q102" s="186"/>
    </row>
    <row r="103" spans="2:17" x14ac:dyDescent="0.2">
      <c r="B103" s="221">
        <v>39263</v>
      </c>
      <c r="C103" s="175">
        <v>2.951440349286516E-2</v>
      </c>
      <c r="D103" s="175">
        <v>1.4000369215551034E-2</v>
      </c>
      <c r="E103" s="175">
        <v>0.21105391484399494</v>
      </c>
      <c r="F103" s="175">
        <v>9.7236983719666936E-2</v>
      </c>
      <c r="G103" s="222"/>
      <c r="H103" s="222"/>
      <c r="I103" s="186"/>
      <c r="K103" s="214"/>
      <c r="L103" s="151"/>
      <c r="M103" s="151"/>
      <c r="N103" s="151"/>
      <c r="O103" s="151"/>
      <c r="P103" s="186"/>
      <c r="Q103" s="186"/>
    </row>
    <row r="104" spans="2:17" x14ac:dyDescent="0.2">
      <c r="B104" s="221">
        <v>39294</v>
      </c>
      <c r="C104" s="175">
        <v>2.7093726215310143E-2</v>
      </c>
      <c r="D104" s="175">
        <v>1.205467685719297E-2</v>
      </c>
      <c r="E104" s="175">
        <v>0.19508971689613053</v>
      </c>
      <c r="F104" s="175">
        <v>8.4493656529115002E-2</v>
      </c>
      <c r="G104" s="44"/>
      <c r="H104" s="44"/>
      <c r="K104" s="214"/>
      <c r="L104" s="151"/>
      <c r="M104" s="151"/>
      <c r="N104" s="151"/>
      <c r="O104" s="151"/>
    </row>
    <row r="105" spans="2:17" x14ac:dyDescent="0.2">
      <c r="B105" s="220">
        <v>39325</v>
      </c>
      <c r="C105" s="175">
        <v>2.5893685550976597E-2</v>
      </c>
      <c r="D105" s="175">
        <v>1.1100529078291732E-2</v>
      </c>
      <c r="E105" s="175">
        <v>0.18834052508861676</v>
      </c>
      <c r="F105" s="175">
        <v>7.8667136383606673E-2</v>
      </c>
      <c r="G105" s="44"/>
      <c r="H105" s="44"/>
      <c r="K105" s="213"/>
      <c r="L105" s="151"/>
      <c r="M105" s="151"/>
      <c r="N105" s="151"/>
      <c r="O105" s="151"/>
    </row>
    <row r="106" spans="2:17" x14ac:dyDescent="0.2">
      <c r="B106" s="220">
        <v>39353</v>
      </c>
      <c r="C106" s="175">
        <v>2.6105589192325196E-2</v>
      </c>
      <c r="D106" s="175">
        <v>1.0002874668263884E-2</v>
      </c>
      <c r="E106" s="175">
        <v>0.19255668247413049</v>
      </c>
      <c r="F106" s="175">
        <v>7.1791448805863967E-2</v>
      </c>
      <c r="G106" s="44"/>
      <c r="H106" s="44"/>
      <c r="K106" s="152"/>
      <c r="L106" s="151"/>
      <c r="M106" s="151"/>
      <c r="N106" s="151"/>
      <c r="O106" s="151"/>
    </row>
    <row r="107" spans="2:17" x14ac:dyDescent="0.2">
      <c r="B107" s="220">
        <v>39386</v>
      </c>
      <c r="C107" s="175">
        <v>2.8177334679883703E-2</v>
      </c>
      <c r="D107" s="175">
        <v>1.1454212754854032E-2</v>
      </c>
      <c r="E107" s="175">
        <v>0.21191040166843123</v>
      </c>
      <c r="F107" s="175">
        <v>8.3440063019557087E-2</v>
      </c>
      <c r="G107" s="44"/>
      <c r="H107" s="44"/>
      <c r="K107" s="152"/>
      <c r="L107" s="151"/>
      <c r="M107" s="151"/>
      <c r="N107" s="151"/>
      <c r="O107" s="151"/>
    </row>
    <row r="108" spans="2:17" x14ac:dyDescent="0.2">
      <c r="B108" s="220">
        <v>39416</v>
      </c>
      <c r="C108" s="175">
        <v>2.1492005082166754E-2</v>
      </c>
      <c r="D108" s="175">
        <v>4.1400638306066107E-3</v>
      </c>
      <c r="E108" s="175">
        <v>0.16049908722911277</v>
      </c>
      <c r="F108" s="175">
        <v>3.0813559476205787E-2</v>
      </c>
      <c r="G108" s="44"/>
      <c r="H108" s="44"/>
      <c r="K108" s="152"/>
      <c r="L108" s="151"/>
      <c r="M108" s="151"/>
      <c r="N108" s="151"/>
      <c r="O108" s="151"/>
    </row>
    <row r="109" spans="2:17" x14ac:dyDescent="0.2">
      <c r="B109" s="220">
        <v>39447</v>
      </c>
      <c r="C109" s="175">
        <v>2.0783679984143433E-2</v>
      </c>
      <c r="D109" s="175">
        <v>3.3724263430032764E-3</v>
      </c>
      <c r="E109" s="175">
        <v>0.15685919509504065</v>
      </c>
      <c r="F109" s="175">
        <v>2.560377480921705E-2</v>
      </c>
      <c r="G109" s="44"/>
      <c r="H109" s="44"/>
      <c r="K109" s="152"/>
      <c r="L109" s="151"/>
      <c r="M109" s="151"/>
      <c r="N109" s="151"/>
      <c r="O109" s="151"/>
    </row>
    <row r="110" spans="2:17" x14ac:dyDescent="0.2">
      <c r="B110" s="220">
        <v>39478</v>
      </c>
      <c r="C110" s="175">
        <v>4.0790775493757536E-3</v>
      </c>
      <c r="D110" s="175">
        <v>-1.1808379696149451E-2</v>
      </c>
      <c r="E110" s="175">
        <v>2.9603655926605077E-2</v>
      </c>
      <c r="F110" s="175">
        <v>-8.0385963511766856E-2</v>
      </c>
      <c r="G110" s="175"/>
      <c r="H110" s="175"/>
      <c r="I110" s="151"/>
      <c r="K110" s="152"/>
      <c r="L110" s="151"/>
      <c r="M110" s="151"/>
      <c r="N110" s="151"/>
      <c r="O110" s="151"/>
      <c r="P110" s="151"/>
      <c r="Q110" s="151"/>
    </row>
    <row r="111" spans="2:17" x14ac:dyDescent="0.2">
      <c r="B111" s="220">
        <v>39507</v>
      </c>
      <c r="C111" s="175">
        <v>5.8644386324504527E-3</v>
      </c>
      <c r="D111" s="175">
        <v>-1.0439381179948248E-2</v>
      </c>
      <c r="E111" s="175">
        <v>4.3304412307429985E-2</v>
      </c>
      <c r="F111" s="175">
        <v>-7.1998140742324579E-2</v>
      </c>
      <c r="G111" s="175"/>
      <c r="H111" s="175"/>
      <c r="I111" s="151"/>
      <c r="K111" s="152"/>
      <c r="L111" s="151"/>
      <c r="M111" s="151"/>
      <c r="N111" s="151"/>
      <c r="O111" s="151"/>
      <c r="P111" s="151"/>
      <c r="Q111" s="151"/>
    </row>
    <row r="112" spans="2:17" x14ac:dyDescent="0.2">
      <c r="B112" s="220">
        <v>39538</v>
      </c>
      <c r="C112" s="175">
        <v>-5.1376771948852262E-4</v>
      </c>
      <c r="D112" s="175">
        <v>-1.7817743470440184E-2</v>
      </c>
      <c r="E112" s="175">
        <v>-3.7615058640585453E-3</v>
      </c>
      <c r="F112" s="175">
        <v>-0.12224358596219553</v>
      </c>
      <c r="G112" s="175"/>
      <c r="H112" s="175"/>
      <c r="I112" s="151"/>
      <c r="K112" s="152"/>
      <c r="L112" s="151"/>
      <c r="M112" s="151"/>
      <c r="N112" s="151"/>
      <c r="O112" s="151"/>
      <c r="P112" s="151"/>
      <c r="Q112" s="151"/>
    </row>
    <row r="113" spans="2:17" x14ac:dyDescent="0.2">
      <c r="B113" s="220">
        <v>39568</v>
      </c>
      <c r="C113" s="175">
        <v>6.2290021634821002E-3</v>
      </c>
      <c r="D113" s="175">
        <v>-1.1586518717328853E-2</v>
      </c>
      <c r="E113" s="175">
        <v>4.7132150716817645E-2</v>
      </c>
      <c r="F113" s="175">
        <v>-8.1438488017804955E-2</v>
      </c>
      <c r="G113" s="175"/>
      <c r="H113" s="175"/>
      <c r="I113" s="151"/>
      <c r="K113" s="152"/>
      <c r="L113" s="151"/>
      <c r="M113" s="151"/>
      <c r="N113" s="151"/>
      <c r="O113" s="151"/>
      <c r="P113" s="151"/>
      <c r="Q113" s="151"/>
    </row>
    <row r="114" spans="2:17" x14ac:dyDescent="0.2">
      <c r="B114" s="220">
        <v>39599</v>
      </c>
      <c r="C114" s="175">
        <v>9.0389136859068131E-3</v>
      </c>
      <c r="D114" s="175">
        <v>-9.1529094498647989E-3</v>
      </c>
      <c r="E114" s="175">
        <v>6.9816677234908697E-2</v>
      </c>
      <c r="F114" s="175">
        <v>-6.5222547448493207E-2</v>
      </c>
      <c r="G114" s="175"/>
      <c r="H114" s="175"/>
      <c r="I114" s="151"/>
      <c r="K114" s="152"/>
      <c r="L114" s="151"/>
      <c r="M114" s="151"/>
      <c r="N114" s="151"/>
      <c r="O114" s="151"/>
      <c r="P114" s="151"/>
      <c r="Q114" s="151"/>
    </row>
    <row r="115" spans="2:17" x14ac:dyDescent="0.2">
      <c r="B115" s="220">
        <v>39629</v>
      </c>
      <c r="C115" s="175">
        <v>-3.3928874419889565E-3</v>
      </c>
      <c r="D115" s="175">
        <v>-2.1781821903615661E-2</v>
      </c>
      <c r="E115" s="175">
        <v>-2.5443851449256316E-2</v>
      </c>
      <c r="F115" s="175">
        <v>-0.15248973707534308</v>
      </c>
      <c r="G115" s="175"/>
      <c r="H115" s="175"/>
      <c r="I115" s="151"/>
      <c r="K115" s="152"/>
      <c r="L115" s="151"/>
      <c r="M115" s="151"/>
      <c r="N115" s="151"/>
      <c r="O115" s="151"/>
      <c r="P115" s="151"/>
      <c r="Q115" s="151"/>
    </row>
    <row r="116" spans="2:17" x14ac:dyDescent="0.2">
      <c r="B116" s="220">
        <v>39660</v>
      </c>
      <c r="C116" s="175">
        <v>-4.8172133966993824E-3</v>
      </c>
      <c r="D116" s="175">
        <v>-2.2715193179157933E-2</v>
      </c>
      <c r="E116" s="175">
        <v>-3.6344304655599347E-2</v>
      </c>
      <c r="F116" s="175">
        <v>-0.16024563402450054</v>
      </c>
      <c r="G116" s="175"/>
      <c r="H116" s="175"/>
      <c r="I116" s="151"/>
      <c r="K116" s="152"/>
      <c r="L116" s="151"/>
      <c r="M116" s="151"/>
      <c r="N116" s="151"/>
      <c r="O116" s="151"/>
      <c r="P116" s="151"/>
      <c r="Q116" s="151"/>
    </row>
    <row r="117" spans="2:17" x14ac:dyDescent="0.2">
      <c r="B117" s="220">
        <v>39691</v>
      </c>
      <c r="C117" s="175">
        <v>-3.015438448475849E-3</v>
      </c>
      <c r="D117" s="175">
        <v>-2.0972779360206917E-2</v>
      </c>
      <c r="E117" s="175">
        <v>-2.3133182299815203E-2</v>
      </c>
      <c r="F117" s="175">
        <v>-0.15019897672084725</v>
      </c>
      <c r="G117" s="175"/>
      <c r="H117" s="175"/>
      <c r="I117" s="151"/>
      <c r="K117" s="152"/>
      <c r="L117" s="151"/>
      <c r="M117" s="151"/>
      <c r="N117" s="151"/>
      <c r="O117" s="151"/>
      <c r="P117" s="151"/>
      <c r="Q117" s="151"/>
    </row>
    <row r="118" spans="2:17" x14ac:dyDescent="0.2">
      <c r="B118" s="220">
        <v>39721</v>
      </c>
      <c r="C118" s="175">
        <v>-1.5328195456027816E-2</v>
      </c>
      <c r="D118" s="175">
        <v>-3.4148442908676913E-2</v>
      </c>
      <c r="E118" s="175">
        <v>-0.1139665830023523</v>
      </c>
      <c r="F118" s="175">
        <v>-0.23704936854175285</v>
      </c>
      <c r="G118" s="175"/>
      <c r="H118" s="175"/>
      <c r="I118" s="151"/>
      <c r="K118" s="152"/>
      <c r="L118" s="151"/>
      <c r="M118" s="151"/>
      <c r="N118" s="151"/>
      <c r="O118" s="151"/>
      <c r="P118" s="151"/>
      <c r="Q118" s="151"/>
    </row>
    <row r="119" spans="2:17" x14ac:dyDescent="0.2">
      <c r="B119" s="220">
        <v>39752</v>
      </c>
      <c r="C119" s="175">
        <v>-3.150249419696316E-2</v>
      </c>
      <c r="D119" s="175">
        <v>-5.0009224944316366E-2</v>
      </c>
      <c r="E119" s="175">
        <v>-0.22384848303838767</v>
      </c>
      <c r="F119" s="175">
        <v>-0.33271696718871724</v>
      </c>
      <c r="G119" s="175"/>
      <c r="H119" s="175"/>
      <c r="I119" s="151"/>
      <c r="K119" s="152"/>
      <c r="L119" s="151"/>
      <c r="M119" s="151"/>
      <c r="N119" s="151"/>
      <c r="O119" s="151"/>
      <c r="P119" s="151"/>
      <c r="Q119" s="151"/>
    </row>
    <row r="120" spans="2:17" x14ac:dyDescent="0.2">
      <c r="B120" s="220">
        <v>39782</v>
      </c>
      <c r="C120" s="175">
        <v>-3.4452148187868015E-2</v>
      </c>
      <c r="D120" s="175">
        <v>-5.1726608288675702E-2</v>
      </c>
      <c r="E120" s="175">
        <v>-0.24457663096656557</v>
      </c>
      <c r="F120" s="175">
        <v>-0.34518009950147421</v>
      </c>
      <c r="G120" s="44"/>
      <c r="H120" s="44"/>
      <c r="K120" s="215"/>
      <c r="L120" s="151"/>
      <c r="M120" s="151"/>
      <c r="N120" s="151"/>
      <c r="O120" s="151"/>
    </row>
    <row r="121" spans="2:17" x14ac:dyDescent="0.2">
      <c r="B121" s="220">
        <v>39813</v>
      </c>
      <c r="C121" s="175">
        <v>-3.3168568368584062E-2</v>
      </c>
      <c r="D121" s="175">
        <v>-4.8680964135333737E-2</v>
      </c>
      <c r="E121" s="175">
        <v>-0.23864830860065911</v>
      </c>
      <c r="F121" s="175">
        <v>-0.33105759613830954</v>
      </c>
      <c r="G121" s="44"/>
      <c r="H121" s="44"/>
      <c r="K121" s="215"/>
      <c r="L121" s="151"/>
      <c r="M121" s="151"/>
      <c r="N121" s="151"/>
      <c r="O121" s="151"/>
    </row>
    <row r="122" spans="2:17" x14ac:dyDescent="0.2">
      <c r="B122" s="220">
        <v>39844</v>
      </c>
      <c r="C122" s="175">
        <v>-3.5230663025813347E-2</v>
      </c>
      <c r="D122" s="175">
        <v>-5.0114693864390492E-2</v>
      </c>
      <c r="E122" s="175">
        <v>-0.25390891467117582</v>
      </c>
      <c r="F122" s="175">
        <v>-0.34202320358573213</v>
      </c>
      <c r="G122" s="44"/>
      <c r="H122" s="44"/>
      <c r="K122" s="215"/>
      <c r="L122" s="151"/>
      <c r="M122" s="151"/>
      <c r="N122" s="151"/>
      <c r="O122" s="151"/>
    </row>
    <row r="123" spans="2:17" x14ac:dyDescent="0.2">
      <c r="B123" s="220">
        <v>39872</v>
      </c>
      <c r="C123" s="175">
        <v>-3.5368453768149566E-2</v>
      </c>
      <c r="D123" s="175">
        <v>-5.0126997720250976E-2</v>
      </c>
      <c r="E123" s="175">
        <v>-0.25701157299710631</v>
      </c>
      <c r="F123" s="175">
        <v>-0.34491337548696033</v>
      </c>
      <c r="G123" s="44"/>
      <c r="H123" s="44"/>
      <c r="K123" s="215"/>
      <c r="L123" s="151"/>
      <c r="M123" s="151"/>
      <c r="N123" s="151"/>
      <c r="O123" s="151"/>
    </row>
    <row r="124" spans="2:17" x14ac:dyDescent="0.2">
      <c r="B124" s="220">
        <v>39903</v>
      </c>
      <c r="C124" s="175">
        <v>-3.5117277279205217E-2</v>
      </c>
      <c r="D124" s="175">
        <v>-5.0059759907933876E-2</v>
      </c>
      <c r="E124" s="175">
        <v>-0.2576288552075241</v>
      </c>
      <c r="F124" s="175">
        <v>-0.34731961266069811</v>
      </c>
      <c r="G124" s="44"/>
      <c r="H124" s="44"/>
      <c r="L124" s="151"/>
      <c r="M124" s="151"/>
      <c r="N124" s="151"/>
      <c r="O124" s="151"/>
    </row>
    <row r="125" spans="2:17" x14ac:dyDescent="0.2">
      <c r="B125" s="220">
        <v>39933</v>
      </c>
      <c r="C125" s="175">
        <v>-2.1242112837696281E-2</v>
      </c>
      <c r="D125" s="175">
        <v>-3.6426954167268266E-2</v>
      </c>
      <c r="E125" s="175">
        <v>-0.1653259798016975</v>
      </c>
      <c r="F125" s="175">
        <v>-0.26729644755031057</v>
      </c>
      <c r="G125" s="44"/>
      <c r="H125" s="44"/>
      <c r="L125" s="151"/>
      <c r="M125" s="151"/>
      <c r="N125" s="151"/>
      <c r="O125" s="151"/>
    </row>
    <row r="126" spans="2:17" x14ac:dyDescent="0.2">
      <c r="B126" s="220">
        <v>39964</v>
      </c>
      <c r="C126" s="175">
        <v>-1.6913601228283448E-2</v>
      </c>
      <c r="D126" s="175">
        <v>-3.2088745490252202E-2</v>
      </c>
      <c r="E126" s="175">
        <v>-0.13497363507801818</v>
      </c>
      <c r="F126" s="175">
        <v>-0.24113399210217179</v>
      </c>
      <c r="G126" s="44"/>
      <c r="H126" s="44"/>
      <c r="L126" s="151"/>
      <c r="M126" s="151"/>
      <c r="N126" s="151"/>
      <c r="O126" s="151"/>
    </row>
    <row r="127" spans="2:17" x14ac:dyDescent="0.2">
      <c r="B127" s="220">
        <v>39994</v>
      </c>
      <c r="C127" s="175">
        <v>-1.5144256937690503E-2</v>
      </c>
      <c r="D127" s="175">
        <v>-3.0472775711631206E-2</v>
      </c>
      <c r="E127" s="175">
        <v>-0.12276691325653688</v>
      </c>
      <c r="F127" s="175">
        <v>-0.23227127332009279</v>
      </c>
      <c r="G127" s="44"/>
      <c r="H127" s="44"/>
      <c r="L127" s="151"/>
      <c r="M127" s="151"/>
      <c r="N127" s="151"/>
      <c r="O127" s="151"/>
    </row>
    <row r="128" spans="2:17" x14ac:dyDescent="0.2">
      <c r="B128" s="220">
        <v>40025</v>
      </c>
      <c r="C128" s="175">
        <v>-1.0206632726496134E-2</v>
      </c>
      <c r="D128" s="175">
        <v>-2.5087464817492022E-2</v>
      </c>
      <c r="E128" s="175">
        <v>-8.5073921557098142E-2</v>
      </c>
      <c r="F128" s="175">
        <v>-0.19561217936094266</v>
      </c>
      <c r="G128" s="44"/>
      <c r="H128" s="44"/>
      <c r="L128" s="151"/>
      <c r="M128" s="151"/>
      <c r="N128" s="151"/>
      <c r="O128" s="151"/>
    </row>
    <row r="129" spans="2:15" x14ac:dyDescent="0.2">
      <c r="B129" s="220">
        <v>40056</v>
      </c>
      <c r="C129" s="175">
        <v>-8.1357184729335952E-3</v>
      </c>
      <c r="D129" s="175">
        <v>-2.3139925695490948E-2</v>
      </c>
      <c r="E129" s="175">
        <v>-6.898388992072102E-2</v>
      </c>
      <c r="F129" s="175">
        <v>-0.1831610042153945</v>
      </c>
      <c r="G129" s="44"/>
      <c r="H129" s="44"/>
      <c r="L129" s="151"/>
      <c r="M129" s="151"/>
      <c r="N129" s="151"/>
      <c r="O129" s="151"/>
    </row>
    <row r="130" spans="2:15" x14ac:dyDescent="0.2">
      <c r="B130" s="220">
        <v>40086</v>
      </c>
      <c r="C130" s="175">
        <v>-5.2679940769330136E-3</v>
      </c>
      <c r="D130" s="175">
        <v>-2.0522532130171967E-2</v>
      </c>
      <c r="E130" s="175">
        <v>-4.5585246709528682E-2</v>
      </c>
      <c r="F130" s="175">
        <v>-0.16522471886330359</v>
      </c>
      <c r="G130" s="44"/>
      <c r="H130" s="44"/>
      <c r="L130" s="151"/>
      <c r="M130" s="151"/>
      <c r="N130" s="151"/>
      <c r="O130" s="151"/>
    </row>
    <row r="131" spans="2:15" x14ac:dyDescent="0.2">
      <c r="B131" s="220">
        <v>40117</v>
      </c>
      <c r="C131" s="175">
        <v>-3.0206025293543215E-3</v>
      </c>
      <c r="D131" s="175">
        <v>-1.8448640866734478E-2</v>
      </c>
      <c r="E131" s="175">
        <v>-2.6613904350038076E-2</v>
      </c>
      <c r="F131" s="175">
        <v>-0.15078035492927833</v>
      </c>
      <c r="G131" s="44"/>
      <c r="H131" s="44"/>
      <c r="L131" s="151"/>
      <c r="M131" s="151"/>
      <c r="N131" s="151"/>
      <c r="O131" s="151"/>
    </row>
    <row r="132" spans="2:15" x14ac:dyDescent="0.2">
      <c r="B132" s="220">
        <v>40147</v>
      </c>
      <c r="C132" s="175">
        <v>-1.3160706544280698E-3</v>
      </c>
      <c r="D132" s="175">
        <v>-1.6596231475387579E-2</v>
      </c>
      <c r="E132" s="175">
        <v>-1.1782473478652467E-2</v>
      </c>
      <c r="F132" s="175">
        <v>-0.13761171904076663</v>
      </c>
      <c r="G132" s="44"/>
      <c r="H132" s="44"/>
      <c r="L132" s="151"/>
      <c r="M132" s="151"/>
      <c r="N132" s="151"/>
      <c r="O132" s="151"/>
    </row>
    <row r="133" spans="2:15" x14ac:dyDescent="0.2">
      <c r="B133" s="220">
        <v>40178</v>
      </c>
      <c r="C133" s="175">
        <v>2.7684935362404239E-3</v>
      </c>
      <c r="D133" s="175">
        <v>-1.267439772507517E-2</v>
      </c>
      <c r="E133" s="175">
        <v>2.543037639394119E-2</v>
      </c>
      <c r="F133" s="175">
        <v>-0.10709483284600629</v>
      </c>
      <c r="G133" s="44"/>
      <c r="H133" s="44"/>
      <c r="L133" s="151"/>
      <c r="M133" s="151"/>
      <c r="N133" s="151"/>
      <c r="O133" s="151"/>
    </row>
    <row r="134" spans="2:15" x14ac:dyDescent="0.2">
      <c r="B134" s="220">
        <v>40209</v>
      </c>
      <c r="C134" s="175">
        <v>1.9967911431406637E-3</v>
      </c>
      <c r="D134" s="175">
        <v>-1.2599544982237365E-2</v>
      </c>
      <c r="E134" s="175">
        <v>1.8453875080511217E-2</v>
      </c>
      <c r="F134" s="175">
        <v>-0.1075491744766327</v>
      </c>
      <c r="G134" s="44"/>
      <c r="H134" s="44"/>
      <c r="L134" s="151"/>
      <c r="M134" s="151"/>
      <c r="N134" s="151"/>
      <c r="O134" s="151"/>
    </row>
    <row r="135" spans="2:15" x14ac:dyDescent="0.2">
      <c r="B135" s="220">
        <v>40237</v>
      </c>
      <c r="C135" s="175">
        <v>-3.3425781767004725E-4</v>
      </c>
      <c r="D135" s="175">
        <v>-1.5413098802518621E-2</v>
      </c>
      <c r="E135" s="175">
        <v>-3.0876251228501017E-3</v>
      </c>
      <c r="F135" s="175">
        <v>-0.13163937504483814</v>
      </c>
      <c r="G135" s="44"/>
      <c r="H135" s="44"/>
      <c r="L135" s="151"/>
      <c r="M135" s="151"/>
      <c r="N135" s="151"/>
      <c r="O135" s="151"/>
    </row>
    <row r="136" spans="2:15" x14ac:dyDescent="0.2">
      <c r="B136" s="220">
        <v>40268</v>
      </c>
      <c r="C136" s="223">
        <v>7.2714774332358623E-3</v>
      </c>
      <c r="D136" s="223">
        <v>-8.0466500837836907E-3</v>
      </c>
      <c r="E136" s="223">
        <v>6.9960321678838921E-2</v>
      </c>
      <c r="F136" s="224">
        <v>-7.0261390232101872E-2</v>
      </c>
      <c r="G136" s="44"/>
      <c r="H136" s="44"/>
      <c r="L136" s="151"/>
      <c r="M136" s="151"/>
      <c r="N136" s="151"/>
      <c r="O136" s="151"/>
    </row>
    <row r="137" spans="2:15" x14ac:dyDescent="0.2">
      <c r="B137" s="220">
        <v>40298</v>
      </c>
      <c r="C137" s="223">
        <v>8.9710598371586237E-3</v>
      </c>
      <c r="D137" s="223">
        <v>-6.1150600541195477E-3</v>
      </c>
      <c r="E137" s="223">
        <v>8.7738537739706191E-2</v>
      </c>
      <c r="F137" s="224">
        <v>-5.4938107341510722E-2</v>
      </c>
      <c r="G137" s="44"/>
      <c r="H137" s="44"/>
      <c r="L137" s="151"/>
      <c r="M137" s="151"/>
      <c r="N137" s="151"/>
      <c r="O137" s="151"/>
    </row>
    <row r="138" spans="2:15" x14ac:dyDescent="0.2">
      <c r="B138" s="220">
        <v>40329</v>
      </c>
      <c r="C138" s="175">
        <v>4.9887427577515187E-3</v>
      </c>
      <c r="D138" s="175">
        <v>-1.0100380693534694E-2</v>
      </c>
      <c r="E138" s="175">
        <v>4.8410525516147551E-2</v>
      </c>
      <c r="F138" s="175">
        <v>-9.0791479423306676E-2</v>
      </c>
      <c r="G138" s="44"/>
      <c r="H138" s="44"/>
      <c r="L138" s="151"/>
      <c r="M138" s="151"/>
      <c r="N138" s="151"/>
      <c r="O138" s="151"/>
    </row>
    <row r="139" spans="2:15" x14ac:dyDescent="0.2">
      <c r="B139" s="220">
        <v>40359</v>
      </c>
      <c r="C139" s="175">
        <v>3.1368265438185272E-3</v>
      </c>
      <c r="D139" s="175">
        <v>-1.1810531389113699E-2</v>
      </c>
      <c r="E139" s="175">
        <v>3.0469170916279431E-2</v>
      </c>
      <c r="F139" s="175">
        <v>-0.10649816417563929</v>
      </c>
      <c r="G139" s="44"/>
      <c r="H139" s="44"/>
      <c r="L139" s="151"/>
      <c r="M139" s="151"/>
      <c r="N139" s="151"/>
      <c r="O139" s="151"/>
    </row>
    <row r="140" spans="2:15" x14ac:dyDescent="0.2">
      <c r="B140" s="220">
        <v>40390</v>
      </c>
      <c r="C140" s="175">
        <v>4.7018094765645113E-3</v>
      </c>
      <c r="D140" s="175">
        <v>-9.8220561885055124E-3</v>
      </c>
      <c r="E140" s="175">
        <v>4.6388077815640472E-2</v>
      </c>
      <c r="F140" s="175">
        <v>-8.9901509594197071E-2</v>
      </c>
      <c r="G140" s="44"/>
      <c r="H140" s="44"/>
      <c r="L140" s="151"/>
      <c r="M140" s="151"/>
      <c r="N140" s="151"/>
      <c r="O140" s="151"/>
    </row>
    <row r="141" spans="2:15" x14ac:dyDescent="0.2">
      <c r="B141" s="220">
        <v>40421</v>
      </c>
      <c r="C141" s="175">
        <v>2.652198892256763E-3</v>
      </c>
      <c r="D141" s="175">
        <v>-1.1724756686247506E-2</v>
      </c>
      <c r="E141" s="175">
        <v>2.6161055074352735E-2</v>
      </c>
      <c r="F141" s="175">
        <v>-0.10755310478702085</v>
      </c>
      <c r="G141" s="44"/>
      <c r="H141" s="44"/>
      <c r="L141" s="151"/>
      <c r="M141" s="151"/>
      <c r="N141" s="151"/>
      <c r="O141" s="151"/>
    </row>
    <row r="142" spans="2:15" x14ac:dyDescent="0.2">
      <c r="B142" s="220">
        <v>40451</v>
      </c>
      <c r="C142" s="175">
        <v>6.0150196652901666E-3</v>
      </c>
      <c r="D142" s="175">
        <v>-9.1391080674046998E-3</v>
      </c>
      <c r="E142" s="175">
        <v>6.0743965551832924E-2</v>
      </c>
      <c r="F142" s="175">
        <v>-8.516927199452895E-2</v>
      </c>
      <c r="G142" s="44"/>
      <c r="H142" s="44"/>
      <c r="L142" s="151"/>
      <c r="M142" s="151"/>
      <c r="N142" s="151"/>
      <c r="O142" s="151"/>
    </row>
    <row r="143" spans="2:15" x14ac:dyDescent="0.2">
      <c r="B143" s="220">
        <v>40482</v>
      </c>
      <c r="C143" s="175">
        <v>8.390460303901115E-3</v>
      </c>
      <c r="D143" s="175">
        <v>-6.9928123510089035E-3</v>
      </c>
      <c r="E143" s="175">
        <v>8.6387826673868018E-2</v>
      </c>
      <c r="F143" s="175">
        <v>-6.6027155587180975E-2</v>
      </c>
      <c r="G143" s="44"/>
      <c r="H143" s="44"/>
      <c r="L143" s="151"/>
      <c r="M143" s="151"/>
      <c r="N143" s="151"/>
      <c r="O143" s="151"/>
    </row>
    <row r="144" spans="2:15" x14ac:dyDescent="0.2">
      <c r="B144" s="220">
        <v>40512</v>
      </c>
      <c r="C144" s="175">
        <v>9.7873840817976898E-3</v>
      </c>
      <c r="D144" s="175">
        <v>-5.8196092007823941E-3</v>
      </c>
      <c r="E144" s="175">
        <v>0.10229897799027432</v>
      </c>
      <c r="F144" s="175">
        <v>-5.5470214893192371E-2</v>
      </c>
      <c r="G144" s="44"/>
      <c r="H144" s="44"/>
      <c r="J144" s="151"/>
      <c r="K144" s="151"/>
      <c r="L144" s="151"/>
      <c r="M144" s="151"/>
    </row>
    <row r="145" spans="2:12" x14ac:dyDescent="0.2">
      <c r="B145" s="220">
        <v>40543</v>
      </c>
      <c r="C145" s="175">
        <v>1.3958885208253058E-2</v>
      </c>
      <c r="D145" s="175">
        <v>-2.280479713513639E-3</v>
      </c>
      <c r="E145" s="175">
        <v>0.15001935030402835</v>
      </c>
      <c r="F145" s="175">
        <v>-2.1442414650768571E-2</v>
      </c>
      <c r="G145" s="44"/>
      <c r="H145" s="44"/>
      <c r="J145" s="151"/>
      <c r="L145" s="151"/>
    </row>
    <row r="146" spans="2:12" x14ac:dyDescent="0.2">
      <c r="B146" s="220">
        <v>40574</v>
      </c>
      <c r="C146" s="175">
        <v>1.1408050737646835E-2</v>
      </c>
      <c r="D146" s="175">
        <v>-3.8289314555191023E-3</v>
      </c>
      <c r="E146" s="175">
        <v>0.12223841378123068</v>
      </c>
      <c r="F146" s="175">
        <v>-3.7034031356102282E-2</v>
      </c>
      <c r="G146" s="44"/>
      <c r="H146" s="44"/>
    </row>
    <row r="147" spans="2:12" x14ac:dyDescent="0.2">
      <c r="B147" s="221">
        <v>40602</v>
      </c>
      <c r="C147" s="223">
        <v>1.1757971236948661E-2</v>
      </c>
      <c r="D147" s="223">
        <v>-3.3122408109134138E-3</v>
      </c>
      <c r="E147" s="223">
        <v>0.127289614049932</v>
      </c>
      <c r="F147" s="224">
        <v>-3.2225550291120619E-2</v>
      </c>
      <c r="G147" s="44"/>
      <c r="H147" s="44"/>
    </row>
    <row r="148" spans="2:12" x14ac:dyDescent="0.2">
      <c r="B148" s="221">
        <v>40633</v>
      </c>
      <c r="C148" s="223">
        <v>1.2311686217160611E-2</v>
      </c>
      <c r="D148" s="223">
        <v>-3.9424626729700485E-3</v>
      </c>
      <c r="E148" s="223">
        <v>0.13478587383121199</v>
      </c>
      <c r="F148" s="224">
        <v>-3.8701592804297302E-2</v>
      </c>
      <c r="G148" s="44"/>
      <c r="H148" s="44"/>
    </row>
    <row r="149" spans="2:12" x14ac:dyDescent="0.2">
      <c r="B149" s="221">
        <v>40663</v>
      </c>
      <c r="C149" s="175">
        <v>1.3095883137439257E-2</v>
      </c>
      <c r="D149" s="175">
        <v>-3.4535370714708913E-3</v>
      </c>
      <c r="E149" s="175">
        <v>0.14514347137673544</v>
      </c>
      <c r="F149" s="175">
        <v>-3.4070158198470257E-2</v>
      </c>
      <c r="G149" s="44"/>
      <c r="H149" s="44"/>
    </row>
    <row r="150" spans="2:12" x14ac:dyDescent="0.2">
      <c r="B150" s="221">
        <v>40694</v>
      </c>
      <c r="C150" s="175">
        <v>1.2597298463506323E-2</v>
      </c>
      <c r="D150" s="175">
        <v>-3.9906442982745594E-3</v>
      </c>
      <c r="E150" s="175">
        <v>0.14047567324230759</v>
      </c>
      <c r="F150" s="175">
        <v>-3.9795656173468918E-2</v>
      </c>
      <c r="G150" s="44"/>
      <c r="H150" s="44"/>
    </row>
    <row r="151" spans="2:12" x14ac:dyDescent="0.2">
      <c r="B151" s="221">
        <v>40724</v>
      </c>
      <c r="C151" s="175">
        <v>1.1685370203887935E-2</v>
      </c>
      <c r="D151" s="175">
        <v>-4.5320880057121427E-3</v>
      </c>
      <c r="E151" s="175">
        <v>0.13083147670429729</v>
      </c>
      <c r="F151" s="175">
        <v>-4.5652053038361173E-2</v>
      </c>
      <c r="G151" s="44"/>
      <c r="H151" s="44"/>
    </row>
    <row r="152" spans="2:12" x14ac:dyDescent="0.2">
      <c r="B152" s="225">
        <v>40755</v>
      </c>
      <c r="C152" s="175">
        <v>9.4601042789193013E-3</v>
      </c>
      <c r="D152" s="175">
        <v>-6.5500419435271517E-3</v>
      </c>
      <c r="E152" s="175">
        <v>0.10565007916458669</v>
      </c>
      <c r="F152" s="175">
        <v>-6.6453650253794461E-2</v>
      </c>
      <c r="G152" s="44"/>
      <c r="H152" s="44"/>
    </row>
    <row r="153" spans="2:12" x14ac:dyDescent="0.2">
      <c r="B153" s="225">
        <v>40786</v>
      </c>
      <c r="C153" s="175">
        <v>1.192315922280196E-3</v>
      </c>
      <c r="D153" s="175">
        <v>-1.4593316821186031E-2</v>
      </c>
      <c r="E153" s="175">
        <v>1.289215747942829E-2</v>
      </c>
      <c r="F153" s="175">
        <v>-0.1450478110405623</v>
      </c>
      <c r="G153" s="44"/>
      <c r="H153" s="44"/>
    </row>
    <row r="154" spans="2:12" x14ac:dyDescent="0.2">
      <c r="B154" s="225">
        <v>40816</v>
      </c>
      <c r="C154" s="226">
        <v>-3.2258906758955153E-3</v>
      </c>
      <c r="D154" s="226">
        <v>-1.9457870608243777E-2</v>
      </c>
      <c r="E154" s="226">
        <v>-3.4398096944852075E-2</v>
      </c>
      <c r="F154" s="226">
        <v>-0.19063329206921498</v>
      </c>
      <c r="G154" s="44"/>
      <c r="H154" s="44"/>
    </row>
    <row r="155" spans="2:12" x14ac:dyDescent="0.2">
      <c r="B155" s="225">
        <v>40847</v>
      </c>
      <c r="C155" s="226">
        <v>2.7862013168424848E-3</v>
      </c>
      <c r="D155" s="226">
        <v>-1.3421994319146924E-2</v>
      </c>
      <c r="E155" s="226">
        <v>3.0839724905906474E-2</v>
      </c>
      <c r="F155" s="226">
        <v>-0.13597857273696135</v>
      </c>
      <c r="G155" s="44"/>
      <c r="H155" s="44"/>
    </row>
    <row r="156" spans="2:12" x14ac:dyDescent="0.2">
      <c r="B156" s="225">
        <v>40877</v>
      </c>
      <c r="C156" s="175">
        <v>1.7778001215293937E-3</v>
      </c>
      <c r="D156" s="175">
        <v>-1.4504405073829774E-2</v>
      </c>
      <c r="E156" s="175">
        <v>1.9730563284597435E-2</v>
      </c>
      <c r="F156" s="175">
        <v>-0.14730322455161793</v>
      </c>
      <c r="G156" s="44"/>
      <c r="H156" s="44"/>
    </row>
    <row r="157" spans="2:12" x14ac:dyDescent="0.2">
      <c r="B157" s="225">
        <v>40908</v>
      </c>
      <c r="C157" s="175">
        <v>2.4176334743228889E-3</v>
      </c>
      <c r="D157" s="175">
        <v>-1.3929296295151938E-2</v>
      </c>
      <c r="E157" s="175">
        <v>2.7124447142439667E-2</v>
      </c>
      <c r="F157" s="175">
        <v>-0.14281214732727965</v>
      </c>
      <c r="G157" s="44"/>
      <c r="H157" s="44"/>
    </row>
    <row r="158" spans="2:12" x14ac:dyDescent="0.2">
      <c r="B158" s="225">
        <v>40939</v>
      </c>
      <c r="C158" s="175">
        <v>7.4768586609763599E-3</v>
      </c>
      <c r="D158" s="175">
        <v>-7.9933870494597326E-3</v>
      </c>
      <c r="E158" s="175">
        <v>8.673849924675725E-2</v>
      </c>
      <c r="F158" s="175">
        <v>-8.4539991174849782E-2</v>
      </c>
      <c r="G158" s="44"/>
      <c r="H158" s="44"/>
    </row>
    <row r="159" spans="2:12" x14ac:dyDescent="0.2">
      <c r="B159" s="225">
        <v>40968</v>
      </c>
      <c r="C159" s="175">
        <v>1.0716754603864231E-2</v>
      </c>
      <c r="D159" s="175">
        <v>-5.2778214061410811E-3</v>
      </c>
      <c r="E159" s="175">
        <v>0.12740895915251982</v>
      </c>
      <c r="F159" s="175">
        <v>-5.654200570410628E-2</v>
      </c>
      <c r="G159" s="44"/>
      <c r="H159" s="44"/>
    </row>
    <row r="160" spans="2:12" x14ac:dyDescent="0.2">
      <c r="B160" s="225">
        <v>40999</v>
      </c>
      <c r="C160" s="175">
        <v>1.0469961675287909E-2</v>
      </c>
      <c r="D160" s="175">
        <v>-5.6506496706182352E-3</v>
      </c>
      <c r="E160" s="175">
        <v>0.12529214586913517</v>
      </c>
      <c r="F160" s="175">
        <v>-6.0945849047580158E-2</v>
      </c>
      <c r="G160" s="44"/>
      <c r="H160" s="44"/>
    </row>
    <row r="161" spans="2:8" x14ac:dyDescent="0.2">
      <c r="B161" s="225">
        <v>41029</v>
      </c>
      <c r="C161" s="175">
        <v>1.0484426592469731E-2</v>
      </c>
      <c r="D161" s="175">
        <v>-5.710927296860957E-3</v>
      </c>
      <c r="E161" s="175">
        <v>0.12645335943591696</v>
      </c>
      <c r="F161" s="175">
        <v>-6.2032718869646009E-2</v>
      </c>
      <c r="G161" s="44"/>
      <c r="H161" s="44"/>
    </row>
    <row r="162" spans="2:8" x14ac:dyDescent="0.2">
      <c r="B162" s="227">
        <v>41060</v>
      </c>
      <c r="C162" s="228">
        <v>6.3884371626934389E-3</v>
      </c>
      <c r="D162" s="228">
        <v>-9.5529530528657425E-3</v>
      </c>
      <c r="E162" s="228">
        <v>7.5981590412642186E-2</v>
      </c>
      <c r="F162" s="224">
        <v>-0.10332023030358439</v>
      </c>
      <c r="G162" s="44"/>
      <c r="H162" s="44"/>
    </row>
    <row r="163" spans="2:8" x14ac:dyDescent="0.2">
      <c r="B163" s="227">
        <v>41090</v>
      </c>
      <c r="C163" s="228">
        <v>6.9047494449268054E-3</v>
      </c>
      <c r="D163" s="228">
        <v>-8.716626672028549E-3</v>
      </c>
      <c r="E163" s="228">
        <v>8.2967716131719493E-2</v>
      </c>
      <c r="F163" s="224">
        <v>-9.525959921194882E-2</v>
      </c>
      <c r="G163" s="44"/>
      <c r="H163" s="44"/>
    </row>
    <row r="164" spans="2:8" x14ac:dyDescent="0.2">
      <c r="B164" s="227">
        <v>41121</v>
      </c>
      <c r="C164" s="175">
        <v>8.4113952258388913E-3</v>
      </c>
      <c r="D164" s="175">
        <v>-6.7884113074839769E-3</v>
      </c>
      <c r="E164" s="175">
        <v>0.10265678479880602</v>
      </c>
      <c r="F164" s="175">
        <v>-7.5222879779566765E-2</v>
      </c>
      <c r="G164" s="44"/>
      <c r="H164" s="44"/>
    </row>
    <row r="165" spans="2:8" x14ac:dyDescent="0.2">
      <c r="B165" s="229">
        <v>41152</v>
      </c>
      <c r="C165" s="175">
        <v>8.0000000000000002E-3</v>
      </c>
      <c r="D165" s="175">
        <v>-7.0000000000000001E-3</v>
      </c>
      <c r="E165" s="175">
        <v>9.5000000000000001E-2</v>
      </c>
      <c r="F165" s="175">
        <v>-8.3000000000000004E-2</v>
      </c>
      <c r="G165" s="44"/>
      <c r="H165" s="44"/>
    </row>
    <row r="166" spans="2:8" x14ac:dyDescent="0.2">
      <c r="B166" s="229">
        <v>41182</v>
      </c>
      <c r="C166" s="175">
        <v>9.9494584964721078E-3</v>
      </c>
      <c r="D166" s="175">
        <v>-5.4851731630494172E-3</v>
      </c>
      <c r="E166" s="175">
        <v>0.1242918985969359</v>
      </c>
      <c r="F166" s="175">
        <v>-6.1810356210364903E-2</v>
      </c>
      <c r="G166" s="44"/>
      <c r="H166" s="44"/>
    </row>
    <row r="167" spans="2:8" x14ac:dyDescent="0.2">
      <c r="B167" s="229">
        <v>41213</v>
      </c>
      <c r="C167" s="230">
        <v>9.9967456049194769E-3</v>
      </c>
      <c r="D167" s="230">
        <v>-5.2719741961625433E-3</v>
      </c>
      <c r="E167" s="230">
        <v>0.12584782986895471</v>
      </c>
      <c r="F167" s="170">
        <v>-5.9854970257877227E-2</v>
      </c>
      <c r="G167" s="44"/>
      <c r="H167" s="44"/>
    </row>
    <row r="168" spans="2:8" x14ac:dyDescent="0.2">
      <c r="B168" s="229">
        <v>41243</v>
      </c>
      <c r="C168" s="175">
        <v>1.2E-2</v>
      </c>
      <c r="D168" s="175">
        <v>-3.0000000000000001E-3</v>
      </c>
      <c r="E168" s="175">
        <v>0.14799999999999999</v>
      </c>
      <c r="F168" s="175">
        <v>-3.9E-2</v>
      </c>
      <c r="G168" s="44"/>
      <c r="H168" s="44"/>
    </row>
    <row r="169" spans="2:8" x14ac:dyDescent="0.2">
      <c r="B169" s="231">
        <v>41274</v>
      </c>
      <c r="C169" s="175">
        <v>1.1755018850492904E-2</v>
      </c>
      <c r="D169" s="175">
        <v>-3.3347187598281591E-3</v>
      </c>
      <c r="E169" s="175">
        <v>0.15166814939670425</v>
      </c>
      <c r="F169" s="175">
        <v>-3.8354715849737153E-2</v>
      </c>
      <c r="G169" s="44"/>
      <c r="H169" s="44"/>
    </row>
    <row r="170" spans="2:8" x14ac:dyDescent="0.2">
      <c r="B170" s="229">
        <v>41305</v>
      </c>
      <c r="C170" s="162">
        <v>1.4999999999999999E-2</v>
      </c>
      <c r="D170" s="162">
        <v>0</v>
      </c>
      <c r="E170" s="162">
        <v>0.19400000000000001</v>
      </c>
      <c r="F170" s="162">
        <v>5.0000000000000001E-3</v>
      </c>
      <c r="G170" s="44"/>
      <c r="H170" s="44"/>
    </row>
    <row r="171" spans="2:8" x14ac:dyDescent="0.2">
      <c r="B171" s="229">
        <v>41333</v>
      </c>
      <c r="C171" s="162">
        <v>1.6E-2</v>
      </c>
      <c r="D171" s="162">
        <v>1E-3</v>
      </c>
      <c r="E171" s="162">
        <v>0.20699999999999999</v>
      </c>
      <c r="F171" s="162">
        <v>1.2E-2</v>
      </c>
      <c r="G171" s="44"/>
      <c r="H171" s="44"/>
    </row>
    <row r="172" spans="2:8" x14ac:dyDescent="0.2">
      <c r="B172" s="229">
        <v>41364</v>
      </c>
      <c r="C172" s="175">
        <v>1.7000000000000001E-2</v>
      </c>
      <c r="D172" s="175">
        <v>2E-3</v>
      </c>
      <c r="E172" s="175">
        <v>0.22800000000000001</v>
      </c>
      <c r="F172" s="175">
        <v>2.5999999999999999E-2</v>
      </c>
      <c r="G172" s="44"/>
      <c r="H172" s="44"/>
    </row>
    <row r="173" spans="2:8" x14ac:dyDescent="0.2">
      <c r="B173" s="229">
        <v>41394</v>
      </c>
      <c r="C173" s="175">
        <v>1.7999999999999999E-2</v>
      </c>
      <c r="D173" s="175">
        <v>4.0000000000000001E-3</v>
      </c>
      <c r="E173" s="175">
        <v>0.254</v>
      </c>
      <c r="F173" s="175">
        <v>4.9000000000000002E-2</v>
      </c>
      <c r="G173" s="44"/>
      <c r="H173" s="44"/>
    </row>
    <row r="174" spans="2:8" x14ac:dyDescent="0.2">
      <c r="B174" s="229">
        <v>41425</v>
      </c>
      <c r="C174" s="175">
        <v>0.02</v>
      </c>
      <c r="D174" s="175">
        <v>6.0000000000000001E-3</v>
      </c>
      <c r="E174" s="175">
        <v>0.28599999999999998</v>
      </c>
      <c r="F174" s="175">
        <v>7.3999999999999996E-2</v>
      </c>
      <c r="G174" s="44"/>
      <c r="H174" s="44"/>
    </row>
    <row r="175" spans="2:8" x14ac:dyDescent="0.2">
      <c r="B175" s="229">
        <v>41455</v>
      </c>
      <c r="C175" s="175">
        <v>1.7000000000000001E-2</v>
      </c>
      <c r="D175" s="175">
        <v>3.0000000000000001E-3</v>
      </c>
      <c r="E175" s="175">
        <v>0.24299999999999999</v>
      </c>
      <c r="F175" s="175">
        <v>0.04</v>
      </c>
      <c r="G175" s="44"/>
      <c r="H175" s="44"/>
    </row>
    <row r="176" spans="2:8" x14ac:dyDescent="0.2">
      <c r="B176" s="229">
        <v>41486</v>
      </c>
      <c r="C176" s="230">
        <v>2.0298161417040772E-2</v>
      </c>
      <c r="D176" s="230">
        <v>6.0511896942254673E-3</v>
      </c>
      <c r="E176" s="230">
        <v>0.28986220667725471</v>
      </c>
      <c r="F176" s="170">
        <v>8.0678685039434983E-2</v>
      </c>
      <c r="G176" s="44"/>
      <c r="H176" s="44"/>
    </row>
    <row r="177" spans="2:8" x14ac:dyDescent="0.2">
      <c r="B177" s="229">
        <v>41517</v>
      </c>
      <c r="C177" s="230">
        <v>1.9116423868826615E-2</v>
      </c>
      <c r="D177" s="230">
        <v>4.9055777142639201E-3</v>
      </c>
      <c r="E177" s="230">
        <v>0.27307344187594884</v>
      </c>
      <c r="F177" s="170">
        <v>6.5627049390809988E-2</v>
      </c>
      <c r="G177" s="44"/>
      <c r="H177" s="44"/>
    </row>
    <row r="178" spans="2:8" x14ac:dyDescent="0.2">
      <c r="B178" s="229">
        <v>41547</v>
      </c>
      <c r="C178" s="175">
        <v>2.1000000000000001E-2</v>
      </c>
      <c r="D178" s="175">
        <v>6.0000000000000001E-3</v>
      </c>
      <c r="E178" s="175">
        <v>0.30399999999999999</v>
      </c>
      <c r="F178" s="175">
        <v>8.7999999999999995E-2</v>
      </c>
      <c r="G178" s="44"/>
      <c r="H178" s="44"/>
    </row>
    <row r="179" spans="2:8" x14ac:dyDescent="0.2">
      <c r="B179" s="229">
        <v>41578</v>
      </c>
      <c r="C179" s="175">
        <v>2.4E-2</v>
      </c>
      <c r="D179" s="175">
        <v>0.01</v>
      </c>
      <c r="E179" s="175">
        <v>0.35699999999999998</v>
      </c>
      <c r="F179" s="175">
        <v>0.13400000000000001</v>
      </c>
      <c r="G179" s="44"/>
      <c r="H179" s="44"/>
    </row>
    <row r="180" spans="2:8" x14ac:dyDescent="0.2">
      <c r="B180" s="229">
        <v>41608</v>
      </c>
      <c r="C180" s="175">
        <v>2.5999999999999999E-2</v>
      </c>
      <c r="D180" s="175">
        <v>1.2E-2</v>
      </c>
      <c r="E180" s="175">
        <v>0.39200000000000002</v>
      </c>
      <c r="F180" s="175">
        <v>0.16400000000000001</v>
      </c>
      <c r="G180" s="44"/>
      <c r="H180" s="44"/>
    </row>
    <row r="181" spans="2:8" x14ac:dyDescent="0.2">
      <c r="B181" s="229">
        <v>41639</v>
      </c>
      <c r="C181" s="175">
        <v>2.5999999999999999E-2</v>
      </c>
      <c r="D181" s="175">
        <v>1.0999999999999999E-2</v>
      </c>
      <c r="E181" s="175">
        <v>0.39400000000000002</v>
      </c>
      <c r="F181" s="175">
        <v>0.16300000000000001</v>
      </c>
      <c r="G181" s="44"/>
      <c r="H181" s="44"/>
    </row>
    <row r="182" spans="2:8" x14ac:dyDescent="0.2">
      <c r="B182" s="229">
        <v>41670</v>
      </c>
      <c r="C182" s="175">
        <v>2.3468042798530764E-2</v>
      </c>
      <c r="D182" s="175">
        <v>1.0252919635167501E-2</v>
      </c>
      <c r="E182" s="175">
        <v>0.35720288377253184</v>
      </c>
      <c r="F182" s="175">
        <v>0.1449860225666979</v>
      </c>
      <c r="G182" s="44"/>
      <c r="H182" s="44"/>
    </row>
    <row r="183" spans="2:8" x14ac:dyDescent="0.2">
      <c r="B183" s="229">
        <v>41698</v>
      </c>
      <c r="C183" s="175">
        <v>2.663739494441919E-2</v>
      </c>
      <c r="D183" s="175">
        <v>1.3141621147147342E-2</v>
      </c>
      <c r="E183" s="175">
        <v>0.41669480090607003</v>
      </c>
      <c r="F183" s="175">
        <v>0.1901686095235835</v>
      </c>
      <c r="G183" s="44"/>
      <c r="H183" s="44"/>
    </row>
    <row r="184" spans="2:8" x14ac:dyDescent="0.2">
      <c r="B184" s="229">
        <v>41729</v>
      </c>
      <c r="C184" s="175">
        <v>2.7E-2</v>
      </c>
      <c r="D184" s="175">
        <v>1.4E-2</v>
      </c>
      <c r="E184" s="175">
        <v>0.43</v>
      </c>
      <c r="F184" s="175">
        <v>0.20200000000000001</v>
      </c>
      <c r="G184" s="44"/>
      <c r="H184" s="44"/>
    </row>
    <row r="185" spans="2:8" x14ac:dyDescent="0.2">
      <c r="B185" s="229">
        <v>41759</v>
      </c>
      <c r="C185" s="175">
        <v>2.8000000000000001E-2</v>
      </c>
      <c r="D185" s="175">
        <v>1.4E-2</v>
      </c>
      <c r="E185" s="175">
        <v>0.44800000000000001</v>
      </c>
      <c r="F185" s="175">
        <v>0.21199999999999999</v>
      </c>
      <c r="G185" s="44"/>
      <c r="H185" s="44"/>
    </row>
    <row r="186" spans="2:8" x14ac:dyDescent="0.2">
      <c r="B186" s="229">
        <v>41790</v>
      </c>
      <c r="C186" s="175">
        <v>3.1E-2</v>
      </c>
      <c r="D186" s="175">
        <v>1.7000000000000001E-2</v>
      </c>
      <c r="E186" s="175">
        <v>0.51100000000000001</v>
      </c>
      <c r="F186" s="175">
        <v>0.26400000000000001</v>
      </c>
      <c r="G186" s="44"/>
      <c r="H186" s="44"/>
    </row>
    <row r="187" spans="2:8" x14ac:dyDescent="0.2">
      <c r="B187" s="229">
        <v>41820</v>
      </c>
      <c r="C187" s="175">
        <v>3.2000000000000001E-2</v>
      </c>
      <c r="D187" s="175">
        <v>1.7999999999999999E-2</v>
      </c>
      <c r="E187" s="175">
        <v>0.53600000000000003</v>
      </c>
      <c r="F187" s="175">
        <v>0.28199999999999997</v>
      </c>
      <c r="G187" s="44"/>
      <c r="H187" s="44"/>
    </row>
    <row r="188" spans="2:8" x14ac:dyDescent="0.2">
      <c r="B188" s="229">
        <v>41851</v>
      </c>
      <c r="C188" s="175">
        <v>3.1890572857588895E-2</v>
      </c>
      <c r="D188" s="175">
        <v>1.8506916764109205E-2</v>
      </c>
      <c r="E188" s="175">
        <v>0.53577106018337739</v>
      </c>
      <c r="F188" s="175">
        <v>0.28621499509093384</v>
      </c>
      <c r="G188" s="44"/>
      <c r="H188" s="44"/>
    </row>
    <row r="189" spans="2:8" x14ac:dyDescent="0.2">
      <c r="B189" s="229">
        <v>41882</v>
      </c>
      <c r="C189" s="175">
        <v>3.4000000000000002E-2</v>
      </c>
      <c r="D189" s="175">
        <v>2.1000000000000001E-2</v>
      </c>
      <c r="E189" s="175">
        <v>0.57899999999999996</v>
      </c>
      <c r="F189" s="175">
        <v>0.32400000000000001</v>
      </c>
      <c r="G189" s="44"/>
      <c r="H189" s="44"/>
    </row>
    <row r="190" spans="2:8" x14ac:dyDescent="0.2">
      <c r="B190" s="229">
        <v>41912</v>
      </c>
      <c r="C190" s="175">
        <v>3.3000000000000002E-2</v>
      </c>
      <c r="D190" s="175">
        <v>0.02</v>
      </c>
      <c r="E190" s="175">
        <v>0.57499999999999996</v>
      </c>
      <c r="F190" s="175">
        <v>0.318</v>
      </c>
      <c r="G190" s="44"/>
      <c r="H190" s="44"/>
    </row>
    <row r="191" spans="2:8" x14ac:dyDescent="0.2">
      <c r="B191" s="229">
        <v>41943</v>
      </c>
      <c r="C191" s="175">
        <v>3.5000000000000003E-2</v>
      </c>
      <c r="D191" s="175">
        <v>2.1999999999999999E-2</v>
      </c>
      <c r="E191" s="175">
        <v>0.61399999999999999</v>
      </c>
      <c r="F191" s="175">
        <v>0.35</v>
      </c>
      <c r="G191" s="44"/>
      <c r="H191" s="44"/>
    </row>
    <row r="192" spans="2:8" x14ac:dyDescent="0.2">
      <c r="B192" s="229">
        <v>41973</v>
      </c>
      <c r="C192" s="175">
        <v>3.6999999999999998E-2</v>
      </c>
      <c r="D192" s="175">
        <v>2.3E-2</v>
      </c>
      <c r="E192" s="175">
        <v>0.65400000000000003</v>
      </c>
      <c r="F192" s="175">
        <v>0.38600000000000001</v>
      </c>
      <c r="G192" s="44"/>
      <c r="H192" s="44"/>
    </row>
    <row r="193" spans="2:8" x14ac:dyDescent="0.2">
      <c r="B193" s="229">
        <v>42004</v>
      </c>
      <c r="C193" s="175">
        <v>3.7999999999999999E-2</v>
      </c>
      <c r="D193" s="175">
        <v>2.5000000000000001E-2</v>
      </c>
      <c r="E193" s="175">
        <v>0.68300000000000005</v>
      </c>
      <c r="F193" s="175">
        <v>0.40799999999999997</v>
      </c>
      <c r="G193" s="44"/>
      <c r="H193" s="44"/>
    </row>
    <row r="194" spans="2:8" x14ac:dyDescent="0.2">
      <c r="B194" s="229">
        <v>42035</v>
      </c>
      <c r="C194" s="175">
        <v>4.1000000000000002E-2</v>
      </c>
      <c r="D194" s="175">
        <v>2.8000000000000001E-2</v>
      </c>
      <c r="E194" s="175">
        <v>0.75900000000000001</v>
      </c>
      <c r="F194" s="175">
        <v>0.48699999999999999</v>
      </c>
      <c r="G194" s="44"/>
      <c r="H194" s="44"/>
    </row>
    <row r="195" spans="2:8" x14ac:dyDescent="0.2">
      <c r="B195" s="246">
        <v>42063</v>
      </c>
      <c r="C195" s="247">
        <v>4.4987450717208555E-2</v>
      </c>
      <c r="D195" s="247">
        <v>3.1250454261287697E-2</v>
      </c>
      <c r="E195" s="248">
        <v>0.87211627638129352</v>
      </c>
      <c r="F195" s="249">
        <v>0.57276925425444758</v>
      </c>
      <c r="G195" s="44"/>
      <c r="H195" s="44"/>
    </row>
    <row r="196" spans="2:8" x14ac:dyDescent="0.2">
      <c r="B196" s="246">
        <v>42094</v>
      </c>
      <c r="C196" s="248">
        <v>4.5770975014270299E-2</v>
      </c>
      <c r="D196" s="248">
        <v>3.2114554680856999E-2</v>
      </c>
      <c r="E196" s="248">
        <v>0.89928893026958101</v>
      </c>
      <c r="F196" s="249">
        <v>0.59569912364660005</v>
      </c>
      <c r="G196" s="44"/>
      <c r="H196" s="44"/>
    </row>
    <row r="197" spans="2:8" x14ac:dyDescent="0.2">
      <c r="B197" s="246">
        <v>42124</v>
      </c>
      <c r="C197" s="248">
        <v>4.5999999999999999E-2</v>
      </c>
      <c r="D197" s="248">
        <v>3.2000000000000001E-2</v>
      </c>
      <c r="E197" s="248">
        <v>0.90200000000000002</v>
      </c>
      <c r="F197" s="249">
        <v>0.59199999999999997</v>
      </c>
      <c r="G197" s="44"/>
      <c r="H197" s="44"/>
    </row>
    <row r="198" spans="2:8" x14ac:dyDescent="0.2">
      <c r="B198" s="246">
        <v>42155</v>
      </c>
      <c r="C198" s="248">
        <v>4.7E-2</v>
      </c>
      <c r="D198" s="248">
        <v>3.3000000000000002E-2</v>
      </c>
      <c r="E198" s="248">
        <v>0.93700000000000006</v>
      </c>
      <c r="F198" s="278">
        <v>0.62</v>
      </c>
      <c r="G198" s="44"/>
      <c r="H198" s="44"/>
    </row>
    <row r="199" spans="2:8" x14ac:dyDescent="0.2">
      <c r="B199" s="246">
        <v>42185</v>
      </c>
      <c r="C199" s="248">
        <v>4.2000000000000003E-2</v>
      </c>
      <c r="D199" s="248">
        <v>2.9000000000000001E-2</v>
      </c>
      <c r="E199" s="248">
        <v>0.83299999999999996</v>
      </c>
      <c r="F199" s="278">
        <v>0.53</v>
      </c>
      <c r="G199" s="44"/>
      <c r="H199" s="44"/>
    </row>
    <row r="200" spans="2:8" x14ac:dyDescent="0.2">
      <c r="B200" s="294">
        <v>42216</v>
      </c>
      <c r="C200" s="293">
        <v>4.4999999999999998E-2</v>
      </c>
      <c r="D200" s="293">
        <v>3.2000000000000001E-2</v>
      </c>
      <c r="E200" s="293">
        <v>0.89900000000000002</v>
      </c>
      <c r="F200" s="292">
        <v>0.59099999999999997</v>
      </c>
      <c r="G200" s="44"/>
      <c r="H200" s="44"/>
    </row>
    <row r="201" spans="2:8" x14ac:dyDescent="0.2">
      <c r="B201" s="294">
        <v>42247</v>
      </c>
      <c r="C201" s="293">
        <v>3.9E-2</v>
      </c>
      <c r="D201" s="293">
        <v>2.7E-2</v>
      </c>
      <c r="E201" s="293">
        <v>0.76600000000000001</v>
      </c>
      <c r="F201" s="292">
        <v>0.48299999999999998</v>
      </c>
      <c r="G201" s="44"/>
      <c r="H201" s="44"/>
    </row>
    <row r="202" spans="2:8" x14ac:dyDescent="0.2">
      <c r="B202" s="294">
        <v>42277</v>
      </c>
      <c r="C202" s="293">
        <v>3.5999999999999997E-2</v>
      </c>
      <c r="D202" s="293">
        <v>2.4E-2</v>
      </c>
      <c r="E202" s="293">
        <v>0.68899999999999995</v>
      </c>
      <c r="F202" s="295">
        <v>0.41299999999999998</v>
      </c>
      <c r="G202" s="44"/>
      <c r="H202" s="44"/>
    </row>
    <row r="203" spans="2:8" x14ac:dyDescent="0.2">
      <c r="B203" s="294">
        <v>42308</v>
      </c>
      <c r="C203" s="293">
        <v>4.1000000000000002E-2</v>
      </c>
      <c r="D203" s="293">
        <v>2.9000000000000001E-2</v>
      </c>
      <c r="E203" s="293">
        <v>0.82499999999999996</v>
      </c>
      <c r="F203" s="296">
        <v>0.52600000000000002</v>
      </c>
      <c r="G203" s="44"/>
      <c r="H203" s="44"/>
    </row>
    <row r="204" spans="2:8" x14ac:dyDescent="0.2">
      <c r="B204" s="294">
        <v>42338</v>
      </c>
      <c r="C204" s="293">
        <v>4.2000000000000003E-2</v>
      </c>
      <c r="D204" s="293">
        <v>0.03</v>
      </c>
      <c r="E204" s="293">
        <v>0.86099999999999999</v>
      </c>
      <c r="F204" s="304">
        <v>0.55800000000000005</v>
      </c>
      <c r="G204" s="44"/>
      <c r="H204" s="44"/>
    </row>
    <row r="205" spans="2:8" x14ac:dyDescent="0.2">
      <c r="B205" s="294">
        <v>42369</v>
      </c>
      <c r="C205" s="293">
        <v>3.9E-2</v>
      </c>
      <c r="D205" s="293">
        <v>2.7E-2</v>
      </c>
      <c r="E205" s="293">
        <v>0.79100000000000004</v>
      </c>
      <c r="F205" s="304">
        <v>0.497</v>
      </c>
      <c r="G205" s="44"/>
      <c r="H205" s="44"/>
    </row>
    <row r="206" spans="2:8" x14ac:dyDescent="0.2">
      <c r="B206" s="294">
        <v>42400</v>
      </c>
      <c r="C206" s="293">
        <v>3.5000000000000003E-2</v>
      </c>
      <c r="D206" s="293">
        <v>2.3E-2</v>
      </c>
      <c r="E206" s="293">
        <v>0.68200000000000005</v>
      </c>
      <c r="F206" s="304">
        <v>0.41099999999999998</v>
      </c>
      <c r="G206" s="44"/>
      <c r="H206" s="44"/>
    </row>
    <row r="207" spans="2:8" x14ac:dyDescent="0.2">
      <c r="B207" s="294">
        <v>42429</v>
      </c>
      <c r="C207" s="293">
        <v>3.4814794575029895E-2</v>
      </c>
      <c r="D207" s="293">
        <v>2.2685222994411669E-2</v>
      </c>
      <c r="E207" s="293">
        <v>0.685214138766439</v>
      </c>
      <c r="F207" s="304">
        <v>0.40926260346961096</v>
      </c>
      <c r="G207" s="44"/>
      <c r="H207" s="44"/>
    </row>
    <row r="208" spans="2:8" x14ac:dyDescent="0.2">
      <c r="B208" s="294">
        <v>42460</v>
      </c>
      <c r="C208" s="293">
        <v>3.5999999999999997E-2</v>
      </c>
      <c r="D208" s="293">
        <v>2.3E-2</v>
      </c>
      <c r="E208" s="293">
        <v>0.71699999999999997</v>
      </c>
      <c r="F208" s="309">
        <v>0.42899999999999999</v>
      </c>
      <c r="G208" s="44"/>
      <c r="H208" s="44"/>
    </row>
    <row r="209" spans="2:8" x14ac:dyDescent="0.2">
      <c r="B209" s="294">
        <v>42490</v>
      </c>
      <c r="C209" s="293">
        <v>3.5999999999999997E-2</v>
      </c>
      <c r="D209" s="293">
        <v>2.4E-2</v>
      </c>
      <c r="E209" s="293">
        <v>0.72199999999999998</v>
      </c>
      <c r="F209" s="310">
        <v>0.433</v>
      </c>
      <c r="G209" s="44"/>
      <c r="H209" s="44"/>
    </row>
    <row r="210" spans="2:8" x14ac:dyDescent="0.2">
      <c r="B210" s="294">
        <v>42521</v>
      </c>
      <c r="C210" s="293">
        <v>3.7999999999999999E-2</v>
      </c>
      <c r="D210" s="293">
        <v>2.5999999999999999E-2</v>
      </c>
      <c r="E210" s="293">
        <v>0.78200000000000003</v>
      </c>
      <c r="F210" s="311">
        <v>0.48</v>
      </c>
      <c r="G210" s="44"/>
      <c r="H210" s="44"/>
    </row>
    <row r="211" spans="2:8" x14ac:dyDescent="0.2">
      <c r="B211" s="294">
        <v>42551</v>
      </c>
      <c r="C211" s="293">
        <v>3.6999999999999998E-2</v>
      </c>
      <c r="D211" s="293">
        <v>2.5000000000000001E-2</v>
      </c>
      <c r="E211" s="293">
        <v>0.76100000000000001</v>
      </c>
      <c r="F211" s="312">
        <v>0.46100000000000002</v>
      </c>
      <c r="G211" s="44"/>
      <c r="H211" s="44"/>
    </row>
    <row r="212" spans="2:8" x14ac:dyDescent="0.2">
      <c r="B212" s="294">
        <v>42582</v>
      </c>
      <c r="C212" s="293">
        <v>4.0333532333468369E-2</v>
      </c>
      <c r="D212" s="293">
        <v>2.7921695980168693E-2</v>
      </c>
      <c r="E212" s="293">
        <v>0.85796425018382538</v>
      </c>
      <c r="F212" s="304">
        <v>0.54101982295106521</v>
      </c>
      <c r="G212" s="44"/>
      <c r="H212" s="44"/>
    </row>
    <row r="213" spans="2:8" x14ac:dyDescent="0.2">
      <c r="B213" s="294">
        <v>42613</v>
      </c>
      <c r="C213" s="293">
        <v>4.1000000000000002E-2</v>
      </c>
      <c r="D213" s="293">
        <v>2.9000000000000001E-2</v>
      </c>
      <c r="E213" s="293">
        <v>0.88300000000000001</v>
      </c>
      <c r="F213" s="332">
        <v>0.56299999999999994</v>
      </c>
      <c r="G213" s="44"/>
      <c r="H213" s="44"/>
    </row>
    <row r="214" spans="2:8" x14ac:dyDescent="0.2">
      <c r="B214" s="294">
        <v>42643</v>
      </c>
      <c r="C214" s="293">
        <v>4.1000000000000002E-2</v>
      </c>
      <c r="D214" s="293">
        <v>2.9000000000000001E-2</v>
      </c>
      <c r="E214" s="293">
        <v>0.89300000000000002</v>
      </c>
      <c r="F214" s="332">
        <v>0.56999999999999995</v>
      </c>
      <c r="G214" s="44"/>
      <c r="H214" s="44"/>
    </row>
    <row r="215" spans="2:8" x14ac:dyDescent="0.2">
      <c r="B215" s="294">
        <v>42674</v>
      </c>
      <c r="C215" s="293">
        <v>4.2030228419878357E-2</v>
      </c>
      <c r="D215" s="293">
        <v>2.9533051802302257E-2</v>
      </c>
      <c r="E215" s="293">
        <v>0.92572849251788436</v>
      </c>
      <c r="F215" s="332">
        <v>0.59084551881901937</v>
      </c>
      <c r="G215" s="44"/>
      <c r="H215" s="44"/>
    </row>
    <row r="216" spans="2:8" x14ac:dyDescent="0.2">
      <c r="B216" s="294">
        <v>42704</v>
      </c>
      <c r="C216" s="293">
        <v>4.3218872876169323E-2</v>
      </c>
      <c r="D216" s="293">
        <v>3.0752191716537203E-2</v>
      </c>
      <c r="E216" s="293">
        <v>0.96791784772508582</v>
      </c>
      <c r="F216" s="332">
        <v>0.62518710656202447</v>
      </c>
      <c r="G216" s="44"/>
      <c r="H216" s="44"/>
    </row>
    <row r="217" spans="2:8" x14ac:dyDescent="0.2">
      <c r="B217" s="294">
        <v>42735</v>
      </c>
      <c r="C217" s="293">
        <v>4.3555702411013808E-2</v>
      </c>
      <c r="D217" s="293">
        <v>3.0830294890720422E-2</v>
      </c>
      <c r="E217" s="293">
        <v>0.98514913536272819</v>
      </c>
      <c r="F217" s="332">
        <v>0.6313146829948344</v>
      </c>
      <c r="G217" s="44"/>
      <c r="H217" s="44"/>
    </row>
    <row r="218" spans="2:8" x14ac:dyDescent="0.2">
      <c r="B218" s="294">
        <v>42766</v>
      </c>
      <c r="C218" s="293">
        <v>4.334228507554494E-2</v>
      </c>
      <c r="D218" s="293">
        <v>3.1123599502151711E-2</v>
      </c>
      <c r="E218" s="293">
        <v>0.98563801765141767</v>
      </c>
      <c r="F218" s="332">
        <v>0.64292002279378702</v>
      </c>
      <c r="G218" s="44"/>
      <c r="H218" s="44"/>
    </row>
    <row r="219" spans="2:8" x14ac:dyDescent="0.2">
      <c r="B219" s="294">
        <v>42794</v>
      </c>
      <c r="C219" s="293">
        <v>4.6097313069848767E-2</v>
      </c>
      <c r="D219" s="293">
        <v>3.3461627268104976E-2</v>
      </c>
      <c r="E219" s="293">
        <v>1.0799189283485671</v>
      </c>
      <c r="F219" s="332">
        <v>0.70892535100606313</v>
      </c>
      <c r="G219" s="44"/>
      <c r="H219" s="44"/>
    </row>
    <row r="220" spans="2:8" x14ac:dyDescent="0.2">
      <c r="B220" s="294">
        <v>42825</v>
      </c>
      <c r="C220" s="293">
        <v>4.6296857857121454E-2</v>
      </c>
      <c r="D220" s="293">
        <v>3.3733130393092559E-2</v>
      </c>
      <c r="E220" s="293">
        <v>1.0942589386917381</v>
      </c>
      <c r="F220" s="332">
        <v>0.72097667415640498</v>
      </c>
      <c r="G220" s="44"/>
      <c r="H220" s="44"/>
    </row>
    <row r="221" spans="2:8" x14ac:dyDescent="0.2">
      <c r="B221" s="294">
        <v>42855</v>
      </c>
      <c r="C221" s="293">
        <v>4.7063816541086823E-2</v>
      </c>
      <c r="D221" s="293">
        <v>3.4187242986752242E-2</v>
      </c>
      <c r="E221" s="293">
        <v>1.1276127151568303</v>
      </c>
      <c r="F221" s="332">
        <v>0.73827163112427474</v>
      </c>
      <c r="G221" s="44"/>
      <c r="H221" s="44"/>
    </row>
    <row r="222" spans="2:8" x14ac:dyDescent="0.2">
      <c r="B222" s="294">
        <v>42886</v>
      </c>
      <c r="C222" s="293">
        <v>4.7434009312021796E-2</v>
      </c>
      <c r="D222" s="293">
        <v>3.457868053407509E-2</v>
      </c>
      <c r="E222" s="293">
        <v>1.1482759725449072</v>
      </c>
      <c r="F222" s="332">
        <v>0.75406259087321148</v>
      </c>
      <c r="G222" s="44"/>
      <c r="H222" s="44"/>
    </row>
    <row r="223" spans="2:8" x14ac:dyDescent="0.2">
      <c r="B223" s="294">
        <v>42916</v>
      </c>
      <c r="C223" s="293">
        <v>4.5867995592066203E-2</v>
      </c>
      <c r="D223" s="293">
        <v>3.3051576167592911E-2</v>
      </c>
      <c r="E223" s="293">
        <v>1.1037371900463713</v>
      </c>
      <c r="F223" s="332">
        <v>0.71646973266199243</v>
      </c>
      <c r="G223" s="44"/>
      <c r="H223" s="44"/>
    </row>
    <row r="224" spans="2:8" x14ac:dyDescent="0.2">
      <c r="B224" s="231">
        <v>42947</v>
      </c>
      <c r="C224" s="293">
        <v>4.4984573611139389E-2</v>
      </c>
      <c r="D224" s="293">
        <v>3.1911349941530887E-2</v>
      </c>
      <c r="E224" s="293">
        <v>1.0820827612018995</v>
      </c>
      <c r="F224" s="332">
        <v>0.68977460337897045</v>
      </c>
      <c r="G224" s="44"/>
      <c r="H224" s="44"/>
    </row>
    <row r="225" spans="2:8" x14ac:dyDescent="0.2">
      <c r="B225" s="231">
        <v>42978</v>
      </c>
      <c r="C225" s="293">
        <v>4.4119313366598689E-2</v>
      </c>
      <c r="D225" s="293">
        <v>3.1219376750072358E-2</v>
      </c>
      <c r="E225" s="293">
        <v>1.0609367450562535</v>
      </c>
      <c r="F225" s="332">
        <v>0.67525243804157964</v>
      </c>
      <c r="G225" s="44"/>
      <c r="H225" s="44"/>
    </row>
    <row r="226" spans="2:8" x14ac:dyDescent="0.2">
      <c r="B226" s="231">
        <v>43008</v>
      </c>
      <c r="C226" s="293">
        <v>4.633602322555963E-2</v>
      </c>
      <c r="D226" s="293">
        <v>3.4682935993638697E-2</v>
      </c>
      <c r="E226" s="293">
        <v>1.1435394816391677</v>
      </c>
      <c r="F226" s="332">
        <v>0.74002787784008817</v>
      </c>
      <c r="G226" s="44"/>
      <c r="H226" s="44"/>
    </row>
    <row r="227" spans="2:8" x14ac:dyDescent="0.2">
      <c r="B227" s="231">
        <v>43039</v>
      </c>
      <c r="C227" s="293">
        <v>4.8519831871773889E-2</v>
      </c>
      <c r="D227" s="293">
        <v>3.6919054106707705E-2</v>
      </c>
      <c r="E227" s="293">
        <v>1.2288883566396662</v>
      </c>
      <c r="F227" s="293">
        <v>0.81065301283085001</v>
      </c>
      <c r="G227" s="44"/>
      <c r="H227" s="44"/>
    </row>
    <row r="228" spans="2:8" x14ac:dyDescent="0.2">
      <c r="B228" s="294"/>
      <c r="C228" s="293"/>
      <c r="D228" s="293"/>
      <c r="E228" s="293"/>
      <c r="F228" s="293"/>
      <c r="G228" s="44"/>
      <c r="H228" s="44"/>
    </row>
    <row r="229" spans="2:8" x14ac:dyDescent="0.2">
      <c r="B229" s="294"/>
      <c r="C229" s="293"/>
      <c r="D229" s="293"/>
      <c r="E229" s="293"/>
      <c r="F229" s="293"/>
      <c r="G229" s="44"/>
      <c r="H229" s="44"/>
    </row>
    <row r="230" spans="2:8" x14ac:dyDescent="0.2">
      <c r="B230" s="294"/>
      <c r="C230" s="293"/>
      <c r="D230" s="293"/>
      <c r="E230" s="293"/>
      <c r="F230" s="332"/>
      <c r="G230" s="44"/>
      <c r="H230" s="44"/>
    </row>
    <row r="231" spans="2:8" x14ac:dyDescent="0.2">
      <c r="B231" s="214"/>
      <c r="C231" s="151"/>
      <c r="D231" s="151"/>
      <c r="E231" s="151"/>
      <c r="F231" s="151"/>
    </row>
    <row r="232" spans="2:8" x14ac:dyDescent="0.2">
      <c r="B232" s="214"/>
      <c r="C232" s="151"/>
      <c r="D232" s="151"/>
      <c r="E232" s="151"/>
      <c r="F232" s="151"/>
    </row>
    <row r="233" spans="2:8" x14ac:dyDescent="0.2">
      <c r="B233" s="214"/>
      <c r="C233" s="151"/>
      <c r="D233" s="151"/>
      <c r="E233" s="151"/>
      <c r="F233" s="151"/>
    </row>
    <row r="234" spans="2:8" x14ac:dyDescent="0.2">
      <c r="B234" s="214"/>
      <c r="C234" s="151"/>
      <c r="D234" s="151"/>
      <c r="E234" s="151"/>
      <c r="F234" s="151"/>
    </row>
    <row r="235" spans="2:8" x14ac:dyDescent="0.2">
      <c r="B235" s="214"/>
      <c r="C235" s="151"/>
      <c r="D235" s="151"/>
      <c r="E235" s="151"/>
      <c r="F235" s="151"/>
    </row>
    <row r="236" spans="2:8" x14ac:dyDescent="0.2">
      <c r="B236" s="214"/>
      <c r="C236" s="151"/>
      <c r="D236" s="151"/>
      <c r="E236" s="151"/>
      <c r="F236" s="151"/>
    </row>
    <row r="237" spans="2:8" x14ac:dyDescent="0.2">
      <c r="B237" s="214"/>
      <c r="C237" s="151"/>
      <c r="D237" s="151"/>
      <c r="E237" s="151"/>
      <c r="F237" s="151"/>
    </row>
    <row r="238" spans="2:8" x14ac:dyDescent="0.2">
      <c r="B238" s="214"/>
      <c r="C238" s="151"/>
      <c r="D238" s="151"/>
      <c r="E238" s="151"/>
      <c r="F238" s="151"/>
    </row>
    <row r="239" spans="2:8" x14ac:dyDescent="0.2">
      <c r="B239" s="214"/>
      <c r="C239" s="151"/>
      <c r="D239" s="151"/>
      <c r="E239" s="151"/>
      <c r="F239" s="151"/>
    </row>
    <row r="240" spans="2:8" x14ac:dyDescent="0.2">
      <c r="B240" s="214"/>
      <c r="C240" s="151"/>
      <c r="D240" s="151"/>
      <c r="E240" s="151"/>
      <c r="F240" s="151"/>
    </row>
    <row r="241" spans="2:6" x14ac:dyDescent="0.2">
      <c r="B241" s="214"/>
      <c r="C241" s="151"/>
      <c r="D241" s="151"/>
      <c r="E241" s="151"/>
      <c r="F241" s="151"/>
    </row>
    <row r="242" spans="2:6" x14ac:dyDescent="0.2">
      <c r="B242" s="214"/>
      <c r="C242" s="151"/>
      <c r="D242" s="151"/>
      <c r="E242" s="151"/>
      <c r="F242" s="151"/>
    </row>
    <row r="243" spans="2:6" x14ac:dyDescent="0.2">
      <c r="B243" s="214"/>
      <c r="C243" s="151"/>
      <c r="D243" s="151"/>
      <c r="E243" s="151"/>
      <c r="F243" s="151"/>
    </row>
    <row r="244" spans="2:6" x14ac:dyDescent="0.2">
      <c r="B244" s="214"/>
      <c r="C244" s="151"/>
      <c r="D244" s="151"/>
      <c r="E244" s="151"/>
      <c r="F244" s="151"/>
    </row>
    <row r="245" spans="2:6" x14ac:dyDescent="0.2">
      <c r="B245" s="214"/>
      <c r="C245" s="151"/>
      <c r="D245" s="151"/>
      <c r="E245" s="151"/>
      <c r="F245" s="151"/>
    </row>
    <row r="246" spans="2:6" x14ac:dyDescent="0.2">
      <c r="B246" s="214"/>
      <c r="C246" s="151"/>
      <c r="D246" s="151"/>
      <c r="E246" s="151"/>
      <c r="F246" s="151"/>
    </row>
    <row r="247" spans="2:6" x14ac:dyDescent="0.2">
      <c r="B247" s="214"/>
      <c r="C247" s="151"/>
      <c r="D247" s="151"/>
      <c r="E247" s="151"/>
      <c r="F247" s="151"/>
    </row>
    <row r="248" spans="2:6" x14ac:dyDescent="0.2">
      <c r="B248" s="214"/>
      <c r="C248" s="151"/>
      <c r="D248" s="151"/>
      <c r="E248" s="151"/>
      <c r="F248" s="151"/>
    </row>
    <row r="249" spans="2:6" x14ac:dyDescent="0.2">
      <c r="B249" s="214"/>
      <c r="C249" s="151"/>
      <c r="D249" s="151"/>
      <c r="E249" s="151"/>
      <c r="F249" s="151"/>
    </row>
    <row r="250" spans="2:6" x14ac:dyDescent="0.2">
      <c r="B250" s="214"/>
      <c r="C250" s="151"/>
      <c r="D250" s="151"/>
      <c r="E250" s="151"/>
      <c r="F250" s="151"/>
    </row>
    <row r="251" spans="2:6" x14ac:dyDescent="0.2">
      <c r="B251" s="214"/>
      <c r="C251" s="151"/>
      <c r="D251" s="151"/>
      <c r="E251" s="151"/>
      <c r="F251" s="151"/>
    </row>
    <row r="252" spans="2:6" x14ac:dyDescent="0.2">
      <c r="B252" s="214"/>
      <c r="C252" s="151"/>
      <c r="D252" s="151"/>
      <c r="E252" s="151"/>
      <c r="F252" s="151"/>
    </row>
    <row r="253" spans="2:6" x14ac:dyDescent="0.2">
      <c r="B253" s="214"/>
      <c r="C253" s="151"/>
      <c r="D253" s="151"/>
      <c r="E253" s="151"/>
      <c r="F253" s="151"/>
    </row>
    <row r="254" spans="2:6" x14ac:dyDescent="0.2">
      <c r="B254" s="214"/>
      <c r="C254" s="151"/>
      <c r="D254" s="151"/>
      <c r="E254" s="151"/>
      <c r="F254" s="151"/>
    </row>
    <row r="255" spans="2:6" x14ac:dyDescent="0.2">
      <c r="B255" s="214"/>
      <c r="C255" s="151"/>
      <c r="D255" s="151"/>
      <c r="E255" s="151"/>
      <c r="F255" s="151"/>
    </row>
    <row r="256" spans="2:6" x14ac:dyDescent="0.2">
      <c r="B256" s="214"/>
      <c r="C256" s="151"/>
      <c r="D256" s="151"/>
      <c r="E256" s="151"/>
      <c r="F256" s="151"/>
    </row>
    <row r="257" spans="2:6" x14ac:dyDescent="0.2">
      <c r="B257" s="214"/>
      <c r="C257" s="151"/>
      <c r="D257" s="151"/>
      <c r="E257" s="151"/>
      <c r="F257" s="151"/>
    </row>
    <row r="258" spans="2:6" x14ac:dyDescent="0.2">
      <c r="B258" s="214"/>
    </row>
    <row r="259" spans="2:6" x14ac:dyDescent="0.2">
      <c r="B259" s="214"/>
    </row>
    <row r="260" spans="2:6" x14ac:dyDescent="0.2">
      <c r="B260" s="214"/>
    </row>
    <row r="261" spans="2:6" x14ac:dyDescent="0.2">
      <c r="B261" s="214"/>
    </row>
    <row r="262" spans="2:6" x14ac:dyDescent="0.2">
      <c r="B262" s="214"/>
    </row>
    <row r="263" spans="2:6" x14ac:dyDescent="0.2">
      <c r="B263" s="214"/>
    </row>
    <row r="264" spans="2:6" x14ac:dyDescent="0.2">
      <c r="B264" s="214"/>
    </row>
    <row r="265" spans="2:6" x14ac:dyDescent="0.2">
      <c r="B265" s="214"/>
    </row>
    <row r="266" spans="2:6" x14ac:dyDescent="0.2">
      <c r="B266" s="214"/>
    </row>
    <row r="267" spans="2:6" x14ac:dyDescent="0.2">
      <c r="B267" s="214"/>
    </row>
    <row r="268" spans="2:6" x14ac:dyDescent="0.2">
      <c r="B268" s="214"/>
    </row>
    <row r="269" spans="2:6" x14ac:dyDescent="0.2">
      <c r="B269" s="214"/>
    </row>
    <row r="270" spans="2:6" x14ac:dyDescent="0.2">
      <c r="B270" s="214"/>
    </row>
  </sheetData>
  <mergeCells count="8">
    <mergeCell ref="N22:N23"/>
    <mergeCell ref="O22:O23"/>
    <mergeCell ref="C22:C23"/>
    <mergeCell ref="D22:D23"/>
    <mergeCell ref="E22:E23"/>
    <mergeCell ref="F22:F23"/>
    <mergeCell ref="L22:L23"/>
    <mergeCell ref="M22:M23"/>
  </mergeCells>
  <phoneticPr fontId="12" type="noConversion"/>
  <pageMargins left="0.41" right="0.35" top="1" bottom="1" header="0.5" footer="0.5"/>
  <pageSetup scale="85" orientation="landscape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3"/>
  <dimension ref="B1:R75"/>
  <sheetViews>
    <sheetView showGridLines="0" showRowColHeaders="0" workbookViewId="0"/>
  </sheetViews>
  <sheetFormatPr defaultRowHeight="12.75" x14ac:dyDescent="0.2"/>
  <cols>
    <col min="1" max="1" width="2.85546875" style="81" customWidth="1"/>
    <col min="2" max="16384" width="9.140625" style="81"/>
  </cols>
  <sheetData>
    <row r="1" spans="2:18" ht="12.75" customHeight="1" x14ac:dyDescent="0.2"/>
    <row r="2" spans="2:18" ht="24.95" customHeight="1" x14ac:dyDescent="0.2">
      <c r="B2" s="44"/>
      <c r="C2" s="44"/>
      <c r="D2" s="44"/>
      <c r="E2" s="44"/>
      <c r="F2" s="44"/>
      <c r="G2" s="44"/>
      <c r="H2" s="44"/>
      <c r="I2" s="44"/>
      <c r="J2" s="44"/>
      <c r="K2" s="44"/>
      <c r="L2" s="44"/>
      <c r="M2" s="44"/>
      <c r="N2" s="44"/>
      <c r="O2" s="44"/>
      <c r="P2" s="44"/>
      <c r="Q2" s="44"/>
      <c r="R2" s="44"/>
    </row>
    <row r="3" spans="2:18" ht="24.95" customHeight="1" x14ac:dyDescent="0.2"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  <c r="R3" s="44"/>
    </row>
    <row r="4" spans="2:18" x14ac:dyDescent="0.2">
      <c r="B4" s="44"/>
      <c r="C4" s="44"/>
      <c r="D4" s="44"/>
      <c r="E4" s="90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  <c r="R4" s="44"/>
    </row>
    <row r="5" spans="2:18" ht="18" x14ac:dyDescent="0.25">
      <c r="B5" s="316" t="s">
        <v>30</v>
      </c>
      <c r="C5" s="44"/>
      <c r="D5" s="44"/>
      <c r="E5" s="90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</row>
    <row r="6" spans="2:18" x14ac:dyDescent="0.2">
      <c r="B6" s="317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  <c r="R6" s="44"/>
    </row>
    <row r="7" spans="2:18" x14ac:dyDescent="0.2">
      <c r="B7" s="317"/>
      <c r="C7" s="44"/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  <c r="R7" s="44"/>
    </row>
    <row r="8" spans="2:18" x14ac:dyDescent="0.2">
      <c r="B8" s="317"/>
      <c r="C8" s="44"/>
      <c r="D8" s="44"/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  <c r="R8" s="44"/>
    </row>
    <row r="9" spans="2:18" x14ac:dyDescent="0.2">
      <c r="B9" s="317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  <c r="R9" s="44"/>
    </row>
    <row r="10" spans="2:18" x14ac:dyDescent="0.2">
      <c r="B10" s="317" t="s">
        <v>17</v>
      </c>
      <c r="C10" s="38"/>
      <c r="D10" s="39"/>
      <c r="E10" s="39"/>
      <c r="F10" s="39"/>
      <c r="G10" s="39"/>
      <c r="H10" s="39"/>
      <c r="I10" s="39"/>
      <c r="J10" s="39"/>
      <c r="K10" s="39"/>
      <c r="L10" s="40"/>
      <c r="M10" s="91"/>
      <c r="N10" s="91"/>
      <c r="O10" s="38"/>
      <c r="P10" s="41"/>
      <c r="Q10" s="44"/>
      <c r="R10" s="44"/>
    </row>
    <row r="11" spans="2:18" x14ac:dyDescent="0.2">
      <c r="B11" s="317"/>
      <c r="C11" s="38"/>
      <c r="D11" s="39"/>
      <c r="E11" s="39"/>
      <c r="F11" s="39"/>
      <c r="G11" s="39"/>
      <c r="H11" s="39"/>
      <c r="I11" s="39"/>
      <c r="J11" s="39"/>
      <c r="K11" s="39"/>
      <c r="L11" s="40"/>
      <c r="M11" s="91"/>
      <c r="N11" s="91"/>
      <c r="O11" s="38"/>
      <c r="P11" s="41"/>
      <c r="Q11" s="44"/>
      <c r="R11" s="44"/>
    </row>
    <row r="12" spans="2:18" x14ac:dyDescent="0.2">
      <c r="B12" s="317" t="s">
        <v>31</v>
      </c>
      <c r="C12" s="38"/>
      <c r="D12" s="39"/>
      <c r="E12" s="39"/>
      <c r="F12" s="39"/>
      <c r="G12" s="39"/>
      <c r="H12" s="39"/>
      <c r="I12" s="39"/>
      <c r="J12" s="39"/>
      <c r="K12" s="39"/>
      <c r="L12" s="40"/>
      <c r="M12" s="91"/>
      <c r="N12" s="91"/>
      <c r="O12" s="38"/>
      <c r="P12" s="41"/>
      <c r="Q12" s="44"/>
      <c r="R12" s="44"/>
    </row>
    <row r="13" spans="2:18" x14ac:dyDescent="0.2">
      <c r="B13" s="317"/>
      <c r="C13" s="38"/>
      <c r="D13" s="39"/>
      <c r="E13" s="39"/>
      <c r="F13" s="39"/>
      <c r="G13" s="39"/>
      <c r="H13" s="39"/>
      <c r="I13" s="39"/>
      <c r="J13" s="39"/>
      <c r="K13" s="39"/>
      <c r="L13" s="40"/>
      <c r="M13" s="91"/>
      <c r="N13" s="91"/>
      <c r="O13" s="38"/>
      <c r="P13" s="41"/>
      <c r="Q13" s="44"/>
      <c r="R13" s="44"/>
    </row>
    <row r="14" spans="2:18" x14ac:dyDescent="0.2">
      <c r="B14" s="317" t="s">
        <v>8</v>
      </c>
      <c r="C14" s="39"/>
      <c r="D14" s="39"/>
      <c r="E14" s="39"/>
      <c r="F14" s="39"/>
      <c r="G14" s="39"/>
      <c r="H14" s="39"/>
      <c r="I14" s="39"/>
      <c r="J14" s="39"/>
      <c r="K14" s="39"/>
      <c r="L14" s="40"/>
      <c r="M14" s="41"/>
      <c r="N14" s="41"/>
      <c r="O14" s="38"/>
      <c r="P14" s="41"/>
      <c r="Q14" s="44"/>
      <c r="R14" s="44"/>
    </row>
    <row r="15" spans="2:18" x14ac:dyDescent="0.2">
      <c r="B15" s="317"/>
      <c r="C15" s="39"/>
      <c r="D15" s="39"/>
      <c r="E15" s="39"/>
      <c r="F15" s="39"/>
      <c r="G15" s="39"/>
      <c r="H15" s="39"/>
      <c r="I15" s="39"/>
      <c r="J15" s="39"/>
      <c r="K15" s="39"/>
      <c r="L15" s="40"/>
      <c r="M15" s="41"/>
      <c r="N15" s="41"/>
      <c r="O15" s="38"/>
      <c r="P15" s="41"/>
      <c r="Q15" s="44"/>
      <c r="R15" s="44"/>
    </row>
    <row r="16" spans="2:18" x14ac:dyDescent="0.2">
      <c r="B16" s="317" t="s">
        <v>32</v>
      </c>
      <c r="C16" s="39"/>
      <c r="D16" s="39"/>
      <c r="E16" s="39"/>
      <c r="F16" s="39"/>
      <c r="G16" s="39"/>
      <c r="H16" s="39"/>
      <c r="I16" s="39"/>
      <c r="J16" s="39"/>
      <c r="K16" s="39"/>
      <c r="L16" s="40"/>
      <c r="M16" s="41"/>
      <c r="N16" s="41"/>
      <c r="O16" s="38"/>
      <c r="P16" s="41"/>
      <c r="Q16" s="44"/>
      <c r="R16" s="44"/>
    </row>
    <row r="17" spans="2:18" x14ac:dyDescent="0.2">
      <c r="B17" s="317"/>
      <c r="C17" s="39"/>
      <c r="D17" s="39"/>
      <c r="E17" s="39"/>
      <c r="F17" s="39"/>
      <c r="G17" s="39"/>
      <c r="H17" s="39"/>
      <c r="I17" s="39"/>
      <c r="J17" s="39"/>
      <c r="K17" s="39"/>
      <c r="L17" s="40"/>
      <c r="M17" s="41"/>
      <c r="N17" s="41"/>
      <c r="O17" s="38"/>
      <c r="P17" s="41"/>
      <c r="Q17" s="44"/>
      <c r="R17" s="44"/>
    </row>
    <row r="18" spans="2:18" x14ac:dyDescent="0.2">
      <c r="B18" s="317" t="s">
        <v>9</v>
      </c>
      <c r="C18" s="38"/>
      <c r="D18" s="39"/>
      <c r="E18" s="39"/>
      <c r="F18" s="39"/>
      <c r="G18" s="39"/>
      <c r="H18" s="39"/>
      <c r="I18" s="39"/>
      <c r="J18" s="39"/>
      <c r="K18" s="39"/>
      <c r="L18" s="40"/>
      <c r="M18" s="41"/>
      <c r="N18" s="41"/>
      <c r="O18" s="38"/>
      <c r="P18" s="41"/>
      <c r="Q18" s="44"/>
      <c r="R18" s="44"/>
    </row>
    <row r="19" spans="2:18" x14ac:dyDescent="0.2">
      <c r="B19" s="317" t="s">
        <v>33</v>
      </c>
      <c r="C19" s="38"/>
      <c r="D19" s="39"/>
      <c r="E19" s="39"/>
      <c r="F19" s="39"/>
      <c r="G19" s="39"/>
      <c r="H19" s="39"/>
      <c r="I19" s="39"/>
      <c r="J19" s="39"/>
      <c r="K19" s="39"/>
      <c r="L19" s="40"/>
      <c r="M19" s="41"/>
      <c r="N19" s="41"/>
      <c r="O19" s="38"/>
      <c r="P19" s="41"/>
      <c r="Q19" s="44"/>
      <c r="R19" s="44"/>
    </row>
    <row r="20" spans="2:18" x14ac:dyDescent="0.2">
      <c r="B20" s="317"/>
      <c r="C20" s="38"/>
      <c r="D20" s="39"/>
      <c r="E20" s="39"/>
      <c r="F20" s="39"/>
      <c r="G20" s="39"/>
      <c r="H20" s="39"/>
      <c r="I20" s="39"/>
      <c r="J20" s="39"/>
      <c r="K20" s="39"/>
      <c r="L20" s="40"/>
      <c r="M20" s="41"/>
      <c r="N20" s="41"/>
      <c r="O20" s="38"/>
      <c r="P20" s="41"/>
      <c r="Q20" s="44"/>
      <c r="R20" s="44"/>
    </row>
    <row r="21" spans="2:18" x14ac:dyDescent="0.2">
      <c r="B21" s="317" t="s">
        <v>34</v>
      </c>
      <c r="C21" s="38"/>
      <c r="D21" s="39"/>
      <c r="E21" s="39"/>
      <c r="F21" s="39"/>
      <c r="G21" s="39"/>
      <c r="H21" s="39"/>
      <c r="I21" s="39"/>
      <c r="J21" s="39"/>
      <c r="K21" s="39"/>
      <c r="L21" s="40"/>
      <c r="M21" s="41"/>
      <c r="N21" s="41"/>
      <c r="O21" s="38"/>
      <c r="P21" s="41"/>
      <c r="Q21" s="44"/>
      <c r="R21" s="44"/>
    </row>
    <row r="22" spans="2:18" x14ac:dyDescent="0.2">
      <c r="B22" s="318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  <c r="R22" s="44"/>
    </row>
    <row r="23" spans="2:18" x14ac:dyDescent="0.2">
      <c r="B23" s="87"/>
    </row>
    <row r="26" spans="2:18" x14ac:dyDescent="0.2">
      <c r="B26" s="87"/>
    </row>
    <row r="27" spans="2:18" x14ac:dyDescent="0.2">
      <c r="B27" s="88"/>
    </row>
    <row r="29" spans="2:18" x14ac:dyDescent="0.2">
      <c r="B29" s="87"/>
    </row>
    <row r="33" spans="2:3" x14ac:dyDescent="0.2">
      <c r="B33" s="87"/>
    </row>
    <row r="46" spans="2:3" x14ac:dyDescent="0.2">
      <c r="B46" s="87"/>
      <c r="C46" s="87"/>
    </row>
    <row r="50" spans="2:15" x14ac:dyDescent="0.2">
      <c r="B50" s="87"/>
      <c r="C50" s="87"/>
      <c r="D50" s="87"/>
    </row>
    <row r="54" spans="2:15" x14ac:dyDescent="0.2">
      <c r="B54" s="87"/>
    </row>
    <row r="57" spans="2:15" x14ac:dyDescent="0.2">
      <c r="B57" s="87"/>
      <c r="C57" s="87"/>
      <c r="D57" s="87"/>
      <c r="E57" s="87"/>
      <c r="F57" s="87"/>
    </row>
    <row r="59" spans="2:15" x14ac:dyDescent="0.2">
      <c r="B59" s="82"/>
      <c r="C59" s="83"/>
      <c r="D59" s="83"/>
      <c r="E59" s="83"/>
      <c r="F59" s="83"/>
      <c r="G59" s="83"/>
      <c r="H59" s="83"/>
      <c r="I59" s="83"/>
      <c r="J59" s="83"/>
      <c r="K59" s="84"/>
      <c r="L59" s="85"/>
      <c r="M59" s="85"/>
      <c r="N59" s="82"/>
      <c r="O59" s="86"/>
    </row>
    <row r="60" spans="2:15" x14ac:dyDescent="0.2">
      <c r="B60" s="82"/>
      <c r="C60" s="83"/>
      <c r="D60" s="83"/>
      <c r="E60" s="83"/>
      <c r="F60" s="83"/>
      <c r="G60" s="83"/>
      <c r="H60" s="83"/>
      <c r="I60" s="83"/>
      <c r="J60" s="83"/>
      <c r="K60" s="84"/>
      <c r="L60" s="85"/>
      <c r="M60" s="85"/>
      <c r="N60" s="82"/>
      <c r="O60" s="86"/>
    </row>
    <row r="61" spans="2:15" x14ac:dyDescent="0.2">
      <c r="B61" s="82"/>
      <c r="C61" s="83"/>
      <c r="D61" s="83"/>
      <c r="E61" s="83"/>
      <c r="F61" s="83"/>
      <c r="G61" s="83"/>
      <c r="H61" s="83"/>
      <c r="I61" s="83"/>
      <c r="J61" s="83"/>
      <c r="K61" s="84"/>
      <c r="L61" s="85"/>
      <c r="M61" s="85"/>
      <c r="N61" s="82"/>
      <c r="O61" s="86"/>
    </row>
    <row r="62" spans="2:15" x14ac:dyDescent="0.2">
      <c r="B62" s="82"/>
      <c r="C62" s="83"/>
      <c r="D62" s="83"/>
      <c r="E62" s="83"/>
      <c r="F62" s="83"/>
      <c r="G62" s="83"/>
      <c r="H62" s="83"/>
      <c r="I62" s="83"/>
      <c r="J62" s="83"/>
      <c r="K62" s="84"/>
      <c r="L62" s="85"/>
      <c r="M62" s="85"/>
      <c r="N62" s="82"/>
      <c r="O62" s="86"/>
    </row>
    <row r="63" spans="2:15" x14ac:dyDescent="0.2">
      <c r="B63" s="82"/>
      <c r="C63" s="83"/>
      <c r="D63" s="83"/>
      <c r="E63" s="83"/>
      <c r="F63" s="83"/>
      <c r="G63" s="83"/>
      <c r="H63" s="83"/>
      <c r="I63" s="83"/>
      <c r="J63" s="83"/>
      <c r="K63" s="84"/>
      <c r="L63" s="85"/>
      <c r="M63" s="85"/>
      <c r="N63" s="82"/>
      <c r="O63" s="86"/>
    </row>
    <row r="64" spans="2:15" x14ac:dyDescent="0.2">
      <c r="B64" s="82"/>
      <c r="C64" s="83"/>
      <c r="D64" s="83"/>
      <c r="E64" s="83"/>
      <c r="F64" s="83"/>
      <c r="G64" s="83"/>
      <c r="H64" s="83"/>
      <c r="I64" s="83"/>
      <c r="J64" s="83"/>
      <c r="K64" s="84"/>
      <c r="L64" s="85"/>
      <c r="M64" s="85"/>
      <c r="N64" s="82"/>
      <c r="O64" s="86"/>
    </row>
    <row r="65" spans="2:15" x14ac:dyDescent="0.2">
      <c r="B65" s="83"/>
      <c r="C65" s="83"/>
      <c r="D65" s="83"/>
      <c r="E65" s="83"/>
      <c r="F65" s="83"/>
      <c r="G65" s="83"/>
      <c r="H65" s="83"/>
      <c r="I65" s="83"/>
      <c r="J65" s="83"/>
      <c r="K65" s="84"/>
      <c r="L65" s="86"/>
      <c r="M65" s="86"/>
      <c r="N65" s="82"/>
      <c r="O65" s="86"/>
    </row>
    <row r="66" spans="2:15" x14ac:dyDescent="0.2">
      <c r="B66" s="83"/>
      <c r="C66" s="83"/>
      <c r="D66" s="83"/>
      <c r="E66" s="83"/>
      <c r="F66" s="83"/>
      <c r="G66" s="83"/>
      <c r="H66" s="83"/>
      <c r="I66" s="83"/>
      <c r="J66" s="83"/>
      <c r="K66" s="84"/>
      <c r="L66" s="86"/>
      <c r="M66" s="86"/>
      <c r="N66" s="82"/>
      <c r="O66" s="86"/>
    </row>
    <row r="67" spans="2:15" x14ac:dyDescent="0.2">
      <c r="B67" s="83"/>
      <c r="C67" s="83"/>
      <c r="D67" s="83"/>
      <c r="E67" s="83"/>
      <c r="F67" s="83"/>
      <c r="G67" s="83"/>
      <c r="H67" s="83"/>
      <c r="I67" s="83"/>
      <c r="J67" s="83"/>
      <c r="K67" s="84"/>
      <c r="L67" s="86"/>
      <c r="M67" s="86"/>
      <c r="N67" s="82"/>
      <c r="O67" s="86"/>
    </row>
    <row r="68" spans="2:15" x14ac:dyDescent="0.2">
      <c r="B68" s="83"/>
      <c r="C68" s="83"/>
      <c r="D68" s="83"/>
      <c r="E68" s="83"/>
      <c r="F68" s="83"/>
      <c r="G68" s="83"/>
      <c r="H68" s="83"/>
      <c r="I68" s="83"/>
      <c r="J68" s="83"/>
      <c r="K68" s="84"/>
      <c r="L68" s="86"/>
      <c r="M68" s="86"/>
      <c r="N68" s="82"/>
      <c r="O68" s="86"/>
    </row>
    <row r="69" spans="2:15" x14ac:dyDescent="0.2">
      <c r="B69" s="83"/>
      <c r="C69" s="83"/>
      <c r="D69" s="83"/>
      <c r="E69" s="83"/>
      <c r="F69" s="83"/>
      <c r="G69" s="83"/>
      <c r="H69" s="83"/>
      <c r="I69" s="83"/>
      <c r="J69" s="83"/>
      <c r="K69" s="84"/>
      <c r="L69" s="86"/>
      <c r="M69" s="86"/>
      <c r="N69" s="82"/>
      <c r="O69" s="86"/>
    </row>
    <row r="70" spans="2:15" x14ac:dyDescent="0.2">
      <c r="B70" s="83"/>
      <c r="C70" s="83"/>
      <c r="D70" s="83"/>
      <c r="E70" s="83"/>
      <c r="F70" s="83"/>
      <c r="G70" s="83"/>
      <c r="H70" s="83"/>
      <c r="I70" s="83"/>
      <c r="J70" s="83"/>
      <c r="K70" s="84"/>
      <c r="L70" s="86"/>
      <c r="M70" s="86"/>
      <c r="N70" s="82"/>
      <c r="O70" s="86"/>
    </row>
    <row r="71" spans="2:15" x14ac:dyDescent="0.2">
      <c r="B71" s="82"/>
      <c r="C71" s="83"/>
      <c r="D71" s="83"/>
      <c r="E71" s="83"/>
      <c r="F71" s="83"/>
      <c r="G71" s="83"/>
      <c r="H71" s="83"/>
      <c r="I71" s="83"/>
      <c r="J71" s="83"/>
      <c r="K71" s="84"/>
      <c r="L71" s="86"/>
      <c r="M71" s="86"/>
      <c r="N71" s="82"/>
      <c r="O71" s="86"/>
    </row>
    <row r="72" spans="2:15" x14ac:dyDescent="0.2">
      <c r="B72" s="82"/>
      <c r="C72" s="83"/>
      <c r="D72" s="83"/>
      <c r="E72" s="83"/>
      <c r="F72" s="83"/>
      <c r="G72" s="83"/>
      <c r="H72" s="83"/>
      <c r="I72" s="83"/>
      <c r="J72" s="83"/>
      <c r="K72" s="84"/>
      <c r="L72" s="86"/>
      <c r="M72" s="86"/>
      <c r="N72" s="82"/>
      <c r="O72" s="86"/>
    </row>
    <row r="73" spans="2:15" x14ac:dyDescent="0.2">
      <c r="B73" s="82"/>
      <c r="C73" s="83"/>
      <c r="D73" s="83"/>
      <c r="E73" s="83"/>
      <c r="F73" s="83"/>
      <c r="G73" s="83"/>
      <c r="H73" s="83"/>
      <c r="I73" s="83"/>
      <c r="J73" s="83"/>
      <c r="K73" s="84"/>
      <c r="L73" s="86"/>
      <c r="M73" s="86"/>
      <c r="N73" s="82"/>
      <c r="O73" s="86"/>
    </row>
    <row r="74" spans="2:15" x14ac:dyDescent="0.2">
      <c r="B74" s="82"/>
      <c r="C74" s="83"/>
      <c r="D74" s="83"/>
      <c r="E74" s="83"/>
      <c r="F74" s="83"/>
      <c r="G74" s="83"/>
      <c r="H74" s="83"/>
      <c r="I74" s="83"/>
      <c r="J74" s="83"/>
      <c r="K74" s="84"/>
      <c r="L74" s="86"/>
      <c r="M74" s="86"/>
      <c r="N74" s="82"/>
      <c r="O74" s="86"/>
    </row>
    <row r="75" spans="2:15" x14ac:dyDescent="0.2">
      <c r="B75" s="82"/>
      <c r="C75" s="83"/>
      <c r="D75" s="83"/>
      <c r="E75" s="83"/>
      <c r="F75" s="83"/>
      <c r="G75" s="83"/>
      <c r="H75" s="83"/>
      <c r="I75" s="83"/>
      <c r="J75" s="83"/>
      <c r="K75" s="84"/>
      <c r="L75" s="86"/>
      <c r="M75" s="86"/>
      <c r="N75" s="82"/>
      <c r="O75" s="86"/>
    </row>
  </sheetData>
  <phoneticPr fontId="12" type="noConversion"/>
  <pageMargins left="0.75" right="0.75" top="1" bottom="1" header="0.5" footer="0.5"/>
  <pageSetup paperSize="9" scale="85" orientation="landscape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1"/>
  <dimension ref="B1:O47"/>
  <sheetViews>
    <sheetView showGridLines="0" showRowColHeaders="0" tabSelected="1" zoomScale="96" zoomScaleNormal="96" workbookViewId="0"/>
  </sheetViews>
  <sheetFormatPr defaultRowHeight="12.75" x14ac:dyDescent="0.2"/>
  <cols>
    <col min="1" max="1" width="2.85546875" style="73" customWidth="1"/>
    <col min="2" max="16384" width="9.140625" style="73"/>
  </cols>
  <sheetData>
    <row r="1" spans="2:15" ht="12.75" customHeight="1" thickBot="1" x14ac:dyDescent="0.25"/>
    <row r="2" spans="2:15" ht="30" customHeight="1" x14ac:dyDescent="0.2">
      <c r="B2" s="279"/>
      <c r="C2" s="280"/>
      <c r="D2" s="280"/>
      <c r="E2" s="280"/>
      <c r="F2" s="280"/>
      <c r="G2" s="280"/>
      <c r="H2" s="280"/>
      <c r="I2" s="280"/>
      <c r="J2" s="280"/>
      <c r="K2" s="280"/>
      <c r="L2" s="280"/>
      <c r="M2" s="280"/>
      <c r="N2" s="280"/>
      <c r="O2" s="281"/>
    </row>
    <row r="3" spans="2:15" ht="30" customHeight="1" x14ac:dyDescent="0.2">
      <c r="B3" s="282"/>
      <c r="C3" s="74"/>
      <c r="D3" s="74"/>
      <c r="E3" s="74"/>
      <c r="F3" s="74"/>
      <c r="G3" s="74"/>
      <c r="H3" s="74"/>
      <c r="I3" s="74"/>
      <c r="J3" s="74"/>
      <c r="K3" s="74"/>
      <c r="L3" s="74"/>
      <c r="M3" s="74"/>
      <c r="N3" s="74"/>
      <c r="O3" s="283"/>
    </row>
    <row r="4" spans="2:15" x14ac:dyDescent="0.2">
      <c r="B4" s="284"/>
      <c r="C4" s="74"/>
      <c r="D4" s="74"/>
      <c r="E4" s="74"/>
      <c r="F4" s="74"/>
      <c r="G4" s="74"/>
      <c r="H4" s="74"/>
      <c r="I4" s="74"/>
      <c r="J4" s="74"/>
      <c r="K4" s="74"/>
      <c r="L4" s="74"/>
      <c r="M4" s="74"/>
      <c r="N4" s="74"/>
      <c r="O4" s="283"/>
    </row>
    <row r="5" spans="2:15" x14ac:dyDescent="0.2">
      <c r="B5" s="313" t="s">
        <v>63</v>
      </c>
      <c r="C5" s="74"/>
      <c r="D5" s="74"/>
      <c r="E5" s="74"/>
      <c r="F5" s="74"/>
      <c r="G5" s="74"/>
      <c r="H5" s="74"/>
      <c r="I5" s="74"/>
      <c r="J5" s="74"/>
      <c r="K5" s="74"/>
      <c r="L5" s="74"/>
      <c r="M5" s="74"/>
      <c r="N5" s="74"/>
      <c r="O5" s="283"/>
    </row>
    <row r="6" spans="2:15" x14ac:dyDescent="0.2">
      <c r="B6" s="313" t="s">
        <v>65</v>
      </c>
      <c r="C6" s="74"/>
      <c r="D6" s="74"/>
      <c r="E6" s="74"/>
      <c r="F6" s="74"/>
      <c r="G6" s="74"/>
      <c r="H6" s="74"/>
      <c r="I6" s="74"/>
      <c r="J6" s="74"/>
      <c r="K6" s="74"/>
      <c r="L6" s="74"/>
      <c r="M6" s="74"/>
      <c r="N6" s="74"/>
      <c r="O6" s="283"/>
    </row>
    <row r="7" spans="2:15" x14ac:dyDescent="0.2">
      <c r="B7" s="313" t="s">
        <v>66</v>
      </c>
      <c r="C7" s="74"/>
      <c r="D7" s="74"/>
      <c r="E7" s="74"/>
      <c r="F7" s="74"/>
      <c r="G7" s="74"/>
      <c r="H7" s="74"/>
      <c r="I7" s="74"/>
      <c r="J7" s="74"/>
      <c r="K7" s="74"/>
      <c r="L7" s="74"/>
      <c r="M7" s="74"/>
      <c r="N7" s="74"/>
      <c r="O7" s="283"/>
    </row>
    <row r="8" spans="2:15" x14ac:dyDescent="0.2">
      <c r="B8" s="313" t="s">
        <v>62</v>
      </c>
      <c r="C8" s="74"/>
      <c r="D8" s="74"/>
      <c r="E8" s="74"/>
      <c r="F8" s="74"/>
      <c r="G8" s="74"/>
      <c r="H8" s="74"/>
      <c r="I8" s="74"/>
      <c r="J8" s="74"/>
      <c r="K8" s="74"/>
      <c r="L8" s="74"/>
      <c r="M8" s="74"/>
      <c r="N8" s="74"/>
      <c r="O8" s="283"/>
    </row>
    <row r="9" spans="2:15" x14ac:dyDescent="0.2">
      <c r="B9" s="313"/>
      <c r="C9" s="74"/>
      <c r="D9" s="74"/>
      <c r="E9" s="74"/>
      <c r="F9" s="74"/>
      <c r="G9" s="74"/>
      <c r="H9" s="74"/>
      <c r="I9" s="74"/>
      <c r="J9" s="74"/>
      <c r="K9" s="74"/>
      <c r="L9" s="74"/>
      <c r="M9" s="74"/>
      <c r="N9" s="74"/>
      <c r="O9" s="283"/>
    </row>
    <row r="10" spans="2:15" x14ac:dyDescent="0.2">
      <c r="B10" s="314" t="s">
        <v>64</v>
      </c>
      <c r="C10" s="74"/>
      <c r="D10" s="74"/>
      <c r="E10" s="74"/>
      <c r="F10" s="74"/>
      <c r="G10" s="74"/>
      <c r="H10" s="74"/>
      <c r="I10" s="74"/>
      <c r="J10" s="74"/>
      <c r="K10" s="74"/>
      <c r="L10" s="74"/>
      <c r="M10" s="74"/>
      <c r="N10" s="74"/>
      <c r="O10" s="283"/>
    </row>
    <row r="11" spans="2:15" x14ac:dyDescent="0.2">
      <c r="B11" s="314" t="s">
        <v>97</v>
      </c>
      <c r="C11" s="74"/>
      <c r="D11" s="74"/>
      <c r="E11" s="74"/>
      <c r="F11" s="74"/>
      <c r="G11" s="74"/>
      <c r="H11" s="74"/>
      <c r="I11" s="74"/>
      <c r="J11" s="74"/>
      <c r="K11" s="74"/>
      <c r="L11" s="74"/>
      <c r="M11" s="74"/>
      <c r="N11" s="74"/>
      <c r="O11" s="283"/>
    </row>
    <row r="12" spans="2:15" x14ac:dyDescent="0.2">
      <c r="B12" s="313"/>
      <c r="C12" s="74"/>
      <c r="D12" s="74"/>
      <c r="E12" s="74"/>
      <c r="F12" s="74"/>
      <c r="G12" s="74"/>
      <c r="H12" s="74"/>
      <c r="I12" s="74"/>
      <c r="J12" s="74"/>
      <c r="K12" s="74"/>
      <c r="L12" s="74"/>
      <c r="M12" s="74"/>
      <c r="N12" s="74"/>
      <c r="O12" s="283"/>
    </row>
    <row r="13" spans="2:15" x14ac:dyDescent="0.2">
      <c r="B13" s="313"/>
      <c r="C13" s="74"/>
      <c r="D13" s="74"/>
      <c r="E13" s="74"/>
      <c r="F13" s="74"/>
      <c r="G13" s="74"/>
      <c r="H13" s="74"/>
      <c r="I13" s="74"/>
      <c r="J13" s="74"/>
      <c r="K13" s="74"/>
      <c r="L13" s="74"/>
      <c r="M13" s="74"/>
      <c r="N13" s="74"/>
      <c r="O13" s="283"/>
    </row>
    <row r="14" spans="2:15" x14ac:dyDescent="0.2">
      <c r="B14" s="313"/>
      <c r="C14" s="74"/>
      <c r="D14" s="74"/>
      <c r="E14" s="74"/>
      <c r="F14" s="74"/>
      <c r="G14" s="74"/>
      <c r="H14" s="74"/>
      <c r="I14" s="74"/>
      <c r="J14" s="74"/>
      <c r="K14" s="74"/>
      <c r="L14" s="74"/>
      <c r="M14" s="74"/>
      <c r="N14" s="74"/>
      <c r="O14" s="283"/>
    </row>
    <row r="15" spans="2:15" x14ac:dyDescent="0.2">
      <c r="B15" s="313"/>
      <c r="C15" s="74"/>
      <c r="D15" s="74"/>
      <c r="E15" s="74"/>
      <c r="F15" s="74"/>
      <c r="G15" s="74"/>
      <c r="H15" s="74"/>
      <c r="I15" s="74"/>
      <c r="J15" s="74"/>
      <c r="K15" s="74"/>
      <c r="L15" s="74"/>
      <c r="M15" s="74"/>
      <c r="N15" s="74"/>
      <c r="O15" s="283"/>
    </row>
    <row r="16" spans="2:15" x14ac:dyDescent="0.2">
      <c r="B16" s="313"/>
      <c r="C16" s="74"/>
      <c r="D16" s="74"/>
      <c r="E16" s="74"/>
      <c r="F16" s="74"/>
      <c r="G16" s="74"/>
      <c r="H16" s="74"/>
      <c r="I16" s="74"/>
      <c r="J16" s="74"/>
      <c r="K16" s="74"/>
      <c r="L16" s="74"/>
      <c r="M16" s="74"/>
      <c r="N16" s="74"/>
      <c r="O16" s="283"/>
    </row>
    <row r="17" spans="2:15" x14ac:dyDescent="0.2">
      <c r="B17" s="313"/>
      <c r="C17" s="74"/>
      <c r="D17" s="74"/>
      <c r="E17" s="74"/>
      <c r="F17" s="74"/>
      <c r="G17" s="74"/>
      <c r="H17" s="74"/>
      <c r="I17" s="74"/>
      <c r="J17" s="74"/>
      <c r="K17" s="74"/>
      <c r="L17" s="74"/>
      <c r="M17" s="74"/>
      <c r="N17" s="74"/>
      <c r="O17" s="283"/>
    </row>
    <row r="18" spans="2:15" x14ac:dyDescent="0.2">
      <c r="B18" s="313"/>
      <c r="C18" s="74"/>
      <c r="D18" s="74"/>
      <c r="E18" s="74"/>
      <c r="F18" s="74"/>
      <c r="G18" s="74"/>
      <c r="H18" s="74"/>
      <c r="I18" s="74"/>
      <c r="J18" s="74"/>
      <c r="K18" s="74"/>
      <c r="L18" s="74"/>
      <c r="M18" s="74"/>
      <c r="N18" s="74"/>
      <c r="O18" s="283"/>
    </row>
    <row r="19" spans="2:15" x14ac:dyDescent="0.2">
      <c r="B19" s="313"/>
      <c r="C19" s="74"/>
      <c r="D19" s="74"/>
      <c r="E19" s="74"/>
      <c r="F19" s="74"/>
      <c r="G19" s="74"/>
      <c r="H19" s="74"/>
      <c r="I19" s="74"/>
      <c r="J19" s="74"/>
      <c r="K19" s="74"/>
      <c r="L19" s="74"/>
      <c r="M19" s="74"/>
      <c r="N19" s="74"/>
      <c r="O19" s="283"/>
    </row>
    <row r="20" spans="2:15" x14ac:dyDescent="0.2">
      <c r="B20" s="315"/>
      <c r="C20" s="74"/>
      <c r="D20" s="74"/>
      <c r="E20" s="74"/>
      <c r="F20" s="74"/>
      <c r="G20" s="74"/>
      <c r="H20" s="74"/>
      <c r="I20" s="74"/>
      <c r="J20" s="74"/>
      <c r="K20" s="74"/>
      <c r="L20" s="74"/>
      <c r="M20" s="74"/>
      <c r="N20" s="74"/>
      <c r="O20" s="283"/>
    </row>
    <row r="21" spans="2:15" x14ac:dyDescent="0.2">
      <c r="B21" s="313"/>
      <c r="C21" s="74"/>
      <c r="D21" s="74"/>
      <c r="E21" s="74"/>
      <c r="F21" s="74"/>
      <c r="G21" s="74"/>
      <c r="H21" s="74"/>
      <c r="I21" s="74"/>
      <c r="J21" s="74"/>
      <c r="K21" s="74"/>
      <c r="L21" s="74"/>
      <c r="M21" s="74"/>
      <c r="N21" s="74"/>
      <c r="O21" s="283"/>
    </row>
    <row r="22" spans="2:15" x14ac:dyDescent="0.2">
      <c r="B22" s="313"/>
      <c r="C22" s="74"/>
      <c r="D22" s="74"/>
      <c r="E22" s="74"/>
      <c r="F22" s="74"/>
      <c r="G22" s="74"/>
      <c r="H22" s="74"/>
      <c r="I22" s="74"/>
      <c r="J22" s="74"/>
      <c r="K22" s="74"/>
      <c r="L22" s="74"/>
      <c r="M22" s="74"/>
      <c r="N22" s="74"/>
      <c r="O22" s="283"/>
    </row>
    <row r="23" spans="2:15" x14ac:dyDescent="0.2">
      <c r="B23" s="313"/>
      <c r="C23" s="74"/>
      <c r="D23" s="74"/>
      <c r="E23" s="74"/>
      <c r="F23" s="74"/>
      <c r="G23" s="74"/>
      <c r="H23" s="74"/>
      <c r="I23" s="74"/>
      <c r="J23" s="74"/>
      <c r="K23" s="74"/>
      <c r="L23" s="74"/>
      <c r="M23" s="74"/>
      <c r="N23" s="74"/>
      <c r="O23" s="283"/>
    </row>
    <row r="24" spans="2:15" x14ac:dyDescent="0.2">
      <c r="B24" s="313"/>
      <c r="C24" s="74"/>
      <c r="D24" s="74"/>
      <c r="E24" s="74"/>
      <c r="F24" s="74"/>
      <c r="G24" s="74"/>
      <c r="H24" s="74"/>
      <c r="I24" s="74"/>
      <c r="J24" s="74"/>
      <c r="K24" s="74"/>
      <c r="L24" s="74"/>
      <c r="M24" s="74"/>
      <c r="N24" s="74"/>
      <c r="O24" s="283"/>
    </row>
    <row r="25" spans="2:15" x14ac:dyDescent="0.2">
      <c r="B25" s="313" t="s">
        <v>36</v>
      </c>
      <c r="C25" s="74"/>
      <c r="D25" s="74"/>
      <c r="E25" s="74"/>
      <c r="F25" s="74"/>
      <c r="G25" s="74"/>
      <c r="H25" s="74"/>
      <c r="I25" s="74"/>
      <c r="J25" s="74"/>
      <c r="K25" s="74"/>
      <c r="L25" s="74"/>
      <c r="M25" s="74"/>
      <c r="N25" s="74"/>
      <c r="O25" s="283"/>
    </row>
    <row r="26" spans="2:15" x14ac:dyDescent="0.2">
      <c r="B26" s="313" t="s">
        <v>54</v>
      </c>
      <c r="C26" s="74"/>
      <c r="D26" s="74"/>
      <c r="E26" s="74"/>
      <c r="F26" s="74"/>
      <c r="G26" s="74"/>
      <c r="H26" s="74"/>
      <c r="I26" s="74"/>
      <c r="J26" s="74"/>
      <c r="K26" s="74"/>
      <c r="L26" s="74"/>
      <c r="M26" s="74"/>
      <c r="N26" s="74"/>
      <c r="O26" s="283"/>
    </row>
    <row r="27" spans="2:15" x14ac:dyDescent="0.2">
      <c r="B27" s="313" t="s">
        <v>55</v>
      </c>
      <c r="C27" s="74"/>
      <c r="D27" s="74"/>
      <c r="E27" s="74"/>
      <c r="F27" s="74"/>
      <c r="G27" s="74"/>
      <c r="H27" s="74"/>
      <c r="I27" s="74"/>
      <c r="J27" s="74"/>
      <c r="K27" s="74"/>
      <c r="L27" s="74"/>
      <c r="M27" s="74"/>
      <c r="N27" s="74"/>
      <c r="O27" s="283"/>
    </row>
    <row r="28" spans="2:15" x14ac:dyDescent="0.2">
      <c r="B28" s="282"/>
      <c r="C28" s="74"/>
      <c r="D28" s="74"/>
      <c r="E28" s="74"/>
      <c r="F28" s="74"/>
      <c r="G28" s="74"/>
      <c r="H28" s="74"/>
      <c r="I28" s="74"/>
      <c r="J28" s="74"/>
      <c r="K28" s="74"/>
      <c r="L28" s="74"/>
      <c r="M28" s="74"/>
      <c r="N28" s="74"/>
      <c r="O28" s="283"/>
    </row>
    <row r="29" spans="2:15" x14ac:dyDescent="0.2">
      <c r="B29" s="282"/>
      <c r="C29" s="74"/>
      <c r="D29" s="74"/>
      <c r="E29" s="74"/>
      <c r="F29" s="74"/>
      <c r="G29" s="74"/>
      <c r="H29" s="74"/>
      <c r="I29" s="74"/>
      <c r="J29" s="74"/>
      <c r="K29" s="74"/>
      <c r="L29" s="74"/>
      <c r="M29" s="74"/>
      <c r="N29" s="74"/>
      <c r="O29" s="283"/>
    </row>
    <row r="30" spans="2:15" x14ac:dyDescent="0.2">
      <c r="B30" s="282"/>
      <c r="C30" s="74"/>
      <c r="D30" s="74"/>
      <c r="E30" s="74"/>
      <c r="F30" s="74"/>
      <c r="G30" s="74"/>
      <c r="H30" s="74"/>
      <c r="I30" s="74"/>
      <c r="J30" s="74"/>
      <c r="K30" s="74"/>
      <c r="L30" s="74"/>
      <c r="M30" s="74"/>
      <c r="N30" s="74"/>
      <c r="O30" s="283"/>
    </row>
    <row r="31" spans="2:15" x14ac:dyDescent="0.2">
      <c r="B31" s="282"/>
      <c r="C31" s="74"/>
      <c r="D31" s="74"/>
      <c r="E31" s="74"/>
      <c r="F31" s="74"/>
      <c r="G31" s="74"/>
      <c r="H31" s="74"/>
      <c r="I31" s="74"/>
      <c r="J31" s="74"/>
      <c r="K31" s="74"/>
      <c r="L31" s="74"/>
      <c r="M31" s="74"/>
      <c r="N31" s="74"/>
      <c r="O31" s="283"/>
    </row>
    <row r="32" spans="2:15" x14ac:dyDescent="0.2">
      <c r="B32" s="282"/>
      <c r="C32" s="74"/>
      <c r="D32" s="74"/>
      <c r="E32" s="74"/>
      <c r="F32" s="74"/>
      <c r="G32" s="74"/>
      <c r="H32" s="74"/>
      <c r="I32" s="74"/>
      <c r="J32" s="74"/>
      <c r="K32" s="74"/>
      <c r="L32" s="74"/>
      <c r="M32" s="74"/>
      <c r="N32" s="74"/>
      <c r="O32" s="283"/>
    </row>
    <row r="33" spans="2:15" x14ac:dyDescent="0.2">
      <c r="B33" s="282"/>
      <c r="C33" s="74"/>
      <c r="D33" s="74"/>
      <c r="E33" s="74"/>
      <c r="F33" s="74"/>
      <c r="G33" s="74"/>
      <c r="H33" s="74"/>
      <c r="I33" s="74"/>
      <c r="J33" s="74"/>
      <c r="K33" s="74"/>
      <c r="L33" s="74"/>
      <c r="M33" s="74"/>
      <c r="N33" s="74"/>
      <c r="O33" s="283"/>
    </row>
    <row r="34" spans="2:15" x14ac:dyDescent="0.2">
      <c r="B34" s="282"/>
      <c r="C34" s="74"/>
      <c r="D34" s="74"/>
      <c r="E34" s="74"/>
      <c r="F34" s="74"/>
      <c r="G34" s="74"/>
      <c r="H34" s="74"/>
      <c r="I34" s="74"/>
      <c r="J34" s="74"/>
      <c r="K34" s="74"/>
      <c r="L34" s="74"/>
      <c r="M34" s="74"/>
      <c r="N34" s="74"/>
      <c r="O34" s="283"/>
    </row>
    <row r="35" spans="2:15" x14ac:dyDescent="0.2">
      <c r="B35" s="282"/>
      <c r="C35" s="74"/>
      <c r="D35" s="74"/>
      <c r="E35" s="74"/>
      <c r="F35" s="74"/>
      <c r="G35" s="74"/>
      <c r="H35" s="74"/>
      <c r="I35" s="74"/>
      <c r="J35" s="74"/>
      <c r="K35" s="74"/>
      <c r="L35" s="74"/>
      <c r="M35" s="74"/>
      <c r="N35" s="74"/>
      <c r="O35" s="283"/>
    </row>
    <row r="36" spans="2:15" x14ac:dyDescent="0.2">
      <c r="B36" s="282"/>
      <c r="C36" s="74"/>
      <c r="D36" s="74"/>
      <c r="E36" s="74"/>
      <c r="F36" s="74"/>
      <c r="G36" s="74"/>
      <c r="H36" s="74"/>
      <c r="I36" s="74"/>
      <c r="J36" s="74"/>
      <c r="K36" s="74"/>
      <c r="L36" s="74"/>
      <c r="M36" s="74"/>
      <c r="N36" s="74"/>
      <c r="O36" s="283"/>
    </row>
    <row r="37" spans="2:15" x14ac:dyDescent="0.2">
      <c r="B37" s="282"/>
      <c r="C37" s="74"/>
      <c r="D37" s="74"/>
      <c r="E37" s="74"/>
      <c r="F37" s="74"/>
      <c r="G37" s="74"/>
      <c r="H37" s="74"/>
      <c r="I37" s="74"/>
      <c r="J37" s="74"/>
      <c r="K37" s="74"/>
      <c r="L37" s="74"/>
      <c r="M37" s="74"/>
      <c r="N37" s="74"/>
      <c r="O37" s="283"/>
    </row>
    <row r="38" spans="2:15" x14ac:dyDescent="0.2">
      <c r="B38" s="282"/>
      <c r="C38" s="74"/>
      <c r="D38" s="74"/>
      <c r="E38" s="74"/>
      <c r="F38" s="74"/>
      <c r="G38" s="74"/>
      <c r="H38" s="74"/>
      <c r="I38" s="74"/>
      <c r="J38" s="74"/>
      <c r="K38" s="74"/>
      <c r="L38" s="74"/>
      <c r="M38" s="74"/>
      <c r="N38" s="74"/>
      <c r="O38" s="283"/>
    </row>
    <row r="39" spans="2:15" x14ac:dyDescent="0.2">
      <c r="B39" s="282"/>
      <c r="C39" s="74"/>
      <c r="D39" s="74"/>
      <c r="E39" s="74"/>
      <c r="F39" s="74"/>
      <c r="G39" s="74"/>
      <c r="H39" s="74"/>
      <c r="I39" s="74"/>
      <c r="J39" s="74"/>
      <c r="K39" s="74"/>
      <c r="L39" s="74"/>
      <c r="M39" s="74"/>
      <c r="N39" s="74"/>
      <c r="O39" s="283"/>
    </row>
    <row r="40" spans="2:15" x14ac:dyDescent="0.2">
      <c r="B40" s="285"/>
      <c r="C40" s="74"/>
      <c r="D40" s="74"/>
      <c r="E40" s="74"/>
      <c r="F40" s="74"/>
      <c r="G40" s="74"/>
      <c r="H40" s="74"/>
      <c r="I40" s="74"/>
      <c r="J40" s="74"/>
      <c r="K40" s="74"/>
      <c r="L40" s="74"/>
      <c r="M40" s="74"/>
      <c r="N40" s="74"/>
      <c r="O40" s="283"/>
    </row>
    <row r="41" spans="2:15" x14ac:dyDescent="0.2">
      <c r="B41" s="285"/>
      <c r="C41" s="74"/>
      <c r="D41" s="74"/>
      <c r="E41" s="74"/>
      <c r="F41" s="74"/>
      <c r="G41" s="74"/>
      <c r="H41" s="74"/>
      <c r="I41" s="74"/>
      <c r="J41" s="74"/>
      <c r="K41" s="74"/>
      <c r="L41" s="74"/>
      <c r="M41" s="74"/>
      <c r="N41" s="74"/>
      <c r="O41" s="283"/>
    </row>
    <row r="42" spans="2:15" x14ac:dyDescent="0.2">
      <c r="B42" s="284"/>
      <c r="C42" s="74"/>
      <c r="D42" s="74"/>
      <c r="E42" s="74"/>
      <c r="F42" s="74"/>
      <c r="G42" s="74"/>
      <c r="H42" s="74"/>
      <c r="I42" s="74"/>
      <c r="J42" s="74"/>
      <c r="K42" s="74"/>
      <c r="L42" s="74"/>
      <c r="M42" s="74"/>
      <c r="N42" s="74"/>
      <c r="O42" s="283"/>
    </row>
    <row r="43" spans="2:15" x14ac:dyDescent="0.2">
      <c r="B43" s="284"/>
      <c r="C43" s="74"/>
      <c r="D43" s="74"/>
      <c r="E43" s="74"/>
      <c r="F43" s="74"/>
      <c r="G43" s="74"/>
      <c r="H43" s="74"/>
      <c r="I43" s="74"/>
      <c r="J43" s="74"/>
      <c r="K43" s="74"/>
      <c r="L43" s="74"/>
      <c r="M43" s="74"/>
      <c r="N43" s="74"/>
      <c r="O43" s="283"/>
    </row>
    <row r="44" spans="2:15" x14ac:dyDescent="0.2">
      <c r="B44" s="282"/>
      <c r="C44" s="74"/>
      <c r="D44" s="74"/>
      <c r="E44" s="74"/>
      <c r="F44" s="74"/>
      <c r="G44" s="74"/>
      <c r="H44" s="74"/>
      <c r="I44" s="74"/>
      <c r="J44" s="74"/>
      <c r="K44" s="74"/>
      <c r="L44" s="74"/>
      <c r="M44" s="74"/>
      <c r="N44" s="74"/>
      <c r="O44" s="283"/>
    </row>
    <row r="45" spans="2:15" x14ac:dyDescent="0.2">
      <c r="B45" s="282"/>
      <c r="C45" s="74"/>
      <c r="D45" s="74"/>
      <c r="E45" s="74"/>
      <c r="F45" s="74"/>
      <c r="G45" s="74"/>
      <c r="H45" s="74"/>
      <c r="I45" s="74"/>
      <c r="J45" s="74"/>
      <c r="K45" s="74"/>
      <c r="L45" s="74"/>
      <c r="M45" s="74"/>
      <c r="N45" s="74"/>
      <c r="O45" s="283"/>
    </row>
    <row r="46" spans="2:15" x14ac:dyDescent="0.2">
      <c r="B46" s="284"/>
      <c r="C46" s="74"/>
      <c r="D46" s="74"/>
      <c r="E46" s="74"/>
      <c r="F46" s="74"/>
      <c r="G46" s="74"/>
      <c r="H46" s="74"/>
      <c r="I46" s="74"/>
      <c r="J46" s="74"/>
      <c r="K46" s="74"/>
      <c r="L46" s="74"/>
      <c r="M46" s="74"/>
      <c r="N46" s="74"/>
      <c r="O46" s="283"/>
    </row>
    <row r="47" spans="2:15" ht="13.5" thickBot="1" x14ac:dyDescent="0.25">
      <c r="B47" s="286"/>
      <c r="C47" s="287"/>
      <c r="D47" s="287"/>
      <c r="E47" s="287"/>
      <c r="F47" s="287"/>
      <c r="G47" s="287"/>
      <c r="H47" s="287"/>
      <c r="I47" s="287"/>
      <c r="J47" s="287"/>
      <c r="K47" s="287"/>
      <c r="L47" s="287"/>
      <c r="M47" s="287"/>
      <c r="N47" s="287"/>
      <c r="O47" s="288"/>
    </row>
  </sheetData>
  <phoneticPr fontId="12" type="noConversion"/>
  <pageMargins left="0.75" right="0.75" top="0.41" bottom="0.37" header="0.33" footer="0.3"/>
  <pageSetup paperSize="9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Kalkylblad</vt:lpstr>
      </vt:variant>
      <vt:variant>
        <vt:i4>16</vt:i4>
      </vt:variant>
      <vt:variant>
        <vt:lpstr>Namngivna områden</vt:lpstr>
      </vt:variant>
      <vt:variant>
        <vt:i4>20</vt:i4>
      </vt:variant>
    </vt:vector>
  </HeadingPairs>
  <TitlesOfParts>
    <vt:vector size="36" baseType="lpstr">
      <vt:lpstr>Innehåll</vt:lpstr>
      <vt:lpstr>Fondval &amp; marknadsvärde</vt:lpstr>
      <vt:lpstr>10 mest valda fonder</vt:lpstr>
      <vt:lpstr>Fondstatistik</vt:lpstr>
      <vt:lpstr>Värdeutveckling - konto</vt:lpstr>
      <vt:lpstr>Värdeutv. Premiepensionssystem</vt:lpstr>
      <vt:lpstr>Värdeutv. fondrörelse per år</vt:lpstr>
      <vt:lpstr>Marknadsv. &amp; tillfört kapital</vt:lpstr>
      <vt:lpstr>Värdeutveckling - fondrörelse</vt:lpstr>
      <vt:lpstr>Värdeutv fondrörelse genomsnitt</vt:lpstr>
      <vt:lpstr>Avkastning pp-systemet</vt:lpstr>
      <vt:lpstr>Index, fondrörelsen</vt:lpstr>
      <vt:lpstr>Marknadsv. och tillfört kapital</vt:lpstr>
      <vt:lpstr>Avkastning sedan 2000</vt:lpstr>
      <vt:lpstr>Beskrivning av mått</vt:lpstr>
      <vt:lpstr>Info Makro</vt:lpstr>
      <vt:lpstr>Fondstatistik!Fråga_från_FIDB</vt:lpstr>
      <vt:lpstr>Innehållsfört</vt:lpstr>
      <vt:lpstr>'Fondval &amp; marknadsvärde'!MyTblStart</vt:lpstr>
      <vt:lpstr>MyTblStart</vt:lpstr>
      <vt:lpstr>'Beskrivning av mått'!N1000F</vt:lpstr>
      <vt:lpstr>'Beskrivning av mått'!N1001D</vt:lpstr>
      <vt:lpstr>'Info Makro'!N1001D</vt:lpstr>
      <vt:lpstr>'Beskrivning av mått'!N1004E</vt:lpstr>
      <vt:lpstr>'Info Makro'!N1004E</vt:lpstr>
      <vt:lpstr>'Info Makro'!N1006A</vt:lpstr>
      <vt:lpstr>RubrFondNamn</vt:lpstr>
      <vt:lpstr>RubrMArknV</vt:lpstr>
      <vt:lpstr>Fondstatistik!Utskriftsområde</vt:lpstr>
      <vt:lpstr>'Fondval &amp; marknadsvärde'!Utskriftsområde</vt:lpstr>
      <vt:lpstr>'Fondval &amp; marknadsvärde'!Utskriftsrubriker</vt:lpstr>
      <vt:lpstr>ViewMacroSort</vt:lpstr>
      <vt:lpstr>ViewMacroSortFondStat</vt:lpstr>
      <vt:lpstr>ViewManualSort</vt:lpstr>
      <vt:lpstr>ViewManualSortFondStat</vt:lpstr>
      <vt:lpstr>VärdeUtvKontoChartData</vt:lpstr>
    </vt:vector>
  </TitlesOfParts>
  <Company>PPM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bennor</dc:creator>
  <cp:lastModifiedBy>Bengt Norrby</cp:lastModifiedBy>
  <cp:lastPrinted>2009-12-22T13:58:06Z</cp:lastPrinted>
  <dcterms:created xsi:type="dcterms:W3CDTF">2005-10-26T08:57:39Z</dcterms:created>
  <dcterms:modified xsi:type="dcterms:W3CDTF">2017-11-15T08:50:07Z</dcterms:modified>
</cp:coreProperties>
</file>