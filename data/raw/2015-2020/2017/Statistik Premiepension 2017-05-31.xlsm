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M595" i="13" l="1"/>
  <c r="I14" i="53" l="1"/>
  <c r="I15" i="53"/>
  <c r="I16" i="53"/>
  <c r="I17" i="53"/>
  <c r="I18" i="53"/>
  <c r="I19" i="53"/>
  <c r="I20" i="53"/>
  <c r="I21" i="53"/>
</calcChain>
</file>

<file path=xl/sharedStrings.xml><?xml version="1.0" encoding="utf-8"?>
<sst xmlns="http://schemas.openxmlformats.org/spreadsheetml/2006/main" count="8976" uniqueCount="1167">
  <si>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</si>
  <si>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</si>
  <si>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</si>
  <si>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</si>
  <si>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</si>
  <si>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</si>
  <si>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</si>
  <si>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</si>
  <si>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</si>
  <si>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</si>
  <si>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</si>
  <si>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</si>
  <si>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</si>
  <si>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</si>
  <si>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</si>
  <si>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</si>
  <si>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</si>
  <si>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</si>
  <si>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</si>
  <si>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</si>
  <si>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</si>
  <si>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</si>
  <si>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</si>
  <si>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</si>
  <si>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</si>
  <si>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</si>
  <si>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</si>
  <si>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</si>
  <si>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</si>
  <si>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</si>
  <si>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</si>
  <si>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</si>
  <si>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</si>
  <si>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</si>
  <si>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</si>
  <si>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</si>
  <si>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</si>
  <si>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</si>
  <si>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</si>
  <si>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</si>
  <si>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</si>
  <si>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</si>
  <si>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</si>
  <si>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</si>
  <si>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</si>
  <si>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</si>
  <si>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</si>
  <si>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</si>
  <si>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</si>
  <si>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</si>
  <si>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</si>
  <si>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</si>
  <si>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</si>
  <si>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</si>
  <si>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</si>
  <si>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</si>
  <si>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</si>
  <si>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</si>
  <si>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</si>
  <si>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</si>
  <si>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</si>
  <si>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</si>
  <si>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</si>
  <si>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</si>
  <si>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</si>
  <si>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</si>
  <si>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</si>
  <si>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</si>
  <si>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</si>
  <si>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</si>
  <si>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</si>
  <si>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</si>
  <si>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</si>
  <si>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</si>
  <si>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</si>
  <si>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</si>
  <si>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</si>
  <si>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</si>
  <si>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</si>
  <si>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</si>
  <si>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</si>
  <si>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</si>
  <si>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</si>
  <si>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</si>
  <si>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</si>
  <si>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</si>
  <si>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</si>
  <si>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</si>
  <si>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</si>
  <si>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</si>
  <si>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</si>
  <si>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</si>
  <si>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</si>
  <si>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</si>
  <si>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</si>
  <si>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</si>
  <si>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</si>
  <si>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</si>
  <si>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</si>
  <si>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</si>
  <si>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</si>
  <si>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</si>
  <si>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</si>
  <si>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</si>
  <si>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</si>
  <si>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</si>
  <si>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</si>
  <si>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</si>
  <si>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</si>
  <si>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</si>
  <si>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</si>
  <si>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</si>
  <si>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</si>
  <si>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</si>
  <si>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</si>
  <si>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</si>
  <si>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</si>
  <si>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</si>
  <si>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</si>
  <si>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</si>
  <si>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</si>
  <si>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</si>
  <si>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</si>
  <si>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</si>
  <si>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</si>
  <si>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</si>
  <si>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</si>
  <si>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</si>
  <si>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</si>
  <si>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</si>
  <si>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</si>
  <si>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</si>
  <si>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</si>
  <si>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</si>
  <si>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</si>
  <si>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</si>
  <si>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</si>
  <si>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</si>
  <si>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</si>
  <si>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</si>
  <si>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</si>
  <si>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</si>
  <si>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</si>
  <si>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</si>
  <si>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</si>
  <si>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</si>
  <si>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</si>
  <si>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</si>
  <si>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</si>
  <si>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</si>
  <si>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</si>
  <si>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</si>
  <si>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</si>
  <si>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</si>
  <si>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</si>
  <si>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</si>
  <si>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</si>
  <si>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</si>
  <si>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</si>
  <si>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</si>
  <si>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</si>
  <si>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</si>
  <si>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</si>
  <si>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</si>
  <si>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</si>
  <si>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</si>
  <si>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</si>
  <si>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</si>
  <si>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</si>
  <si>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</si>
  <si>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</si>
  <si>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</si>
  <si>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</si>
  <si>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</si>
  <si>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</si>
  <si>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</si>
  <si>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</si>
  <si>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</si>
  <si>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</si>
  <si>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</si>
  <si>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</si>
  <si>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</si>
  <si>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</si>
  <si>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</si>
  <si>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</si>
  <si>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</si>
  <si>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</si>
  <si>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</si>
  <si>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</si>
  <si>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</si>
  <si>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</si>
  <si>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</si>
  <si>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</si>
  <si>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</si>
  <si>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</si>
  <si>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</si>
  <si>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</si>
  <si>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</si>
  <si>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</si>
  <si>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</si>
  <si>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</si>
  <si>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</si>
  <si>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</si>
  <si>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</si>
  <si>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</si>
  <si>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</si>
  <si>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</si>
  <si>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</si>
  <si>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</si>
  <si>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</si>
  <si>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</si>
  <si>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</si>
  <si>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</si>
  <si>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</si>
  <si>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</si>
  <si>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</si>
  <si>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</si>
  <si>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</si>
  <si>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</si>
  <si>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</si>
  <si>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</si>
  <si>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</si>
  <si>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</si>
  <si>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</si>
  <si>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</si>
  <si>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</si>
  <si>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</si>
  <si>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</si>
  <si>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</si>
  <si>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</si>
  <si>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</si>
  <si>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</si>
  <si>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</si>
  <si>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</si>
  <si>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</si>
  <si>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</si>
  <si>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</si>
  <si>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</si>
  <si>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</si>
  <si>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</si>
  <si>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</si>
  <si>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</si>
  <si>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</si>
  <si>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</si>
  <si>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</si>
  <si>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</si>
  <si>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</si>
  <si>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</si>
  <si>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</si>
  <si>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</si>
  <si>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</si>
  <si>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</si>
  <si>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</si>
  <si>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</si>
  <si>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</si>
  <si>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</si>
  <si>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</si>
  <si>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</si>
  <si>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</si>
  <si>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</si>
  <si>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</si>
  <si>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</si>
  <si>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</si>
  <si>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</si>
  <si>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</si>
  <si>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</si>
  <si>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</si>
  <si>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</si>
  <si>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</si>
  <si>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</si>
  <si>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</si>
  <si>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</si>
  <si>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</si>
  <si>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</si>
  <si>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</si>
  <si>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</si>
  <si>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</si>
  <si>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</si>
  <si>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</si>
  <si>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</si>
  <si>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</si>
  <si>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</si>
  <si>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</si>
  <si>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</si>
  <si>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</si>
  <si>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</si>
  <si>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</si>
  <si>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</si>
  <si>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</si>
  <si>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</si>
  <si>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</si>
  <si>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</si>
  <si>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</si>
  <si>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</si>
  <si>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</si>
  <si>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</si>
  <si>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</si>
  <si>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</si>
  <si>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</si>
  <si>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</si>
  <si>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</si>
  <si>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</si>
  <si>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</si>
  <si>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</si>
  <si>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</si>
  <si>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</si>
  <si>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</si>
  <si>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</si>
  <si>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</si>
  <si>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</si>
  <si>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</si>
  <si>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</si>
  <si>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</si>
  <si>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</si>
  <si>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</si>
  <si>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</si>
  <si>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</si>
  <si>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</si>
  <si>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</si>
  <si>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</si>
  <si>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</si>
  <si>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Danske Invest Horisont Ränta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</si>
  <si>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</si>
  <si>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</si>
  <si>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</si>
  <si>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</si>
  <si>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</si>
  <si>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</si>
  <si>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</si>
  <si>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</si>
  <si>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</si>
  <si>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</si>
  <si>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</si>
  <si>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</si>
  <si>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</si>
  <si>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</si>
  <si>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</si>
  <si>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</si>
  <si>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</si>
  <si>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</si>
  <si>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</si>
  <si>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</si>
  <si>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</si>
  <si>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</si>
  <si>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</si>
  <si>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</si>
  <si>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</si>
  <si>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</si>
  <si>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</si>
  <si>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</si>
  <si>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</si>
  <si>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</si>
  <si>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</si>
  <si>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</si>
  <si>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</si>
  <si>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</si>
  <si>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</si>
  <si>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</si>
  <si>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</si>
  <si>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</si>
  <si>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</si>
  <si>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</si>
  <si>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</si>
  <si>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</si>
  <si>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</si>
  <si>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</si>
  <si>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</si>
  <si>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</si>
  <si>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</si>
  <si>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</si>
  <si>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</si>
  <si>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</si>
  <si>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</si>
  <si>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</si>
  <si>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</si>
  <si>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</si>
  <si>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</si>
  <si>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</si>
  <si>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</si>
  <si>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</si>
  <si>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</si>
  <si>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</si>
  <si>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</si>
  <si>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</si>
  <si>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</si>
  <si>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</si>
  <si>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</si>
  <si>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</si>
  <si>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</si>
  <si>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</si>
  <si>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</si>
  <si>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</si>
  <si>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</si>
  <si>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</si>
  <si>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</si>
  <si>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</si>
  <si>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Global Aktiv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</si>
  <si>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</si>
  <si>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</si>
  <si>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</si>
  <si>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</si>
  <si>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</si>
  <si>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</si>
  <si>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</si>
  <si>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</si>
  <si>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</si>
  <si>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</si>
  <si>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</si>
  <si>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</si>
  <si>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</si>
  <si>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</si>
  <si>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</si>
  <si>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Danske Invest Horisont Försiktig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</si>
  <si>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</si>
  <si>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</si>
  <si>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</si>
  <si>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</si>
  <si>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</si>
  <si>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</si>
  <si>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</si>
  <si>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</si>
  <si>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</si>
  <si>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</si>
  <si>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</si>
  <si>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</si>
  <si>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</si>
  <si>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</si>
  <si>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</si>
  <si>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</si>
  <si>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</si>
  <si>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</si>
  <si>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</si>
  <si>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</si>
  <si>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</si>
  <si>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</si>
  <si>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</si>
  <si>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</si>
  <si>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</si>
  <si>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</si>
  <si>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</si>
  <si>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</si>
  <si>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</si>
  <si>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</si>
  <si>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</si>
  <si>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</si>
  <si>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</si>
  <si>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</si>
  <si>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</si>
  <si>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</si>
  <si>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</si>
  <si>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</si>
  <si>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</si>
  <si>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</si>
  <si>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</si>
  <si>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</si>
  <si>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</si>
  <si>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</si>
  <si>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</si>
  <si>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</si>
  <si>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</si>
  <si>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</si>
  <si>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</si>
  <si>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</si>
  <si>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</si>
  <si>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</si>
  <si>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</si>
  <si>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</si>
  <si>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</si>
  <si>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</si>
  <si>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</si>
  <si>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</si>
  <si>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</si>
  <si>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</si>
  <si>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</si>
  <si>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</si>
  <si>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</si>
  <si>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</si>
  <si>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</si>
  <si>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</si>
  <si>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</si>
  <si>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</si>
  <si>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</si>
  <si>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</si>
  <si>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</si>
  <si>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</si>
  <si>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</si>
  <si>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</si>
  <si>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</si>
  <si>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</si>
  <si>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</si>
  <si>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</si>
  <si>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</si>
  <si>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</si>
  <si>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</si>
  <si>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</si>
  <si>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</si>
  <si>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</si>
  <si>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</si>
  <si>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</si>
  <si>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</si>
  <si>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</si>
  <si>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</si>
  <si>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</si>
  <si>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</si>
  <si>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</si>
  <si>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</si>
  <si>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</si>
  <si>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</si>
  <si>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</si>
  <si>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</si>
  <si>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</si>
  <si>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</si>
  <si>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</si>
  <si>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</si>
  <si>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</si>
  <si>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</si>
  <si>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</si>
  <si>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</si>
  <si>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</si>
  <si>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</si>
  <si>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</si>
  <si>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</si>
  <si>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</si>
  <si>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</si>
  <si>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</si>
  <si>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</si>
  <si>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</si>
  <si>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</si>
  <si>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</si>
  <si>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</si>
  <si>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</si>
  <si>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</si>
  <si>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</si>
  <si>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</si>
  <si>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</si>
  <si>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</si>
  <si>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</si>
  <si>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</si>
  <si>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</si>
  <si>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</si>
  <si>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</si>
  <si>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</si>
  <si>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</si>
  <si>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</si>
  <si>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</si>
  <si>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</si>
  <si>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</si>
  <si>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</si>
  <si>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</si>
  <si>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</si>
  <si>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</si>
  <si>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</si>
  <si>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</si>
  <si>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</si>
  <si>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</si>
  <si>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</si>
  <si>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</si>
  <si>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</si>
  <si>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</si>
  <si>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</si>
  <si>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</si>
  <si>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</si>
  <si>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</si>
  <si>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</si>
  <si>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</si>
  <si>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</si>
  <si>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</si>
  <si>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</si>
  <si>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</si>
  <si>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</si>
  <si>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</si>
  <si>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</si>
  <si>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</si>
  <si>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</si>
  <si>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</si>
  <si>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</si>
  <si>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</si>
  <si>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</si>
  <si>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</si>
  <si>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</si>
  <si>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</si>
  <si>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</si>
  <si>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</si>
  <si>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</si>
  <si>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</si>
  <si>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</si>
  <si>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</si>
  <si>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</si>
  <si>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</si>
  <si>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</si>
  <si>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</si>
  <si>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</si>
  <si>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</si>
  <si>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</si>
  <si>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</si>
  <si>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</si>
  <si>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</si>
  <si>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</si>
  <si>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</si>
  <si>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</si>
  <si>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</si>
  <si>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</si>
  <si>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</si>
  <si>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</si>
  <si>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</si>
  <si>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</si>
  <si>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</si>
  <si>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</si>
  <si>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</si>
  <si>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</si>
  <si>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</si>
  <si>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</si>
  <si>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</si>
  <si>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</si>
  <si>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</si>
  <si>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</si>
  <si>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</si>
  <si>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</si>
  <si>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</si>
  <si>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</si>
  <si>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</si>
  <si>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</si>
  <si>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</si>
  <si>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</si>
  <si>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</si>
  <si>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</si>
  <si>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</si>
  <si>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</si>
  <si>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</si>
  <si>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</si>
  <si>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</si>
  <si>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</si>
  <si>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</si>
  <si>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</si>
  <si>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</si>
  <si>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</si>
  <si>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</si>
  <si>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</si>
  <si>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</si>
  <si>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</si>
  <si>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</si>
  <si>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</si>
  <si>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</si>
  <si>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</si>
  <si>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</si>
  <si>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</si>
  <si>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</si>
  <si>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</si>
  <si>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</si>
  <si>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</si>
  <si>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</si>
  <si>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</si>
  <si>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</si>
  <si>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</si>
  <si>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</si>
  <si>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</si>
  <si>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</si>
  <si>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</si>
  <si>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</si>
  <si>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</si>
  <si>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</si>
  <si>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</si>
  <si>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Global Luxury and Lifestyle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</si>
  <si>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</si>
  <si>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</si>
  <si>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</si>
  <si>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</si>
  <si>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</si>
  <si>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</si>
  <si>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</si>
  <si>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</si>
  <si>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</si>
  <si>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</si>
  <si>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</si>
  <si>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</si>
  <si>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</si>
  <si>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</si>
  <si>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</si>
  <si>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</si>
  <si>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</si>
  <si>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</si>
  <si>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</si>
  <si>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</si>
  <si>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</si>
  <si>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</si>
  <si>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</si>
  <si>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</si>
  <si>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</si>
  <si>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</si>
  <si>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</si>
  <si>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</si>
  <si>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</si>
  <si>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</si>
  <si>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</si>
  <si>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</si>
  <si>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</si>
  <si>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</si>
  <si>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</si>
  <si>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</si>
  <si>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</si>
  <si>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</si>
  <si>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</si>
  <si>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</si>
  <si>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</si>
  <si>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</si>
  <si>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</si>
  <si>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</si>
  <si>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</si>
  <si>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</si>
  <si>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</si>
  <si>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</si>
  <si>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</si>
  <si>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</si>
  <si>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</si>
  <si>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</si>
  <si>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</si>
  <si>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</si>
  <si>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</si>
  <si>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</si>
  <si>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</si>
  <si>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</si>
  <si>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</si>
  <si>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</si>
  <si>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</si>
  <si>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</si>
  <si>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</si>
  <si>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</si>
  <si>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</si>
  <si>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</si>
  <si>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</si>
  <si>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</si>
  <si>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</si>
  <si>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</si>
  <si>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</si>
  <si>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</si>
  <si>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</si>
  <si>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</si>
  <si>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</si>
  <si>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</si>
  <si>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</si>
  <si>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</si>
  <si>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</si>
  <si>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</si>
  <si>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</si>
  <si>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</si>
  <si>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</si>
  <si>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</si>
  <si>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</si>
  <si>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</si>
  <si>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</si>
  <si>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</si>
  <si>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</si>
  <si>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</si>
  <si>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</si>
  <si>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</si>
  <si>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</si>
  <si>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</si>
  <si>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</si>
  <si>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</si>
  <si>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</si>
  <si>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</si>
  <si>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</si>
  <si>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</si>
  <si>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</si>
  <si>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</si>
  <si>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</si>
  <si>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</si>
  <si>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</si>
  <si>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</si>
  <si>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</si>
  <si>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</si>
  <si>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</si>
  <si>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</si>
  <si>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</si>
  <si>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</si>
  <si>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</si>
  <si>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</si>
  <si>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</si>
  <si>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</si>
  <si>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</si>
  <si>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</si>
  <si>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</si>
  <si>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</si>
  <si>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</si>
  <si>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</si>
  <si>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</si>
  <si>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</si>
  <si>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</si>
  <si>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</si>
  <si>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</si>
  <si>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</si>
  <si>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</si>
  <si>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</si>
  <si>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</si>
  <si>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</si>
  <si>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</si>
  <si>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</si>
  <si>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</si>
  <si>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</si>
  <si>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</si>
  <si>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</si>
  <si>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</si>
  <si>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</si>
  <si>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</si>
  <si>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</si>
  <si>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</si>
  <si>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</si>
  <si>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</si>
  <si>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</si>
  <si>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</si>
  <si>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</si>
  <si>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</si>
  <si>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</si>
  <si>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</si>
  <si>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</si>
  <si>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</si>
  <si>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</si>
  <si>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</si>
  <si>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</si>
  <si>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</si>
  <si>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</si>
  <si>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</si>
  <si>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</si>
  <si>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</si>
  <si>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</si>
  <si>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</si>
  <si>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</si>
  <si>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</si>
  <si>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</si>
  <si>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</si>
  <si>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</si>
  <si>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</si>
  <si>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</si>
  <si>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</si>
  <si>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</si>
  <si>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</si>
  <si>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</si>
  <si>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</si>
  <si>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</si>
  <si>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</si>
  <si>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</si>
  <si>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</si>
  <si>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</si>
  <si>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</si>
  <si>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</si>
  <si>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</si>
  <si>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</si>
  <si>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</si>
  <si>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</si>
  <si>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</si>
  <si>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</si>
  <si>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</si>
  <si>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</si>
  <si>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</si>
  <si>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</si>
  <si>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</si>
  <si>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</si>
  <si>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</si>
  <si>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</si>
  <si>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</si>
  <si>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</si>
  <si>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</si>
  <si>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</si>
  <si>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</si>
  <si>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</si>
  <si>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</si>
  <si>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</si>
  <si>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</si>
  <si>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</si>
  <si>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</si>
  <si>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</si>
  <si>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</si>
  <si>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</si>
  <si>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</si>
  <si>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</si>
  <si>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</si>
  <si>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</si>
  <si>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</si>
  <si>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</si>
  <si>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</si>
  <si>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</si>
  <si>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</si>
  <si>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</si>
  <si>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</si>
  <si>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</si>
  <si>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</si>
  <si>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</si>
  <si>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</si>
  <si>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</si>
  <si>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</si>
  <si>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</si>
  <si>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</si>
  <si>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</si>
  <si>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</si>
  <si>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</si>
  <si>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</si>
  <si>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</si>
  <si>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</si>
  <si>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</si>
  <si>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</si>
  <si>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</si>
  <si>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</si>
  <si>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</si>
  <si>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</si>
  <si>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</si>
  <si>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</si>
  <si>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</si>
  <si>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</si>
  <si>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</si>
  <si>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</si>
  <si>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</si>
  <si>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</si>
  <si>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</si>
  <si>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</si>
  <si>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</si>
  <si>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</si>
  <si>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</si>
  <si>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</si>
  <si>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</si>
  <si>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</si>
  <si>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</si>
  <si>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</si>
  <si>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</si>
  <si>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</si>
  <si>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</si>
  <si>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</si>
  <si>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</si>
  <si>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</si>
  <si>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</si>
  <si>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</si>
  <si>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</si>
  <si>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</si>
  <si>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</si>
  <si>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</si>
  <si>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</si>
  <si>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</si>
  <si>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</si>
  <si>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</si>
  <si>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</si>
  <si>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</si>
  <si>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</si>
  <si>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</si>
  <si>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</si>
  <si>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</si>
  <si>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</si>
  <si>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</si>
  <si>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</si>
  <si>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</si>
  <si>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</si>
  <si>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</si>
  <si>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</si>
  <si>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</si>
  <si>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</si>
  <si>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</si>
  <si>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</si>
  <si>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</si>
  <si>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</si>
  <si>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</si>
  <si>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</si>
  <si>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</si>
  <si>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</si>
  <si>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</si>
  <si>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</si>
  <si>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</si>
  <si>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</si>
  <si>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</si>
  <si>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</si>
  <si>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</si>
  <si>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</si>
  <si>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</si>
  <si>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</si>
  <si>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</si>
  <si>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</si>
  <si>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</si>
  <si>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</si>
  <si>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</si>
  <si>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</si>
  <si>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</si>
  <si>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</si>
  <si>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</si>
  <si>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</si>
  <si>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</si>
  <si>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</si>
  <si>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</si>
  <si>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</si>
  <si>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</si>
  <si>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</si>
  <si>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</si>
  <si>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</si>
  <si>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</si>
  <si>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</si>
  <si>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</si>
  <si>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</si>
  <si>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</si>
  <si>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</si>
  <si>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</si>
  <si>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</si>
  <si>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</si>
  <si>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</si>
  <si>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</si>
  <si>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</si>
  <si>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</si>
  <si>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</si>
  <si>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</si>
  <si>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</si>
  <si>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</si>
  <si>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</si>
  <si>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</si>
  <si>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</si>
  <si>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</si>
  <si>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</si>
  <si>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</si>
  <si>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</si>
  <si>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</si>
  <si>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</si>
  <si>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</si>
  <si>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</si>
  <si>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</si>
  <si>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</si>
  <si>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</si>
  <si>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</si>
  <si>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</si>
  <si>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</si>
  <si>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</si>
  <si>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</si>
  <si>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</si>
  <si>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</si>
  <si>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</si>
  <si>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</si>
  <si>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</si>
  <si>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</si>
  <si>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</si>
  <si>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</si>
  <si>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</si>
  <si>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</si>
  <si>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</si>
  <si>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</si>
  <si>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</si>
  <si>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</si>
  <si>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</si>
  <si>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</si>
  <si>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</si>
  <si>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</si>
  <si>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</si>
  <si>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</si>
  <si>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</si>
  <si>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</si>
  <si>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</si>
  <si>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</si>
  <si>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</si>
  <si>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</si>
  <si>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</si>
  <si>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</si>
  <si>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</si>
  <si>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Öhman Penningmarknadsfond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</si>
  <si>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</si>
  <si>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</si>
  <si>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</si>
  <si>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</si>
  <si>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</si>
  <si>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Öhman Företagsobligatonsfond Hållbar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</si>
  <si>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</si>
  <si>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</si>
  <si>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</si>
  <si>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</si>
  <si>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</si>
  <si>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</si>
  <si>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</si>
  <si>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</si>
  <si>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</si>
  <si>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</si>
  <si>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</si>
  <si>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</si>
  <si>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</si>
  <si>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 xml:space="preserve"> Navigera Strategi Bevara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</si>
  <si>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</si>
  <si>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</si>
  <si>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</si>
  <si>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</si>
  <si>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</si>
  <si>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</si>
  <si>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</si>
  <si>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</si>
  <si>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</si>
  <si>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</si>
  <si>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</si>
  <si>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</si>
  <si>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</si>
  <si>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</si>
  <si>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</si>
  <si>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</si>
  <si>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</si>
  <si>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</si>
  <si>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</si>
  <si>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</si>
  <si>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</si>
  <si>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</si>
  <si>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</si>
  <si>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</si>
  <si>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</si>
  <si>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</si>
  <si>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</si>
  <si>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</si>
  <si>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</si>
  <si>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</si>
  <si>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</si>
  <si>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</si>
  <si>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</si>
  <si>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</si>
  <si>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</si>
  <si>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</si>
  <si>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</si>
  <si>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</si>
  <si>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</si>
  <si>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</si>
  <si>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</si>
  <si>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Pictet - Robotics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</si>
  <si>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</si>
  <si>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</si>
  <si>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</si>
  <si>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</si>
  <si>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</si>
  <si>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</si>
  <si>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</si>
  <si>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Amundi Funds - SBI FM Equity India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</si>
  <si>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</si>
  <si>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</si>
  <si>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</si>
  <si>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</si>
  <si>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</si>
  <si>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</si>
  <si>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</si>
  <si>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</si>
  <si>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</si>
  <si>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</si>
  <si>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</si>
  <si>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>Amundi Funds - Equity Euro Concentrated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</si>
  <si>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</si>
  <si>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</si>
  <si>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</si>
  <si>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 SICAV - Emerging Markets Corporate Value Bonds EUR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</si>
  <si>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</si>
  <si>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</si>
  <si>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</si>
  <si>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</si>
  <si>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</si>
  <si>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</si>
  <si>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</si>
  <si>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</si>
  <si>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</si>
  <si>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</si>
  <si>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</si>
  <si>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 xml:space="preserve">Zensum Balanserad 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</si>
  <si>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</si>
  <si>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</si>
  <si>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</si>
  <si>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</si>
  <si>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</si>
  <si>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Sparinvest  SICAV - Ethical  High Yield Value Bonds SEK R</t>
  </si>
  <si>
    <t>Antal fondval och marknadsvärde i fonderna 2017-05-31</t>
  </si>
  <si>
    <t>Nästa uppdatering: 2017-07-07</t>
  </si>
  <si>
    <t>Fondstatistik per 2017-05-31</t>
  </si>
  <si>
    <t>Taaleri Nordic Value Equity Fund</t>
  </si>
  <si>
    <t xml:space="preserve"> Atlant Responsible</t>
  </si>
  <si>
    <t>SEF- Case Power Play</t>
  </si>
  <si>
    <t>Nästa uppdatering: 2017-07-18</t>
  </si>
  <si>
    <t>Nästa uppdatering 2017-07-18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</si>
</sst>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  <font>
      <u/>
      <sz val="10.5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39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0" fontId="66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2017-05-31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pp-systemet'!$B$27:$B$947</c:f>
              <c:numCache>
                <c:formatCode>m/d/yyyy</c:formatCode>
                <c:ptCount val="9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</c:numCache>
            </c:numRef>
          </c:cat>
          <c:val>
            <c:numRef>
              <c:f>'Avkastning pp-systemet'!$C$27:$C$947</c:f>
              <c:numCache>
                <c:formatCode>0.0%</c:formatCode>
                <c:ptCount val="921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pp-systemet'!$B$27:$B$947</c:f>
              <c:numCache>
                <c:formatCode>m/d/yyyy</c:formatCode>
                <c:ptCount val="9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</c:numCache>
            </c:numRef>
          </c:cat>
          <c:val>
            <c:numRef>
              <c:f>'Avkastning pp-systemet'!$D$27:$D$947</c:f>
              <c:numCache>
                <c:formatCode>0.0%</c:formatCode>
                <c:ptCount val="921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pp-systemet'!$B$27:$B$947</c:f>
              <c:numCache>
                <c:formatCode>m/d/yyyy</c:formatCode>
                <c:ptCount val="9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</c:numCache>
            </c:numRef>
          </c:cat>
          <c:val>
            <c:numRef>
              <c:f>'Avkastning pp-systemet'!$E$27:$E$929</c:f>
              <c:numCache>
                <c:formatCode>0.0%</c:formatCode>
                <c:ptCount val="903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pp-systemet'!$B$27:$B$947</c:f>
              <c:numCache>
                <c:formatCode>m/d/yyyy</c:formatCode>
                <c:ptCount val="9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</c:numCache>
            </c:numRef>
          </c:cat>
          <c:val>
            <c:numRef>
              <c:f>'Avkastning pp-systemet'!$F$27:$F$929</c:f>
              <c:numCache>
                <c:formatCode>0.0%</c:formatCode>
                <c:ptCount val="903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42886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8.220229756400399E-2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42886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8.1630234149112857E-2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42886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542.00377528494028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42886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1038.59519963906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2000'!$B$26:$B$237</c:f>
              <c:numCache>
                <c:formatCode>yyyy/mm/dd;@</c:formatCode>
                <c:ptCount val="21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  <c:pt idx="196" formatCode="m/d/yyyy">
                  <c:v>42886</c:v>
                </c:pt>
              </c:numCache>
            </c:numRef>
          </c:cat>
          <c:val>
            <c:numRef>
              <c:f>'Avkastning sedan 2000'!$E$24:$E$237</c:f>
              <c:numCache>
                <c:formatCode>0.0%</c:formatCode>
                <c:ptCount val="214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2000'!$B$26:$B$237</c:f>
              <c:numCache>
                <c:formatCode>yyyy/mm/dd;@</c:formatCode>
                <c:ptCount val="21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  <c:pt idx="196" formatCode="m/d/yyyy">
                  <c:v>42886</c:v>
                </c:pt>
              </c:numCache>
            </c:numRef>
          </c:cat>
          <c:val>
            <c:numRef>
              <c:f>'Avkastning sedan 2000'!$F$24:$F$236</c:f>
              <c:numCache>
                <c:formatCode>0.0%</c:formatCode>
                <c:ptCount val="213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  <c:min val="37257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2000'!$B$26:$B$288</c:f>
              <c:numCache>
                <c:formatCode>yyyy/mm/dd;@</c:formatCode>
                <c:ptCount val="263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  <c:pt idx="196" formatCode="m/d/yyyy">
                  <c:v>42886</c:v>
                </c:pt>
              </c:numCache>
            </c:numRef>
          </c:cat>
          <c:val>
            <c:numRef>
              <c:f>'Avkastning sedan 2000'!$C$24:$C$286</c:f>
              <c:numCache>
                <c:formatCode>0.0%</c:formatCode>
                <c:ptCount val="26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2000'!$B$26:$B$288</c:f>
              <c:numCache>
                <c:formatCode>yyyy/mm/dd;@</c:formatCode>
                <c:ptCount val="263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  <c:pt idx="196" formatCode="m/d/yyyy">
                  <c:v>42886</c:v>
                </c:pt>
              </c:numCache>
            </c:numRef>
          </c:cat>
          <c:val>
            <c:numRef>
              <c:f>'Avkastning sedan 2000'!$D$24:$D$286</c:f>
              <c:numCache>
                <c:formatCode>0.0%</c:formatCode>
                <c:ptCount val="263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  <c:min val="37257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6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7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0</xdr:col>
      <xdr:colOff>169333</xdr:colOff>
      <xdr:row>15</xdr:row>
      <xdr:rowOff>137582</xdr:rowOff>
    </xdr:from>
    <xdr:to>
      <xdr:col>1</xdr:col>
      <xdr:colOff>2038615</xdr:colOff>
      <xdr:row>19</xdr:row>
      <xdr:rowOff>42332</xdr:rowOff>
    </xdr:to>
    <xdr:sp macro="" textlink="">
      <xdr:nvSpPr>
        <xdr:cNvPr id="16" name="textruta 15">
          <a:hlinkClick xmlns:r="http://schemas.openxmlformats.org/officeDocument/2006/relationships" r:id="rId6"/>
        </xdr:cNvPr>
        <xdr:cNvSpPr txBox="1"/>
      </xdr:nvSpPr>
      <xdr:spPr>
        <a:xfrm>
          <a:off x="169333" y="2116665"/>
          <a:ext cx="4250532" cy="666750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 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  <a:r>
            <a:rPr lang="sv-SE">
              <a:solidFill>
                <a:schemeClr val="bg1"/>
              </a:solidFill>
            </a:rPr>
            <a:t> </a:t>
          </a:r>
        </a:p>
        <a:p>
          <a:r>
            <a:rPr lang="sv-SE" sz="1100" b="1" i="1">
              <a:solidFill>
                <a:schemeClr val="bg1"/>
              </a:solidFill>
            </a:rPr>
            <a:t>Se skillnader i listan.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  <xdr:twoCellAnchor>
    <xdr:from>
      <xdr:col>14</xdr:col>
      <xdr:colOff>464344</xdr:colOff>
      <xdr:row>6</xdr:row>
      <xdr:rowOff>0</xdr:rowOff>
    </xdr:from>
    <xdr:to>
      <xdr:col>17</xdr:col>
      <xdr:colOff>35720</xdr:colOff>
      <xdr:row>13</xdr:row>
      <xdr:rowOff>178594</xdr:rowOff>
    </xdr:to>
    <xdr:sp macro="" textlink="">
      <xdr:nvSpPr>
        <xdr:cNvPr id="17" name="textruta 16">
          <a:hlinkClick xmlns:r="http://schemas.openxmlformats.org/officeDocument/2006/relationships" r:id="rId7"/>
        </xdr:cNvPr>
        <xdr:cNvSpPr txBox="1"/>
      </xdr:nvSpPr>
      <xdr:spPr>
        <a:xfrm>
          <a:off x="12132469" y="1464469"/>
          <a:ext cx="4250532" cy="678656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</a:p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 skillnader i listan</a:t>
          </a:r>
          <a:r>
            <a:rPr lang="sv-SE">
              <a:solidFill>
                <a:schemeClr val="bg1"/>
              </a:solidFill>
            </a:rPr>
            <a:t> </a:t>
          </a:r>
          <a:endParaRPr lang="sv-SE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84553</xdr:colOff>
      <xdr:row>39</xdr:row>
      <xdr:rowOff>94611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371428" cy="51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69" y="876261"/>
          <a:ext cx="5928707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141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100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113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129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119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115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421"/>
      <c r="C25" s="80"/>
      <c r="D25" s="80"/>
      <c r="E25" s="81"/>
      <c r="F25" s="83"/>
    </row>
    <row r="26" spans="2:11" ht="13.5" x14ac:dyDescent="0.2">
      <c r="B26" s="7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7" sqref="A7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1159</v>
      </c>
      <c r="B6" s="21"/>
      <c r="C6" s="22" t="s">
        <v>1160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419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338"/>
      <c r="B19" s="34"/>
      <c r="H19" s="338" t="s">
        <v>885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3" t="s">
        <v>112</v>
      </c>
      <c r="D21" s="424"/>
      <c r="E21" s="425"/>
      <c r="F21" s="426" t="s">
        <v>73</v>
      </c>
      <c r="G21" s="427"/>
      <c r="H21" s="427"/>
      <c r="I21" s="43" t="s">
        <v>7</v>
      </c>
      <c r="J21" s="352"/>
      <c r="K21" s="44"/>
      <c r="L21" s="45"/>
    </row>
    <row r="22" spans="1:15" s="68" customFormat="1" x14ac:dyDescent="0.2">
      <c r="A22" s="385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20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customHeight="1" x14ac:dyDescent="0.25">
      <c r="A23" s="400" t="s">
        <v>1106</v>
      </c>
      <c r="B23" s="400" t="s">
        <v>1074</v>
      </c>
      <c r="C23" s="416">
        <v>515</v>
      </c>
      <c r="D23" s="416">
        <v>749</v>
      </c>
      <c r="E23" s="416">
        <v>1264</v>
      </c>
      <c r="F23" s="416">
        <v>107628215</v>
      </c>
      <c r="G23" s="416">
        <v>169373425</v>
      </c>
      <c r="H23" s="416">
        <v>277001640</v>
      </c>
      <c r="I23" s="400" t="s">
        <v>158</v>
      </c>
      <c r="J23" s="400" t="s">
        <v>795</v>
      </c>
      <c r="K23" s="401">
        <v>172601</v>
      </c>
      <c r="L23" s="400" t="s">
        <v>631</v>
      </c>
      <c r="M23" s="2"/>
      <c r="N23" s="3"/>
      <c r="O23" s="4"/>
    </row>
    <row r="24" spans="1:15" ht="15" customHeight="1" x14ac:dyDescent="0.25">
      <c r="A24" s="400" t="s">
        <v>264</v>
      </c>
      <c r="B24" s="400" t="s">
        <v>263</v>
      </c>
      <c r="C24" s="416">
        <v>19080</v>
      </c>
      <c r="D24" s="416">
        <v>25154</v>
      </c>
      <c r="E24" s="416">
        <v>44234</v>
      </c>
      <c r="F24" s="416">
        <v>1536383649</v>
      </c>
      <c r="G24" s="416">
        <v>2509528555</v>
      </c>
      <c r="H24" s="416">
        <v>4045912203</v>
      </c>
      <c r="I24" s="400" t="s">
        <v>158</v>
      </c>
      <c r="J24" s="400" t="s">
        <v>798</v>
      </c>
      <c r="K24" s="401">
        <v>269357</v>
      </c>
      <c r="L24" s="400" t="s">
        <v>172</v>
      </c>
      <c r="M24" s="2"/>
      <c r="N24" s="3"/>
      <c r="O24" s="4"/>
    </row>
    <row r="25" spans="1:15" ht="15" customHeight="1" x14ac:dyDescent="0.25">
      <c r="A25" s="400" t="s">
        <v>305</v>
      </c>
      <c r="B25" s="400" t="s">
        <v>588</v>
      </c>
      <c r="C25" s="416">
        <v>54</v>
      </c>
      <c r="D25" s="416">
        <v>74</v>
      </c>
      <c r="E25" s="416">
        <v>128</v>
      </c>
      <c r="F25" s="416">
        <v>1897426</v>
      </c>
      <c r="G25" s="416">
        <v>3726170</v>
      </c>
      <c r="H25" s="416">
        <v>5623596</v>
      </c>
      <c r="I25" s="400" t="s">
        <v>69</v>
      </c>
      <c r="J25" s="400" t="s">
        <v>798</v>
      </c>
      <c r="K25" s="401">
        <v>515262</v>
      </c>
      <c r="L25" s="400" t="s">
        <v>418</v>
      </c>
      <c r="M25" s="2"/>
      <c r="N25" s="3"/>
      <c r="O25" s="4"/>
    </row>
    <row r="26" spans="1:15" ht="15" customHeight="1" x14ac:dyDescent="0.25">
      <c r="A26" s="400" t="s">
        <v>1103</v>
      </c>
      <c r="B26" s="400" t="s">
        <v>339</v>
      </c>
      <c r="C26" s="416">
        <v>590</v>
      </c>
      <c r="D26" s="416">
        <v>554</v>
      </c>
      <c r="E26" s="416">
        <v>1144</v>
      </c>
      <c r="F26" s="416">
        <v>18096012</v>
      </c>
      <c r="G26" s="416">
        <v>18767737</v>
      </c>
      <c r="H26" s="416">
        <v>36863749</v>
      </c>
      <c r="I26" s="400" t="s">
        <v>69</v>
      </c>
      <c r="J26" s="400" t="s">
        <v>799</v>
      </c>
      <c r="K26" s="401">
        <v>515973</v>
      </c>
      <c r="L26" s="400" t="s">
        <v>338</v>
      </c>
      <c r="M26" s="2"/>
      <c r="N26" s="3"/>
      <c r="O26" s="4"/>
    </row>
    <row r="27" spans="1:15" ht="15" customHeight="1" x14ac:dyDescent="0.25">
      <c r="A27" s="400" t="s">
        <v>296</v>
      </c>
      <c r="B27" s="400" t="s">
        <v>779</v>
      </c>
      <c r="C27" s="416">
        <v>4</v>
      </c>
      <c r="D27" s="416">
        <v>11</v>
      </c>
      <c r="E27" s="416">
        <v>15</v>
      </c>
      <c r="F27" s="416">
        <v>141118</v>
      </c>
      <c r="G27" s="416">
        <v>211108</v>
      </c>
      <c r="H27" s="416">
        <v>352226</v>
      </c>
      <c r="I27" s="400" t="s">
        <v>69</v>
      </c>
      <c r="J27" s="400" t="s">
        <v>798</v>
      </c>
      <c r="K27" s="401">
        <v>286708</v>
      </c>
      <c r="L27" s="400" t="s">
        <v>770</v>
      </c>
      <c r="M27" s="2"/>
      <c r="N27" s="2"/>
      <c r="O27" s="4"/>
    </row>
    <row r="28" spans="1:15" ht="15" customHeight="1" x14ac:dyDescent="0.25">
      <c r="A28" s="400" t="s">
        <v>1099</v>
      </c>
      <c r="B28" s="400" t="s">
        <v>971</v>
      </c>
      <c r="C28" s="416">
        <v>12</v>
      </c>
      <c r="D28" s="416">
        <v>17</v>
      </c>
      <c r="E28" s="416">
        <v>29</v>
      </c>
      <c r="F28" s="416">
        <v>443798</v>
      </c>
      <c r="G28" s="416">
        <v>762883</v>
      </c>
      <c r="H28" s="416">
        <v>1206681</v>
      </c>
      <c r="I28" s="400" t="s">
        <v>69</v>
      </c>
      <c r="J28" s="400" t="s">
        <v>799</v>
      </c>
      <c r="K28" s="401">
        <v>806505</v>
      </c>
      <c r="L28" s="400" t="s">
        <v>563</v>
      </c>
      <c r="M28" s="2"/>
      <c r="N28" s="2"/>
      <c r="O28" s="4"/>
    </row>
    <row r="29" spans="1:15" ht="15" customHeight="1" x14ac:dyDescent="0.25">
      <c r="A29" s="400" t="s">
        <v>302</v>
      </c>
      <c r="B29" s="400" t="s">
        <v>428</v>
      </c>
      <c r="C29" s="416">
        <v>30</v>
      </c>
      <c r="D29" s="416">
        <v>72</v>
      </c>
      <c r="E29" s="416">
        <v>102</v>
      </c>
      <c r="F29" s="416">
        <v>1335757</v>
      </c>
      <c r="G29" s="416">
        <v>3874871</v>
      </c>
      <c r="H29" s="416">
        <v>5210628</v>
      </c>
      <c r="I29" s="400" t="s">
        <v>69</v>
      </c>
      <c r="J29" s="400" t="s">
        <v>798</v>
      </c>
      <c r="K29" s="401">
        <v>116111</v>
      </c>
      <c r="L29" s="400" t="s">
        <v>362</v>
      </c>
      <c r="M29" s="2"/>
      <c r="N29" s="2"/>
      <c r="O29" s="4"/>
    </row>
    <row r="30" spans="1:15" ht="15" customHeight="1" x14ac:dyDescent="0.25">
      <c r="A30" s="400" t="s">
        <v>1091</v>
      </c>
      <c r="B30" s="400" t="s">
        <v>1082</v>
      </c>
      <c r="C30" s="416">
        <v>1284</v>
      </c>
      <c r="D30" s="416">
        <v>2721</v>
      </c>
      <c r="E30" s="416">
        <v>4005</v>
      </c>
      <c r="F30" s="416">
        <v>324054405</v>
      </c>
      <c r="G30" s="416">
        <v>763866290</v>
      </c>
      <c r="H30" s="416">
        <v>1087920695</v>
      </c>
      <c r="I30" s="400" t="s">
        <v>158</v>
      </c>
      <c r="J30" s="400" t="s">
        <v>798</v>
      </c>
      <c r="K30" s="401">
        <v>374835</v>
      </c>
      <c r="L30" s="400" t="s">
        <v>631</v>
      </c>
      <c r="M30" s="2"/>
      <c r="N30" s="2"/>
      <c r="O30" s="4"/>
    </row>
    <row r="31" spans="1:15" ht="15" customHeight="1" x14ac:dyDescent="0.25">
      <c r="A31" s="400" t="s">
        <v>1114</v>
      </c>
      <c r="B31" s="400" t="s">
        <v>808</v>
      </c>
      <c r="C31" s="416">
        <v>9</v>
      </c>
      <c r="D31" s="416">
        <v>13</v>
      </c>
      <c r="E31" s="416">
        <v>22</v>
      </c>
      <c r="F31" s="416">
        <v>281127</v>
      </c>
      <c r="G31" s="416">
        <v>554553</v>
      </c>
      <c r="H31" s="416">
        <v>835680</v>
      </c>
      <c r="I31" s="400" t="s">
        <v>69</v>
      </c>
      <c r="J31" s="400" t="s">
        <v>798</v>
      </c>
      <c r="K31" s="401">
        <v>887901</v>
      </c>
      <c r="L31" s="400" t="s">
        <v>805</v>
      </c>
      <c r="M31" s="2"/>
      <c r="N31" s="2"/>
      <c r="O31" s="4"/>
    </row>
    <row r="32" spans="1:15" ht="15" customHeight="1" x14ac:dyDescent="0.25">
      <c r="A32" s="400" t="s">
        <v>302</v>
      </c>
      <c r="B32" s="400" t="s">
        <v>1000</v>
      </c>
      <c r="C32" s="416">
        <v>161</v>
      </c>
      <c r="D32" s="416">
        <v>294</v>
      </c>
      <c r="E32" s="416">
        <v>455</v>
      </c>
      <c r="F32" s="416">
        <v>6322557</v>
      </c>
      <c r="G32" s="416">
        <v>15153316</v>
      </c>
      <c r="H32" s="416">
        <v>21475873</v>
      </c>
      <c r="I32" s="400" t="s">
        <v>158</v>
      </c>
      <c r="J32" s="400" t="s">
        <v>798</v>
      </c>
      <c r="K32" s="401">
        <v>971077</v>
      </c>
      <c r="L32" s="400" t="s">
        <v>182</v>
      </c>
      <c r="M32" s="2"/>
      <c r="N32" s="2"/>
      <c r="O32" s="4"/>
    </row>
    <row r="33" spans="1:15" ht="15" customHeight="1" x14ac:dyDescent="0.25">
      <c r="A33" s="400" t="s">
        <v>1105</v>
      </c>
      <c r="B33" s="400" t="s">
        <v>187</v>
      </c>
      <c r="C33" s="416">
        <v>1515</v>
      </c>
      <c r="D33" s="416">
        <v>1398</v>
      </c>
      <c r="E33" s="416">
        <v>2913</v>
      </c>
      <c r="F33" s="416">
        <v>79646959</v>
      </c>
      <c r="G33" s="416">
        <v>97278919</v>
      </c>
      <c r="H33" s="416">
        <v>176925878</v>
      </c>
      <c r="I33" s="400" t="s">
        <v>158</v>
      </c>
      <c r="J33" s="400" t="s">
        <v>799</v>
      </c>
      <c r="K33" s="401">
        <v>418699</v>
      </c>
      <c r="L33" s="400" t="s">
        <v>188</v>
      </c>
      <c r="M33" s="2"/>
      <c r="N33" s="2"/>
      <c r="O33" s="4"/>
    </row>
    <row r="34" spans="1:15" ht="15" customHeight="1" x14ac:dyDescent="0.25">
      <c r="A34" s="400" t="s">
        <v>1089</v>
      </c>
      <c r="B34" s="400" t="s">
        <v>683</v>
      </c>
      <c r="C34" s="416">
        <v>3078</v>
      </c>
      <c r="D34" s="416">
        <v>2634</v>
      </c>
      <c r="E34" s="416">
        <v>5712</v>
      </c>
      <c r="F34" s="416">
        <v>175254350</v>
      </c>
      <c r="G34" s="416">
        <v>173425042</v>
      </c>
      <c r="H34" s="416">
        <v>348679392</v>
      </c>
      <c r="I34" s="400" t="s">
        <v>69</v>
      </c>
      <c r="J34" s="400" t="s">
        <v>795</v>
      </c>
      <c r="K34" s="401">
        <v>276493</v>
      </c>
      <c r="L34" s="400" t="s">
        <v>684</v>
      </c>
      <c r="M34" s="2"/>
      <c r="N34" s="2"/>
      <c r="O34" s="4"/>
    </row>
    <row r="35" spans="1:15" ht="15" x14ac:dyDescent="0.25">
      <c r="A35" s="400" t="s">
        <v>223</v>
      </c>
      <c r="B35" s="400" t="s">
        <v>524</v>
      </c>
      <c r="C35" s="416">
        <v>2505</v>
      </c>
      <c r="D35" s="416">
        <v>3655</v>
      </c>
      <c r="E35" s="416">
        <v>6160</v>
      </c>
      <c r="F35" s="416">
        <v>167280454</v>
      </c>
      <c r="G35" s="416">
        <v>277452394</v>
      </c>
      <c r="H35" s="416">
        <v>444732848</v>
      </c>
      <c r="I35" s="400" t="s">
        <v>158</v>
      </c>
      <c r="J35" s="400" t="s">
        <v>798</v>
      </c>
      <c r="K35" s="401">
        <v>339184</v>
      </c>
      <c r="L35" s="400" t="s">
        <v>168</v>
      </c>
      <c r="M35" s="2"/>
      <c r="N35" s="2"/>
      <c r="O35" s="4"/>
    </row>
    <row r="36" spans="1:15" ht="15" x14ac:dyDescent="0.25">
      <c r="A36" s="400" t="s">
        <v>1089</v>
      </c>
      <c r="B36" s="400" t="s">
        <v>217</v>
      </c>
      <c r="C36" s="416">
        <v>32454</v>
      </c>
      <c r="D36" s="416">
        <v>22491</v>
      </c>
      <c r="E36" s="416">
        <v>54945</v>
      </c>
      <c r="F36" s="416">
        <v>1597585852</v>
      </c>
      <c r="G36" s="416">
        <v>1353073988</v>
      </c>
      <c r="H36" s="416">
        <v>2950659840</v>
      </c>
      <c r="I36" s="400" t="s">
        <v>158</v>
      </c>
      <c r="J36" s="400" t="s">
        <v>795</v>
      </c>
      <c r="K36" s="401">
        <v>749192</v>
      </c>
      <c r="L36" s="400" t="s">
        <v>175</v>
      </c>
      <c r="M36" s="2"/>
      <c r="N36" s="2"/>
      <c r="O36" s="4"/>
    </row>
    <row r="37" spans="1:15" ht="15" x14ac:dyDescent="0.25">
      <c r="A37" s="400" t="s">
        <v>325</v>
      </c>
      <c r="B37" s="400" t="s">
        <v>336</v>
      </c>
      <c r="C37" s="416">
        <v>16679</v>
      </c>
      <c r="D37" s="416">
        <v>18250</v>
      </c>
      <c r="E37" s="416">
        <v>34929</v>
      </c>
      <c r="F37" s="416">
        <v>769833038</v>
      </c>
      <c r="G37" s="416">
        <v>1028514876</v>
      </c>
      <c r="H37" s="416">
        <v>1798347913</v>
      </c>
      <c r="I37" s="400" t="s">
        <v>158</v>
      </c>
      <c r="J37" s="400" t="s">
        <v>798</v>
      </c>
      <c r="K37" s="401">
        <v>820852</v>
      </c>
      <c r="L37" s="400" t="s">
        <v>175</v>
      </c>
      <c r="M37" s="2"/>
      <c r="N37" s="2"/>
      <c r="O37" s="4"/>
    </row>
    <row r="38" spans="1:15" ht="15" x14ac:dyDescent="0.25">
      <c r="A38" s="400" t="s">
        <v>1087</v>
      </c>
      <c r="B38" s="400" t="s">
        <v>59</v>
      </c>
      <c r="C38" s="416">
        <v>64449</v>
      </c>
      <c r="D38" s="416">
        <v>64775</v>
      </c>
      <c r="E38" s="416">
        <v>129224</v>
      </c>
      <c r="F38" s="416">
        <v>9326609585</v>
      </c>
      <c r="G38" s="416">
        <v>11560166142</v>
      </c>
      <c r="H38" s="416">
        <v>20886775727</v>
      </c>
      <c r="I38" s="400" t="s">
        <v>158</v>
      </c>
      <c r="J38" s="400" t="s">
        <v>792</v>
      </c>
      <c r="K38" s="401">
        <v>747899</v>
      </c>
      <c r="L38" s="400" t="s">
        <v>175</v>
      </c>
      <c r="M38" s="2"/>
      <c r="N38" s="2"/>
      <c r="O38" s="4"/>
    </row>
    <row r="39" spans="1:15" ht="15" x14ac:dyDescent="0.25">
      <c r="A39" s="400" t="s">
        <v>1088</v>
      </c>
      <c r="B39" s="400" t="s">
        <v>733</v>
      </c>
      <c r="C39" s="416">
        <v>503</v>
      </c>
      <c r="D39" s="416">
        <v>897</v>
      </c>
      <c r="E39" s="416">
        <v>1400</v>
      </c>
      <c r="F39" s="416">
        <v>80191301</v>
      </c>
      <c r="G39" s="416">
        <v>168390476</v>
      </c>
      <c r="H39" s="416">
        <v>248581777</v>
      </c>
      <c r="I39" s="400" t="s">
        <v>158</v>
      </c>
      <c r="J39" s="400" t="s">
        <v>795</v>
      </c>
      <c r="K39" s="401">
        <v>159798</v>
      </c>
      <c r="L39" s="400" t="s">
        <v>781</v>
      </c>
      <c r="M39" s="2"/>
      <c r="N39" s="2"/>
      <c r="O39" s="4"/>
    </row>
    <row r="40" spans="1:15" ht="15" x14ac:dyDescent="0.25">
      <c r="A40" s="400" t="s">
        <v>305</v>
      </c>
      <c r="B40" s="400" t="s">
        <v>452</v>
      </c>
      <c r="C40" s="416">
        <v>2892</v>
      </c>
      <c r="D40" s="416">
        <v>3369</v>
      </c>
      <c r="E40" s="416">
        <v>6261</v>
      </c>
      <c r="F40" s="416">
        <v>150081172</v>
      </c>
      <c r="G40" s="416">
        <v>210930589</v>
      </c>
      <c r="H40" s="416">
        <v>361011762</v>
      </c>
      <c r="I40" s="400" t="s">
        <v>69</v>
      </c>
      <c r="J40" s="400" t="s">
        <v>798</v>
      </c>
      <c r="K40" s="401">
        <v>183178</v>
      </c>
      <c r="L40" s="400" t="s">
        <v>301</v>
      </c>
      <c r="M40" s="2"/>
      <c r="N40" s="2"/>
      <c r="O40" s="4"/>
    </row>
    <row r="41" spans="1:15" ht="15" x14ac:dyDescent="0.25">
      <c r="A41" s="400" t="s">
        <v>1106</v>
      </c>
      <c r="B41" s="400" t="s">
        <v>904</v>
      </c>
      <c r="C41" s="416">
        <v>4850</v>
      </c>
      <c r="D41" s="416">
        <v>4088</v>
      </c>
      <c r="E41" s="416">
        <v>8938</v>
      </c>
      <c r="F41" s="416">
        <v>620225519</v>
      </c>
      <c r="G41" s="416">
        <v>586302981</v>
      </c>
      <c r="H41" s="416">
        <v>1206528500</v>
      </c>
      <c r="I41" s="400" t="s">
        <v>69</v>
      </c>
      <c r="J41" s="400" t="s">
        <v>795</v>
      </c>
      <c r="K41" s="401">
        <v>322008</v>
      </c>
      <c r="L41" s="400" t="s">
        <v>863</v>
      </c>
      <c r="M41" s="2"/>
      <c r="N41" s="2"/>
      <c r="O41" s="4"/>
    </row>
    <row r="42" spans="1:15" ht="15" x14ac:dyDescent="0.25">
      <c r="A42" s="400" t="s">
        <v>1109</v>
      </c>
      <c r="B42" s="400" t="s">
        <v>749</v>
      </c>
      <c r="C42" s="416">
        <v>10</v>
      </c>
      <c r="D42" s="416">
        <v>18</v>
      </c>
      <c r="E42" s="416">
        <v>28</v>
      </c>
      <c r="F42" s="416">
        <v>716555</v>
      </c>
      <c r="G42" s="416">
        <v>1250744</v>
      </c>
      <c r="H42" s="416">
        <v>1967299</v>
      </c>
      <c r="I42" s="400" t="s">
        <v>158</v>
      </c>
      <c r="J42" s="400" t="s">
        <v>799</v>
      </c>
      <c r="K42" s="401">
        <v>670505</v>
      </c>
      <c r="L42" s="400" t="s">
        <v>291</v>
      </c>
      <c r="M42" s="2"/>
      <c r="N42" s="2"/>
      <c r="O42" s="4"/>
    </row>
    <row r="43" spans="1:15" ht="15" x14ac:dyDescent="0.25">
      <c r="A43" s="400" t="s">
        <v>223</v>
      </c>
      <c r="B43" s="400" t="s">
        <v>240</v>
      </c>
      <c r="C43" s="416">
        <v>18112</v>
      </c>
      <c r="D43" s="416">
        <v>18035</v>
      </c>
      <c r="E43" s="416">
        <v>36147</v>
      </c>
      <c r="F43" s="416">
        <v>1125293128</v>
      </c>
      <c r="G43" s="416">
        <v>1380752643</v>
      </c>
      <c r="H43" s="416">
        <v>2506045771</v>
      </c>
      <c r="I43" s="400" t="s">
        <v>158</v>
      </c>
      <c r="J43" s="400" t="s">
        <v>798</v>
      </c>
      <c r="K43" s="401">
        <v>465914</v>
      </c>
      <c r="L43" s="400" t="s">
        <v>930</v>
      </c>
      <c r="M43" s="2"/>
      <c r="N43" s="2"/>
      <c r="O43" s="4"/>
    </row>
    <row r="44" spans="1:15" ht="15" x14ac:dyDescent="0.25">
      <c r="A44" s="400" t="s">
        <v>1096</v>
      </c>
      <c r="B44" s="400" t="s">
        <v>1097</v>
      </c>
      <c r="C44" s="416">
        <v>3232</v>
      </c>
      <c r="D44" s="416">
        <v>2549</v>
      </c>
      <c r="E44" s="416">
        <v>5781</v>
      </c>
      <c r="F44" s="416">
        <v>147360749</v>
      </c>
      <c r="G44" s="416">
        <v>140943252</v>
      </c>
      <c r="H44" s="416">
        <v>288304001</v>
      </c>
      <c r="I44" s="400" t="s">
        <v>158</v>
      </c>
      <c r="J44" s="400" t="s">
        <v>799</v>
      </c>
      <c r="K44" s="401">
        <v>613133</v>
      </c>
      <c r="L44" s="400" t="s">
        <v>195</v>
      </c>
      <c r="M44" s="2"/>
      <c r="N44" s="2"/>
      <c r="O44" s="4"/>
    </row>
    <row r="45" spans="1:15" ht="15" x14ac:dyDescent="0.25">
      <c r="A45" s="400" t="s">
        <v>1100</v>
      </c>
      <c r="B45" s="400" t="s">
        <v>1138</v>
      </c>
      <c r="C45" s="416">
        <v>15</v>
      </c>
      <c r="D45" s="416">
        <v>18</v>
      </c>
      <c r="E45" s="416">
        <v>33</v>
      </c>
      <c r="F45" s="416">
        <v>567578</v>
      </c>
      <c r="G45" s="416">
        <v>771835</v>
      </c>
      <c r="H45" s="416">
        <v>1339413</v>
      </c>
      <c r="I45" s="400" t="s">
        <v>69</v>
      </c>
      <c r="J45" s="400" t="s">
        <v>795</v>
      </c>
      <c r="K45" s="401">
        <v>271064</v>
      </c>
      <c r="L45" s="400" t="s">
        <v>387</v>
      </c>
      <c r="M45" s="2"/>
      <c r="N45" s="2"/>
      <c r="O45" s="4"/>
    </row>
    <row r="46" spans="1:15" ht="15" x14ac:dyDescent="0.25">
      <c r="A46" s="400" t="s">
        <v>185</v>
      </c>
      <c r="B46" s="400" t="s">
        <v>638</v>
      </c>
      <c r="C46" s="416">
        <v>714</v>
      </c>
      <c r="D46" s="416">
        <v>853</v>
      </c>
      <c r="E46" s="416">
        <v>1567</v>
      </c>
      <c r="F46" s="416">
        <v>32608305</v>
      </c>
      <c r="G46" s="416">
        <v>47514930</v>
      </c>
      <c r="H46" s="416">
        <v>80123235</v>
      </c>
      <c r="I46" s="400" t="s">
        <v>69</v>
      </c>
      <c r="J46" s="400" t="s">
        <v>798</v>
      </c>
      <c r="K46" s="401">
        <v>532325</v>
      </c>
      <c r="L46" s="400" t="s">
        <v>636</v>
      </c>
      <c r="M46" s="2"/>
      <c r="N46" s="2"/>
      <c r="O46" s="4"/>
    </row>
    <row r="47" spans="1:15" ht="15" customHeight="1" x14ac:dyDescent="0.25">
      <c r="A47" s="400" t="s">
        <v>185</v>
      </c>
      <c r="B47" s="400" t="s">
        <v>1095</v>
      </c>
      <c r="C47" s="416">
        <v>421</v>
      </c>
      <c r="D47" s="416">
        <v>407</v>
      </c>
      <c r="E47" s="416">
        <v>828</v>
      </c>
      <c r="F47" s="416">
        <v>20946894</v>
      </c>
      <c r="G47" s="416">
        <v>21924478</v>
      </c>
      <c r="H47" s="416">
        <v>42871372</v>
      </c>
      <c r="I47" s="400" t="s">
        <v>69</v>
      </c>
      <c r="J47" s="400" t="s">
        <v>798</v>
      </c>
      <c r="K47" s="401">
        <v>106492</v>
      </c>
      <c r="L47" s="400" t="s">
        <v>1129</v>
      </c>
      <c r="M47" s="2"/>
      <c r="N47" s="2"/>
      <c r="O47" s="4"/>
    </row>
    <row r="48" spans="1:15" ht="15" x14ac:dyDescent="0.25">
      <c r="A48" s="400" t="s">
        <v>1096</v>
      </c>
      <c r="B48" s="400" t="s">
        <v>1066</v>
      </c>
      <c r="C48" s="416">
        <v>478</v>
      </c>
      <c r="D48" s="416">
        <v>501</v>
      </c>
      <c r="E48" s="416">
        <v>979</v>
      </c>
      <c r="F48" s="416">
        <v>20294620</v>
      </c>
      <c r="G48" s="416">
        <v>26261026</v>
      </c>
      <c r="H48" s="416">
        <v>46555647</v>
      </c>
      <c r="I48" s="400" t="s">
        <v>158</v>
      </c>
      <c r="J48" s="400" t="s">
        <v>799</v>
      </c>
      <c r="K48" s="401">
        <v>134593</v>
      </c>
      <c r="L48" s="400" t="s">
        <v>241</v>
      </c>
      <c r="M48" s="2"/>
      <c r="N48" s="2"/>
      <c r="O48" s="4"/>
    </row>
    <row r="49" spans="1:15" ht="15" x14ac:dyDescent="0.25">
      <c r="A49" s="400" t="s">
        <v>1098</v>
      </c>
      <c r="B49" s="400" t="s">
        <v>226</v>
      </c>
      <c r="C49" s="416">
        <v>7754</v>
      </c>
      <c r="D49" s="416">
        <v>5363</v>
      </c>
      <c r="E49" s="416">
        <v>13117</v>
      </c>
      <c r="F49" s="416">
        <v>610342884</v>
      </c>
      <c r="G49" s="416">
        <v>462762469</v>
      </c>
      <c r="H49" s="416">
        <v>1073105352</v>
      </c>
      <c r="I49" s="400" t="s">
        <v>69</v>
      </c>
      <c r="J49" s="400" t="s">
        <v>799</v>
      </c>
      <c r="K49" s="401">
        <v>840090</v>
      </c>
      <c r="L49" s="400" t="s">
        <v>195</v>
      </c>
      <c r="M49" s="2"/>
      <c r="N49" s="2"/>
      <c r="O49" s="4"/>
    </row>
    <row r="50" spans="1:15" ht="15" x14ac:dyDescent="0.25">
      <c r="A50" s="400" t="s">
        <v>223</v>
      </c>
      <c r="B50" s="400" t="s">
        <v>353</v>
      </c>
      <c r="C50" s="416">
        <v>13436</v>
      </c>
      <c r="D50" s="416">
        <v>13496</v>
      </c>
      <c r="E50" s="416">
        <v>26932</v>
      </c>
      <c r="F50" s="416">
        <v>657577995</v>
      </c>
      <c r="G50" s="416">
        <v>790198338</v>
      </c>
      <c r="H50" s="416">
        <v>1447776332</v>
      </c>
      <c r="I50" s="400" t="s">
        <v>158</v>
      </c>
      <c r="J50" s="400" t="s">
        <v>798</v>
      </c>
      <c r="K50" s="401">
        <v>203067</v>
      </c>
      <c r="L50" s="400" t="s">
        <v>195</v>
      </c>
      <c r="M50" s="2"/>
      <c r="N50" s="2"/>
      <c r="O50" s="4"/>
    </row>
    <row r="51" spans="1:15" ht="15" x14ac:dyDescent="0.25">
      <c r="A51" s="400" t="s">
        <v>163</v>
      </c>
      <c r="B51" s="400" t="s">
        <v>267</v>
      </c>
      <c r="C51" s="416">
        <v>7466</v>
      </c>
      <c r="D51" s="416">
        <v>6578</v>
      </c>
      <c r="E51" s="416">
        <v>14044</v>
      </c>
      <c r="F51" s="416">
        <v>595115047</v>
      </c>
      <c r="G51" s="416">
        <v>598528776</v>
      </c>
      <c r="H51" s="416">
        <v>1193643823</v>
      </c>
      <c r="I51" s="400" t="s">
        <v>158</v>
      </c>
      <c r="J51" s="400" t="s">
        <v>792</v>
      </c>
      <c r="K51" s="401">
        <v>972679</v>
      </c>
      <c r="L51" s="400" t="s">
        <v>213</v>
      </c>
      <c r="M51" s="2"/>
      <c r="N51" s="2"/>
      <c r="O51" s="4"/>
    </row>
    <row r="52" spans="1:15" ht="15" x14ac:dyDescent="0.25">
      <c r="A52" s="400" t="s">
        <v>185</v>
      </c>
      <c r="B52" s="400" t="s">
        <v>216</v>
      </c>
      <c r="C52" s="416">
        <v>3087</v>
      </c>
      <c r="D52" s="416">
        <v>4142</v>
      </c>
      <c r="E52" s="416">
        <v>7229</v>
      </c>
      <c r="F52" s="416">
        <v>165478825</v>
      </c>
      <c r="G52" s="416">
        <v>246689832</v>
      </c>
      <c r="H52" s="416">
        <v>412168657</v>
      </c>
      <c r="I52" s="400" t="s">
        <v>158</v>
      </c>
      <c r="J52" s="400" t="s">
        <v>798</v>
      </c>
      <c r="K52" s="401">
        <v>407064</v>
      </c>
      <c r="L52" s="400" t="s">
        <v>182</v>
      </c>
      <c r="M52" s="2"/>
      <c r="N52" s="2"/>
      <c r="O52" s="4"/>
    </row>
    <row r="53" spans="1:15" ht="15" x14ac:dyDescent="0.25">
      <c r="A53" s="400" t="s">
        <v>223</v>
      </c>
      <c r="B53" s="400" t="s">
        <v>262</v>
      </c>
      <c r="C53" s="416">
        <v>85</v>
      </c>
      <c r="D53" s="416">
        <v>124</v>
      </c>
      <c r="E53" s="416">
        <v>209</v>
      </c>
      <c r="F53" s="416">
        <v>5154643</v>
      </c>
      <c r="G53" s="416">
        <v>8900546</v>
      </c>
      <c r="H53" s="416">
        <v>14055189</v>
      </c>
      <c r="I53" s="400" t="s">
        <v>158</v>
      </c>
      <c r="J53" s="400" t="s">
        <v>798</v>
      </c>
      <c r="K53" s="401">
        <v>292193</v>
      </c>
      <c r="L53" s="400" t="s">
        <v>230</v>
      </c>
      <c r="M53" s="2"/>
      <c r="N53" s="2"/>
      <c r="O53" s="4"/>
    </row>
    <row r="54" spans="1:15" ht="15" x14ac:dyDescent="0.25">
      <c r="A54" s="400" t="s">
        <v>223</v>
      </c>
      <c r="B54" s="400" t="s">
        <v>109</v>
      </c>
      <c r="C54" s="416">
        <v>111461</v>
      </c>
      <c r="D54" s="416">
        <v>118297</v>
      </c>
      <c r="E54" s="416">
        <v>229758</v>
      </c>
      <c r="F54" s="416">
        <v>9052976113</v>
      </c>
      <c r="G54" s="416">
        <v>12006037862</v>
      </c>
      <c r="H54" s="416">
        <v>21059013975</v>
      </c>
      <c r="I54" s="400" t="s">
        <v>158</v>
      </c>
      <c r="J54" s="400" t="s">
        <v>798</v>
      </c>
      <c r="K54" s="401">
        <v>681783</v>
      </c>
      <c r="L54" s="400" t="s">
        <v>172</v>
      </c>
      <c r="M54" s="2"/>
      <c r="N54" s="2"/>
      <c r="O54" s="4"/>
    </row>
    <row r="55" spans="1:15" ht="15" x14ac:dyDescent="0.25">
      <c r="A55" s="400" t="s">
        <v>1113</v>
      </c>
      <c r="B55" s="400" t="s">
        <v>764</v>
      </c>
      <c r="C55" s="416">
        <v>198</v>
      </c>
      <c r="D55" s="416">
        <v>390</v>
      </c>
      <c r="E55" s="416">
        <v>588</v>
      </c>
      <c r="F55" s="416">
        <v>7355737</v>
      </c>
      <c r="G55" s="416">
        <v>17558953</v>
      </c>
      <c r="H55" s="416">
        <v>24914690</v>
      </c>
      <c r="I55" s="400" t="s">
        <v>69</v>
      </c>
      <c r="J55" s="400" t="s">
        <v>798</v>
      </c>
      <c r="K55" s="401">
        <v>250878</v>
      </c>
      <c r="L55" s="400" t="s">
        <v>768</v>
      </c>
      <c r="M55" s="2"/>
      <c r="N55" s="2"/>
      <c r="O55" s="4"/>
    </row>
    <row r="56" spans="1:15" ht="15" x14ac:dyDescent="0.25">
      <c r="A56" s="400" t="s">
        <v>219</v>
      </c>
      <c r="B56" s="400" t="s">
        <v>823</v>
      </c>
      <c r="C56" s="416">
        <v>183</v>
      </c>
      <c r="D56" s="416">
        <v>258</v>
      </c>
      <c r="E56" s="416">
        <v>441</v>
      </c>
      <c r="F56" s="416">
        <v>7420320</v>
      </c>
      <c r="G56" s="416">
        <v>13536225</v>
      </c>
      <c r="H56" s="416">
        <v>20956545</v>
      </c>
      <c r="I56" s="400" t="s">
        <v>69</v>
      </c>
      <c r="J56" s="400" t="s">
        <v>798</v>
      </c>
      <c r="K56" s="401">
        <v>916122</v>
      </c>
      <c r="L56" s="400" t="s">
        <v>556</v>
      </c>
      <c r="M56" s="2"/>
      <c r="N56" s="2"/>
      <c r="O56" s="4"/>
    </row>
    <row r="57" spans="1:15" ht="15" x14ac:dyDescent="0.25">
      <c r="A57" s="400" t="s">
        <v>296</v>
      </c>
      <c r="B57" s="400" t="s">
        <v>821</v>
      </c>
      <c r="C57" s="416">
        <v>365</v>
      </c>
      <c r="D57" s="416">
        <v>840</v>
      </c>
      <c r="E57" s="416">
        <v>1205</v>
      </c>
      <c r="F57" s="416">
        <v>16628693</v>
      </c>
      <c r="G57" s="416">
        <v>46737021</v>
      </c>
      <c r="H57" s="416">
        <v>63365714</v>
      </c>
      <c r="I57" s="400" t="s">
        <v>69</v>
      </c>
      <c r="J57" s="400" t="s">
        <v>798</v>
      </c>
      <c r="K57" s="401">
        <v>410258</v>
      </c>
      <c r="L57" s="400" t="s">
        <v>556</v>
      </c>
      <c r="M57" s="2"/>
      <c r="N57" s="2"/>
      <c r="O57" s="4"/>
    </row>
    <row r="58" spans="1:15" ht="15" x14ac:dyDescent="0.25">
      <c r="A58" s="400" t="s">
        <v>1106</v>
      </c>
      <c r="B58" s="400" t="s">
        <v>445</v>
      </c>
      <c r="C58" s="416">
        <v>935</v>
      </c>
      <c r="D58" s="416">
        <v>816</v>
      </c>
      <c r="E58" s="416">
        <v>1751</v>
      </c>
      <c r="F58" s="416">
        <v>98891265</v>
      </c>
      <c r="G58" s="416">
        <v>91365109</v>
      </c>
      <c r="H58" s="416">
        <v>190256374</v>
      </c>
      <c r="I58" s="400" t="s">
        <v>158</v>
      </c>
      <c r="J58" s="400" t="s">
        <v>795</v>
      </c>
      <c r="K58" s="401">
        <v>927632</v>
      </c>
      <c r="L58" s="400" t="s">
        <v>211</v>
      </c>
      <c r="M58" s="2"/>
      <c r="N58" s="2"/>
      <c r="O58" s="4"/>
    </row>
    <row r="59" spans="1:15" ht="15" x14ac:dyDescent="0.25">
      <c r="A59" s="400" t="s">
        <v>1108</v>
      </c>
      <c r="B59" s="400" t="s">
        <v>754</v>
      </c>
      <c r="C59" s="416">
        <v>57</v>
      </c>
      <c r="D59" s="416">
        <v>72</v>
      </c>
      <c r="E59" s="416">
        <v>129</v>
      </c>
      <c r="F59" s="416">
        <v>3104829</v>
      </c>
      <c r="G59" s="416">
        <v>4731926</v>
      </c>
      <c r="H59" s="416">
        <v>7836755</v>
      </c>
      <c r="I59" s="400" t="s">
        <v>69</v>
      </c>
      <c r="J59" s="400" t="s">
        <v>799</v>
      </c>
      <c r="K59" s="401">
        <v>873505</v>
      </c>
      <c r="L59" s="400" t="s">
        <v>476</v>
      </c>
      <c r="M59" s="2"/>
      <c r="N59" s="2"/>
      <c r="O59" s="4"/>
    </row>
    <row r="60" spans="1:15" ht="15" x14ac:dyDescent="0.25">
      <c r="A60" s="400" t="s">
        <v>185</v>
      </c>
      <c r="B60" s="400" t="s">
        <v>645</v>
      </c>
      <c r="C60" s="416">
        <v>115</v>
      </c>
      <c r="D60" s="416">
        <v>142</v>
      </c>
      <c r="E60" s="416">
        <v>257</v>
      </c>
      <c r="F60" s="416">
        <v>5705822</v>
      </c>
      <c r="G60" s="416">
        <v>7732613</v>
      </c>
      <c r="H60" s="416">
        <v>13438435</v>
      </c>
      <c r="I60" s="400" t="s">
        <v>69</v>
      </c>
      <c r="J60" s="400" t="s">
        <v>798</v>
      </c>
      <c r="K60" s="401">
        <v>202002</v>
      </c>
      <c r="L60" s="400" t="s">
        <v>646</v>
      </c>
      <c r="M60" s="2"/>
      <c r="N60" s="2"/>
      <c r="O60" s="4"/>
    </row>
    <row r="61" spans="1:15" ht="15" x14ac:dyDescent="0.25">
      <c r="A61" s="400" t="s">
        <v>1087</v>
      </c>
      <c r="B61" s="400" t="s">
        <v>254</v>
      </c>
      <c r="C61" s="416">
        <v>42442</v>
      </c>
      <c r="D61" s="416">
        <v>35242</v>
      </c>
      <c r="E61" s="416">
        <v>77684</v>
      </c>
      <c r="F61" s="416">
        <v>6372778621</v>
      </c>
      <c r="G61" s="416">
        <v>6206942042</v>
      </c>
      <c r="H61" s="416">
        <v>12579720663</v>
      </c>
      <c r="I61" s="400" t="s">
        <v>158</v>
      </c>
      <c r="J61" s="400" t="s">
        <v>792</v>
      </c>
      <c r="K61" s="401">
        <v>287656</v>
      </c>
      <c r="L61" s="400" t="s">
        <v>195</v>
      </c>
      <c r="M61" s="2"/>
      <c r="N61" s="2"/>
      <c r="O61" s="4"/>
    </row>
    <row r="62" spans="1:15" ht="15" x14ac:dyDescent="0.25">
      <c r="A62" s="400" t="s">
        <v>1114</v>
      </c>
      <c r="B62" s="400" t="s">
        <v>827</v>
      </c>
      <c r="C62" s="416">
        <v>5</v>
      </c>
      <c r="D62" s="416">
        <v>15</v>
      </c>
      <c r="E62" s="416">
        <v>20</v>
      </c>
      <c r="F62" s="416">
        <v>382298</v>
      </c>
      <c r="G62" s="416">
        <v>715072</v>
      </c>
      <c r="H62" s="416">
        <v>1097370</v>
      </c>
      <c r="I62" s="400" t="s">
        <v>69</v>
      </c>
      <c r="J62" s="400" t="s">
        <v>798</v>
      </c>
      <c r="K62" s="401">
        <v>816249</v>
      </c>
      <c r="L62" s="400" t="s">
        <v>805</v>
      </c>
      <c r="M62" s="2"/>
      <c r="N62" s="2"/>
      <c r="O62" s="4"/>
    </row>
    <row r="63" spans="1:15" ht="15" customHeight="1" x14ac:dyDescent="0.25">
      <c r="A63" s="400" t="s">
        <v>1089</v>
      </c>
      <c r="B63" s="400" t="s">
        <v>1075</v>
      </c>
      <c r="C63" s="416">
        <v>5</v>
      </c>
      <c r="D63" s="416">
        <v>9</v>
      </c>
      <c r="E63" s="416">
        <v>14</v>
      </c>
      <c r="F63" s="416">
        <v>377382</v>
      </c>
      <c r="G63" s="416">
        <v>1415152</v>
      </c>
      <c r="H63" s="416">
        <v>1792533</v>
      </c>
      <c r="I63" s="400" t="s">
        <v>69</v>
      </c>
      <c r="J63" s="400" t="s">
        <v>795</v>
      </c>
      <c r="K63" s="401">
        <v>925503</v>
      </c>
      <c r="L63" s="400" t="s">
        <v>838</v>
      </c>
      <c r="M63" s="2"/>
      <c r="N63" s="2"/>
      <c r="O63" s="4"/>
    </row>
    <row r="64" spans="1:15" ht="15" x14ac:dyDescent="0.25">
      <c r="A64" s="400" t="s">
        <v>1088</v>
      </c>
      <c r="B64" s="400" t="s">
        <v>1034</v>
      </c>
      <c r="C64" s="416">
        <v>6</v>
      </c>
      <c r="D64" s="416">
        <v>15</v>
      </c>
      <c r="E64" s="416">
        <v>21</v>
      </c>
      <c r="F64" s="416">
        <v>483879</v>
      </c>
      <c r="G64" s="416">
        <v>2769360</v>
      </c>
      <c r="H64" s="416">
        <v>3253239</v>
      </c>
      <c r="I64" s="400" t="s">
        <v>69</v>
      </c>
      <c r="J64" s="400" t="s">
        <v>795</v>
      </c>
      <c r="K64" s="401">
        <v>507707</v>
      </c>
      <c r="L64" s="400" t="s">
        <v>838</v>
      </c>
      <c r="M64" s="2"/>
      <c r="N64" s="2"/>
      <c r="O64" s="4"/>
    </row>
    <row r="65" spans="1:15" ht="15" x14ac:dyDescent="0.25">
      <c r="A65" s="400" t="s">
        <v>1096</v>
      </c>
      <c r="B65" s="400" t="s">
        <v>167</v>
      </c>
      <c r="C65" s="416">
        <v>7832</v>
      </c>
      <c r="D65" s="416">
        <v>11698</v>
      </c>
      <c r="E65" s="416">
        <v>19530</v>
      </c>
      <c r="F65" s="416">
        <v>496879655</v>
      </c>
      <c r="G65" s="416">
        <v>923322670</v>
      </c>
      <c r="H65" s="416">
        <v>1420202325</v>
      </c>
      <c r="I65" s="400" t="s">
        <v>158</v>
      </c>
      <c r="J65" s="400" t="s">
        <v>799</v>
      </c>
      <c r="K65" s="401">
        <v>972497</v>
      </c>
      <c r="L65" s="400" t="s">
        <v>168</v>
      </c>
      <c r="M65" s="2"/>
      <c r="N65" s="2"/>
      <c r="O65" s="4"/>
    </row>
    <row r="66" spans="1:15" ht="15" x14ac:dyDescent="0.25">
      <c r="A66" s="400" t="s">
        <v>1096</v>
      </c>
      <c r="B66" s="400" t="s">
        <v>194</v>
      </c>
      <c r="C66" s="416">
        <v>25130</v>
      </c>
      <c r="D66" s="416">
        <v>19415</v>
      </c>
      <c r="E66" s="416">
        <v>44545</v>
      </c>
      <c r="F66" s="416">
        <v>902397405</v>
      </c>
      <c r="G66" s="416">
        <v>892754999</v>
      </c>
      <c r="H66" s="416">
        <v>1795152403</v>
      </c>
      <c r="I66" s="400" t="s">
        <v>158</v>
      </c>
      <c r="J66" s="400" t="s">
        <v>799</v>
      </c>
      <c r="K66" s="401">
        <v>717611</v>
      </c>
      <c r="L66" s="400" t="s">
        <v>175</v>
      </c>
      <c r="M66" s="2"/>
      <c r="N66" s="2"/>
      <c r="O66" s="4"/>
    </row>
    <row r="67" spans="1:15" ht="15" x14ac:dyDescent="0.25">
      <c r="A67" s="400" t="s">
        <v>328</v>
      </c>
      <c r="B67" s="400" t="s">
        <v>710</v>
      </c>
      <c r="C67" s="416">
        <v>24</v>
      </c>
      <c r="D67" s="416">
        <v>65</v>
      </c>
      <c r="E67" s="416">
        <v>89</v>
      </c>
      <c r="F67" s="416">
        <v>1038394</v>
      </c>
      <c r="G67" s="416">
        <v>3047960</v>
      </c>
      <c r="H67" s="416">
        <v>4086354</v>
      </c>
      <c r="I67" s="400" t="s">
        <v>69</v>
      </c>
      <c r="J67" s="400" t="s">
        <v>798</v>
      </c>
      <c r="K67" s="401">
        <v>717371</v>
      </c>
      <c r="L67" s="400" t="s">
        <v>1029</v>
      </c>
      <c r="M67" s="2"/>
      <c r="N67" s="2"/>
      <c r="O67" s="4"/>
    </row>
    <row r="68" spans="1:15" ht="15" x14ac:dyDescent="0.25">
      <c r="A68" s="400" t="s">
        <v>185</v>
      </c>
      <c r="B68" s="400" t="s">
        <v>586</v>
      </c>
      <c r="C68" s="416">
        <v>1457</v>
      </c>
      <c r="D68" s="416">
        <v>1246</v>
      </c>
      <c r="E68" s="416">
        <v>2703</v>
      </c>
      <c r="F68" s="416">
        <v>58179201</v>
      </c>
      <c r="G68" s="416">
        <v>61154974</v>
      </c>
      <c r="H68" s="416">
        <v>119334174</v>
      </c>
      <c r="I68" s="400" t="s">
        <v>69</v>
      </c>
      <c r="J68" s="400" t="s">
        <v>798</v>
      </c>
      <c r="K68" s="401">
        <v>488932</v>
      </c>
      <c r="L68" s="400" t="s">
        <v>777</v>
      </c>
      <c r="M68" s="2"/>
      <c r="N68" s="2"/>
      <c r="O68" s="4"/>
    </row>
    <row r="69" spans="1:15" ht="15" x14ac:dyDescent="0.25">
      <c r="A69" s="400" t="s">
        <v>223</v>
      </c>
      <c r="B69" s="400" t="s">
        <v>782</v>
      </c>
      <c r="C69" s="416">
        <v>8610</v>
      </c>
      <c r="D69" s="416">
        <v>11511</v>
      </c>
      <c r="E69" s="416">
        <v>20121</v>
      </c>
      <c r="F69" s="416">
        <v>343365425</v>
      </c>
      <c r="G69" s="416">
        <v>548191382</v>
      </c>
      <c r="H69" s="416">
        <v>891556806</v>
      </c>
      <c r="I69" s="400" t="s">
        <v>69</v>
      </c>
      <c r="J69" s="400" t="s">
        <v>798</v>
      </c>
      <c r="K69" s="401">
        <v>835074</v>
      </c>
      <c r="L69" s="400" t="s">
        <v>330</v>
      </c>
      <c r="M69" s="2"/>
      <c r="N69" s="2"/>
      <c r="O69" s="4"/>
    </row>
    <row r="70" spans="1:15" ht="15" x14ac:dyDescent="0.25">
      <c r="A70" s="400" t="s">
        <v>1113</v>
      </c>
      <c r="B70" s="400" t="s">
        <v>672</v>
      </c>
      <c r="C70" s="416">
        <v>150</v>
      </c>
      <c r="D70" s="416">
        <v>238</v>
      </c>
      <c r="E70" s="416">
        <v>388</v>
      </c>
      <c r="F70" s="416">
        <v>6020411</v>
      </c>
      <c r="G70" s="416">
        <v>12143723</v>
      </c>
      <c r="H70" s="416">
        <v>18164134</v>
      </c>
      <c r="I70" s="400" t="s">
        <v>69</v>
      </c>
      <c r="J70" s="400" t="s">
        <v>798</v>
      </c>
      <c r="K70" s="401">
        <v>166173</v>
      </c>
      <c r="L70" s="400" t="s">
        <v>775</v>
      </c>
      <c r="M70" s="2"/>
      <c r="N70" s="2"/>
      <c r="O70" s="4"/>
    </row>
    <row r="71" spans="1:15" ht="15" x14ac:dyDescent="0.25">
      <c r="A71" s="400" t="s">
        <v>325</v>
      </c>
      <c r="B71" s="400" t="s">
        <v>512</v>
      </c>
      <c r="C71" s="416">
        <v>2058</v>
      </c>
      <c r="D71" s="416">
        <v>2797</v>
      </c>
      <c r="E71" s="416">
        <v>4855</v>
      </c>
      <c r="F71" s="416">
        <v>86474266</v>
      </c>
      <c r="G71" s="416">
        <v>148199343</v>
      </c>
      <c r="H71" s="416">
        <v>234673609</v>
      </c>
      <c r="I71" s="400" t="s">
        <v>69</v>
      </c>
      <c r="J71" s="400" t="s">
        <v>798</v>
      </c>
      <c r="K71" s="401">
        <v>668269</v>
      </c>
      <c r="L71" s="400" t="s">
        <v>202</v>
      </c>
      <c r="M71" s="2"/>
      <c r="N71" s="2"/>
      <c r="O71" s="4"/>
    </row>
    <row r="72" spans="1:15" ht="15" x14ac:dyDescent="0.25">
      <c r="A72" s="400" t="s">
        <v>302</v>
      </c>
      <c r="B72" s="400" t="s">
        <v>963</v>
      </c>
      <c r="C72" s="416">
        <v>40</v>
      </c>
      <c r="D72" s="416">
        <v>66</v>
      </c>
      <c r="E72" s="416">
        <v>106</v>
      </c>
      <c r="F72" s="416">
        <v>1707933</v>
      </c>
      <c r="G72" s="416">
        <v>4474381</v>
      </c>
      <c r="H72" s="416">
        <v>6182314</v>
      </c>
      <c r="I72" s="400" t="s">
        <v>69</v>
      </c>
      <c r="J72" s="400" t="s">
        <v>798</v>
      </c>
      <c r="K72" s="401">
        <v>295972</v>
      </c>
      <c r="L72" s="400" t="s">
        <v>476</v>
      </c>
      <c r="M72" s="2"/>
      <c r="N72" s="2"/>
      <c r="O72" s="4"/>
    </row>
    <row r="73" spans="1:15" ht="15" x14ac:dyDescent="0.25">
      <c r="A73" s="400" t="s">
        <v>1089</v>
      </c>
      <c r="B73" s="400" t="s">
        <v>1043</v>
      </c>
      <c r="C73" s="416">
        <v>298</v>
      </c>
      <c r="D73" s="416">
        <v>302</v>
      </c>
      <c r="E73" s="416">
        <v>600</v>
      </c>
      <c r="F73" s="416">
        <v>70182700</v>
      </c>
      <c r="G73" s="416">
        <v>84154527</v>
      </c>
      <c r="H73" s="416">
        <v>154337227</v>
      </c>
      <c r="I73" s="400" t="s">
        <v>158</v>
      </c>
      <c r="J73" s="400" t="s">
        <v>795</v>
      </c>
      <c r="K73" s="401">
        <v>787671</v>
      </c>
      <c r="L73" s="400" t="s">
        <v>1035</v>
      </c>
      <c r="M73" s="2"/>
      <c r="N73" s="2"/>
      <c r="O73" s="4"/>
    </row>
    <row r="74" spans="1:15" ht="15" x14ac:dyDescent="0.25">
      <c r="A74" s="400" t="s">
        <v>305</v>
      </c>
      <c r="B74" s="400" t="s">
        <v>689</v>
      </c>
      <c r="C74" s="416">
        <v>880</v>
      </c>
      <c r="D74" s="416">
        <v>1209</v>
      </c>
      <c r="E74" s="416">
        <v>2089</v>
      </c>
      <c r="F74" s="416">
        <v>57947005</v>
      </c>
      <c r="G74" s="416">
        <v>86290532</v>
      </c>
      <c r="H74" s="416">
        <v>144237537</v>
      </c>
      <c r="I74" s="400" t="s">
        <v>69</v>
      </c>
      <c r="J74" s="400" t="s">
        <v>798</v>
      </c>
      <c r="K74" s="401">
        <v>917716</v>
      </c>
      <c r="L74" s="400" t="s">
        <v>612</v>
      </c>
      <c r="M74" s="2"/>
      <c r="N74" s="2"/>
      <c r="O74" s="4"/>
    </row>
    <row r="75" spans="1:15" ht="15" x14ac:dyDescent="0.25">
      <c r="A75" s="400" t="s">
        <v>264</v>
      </c>
      <c r="B75" s="400" t="s">
        <v>473</v>
      </c>
      <c r="C75" s="416">
        <v>23195</v>
      </c>
      <c r="D75" s="416">
        <v>27349</v>
      </c>
      <c r="E75" s="416">
        <v>50544</v>
      </c>
      <c r="F75" s="416">
        <v>2000568741</v>
      </c>
      <c r="G75" s="416">
        <v>2866796365</v>
      </c>
      <c r="H75" s="416">
        <v>4867365107</v>
      </c>
      <c r="I75" s="400" t="s">
        <v>158</v>
      </c>
      <c r="J75" s="400" t="s">
        <v>798</v>
      </c>
      <c r="K75" s="401">
        <v>842690</v>
      </c>
      <c r="L75" s="400" t="s">
        <v>200</v>
      </c>
      <c r="M75" s="2"/>
      <c r="N75" s="2"/>
      <c r="O75" s="4"/>
    </row>
    <row r="76" spans="1:15" ht="15" x14ac:dyDescent="0.25">
      <c r="A76" s="400" t="s">
        <v>325</v>
      </c>
      <c r="B76" s="400" t="s">
        <v>605</v>
      </c>
      <c r="C76" s="416">
        <v>4506</v>
      </c>
      <c r="D76" s="416">
        <v>4496</v>
      </c>
      <c r="E76" s="416">
        <v>9002</v>
      </c>
      <c r="F76" s="416">
        <v>216484682</v>
      </c>
      <c r="G76" s="416">
        <v>254149904</v>
      </c>
      <c r="H76" s="416">
        <v>470634586</v>
      </c>
      <c r="I76" s="400" t="s">
        <v>69</v>
      </c>
      <c r="J76" s="400" t="s">
        <v>798</v>
      </c>
      <c r="K76" s="401">
        <v>598557</v>
      </c>
      <c r="L76" s="400" t="s">
        <v>600</v>
      </c>
      <c r="M76" s="2"/>
      <c r="N76" s="2"/>
      <c r="O76" s="4"/>
    </row>
    <row r="77" spans="1:15" ht="15" x14ac:dyDescent="0.25">
      <c r="A77" s="400" t="s">
        <v>1098</v>
      </c>
      <c r="B77" s="400" t="s">
        <v>841</v>
      </c>
      <c r="C77" s="416">
        <v>40</v>
      </c>
      <c r="D77" s="416">
        <v>61</v>
      </c>
      <c r="E77" s="416">
        <v>101</v>
      </c>
      <c r="F77" s="416">
        <v>1708391</v>
      </c>
      <c r="G77" s="416">
        <v>3542174</v>
      </c>
      <c r="H77" s="416">
        <v>5250565</v>
      </c>
      <c r="I77" s="400" t="s">
        <v>158</v>
      </c>
      <c r="J77" s="400" t="s">
        <v>799</v>
      </c>
      <c r="K77" s="401">
        <v>721506</v>
      </c>
      <c r="L77" s="400" t="s">
        <v>182</v>
      </c>
      <c r="M77" s="2"/>
      <c r="N77" s="2"/>
      <c r="O77" s="4"/>
    </row>
    <row r="78" spans="1:15" ht="15" x14ac:dyDescent="0.25">
      <c r="A78" s="400" t="s">
        <v>1108</v>
      </c>
      <c r="B78" s="400" t="s">
        <v>402</v>
      </c>
      <c r="C78" s="416">
        <v>454</v>
      </c>
      <c r="D78" s="416">
        <v>537</v>
      </c>
      <c r="E78" s="416">
        <v>991</v>
      </c>
      <c r="F78" s="416">
        <v>21145340</v>
      </c>
      <c r="G78" s="416">
        <v>29351275</v>
      </c>
      <c r="H78" s="416">
        <v>50496616</v>
      </c>
      <c r="I78" s="400" t="s">
        <v>69</v>
      </c>
      <c r="J78" s="400" t="s">
        <v>799</v>
      </c>
      <c r="K78" s="401">
        <v>955435</v>
      </c>
      <c r="L78" s="400" t="s">
        <v>330</v>
      </c>
      <c r="M78" s="2"/>
      <c r="N78" s="2"/>
      <c r="O78" s="4"/>
    </row>
    <row r="79" spans="1:15" ht="15" x14ac:dyDescent="0.25">
      <c r="A79" s="400" t="s">
        <v>1099</v>
      </c>
      <c r="B79" s="400" t="s">
        <v>978</v>
      </c>
      <c r="C79" s="416">
        <v>38</v>
      </c>
      <c r="D79" s="416">
        <v>74</v>
      </c>
      <c r="E79" s="416">
        <v>112</v>
      </c>
      <c r="F79" s="416">
        <v>1996869</v>
      </c>
      <c r="G79" s="416">
        <v>4054699</v>
      </c>
      <c r="H79" s="416">
        <v>6051568</v>
      </c>
      <c r="I79" s="400" t="s">
        <v>69</v>
      </c>
      <c r="J79" s="400" t="s">
        <v>799</v>
      </c>
      <c r="K79" s="401">
        <v>492595</v>
      </c>
      <c r="L79" s="400" t="s">
        <v>770</v>
      </c>
      <c r="M79" s="2"/>
      <c r="N79" s="2"/>
      <c r="O79" s="4"/>
    </row>
    <row r="80" spans="1:15" ht="15" x14ac:dyDescent="0.25">
      <c r="A80" s="400" t="s">
        <v>302</v>
      </c>
      <c r="B80" s="400" t="s">
        <v>637</v>
      </c>
      <c r="C80" s="416">
        <v>723</v>
      </c>
      <c r="D80" s="416">
        <v>993</v>
      </c>
      <c r="E80" s="416">
        <v>1716</v>
      </c>
      <c r="F80" s="416">
        <v>22903686</v>
      </c>
      <c r="G80" s="416">
        <v>40979460</v>
      </c>
      <c r="H80" s="416">
        <v>63883147</v>
      </c>
      <c r="I80" s="400" t="s">
        <v>69</v>
      </c>
      <c r="J80" s="400" t="s">
        <v>798</v>
      </c>
      <c r="K80" s="401">
        <v>670091</v>
      </c>
      <c r="L80" s="400" t="s">
        <v>558</v>
      </c>
      <c r="M80" s="2"/>
      <c r="N80" s="2"/>
      <c r="O80" s="4"/>
    </row>
    <row r="81" spans="1:15" ht="15" x14ac:dyDescent="0.25">
      <c r="A81" s="400" t="s">
        <v>305</v>
      </c>
      <c r="B81" s="400" t="s">
        <v>565</v>
      </c>
      <c r="C81" s="416">
        <v>292</v>
      </c>
      <c r="D81" s="416">
        <v>447</v>
      </c>
      <c r="E81" s="416">
        <v>739</v>
      </c>
      <c r="F81" s="416">
        <v>10266892</v>
      </c>
      <c r="G81" s="416">
        <v>18007020</v>
      </c>
      <c r="H81" s="416">
        <v>28273912</v>
      </c>
      <c r="I81" s="400" t="s">
        <v>158</v>
      </c>
      <c r="J81" s="400" t="s">
        <v>798</v>
      </c>
      <c r="K81" s="401">
        <v>154369</v>
      </c>
      <c r="L81" s="400" t="s">
        <v>409</v>
      </c>
      <c r="M81" s="2"/>
      <c r="N81" s="2"/>
      <c r="O81" s="4"/>
    </row>
    <row r="82" spans="1:15" ht="15" x14ac:dyDescent="0.25">
      <c r="A82" s="400" t="s">
        <v>1096</v>
      </c>
      <c r="B82" s="400" t="s">
        <v>199</v>
      </c>
      <c r="C82" s="416">
        <v>4125</v>
      </c>
      <c r="D82" s="416">
        <v>4367</v>
      </c>
      <c r="E82" s="416">
        <v>8492</v>
      </c>
      <c r="F82" s="416">
        <v>180336681</v>
      </c>
      <c r="G82" s="416">
        <v>231303913</v>
      </c>
      <c r="H82" s="416">
        <v>411640594</v>
      </c>
      <c r="I82" s="400" t="s">
        <v>158</v>
      </c>
      <c r="J82" s="400" t="s">
        <v>799</v>
      </c>
      <c r="K82" s="401">
        <v>478313</v>
      </c>
      <c r="L82" s="400" t="s">
        <v>200</v>
      </c>
      <c r="M82" s="2"/>
      <c r="N82" s="2"/>
      <c r="O82" s="4"/>
    </row>
    <row r="83" spans="1:15" ht="15" customHeight="1" x14ac:dyDescent="0.25">
      <c r="A83" s="400" t="s">
        <v>185</v>
      </c>
      <c r="B83" s="400" t="s">
        <v>1009</v>
      </c>
      <c r="C83" s="416">
        <v>2848</v>
      </c>
      <c r="D83" s="416">
        <v>4326</v>
      </c>
      <c r="E83" s="416">
        <v>7174</v>
      </c>
      <c r="F83" s="416">
        <v>166313939</v>
      </c>
      <c r="G83" s="416">
        <v>280163237</v>
      </c>
      <c r="H83" s="416">
        <v>446477177</v>
      </c>
      <c r="I83" s="400" t="s">
        <v>158</v>
      </c>
      <c r="J83" s="400" t="s">
        <v>798</v>
      </c>
      <c r="K83" s="401">
        <v>658997</v>
      </c>
      <c r="L83" s="400" t="s">
        <v>177</v>
      </c>
      <c r="M83" s="2"/>
      <c r="N83" s="2"/>
      <c r="O83" s="4"/>
    </row>
    <row r="84" spans="1:15" ht="15" x14ac:dyDescent="0.25">
      <c r="A84" s="400" t="s">
        <v>1087</v>
      </c>
      <c r="B84" s="400" t="s">
        <v>282</v>
      </c>
      <c r="C84" s="416">
        <v>1273</v>
      </c>
      <c r="D84" s="416">
        <v>1189</v>
      </c>
      <c r="E84" s="416">
        <v>2462</v>
      </c>
      <c r="F84" s="416">
        <v>92472977</v>
      </c>
      <c r="G84" s="416">
        <v>105216398</v>
      </c>
      <c r="H84" s="416">
        <v>197689374</v>
      </c>
      <c r="I84" s="400" t="s">
        <v>158</v>
      </c>
      <c r="J84" s="400" t="s">
        <v>792</v>
      </c>
      <c r="K84" s="401">
        <v>832360</v>
      </c>
      <c r="L84" s="400" t="s">
        <v>177</v>
      </c>
      <c r="M84" s="2"/>
      <c r="N84" s="2"/>
      <c r="O84" s="4"/>
    </row>
    <row r="85" spans="1:15" ht="15" x14ac:dyDescent="0.25">
      <c r="A85" s="400" t="s">
        <v>302</v>
      </c>
      <c r="B85" s="400" t="s">
        <v>735</v>
      </c>
      <c r="C85" s="416">
        <v>133</v>
      </c>
      <c r="D85" s="416">
        <v>165</v>
      </c>
      <c r="E85" s="416">
        <v>298</v>
      </c>
      <c r="F85" s="416">
        <v>4739423</v>
      </c>
      <c r="G85" s="416">
        <v>6917792</v>
      </c>
      <c r="H85" s="416">
        <v>11657215</v>
      </c>
      <c r="I85" s="400" t="s">
        <v>69</v>
      </c>
      <c r="J85" s="400" t="s">
        <v>798</v>
      </c>
      <c r="K85" s="401">
        <v>404236</v>
      </c>
      <c r="L85" s="400" t="s">
        <v>1013</v>
      </c>
      <c r="M85" s="2"/>
      <c r="N85" s="2"/>
      <c r="O85" s="4"/>
    </row>
    <row r="86" spans="1:15" ht="15" x14ac:dyDescent="0.25">
      <c r="A86" s="400" t="s">
        <v>1091</v>
      </c>
      <c r="B86" s="400" t="s">
        <v>753</v>
      </c>
      <c r="C86" s="416">
        <v>152</v>
      </c>
      <c r="D86" s="416">
        <v>349</v>
      </c>
      <c r="E86" s="416">
        <v>501</v>
      </c>
      <c r="F86" s="416">
        <v>7614202</v>
      </c>
      <c r="G86" s="416">
        <v>22722819</v>
      </c>
      <c r="H86" s="416">
        <v>30337021</v>
      </c>
      <c r="I86" s="400" t="s">
        <v>158</v>
      </c>
      <c r="J86" s="400" t="s">
        <v>798</v>
      </c>
      <c r="K86" s="401">
        <v>487108</v>
      </c>
      <c r="L86" s="400" t="s">
        <v>424</v>
      </c>
      <c r="M86" s="2"/>
      <c r="N86" s="2"/>
      <c r="O86" s="4"/>
    </row>
    <row r="87" spans="1:15" ht="15" x14ac:dyDescent="0.25">
      <c r="A87" s="400" t="s">
        <v>1111</v>
      </c>
      <c r="B87" s="400" t="s">
        <v>432</v>
      </c>
      <c r="C87" s="416">
        <v>3844</v>
      </c>
      <c r="D87" s="416">
        <v>5317</v>
      </c>
      <c r="E87" s="416">
        <v>9161</v>
      </c>
      <c r="F87" s="416">
        <v>228925935</v>
      </c>
      <c r="G87" s="416">
        <v>370216478</v>
      </c>
      <c r="H87" s="416">
        <v>599142414</v>
      </c>
      <c r="I87" s="400" t="s">
        <v>158</v>
      </c>
      <c r="J87" s="400" t="s">
        <v>798</v>
      </c>
      <c r="K87" s="401">
        <v>556589</v>
      </c>
      <c r="L87" s="400" t="s">
        <v>213</v>
      </c>
      <c r="M87" s="2"/>
      <c r="N87" s="2"/>
      <c r="O87" s="4"/>
    </row>
    <row r="88" spans="1:15" ht="15" x14ac:dyDescent="0.25">
      <c r="A88" s="400" t="s">
        <v>1117</v>
      </c>
      <c r="B88" s="400" t="s">
        <v>18</v>
      </c>
      <c r="C88" s="416">
        <v>4294</v>
      </c>
      <c r="D88" s="416">
        <v>5276</v>
      </c>
      <c r="E88" s="416">
        <v>9570</v>
      </c>
      <c r="F88" s="416">
        <v>217791100</v>
      </c>
      <c r="G88" s="416">
        <v>307930652</v>
      </c>
      <c r="H88" s="416">
        <v>525721752</v>
      </c>
      <c r="I88" s="400" t="s">
        <v>69</v>
      </c>
      <c r="J88" s="400" t="s">
        <v>798</v>
      </c>
      <c r="K88" s="401">
        <v>416982</v>
      </c>
      <c r="L88" s="400" t="s">
        <v>208</v>
      </c>
      <c r="M88" s="2"/>
      <c r="N88" s="2"/>
      <c r="O88" s="4"/>
    </row>
    <row r="89" spans="1:15" ht="15" x14ac:dyDescent="0.25">
      <c r="A89" s="400" t="s">
        <v>350</v>
      </c>
      <c r="B89" s="400" t="s">
        <v>660</v>
      </c>
      <c r="C89" s="416">
        <v>78</v>
      </c>
      <c r="D89" s="416">
        <v>146</v>
      </c>
      <c r="E89" s="416">
        <v>224</v>
      </c>
      <c r="F89" s="416">
        <v>2831385</v>
      </c>
      <c r="G89" s="416">
        <v>7785293</v>
      </c>
      <c r="H89" s="416">
        <v>10616678</v>
      </c>
      <c r="I89" s="400" t="s">
        <v>158</v>
      </c>
      <c r="J89" s="400" t="s">
        <v>798</v>
      </c>
      <c r="K89" s="401">
        <v>660290</v>
      </c>
      <c r="L89" s="400" t="s">
        <v>188</v>
      </c>
      <c r="M89" s="2"/>
      <c r="N89" s="2"/>
      <c r="O89" s="4"/>
    </row>
    <row r="90" spans="1:15" ht="15" x14ac:dyDescent="0.25">
      <c r="A90" s="400" t="s">
        <v>1089</v>
      </c>
      <c r="B90" s="400" t="s">
        <v>697</v>
      </c>
      <c r="C90" s="416">
        <v>993</v>
      </c>
      <c r="D90" s="416">
        <v>945</v>
      </c>
      <c r="E90" s="416">
        <v>1938</v>
      </c>
      <c r="F90" s="416">
        <v>38071363</v>
      </c>
      <c r="G90" s="416">
        <v>46005392</v>
      </c>
      <c r="H90" s="416">
        <v>84076756</v>
      </c>
      <c r="I90" s="400" t="s">
        <v>69</v>
      </c>
      <c r="J90" s="400" t="s">
        <v>795</v>
      </c>
      <c r="K90" s="401">
        <v>240663</v>
      </c>
      <c r="L90" s="400" t="s">
        <v>684</v>
      </c>
      <c r="M90" s="2"/>
      <c r="N90" s="2"/>
      <c r="O90" s="4"/>
    </row>
    <row r="91" spans="1:15" ht="15" x14ac:dyDescent="0.25">
      <c r="A91" s="400" t="s">
        <v>223</v>
      </c>
      <c r="B91" s="400" t="s">
        <v>540</v>
      </c>
      <c r="C91" s="416">
        <v>392</v>
      </c>
      <c r="D91" s="416">
        <v>642</v>
      </c>
      <c r="E91" s="416">
        <v>1034</v>
      </c>
      <c r="F91" s="416">
        <v>22959184</v>
      </c>
      <c r="G91" s="416">
        <v>41075390</v>
      </c>
      <c r="H91" s="416">
        <v>64034574</v>
      </c>
      <c r="I91" s="400" t="s">
        <v>158</v>
      </c>
      <c r="J91" s="400" t="s">
        <v>798</v>
      </c>
      <c r="K91" s="401">
        <v>119891</v>
      </c>
      <c r="L91" s="400" t="s">
        <v>168</v>
      </c>
      <c r="M91" s="2"/>
      <c r="N91" s="2"/>
      <c r="O91" s="4"/>
    </row>
    <row r="92" spans="1:15" ht="15" x14ac:dyDescent="0.25">
      <c r="A92" s="400" t="s">
        <v>1117</v>
      </c>
      <c r="B92" s="400" t="s">
        <v>587</v>
      </c>
      <c r="C92" s="416">
        <v>2463</v>
      </c>
      <c r="D92" s="416">
        <v>2734</v>
      </c>
      <c r="E92" s="416">
        <v>5197</v>
      </c>
      <c r="F92" s="416">
        <v>119724381</v>
      </c>
      <c r="G92" s="416">
        <v>161534195</v>
      </c>
      <c r="H92" s="416">
        <v>281258576</v>
      </c>
      <c r="I92" s="400" t="s">
        <v>69</v>
      </c>
      <c r="J92" s="400" t="s">
        <v>798</v>
      </c>
      <c r="K92" s="401">
        <v>579136</v>
      </c>
      <c r="L92" s="400" t="s">
        <v>777</v>
      </c>
      <c r="M92" s="2"/>
      <c r="N92" s="2"/>
      <c r="O92" s="4"/>
    </row>
    <row r="93" spans="1:15" ht="15" x14ac:dyDescent="0.25">
      <c r="A93" s="400" t="s">
        <v>205</v>
      </c>
      <c r="B93" s="400" t="s">
        <v>340</v>
      </c>
      <c r="C93" s="416">
        <v>454</v>
      </c>
      <c r="D93" s="416">
        <v>426</v>
      </c>
      <c r="E93" s="416">
        <v>880</v>
      </c>
      <c r="F93" s="416">
        <v>14259327</v>
      </c>
      <c r="G93" s="416">
        <v>15434740</v>
      </c>
      <c r="H93" s="416">
        <v>29694068</v>
      </c>
      <c r="I93" s="400" t="s">
        <v>158</v>
      </c>
      <c r="J93" s="400" t="s">
        <v>798</v>
      </c>
      <c r="K93" s="401">
        <v>606467</v>
      </c>
      <c r="L93" s="400" t="s">
        <v>170</v>
      </c>
      <c r="M93" s="2"/>
      <c r="N93" s="2"/>
      <c r="O93" s="4"/>
    </row>
    <row r="94" spans="1:15" ht="15" x14ac:dyDescent="0.25">
      <c r="A94" s="400" t="s">
        <v>219</v>
      </c>
      <c r="B94" s="400" t="s">
        <v>609</v>
      </c>
      <c r="C94" s="416">
        <v>48</v>
      </c>
      <c r="D94" s="416">
        <v>77</v>
      </c>
      <c r="E94" s="416">
        <v>125</v>
      </c>
      <c r="F94" s="416">
        <v>2542211</v>
      </c>
      <c r="G94" s="416">
        <v>3565940</v>
      </c>
      <c r="H94" s="416">
        <v>6108151</v>
      </c>
      <c r="I94" s="400" t="s">
        <v>69</v>
      </c>
      <c r="J94" s="400" t="s">
        <v>798</v>
      </c>
      <c r="K94" s="401">
        <v>865063</v>
      </c>
      <c r="L94" s="400" t="s">
        <v>418</v>
      </c>
      <c r="M94" s="2"/>
      <c r="N94" s="2"/>
      <c r="O94" s="4"/>
    </row>
    <row r="95" spans="1:15" ht="15" x14ac:dyDescent="0.25">
      <c r="A95" s="400" t="s">
        <v>185</v>
      </c>
      <c r="B95" s="400" t="s">
        <v>667</v>
      </c>
      <c r="C95" s="416">
        <v>23980</v>
      </c>
      <c r="D95" s="416">
        <v>23795</v>
      </c>
      <c r="E95" s="416">
        <v>47775</v>
      </c>
      <c r="F95" s="416">
        <v>2200109649</v>
      </c>
      <c r="G95" s="416">
        <v>2708354554</v>
      </c>
      <c r="H95" s="416">
        <v>4908464203</v>
      </c>
      <c r="I95" s="400" t="s">
        <v>158</v>
      </c>
      <c r="J95" s="400" t="s">
        <v>798</v>
      </c>
      <c r="K95" s="401">
        <v>874032</v>
      </c>
      <c r="L95" s="400" t="s">
        <v>668</v>
      </c>
      <c r="M95" s="2"/>
      <c r="N95" s="2"/>
      <c r="O95" s="4"/>
    </row>
    <row r="96" spans="1:15" ht="15" x14ac:dyDescent="0.25">
      <c r="A96" s="400" t="s">
        <v>1089</v>
      </c>
      <c r="B96" s="400" t="s">
        <v>736</v>
      </c>
      <c r="C96" s="416">
        <v>13</v>
      </c>
      <c r="D96" s="416">
        <v>6</v>
      </c>
      <c r="E96" s="416">
        <v>19</v>
      </c>
      <c r="F96" s="416">
        <v>483135</v>
      </c>
      <c r="G96" s="416">
        <v>259222</v>
      </c>
      <c r="H96" s="416">
        <v>742357</v>
      </c>
      <c r="I96" s="400" t="s">
        <v>69</v>
      </c>
      <c r="J96" s="400" t="s">
        <v>795</v>
      </c>
      <c r="K96" s="401">
        <v>323899</v>
      </c>
      <c r="L96" s="400" t="s">
        <v>338</v>
      </c>
      <c r="M96" s="2"/>
      <c r="N96" s="2"/>
      <c r="O96" s="4"/>
    </row>
    <row r="97" spans="1:15" ht="15" x14ac:dyDescent="0.25">
      <c r="A97" s="400" t="s">
        <v>219</v>
      </c>
      <c r="B97" s="400" t="s">
        <v>702</v>
      </c>
      <c r="C97" s="416">
        <v>708</v>
      </c>
      <c r="D97" s="416">
        <v>1068</v>
      </c>
      <c r="E97" s="416">
        <v>1776</v>
      </c>
      <c r="F97" s="416">
        <v>27779021</v>
      </c>
      <c r="G97" s="416">
        <v>52131508</v>
      </c>
      <c r="H97" s="416">
        <v>79910530</v>
      </c>
      <c r="I97" s="400" t="s">
        <v>69</v>
      </c>
      <c r="J97" s="400" t="s">
        <v>798</v>
      </c>
      <c r="K97" s="401">
        <v>309492</v>
      </c>
      <c r="L97" s="400" t="s">
        <v>874</v>
      </c>
      <c r="M97" s="2"/>
      <c r="N97" s="2"/>
      <c r="O97" s="4"/>
    </row>
    <row r="98" spans="1:15" ht="15" x14ac:dyDescent="0.25">
      <c r="A98" s="400" t="s">
        <v>1098</v>
      </c>
      <c r="B98" s="400" t="s">
        <v>949</v>
      </c>
      <c r="C98" s="416">
        <v>246</v>
      </c>
      <c r="D98" s="416">
        <v>262</v>
      </c>
      <c r="E98" s="416">
        <v>508</v>
      </c>
      <c r="F98" s="416">
        <v>16306107</v>
      </c>
      <c r="G98" s="416">
        <v>20084100</v>
      </c>
      <c r="H98" s="416">
        <v>36390207</v>
      </c>
      <c r="I98" s="400" t="s">
        <v>158</v>
      </c>
      <c r="J98" s="400" t="s">
        <v>799</v>
      </c>
      <c r="K98" s="401">
        <v>653501</v>
      </c>
      <c r="L98" s="400" t="s">
        <v>198</v>
      </c>
      <c r="M98" s="2"/>
      <c r="N98" s="2"/>
      <c r="O98" s="4"/>
    </row>
    <row r="99" spans="1:15" ht="15" x14ac:dyDescent="0.25">
      <c r="A99" s="400" t="s">
        <v>1099</v>
      </c>
      <c r="B99" s="400" t="s">
        <v>318</v>
      </c>
      <c r="C99" s="416">
        <v>176</v>
      </c>
      <c r="D99" s="416">
        <v>234</v>
      </c>
      <c r="E99" s="416">
        <v>410</v>
      </c>
      <c r="F99" s="416">
        <v>9334844</v>
      </c>
      <c r="G99" s="416">
        <v>16811498</v>
      </c>
      <c r="H99" s="416">
        <v>26146342</v>
      </c>
      <c r="I99" s="400" t="s">
        <v>69</v>
      </c>
      <c r="J99" s="400" t="s">
        <v>799</v>
      </c>
      <c r="K99" s="401">
        <v>857565</v>
      </c>
      <c r="L99" s="400" t="s">
        <v>162</v>
      </c>
      <c r="M99" s="2"/>
      <c r="N99" s="2"/>
      <c r="O99" s="4"/>
    </row>
    <row r="100" spans="1:15" ht="15" x14ac:dyDescent="0.25">
      <c r="A100" s="400" t="s">
        <v>325</v>
      </c>
      <c r="B100" s="400" t="s">
        <v>547</v>
      </c>
      <c r="C100" s="416">
        <v>284</v>
      </c>
      <c r="D100" s="416">
        <v>325</v>
      </c>
      <c r="E100" s="416">
        <v>609</v>
      </c>
      <c r="F100" s="416">
        <v>13266685</v>
      </c>
      <c r="G100" s="416">
        <v>18360526</v>
      </c>
      <c r="H100" s="416">
        <v>31627211</v>
      </c>
      <c r="I100" s="400" t="s">
        <v>69</v>
      </c>
      <c r="J100" s="400" t="s">
        <v>798</v>
      </c>
      <c r="K100" s="401">
        <v>354290</v>
      </c>
      <c r="L100" s="400" t="s">
        <v>362</v>
      </c>
      <c r="M100" s="2"/>
      <c r="N100" s="2"/>
      <c r="O100" s="4"/>
    </row>
    <row r="101" spans="1:15" ht="15" x14ac:dyDescent="0.25">
      <c r="A101" s="400" t="s">
        <v>302</v>
      </c>
      <c r="B101" s="400" t="s">
        <v>1010</v>
      </c>
      <c r="C101" s="416">
        <v>4477</v>
      </c>
      <c r="D101" s="416">
        <v>8379</v>
      </c>
      <c r="E101" s="416">
        <v>12856</v>
      </c>
      <c r="F101" s="416">
        <v>274374919</v>
      </c>
      <c r="G101" s="416">
        <v>601349395</v>
      </c>
      <c r="H101" s="416">
        <v>875724314</v>
      </c>
      <c r="I101" s="400" t="s">
        <v>158</v>
      </c>
      <c r="J101" s="400" t="s">
        <v>798</v>
      </c>
      <c r="K101" s="401">
        <v>434274</v>
      </c>
      <c r="L101" s="400" t="s">
        <v>177</v>
      </c>
      <c r="M101" s="2"/>
      <c r="N101" s="2"/>
      <c r="O101" s="4"/>
    </row>
    <row r="102" spans="1:15" ht="15" x14ac:dyDescent="0.25">
      <c r="A102" s="400" t="s">
        <v>185</v>
      </c>
      <c r="B102" s="400" t="s">
        <v>393</v>
      </c>
      <c r="C102" s="416">
        <v>4884</v>
      </c>
      <c r="D102" s="416">
        <v>4731</v>
      </c>
      <c r="E102" s="416">
        <v>9615</v>
      </c>
      <c r="F102" s="416">
        <v>379910347</v>
      </c>
      <c r="G102" s="416">
        <v>431704656</v>
      </c>
      <c r="H102" s="416">
        <v>811615002</v>
      </c>
      <c r="I102" s="400" t="s">
        <v>158</v>
      </c>
      <c r="J102" s="400" t="s">
        <v>798</v>
      </c>
      <c r="K102" s="401">
        <v>301580</v>
      </c>
      <c r="L102" s="400" t="s">
        <v>213</v>
      </c>
      <c r="M102" s="2"/>
      <c r="N102" s="2"/>
      <c r="O102" s="4"/>
    </row>
    <row r="103" spans="1:15" ht="15" x14ac:dyDescent="0.25">
      <c r="A103" s="400" t="s">
        <v>1089</v>
      </c>
      <c r="B103" s="400" t="s">
        <v>1033</v>
      </c>
      <c r="C103" s="416">
        <v>181</v>
      </c>
      <c r="D103" s="416">
        <v>137</v>
      </c>
      <c r="E103" s="416">
        <v>318</v>
      </c>
      <c r="F103" s="416">
        <v>23932044</v>
      </c>
      <c r="G103" s="416">
        <v>20541069</v>
      </c>
      <c r="H103" s="416">
        <v>44473113</v>
      </c>
      <c r="I103" s="400" t="s">
        <v>158</v>
      </c>
      <c r="J103" s="400" t="s">
        <v>795</v>
      </c>
      <c r="K103" s="401">
        <v>655274</v>
      </c>
      <c r="L103" s="400" t="s">
        <v>175</v>
      </c>
      <c r="M103" s="2"/>
      <c r="N103" s="2"/>
      <c r="O103" s="4"/>
    </row>
    <row r="104" spans="1:15" ht="15" customHeight="1" x14ac:dyDescent="0.25">
      <c r="A104" s="400" t="s">
        <v>259</v>
      </c>
      <c r="B104" s="400" t="s">
        <v>131</v>
      </c>
      <c r="C104" s="416">
        <v>137533</v>
      </c>
      <c r="D104" s="416">
        <v>146904</v>
      </c>
      <c r="E104" s="416">
        <v>284437</v>
      </c>
      <c r="F104" s="416">
        <v>8355160837</v>
      </c>
      <c r="G104" s="416">
        <v>11337924479</v>
      </c>
      <c r="H104" s="416">
        <v>19693085315</v>
      </c>
      <c r="I104" s="400" t="s">
        <v>158</v>
      </c>
      <c r="J104" s="400" t="s">
        <v>798</v>
      </c>
      <c r="K104" s="401">
        <v>283408</v>
      </c>
      <c r="L104" s="400" t="s">
        <v>175</v>
      </c>
      <c r="M104" s="2"/>
      <c r="N104" s="2"/>
      <c r="O104" s="4"/>
    </row>
    <row r="105" spans="1:15" ht="15" x14ac:dyDescent="0.25">
      <c r="A105" s="400" t="s">
        <v>381</v>
      </c>
      <c r="B105" s="400" t="s">
        <v>698</v>
      </c>
      <c r="C105" s="416">
        <v>2138</v>
      </c>
      <c r="D105" s="416">
        <v>3315</v>
      </c>
      <c r="E105" s="416">
        <v>5453</v>
      </c>
      <c r="F105" s="416">
        <v>82691989</v>
      </c>
      <c r="G105" s="416">
        <v>163811646</v>
      </c>
      <c r="H105" s="416">
        <v>246503634</v>
      </c>
      <c r="I105" s="400" t="s">
        <v>158</v>
      </c>
      <c r="J105" s="400" t="s">
        <v>798</v>
      </c>
      <c r="K105" s="401">
        <v>671982</v>
      </c>
      <c r="L105" s="400" t="s">
        <v>233</v>
      </c>
      <c r="M105" s="2"/>
      <c r="N105" s="2"/>
      <c r="O105" s="4"/>
    </row>
    <row r="106" spans="1:15" ht="15" x14ac:dyDescent="0.25">
      <c r="A106" s="400" t="s">
        <v>369</v>
      </c>
      <c r="B106" s="400" t="s">
        <v>829</v>
      </c>
      <c r="C106" s="416">
        <v>2632</v>
      </c>
      <c r="D106" s="416">
        <v>3342</v>
      </c>
      <c r="E106" s="416">
        <v>5974</v>
      </c>
      <c r="F106" s="416">
        <v>78099044</v>
      </c>
      <c r="G106" s="416">
        <v>128003875</v>
      </c>
      <c r="H106" s="416">
        <v>206102920</v>
      </c>
      <c r="I106" s="400" t="s">
        <v>69</v>
      </c>
      <c r="J106" s="400" t="s">
        <v>798</v>
      </c>
      <c r="K106" s="401">
        <v>661066</v>
      </c>
      <c r="L106" s="400" t="s">
        <v>556</v>
      </c>
      <c r="M106" s="2"/>
      <c r="N106" s="2"/>
      <c r="O106" s="4"/>
    </row>
    <row r="107" spans="1:15" ht="15" x14ac:dyDescent="0.25">
      <c r="A107" s="400" t="s">
        <v>223</v>
      </c>
      <c r="B107" s="400" t="s">
        <v>922</v>
      </c>
      <c r="C107" s="416">
        <v>615</v>
      </c>
      <c r="D107" s="416">
        <v>601</v>
      </c>
      <c r="E107" s="416">
        <v>1216</v>
      </c>
      <c r="F107" s="416">
        <v>30159903</v>
      </c>
      <c r="G107" s="416">
        <v>36050614</v>
      </c>
      <c r="H107" s="416">
        <v>66210517</v>
      </c>
      <c r="I107" s="400" t="s">
        <v>158</v>
      </c>
      <c r="J107" s="400" t="s">
        <v>798</v>
      </c>
      <c r="K107" s="401">
        <v>972901</v>
      </c>
      <c r="L107" s="400" t="s">
        <v>291</v>
      </c>
      <c r="M107" s="2"/>
      <c r="N107" s="2"/>
      <c r="O107" s="4"/>
    </row>
    <row r="108" spans="1:15" ht="15" x14ac:dyDescent="0.25">
      <c r="A108" s="400" t="s">
        <v>205</v>
      </c>
      <c r="B108" s="400" t="s">
        <v>758</v>
      </c>
      <c r="C108" s="416">
        <v>9</v>
      </c>
      <c r="D108" s="416">
        <v>18</v>
      </c>
      <c r="E108" s="416">
        <v>27</v>
      </c>
      <c r="F108" s="416">
        <v>288799</v>
      </c>
      <c r="G108" s="416">
        <v>872708</v>
      </c>
      <c r="H108" s="416">
        <v>1161507</v>
      </c>
      <c r="I108" s="400" t="s">
        <v>69</v>
      </c>
      <c r="J108" s="400" t="s">
        <v>798</v>
      </c>
      <c r="K108" s="401">
        <v>367631</v>
      </c>
      <c r="L108" s="400" t="s">
        <v>476</v>
      </c>
      <c r="M108" s="2"/>
      <c r="N108" s="2"/>
      <c r="O108" s="4"/>
    </row>
    <row r="109" spans="1:15" ht="15" x14ac:dyDescent="0.25">
      <c r="A109" s="400" t="s">
        <v>1123</v>
      </c>
      <c r="B109" s="400" t="s">
        <v>855</v>
      </c>
      <c r="C109" s="416">
        <v>770</v>
      </c>
      <c r="D109" s="416">
        <v>963</v>
      </c>
      <c r="E109" s="416">
        <v>1733</v>
      </c>
      <c r="F109" s="416">
        <v>25525447</v>
      </c>
      <c r="G109" s="416">
        <v>44920893</v>
      </c>
      <c r="H109" s="416">
        <v>70446340</v>
      </c>
      <c r="I109" s="400" t="s">
        <v>69</v>
      </c>
      <c r="J109" s="400" t="s">
        <v>798</v>
      </c>
      <c r="K109" s="401">
        <v>333633</v>
      </c>
      <c r="L109" s="400" t="s">
        <v>579</v>
      </c>
      <c r="M109" s="2"/>
      <c r="N109" s="2"/>
      <c r="O109" s="4"/>
    </row>
    <row r="110" spans="1:15" ht="15" x14ac:dyDescent="0.25">
      <c r="A110" s="400" t="s">
        <v>1108</v>
      </c>
      <c r="B110" s="400" t="s">
        <v>471</v>
      </c>
      <c r="C110" s="416">
        <v>92</v>
      </c>
      <c r="D110" s="416">
        <v>175</v>
      </c>
      <c r="E110" s="416">
        <v>267</v>
      </c>
      <c r="F110" s="416">
        <v>3820941</v>
      </c>
      <c r="G110" s="416">
        <v>8504244</v>
      </c>
      <c r="H110" s="416">
        <v>12325185</v>
      </c>
      <c r="I110" s="400" t="s">
        <v>69</v>
      </c>
      <c r="J110" s="400" t="s">
        <v>799</v>
      </c>
      <c r="K110" s="401">
        <v>930768</v>
      </c>
      <c r="L110" s="400" t="s">
        <v>465</v>
      </c>
      <c r="M110" s="2"/>
      <c r="N110" s="2"/>
      <c r="O110" s="4"/>
    </row>
    <row r="111" spans="1:15" ht="15" x14ac:dyDescent="0.25">
      <c r="A111" s="400" t="s">
        <v>302</v>
      </c>
      <c r="B111" s="400" t="s">
        <v>956</v>
      </c>
      <c r="C111" s="416">
        <v>22</v>
      </c>
      <c r="D111" s="416">
        <v>31</v>
      </c>
      <c r="E111" s="416">
        <v>53</v>
      </c>
      <c r="F111" s="416">
        <v>1306631</v>
      </c>
      <c r="G111" s="416">
        <v>2666971</v>
      </c>
      <c r="H111" s="416">
        <v>3973602</v>
      </c>
      <c r="I111" s="400" t="s">
        <v>69</v>
      </c>
      <c r="J111" s="400" t="s">
        <v>798</v>
      </c>
      <c r="K111" s="401">
        <v>640102</v>
      </c>
      <c r="L111" s="400" t="s">
        <v>772</v>
      </c>
      <c r="M111" s="2"/>
      <c r="N111" s="2"/>
      <c r="O111" s="4"/>
    </row>
    <row r="112" spans="1:15" ht="15" x14ac:dyDescent="0.25">
      <c r="A112" s="400" t="s">
        <v>1117</v>
      </c>
      <c r="B112" s="400" t="s">
        <v>716</v>
      </c>
      <c r="C112" s="416">
        <v>6849</v>
      </c>
      <c r="D112" s="416">
        <v>8926</v>
      </c>
      <c r="E112" s="416">
        <v>15775</v>
      </c>
      <c r="F112" s="416">
        <v>345619955</v>
      </c>
      <c r="G112" s="416">
        <v>537526284</v>
      </c>
      <c r="H112" s="416">
        <v>883146240</v>
      </c>
      <c r="I112" s="400" t="s">
        <v>69</v>
      </c>
      <c r="J112" s="400" t="s">
        <v>798</v>
      </c>
      <c r="K112" s="401">
        <v>260919</v>
      </c>
      <c r="L112" s="400" t="s">
        <v>1013</v>
      </c>
      <c r="M112" s="2"/>
      <c r="N112" s="2"/>
      <c r="O112" s="4"/>
    </row>
    <row r="113" spans="1:15" ht="15" x14ac:dyDescent="0.25">
      <c r="A113" s="400" t="s">
        <v>205</v>
      </c>
      <c r="B113" s="400" t="s">
        <v>635</v>
      </c>
      <c r="C113" s="416">
        <v>412</v>
      </c>
      <c r="D113" s="416">
        <v>504</v>
      </c>
      <c r="E113" s="416">
        <v>916</v>
      </c>
      <c r="F113" s="416">
        <v>12938504</v>
      </c>
      <c r="G113" s="416">
        <v>19688045</v>
      </c>
      <c r="H113" s="416">
        <v>32626549</v>
      </c>
      <c r="I113" s="400" t="s">
        <v>69</v>
      </c>
      <c r="J113" s="400" t="s">
        <v>798</v>
      </c>
      <c r="K113" s="401">
        <v>603985</v>
      </c>
      <c r="L113" s="400" t="s">
        <v>636</v>
      </c>
      <c r="M113" s="2"/>
      <c r="N113" s="2"/>
      <c r="O113" s="4"/>
    </row>
    <row r="114" spans="1:15" ht="15" x14ac:dyDescent="0.25">
      <c r="A114" s="400" t="s">
        <v>185</v>
      </c>
      <c r="B114" s="400" t="s">
        <v>220</v>
      </c>
      <c r="C114" s="416">
        <v>7947</v>
      </c>
      <c r="D114" s="416">
        <v>9031</v>
      </c>
      <c r="E114" s="416">
        <v>16978</v>
      </c>
      <c r="F114" s="416">
        <v>537881738</v>
      </c>
      <c r="G114" s="416">
        <v>716292439</v>
      </c>
      <c r="H114" s="416">
        <v>1254174177</v>
      </c>
      <c r="I114" s="400" t="s">
        <v>158</v>
      </c>
      <c r="J114" s="400" t="s">
        <v>798</v>
      </c>
      <c r="K114" s="401">
        <v>908277</v>
      </c>
      <c r="L114" s="400" t="s">
        <v>172</v>
      </c>
      <c r="M114" s="3"/>
      <c r="N114" s="2"/>
      <c r="O114" s="4"/>
    </row>
    <row r="115" spans="1:15" ht="15" x14ac:dyDescent="0.25">
      <c r="A115" s="400" t="s">
        <v>219</v>
      </c>
      <c r="B115" s="400" t="s">
        <v>571</v>
      </c>
      <c r="C115" s="416">
        <v>90</v>
      </c>
      <c r="D115" s="416">
        <v>128</v>
      </c>
      <c r="E115" s="416">
        <v>218</v>
      </c>
      <c r="F115" s="416">
        <v>3469030</v>
      </c>
      <c r="G115" s="416">
        <v>5677203</v>
      </c>
      <c r="H115" s="416">
        <v>9146233</v>
      </c>
      <c r="I115" s="400" t="s">
        <v>69</v>
      </c>
      <c r="J115" s="400" t="s">
        <v>798</v>
      </c>
      <c r="K115" s="401">
        <v>367698</v>
      </c>
      <c r="L115" s="400" t="s">
        <v>418</v>
      </c>
      <c r="M115" s="2"/>
      <c r="N115" s="2"/>
      <c r="O115" s="4"/>
    </row>
    <row r="116" spans="1:15" ht="15" x14ac:dyDescent="0.25">
      <c r="A116" s="400" t="s">
        <v>325</v>
      </c>
      <c r="B116" s="400" t="s">
        <v>1081</v>
      </c>
      <c r="C116" s="416">
        <v>3</v>
      </c>
      <c r="D116" s="416">
        <v>2</v>
      </c>
      <c r="E116" s="416">
        <v>5</v>
      </c>
      <c r="F116" s="416">
        <v>92729</v>
      </c>
      <c r="G116" s="416">
        <v>134150</v>
      </c>
      <c r="H116" s="416">
        <v>226879</v>
      </c>
      <c r="I116" s="400" t="s">
        <v>69</v>
      </c>
      <c r="J116" s="400" t="s">
        <v>798</v>
      </c>
      <c r="K116" s="401">
        <v>196154</v>
      </c>
      <c r="L116" s="400" t="s">
        <v>620</v>
      </c>
      <c r="M116" s="2"/>
      <c r="N116" s="2"/>
      <c r="O116" s="4"/>
    </row>
    <row r="117" spans="1:15" ht="15" x14ac:dyDescent="0.25">
      <c r="A117" s="400" t="s">
        <v>325</v>
      </c>
      <c r="B117" s="400" t="s">
        <v>515</v>
      </c>
      <c r="C117" s="416">
        <v>397</v>
      </c>
      <c r="D117" s="416">
        <v>497</v>
      </c>
      <c r="E117" s="416">
        <v>894</v>
      </c>
      <c r="F117" s="416">
        <v>18267707</v>
      </c>
      <c r="G117" s="416">
        <v>27431194</v>
      </c>
      <c r="H117" s="416">
        <v>45698901</v>
      </c>
      <c r="I117" s="400" t="s">
        <v>69</v>
      </c>
      <c r="J117" s="400" t="s">
        <v>798</v>
      </c>
      <c r="K117" s="401">
        <v>219006</v>
      </c>
      <c r="L117" s="400" t="s">
        <v>301</v>
      </c>
      <c r="M117" s="2"/>
      <c r="N117" s="2"/>
      <c r="O117" s="4"/>
    </row>
    <row r="118" spans="1:15" ht="15" x14ac:dyDescent="0.25">
      <c r="A118" s="400" t="s">
        <v>1089</v>
      </c>
      <c r="B118" s="400" t="s">
        <v>847</v>
      </c>
      <c r="C118" s="416">
        <v>198</v>
      </c>
      <c r="D118" s="416">
        <v>244</v>
      </c>
      <c r="E118" s="416">
        <v>442</v>
      </c>
      <c r="F118" s="416">
        <v>15028078</v>
      </c>
      <c r="G118" s="416">
        <v>21006790</v>
      </c>
      <c r="H118" s="416">
        <v>36034868</v>
      </c>
      <c r="I118" s="400" t="s">
        <v>69</v>
      </c>
      <c r="J118" s="400" t="s">
        <v>795</v>
      </c>
      <c r="K118" s="401">
        <v>555102</v>
      </c>
      <c r="L118" s="400" t="s">
        <v>746</v>
      </c>
      <c r="M118" s="2"/>
      <c r="N118" s="2"/>
      <c r="O118" s="4"/>
    </row>
    <row r="119" spans="1:15" ht="15" x14ac:dyDescent="0.25">
      <c r="A119" s="400" t="s">
        <v>1112</v>
      </c>
      <c r="B119" s="400" t="s">
        <v>881</v>
      </c>
      <c r="C119" s="416">
        <v>27</v>
      </c>
      <c r="D119" s="416">
        <v>85</v>
      </c>
      <c r="E119" s="416">
        <v>112</v>
      </c>
      <c r="F119" s="416">
        <v>1117775</v>
      </c>
      <c r="G119" s="416">
        <v>4718670</v>
      </c>
      <c r="H119" s="416">
        <v>5836446</v>
      </c>
      <c r="I119" s="400" t="s">
        <v>69</v>
      </c>
      <c r="J119" s="400" t="s">
        <v>798</v>
      </c>
      <c r="K119" s="401">
        <v>352872</v>
      </c>
      <c r="L119" s="400" t="s">
        <v>506</v>
      </c>
      <c r="M119" s="2"/>
      <c r="N119" s="2"/>
      <c r="O119" s="4"/>
    </row>
    <row r="120" spans="1:15" ht="15" x14ac:dyDescent="0.25">
      <c r="A120" s="400" t="s">
        <v>328</v>
      </c>
      <c r="B120" s="400" t="s">
        <v>596</v>
      </c>
      <c r="C120" s="416">
        <v>3087</v>
      </c>
      <c r="D120" s="416">
        <v>4647</v>
      </c>
      <c r="E120" s="416">
        <v>7734</v>
      </c>
      <c r="F120" s="416">
        <v>106711738</v>
      </c>
      <c r="G120" s="416">
        <v>204639810</v>
      </c>
      <c r="H120" s="416">
        <v>311351548</v>
      </c>
      <c r="I120" s="400" t="s">
        <v>69</v>
      </c>
      <c r="J120" s="400" t="s">
        <v>798</v>
      </c>
      <c r="K120" s="401">
        <v>983593</v>
      </c>
      <c r="L120" s="400" t="s">
        <v>435</v>
      </c>
      <c r="M120" s="2"/>
      <c r="N120" s="2"/>
      <c r="O120" s="4"/>
    </row>
    <row r="121" spans="1:15" ht="15" x14ac:dyDescent="0.25">
      <c r="A121" s="400" t="s">
        <v>302</v>
      </c>
      <c r="B121" s="400" t="s">
        <v>1093</v>
      </c>
      <c r="C121" s="416">
        <v>603</v>
      </c>
      <c r="D121" s="416">
        <v>1221</v>
      </c>
      <c r="E121" s="416">
        <v>1824</v>
      </c>
      <c r="F121" s="416">
        <v>13955601</v>
      </c>
      <c r="G121" s="416">
        <v>30723029</v>
      </c>
      <c r="H121" s="416">
        <v>44678630</v>
      </c>
      <c r="I121" s="400" t="s">
        <v>69</v>
      </c>
      <c r="J121" s="400" t="s">
        <v>798</v>
      </c>
      <c r="K121" s="401">
        <v>851725</v>
      </c>
      <c r="L121" s="400" t="s">
        <v>1129</v>
      </c>
      <c r="M121" s="2"/>
      <c r="N121" s="2"/>
      <c r="O121" s="4"/>
    </row>
    <row r="122" spans="1:15" ht="15" x14ac:dyDescent="0.25">
      <c r="A122" s="400" t="s">
        <v>1106</v>
      </c>
      <c r="B122" s="400" t="s">
        <v>611</v>
      </c>
      <c r="C122" s="416">
        <v>664</v>
      </c>
      <c r="D122" s="416">
        <v>346</v>
      </c>
      <c r="E122" s="416">
        <v>1010</v>
      </c>
      <c r="F122" s="416">
        <v>71437053</v>
      </c>
      <c r="G122" s="416">
        <v>39897699</v>
      </c>
      <c r="H122" s="416">
        <v>111334752</v>
      </c>
      <c r="I122" s="400" t="s">
        <v>69</v>
      </c>
      <c r="J122" s="400" t="s">
        <v>795</v>
      </c>
      <c r="K122" s="401">
        <v>961573</v>
      </c>
      <c r="L122" s="400" t="s">
        <v>612</v>
      </c>
      <c r="M122" s="2"/>
      <c r="N122" s="2"/>
      <c r="O122" s="4"/>
    </row>
    <row r="123" spans="1:15" ht="15" x14ac:dyDescent="0.25">
      <c r="A123" s="400" t="s">
        <v>1088</v>
      </c>
      <c r="B123" s="400" t="s">
        <v>225</v>
      </c>
      <c r="C123" s="416">
        <v>37511</v>
      </c>
      <c r="D123" s="416">
        <v>21733</v>
      </c>
      <c r="E123" s="416">
        <v>59244</v>
      </c>
      <c r="F123" s="416">
        <v>2175065218</v>
      </c>
      <c r="G123" s="416">
        <v>1364330631</v>
      </c>
      <c r="H123" s="416">
        <v>3539395849</v>
      </c>
      <c r="I123" s="400" t="s">
        <v>158</v>
      </c>
      <c r="J123" s="400" t="s">
        <v>795</v>
      </c>
      <c r="K123" s="401">
        <v>224493</v>
      </c>
      <c r="L123" s="400" t="s">
        <v>175</v>
      </c>
      <c r="M123" s="2"/>
      <c r="N123" s="2"/>
      <c r="O123" s="4"/>
    </row>
    <row r="124" spans="1:15" ht="15" x14ac:dyDescent="0.25">
      <c r="A124" s="400" t="s">
        <v>205</v>
      </c>
      <c r="B124" s="400" t="s">
        <v>1132</v>
      </c>
      <c r="C124" s="416">
        <v>157</v>
      </c>
      <c r="D124" s="416">
        <v>267</v>
      </c>
      <c r="E124" s="416">
        <v>424</v>
      </c>
      <c r="F124" s="416">
        <v>6756264</v>
      </c>
      <c r="G124" s="416">
        <v>15983836</v>
      </c>
      <c r="H124" s="416">
        <v>22740100</v>
      </c>
      <c r="I124" s="400" t="s">
        <v>158</v>
      </c>
      <c r="J124" s="400" t="s">
        <v>798</v>
      </c>
      <c r="K124" s="401">
        <v>470104</v>
      </c>
      <c r="L124" s="400" t="s">
        <v>177</v>
      </c>
      <c r="M124" s="2"/>
      <c r="N124" s="2"/>
      <c r="O124" s="4"/>
    </row>
    <row r="125" spans="1:15" ht="15" x14ac:dyDescent="0.25">
      <c r="A125" s="400" t="s">
        <v>1087</v>
      </c>
      <c r="B125" s="400" t="s">
        <v>1057</v>
      </c>
      <c r="C125" s="416">
        <v>25</v>
      </c>
      <c r="D125" s="416">
        <v>31</v>
      </c>
      <c r="E125" s="416">
        <v>56</v>
      </c>
      <c r="F125" s="416">
        <v>2076622</v>
      </c>
      <c r="G125" s="416">
        <v>2202018</v>
      </c>
      <c r="H125" s="416">
        <v>4278640</v>
      </c>
      <c r="I125" s="400" t="s">
        <v>158</v>
      </c>
      <c r="J125" s="400" t="s">
        <v>792</v>
      </c>
      <c r="K125" s="401">
        <v>140905</v>
      </c>
      <c r="L125" s="400" t="s">
        <v>177</v>
      </c>
      <c r="M125" s="2"/>
      <c r="N125" s="2"/>
      <c r="O125" s="4"/>
    </row>
    <row r="126" spans="1:15" ht="15" x14ac:dyDescent="0.25">
      <c r="A126" s="319" t="s">
        <v>223</v>
      </c>
      <c r="B126" s="319" t="s">
        <v>607</v>
      </c>
      <c r="C126" s="416">
        <v>6562</v>
      </c>
      <c r="D126" s="416">
        <v>7712</v>
      </c>
      <c r="E126" s="416">
        <v>14274</v>
      </c>
      <c r="F126" s="416">
        <v>524755388</v>
      </c>
      <c r="G126" s="416">
        <v>758943327</v>
      </c>
      <c r="H126" s="416">
        <v>1283698715</v>
      </c>
      <c r="I126" s="319" t="s">
        <v>69</v>
      </c>
      <c r="J126" s="319" t="s">
        <v>798</v>
      </c>
      <c r="K126" s="309">
        <v>450981</v>
      </c>
      <c r="L126" s="319" t="s">
        <v>600</v>
      </c>
      <c r="M126" s="4"/>
      <c r="N126" s="2"/>
      <c r="O126" s="4"/>
    </row>
    <row r="127" spans="1:15" ht="15" x14ac:dyDescent="0.25">
      <c r="A127" s="400" t="s">
        <v>381</v>
      </c>
      <c r="B127" s="400" t="s">
        <v>730</v>
      </c>
      <c r="C127" s="416">
        <v>318</v>
      </c>
      <c r="D127" s="416">
        <v>552</v>
      </c>
      <c r="E127" s="416">
        <v>870</v>
      </c>
      <c r="F127" s="416">
        <v>13536741</v>
      </c>
      <c r="G127" s="416">
        <v>32059848</v>
      </c>
      <c r="H127" s="416">
        <v>45596588</v>
      </c>
      <c r="I127" s="400" t="s">
        <v>69</v>
      </c>
      <c r="J127" s="400" t="s">
        <v>798</v>
      </c>
      <c r="K127" s="401">
        <v>925099</v>
      </c>
      <c r="L127" s="400" t="s">
        <v>1013</v>
      </c>
      <c r="M127" s="2"/>
      <c r="N127" s="2"/>
      <c r="O127" s="4"/>
    </row>
    <row r="128" spans="1:15" ht="15" x14ac:dyDescent="0.25">
      <c r="A128" s="400" t="s">
        <v>219</v>
      </c>
      <c r="B128" s="400" t="s">
        <v>394</v>
      </c>
      <c r="C128" s="416">
        <v>6724</v>
      </c>
      <c r="D128" s="416">
        <v>6284</v>
      </c>
      <c r="E128" s="416">
        <v>13008</v>
      </c>
      <c r="F128" s="416">
        <v>265966474</v>
      </c>
      <c r="G128" s="416">
        <v>297736747</v>
      </c>
      <c r="H128" s="416">
        <v>563703222</v>
      </c>
      <c r="I128" s="400" t="s">
        <v>158</v>
      </c>
      <c r="J128" s="400" t="s">
        <v>798</v>
      </c>
      <c r="K128" s="401">
        <v>122432</v>
      </c>
      <c r="L128" s="400" t="s">
        <v>213</v>
      </c>
      <c r="M128" s="2"/>
      <c r="N128" s="2"/>
      <c r="O128" s="4"/>
    </row>
    <row r="129" spans="1:15" ht="15" customHeight="1" x14ac:dyDescent="0.25">
      <c r="A129" s="400" t="s">
        <v>1112</v>
      </c>
      <c r="B129" s="400" t="s">
        <v>209</v>
      </c>
      <c r="C129" s="416">
        <v>26418</v>
      </c>
      <c r="D129" s="416">
        <v>34964</v>
      </c>
      <c r="E129" s="416">
        <v>61382</v>
      </c>
      <c r="F129" s="416">
        <v>1439415660</v>
      </c>
      <c r="G129" s="416">
        <v>2255928744</v>
      </c>
      <c r="H129" s="416">
        <v>3695344403</v>
      </c>
      <c r="I129" s="400" t="s">
        <v>158</v>
      </c>
      <c r="J129" s="400" t="s">
        <v>798</v>
      </c>
      <c r="K129" s="401">
        <v>248161</v>
      </c>
      <c r="L129" s="400" t="s">
        <v>182</v>
      </c>
      <c r="M129" s="2"/>
      <c r="N129" s="2"/>
      <c r="O129" s="4"/>
    </row>
    <row r="130" spans="1:15" ht="15" x14ac:dyDescent="0.25">
      <c r="A130" s="400" t="s">
        <v>325</v>
      </c>
      <c r="B130" s="400" t="s">
        <v>570</v>
      </c>
      <c r="C130" s="416">
        <v>1197</v>
      </c>
      <c r="D130" s="416">
        <v>1369</v>
      </c>
      <c r="E130" s="416">
        <v>2566</v>
      </c>
      <c r="F130" s="416">
        <v>81405053</v>
      </c>
      <c r="G130" s="416">
        <v>120322034</v>
      </c>
      <c r="H130" s="416">
        <v>201727087</v>
      </c>
      <c r="I130" s="400" t="s">
        <v>158</v>
      </c>
      <c r="J130" s="400" t="s">
        <v>798</v>
      </c>
      <c r="K130" s="401">
        <v>484980</v>
      </c>
      <c r="L130" s="400" t="s">
        <v>188</v>
      </c>
      <c r="M130" s="2"/>
      <c r="N130" s="2"/>
      <c r="O130" s="4"/>
    </row>
    <row r="131" spans="1:15" ht="15" x14ac:dyDescent="0.25">
      <c r="A131" s="400" t="s">
        <v>305</v>
      </c>
      <c r="B131" s="400" t="s">
        <v>633</v>
      </c>
      <c r="C131" s="416">
        <v>897</v>
      </c>
      <c r="D131" s="416">
        <v>1711</v>
      </c>
      <c r="E131" s="416">
        <v>2608</v>
      </c>
      <c r="F131" s="416">
        <v>43483325</v>
      </c>
      <c r="G131" s="416">
        <v>97184767</v>
      </c>
      <c r="H131" s="416">
        <v>140668093</v>
      </c>
      <c r="I131" s="400" t="s">
        <v>69</v>
      </c>
      <c r="J131" s="400" t="s">
        <v>798</v>
      </c>
      <c r="K131" s="401">
        <v>806091</v>
      </c>
      <c r="L131" s="400" t="s">
        <v>777</v>
      </c>
      <c r="M131" s="2"/>
      <c r="N131" s="2"/>
      <c r="O131" s="4"/>
    </row>
    <row r="132" spans="1:15" ht="15" x14ac:dyDescent="0.25">
      <c r="A132" s="400" t="s">
        <v>185</v>
      </c>
      <c r="B132" s="400" t="s">
        <v>297</v>
      </c>
      <c r="C132" s="416">
        <v>6608</v>
      </c>
      <c r="D132" s="416">
        <v>8668</v>
      </c>
      <c r="E132" s="416">
        <v>15276</v>
      </c>
      <c r="F132" s="416">
        <v>420368675</v>
      </c>
      <c r="G132" s="416">
        <v>631942486</v>
      </c>
      <c r="H132" s="416">
        <v>1052311161</v>
      </c>
      <c r="I132" s="400" t="s">
        <v>158</v>
      </c>
      <c r="J132" s="400" t="s">
        <v>798</v>
      </c>
      <c r="K132" s="401">
        <v>252411</v>
      </c>
      <c r="L132" s="400" t="s">
        <v>211</v>
      </c>
      <c r="M132" s="2"/>
      <c r="N132" s="2"/>
      <c r="O132" s="4"/>
    </row>
    <row r="133" spans="1:15" ht="15" x14ac:dyDescent="0.25">
      <c r="A133" s="400" t="s">
        <v>1089</v>
      </c>
      <c r="B133" s="400" t="s">
        <v>652</v>
      </c>
      <c r="C133" s="416">
        <v>1048</v>
      </c>
      <c r="D133" s="416">
        <v>1009</v>
      </c>
      <c r="E133" s="416">
        <v>2057</v>
      </c>
      <c r="F133" s="416">
        <v>92816078</v>
      </c>
      <c r="G133" s="416">
        <v>105175942</v>
      </c>
      <c r="H133" s="416">
        <v>197992020</v>
      </c>
      <c r="I133" s="400" t="s">
        <v>158</v>
      </c>
      <c r="J133" s="400" t="s">
        <v>795</v>
      </c>
      <c r="K133" s="401">
        <v>836908</v>
      </c>
      <c r="L133" s="400" t="s">
        <v>491</v>
      </c>
      <c r="M133" s="2"/>
      <c r="N133" s="2"/>
      <c r="O133" s="4"/>
    </row>
    <row r="134" spans="1:15" ht="15" x14ac:dyDescent="0.25">
      <c r="A134" s="400" t="s">
        <v>1112</v>
      </c>
      <c r="B134" s="400" t="s">
        <v>950</v>
      </c>
      <c r="C134" s="416">
        <v>4750</v>
      </c>
      <c r="D134" s="416">
        <v>6195</v>
      </c>
      <c r="E134" s="416">
        <v>10945</v>
      </c>
      <c r="F134" s="416">
        <v>244868544</v>
      </c>
      <c r="G134" s="416">
        <v>389214269</v>
      </c>
      <c r="H134" s="416">
        <v>634082814</v>
      </c>
      <c r="I134" s="400" t="s">
        <v>158</v>
      </c>
      <c r="J134" s="400" t="s">
        <v>798</v>
      </c>
      <c r="K134" s="401">
        <v>840033</v>
      </c>
      <c r="L134" s="400" t="s">
        <v>198</v>
      </c>
      <c r="M134" s="2"/>
      <c r="N134" s="2"/>
      <c r="O134" s="4"/>
    </row>
    <row r="135" spans="1:15" ht="15" x14ac:dyDescent="0.25">
      <c r="A135" s="400" t="s">
        <v>185</v>
      </c>
      <c r="B135" s="400" t="s">
        <v>288</v>
      </c>
      <c r="C135" s="416">
        <v>715</v>
      </c>
      <c r="D135" s="416">
        <v>666</v>
      </c>
      <c r="E135" s="416">
        <v>1381</v>
      </c>
      <c r="F135" s="416">
        <v>43220584</v>
      </c>
      <c r="G135" s="416">
        <v>50166281</v>
      </c>
      <c r="H135" s="416">
        <v>93386865</v>
      </c>
      <c r="I135" s="400" t="s">
        <v>69</v>
      </c>
      <c r="J135" s="400" t="s">
        <v>798</v>
      </c>
      <c r="K135" s="401">
        <v>785907</v>
      </c>
      <c r="L135" s="400" t="s">
        <v>162</v>
      </c>
      <c r="M135" s="2"/>
      <c r="N135" s="2"/>
      <c r="O135" s="4"/>
    </row>
    <row r="136" spans="1:15" ht="15" x14ac:dyDescent="0.25">
      <c r="A136" s="400" t="s">
        <v>219</v>
      </c>
      <c r="B136" s="400" t="s">
        <v>602</v>
      </c>
      <c r="C136" s="416">
        <v>2354</v>
      </c>
      <c r="D136" s="416">
        <v>2674</v>
      </c>
      <c r="E136" s="416">
        <v>5028</v>
      </c>
      <c r="F136" s="416">
        <v>120252550</v>
      </c>
      <c r="G136" s="416">
        <v>161644275</v>
      </c>
      <c r="H136" s="416">
        <v>281896825</v>
      </c>
      <c r="I136" s="400" t="s">
        <v>69</v>
      </c>
      <c r="J136" s="400" t="s">
        <v>798</v>
      </c>
      <c r="K136" s="401">
        <v>280867</v>
      </c>
      <c r="L136" s="400" t="s">
        <v>600</v>
      </c>
      <c r="M136" s="2"/>
      <c r="N136" s="2"/>
      <c r="O136" s="4"/>
    </row>
    <row r="137" spans="1:15" ht="15" x14ac:dyDescent="0.25">
      <c r="A137" s="400" t="s">
        <v>325</v>
      </c>
      <c r="B137" s="400" t="s">
        <v>376</v>
      </c>
      <c r="C137" s="416">
        <v>2358</v>
      </c>
      <c r="D137" s="416">
        <v>2297</v>
      </c>
      <c r="E137" s="416">
        <v>4655</v>
      </c>
      <c r="F137" s="416">
        <v>130143825</v>
      </c>
      <c r="G137" s="416">
        <v>156939085</v>
      </c>
      <c r="H137" s="416">
        <v>287082910</v>
      </c>
      <c r="I137" s="400" t="s">
        <v>158</v>
      </c>
      <c r="J137" s="400" t="s">
        <v>798</v>
      </c>
      <c r="K137" s="401">
        <v>484923</v>
      </c>
      <c r="L137" s="400" t="s">
        <v>213</v>
      </c>
      <c r="M137" s="2"/>
      <c r="N137" s="2"/>
      <c r="O137" s="4"/>
    </row>
    <row r="138" spans="1:15" ht="15" x14ac:dyDescent="0.25">
      <c r="A138" s="400" t="s">
        <v>381</v>
      </c>
      <c r="B138" s="400" t="s">
        <v>543</v>
      </c>
      <c r="C138" s="416">
        <v>976</v>
      </c>
      <c r="D138" s="416">
        <v>1634</v>
      </c>
      <c r="E138" s="416">
        <v>2610</v>
      </c>
      <c r="F138" s="416">
        <v>39736051</v>
      </c>
      <c r="G138" s="416">
        <v>94596064</v>
      </c>
      <c r="H138" s="416">
        <v>134332115</v>
      </c>
      <c r="I138" s="400" t="s">
        <v>69</v>
      </c>
      <c r="J138" s="400" t="s">
        <v>798</v>
      </c>
      <c r="K138" s="401">
        <v>473231</v>
      </c>
      <c r="L138" s="400" t="s">
        <v>213</v>
      </c>
      <c r="M138" s="2"/>
      <c r="N138" s="2"/>
      <c r="O138" s="4"/>
    </row>
    <row r="139" spans="1:15" ht="15" x14ac:dyDescent="0.25">
      <c r="A139" s="400" t="s">
        <v>185</v>
      </c>
      <c r="B139" s="400" t="s">
        <v>366</v>
      </c>
      <c r="C139" s="416">
        <v>33261</v>
      </c>
      <c r="D139" s="416">
        <v>35858</v>
      </c>
      <c r="E139" s="416">
        <v>69119</v>
      </c>
      <c r="F139" s="416">
        <v>1767648149</v>
      </c>
      <c r="G139" s="416">
        <v>2292239273</v>
      </c>
      <c r="H139" s="416">
        <v>4059887423</v>
      </c>
      <c r="I139" s="400" t="s">
        <v>69</v>
      </c>
      <c r="J139" s="400" t="s">
        <v>798</v>
      </c>
      <c r="K139" s="401">
        <v>984187</v>
      </c>
      <c r="L139" s="400" t="s">
        <v>180</v>
      </c>
      <c r="M139" s="2"/>
      <c r="N139" s="2"/>
      <c r="O139" s="4"/>
    </row>
    <row r="140" spans="1:15" ht="15" x14ac:dyDescent="0.25">
      <c r="A140" s="400" t="s">
        <v>1089</v>
      </c>
      <c r="B140" s="400" t="s">
        <v>1040</v>
      </c>
      <c r="C140" s="416">
        <v>126</v>
      </c>
      <c r="D140" s="416">
        <v>94</v>
      </c>
      <c r="E140" s="416">
        <v>220</v>
      </c>
      <c r="F140" s="416">
        <v>16321634</v>
      </c>
      <c r="G140" s="416">
        <v>12649863</v>
      </c>
      <c r="H140" s="416">
        <v>28971497</v>
      </c>
      <c r="I140" s="400" t="s">
        <v>158</v>
      </c>
      <c r="J140" s="400" t="s">
        <v>795</v>
      </c>
      <c r="K140" s="401">
        <v>619445</v>
      </c>
      <c r="L140" s="400" t="s">
        <v>175</v>
      </c>
      <c r="M140" s="2"/>
      <c r="N140" s="2"/>
      <c r="O140" s="4"/>
    </row>
    <row r="141" spans="1:15" ht="15" x14ac:dyDescent="0.25">
      <c r="A141" s="400" t="s">
        <v>1087</v>
      </c>
      <c r="B141" s="400" t="s">
        <v>311</v>
      </c>
      <c r="C141" s="416">
        <v>2248</v>
      </c>
      <c r="D141" s="416">
        <v>2302</v>
      </c>
      <c r="E141" s="416">
        <v>4550</v>
      </c>
      <c r="F141" s="416">
        <v>205101160</v>
      </c>
      <c r="G141" s="416">
        <v>266378521</v>
      </c>
      <c r="H141" s="416">
        <v>471479681</v>
      </c>
      <c r="I141" s="400" t="s">
        <v>158</v>
      </c>
      <c r="J141" s="400" t="s">
        <v>792</v>
      </c>
      <c r="K141" s="401">
        <v>320762</v>
      </c>
      <c r="L141" s="400" t="s">
        <v>175</v>
      </c>
      <c r="M141" s="2"/>
      <c r="N141" s="2"/>
      <c r="O141" s="4"/>
    </row>
    <row r="142" spans="1:15" ht="15" x14ac:dyDescent="0.25">
      <c r="A142" s="400" t="s">
        <v>381</v>
      </c>
      <c r="B142" s="400" t="s">
        <v>634</v>
      </c>
      <c r="C142" s="416">
        <v>175</v>
      </c>
      <c r="D142" s="416">
        <v>275</v>
      </c>
      <c r="E142" s="416">
        <v>450</v>
      </c>
      <c r="F142" s="416">
        <v>6557527</v>
      </c>
      <c r="G142" s="416">
        <v>11849948</v>
      </c>
      <c r="H142" s="416">
        <v>18407475</v>
      </c>
      <c r="I142" s="400" t="s">
        <v>69</v>
      </c>
      <c r="J142" s="400" t="s">
        <v>798</v>
      </c>
      <c r="K142" s="401">
        <v>770263</v>
      </c>
      <c r="L142" s="400" t="s">
        <v>777</v>
      </c>
      <c r="M142" s="2"/>
      <c r="N142" s="2"/>
      <c r="O142" s="4"/>
    </row>
    <row r="143" spans="1:15" ht="15" x14ac:dyDescent="0.25">
      <c r="A143" s="400" t="s">
        <v>328</v>
      </c>
      <c r="B143" s="400" t="s">
        <v>704</v>
      </c>
      <c r="C143" s="416">
        <v>507</v>
      </c>
      <c r="D143" s="416">
        <v>607</v>
      </c>
      <c r="E143" s="416">
        <v>1114</v>
      </c>
      <c r="F143" s="416">
        <v>16345183</v>
      </c>
      <c r="G143" s="416">
        <v>23602332</v>
      </c>
      <c r="H143" s="416">
        <v>39947514</v>
      </c>
      <c r="I143" s="400" t="s">
        <v>69</v>
      </c>
      <c r="J143" s="400" t="s">
        <v>798</v>
      </c>
      <c r="K143" s="401">
        <v>288183</v>
      </c>
      <c r="L143" s="400" t="s">
        <v>517</v>
      </c>
      <c r="M143" s="2"/>
      <c r="N143" s="2"/>
      <c r="O143" s="4"/>
    </row>
    <row r="144" spans="1:15" ht="15" x14ac:dyDescent="0.25">
      <c r="A144" s="400" t="s">
        <v>1110</v>
      </c>
      <c r="B144" s="400" t="s">
        <v>833</v>
      </c>
      <c r="C144" s="416">
        <v>2278</v>
      </c>
      <c r="D144" s="416">
        <v>3655</v>
      </c>
      <c r="E144" s="416">
        <v>5933</v>
      </c>
      <c r="F144" s="416">
        <v>58621141</v>
      </c>
      <c r="G144" s="416">
        <v>133233279</v>
      </c>
      <c r="H144" s="416">
        <v>191854420</v>
      </c>
      <c r="I144" s="400" t="s">
        <v>69</v>
      </c>
      <c r="J144" s="400" t="s">
        <v>798</v>
      </c>
      <c r="K144" s="401">
        <v>481911</v>
      </c>
      <c r="L144" s="400" t="s">
        <v>556</v>
      </c>
      <c r="M144" s="2"/>
      <c r="N144" s="2"/>
      <c r="O144" s="4"/>
    </row>
    <row r="145" spans="1:15" ht="15" x14ac:dyDescent="0.25">
      <c r="A145" s="400" t="s">
        <v>223</v>
      </c>
      <c r="B145" s="400" t="s">
        <v>918</v>
      </c>
      <c r="C145" s="416">
        <v>7</v>
      </c>
      <c r="D145" s="416">
        <v>20</v>
      </c>
      <c r="E145" s="416">
        <v>27</v>
      </c>
      <c r="F145" s="416">
        <v>445905</v>
      </c>
      <c r="G145" s="416">
        <v>1942298</v>
      </c>
      <c r="H145" s="416">
        <v>2388203</v>
      </c>
      <c r="I145" s="400" t="s">
        <v>69</v>
      </c>
      <c r="J145" s="400" t="s">
        <v>798</v>
      </c>
      <c r="K145" s="401">
        <v>351049</v>
      </c>
      <c r="L145" s="400" t="s">
        <v>919</v>
      </c>
      <c r="M145" s="2"/>
      <c r="N145" s="2"/>
      <c r="O145" s="4"/>
    </row>
    <row r="146" spans="1:15" ht="15" x14ac:dyDescent="0.25">
      <c r="A146" s="400" t="s">
        <v>1103</v>
      </c>
      <c r="B146" s="400" t="s">
        <v>321</v>
      </c>
      <c r="C146" s="416">
        <v>23</v>
      </c>
      <c r="D146" s="416">
        <v>42</v>
      </c>
      <c r="E146" s="416">
        <v>65</v>
      </c>
      <c r="F146" s="416">
        <v>1370207</v>
      </c>
      <c r="G146" s="416">
        <v>3383391</v>
      </c>
      <c r="H146" s="416">
        <v>4753599</v>
      </c>
      <c r="I146" s="400" t="s">
        <v>158</v>
      </c>
      <c r="J146" s="400" t="s">
        <v>799</v>
      </c>
      <c r="K146" s="401">
        <v>732487</v>
      </c>
      <c r="L146" s="400" t="s">
        <v>211</v>
      </c>
      <c r="M146" s="2"/>
      <c r="N146" s="2"/>
      <c r="O146" s="4"/>
    </row>
    <row r="147" spans="1:15" ht="15" x14ac:dyDescent="0.25">
      <c r="A147" s="400" t="s">
        <v>1113</v>
      </c>
      <c r="B147" s="400" t="s">
        <v>1044</v>
      </c>
      <c r="C147" s="416">
        <v>969</v>
      </c>
      <c r="D147" s="416">
        <v>1520</v>
      </c>
      <c r="E147" s="416">
        <v>2489</v>
      </c>
      <c r="F147" s="416">
        <v>44573973</v>
      </c>
      <c r="G147" s="416">
        <v>86239635</v>
      </c>
      <c r="H147" s="416">
        <v>130813608</v>
      </c>
      <c r="I147" s="400" t="s">
        <v>69</v>
      </c>
      <c r="J147" s="400" t="s">
        <v>798</v>
      </c>
      <c r="K147" s="401">
        <v>178624</v>
      </c>
      <c r="L147" s="400" t="s">
        <v>624</v>
      </c>
      <c r="M147" s="2"/>
      <c r="N147" s="2"/>
      <c r="O147" s="4"/>
    </row>
    <row r="148" spans="1:15" ht="15" x14ac:dyDescent="0.25">
      <c r="A148" s="400" t="s">
        <v>1108</v>
      </c>
      <c r="B148" s="400" t="s">
        <v>348</v>
      </c>
      <c r="C148" s="416">
        <v>27</v>
      </c>
      <c r="D148" s="416">
        <v>59</v>
      </c>
      <c r="E148" s="416">
        <v>86</v>
      </c>
      <c r="F148" s="416">
        <v>990026</v>
      </c>
      <c r="G148" s="416">
        <v>3536874</v>
      </c>
      <c r="H148" s="416">
        <v>4526900</v>
      </c>
      <c r="I148" s="400" t="s">
        <v>69</v>
      </c>
      <c r="J148" s="400" t="s">
        <v>799</v>
      </c>
      <c r="K148" s="401">
        <v>664482</v>
      </c>
      <c r="L148" s="400" t="s">
        <v>202</v>
      </c>
      <c r="M148" s="2"/>
      <c r="N148" s="2"/>
      <c r="O148" s="4"/>
    </row>
    <row r="149" spans="1:15" ht="15" x14ac:dyDescent="0.25">
      <c r="A149" s="400" t="s">
        <v>305</v>
      </c>
      <c r="B149" s="400" t="s">
        <v>597</v>
      </c>
      <c r="C149" s="416">
        <v>1975</v>
      </c>
      <c r="D149" s="416">
        <v>2445</v>
      </c>
      <c r="E149" s="416">
        <v>4420</v>
      </c>
      <c r="F149" s="416">
        <v>89072574</v>
      </c>
      <c r="G149" s="416">
        <v>130666443</v>
      </c>
      <c r="H149" s="416">
        <v>219739018</v>
      </c>
      <c r="I149" s="400" t="s">
        <v>69</v>
      </c>
      <c r="J149" s="400" t="s">
        <v>798</v>
      </c>
      <c r="K149" s="401">
        <v>570044</v>
      </c>
      <c r="L149" s="400" t="s">
        <v>202</v>
      </c>
      <c r="M149" s="2"/>
      <c r="N149" s="2"/>
      <c r="O149" s="4"/>
    </row>
    <row r="150" spans="1:15" ht="15" x14ac:dyDescent="0.25">
      <c r="A150" s="400" t="s">
        <v>185</v>
      </c>
      <c r="B150" s="400" t="s">
        <v>625</v>
      </c>
      <c r="C150" s="416">
        <v>31</v>
      </c>
      <c r="D150" s="416">
        <v>35</v>
      </c>
      <c r="E150" s="416">
        <v>66</v>
      </c>
      <c r="F150" s="416">
        <v>1496134</v>
      </c>
      <c r="G150" s="416">
        <v>1349316</v>
      </c>
      <c r="H150" s="416">
        <v>2845451</v>
      </c>
      <c r="I150" s="400" t="s">
        <v>69</v>
      </c>
      <c r="J150" s="400" t="s">
        <v>798</v>
      </c>
      <c r="K150" s="401">
        <v>224311</v>
      </c>
      <c r="L150" s="400" t="s">
        <v>476</v>
      </c>
      <c r="M150" s="2"/>
      <c r="N150" s="2"/>
      <c r="O150" s="4"/>
    </row>
    <row r="151" spans="1:15" ht="15" x14ac:dyDescent="0.25">
      <c r="A151" s="400" t="s">
        <v>302</v>
      </c>
      <c r="B151" s="400" t="s">
        <v>686</v>
      </c>
      <c r="C151" s="416">
        <v>1022</v>
      </c>
      <c r="D151" s="416">
        <v>1559</v>
      </c>
      <c r="E151" s="416">
        <v>2581</v>
      </c>
      <c r="F151" s="416">
        <v>45334125</v>
      </c>
      <c r="G151" s="416">
        <v>83921689</v>
      </c>
      <c r="H151" s="416">
        <v>129255814</v>
      </c>
      <c r="I151" s="400" t="s">
        <v>69</v>
      </c>
      <c r="J151" s="400" t="s">
        <v>798</v>
      </c>
      <c r="K151" s="401">
        <v>745828</v>
      </c>
      <c r="L151" s="400" t="s">
        <v>558</v>
      </c>
      <c r="M151" s="2"/>
      <c r="N151" s="2"/>
      <c r="O151" s="4"/>
    </row>
    <row r="152" spans="1:15" ht="15" x14ac:dyDescent="0.25">
      <c r="A152" s="400" t="s">
        <v>1087</v>
      </c>
      <c r="B152" s="400" t="s">
        <v>1022</v>
      </c>
      <c r="C152" s="416">
        <v>129</v>
      </c>
      <c r="D152" s="416">
        <v>272</v>
      </c>
      <c r="E152" s="416">
        <v>401</v>
      </c>
      <c r="F152" s="416">
        <v>26232909</v>
      </c>
      <c r="G152" s="416">
        <v>63856920</v>
      </c>
      <c r="H152" s="416">
        <v>90089829</v>
      </c>
      <c r="I152" s="400" t="s">
        <v>158</v>
      </c>
      <c r="J152" s="400" t="s">
        <v>792</v>
      </c>
      <c r="K152" s="401">
        <v>288472</v>
      </c>
      <c r="L152" s="400" t="s">
        <v>1035</v>
      </c>
      <c r="M152" s="2"/>
      <c r="N152" s="2"/>
      <c r="O152" s="4"/>
    </row>
    <row r="153" spans="1:15" ht="15" x14ac:dyDescent="0.25">
      <c r="A153" s="400" t="s">
        <v>1098</v>
      </c>
      <c r="B153" s="400" t="s">
        <v>891</v>
      </c>
      <c r="C153" s="416">
        <v>2</v>
      </c>
      <c r="D153" s="416">
        <v>3</v>
      </c>
      <c r="E153" s="416">
        <v>5</v>
      </c>
      <c r="F153" s="416">
        <v>93756</v>
      </c>
      <c r="G153" s="416">
        <v>157212</v>
      </c>
      <c r="H153" s="416">
        <v>250968</v>
      </c>
      <c r="I153" s="400" t="s">
        <v>69</v>
      </c>
      <c r="J153" s="400" t="s">
        <v>799</v>
      </c>
      <c r="K153" s="401">
        <v>886077</v>
      </c>
      <c r="L153" s="400" t="s">
        <v>1139</v>
      </c>
      <c r="M153" s="2"/>
      <c r="N153" s="2"/>
      <c r="O153" s="4"/>
    </row>
    <row r="154" spans="1:15" ht="15" x14ac:dyDescent="0.25">
      <c r="A154" s="400" t="s">
        <v>1099</v>
      </c>
      <c r="B154" s="400" t="s">
        <v>1140</v>
      </c>
      <c r="C154" s="416">
        <v>19</v>
      </c>
      <c r="D154" s="416">
        <v>27</v>
      </c>
      <c r="E154" s="416">
        <v>46</v>
      </c>
      <c r="F154" s="416">
        <v>546361</v>
      </c>
      <c r="G154" s="416">
        <v>985103</v>
      </c>
      <c r="H154" s="416">
        <v>1531464</v>
      </c>
      <c r="I154" s="400" t="s">
        <v>69</v>
      </c>
      <c r="J154" s="400" t="s">
        <v>799</v>
      </c>
      <c r="K154" s="401">
        <v>550970</v>
      </c>
      <c r="L154" s="400" t="s">
        <v>387</v>
      </c>
      <c r="M154" s="2"/>
      <c r="N154" s="2"/>
      <c r="O154" s="4"/>
    </row>
    <row r="155" spans="1:15" ht="15" x14ac:dyDescent="0.25">
      <c r="A155" s="400" t="s">
        <v>219</v>
      </c>
      <c r="B155" s="400" t="s">
        <v>1141</v>
      </c>
      <c r="C155" s="416">
        <v>50</v>
      </c>
      <c r="D155" s="416">
        <v>89</v>
      </c>
      <c r="E155" s="416">
        <v>139</v>
      </c>
      <c r="F155" s="416">
        <v>2691372</v>
      </c>
      <c r="G155" s="416">
        <v>4949844</v>
      </c>
      <c r="H155" s="416">
        <v>7641216</v>
      </c>
      <c r="I155" s="400" t="s">
        <v>69</v>
      </c>
      <c r="J155" s="400" t="s">
        <v>798</v>
      </c>
      <c r="K155" s="401">
        <v>371294</v>
      </c>
      <c r="L155" s="400" t="s">
        <v>387</v>
      </c>
      <c r="M155" s="2"/>
      <c r="N155" s="2"/>
      <c r="O155" s="4"/>
    </row>
    <row r="156" spans="1:15" ht="15" x14ac:dyDescent="0.25">
      <c r="A156" s="400" t="s">
        <v>350</v>
      </c>
      <c r="B156" s="400" t="s">
        <v>663</v>
      </c>
      <c r="C156" s="416">
        <v>629</v>
      </c>
      <c r="D156" s="416">
        <v>1142</v>
      </c>
      <c r="E156" s="416">
        <v>1771</v>
      </c>
      <c r="F156" s="416">
        <v>27885771</v>
      </c>
      <c r="G156" s="416">
        <v>65288886</v>
      </c>
      <c r="H156" s="416">
        <v>93174657</v>
      </c>
      <c r="I156" s="400" t="s">
        <v>69</v>
      </c>
      <c r="J156" s="400" t="s">
        <v>798</v>
      </c>
      <c r="K156" s="401">
        <v>197632</v>
      </c>
      <c r="L156" s="400" t="s">
        <v>775</v>
      </c>
      <c r="M156" s="2"/>
      <c r="N156" s="2"/>
      <c r="O156" s="4"/>
    </row>
    <row r="157" spans="1:15" ht="15" x14ac:dyDescent="0.25">
      <c r="A157" s="400" t="s">
        <v>1105</v>
      </c>
      <c r="B157" s="400" t="s">
        <v>196</v>
      </c>
      <c r="C157" s="416">
        <v>1213</v>
      </c>
      <c r="D157" s="416">
        <v>1192</v>
      </c>
      <c r="E157" s="416">
        <v>2405</v>
      </c>
      <c r="F157" s="416">
        <v>40585257</v>
      </c>
      <c r="G157" s="416">
        <v>51290447</v>
      </c>
      <c r="H157" s="416">
        <v>91875704</v>
      </c>
      <c r="I157" s="400" t="s">
        <v>158</v>
      </c>
      <c r="J157" s="400" t="s">
        <v>799</v>
      </c>
      <c r="K157" s="401">
        <v>178335</v>
      </c>
      <c r="L157" s="400" t="s">
        <v>192</v>
      </c>
      <c r="M157" s="2"/>
      <c r="N157" s="2"/>
      <c r="O157" s="4"/>
    </row>
    <row r="158" spans="1:15" ht="15" x14ac:dyDescent="0.25">
      <c r="A158" s="400" t="s">
        <v>1112</v>
      </c>
      <c r="B158" s="400" t="s">
        <v>715</v>
      </c>
      <c r="C158" s="416">
        <v>189</v>
      </c>
      <c r="D158" s="416">
        <v>320</v>
      </c>
      <c r="E158" s="416">
        <v>509</v>
      </c>
      <c r="F158" s="416">
        <v>9416884</v>
      </c>
      <c r="G158" s="416">
        <v>16802770</v>
      </c>
      <c r="H158" s="416">
        <v>26219654</v>
      </c>
      <c r="I158" s="400" t="s">
        <v>69</v>
      </c>
      <c r="J158" s="400" t="s">
        <v>798</v>
      </c>
      <c r="K158" s="401">
        <v>866715</v>
      </c>
      <c r="L158" s="400" t="s">
        <v>554</v>
      </c>
      <c r="M158" s="2"/>
      <c r="N158" s="2"/>
      <c r="O158" s="4"/>
    </row>
    <row r="159" spans="1:15" ht="15" x14ac:dyDescent="0.25">
      <c r="A159" s="400" t="s">
        <v>1089</v>
      </c>
      <c r="B159" s="400" t="s">
        <v>472</v>
      </c>
      <c r="C159" s="416">
        <v>5722</v>
      </c>
      <c r="D159" s="416">
        <v>5906</v>
      </c>
      <c r="E159" s="416">
        <v>11628</v>
      </c>
      <c r="F159" s="416">
        <v>366418739</v>
      </c>
      <c r="G159" s="416">
        <v>470684353</v>
      </c>
      <c r="H159" s="416">
        <v>837103092</v>
      </c>
      <c r="I159" s="400" t="s">
        <v>158</v>
      </c>
      <c r="J159" s="400" t="s">
        <v>795</v>
      </c>
      <c r="K159" s="401">
        <v>878520</v>
      </c>
      <c r="L159" s="400" t="s">
        <v>200</v>
      </c>
      <c r="M159" s="2"/>
      <c r="N159" s="2"/>
      <c r="O159" s="4"/>
    </row>
    <row r="160" spans="1:15" ht="15" customHeight="1" x14ac:dyDescent="0.25">
      <c r="A160" s="400" t="s">
        <v>185</v>
      </c>
      <c r="B160" s="400" t="s">
        <v>732</v>
      </c>
      <c r="C160" s="416">
        <v>9</v>
      </c>
      <c r="D160" s="416">
        <v>22</v>
      </c>
      <c r="E160" s="416">
        <v>31</v>
      </c>
      <c r="F160" s="416">
        <v>451433</v>
      </c>
      <c r="G160" s="416">
        <v>994783</v>
      </c>
      <c r="H160" s="416">
        <v>1446215</v>
      </c>
      <c r="I160" s="400" t="s">
        <v>69</v>
      </c>
      <c r="J160" s="400" t="s">
        <v>798</v>
      </c>
      <c r="K160" s="401">
        <v>690693</v>
      </c>
      <c r="L160" s="400" t="s">
        <v>1013</v>
      </c>
      <c r="M160" s="2"/>
      <c r="N160" s="2"/>
      <c r="O160" s="4"/>
    </row>
    <row r="161" spans="1:15" ht="15" x14ac:dyDescent="0.25">
      <c r="A161" s="400" t="s">
        <v>259</v>
      </c>
      <c r="B161" s="400" t="s">
        <v>538</v>
      </c>
      <c r="C161" s="416">
        <v>15246</v>
      </c>
      <c r="D161" s="416">
        <v>16523</v>
      </c>
      <c r="E161" s="416">
        <v>31769</v>
      </c>
      <c r="F161" s="416">
        <v>741822738</v>
      </c>
      <c r="G161" s="416">
        <v>985798272</v>
      </c>
      <c r="H161" s="416">
        <v>1727621010</v>
      </c>
      <c r="I161" s="400" t="s">
        <v>158</v>
      </c>
      <c r="J161" s="400" t="s">
        <v>798</v>
      </c>
      <c r="K161" s="401">
        <v>785618</v>
      </c>
      <c r="L161" s="400" t="s">
        <v>170</v>
      </c>
      <c r="M161" s="2"/>
      <c r="N161" s="2"/>
      <c r="O161" s="4"/>
    </row>
    <row r="162" spans="1:15" ht="15" x14ac:dyDescent="0.25">
      <c r="A162" s="400" t="s">
        <v>1088</v>
      </c>
      <c r="B162" s="400" t="s">
        <v>810</v>
      </c>
      <c r="C162" s="416">
        <v>1319</v>
      </c>
      <c r="D162" s="416">
        <v>1498</v>
      </c>
      <c r="E162" s="416">
        <v>2817</v>
      </c>
      <c r="F162" s="416">
        <v>151593432</v>
      </c>
      <c r="G162" s="416">
        <v>193143059</v>
      </c>
      <c r="H162" s="416">
        <v>344736491</v>
      </c>
      <c r="I162" s="400" t="s">
        <v>69</v>
      </c>
      <c r="J162" s="400" t="s">
        <v>795</v>
      </c>
      <c r="K162" s="401">
        <v>237008</v>
      </c>
      <c r="L162" s="400" t="s">
        <v>746</v>
      </c>
      <c r="M162" s="2"/>
      <c r="N162" s="2"/>
      <c r="O162" s="4"/>
    </row>
    <row r="163" spans="1:15" ht="15" x14ac:dyDescent="0.25">
      <c r="A163" s="400" t="s">
        <v>223</v>
      </c>
      <c r="B163" s="400" t="s">
        <v>561</v>
      </c>
      <c r="C163" s="416">
        <v>544</v>
      </c>
      <c r="D163" s="416">
        <v>846</v>
      </c>
      <c r="E163" s="416">
        <v>1390</v>
      </c>
      <c r="F163" s="416">
        <v>34835700</v>
      </c>
      <c r="G163" s="416">
        <v>62268612</v>
      </c>
      <c r="H163" s="416">
        <v>97104312</v>
      </c>
      <c r="I163" s="400" t="s">
        <v>158</v>
      </c>
      <c r="J163" s="400" t="s">
        <v>798</v>
      </c>
      <c r="K163" s="401">
        <v>647487</v>
      </c>
      <c r="L163" s="400" t="s">
        <v>233</v>
      </c>
      <c r="M163" s="2"/>
      <c r="N163" s="2"/>
      <c r="O163" s="4"/>
    </row>
    <row r="164" spans="1:15" ht="15" x14ac:dyDescent="0.25">
      <c r="A164" s="400" t="s">
        <v>1111</v>
      </c>
      <c r="B164" s="400" t="s">
        <v>669</v>
      </c>
      <c r="C164" s="416">
        <v>117</v>
      </c>
      <c r="D164" s="416">
        <v>231</v>
      </c>
      <c r="E164" s="416">
        <v>348</v>
      </c>
      <c r="F164" s="416">
        <v>5562608</v>
      </c>
      <c r="G164" s="416">
        <v>12290396</v>
      </c>
      <c r="H164" s="416">
        <v>17853004</v>
      </c>
      <c r="I164" s="400" t="s">
        <v>69</v>
      </c>
      <c r="J164" s="400" t="s">
        <v>798</v>
      </c>
      <c r="K164" s="401">
        <v>538751</v>
      </c>
      <c r="L164" s="400" t="s">
        <v>768</v>
      </c>
      <c r="M164" s="2"/>
      <c r="N164" s="2"/>
      <c r="O164" s="4"/>
    </row>
    <row r="165" spans="1:15" ht="15" x14ac:dyDescent="0.25">
      <c r="A165" s="400" t="s">
        <v>350</v>
      </c>
      <c r="B165" s="400" t="s">
        <v>377</v>
      </c>
      <c r="C165" s="416">
        <v>47</v>
      </c>
      <c r="D165" s="416">
        <v>139</v>
      </c>
      <c r="E165" s="416">
        <v>186</v>
      </c>
      <c r="F165" s="416">
        <v>1958325</v>
      </c>
      <c r="G165" s="416">
        <v>7829540</v>
      </c>
      <c r="H165" s="416">
        <v>9787864</v>
      </c>
      <c r="I165" s="400" t="s">
        <v>158</v>
      </c>
      <c r="J165" s="400" t="s">
        <v>798</v>
      </c>
      <c r="K165" s="401">
        <v>579425</v>
      </c>
      <c r="L165" s="400" t="s">
        <v>291</v>
      </c>
      <c r="M165" s="2"/>
      <c r="N165" s="2"/>
      <c r="O165" s="4"/>
    </row>
    <row r="166" spans="1:15" ht="15" x14ac:dyDescent="0.25">
      <c r="A166" s="400" t="s">
        <v>1112</v>
      </c>
      <c r="B166" s="400" t="s">
        <v>773</v>
      </c>
      <c r="C166" s="416">
        <v>255</v>
      </c>
      <c r="D166" s="416">
        <v>400</v>
      </c>
      <c r="E166" s="416">
        <v>655</v>
      </c>
      <c r="F166" s="416">
        <v>10880534</v>
      </c>
      <c r="G166" s="416">
        <v>20554935</v>
      </c>
      <c r="H166" s="416">
        <v>31435469</v>
      </c>
      <c r="I166" s="400" t="s">
        <v>69</v>
      </c>
      <c r="J166" s="400" t="s">
        <v>798</v>
      </c>
      <c r="K166" s="401">
        <v>107201</v>
      </c>
      <c r="L166" s="400" t="s">
        <v>756</v>
      </c>
      <c r="M166" s="2"/>
      <c r="N166" s="2"/>
      <c r="O166" s="4"/>
    </row>
    <row r="167" spans="1:15" ht="15" x14ac:dyDescent="0.25">
      <c r="A167" s="400" t="s">
        <v>302</v>
      </c>
      <c r="B167" s="400" t="s">
        <v>880</v>
      </c>
      <c r="C167" s="416">
        <v>2160</v>
      </c>
      <c r="D167" s="416">
        <v>2947</v>
      </c>
      <c r="E167" s="416">
        <v>5107</v>
      </c>
      <c r="F167" s="416">
        <v>37904883</v>
      </c>
      <c r="G167" s="416">
        <v>63838424</v>
      </c>
      <c r="H167" s="416">
        <v>101743307</v>
      </c>
      <c r="I167" s="400" t="s">
        <v>69</v>
      </c>
      <c r="J167" s="400" t="s">
        <v>798</v>
      </c>
      <c r="K167" s="401">
        <v>413021</v>
      </c>
      <c r="L167" s="400" t="s">
        <v>558</v>
      </c>
      <c r="M167" s="2"/>
      <c r="N167" s="2"/>
      <c r="O167" s="4"/>
    </row>
    <row r="168" spans="1:15" ht="15" x14ac:dyDescent="0.25">
      <c r="A168" s="400" t="s">
        <v>325</v>
      </c>
      <c r="B168" s="400" t="s">
        <v>650</v>
      </c>
      <c r="C168" s="416">
        <v>476</v>
      </c>
      <c r="D168" s="416">
        <v>637</v>
      </c>
      <c r="E168" s="416">
        <v>1113</v>
      </c>
      <c r="F168" s="416">
        <v>26493576</v>
      </c>
      <c r="G168" s="416">
        <v>43839264</v>
      </c>
      <c r="H168" s="416">
        <v>70332840</v>
      </c>
      <c r="I168" s="400" t="s">
        <v>69</v>
      </c>
      <c r="J168" s="400" t="s">
        <v>798</v>
      </c>
      <c r="K168" s="401">
        <v>785493</v>
      </c>
      <c r="L168" s="400" t="s">
        <v>646</v>
      </c>
      <c r="M168" s="2"/>
      <c r="N168" s="2"/>
      <c r="O168" s="4"/>
    </row>
    <row r="169" spans="1:15" ht="15" x14ac:dyDescent="0.25">
      <c r="A169" s="400" t="s">
        <v>1112</v>
      </c>
      <c r="B169" s="400" t="s">
        <v>566</v>
      </c>
      <c r="C169" s="416">
        <v>185</v>
      </c>
      <c r="D169" s="416">
        <v>354</v>
      </c>
      <c r="E169" s="416">
        <v>539</v>
      </c>
      <c r="F169" s="416">
        <v>8672853</v>
      </c>
      <c r="G169" s="416">
        <v>20859403</v>
      </c>
      <c r="H169" s="416">
        <v>29532256</v>
      </c>
      <c r="I169" s="400" t="s">
        <v>158</v>
      </c>
      <c r="J169" s="400" t="s">
        <v>798</v>
      </c>
      <c r="K169" s="401">
        <v>261859</v>
      </c>
      <c r="L169" s="400" t="s">
        <v>409</v>
      </c>
      <c r="M169" s="2"/>
      <c r="N169" s="2"/>
      <c r="O169" s="4"/>
    </row>
    <row r="170" spans="1:15" ht="15" x14ac:dyDescent="0.25">
      <c r="A170" s="400" t="s">
        <v>305</v>
      </c>
      <c r="B170" s="400" t="s">
        <v>877</v>
      </c>
      <c r="C170" s="416">
        <v>40</v>
      </c>
      <c r="D170" s="416">
        <v>59</v>
      </c>
      <c r="E170" s="416">
        <v>99</v>
      </c>
      <c r="F170" s="416">
        <v>2181736</v>
      </c>
      <c r="G170" s="416">
        <v>3393903</v>
      </c>
      <c r="H170" s="416">
        <v>5575639</v>
      </c>
      <c r="I170" s="400" t="s">
        <v>69</v>
      </c>
      <c r="J170" s="400" t="s">
        <v>798</v>
      </c>
      <c r="K170" s="401">
        <v>849711</v>
      </c>
      <c r="L170" s="400" t="s">
        <v>838</v>
      </c>
      <c r="M170" s="2"/>
      <c r="N170" s="2"/>
      <c r="O170" s="4"/>
    </row>
    <row r="171" spans="1:15" ht="15" x14ac:dyDescent="0.25">
      <c r="A171" s="400" t="s">
        <v>305</v>
      </c>
      <c r="B171" s="400" t="s">
        <v>780</v>
      </c>
      <c r="C171" s="416">
        <v>7066</v>
      </c>
      <c r="D171" s="416">
        <v>8517</v>
      </c>
      <c r="E171" s="416">
        <v>15583</v>
      </c>
      <c r="F171" s="416">
        <v>157213136</v>
      </c>
      <c r="G171" s="416">
        <v>270600839</v>
      </c>
      <c r="H171" s="416">
        <v>427813975</v>
      </c>
      <c r="I171" s="400" t="s">
        <v>158</v>
      </c>
      <c r="J171" s="400" t="s">
        <v>798</v>
      </c>
      <c r="K171" s="401">
        <v>705806</v>
      </c>
      <c r="L171" s="400" t="s">
        <v>707</v>
      </c>
      <c r="M171" s="2"/>
      <c r="N171" s="2"/>
      <c r="O171" s="4"/>
    </row>
    <row r="172" spans="1:15" ht="15" x14ac:dyDescent="0.25">
      <c r="A172" s="400" t="s">
        <v>219</v>
      </c>
      <c r="B172" s="400" t="s">
        <v>342</v>
      </c>
      <c r="C172" s="416">
        <v>1127</v>
      </c>
      <c r="D172" s="416">
        <v>742</v>
      </c>
      <c r="E172" s="416">
        <v>1869</v>
      </c>
      <c r="F172" s="416">
        <v>42577002</v>
      </c>
      <c r="G172" s="416">
        <v>33922437</v>
      </c>
      <c r="H172" s="416">
        <v>76499439</v>
      </c>
      <c r="I172" s="400" t="s">
        <v>158</v>
      </c>
      <c r="J172" s="400" t="s">
        <v>798</v>
      </c>
      <c r="K172" s="401">
        <v>570630</v>
      </c>
      <c r="L172" s="400" t="s">
        <v>170</v>
      </c>
      <c r="M172" s="2"/>
      <c r="N172" s="2"/>
      <c r="O172" s="4"/>
    </row>
    <row r="173" spans="1:15" ht="15" x14ac:dyDescent="0.25">
      <c r="A173" s="400" t="s">
        <v>305</v>
      </c>
      <c r="B173" s="400" t="s">
        <v>761</v>
      </c>
      <c r="C173" s="416">
        <v>25</v>
      </c>
      <c r="D173" s="416">
        <v>64</v>
      </c>
      <c r="E173" s="416">
        <v>89</v>
      </c>
      <c r="F173" s="416">
        <v>1235357</v>
      </c>
      <c r="G173" s="416">
        <v>4245427</v>
      </c>
      <c r="H173" s="416">
        <v>5480784</v>
      </c>
      <c r="I173" s="400" t="s">
        <v>69</v>
      </c>
      <c r="J173" s="400" t="s">
        <v>798</v>
      </c>
      <c r="K173" s="401">
        <v>215046</v>
      </c>
      <c r="L173" s="400" t="s">
        <v>768</v>
      </c>
      <c r="M173" s="2"/>
      <c r="N173" s="2"/>
      <c r="O173" s="4"/>
    </row>
    <row r="174" spans="1:15" ht="15" x14ac:dyDescent="0.25">
      <c r="A174" s="400" t="s">
        <v>381</v>
      </c>
      <c r="B174" s="400" t="s">
        <v>510</v>
      </c>
      <c r="C174" s="416">
        <v>16961</v>
      </c>
      <c r="D174" s="416">
        <v>26182</v>
      </c>
      <c r="E174" s="416">
        <v>43143</v>
      </c>
      <c r="F174" s="416">
        <v>852095235</v>
      </c>
      <c r="G174" s="416">
        <v>1740296871</v>
      </c>
      <c r="H174" s="416">
        <v>2592392106</v>
      </c>
      <c r="I174" s="400" t="s">
        <v>158</v>
      </c>
      <c r="J174" s="400" t="s">
        <v>798</v>
      </c>
      <c r="K174" s="401">
        <v>249995</v>
      </c>
      <c r="L174" s="400" t="s">
        <v>192</v>
      </c>
      <c r="M174" s="2"/>
      <c r="N174" s="2"/>
      <c r="O174" s="4"/>
    </row>
    <row r="175" spans="1:15" ht="15" x14ac:dyDescent="0.25">
      <c r="A175" s="400" t="s">
        <v>223</v>
      </c>
      <c r="B175" s="400" t="s">
        <v>374</v>
      </c>
      <c r="C175" s="416">
        <v>12125</v>
      </c>
      <c r="D175" s="416">
        <v>15036</v>
      </c>
      <c r="E175" s="416">
        <v>27161</v>
      </c>
      <c r="F175" s="416">
        <v>747988408</v>
      </c>
      <c r="G175" s="416">
        <v>1107309977</v>
      </c>
      <c r="H175" s="416">
        <v>1855298385</v>
      </c>
      <c r="I175" s="400" t="s">
        <v>158</v>
      </c>
      <c r="J175" s="400" t="s">
        <v>798</v>
      </c>
      <c r="K175" s="401">
        <v>393314</v>
      </c>
      <c r="L175" s="400" t="s">
        <v>192</v>
      </c>
      <c r="M175" s="2"/>
      <c r="N175" s="2"/>
      <c r="O175" s="4"/>
    </row>
    <row r="176" spans="1:15" ht="15" x14ac:dyDescent="0.25">
      <c r="A176" s="400" t="s">
        <v>1108</v>
      </c>
      <c r="B176" s="400" t="s">
        <v>367</v>
      </c>
      <c r="C176" s="416">
        <v>438</v>
      </c>
      <c r="D176" s="416">
        <v>620</v>
      </c>
      <c r="E176" s="416">
        <v>1058</v>
      </c>
      <c r="F176" s="416">
        <v>24649456</v>
      </c>
      <c r="G176" s="416">
        <v>39193643</v>
      </c>
      <c r="H176" s="416">
        <v>63843099</v>
      </c>
      <c r="I176" s="400" t="s">
        <v>69</v>
      </c>
      <c r="J176" s="400" t="s">
        <v>799</v>
      </c>
      <c r="K176" s="401">
        <v>549972</v>
      </c>
      <c r="L176" s="400" t="s">
        <v>202</v>
      </c>
      <c r="M176" s="2"/>
      <c r="N176" s="2"/>
      <c r="O176" s="4"/>
    </row>
    <row r="177" spans="1:15" ht="15" x14ac:dyDescent="0.25">
      <c r="A177" s="400" t="s">
        <v>219</v>
      </c>
      <c r="B177" s="400" t="s">
        <v>649</v>
      </c>
      <c r="C177" s="416">
        <v>12</v>
      </c>
      <c r="D177" s="416">
        <v>16</v>
      </c>
      <c r="E177" s="416">
        <v>28</v>
      </c>
      <c r="F177" s="416">
        <v>403959</v>
      </c>
      <c r="G177" s="416">
        <v>854712</v>
      </c>
      <c r="H177" s="416">
        <v>1258671</v>
      </c>
      <c r="I177" s="400" t="s">
        <v>69</v>
      </c>
      <c r="J177" s="400" t="s">
        <v>798</v>
      </c>
      <c r="K177" s="401">
        <v>724633</v>
      </c>
      <c r="L177" s="400" t="s">
        <v>646</v>
      </c>
      <c r="M177" s="2"/>
      <c r="N177" s="2"/>
      <c r="O177" s="4"/>
    </row>
    <row r="178" spans="1:15" ht="15" x14ac:dyDescent="0.25">
      <c r="A178" s="400" t="s">
        <v>185</v>
      </c>
      <c r="B178" s="400" t="s">
        <v>1037</v>
      </c>
      <c r="C178" s="416">
        <v>15</v>
      </c>
      <c r="D178" s="416">
        <v>27</v>
      </c>
      <c r="E178" s="416">
        <v>42</v>
      </c>
      <c r="F178" s="416">
        <v>651031</v>
      </c>
      <c r="G178" s="416">
        <v>1539293</v>
      </c>
      <c r="H178" s="416">
        <v>2190323</v>
      </c>
      <c r="I178" s="400" t="s">
        <v>158</v>
      </c>
      <c r="J178" s="400" t="s">
        <v>798</v>
      </c>
      <c r="K178" s="401">
        <v>157909</v>
      </c>
      <c r="L178" s="400" t="s">
        <v>859</v>
      </c>
      <c r="M178" s="2"/>
      <c r="N178" s="2"/>
      <c r="O178" s="4"/>
    </row>
    <row r="179" spans="1:15" ht="15" x14ac:dyDescent="0.25">
      <c r="A179" s="400" t="s">
        <v>296</v>
      </c>
      <c r="B179" s="400" t="s">
        <v>1116</v>
      </c>
      <c r="C179" s="416">
        <v>21</v>
      </c>
      <c r="D179" s="416">
        <v>97</v>
      </c>
      <c r="E179" s="416">
        <v>118</v>
      </c>
      <c r="F179" s="416">
        <v>1149817</v>
      </c>
      <c r="G179" s="416">
        <v>6486462</v>
      </c>
      <c r="H179" s="416">
        <v>7636279</v>
      </c>
      <c r="I179" s="400" t="s">
        <v>69</v>
      </c>
      <c r="J179" s="400" t="s">
        <v>798</v>
      </c>
      <c r="K179" s="401">
        <v>558700</v>
      </c>
      <c r="L179" s="400" t="s">
        <v>1013</v>
      </c>
      <c r="M179" s="2"/>
      <c r="N179" s="2"/>
      <c r="O179" s="4"/>
    </row>
    <row r="180" spans="1:15" ht="15" x14ac:dyDescent="0.25">
      <c r="A180" s="400" t="s">
        <v>205</v>
      </c>
      <c r="B180" s="400" t="s">
        <v>204</v>
      </c>
      <c r="C180" s="416">
        <v>8014</v>
      </c>
      <c r="D180" s="416">
        <v>11688</v>
      </c>
      <c r="E180" s="416">
        <v>19702</v>
      </c>
      <c r="F180" s="416">
        <v>217353441</v>
      </c>
      <c r="G180" s="416">
        <v>385206043</v>
      </c>
      <c r="H180" s="416">
        <v>602559484</v>
      </c>
      <c r="I180" s="400" t="s">
        <v>158</v>
      </c>
      <c r="J180" s="400" t="s">
        <v>798</v>
      </c>
      <c r="K180" s="401">
        <v>176503</v>
      </c>
      <c r="L180" s="400" t="s">
        <v>182</v>
      </c>
      <c r="M180" s="2"/>
      <c r="N180" s="2"/>
      <c r="O180" s="4"/>
    </row>
    <row r="181" spans="1:15" ht="15" x14ac:dyDescent="0.25">
      <c r="A181" s="400" t="s">
        <v>1087</v>
      </c>
      <c r="B181" s="400" t="s">
        <v>60</v>
      </c>
      <c r="C181" s="416">
        <v>66587</v>
      </c>
      <c r="D181" s="416">
        <v>51372</v>
      </c>
      <c r="E181" s="416">
        <v>117959</v>
      </c>
      <c r="F181" s="416">
        <v>10071533849</v>
      </c>
      <c r="G181" s="416">
        <v>9152993581</v>
      </c>
      <c r="H181" s="416">
        <v>19224527429</v>
      </c>
      <c r="I181" s="400" t="s">
        <v>158</v>
      </c>
      <c r="J181" s="400" t="s">
        <v>792</v>
      </c>
      <c r="K181" s="401">
        <v>783720</v>
      </c>
      <c r="L181" s="400" t="s">
        <v>175</v>
      </c>
      <c r="M181" s="2"/>
      <c r="N181" s="2"/>
      <c r="O181" s="4"/>
    </row>
    <row r="182" spans="1:15" ht="15" x14ac:dyDescent="0.25">
      <c r="A182" s="400" t="s">
        <v>328</v>
      </c>
      <c r="B182" s="400" t="s">
        <v>687</v>
      </c>
      <c r="C182" s="416">
        <v>119</v>
      </c>
      <c r="D182" s="416">
        <v>216</v>
      </c>
      <c r="E182" s="416">
        <v>335</v>
      </c>
      <c r="F182" s="416">
        <v>5879227</v>
      </c>
      <c r="G182" s="416">
        <v>14667999</v>
      </c>
      <c r="H182" s="416">
        <v>20547226</v>
      </c>
      <c r="I182" s="400" t="s">
        <v>69</v>
      </c>
      <c r="J182" s="400" t="s">
        <v>798</v>
      </c>
      <c r="K182" s="401">
        <v>789032</v>
      </c>
      <c r="L182" s="400" t="s">
        <v>1029</v>
      </c>
      <c r="M182" s="2"/>
      <c r="N182" s="2"/>
      <c r="O182" s="4"/>
    </row>
    <row r="183" spans="1:15" ht="15" x14ac:dyDescent="0.25">
      <c r="A183" s="334" t="s">
        <v>865</v>
      </c>
      <c r="B183" s="334" t="s">
        <v>794</v>
      </c>
      <c r="C183" s="416">
        <v>4941</v>
      </c>
      <c r="D183" s="416">
        <v>4917</v>
      </c>
      <c r="E183" s="416">
        <v>9858</v>
      </c>
      <c r="F183" s="416">
        <v>771727430</v>
      </c>
      <c r="G183" s="416">
        <v>888003364</v>
      </c>
      <c r="H183" s="416">
        <v>1659730795</v>
      </c>
      <c r="I183" s="334" t="s">
        <v>158</v>
      </c>
      <c r="J183" s="334" t="s">
        <v>795</v>
      </c>
      <c r="K183" s="323">
        <v>2</v>
      </c>
      <c r="L183" s="334" t="s">
        <v>793</v>
      </c>
      <c r="M183" s="4"/>
      <c r="N183" s="2"/>
      <c r="O183" s="4"/>
    </row>
    <row r="184" spans="1:15" ht="15" x14ac:dyDescent="0.25">
      <c r="A184" s="400" t="s">
        <v>1100</v>
      </c>
      <c r="B184" s="400" t="s">
        <v>803</v>
      </c>
      <c r="C184" s="416">
        <v>12868</v>
      </c>
      <c r="D184" s="416">
        <v>14133</v>
      </c>
      <c r="E184" s="416">
        <v>27001</v>
      </c>
      <c r="F184" s="416">
        <v>375361033</v>
      </c>
      <c r="G184" s="416">
        <v>470458840</v>
      </c>
      <c r="H184" s="416">
        <v>845819872</v>
      </c>
      <c r="I184" s="400" t="s">
        <v>69</v>
      </c>
      <c r="J184" s="400" t="s">
        <v>795</v>
      </c>
      <c r="K184" s="401">
        <v>895227</v>
      </c>
      <c r="L184" s="400" t="s">
        <v>863</v>
      </c>
      <c r="M184" s="2"/>
      <c r="N184" s="2"/>
      <c r="O184" s="4"/>
    </row>
    <row r="185" spans="1:15" ht="15" x14ac:dyDescent="0.25">
      <c r="A185" s="400" t="s">
        <v>302</v>
      </c>
      <c r="B185" s="400" t="s">
        <v>866</v>
      </c>
      <c r="C185" s="416">
        <v>354</v>
      </c>
      <c r="D185" s="416">
        <v>483</v>
      </c>
      <c r="E185" s="416">
        <v>837</v>
      </c>
      <c r="F185" s="416">
        <v>8785478</v>
      </c>
      <c r="G185" s="416">
        <v>14603961</v>
      </c>
      <c r="H185" s="416">
        <v>23389439</v>
      </c>
      <c r="I185" s="400" t="s">
        <v>69</v>
      </c>
      <c r="J185" s="400" t="s">
        <v>798</v>
      </c>
      <c r="K185" s="401">
        <v>819904</v>
      </c>
      <c r="L185" s="400" t="s">
        <v>775</v>
      </c>
      <c r="M185" s="2"/>
      <c r="N185" s="2"/>
      <c r="O185" s="4"/>
    </row>
    <row r="186" spans="1:15" ht="15" x14ac:dyDescent="0.25">
      <c r="A186" s="400" t="s">
        <v>1089</v>
      </c>
      <c r="B186" s="400" t="s">
        <v>425</v>
      </c>
      <c r="C186" s="416">
        <v>3862</v>
      </c>
      <c r="D186" s="416">
        <v>4415</v>
      </c>
      <c r="E186" s="416">
        <v>8277</v>
      </c>
      <c r="F186" s="416">
        <v>169151399</v>
      </c>
      <c r="G186" s="416">
        <v>233577991</v>
      </c>
      <c r="H186" s="416">
        <v>402729390</v>
      </c>
      <c r="I186" s="400" t="s">
        <v>69</v>
      </c>
      <c r="J186" s="400" t="s">
        <v>795</v>
      </c>
      <c r="K186" s="401">
        <v>768317</v>
      </c>
      <c r="L186" s="400" t="s">
        <v>294</v>
      </c>
      <c r="M186" s="2"/>
      <c r="N186" s="2"/>
      <c r="O186" s="4"/>
    </row>
    <row r="187" spans="1:15" ht="15" x14ac:dyDescent="0.25">
      <c r="A187" s="400" t="s">
        <v>328</v>
      </c>
      <c r="B187" s="400" t="s">
        <v>1085</v>
      </c>
      <c r="C187" s="416">
        <v>553</v>
      </c>
      <c r="D187" s="416">
        <v>751</v>
      </c>
      <c r="E187" s="416">
        <v>1304</v>
      </c>
      <c r="F187" s="416">
        <v>18653845</v>
      </c>
      <c r="G187" s="416">
        <v>34961552</v>
      </c>
      <c r="H187" s="416">
        <v>53615397</v>
      </c>
      <c r="I187" s="400" t="s">
        <v>69</v>
      </c>
      <c r="J187" s="400" t="s">
        <v>798</v>
      </c>
      <c r="K187" s="401">
        <v>539585</v>
      </c>
      <c r="L187" s="400" t="s">
        <v>389</v>
      </c>
      <c r="M187" s="2"/>
      <c r="N187" s="2"/>
      <c r="O187" s="4"/>
    </row>
    <row r="188" spans="1:15" ht="15" x14ac:dyDescent="0.25">
      <c r="A188" s="400" t="s">
        <v>1089</v>
      </c>
      <c r="B188" s="400" t="s">
        <v>703</v>
      </c>
      <c r="C188" s="416">
        <v>1995</v>
      </c>
      <c r="D188" s="416">
        <v>2315</v>
      </c>
      <c r="E188" s="416">
        <v>4310</v>
      </c>
      <c r="F188" s="416">
        <v>246775734</v>
      </c>
      <c r="G188" s="416">
        <v>332026713</v>
      </c>
      <c r="H188" s="416">
        <v>578802447</v>
      </c>
      <c r="I188" s="400" t="s">
        <v>158</v>
      </c>
      <c r="J188" s="400" t="s">
        <v>795</v>
      </c>
      <c r="K188" s="401">
        <v>156315</v>
      </c>
      <c r="L188" s="400" t="s">
        <v>491</v>
      </c>
      <c r="M188" s="2"/>
      <c r="N188" s="2"/>
      <c r="O188" s="4"/>
    </row>
    <row r="189" spans="1:15" ht="15" x14ac:dyDescent="0.25">
      <c r="A189" s="400" t="s">
        <v>1110</v>
      </c>
      <c r="B189" s="400" t="s">
        <v>858</v>
      </c>
      <c r="C189" s="416">
        <v>752</v>
      </c>
      <c r="D189" s="416">
        <v>1126</v>
      </c>
      <c r="E189" s="416">
        <v>1878</v>
      </c>
      <c r="F189" s="416">
        <v>17591089</v>
      </c>
      <c r="G189" s="416">
        <v>35935684</v>
      </c>
      <c r="H189" s="416">
        <v>53526773</v>
      </c>
      <c r="I189" s="400" t="s">
        <v>69</v>
      </c>
      <c r="J189" s="400" t="s">
        <v>798</v>
      </c>
      <c r="K189" s="401">
        <v>938498</v>
      </c>
      <c r="L189" s="400" t="s">
        <v>579</v>
      </c>
      <c r="M189" s="2"/>
      <c r="N189" s="2"/>
      <c r="O189" s="4"/>
    </row>
    <row r="190" spans="1:15" ht="15" x14ac:dyDescent="0.25">
      <c r="A190" s="400" t="s">
        <v>1091</v>
      </c>
      <c r="B190" s="400" t="s">
        <v>224</v>
      </c>
      <c r="C190" s="416">
        <v>16940</v>
      </c>
      <c r="D190" s="416">
        <v>7870</v>
      </c>
      <c r="E190" s="416">
        <v>24810</v>
      </c>
      <c r="F190" s="416">
        <v>1121840067</v>
      </c>
      <c r="G190" s="416">
        <v>600476159</v>
      </c>
      <c r="H190" s="416">
        <v>1722316226</v>
      </c>
      <c r="I190" s="400" t="s">
        <v>158</v>
      </c>
      <c r="J190" s="400" t="s">
        <v>798</v>
      </c>
      <c r="K190" s="401">
        <v>296152</v>
      </c>
      <c r="L190" s="400" t="s">
        <v>175</v>
      </c>
      <c r="M190" s="2"/>
      <c r="N190" s="2"/>
      <c r="O190" s="4"/>
    </row>
    <row r="191" spans="1:15" ht="15" x14ac:dyDescent="0.25">
      <c r="A191" s="400" t="s">
        <v>1089</v>
      </c>
      <c r="B191" s="400" t="s">
        <v>314</v>
      </c>
      <c r="C191" s="416">
        <v>9386</v>
      </c>
      <c r="D191" s="416">
        <v>4169</v>
      </c>
      <c r="E191" s="416">
        <v>13555</v>
      </c>
      <c r="F191" s="416">
        <v>636742387</v>
      </c>
      <c r="G191" s="416">
        <v>266871992</v>
      </c>
      <c r="H191" s="416">
        <v>903614380</v>
      </c>
      <c r="I191" s="400" t="s">
        <v>158</v>
      </c>
      <c r="J191" s="400" t="s">
        <v>795</v>
      </c>
      <c r="K191" s="401">
        <v>117002</v>
      </c>
      <c r="L191" s="400" t="s">
        <v>170</v>
      </c>
      <c r="M191" s="2"/>
      <c r="N191" s="2"/>
      <c r="O191" s="4"/>
    </row>
    <row r="192" spans="1:15" ht="15" x14ac:dyDescent="0.25">
      <c r="A192" s="400" t="s">
        <v>163</v>
      </c>
      <c r="B192" s="400" t="s">
        <v>251</v>
      </c>
      <c r="C192" s="416">
        <v>41047</v>
      </c>
      <c r="D192" s="416">
        <v>30214</v>
      </c>
      <c r="E192" s="416">
        <v>71261</v>
      </c>
      <c r="F192" s="416">
        <v>6545598874</v>
      </c>
      <c r="G192" s="416">
        <v>5522452240</v>
      </c>
      <c r="H192" s="416">
        <v>12068051114</v>
      </c>
      <c r="I192" s="400" t="s">
        <v>158</v>
      </c>
      <c r="J192" s="400" t="s">
        <v>792</v>
      </c>
      <c r="K192" s="401">
        <v>430975</v>
      </c>
      <c r="L192" s="400" t="s">
        <v>195</v>
      </c>
      <c r="M192" s="4"/>
      <c r="N192" s="2"/>
      <c r="O192" s="4"/>
    </row>
    <row r="193" spans="1:15" ht="15" x14ac:dyDescent="0.25">
      <c r="A193" s="400" t="s">
        <v>1110</v>
      </c>
      <c r="B193" s="400" t="s">
        <v>936</v>
      </c>
      <c r="C193" s="416">
        <v>66</v>
      </c>
      <c r="D193" s="416">
        <v>244</v>
      </c>
      <c r="E193" s="416">
        <v>310</v>
      </c>
      <c r="F193" s="416">
        <v>2669354</v>
      </c>
      <c r="G193" s="416">
        <v>13602084</v>
      </c>
      <c r="H193" s="416">
        <v>16271438</v>
      </c>
      <c r="I193" s="400" t="s">
        <v>69</v>
      </c>
      <c r="J193" s="400" t="s">
        <v>798</v>
      </c>
      <c r="K193" s="401">
        <v>526590</v>
      </c>
      <c r="L193" s="400" t="s">
        <v>600</v>
      </c>
      <c r="M193" s="2"/>
      <c r="N193" s="2"/>
      <c r="O193" s="4"/>
    </row>
    <row r="194" spans="1:15" ht="15" x14ac:dyDescent="0.25">
      <c r="A194" s="400" t="s">
        <v>1089</v>
      </c>
      <c r="B194" s="400" t="s">
        <v>992</v>
      </c>
      <c r="C194" s="416">
        <v>4</v>
      </c>
      <c r="D194" s="416">
        <v>14</v>
      </c>
      <c r="E194" s="416">
        <v>18</v>
      </c>
      <c r="F194" s="416">
        <v>83423</v>
      </c>
      <c r="G194" s="416">
        <v>767654</v>
      </c>
      <c r="H194" s="416">
        <v>851078</v>
      </c>
      <c r="I194" s="400" t="s">
        <v>158</v>
      </c>
      <c r="J194" s="400" t="s">
        <v>795</v>
      </c>
      <c r="K194" s="401">
        <v>733014</v>
      </c>
      <c r="L194" s="400" t="s">
        <v>859</v>
      </c>
      <c r="M194" s="2"/>
      <c r="N194" s="2"/>
      <c r="O194" s="4"/>
    </row>
    <row r="195" spans="1:15" ht="15" customHeight="1" x14ac:dyDescent="0.25">
      <c r="A195" s="400" t="s">
        <v>1111</v>
      </c>
      <c r="B195" s="400" t="s">
        <v>513</v>
      </c>
      <c r="C195" s="416">
        <v>3240</v>
      </c>
      <c r="D195" s="416">
        <v>4751</v>
      </c>
      <c r="E195" s="416">
        <v>7991</v>
      </c>
      <c r="F195" s="416">
        <v>185284313</v>
      </c>
      <c r="G195" s="416">
        <v>310477125</v>
      </c>
      <c r="H195" s="416">
        <v>495761438</v>
      </c>
      <c r="I195" s="400" t="s">
        <v>69</v>
      </c>
      <c r="J195" s="400" t="s">
        <v>798</v>
      </c>
      <c r="K195" s="401">
        <v>891036</v>
      </c>
      <c r="L195" s="400" t="s">
        <v>383</v>
      </c>
      <c r="M195" s="2"/>
      <c r="N195" s="2"/>
      <c r="O195" s="4"/>
    </row>
    <row r="196" spans="1:15" ht="15" x14ac:dyDescent="0.25">
      <c r="A196" s="400" t="s">
        <v>1096</v>
      </c>
      <c r="B196" s="400" t="s">
        <v>212</v>
      </c>
      <c r="C196" s="416">
        <v>2461</v>
      </c>
      <c r="D196" s="416">
        <v>2181</v>
      </c>
      <c r="E196" s="416">
        <v>4642</v>
      </c>
      <c r="F196" s="416">
        <v>96510726</v>
      </c>
      <c r="G196" s="416">
        <v>117286642</v>
      </c>
      <c r="H196" s="416">
        <v>213797367</v>
      </c>
      <c r="I196" s="400" t="s">
        <v>158</v>
      </c>
      <c r="J196" s="400" t="s">
        <v>799</v>
      </c>
      <c r="K196" s="401">
        <v>843284</v>
      </c>
      <c r="L196" s="400" t="s">
        <v>213</v>
      </c>
      <c r="M196" s="2"/>
      <c r="N196" s="2"/>
      <c r="O196" s="4"/>
    </row>
    <row r="197" spans="1:15" ht="15" x14ac:dyDescent="0.25">
      <c r="A197" s="400" t="s">
        <v>223</v>
      </c>
      <c r="B197" s="400" t="s">
        <v>398</v>
      </c>
      <c r="C197" s="416">
        <v>1529</v>
      </c>
      <c r="D197" s="416">
        <v>1368</v>
      </c>
      <c r="E197" s="416">
        <v>2897</v>
      </c>
      <c r="F197" s="416">
        <v>55477396</v>
      </c>
      <c r="G197" s="416">
        <v>58616263</v>
      </c>
      <c r="H197" s="416">
        <v>114093659</v>
      </c>
      <c r="I197" s="400" t="s">
        <v>158</v>
      </c>
      <c r="J197" s="400" t="s">
        <v>798</v>
      </c>
      <c r="K197" s="401">
        <v>605634</v>
      </c>
      <c r="L197" s="400" t="s">
        <v>253</v>
      </c>
      <c r="M197" s="2"/>
      <c r="N197" s="2"/>
      <c r="O197" s="4"/>
    </row>
    <row r="198" spans="1:15" ht="15" x14ac:dyDescent="0.25">
      <c r="A198" s="400" t="s">
        <v>325</v>
      </c>
      <c r="B198" s="400" t="s">
        <v>807</v>
      </c>
      <c r="C198" s="416">
        <v>273</v>
      </c>
      <c r="D198" s="416">
        <v>267</v>
      </c>
      <c r="E198" s="416">
        <v>540</v>
      </c>
      <c r="F198" s="416">
        <v>9611078</v>
      </c>
      <c r="G198" s="416">
        <v>12356461</v>
      </c>
      <c r="H198" s="416">
        <v>21967539</v>
      </c>
      <c r="I198" s="400" t="s">
        <v>69</v>
      </c>
      <c r="J198" s="400" t="s">
        <v>798</v>
      </c>
      <c r="K198" s="401">
        <v>521104</v>
      </c>
      <c r="L198" s="400" t="s">
        <v>330</v>
      </c>
      <c r="M198" s="2"/>
      <c r="N198" s="2"/>
      <c r="O198" s="4"/>
    </row>
    <row r="199" spans="1:15" ht="15" x14ac:dyDescent="0.25">
      <c r="A199" s="400" t="s">
        <v>1105</v>
      </c>
      <c r="B199" s="400" t="s">
        <v>173</v>
      </c>
      <c r="C199" s="416">
        <v>847</v>
      </c>
      <c r="D199" s="416">
        <v>806</v>
      </c>
      <c r="E199" s="416">
        <v>1653</v>
      </c>
      <c r="F199" s="416">
        <v>31790933</v>
      </c>
      <c r="G199" s="416">
        <v>42495845</v>
      </c>
      <c r="H199" s="416">
        <v>74286778</v>
      </c>
      <c r="I199" s="400" t="s">
        <v>158</v>
      </c>
      <c r="J199" s="400" t="s">
        <v>799</v>
      </c>
      <c r="K199" s="401">
        <v>330746</v>
      </c>
      <c r="L199" s="400" t="s">
        <v>170</v>
      </c>
      <c r="M199" s="2"/>
      <c r="N199" s="2"/>
      <c r="O199" s="4"/>
    </row>
    <row r="200" spans="1:15" ht="15" x14ac:dyDescent="0.25">
      <c r="A200" s="400" t="s">
        <v>325</v>
      </c>
      <c r="B200" s="400" t="s">
        <v>1072</v>
      </c>
      <c r="C200" s="416">
        <v>28</v>
      </c>
      <c r="D200" s="416">
        <v>52</v>
      </c>
      <c r="E200" s="416">
        <v>80</v>
      </c>
      <c r="F200" s="416">
        <v>1554218</v>
      </c>
      <c r="G200" s="416">
        <v>4026678</v>
      </c>
      <c r="H200" s="416">
        <v>5580896</v>
      </c>
      <c r="I200" s="400" t="s">
        <v>69</v>
      </c>
      <c r="J200" s="400" t="s">
        <v>798</v>
      </c>
      <c r="K200" s="401">
        <v>339473</v>
      </c>
      <c r="L200" s="400" t="s">
        <v>620</v>
      </c>
      <c r="M200" s="2"/>
      <c r="N200" s="2"/>
      <c r="O200" s="4"/>
    </row>
    <row r="201" spans="1:15" ht="15" x14ac:dyDescent="0.25">
      <c r="A201" s="400" t="s">
        <v>219</v>
      </c>
      <c r="B201" s="400" t="s">
        <v>759</v>
      </c>
      <c r="C201" s="416">
        <v>21</v>
      </c>
      <c r="D201" s="416">
        <v>33</v>
      </c>
      <c r="E201" s="416">
        <v>54</v>
      </c>
      <c r="F201" s="416">
        <v>858640</v>
      </c>
      <c r="G201" s="416">
        <v>1718745</v>
      </c>
      <c r="H201" s="416">
        <v>2577386</v>
      </c>
      <c r="I201" s="400" t="s">
        <v>69</v>
      </c>
      <c r="J201" s="400" t="s">
        <v>798</v>
      </c>
      <c r="K201" s="401">
        <v>634675</v>
      </c>
      <c r="L201" s="400" t="s">
        <v>768</v>
      </c>
      <c r="M201" s="2"/>
      <c r="N201" s="2"/>
      <c r="O201" s="4"/>
    </row>
    <row r="202" spans="1:15" ht="15" x14ac:dyDescent="0.25">
      <c r="A202" s="400" t="s">
        <v>1089</v>
      </c>
      <c r="B202" s="400" t="s">
        <v>811</v>
      </c>
      <c r="C202" s="416">
        <v>246</v>
      </c>
      <c r="D202" s="416">
        <v>255</v>
      </c>
      <c r="E202" s="416">
        <v>501</v>
      </c>
      <c r="F202" s="416">
        <v>34700611</v>
      </c>
      <c r="G202" s="416">
        <v>36056045</v>
      </c>
      <c r="H202" s="416">
        <v>70756656</v>
      </c>
      <c r="I202" s="400" t="s">
        <v>69</v>
      </c>
      <c r="J202" s="400" t="s">
        <v>795</v>
      </c>
      <c r="K202" s="401">
        <v>301879</v>
      </c>
      <c r="L202" s="400" t="s">
        <v>746</v>
      </c>
      <c r="M202" s="2"/>
      <c r="N202" s="2"/>
      <c r="O202" s="4"/>
    </row>
    <row r="203" spans="1:15" ht="15" x14ac:dyDescent="0.25">
      <c r="A203" s="400" t="s">
        <v>1089</v>
      </c>
      <c r="B203" s="400" t="s">
        <v>931</v>
      </c>
      <c r="C203" s="416">
        <v>292</v>
      </c>
      <c r="D203" s="416">
        <v>405</v>
      </c>
      <c r="E203" s="416">
        <v>697</v>
      </c>
      <c r="F203" s="416">
        <v>10950395</v>
      </c>
      <c r="G203" s="416">
        <v>17228849</v>
      </c>
      <c r="H203" s="416">
        <v>28179244</v>
      </c>
      <c r="I203" s="400" t="s">
        <v>158</v>
      </c>
      <c r="J203" s="400" t="s">
        <v>795</v>
      </c>
      <c r="K203" s="401">
        <v>789503</v>
      </c>
      <c r="L203" s="400" t="s">
        <v>932</v>
      </c>
      <c r="M203" s="2"/>
      <c r="N203" s="2"/>
      <c r="O203" s="4"/>
    </row>
    <row r="204" spans="1:15" ht="15" x14ac:dyDescent="0.25">
      <c r="A204" s="400" t="s">
        <v>219</v>
      </c>
      <c r="B204" s="400" t="s">
        <v>867</v>
      </c>
      <c r="C204" s="416">
        <v>174</v>
      </c>
      <c r="D204" s="416">
        <v>252</v>
      </c>
      <c r="E204" s="416">
        <v>426</v>
      </c>
      <c r="F204" s="416">
        <v>6103260</v>
      </c>
      <c r="G204" s="416">
        <v>10361294</v>
      </c>
      <c r="H204" s="416">
        <v>16464554</v>
      </c>
      <c r="I204" s="400" t="s">
        <v>69</v>
      </c>
      <c r="J204" s="400" t="s">
        <v>798</v>
      </c>
      <c r="K204" s="401">
        <v>473470</v>
      </c>
      <c r="L204" s="400" t="s">
        <v>506</v>
      </c>
      <c r="M204" s="2"/>
      <c r="N204" s="2"/>
      <c r="O204" s="4"/>
    </row>
    <row r="205" spans="1:15" ht="15" x14ac:dyDescent="0.25">
      <c r="A205" s="400" t="s">
        <v>1106</v>
      </c>
      <c r="B205" s="400" t="s">
        <v>455</v>
      </c>
      <c r="C205" s="416">
        <v>597</v>
      </c>
      <c r="D205" s="416">
        <v>460</v>
      </c>
      <c r="E205" s="416">
        <v>1057</v>
      </c>
      <c r="F205" s="416">
        <v>19506427</v>
      </c>
      <c r="G205" s="416">
        <v>18390338</v>
      </c>
      <c r="H205" s="416">
        <v>37896764</v>
      </c>
      <c r="I205" s="400" t="s">
        <v>69</v>
      </c>
      <c r="J205" s="400" t="s">
        <v>795</v>
      </c>
      <c r="K205" s="401">
        <v>444315</v>
      </c>
      <c r="L205" s="400" t="s">
        <v>338</v>
      </c>
      <c r="M205" s="2"/>
      <c r="N205" s="2"/>
      <c r="O205" s="4"/>
    </row>
    <row r="206" spans="1:15" ht="15" x14ac:dyDescent="0.25">
      <c r="A206" s="400" t="s">
        <v>328</v>
      </c>
      <c r="B206" s="400" t="s">
        <v>1067</v>
      </c>
      <c r="C206" s="416">
        <v>2907</v>
      </c>
      <c r="D206" s="416">
        <v>3429</v>
      </c>
      <c r="E206" s="416">
        <v>6336</v>
      </c>
      <c r="F206" s="416">
        <v>93772237</v>
      </c>
      <c r="G206" s="416">
        <v>134832658</v>
      </c>
      <c r="H206" s="416">
        <v>228604896</v>
      </c>
      <c r="I206" s="400" t="s">
        <v>158</v>
      </c>
      <c r="J206" s="400" t="s">
        <v>798</v>
      </c>
      <c r="K206" s="401">
        <v>872382</v>
      </c>
      <c r="L206" s="400" t="s">
        <v>624</v>
      </c>
      <c r="M206" s="2"/>
      <c r="N206" s="2"/>
      <c r="O206" s="4"/>
    </row>
    <row r="207" spans="1:15" ht="15" x14ac:dyDescent="0.25">
      <c r="A207" s="319" t="s">
        <v>302</v>
      </c>
      <c r="B207" s="319" t="s">
        <v>1046</v>
      </c>
      <c r="C207" s="416">
        <v>218</v>
      </c>
      <c r="D207" s="416">
        <v>536</v>
      </c>
      <c r="E207" s="416">
        <v>754</v>
      </c>
      <c r="F207" s="416">
        <v>7969332</v>
      </c>
      <c r="G207" s="416">
        <v>25290781</v>
      </c>
      <c r="H207" s="416">
        <v>33260113</v>
      </c>
      <c r="I207" s="319" t="s">
        <v>69</v>
      </c>
      <c r="J207" s="319" t="s">
        <v>798</v>
      </c>
      <c r="K207" s="309">
        <v>870907</v>
      </c>
      <c r="L207" s="319" t="s">
        <v>624</v>
      </c>
      <c r="M207" s="4"/>
      <c r="N207" s="2"/>
      <c r="O207" s="4"/>
    </row>
    <row r="208" spans="1:15" ht="15" x14ac:dyDescent="0.25">
      <c r="A208" s="400" t="s">
        <v>1113</v>
      </c>
      <c r="B208" s="400" t="s">
        <v>723</v>
      </c>
      <c r="C208" s="416">
        <v>812</v>
      </c>
      <c r="D208" s="416">
        <v>1345</v>
      </c>
      <c r="E208" s="416">
        <v>2157</v>
      </c>
      <c r="F208" s="416">
        <v>33611818</v>
      </c>
      <c r="G208" s="416">
        <v>68180772</v>
      </c>
      <c r="H208" s="416">
        <v>101792591</v>
      </c>
      <c r="I208" s="400" t="s">
        <v>69</v>
      </c>
      <c r="J208" s="400" t="s">
        <v>798</v>
      </c>
      <c r="K208" s="401">
        <v>795054</v>
      </c>
      <c r="L208" s="400" t="s">
        <v>554</v>
      </c>
      <c r="M208" s="2"/>
      <c r="N208" s="2"/>
      <c r="O208" s="4"/>
    </row>
    <row r="209" spans="1:15" ht="15" x14ac:dyDescent="0.25">
      <c r="A209" s="400" t="s">
        <v>219</v>
      </c>
      <c r="B209" s="400" t="s">
        <v>614</v>
      </c>
      <c r="C209" s="416">
        <v>5753</v>
      </c>
      <c r="D209" s="416">
        <v>5561</v>
      </c>
      <c r="E209" s="416">
        <v>11314</v>
      </c>
      <c r="F209" s="416">
        <v>164515153</v>
      </c>
      <c r="G209" s="416">
        <v>201839436</v>
      </c>
      <c r="H209" s="416">
        <v>366354589</v>
      </c>
      <c r="I209" s="400" t="s">
        <v>69</v>
      </c>
      <c r="J209" s="400" t="s">
        <v>798</v>
      </c>
      <c r="K209" s="401">
        <v>666495</v>
      </c>
      <c r="L209" s="400" t="s">
        <v>545</v>
      </c>
      <c r="M209" s="2"/>
      <c r="N209" s="2"/>
      <c r="O209" s="4"/>
    </row>
    <row r="210" spans="1:15" ht="15" x14ac:dyDescent="0.25">
      <c r="A210" s="400" t="s">
        <v>1109</v>
      </c>
      <c r="B210" s="400" t="s">
        <v>785</v>
      </c>
      <c r="C210" s="416">
        <v>52</v>
      </c>
      <c r="D210" s="416">
        <v>94</v>
      </c>
      <c r="E210" s="416">
        <v>146</v>
      </c>
      <c r="F210" s="416">
        <v>4059179</v>
      </c>
      <c r="G210" s="416">
        <v>7324213</v>
      </c>
      <c r="H210" s="416">
        <v>11383392</v>
      </c>
      <c r="I210" s="400" t="s">
        <v>158</v>
      </c>
      <c r="J210" s="400" t="s">
        <v>799</v>
      </c>
      <c r="K210" s="401">
        <v>453100</v>
      </c>
      <c r="L210" s="400" t="s">
        <v>159</v>
      </c>
      <c r="M210" s="2"/>
      <c r="N210" s="2"/>
      <c r="O210" s="4"/>
    </row>
    <row r="211" spans="1:15" ht="15" x14ac:dyDescent="0.25">
      <c r="A211" s="400" t="s">
        <v>1089</v>
      </c>
      <c r="B211" s="400" t="s">
        <v>460</v>
      </c>
      <c r="C211" s="416">
        <v>9725</v>
      </c>
      <c r="D211" s="416">
        <v>8173</v>
      </c>
      <c r="E211" s="416">
        <v>17898</v>
      </c>
      <c r="F211" s="416">
        <v>1574871416</v>
      </c>
      <c r="G211" s="416">
        <v>1624777228</v>
      </c>
      <c r="H211" s="416">
        <v>3199648643</v>
      </c>
      <c r="I211" s="400" t="s">
        <v>69</v>
      </c>
      <c r="J211" s="400" t="s">
        <v>795</v>
      </c>
      <c r="K211" s="401">
        <v>983940</v>
      </c>
      <c r="L211" s="400" t="s">
        <v>997</v>
      </c>
      <c r="M211" s="2"/>
      <c r="N211" s="2"/>
      <c r="O211" s="4"/>
    </row>
    <row r="212" spans="1:15" ht="15" x14ac:dyDescent="0.25">
      <c r="A212" s="400" t="s">
        <v>1108</v>
      </c>
      <c r="B212" s="400" t="s">
        <v>464</v>
      </c>
      <c r="C212" s="416">
        <v>14</v>
      </c>
      <c r="D212" s="416">
        <v>25</v>
      </c>
      <c r="E212" s="416">
        <v>39</v>
      </c>
      <c r="F212" s="416">
        <v>465760</v>
      </c>
      <c r="G212" s="416">
        <v>969028</v>
      </c>
      <c r="H212" s="416">
        <v>1434788</v>
      </c>
      <c r="I212" s="400" t="s">
        <v>69</v>
      </c>
      <c r="J212" s="400" t="s">
        <v>799</v>
      </c>
      <c r="K212" s="401">
        <v>838268</v>
      </c>
      <c r="L212" s="400" t="s">
        <v>465</v>
      </c>
      <c r="M212" s="2"/>
      <c r="N212" s="2"/>
      <c r="O212" s="4"/>
    </row>
    <row r="213" spans="1:15" ht="15" customHeight="1" x14ac:dyDescent="0.25">
      <c r="A213" s="400" t="s">
        <v>302</v>
      </c>
      <c r="B213" s="400" t="s">
        <v>379</v>
      </c>
      <c r="C213" s="416">
        <v>2391</v>
      </c>
      <c r="D213" s="416">
        <v>3323</v>
      </c>
      <c r="E213" s="416">
        <v>5714</v>
      </c>
      <c r="F213" s="416">
        <v>59467712</v>
      </c>
      <c r="G213" s="416">
        <v>103696243</v>
      </c>
      <c r="H213" s="416">
        <v>163163956</v>
      </c>
      <c r="I213" s="400" t="s">
        <v>69</v>
      </c>
      <c r="J213" s="400" t="s">
        <v>798</v>
      </c>
      <c r="K213" s="401">
        <v>167239</v>
      </c>
      <c r="L213" s="400" t="s">
        <v>195</v>
      </c>
      <c r="M213" s="2"/>
      <c r="N213" s="2"/>
      <c r="O213" s="4"/>
    </row>
    <row r="214" spans="1:15" ht="15" x14ac:dyDescent="0.25">
      <c r="A214" s="400" t="s">
        <v>1117</v>
      </c>
      <c r="B214" s="400" t="s">
        <v>835</v>
      </c>
      <c r="C214" s="416">
        <v>463</v>
      </c>
      <c r="D214" s="416">
        <v>588</v>
      </c>
      <c r="E214" s="416">
        <v>1051</v>
      </c>
      <c r="F214" s="416">
        <v>19026301</v>
      </c>
      <c r="G214" s="416">
        <v>27600054</v>
      </c>
      <c r="H214" s="416">
        <v>46626355</v>
      </c>
      <c r="I214" s="400" t="s">
        <v>69</v>
      </c>
      <c r="J214" s="400" t="s">
        <v>798</v>
      </c>
      <c r="K214" s="401">
        <v>688986</v>
      </c>
      <c r="L214" s="400" t="s">
        <v>1013</v>
      </c>
      <c r="M214" s="2"/>
      <c r="N214" s="2"/>
      <c r="O214" s="4"/>
    </row>
    <row r="215" spans="1:15" ht="15" x14ac:dyDescent="0.25">
      <c r="A215" s="400" t="s">
        <v>223</v>
      </c>
      <c r="B215" s="400" t="s">
        <v>892</v>
      </c>
      <c r="C215" s="416">
        <v>41389</v>
      </c>
      <c r="D215" s="416">
        <v>33698</v>
      </c>
      <c r="E215" s="416">
        <v>75087</v>
      </c>
      <c r="F215" s="416">
        <v>2455498886</v>
      </c>
      <c r="G215" s="416">
        <v>2418275988</v>
      </c>
      <c r="H215" s="416">
        <v>4873774874</v>
      </c>
      <c r="I215" s="400" t="s">
        <v>158</v>
      </c>
      <c r="J215" s="400" t="s">
        <v>798</v>
      </c>
      <c r="K215" s="401">
        <v>719674</v>
      </c>
      <c r="L215" s="400" t="s">
        <v>175</v>
      </c>
      <c r="M215" s="2"/>
      <c r="N215" s="2"/>
      <c r="O215" s="4"/>
    </row>
    <row r="216" spans="1:15" ht="15" x14ac:dyDescent="0.25">
      <c r="A216" s="400" t="s">
        <v>1111</v>
      </c>
      <c r="B216" s="400" t="s">
        <v>323</v>
      </c>
      <c r="C216" s="416">
        <v>29146</v>
      </c>
      <c r="D216" s="416">
        <v>28846</v>
      </c>
      <c r="E216" s="416">
        <v>57992</v>
      </c>
      <c r="F216" s="416">
        <v>1404743328</v>
      </c>
      <c r="G216" s="416">
        <v>1717655182</v>
      </c>
      <c r="H216" s="416">
        <v>3122398509</v>
      </c>
      <c r="I216" s="400" t="s">
        <v>158</v>
      </c>
      <c r="J216" s="400" t="s">
        <v>798</v>
      </c>
      <c r="K216" s="401">
        <v>896761</v>
      </c>
      <c r="L216" s="400" t="s">
        <v>175</v>
      </c>
      <c r="M216" s="2"/>
      <c r="N216" s="2"/>
      <c r="O216" s="4"/>
    </row>
    <row r="217" spans="1:15" ht="15" x14ac:dyDescent="0.25">
      <c r="A217" s="400" t="s">
        <v>302</v>
      </c>
      <c r="B217" s="400" t="s">
        <v>786</v>
      </c>
      <c r="C217" s="416">
        <v>574</v>
      </c>
      <c r="D217" s="416">
        <v>950</v>
      </c>
      <c r="E217" s="416">
        <v>1524</v>
      </c>
      <c r="F217" s="416">
        <v>26380708</v>
      </c>
      <c r="G217" s="416">
        <v>49565368</v>
      </c>
      <c r="H217" s="416">
        <v>75946076</v>
      </c>
      <c r="I217" s="400" t="s">
        <v>158</v>
      </c>
      <c r="J217" s="400" t="s">
        <v>798</v>
      </c>
      <c r="K217" s="401">
        <v>295857</v>
      </c>
      <c r="L217" s="400" t="s">
        <v>170</v>
      </c>
      <c r="M217" s="2"/>
      <c r="N217" s="2"/>
      <c r="O217" s="4"/>
    </row>
    <row r="218" spans="1:15" ht="15" x14ac:dyDescent="0.25">
      <c r="A218" s="400" t="s">
        <v>1091</v>
      </c>
      <c r="B218" s="400" t="s">
        <v>108</v>
      </c>
      <c r="C218" s="416">
        <v>102461</v>
      </c>
      <c r="D218" s="416">
        <v>105482</v>
      </c>
      <c r="E218" s="416">
        <v>207943</v>
      </c>
      <c r="F218" s="416">
        <v>7555892255</v>
      </c>
      <c r="G218" s="416">
        <v>9824105908</v>
      </c>
      <c r="H218" s="416">
        <v>17379998163</v>
      </c>
      <c r="I218" s="400" t="s">
        <v>158</v>
      </c>
      <c r="J218" s="400" t="s">
        <v>798</v>
      </c>
      <c r="K218" s="401">
        <v>645952</v>
      </c>
      <c r="L218" s="400" t="s">
        <v>172</v>
      </c>
      <c r="M218" s="2"/>
      <c r="N218" s="2"/>
      <c r="O218" s="4"/>
    </row>
    <row r="219" spans="1:15" ht="15" x14ac:dyDescent="0.25">
      <c r="A219" s="400" t="s">
        <v>219</v>
      </c>
      <c r="B219" s="400" t="s">
        <v>1136</v>
      </c>
      <c r="C219" s="416">
        <v>674</v>
      </c>
      <c r="D219" s="416">
        <v>1111</v>
      </c>
      <c r="E219" s="416">
        <v>1785</v>
      </c>
      <c r="F219" s="416">
        <v>20996201</v>
      </c>
      <c r="G219" s="416">
        <v>41956663</v>
      </c>
      <c r="H219" s="416">
        <v>62952864</v>
      </c>
      <c r="I219" s="400" t="s">
        <v>69</v>
      </c>
      <c r="J219" s="400" t="s">
        <v>798</v>
      </c>
      <c r="K219" s="401">
        <v>125856</v>
      </c>
      <c r="L219" s="400" t="s">
        <v>775</v>
      </c>
      <c r="M219" s="2"/>
      <c r="N219" s="2"/>
      <c r="O219" s="4"/>
    </row>
    <row r="220" spans="1:15" ht="15" x14ac:dyDescent="0.25">
      <c r="A220" s="400" t="s">
        <v>1114</v>
      </c>
      <c r="B220" s="400" t="s">
        <v>671</v>
      </c>
      <c r="C220" s="416">
        <v>104</v>
      </c>
      <c r="D220" s="416">
        <v>124</v>
      </c>
      <c r="E220" s="416">
        <v>228</v>
      </c>
      <c r="F220" s="416">
        <v>4133997</v>
      </c>
      <c r="G220" s="416">
        <v>6607622</v>
      </c>
      <c r="H220" s="416">
        <v>10741619</v>
      </c>
      <c r="I220" s="400" t="s">
        <v>69</v>
      </c>
      <c r="J220" s="400" t="s">
        <v>798</v>
      </c>
      <c r="K220" s="401">
        <v>252353</v>
      </c>
      <c r="L220" s="400" t="s">
        <v>517</v>
      </c>
      <c r="M220" s="2"/>
      <c r="N220" s="2"/>
      <c r="O220" s="4"/>
    </row>
    <row r="221" spans="1:15" ht="15" x14ac:dyDescent="0.25">
      <c r="A221" s="400" t="s">
        <v>1113</v>
      </c>
      <c r="B221" s="400" t="s">
        <v>1118</v>
      </c>
      <c r="C221" s="416">
        <v>656</v>
      </c>
      <c r="D221" s="416">
        <v>1144</v>
      </c>
      <c r="E221" s="416">
        <v>1800</v>
      </c>
      <c r="F221" s="416">
        <v>37349057</v>
      </c>
      <c r="G221" s="416">
        <v>76438521</v>
      </c>
      <c r="H221" s="416">
        <v>113787577</v>
      </c>
      <c r="I221" s="400" t="s">
        <v>69</v>
      </c>
      <c r="J221" s="400" t="s">
        <v>798</v>
      </c>
      <c r="K221" s="401">
        <v>379024</v>
      </c>
      <c r="L221" s="400" t="s">
        <v>1129</v>
      </c>
      <c r="M221" s="2"/>
      <c r="N221" s="2"/>
      <c r="O221" s="4"/>
    </row>
    <row r="222" spans="1:15" ht="15" x14ac:dyDescent="0.25">
      <c r="A222" s="400" t="s">
        <v>1110</v>
      </c>
      <c r="B222" s="400" t="s">
        <v>1032</v>
      </c>
      <c r="C222" s="416">
        <v>283</v>
      </c>
      <c r="D222" s="416">
        <v>732</v>
      </c>
      <c r="E222" s="416">
        <v>1015</v>
      </c>
      <c r="F222" s="416">
        <v>12329630</v>
      </c>
      <c r="G222" s="416">
        <v>39327642</v>
      </c>
      <c r="H222" s="416">
        <v>51657273</v>
      </c>
      <c r="I222" s="400" t="s">
        <v>158</v>
      </c>
      <c r="J222" s="400" t="s">
        <v>798</v>
      </c>
      <c r="K222" s="401">
        <v>312850</v>
      </c>
      <c r="L222" s="400" t="s">
        <v>859</v>
      </c>
      <c r="M222" s="2"/>
      <c r="N222" s="2"/>
      <c r="O222" s="4"/>
    </row>
    <row r="223" spans="1:15" ht="15" x14ac:dyDescent="0.25">
      <c r="A223" s="400" t="s">
        <v>302</v>
      </c>
      <c r="B223" s="400" t="s">
        <v>421</v>
      </c>
      <c r="C223" s="416">
        <v>6391</v>
      </c>
      <c r="D223" s="416">
        <v>6050</v>
      </c>
      <c r="E223" s="416">
        <v>12441</v>
      </c>
      <c r="F223" s="416">
        <v>458564719</v>
      </c>
      <c r="G223" s="416">
        <v>566709639</v>
      </c>
      <c r="H223" s="416">
        <v>1025274359</v>
      </c>
      <c r="I223" s="400" t="s">
        <v>69</v>
      </c>
      <c r="J223" s="400" t="s">
        <v>798</v>
      </c>
      <c r="K223" s="401">
        <v>762880</v>
      </c>
      <c r="L223" s="400" t="s">
        <v>997</v>
      </c>
      <c r="M223" s="2"/>
      <c r="N223" s="2"/>
      <c r="O223" s="4"/>
    </row>
    <row r="224" spans="1:15" ht="15" x14ac:dyDescent="0.25">
      <c r="A224" s="400" t="s">
        <v>1087</v>
      </c>
      <c r="B224" s="400" t="s">
        <v>265</v>
      </c>
      <c r="C224" s="416">
        <v>9107</v>
      </c>
      <c r="D224" s="416">
        <v>7862</v>
      </c>
      <c r="E224" s="416">
        <v>16969</v>
      </c>
      <c r="F224" s="416">
        <v>1036309758</v>
      </c>
      <c r="G224" s="416">
        <v>1044863160</v>
      </c>
      <c r="H224" s="416">
        <v>2081172918</v>
      </c>
      <c r="I224" s="400" t="s">
        <v>158</v>
      </c>
      <c r="J224" s="400" t="s">
        <v>792</v>
      </c>
      <c r="K224" s="401">
        <v>901017</v>
      </c>
      <c r="L224" s="400" t="s">
        <v>213</v>
      </c>
      <c r="M224" s="2"/>
      <c r="N224" s="2"/>
      <c r="O224" s="4"/>
    </row>
    <row r="225" spans="1:15" ht="15" x14ac:dyDescent="0.25">
      <c r="A225" s="400" t="s">
        <v>259</v>
      </c>
      <c r="B225" s="400" t="s">
        <v>407</v>
      </c>
      <c r="C225" s="416">
        <v>16780</v>
      </c>
      <c r="D225" s="416">
        <v>19243</v>
      </c>
      <c r="E225" s="416">
        <v>36023</v>
      </c>
      <c r="F225" s="416">
        <v>930695360</v>
      </c>
      <c r="G225" s="416">
        <v>1368674056</v>
      </c>
      <c r="H225" s="416">
        <v>2299369417</v>
      </c>
      <c r="I225" s="400" t="s">
        <v>158</v>
      </c>
      <c r="J225" s="400" t="s">
        <v>798</v>
      </c>
      <c r="K225" s="401">
        <v>194092</v>
      </c>
      <c r="L225" s="400" t="s">
        <v>213</v>
      </c>
      <c r="M225" s="2"/>
      <c r="N225" s="2"/>
      <c r="O225" s="4"/>
    </row>
    <row r="226" spans="1:15" ht="15" x14ac:dyDescent="0.25">
      <c r="A226" s="400" t="s">
        <v>163</v>
      </c>
      <c r="B226" s="400" t="s">
        <v>243</v>
      </c>
      <c r="C226" s="416">
        <v>38925</v>
      </c>
      <c r="D226" s="416">
        <v>35756</v>
      </c>
      <c r="E226" s="416">
        <v>74681</v>
      </c>
      <c r="F226" s="416">
        <v>1326647000</v>
      </c>
      <c r="G226" s="416">
        <v>1555256647</v>
      </c>
      <c r="H226" s="416">
        <v>2881903647</v>
      </c>
      <c r="I226" s="400" t="s">
        <v>158</v>
      </c>
      <c r="J226" s="400" t="s">
        <v>792</v>
      </c>
      <c r="K226" s="401">
        <v>391482</v>
      </c>
      <c r="L226" s="400" t="s">
        <v>182</v>
      </c>
      <c r="M226" s="2"/>
      <c r="N226" s="2"/>
      <c r="O226" s="4"/>
    </row>
    <row r="227" spans="1:15" ht="15" x14ac:dyDescent="0.25">
      <c r="A227" s="400" t="s">
        <v>185</v>
      </c>
      <c r="B227" s="400" t="s">
        <v>914</v>
      </c>
      <c r="C227" s="416">
        <v>22739</v>
      </c>
      <c r="D227" s="416">
        <v>23967</v>
      </c>
      <c r="E227" s="416">
        <v>46706</v>
      </c>
      <c r="F227" s="416">
        <v>5013437266</v>
      </c>
      <c r="G227" s="416">
        <v>6429409368</v>
      </c>
      <c r="H227" s="416">
        <v>11442846635</v>
      </c>
      <c r="I227" s="400" t="s">
        <v>158</v>
      </c>
      <c r="J227" s="400" t="s">
        <v>798</v>
      </c>
      <c r="K227" s="401">
        <v>428250</v>
      </c>
      <c r="L227" s="400" t="s">
        <v>253</v>
      </c>
      <c r="M227" s="2"/>
      <c r="N227" s="2"/>
      <c r="O227" s="4"/>
    </row>
    <row r="228" spans="1:15" ht="15" x14ac:dyDescent="0.25">
      <c r="A228" s="400" t="s">
        <v>185</v>
      </c>
      <c r="B228" s="400" t="s">
        <v>1142</v>
      </c>
      <c r="C228" s="416">
        <v>194</v>
      </c>
      <c r="D228" s="416">
        <v>165</v>
      </c>
      <c r="E228" s="416">
        <v>359</v>
      </c>
      <c r="F228" s="416">
        <v>8160544</v>
      </c>
      <c r="G228" s="416">
        <v>8289548</v>
      </c>
      <c r="H228" s="416">
        <v>16450091</v>
      </c>
      <c r="I228" s="400" t="s">
        <v>69</v>
      </c>
      <c r="J228" s="400" t="s">
        <v>798</v>
      </c>
      <c r="K228" s="401">
        <v>882068</v>
      </c>
      <c r="L228" s="400" t="s">
        <v>387</v>
      </c>
      <c r="M228" s="2"/>
      <c r="N228" s="2"/>
      <c r="O228" s="4"/>
    </row>
    <row r="229" spans="1:15" ht="15" x14ac:dyDescent="0.25">
      <c r="A229" s="400" t="s">
        <v>1105</v>
      </c>
      <c r="B229" s="400" t="s">
        <v>991</v>
      </c>
      <c r="C229" s="416">
        <v>45066</v>
      </c>
      <c r="D229" s="416">
        <v>33361</v>
      </c>
      <c r="E229" s="416">
        <v>78427</v>
      </c>
      <c r="F229" s="416">
        <v>1653355081</v>
      </c>
      <c r="G229" s="416">
        <v>1494942505</v>
      </c>
      <c r="H229" s="416">
        <v>3148297586</v>
      </c>
      <c r="I229" s="400" t="s">
        <v>158</v>
      </c>
      <c r="J229" s="400" t="s">
        <v>799</v>
      </c>
      <c r="K229" s="401">
        <v>677534</v>
      </c>
      <c r="L229" s="400" t="s">
        <v>175</v>
      </c>
      <c r="M229" s="2"/>
      <c r="N229" s="2"/>
      <c r="O229" s="4"/>
    </row>
    <row r="230" spans="1:15" ht="15" customHeight="1" x14ac:dyDescent="0.25">
      <c r="A230" s="400" t="s">
        <v>1111</v>
      </c>
      <c r="B230" s="400" t="s">
        <v>560</v>
      </c>
      <c r="C230" s="416">
        <v>1834</v>
      </c>
      <c r="D230" s="416">
        <v>3419</v>
      </c>
      <c r="E230" s="416">
        <v>5253</v>
      </c>
      <c r="F230" s="416">
        <v>159542242</v>
      </c>
      <c r="G230" s="416">
        <v>380540669</v>
      </c>
      <c r="H230" s="416">
        <v>540082911</v>
      </c>
      <c r="I230" s="400" t="s">
        <v>69</v>
      </c>
      <c r="J230" s="400" t="s">
        <v>798</v>
      </c>
      <c r="K230" s="401">
        <v>116293</v>
      </c>
      <c r="L230" s="400" t="s">
        <v>777</v>
      </c>
      <c r="M230" s="2"/>
      <c r="N230" s="2"/>
      <c r="O230" s="4"/>
    </row>
    <row r="231" spans="1:15" ht="15" x14ac:dyDescent="0.25">
      <c r="A231" s="400" t="s">
        <v>1112</v>
      </c>
      <c r="B231" s="400" t="s">
        <v>222</v>
      </c>
      <c r="C231" s="416">
        <v>5021</v>
      </c>
      <c r="D231" s="416">
        <v>7852</v>
      </c>
      <c r="E231" s="416">
        <v>12873</v>
      </c>
      <c r="F231" s="416">
        <v>280077161</v>
      </c>
      <c r="G231" s="416">
        <v>537799689</v>
      </c>
      <c r="H231" s="416">
        <v>817876850</v>
      </c>
      <c r="I231" s="400" t="s">
        <v>158</v>
      </c>
      <c r="J231" s="400" t="s">
        <v>798</v>
      </c>
      <c r="K231" s="401">
        <v>520692</v>
      </c>
      <c r="L231" s="400" t="s">
        <v>172</v>
      </c>
      <c r="M231" s="2"/>
      <c r="N231" s="2"/>
      <c r="O231" s="4"/>
    </row>
    <row r="232" spans="1:15" ht="15" x14ac:dyDescent="0.25">
      <c r="A232" s="400" t="s">
        <v>1089</v>
      </c>
      <c r="B232" s="400" t="s">
        <v>107</v>
      </c>
      <c r="C232" s="416">
        <v>61654</v>
      </c>
      <c r="D232" s="416">
        <v>55905</v>
      </c>
      <c r="E232" s="416">
        <v>117559</v>
      </c>
      <c r="F232" s="416">
        <v>4091238244</v>
      </c>
      <c r="G232" s="416">
        <v>4628234310</v>
      </c>
      <c r="H232" s="416">
        <v>8719472554</v>
      </c>
      <c r="I232" s="400" t="s">
        <v>158</v>
      </c>
      <c r="J232" s="400" t="s">
        <v>795</v>
      </c>
      <c r="K232" s="401">
        <v>610121</v>
      </c>
      <c r="L232" s="400" t="s">
        <v>172</v>
      </c>
      <c r="M232" s="2"/>
      <c r="N232" s="2"/>
      <c r="O232" s="4"/>
    </row>
    <row r="233" spans="1:15" ht="15" x14ac:dyDescent="0.25">
      <c r="A233" s="400" t="s">
        <v>1096</v>
      </c>
      <c r="B233" s="400" t="s">
        <v>319</v>
      </c>
      <c r="C233" s="416">
        <v>1404</v>
      </c>
      <c r="D233" s="416">
        <v>1242</v>
      </c>
      <c r="E233" s="416">
        <v>2646</v>
      </c>
      <c r="F233" s="416">
        <v>44427879</v>
      </c>
      <c r="G233" s="416">
        <v>56124985</v>
      </c>
      <c r="H233" s="416">
        <v>100552863</v>
      </c>
      <c r="I233" s="400" t="s">
        <v>158</v>
      </c>
      <c r="J233" s="400" t="s">
        <v>799</v>
      </c>
      <c r="K233" s="401">
        <v>308908</v>
      </c>
      <c r="L233" s="400" t="s">
        <v>320</v>
      </c>
      <c r="M233" s="2"/>
      <c r="N233" s="2"/>
      <c r="O233" s="4"/>
    </row>
    <row r="234" spans="1:15" ht="15" x14ac:dyDescent="0.25">
      <c r="A234" s="400" t="s">
        <v>1113</v>
      </c>
      <c r="B234" s="400" t="s">
        <v>661</v>
      </c>
      <c r="C234" s="416">
        <v>390</v>
      </c>
      <c r="D234" s="416">
        <v>531</v>
      </c>
      <c r="E234" s="416">
        <v>921</v>
      </c>
      <c r="F234" s="416">
        <v>13118434</v>
      </c>
      <c r="G234" s="416">
        <v>22425212</v>
      </c>
      <c r="H234" s="416">
        <v>35543646</v>
      </c>
      <c r="I234" s="400" t="s">
        <v>69</v>
      </c>
      <c r="J234" s="400" t="s">
        <v>798</v>
      </c>
      <c r="K234" s="401">
        <v>169060</v>
      </c>
      <c r="L234" s="400" t="s">
        <v>775</v>
      </c>
      <c r="M234" s="2"/>
      <c r="N234" s="2"/>
      <c r="O234" s="4"/>
    </row>
    <row r="235" spans="1:15" ht="15" x14ac:dyDescent="0.25">
      <c r="A235" s="400" t="s">
        <v>1113</v>
      </c>
      <c r="B235" s="400" t="s">
        <v>883</v>
      </c>
      <c r="C235" s="416">
        <v>32</v>
      </c>
      <c r="D235" s="416">
        <v>62</v>
      </c>
      <c r="E235" s="416">
        <v>94</v>
      </c>
      <c r="F235" s="416">
        <v>1556908</v>
      </c>
      <c r="G235" s="416">
        <v>3651104</v>
      </c>
      <c r="H235" s="416">
        <v>5208012</v>
      </c>
      <c r="I235" s="400" t="s">
        <v>69</v>
      </c>
      <c r="J235" s="400" t="s">
        <v>798</v>
      </c>
      <c r="K235" s="401">
        <v>245381</v>
      </c>
      <c r="L235" s="400" t="s">
        <v>506</v>
      </c>
      <c r="M235" s="2"/>
      <c r="N235" s="2"/>
      <c r="O235" s="4"/>
    </row>
    <row r="236" spans="1:15" ht="15" x14ac:dyDescent="0.25">
      <c r="A236" s="400" t="s">
        <v>1112</v>
      </c>
      <c r="B236" s="400" t="s">
        <v>868</v>
      </c>
      <c r="C236" s="416">
        <v>237</v>
      </c>
      <c r="D236" s="416">
        <v>270</v>
      </c>
      <c r="E236" s="416">
        <v>507</v>
      </c>
      <c r="F236" s="416">
        <v>11755112</v>
      </c>
      <c r="G236" s="416">
        <v>16443295</v>
      </c>
      <c r="H236" s="416">
        <v>28198407</v>
      </c>
      <c r="I236" s="400" t="s">
        <v>69</v>
      </c>
      <c r="J236" s="400" t="s">
        <v>798</v>
      </c>
      <c r="K236" s="401">
        <v>616797</v>
      </c>
      <c r="L236" s="400" t="s">
        <v>506</v>
      </c>
      <c r="M236" s="2"/>
      <c r="N236" s="2"/>
      <c r="O236" s="4"/>
    </row>
    <row r="237" spans="1:15" ht="15" x14ac:dyDescent="0.25">
      <c r="A237" s="400" t="s">
        <v>264</v>
      </c>
      <c r="B237" s="400" t="s">
        <v>1052</v>
      </c>
      <c r="C237" s="416">
        <v>39</v>
      </c>
      <c r="D237" s="416">
        <v>102</v>
      </c>
      <c r="E237" s="416">
        <v>141</v>
      </c>
      <c r="F237" s="416">
        <v>2105542</v>
      </c>
      <c r="G237" s="416">
        <v>7255552</v>
      </c>
      <c r="H237" s="416">
        <v>9361094</v>
      </c>
      <c r="I237" s="400" t="s">
        <v>158</v>
      </c>
      <c r="J237" s="400" t="s">
        <v>798</v>
      </c>
      <c r="K237" s="401">
        <v>725101</v>
      </c>
      <c r="L237" s="400" t="s">
        <v>927</v>
      </c>
      <c r="M237" s="2"/>
      <c r="N237" s="2"/>
      <c r="O237" s="4"/>
    </row>
    <row r="238" spans="1:15" ht="15" x14ac:dyDescent="0.25">
      <c r="A238" s="400" t="s">
        <v>264</v>
      </c>
      <c r="B238" s="400" t="s">
        <v>900</v>
      </c>
      <c r="C238" s="416">
        <v>34</v>
      </c>
      <c r="D238" s="416">
        <v>86</v>
      </c>
      <c r="E238" s="416">
        <v>120</v>
      </c>
      <c r="F238" s="416">
        <v>2014699</v>
      </c>
      <c r="G238" s="416">
        <v>6387417</v>
      </c>
      <c r="H238" s="416">
        <v>8402116</v>
      </c>
      <c r="I238" s="400" t="s">
        <v>158</v>
      </c>
      <c r="J238" s="400" t="s">
        <v>798</v>
      </c>
      <c r="K238" s="401">
        <v>589101</v>
      </c>
      <c r="L238" s="400" t="s">
        <v>241</v>
      </c>
      <c r="M238" s="2"/>
      <c r="N238" s="2"/>
      <c r="O238" s="4"/>
    </row>
    <row r="239" spans="1:15" ht="15" x14ac:dyDescent="0.25">
      <c r="A239" s="400" t="s">
        <v>1098</v>
      </c>
      <c r="B239" s="400" t="s">
        <v>1038</v>
      </c>
      <c r="C239" s="416">
        <v>3</v>
      </c>
      <c r="D239" s="416">
        <v>8</v>
      </c>
      <c r="E239" s="416">
        <v>11</v>
      </c>
      <c r="F239" s="416">
        <v>128501</v>
      </c>
      <c r="G239" s="416">
        <v>517993</v>
      </c>
      <c r="H239" s="416">
        <v>646495</v>
      </c>
      <c r="I239" s="400" t="s">
        <v>69</v>
      </c>
      <c r="J239" s="400" t="s">
        <v>799</v>
      </c>
      <c r="K239" s="401">
        <v>528422</v>
      </c>
      <c r="L239" s="400" t="s">
        <v>770</v>
      </c>
      <c r="M239" s="2"/>
      <c r="N239" s="2"/>
      <c r="O239" s="4"/>
    </row>
    <row r="240" spans="1:15" ht="15" x14ac:dyDescent="0.25">
      <c r="A240" s="400" t="s">
        <v>1089</v>
      </c>
      <c r="B240" s="400" t="s">
        <v>555</v>
      </c>
      <c r="C240" s="416">
        <v>290</v>
      </c>
      <c r="D240" s="416">
        <v>266</v>
      </c>
      <c r="E240" s="416">
        <v>556</v>
      </c>
      <c r="F240" s="416">
        <v>10332508</v>
      </c>
      <c r="G240" s="416">
        <v>11592687</v>
      </c>
      <c r="H240" s="416">
        <v>21925196</v>
      </c>
      <c r="I240" s="400" t="s">
        <v>69</v>
      </c>
      <c r="J240" s="400" t="s">
        <v>795</v>
      </c>
      <c r="K240" s="401">
        <v>657460</v>
      </c>
      <c r="L240" s="400" t="s">
        <v>202</v>
      </c>
      <c r="M240" s="2"/>
      <c r="N240" s="2"/>
      <c r="O240" s="4"/>
    </row>
    <row r="241" spans="1:15" ht="15" x14ac:dyDescent="0.25">
      <c r="A241" s="400" t="s">
        <v>223</v>
      </c>
      <c r="B241" s="400" t="s">
        <v>231</v>
      </c>
      <c r="C241" s="416">
        <v>38609</v>
      </c>
      <c r="D241" s="416">
        <v>39706</v>
      </c>
      <c r="E241" s="416">
        <v>78315</v>
      </c>
      <c r="F241" s="416">
        <v>3063611023</v>
      </c>
      <c r="G241" s="416">
        <v>3965363703</v>
      </c>
      <c r="H241" s="416">
        <v>7028974726</v>
      </c>
      <c r="I241" s="400" t="s">
        <v>158</v>
      </c>
      <c r="J241" s="400" t="s">
        <v>798</v>
      </c>
      <c r="K241" s="401">
        <v>976928</v>
      </c>
      <c r="L241" s="400" t="s">
        <v>175</v>
      </c>
      <c r="M241" s="2"/>
      <c r="N241" s="2"/>
      <c r="O241" s="4"/>
    </row>
    <row r="242" spans="1:15" ht="15" x14ac:dyDescent="0.25">
      <c r="A242" s="400" t="s">
        <v>350</v>
      </c>
      <c r="B242" s="400" t="s">
        <v>996</v>
      </c>
      <c r="C242" s="416">
        <v>2006</v>
      </c>
      <c r="D242" s="416">
        <v>2219</v>
      </c>
      <c r="E242" s="416">
        <v>4225</v>
      </c>
      <c r="F242" s="416">
        <v>85186943</v>
      </c>
      <c r="G242" s="416">
        <v>124637414</v>
      </c>
      <c r="H242" s="416">
        <v>209824357</v>
      </c>
      <c r="I242" s="400" t="s">
        <v>158</v>
      </c>
      <c r="J242" s="400" t="s">
        <v>798</v>
      </c>
      <c r="K242" s="401">
        <v>620807</v>
      </c>
      <c r="L242" s="400" t="s">
        <v>491</v>
      </c>
      <c r="M242" s="2"/>
      <c r="N242" s="2"/>
      <c r="O242" s="4"/>
    </row>
    <row r="243" spans="1:15" ht="15" customHeight="1" x14ac:dyDescent="0.25">
      <c r="A243" s="400" t="s">
        <v>223</v>
      </c>
      <c r="B243" s="400" t="s">
        <v>546</v>
      </c>
      <c r="C243" s="416">
        <v>1588</v>
      </c>
      <c r="D243" s="416">
        <v>1779</v>
      </c>
      <c r="E243" s="416">
        <v>3367</v>
      </c>
      <c r="F243" s="416">
        <v>108090950</v>
      </c>
      <c r="G243" s="416">
        <v>144071721</v>
      </c>
      <c r="H243" s="416">
        <v>252162670</v>
      </c>
      <c r="I243" s="400" t="s">
        <v>158</v>
      </c>
      <c r="J243" s="400" t="s">
        <v>798</v>
      </c>
      <c r="K243" s="401">
        <v>569988</v>
      </c>
      <c r="L243" s="400" t="s">
        <v>859</v>
      </c>
      <c r="M243" s="2"/>
      <c r="N243" s="2"/>
      <c r="O243" s="4"/>
    </row>
    <row r="244" spans="1:15" ht="15" x14ac:dyDescent="0.25">
      <c r="A244" s="400" t="s">
        <v>302</v>
      </c>
      <c r="B244" s="400" t="s">
        <v>419</v>
      </c>
      <c r="C244" s="416">
        <v>5657</v>
      </c>
      <c r="D244" s="416">
        <v>6218</v>
      </c>
      <c r="E244" s="416">
        <v>11875</v>
      </c>
      <c r="F244" s="416">
        <v>153428749</v>
      </c>
      <c r="G244" s="416">
        <v>213794493</v>
      </c>
      <c r="H244" s="416">
        <v>367223242</v>
      </c>
      <c r="I244" s="400" t="s">
        <v>158</v>
      </c>
      <c r="J244" s="400" t="s">
        <v>798</v>
      </c>
      <c r="K244" s="401">
        <v>206250</v>
      </c>
      <c r="L244" s="400" t="s">
        <v>177</v>
      </c>
      <c r="M244" s="2"/>
      <c r="N244" s="2"/>
      <c r="O244" s="4"/>
    </row>
    <row r="245" spans="1:15" ht="15" x14ac:dyDescent="0.25">
      <c r="A245" s="400" t="s">
        <v>1087</v>
      </c>
      <c r="B245" s="400" t="s">
        <v>256</v>
      </c>
      <c r="C245" s="416">
        <v>2869</v>
      </c>
      <c r="D245" s="416">
        <v>2626</v>
      </c>
      <c r="E245" s="416">
        <v>5495</v>
      </c>
      <c r="F245" s="416">
        <v>82823173</v>
      </c>
      <c r="G245" s="416">
        <v>99199333</v>
      </c>
      <c r="H245" s="416">
        <v>182022506</v>
      </c>
      <c r="I245" s="400" t="s">
        <v>158</v>
      </c>
      <c r="J245" s="400" t="s">
        <v>792</v>
      </c>
      <c r="K245" s="401">
        <v>596429</v>
      </c>
      <c r="L245" s="400" t="s">
        <v>195</v>
      </c>
      <c r="M245" s="2"/>
      <c r="N245" s="2"/>
      <c r="O245" s="4"/>
    </row>
    <row r="246" spans="1:15" ht="15" x14ac:dyDescent="0.25">
      <c r="A246" s="400" t="s">
        <v>1103</v>
      </c>
      <c r="B246" s="400" t="s">
        <v>307</v>
      </c>
      <c r="C246" s="416">
        <v>1210</v>
      </c>
      <c r="D246" s="416">
        <v>1216</v>
      </c>
      <c r="E246" s="416">
        <v>2426</v>
      </c>
      <c r="F246" s="416">
        <v>45973212</v>
      </c>
      <c r="G246" s="416">
        <v>56152112</v>
      </c>
      <c r="H246" s="416">
        <v>102125324</v>
      </c>
      <c r="I246" s="400" t="s">
        <v>69</v>
      </c>
      <c r="J246" s="400" t="s">
        <v>799</v>
      </c>
      <c r="K246" s="401">
        <v>252296</v>
      </c>
      <c r="L246" s="400" t="s">
        <v>180</v>
      </c>
      <c r="M246" s="2"/>
      <c r="N246" s="2"/>
      <c r="O246" s="4"/>
    </row>
    <row r="247" spans="1:15" ht="15" x14ac:dyDescent="0.25">
      <c r="A247" s="400" t="s">
        <v>305</v>
      </c>
      <c r="B247" s="400" t="s">
        <v>708</v>
      </c>
      <c r="C247" s="416">
        <v>905</v>
      </c>
      <c r="D247" s="416">
        <v>2678</v>
      </c>
      <c r="E247" s="416">
        <v>3583</v>
      </c>
      <c r="F247" s="416">
        <v>40356712</v>
      </c>
      <c r="G247" s="416">
        <v>147901395</v>
      </c>
      <c r="H247" s="416">
        <v>188258107</v>
      </c>
      <c r="I247" s="400" t="s">
        <v>158</v>
      </c>
      <c r="J247" s="400" t="s">
        <v>798</v>
      </c>
      <c r="K247" s="401">
        <v>762823</v>
      </c>
      <c r="L247" s="400" t="s">
        <v>707</v>
      </c>
      <c r="M247" s="2"/>
      <c r="N247" s="2"/>
      <c r="O247" s="4"/>
    </row>
    <row r="248" spans="1:15" ht="15" x14ac:dyDescent="0.25">
      <c r="A248" s="400" t="s">
        <v>1096</v>
      </c>
      <c r="B248" s="400" t="s">
        <v>169</v>
      </c>
      <c r="C248" s="416">
        <v>1079</v>
      </c>
      <c r="D248" s="416">
        <v>1461</v>
      </c>
      <c r="E248" s="416">
        <v>2540</v>
      </c>
      <c r="F248" s="416">
        <v>55708387</v>
      </c>
      <c r="G248" s="416">
        <v>98992295</v>
      </c>
      <c r="H248" s="416">
        <v>154700682</v>
      </c>
      <c r="I248" s="400" t="s">
        <v>158</v>
      </c>
      <c r="J248" s="400" t="s">
        <v>799</v>
      </c>
      <c r="K248" s="401">
        <v>294918</v>
      </c>
      <c r="L248" s="400" t="s">
        <v>170</v>
      </c>
      <c r="M248" s="2"/>
      <c r="N248" s="2"/>
      <c r="O248" s="4"/>
    </row>
    <row r="249" spans="1:15" ht="15" x14ac:dyDescent="0.25">
      <c r="A249" s="319" t="s">
        <v>1105</v>
      </c>
      <c r="B249" s="319" t="s">
        <v>174</v>
      </c>
      <c r="C249" s="416">
        <v>28848</v>
      </c>
      <c r="D249" s="416">
        <v>27553</v>
      </c>
      <c r="E249" s="416">
        <v>56401</v>
      </c>
      <c r="F249" s="416">
        <v>1490149103</v>
      </c>
      <c r="G249" s="416">
        <v>1812020233</v>
      </c>
      <c r="H249" s="416">
        <v>3302169335</v>
      </c>
      <c r="I249" s="319" t="s">
        <v>158</v>
      </c>
      <c r="J249" s="319" t="s">
        <v>799</v>
      </c>
      <c r="K249" s="309">
        <v>574293</v>
      </c>
      <c r="L249" s="319" t="s">
        <v>172</v>
      </c>
      <c r="M249" s="4"/>
      <c r="N249" s="2"/>
      <c r="O249" s="4"/>
    </row>
    <row r="250" spans="1:15" ht="15" x14ac:dyDescent="0.25">
      <c r="A250" s="400" t="s">
        <v>328</v>
      </c>
      <c r="B250" s="400" t="s">
        <v>695</v>
      </c>
      <c r="C250" s="416">
        <v>263</v>
      </c>
      <c r="D250" s="416">
        <v>417</v>
      </c>
      <c r="E250" s="416">
        <v>680</v>
      </c>
      <c r="F250" s="416">
        <v>7019605</v>
      </c>
      <c r="G250" s="416">
        <v>13451760</v>
      </c>
      <c r="H250" s="416">
        <v>20471365</v>
      </c>
      <c r="I250" s="400" t="s">
        <v>69</v>
      </c>
      <c r="J250" s="400" t="s">
        <v>798</v>
      </c>
      <c r="K250" s="401">
        <v>666313</v>
      </c>
      <c r="L250" s="400" t="s">
        <v>836</v>
      </c>
      <c r="M250" s="2"/>
      <c r="N250" s="2"/>
      <c r="O250" s="4"/>
    </row>
    <row r="251" spans="1:15" ht="15" x14ac:dyDescent="0.25">
      <c r="A251" s="400" t="s">
        <v>1099</v>
      </c>
      <c r="B251" s="400" t="s">
        <v>967</v>
      </c>
      <c r="C251" s="416">
        <v>3</v>
      </c>
      <c r="D251" s="416">
        <v>14</v>
      </c>
      <c r="E251" s="416">
        <v>17</v>
      </c>
      <c r="F251" s="416">
        <v>136173</v>
      </c>
      <c r="G251" s="416">
        <v>663097</v>
      </c>
      <c r="H251" s="416">
        <v>799269</v>
      </c>
      <c r="I251" s="400" t="s">
        <v>69</v>
      </c>
      <c r="J251" s="400" t="s">
        <v>799</v>
      </c>
      <c r="K251" s="401">
        <v>106906</v>
      </c>
      <c r="L251" s="400" t="s">
        <v>968</v>
      </c>
      <c r="M251" s="2"/>
      <c r="N251" s="2"/>
      <c r="O251" s="4"/>
    </row>
    <row r="252" spans="1:15" ht="15" x14ac:dyDescent="0.25">
      <c r="A252" s="400" t="s">
        <v>264</v>
      </c>
      <c r="B252" s="400" t="s">
        <v>386</v>
      </c>
      <c r="C252" s="416">
        <v>22578</v>
      </c>
      <c r="D252" s="416">
        <v>27592</v>
      </c>
      <c r="E252" s="416">
        <v>50170</v>
      </c>
      <c r="F252" s="416">
        <v>2147926336</v>
      </c>
      <c r="G252" s="416">
        <v>3193143588</v>
      </c>
      <c r="H252" s="416">
        <v>5341069923</v>
      </c>
      <c r="I252" s="400" t="s">
        <v>158</v>
      </c>
      <c r="J252" s="400" t="s">
        <v>798</v>
      </c>
      <c r="K252" s="401">
        <v>952010</v>
      </c>
      <c r="L252" s="400" t="s">
        <v>198</v>
      </c>
      <c r="M252" s="2"/>
      <c r="N252" s="2"/>
      <c r="O252" s="4"/>
    </row>
    <row r="253" spans="1:15" ht="15" x14ac:dyDescent="0.25">
      <c r="A253" s="400" t="s">
        <v>185</v>
      </c>
      <c r="B253" s="400" t="s">
        <v>475</v>
      </c>
      <c r="C253" s="416">
        <v>11234</v>
      </c>
      <c r="D253" s="416">
        <v>13607</v>
      </c>
      <c r="E253" s="416">
        <v>24841</v>
      </c>
      <c r="F253" s="416">
        <v>664776011</v>
      </c>
      <c r="G253" s="416">
        <v>960186862</v>
      </c>
      <c r="H253" s="416">
        <v>1624962873</v>
      </c>
      <c r="I253" s="400" t="s">
        <v>158</v>
      </c>
      <c r="J253" s="400" t="s">
        <v>798</v>
      </c>
      <c r="K253" s="401">
        <v>771030</v>
      </c>
      <c r="L253" s="400" t="s">
        <v>200</v>
      </c>
      <c r="M253" s="2"/>
      <c r="N253" s="2"/>
      <c r="O253" s="4"/>
    </row>
    <row r="254" spans="1:15" ht="15" x14ac:dyDescent="0.25">
      <c r="A254" s="400" t="s">
        <v>1087</v>
      </c>
      <c r="B254" s="400" t="s">
        <v>1056</v>
      </c>
      <c r="C254" s="416">
        <v>9</v>
      </c>
      <c r="D254" s="416">
        <v>7</v>
      </c>
      <c r="E254" s="416">
        <v>16</v>
      </c>
      <c r="F254" s="416">
        <v>481219</v>
      </c>
      <c r="G254" s="416">
        <v>260489</v>
      </c>
      <c r="H254" s="416">
        <v>741708</v>
      </c>
      <c r="I254" s="400" t="s">
        <v>158</v>
      </c>
      <c r="J254" s="400" t="s">
        <v>792</v>
      </c>
      <c r="K254" s="401">
        <v>969246</v>
      </c>
      <c r="L254" s="400" t="s">
        <v>177</v>
      </c>
      <c r="M254" s="2"/>
      <c r="N254" s="2"/>
      <c r="O254" s="4"/>
    </row>
    <row r="255" spans="1:15" ht="15" x14ac:dyDescent="0.25">
      <c r="A255" s="400" t="s">
        <v>1087</v>
      </c>
      <c r="B255" s="400" t="s">
        <v>255</v>
      </c>
      <c r="C255" s="416">
        <v>31855</v>
      </c>
      <c r="D255" s="416">
        <v>28810</v>
      </c>
      <c r="E255" s="416">
        <v>60665</v>
      </c>
      <c r="F255" s="416">
        <v>2775813261</v>
      </c>
      <c r="G255" s="416">
        <v>3046602486</v>
      </c>
      <c r="H255" s="416">
        <v>5822415747</v>
      </c>
      <c r="I255" s="400" t="s">
        <v>158</v>
      </c>
      <c r="J255" s="400" t="s">
        <v>792</v>
      </c>
      <c r="K255" s="401">
        <v>215996</v>
      </c>
      <c r="L255" s="400" t="s">
        <v>195</v>
      </c>
      <c r="M255" s="2"/>
      <c r="N255" s="2"/>
      <c r="O255" s="4"/>
    </row>
    <row r="256" spans="1:15" ht="15" x14ac:dyDescent="0.25">
      <c r="A256" s="400" t="s">
        <v>1114</v>
      </c>
      <c r="B256" s="400" t="s">
        <v>804</v>
      </c>
      <c r="C256" s="416">
        <v>6</v>
      </c>
      <c r="D256" s="416">
        <v>11</v>
      </c>
      <c r="E256" s="416">
        <v>17</v>
      </c>
      <c r="F256" s="416">
        <v>377443</v>
      </c>
      <c r="G256" s="416">
        <v>609515</v>
      </c>
      <c r="H256" s="416">
        <v>986958</v>
      </c>
      <c r="I256" s="400" t="s">
        <v>69</v>
      </c>
      <c r="J256" s="400" t="s">
        <v>798</v>
      </c>
      <c r="K256" s="401">
        <v>852079</v>
      </c>
      <c r="L256" s="400" t="s">
        <v>805</v>
      </c>
      <c r="M256" s="2"/>
      <c r="N256" s="2"/>
      <c r="O256" s="4"/>
    </row>
    <row r="257" spans="1:15" ht="15" x14ac:dyDescent="0.25">
      <c r="A257" s="400" t="s">
        <v>1114</v>
      </c>
      <c r="B257" s="400" t="s">
        <v>894</v>
      </c>
      <c r="C257" s="416">
        <v>22</v>
      </c>
      <c r="D257" s="416">
        <v>30</v>
      </c>
      <c r="E257" s="416">
        <v>52</v>
      </c>
      <c r="F257" s="416">
        <v>1088012</v>
      </c>
      <c r="G257" s="416">
        <v>1444718</v>
      </c>
      <c r="H257" s="416">
        <v>2532731</v>
      </c>
      <c r="I257" s="400" t="s">
        <v>69</v>
      </c>
      <c r="J257" s="400" t="s">
        <v>798</v>
      </c>
      <c r="K257" s="401">
        <v>369876</v>
      </c>
      <c r="L257" s="400" t="s">
        <v>805</v>
      </c>
      <c r="M257" s="2"/>
      <c r="N257" s="2"/>
      <c r="O257" s="4"/>
    </row>
    <row r="258" spans="1:15" ht="15" x14ac:dyDescent="0.25">
      <c r="A258" s="400" t="s">
        <v>1114</v>
      </c>
      <c r="B258" s="400" t="s">
        <v>434</v>
      </c>
      <c r="C258" s="416">
        <v>208</v>
      </c>
      <c r="D258" s="416">
        <v>346</v>
      </c>
      <c r="E258" s="416">
        <v>554</v>
      </c>
      <c r="F258" s="416">
        <v>8348940</v>
      </c>
      <c r="G258" s="416">
        <v>16073159</v>
      </c>
      <c r="H258" s="416">
        <v>24422098</v>
      </c>
      <c r="I258" s="400" t="s">
        <v>69</v>
      </c>
      <c r="J258" s="400" t="s">
        <v>798</v>
      </c>
      <c r="K258" s="401">
        <v>311027</v>
      </c>
      <c r="L258" s="400" t="s">
        <v>180</v>
      </c>
      <c r="M258" s="2"/>
      <c r="N258" s="2"/>
      <c r="O258" s="4"/>
    </row>
    <row r="259" spans="1:15" ht="15" customHeight="1" x14ac:dyDescent="0.25">
      <c r="A259" s="400" t="s">
        <v>259</v>
      </c>
      <c r="B259" s="400" t="s">
        <v>585</v>
      </c>
      <c r="C259" s="416">
        <v>2857</v>
      </c>
      <c r="D259" s="416">
        <v>4693</v>
      </c>
      <c r="E259" s="416">
        <v>7550</v>
      </c>
      <c r="F259" s="416">
        <v>154108030</v>
      </c>
      <c r="G259" s="416">
        <v>303075216</v>
      </c>
      <c r="H259" s="416">
        <v>457183247</v>
      </c>
      <c r="I259" s="400" t="s">
        <v>69</v>
      </c>
      <c r="J259" s="400" t="s">
        <v>798</v>
      </c>
      <c r="K259" s="401">
        <v>614966</v>
      </c>
      <c r="L259" s="400" t="s">
        <v>777</v>
      </c>
      <c r="M259" s="2"/>
      <c r="N259" s="2"/>
      <c r="O259" s="4"/>
    </row>
    <row r="260" spans="1:15" ht="15" x14ac:dyDescent="0.25">
      <c r="A260" s="400" t="s">
        <v>219</v>
      </c>
      <c r="B260" s="400" t="s">
        <v>598</v>
      </c>
      <c r="C260" s="416">
        <v>182</v>
      </c>
      <c r="D260" s="416">
        <v>289</v>
      </c>
      <c r="E260" s="416">
        <v>471</v>
      </c>
      <c r="F260" s="416">
        <v>7656275</v>
      </c>
      <c r="G260" s="416">
        <v>14660544</v>
      </c>
      <c r="H260" s="416">
        <v>22316819</v>
      </c>
      <c r="I260" s="400" t="s">
        <v>69</v>
      </c>
      <c r="J260" s="400" t="s">
        <v>798</v>
      </c>
      <c r="K260" s="401">
        <v>384511</v>
      </c>
      <c r="L260" s="400" t="s">
        <v>777</v>
      </c>
      <c r="M260" s="2"/>
      <c r="N260" s="2"/>
      <c r="O260" s="4"/>
    </row>
    <row r="261" spans="1:15" ht="15" x14ac:dyDescent="0.25">
      <c r="A261" s="400" t="s">
        <v>1109</v>
      </c>
      <c r="B261" s="400" t="s">
        <v>372</v>
      </c>
      <c r="C261" s="416">
        <v>2630</v>
      </c>
      <c r="D261" s="416">
        <v>2857</v>
      </c>
      <c r="E261" s="416">
        <v>5487</v>
      </c>
      <c r="F261" s="416">
        <v>118365148</v>
      </c>
      <c r="G261" s="416">
        <v>154836030</v>
      </c>
      <c r="H261" s="416">
        <v>273201178</v>
      </c>
      <c r="I261" s="400" t="s">
        <v>158</v>
      </c>
      <c r="J261" s="400" t="s">
        <v>799</v>
      </c>
      <c r="K261" s="401">
        <v>104786</v>
      </c>
      <c r="L261" s="400" t="s">
        <v>170</v>
      </c>
      <c r="M261" s="2"/>
      <c r="N261" s="2"/>
      <c r="O261" s="4"/>
    </row>
    <row r="262" spans="1:15" ht="15" x14ac:dyDescent="0.25">
      <c r="A262" s="400" t="s">
        <v>1089</v>
      </c>
      <c r="B262" s="400" t="s">
        <v>1078</v>
      </c>
      <c r="C262" s="416">
        <v>3</v>
      </c>
      <c r="D262" s="416">
        <v>5</v>
      </c>
      <c r="E262" s="416">
        <v>8</v>
      </c>
      <c r="F262" s="416">
        <v>114008</v>
      </c>
      <c r="G262" s="416">
        <v>496068</v>
      </c>
      <c r="H262" s="416">
        <v>610076</v>
      </c>
      <c r="I262" s="400" t="s">
        <v>69</v>
      </c>
      <c r="J262" s="400" t="s">
        <v>795</v>
      </c>
      <c r="K262" s="401">
        <v>375303</v>
      </c>
      <c r="L262" s="400" t="s">
        <v>620</v>
      </c>
      <c r="M262" s="2"/>
      <c r="N262" s="2"/>
      <c r="O262" s="4"/>
    </row>
    <row r="263" spans="1:15" ht="15" x14ac:dyDescent="0.25">
      <c r="A263" s="400" t="s">
        <v>219</v>
      </c>
      <c r="B263" s="400" t="s">
        <v>627</v>
      </c>
      <c r="C263" s="416">
        <v>228</v>
      </c>
      <c r="D263" s="416">
        <v>491</v>
      </c>
      <c r="E263" s="416">
        <v>719</v>
      </c>
      <c r="F263" s="416">
        <v>10660036</v>
      </c>
      <c r="G263" s="416">
        <v>26243933</v>
      </c>
      <c r="H263" s="416">
        <v>36903969</v>
      </c>
      <c r="I263" s="400" t="s">
        <v>69</v>
      </c>
      <c r="J263" s="400" t="s">
        <v>798</v>
      </c>
      <c r="K263" s="401">
        <v>682070</v>
      </c>
      <c r="L263" s="400" t="s">
        <v>768</v>
      </c>
      <c r="M263" s="2"/>
      <c r="N263" s="2"/>
      <c r="O263" s="4"/>
    </row>
    <row r="264" spans="1:15" ht="15" x14ac:dyDescent="0.25">
      <c r="A264" s="400" t="s">
        <v>1113</v>
      </c>
      <c r="B264" s="400" t="s">
        <v>537</v>
      </c>
      <c r="C264" s="416">
        <v>6836</v>
      </c>
      <c r="D264" s="416">
        <v>9070</v>
      </c>
      <c r="E264" s="416">
        <v>15906</v>
      </c>
      <c r="F264" s="416">
        <v>302347686</v>
      </c>
      <c r="G264" s="416">
        <v>503625420</v>
      </c>
      <c r="H264" s="416">
        <v>805973106</v>
      </c>
      <c r="I264" s="400" t="s">
        <v>69</v>
      </c>
      <c r="J264" s="400" t="s">
        <v>798</v>
      </c>
      <c r="K264" s="401">
        <v>362327</v>
      </c>
      <c r="L264" s="400" t="s">
        <v>228</v>
      </c>
      <c r="M264" s="2"/>
      <c r="N264" s="2"/>
      <c r="O264" s="4"/>
    </row>
    <row r="265" spans="1:15" ht="15" x14ac:dyDescent="0.25">
      <c r="A265" s="400" t="s">
        <v>381</v>
      </c>
      <c r="B265" s="400" t="s">
        <v>705</v>
      </c>
      <c r="C265" s="416">
        <v>881</v>
      </c>
      <c r="D265" s="416">
        <v>1206</v>
      </c>
      <c r="E265" s="416">
        <v>2087</v>
      </c>
      <c r="F265" s="416">
        <v>29676669</v>
      </c>
      <c r="G265" s="416">
        <v>52954753</v>
      </c>
      <c r="H265" s="416">
        <v>82631422</v>
      </c>
      <c r="I265" s="400" t="s">
        <v>69</v>
      </c>
      <c r="J265" s="400" t="s">
        <v>798</v>
      </c>
      <c r="K265" s="401">
        <v>889386</v>
      </c>
      <c r="L265" s="400" t="s">
        <v>202</v>
      </c>
      <c r="M265" s="2"/>
      <c r="N265" s="2"/>
      <c r="O265" s="4"/>
    </row>
    <row r="266" spans="1:15" ht="15" x14ac:dyDescent="0.25">
      <c r="A266" s="400" t="s">
        <v>264</v>
      </c>
      <c r="B266" s="400" t="s">
        <v>132</v>
      </c>
      <c r="C266" s="416">
        <v>712</v>
      </c>
      <c r="D266" s="416">
        <v>965</v>
      </c>
      <c r="E266" s="416">
        <v>1677</v>
      </c>
      <c r="F266" s="416">
        <v>47339853</v>
      </c>
      <c r="G266" s="416">
        <v>73153988</v>
      </c>
      <c r="H266" s="416">
        <v>120493840</v>
      </c>
      <c r="I266" s="400" t="s">
        <v>69</v>
      </c>
      <c r="J266" s="400" t="s">
        <v>798</v>
      </c>
      <c r="K266" s="401">
        <v>420463</v>
      </c>
      <c r="L266" s="400" t="s">
        <v>202</v>
      </c>
      <c r="M266" s="2"/>
      <c r="N266" s="2"/>
      <c r="O266" s="4"/>
    </row>
    <row r="267" spans="1:15" ht="15" x14ac:dyDescent="0.25">
      <c r="A267" s="400" t="s">
        <v>1105</v>
      </c>
      <c r="B267" s="400" t="s">
        <v>962</v>
      </c>
      <c r="C267" s="416">
        <v>2135</v>
      </c>
      <c r="D267" s="416">
        <v>1894</v>
      </c>
      <c r="E267" s="416">
        <v>4029</v>
      </c>
      <c r="F267" s="416">
        <v>88913278</v>
      </c>
      <c r="G267" s="416">
        <v>95763232</v>
      </c>
      <c r="H267" s="416">
        <v>184676510</v>
      </c>
      <c r="I267" s="400" t="s">
        <v>158</v>
      </c>
      <c r="J267" s="400" t="s">
        <v>799</v>
      </c>
      <c r="K267" s="401">
        <v>524702</v>
      </c>
      <c r="L267" s="400" t="s">
        <v>198</v>
      </c>
      <c r="M267" s="2"/>
      <c r="N267" s="2"/>
      <c r="O267" s="4"/>
    </row>
    <row r="268" spans="1:15" ht="15" x14ac:dyDescent="0.25">
      <c r="A268" s="400" t="s">
        <v>185</v>
      </c>
      <c r="B268" s="400" t="s">
        <v>642</v>
      </c>
      <c r="C268" s="416">
        <v>2703</v>
      </c>
      <c r="D268" s="416">
        <v>3329</v>
      </c>
      <c r="E268" s="416">
        <v>6032</v>
      </c>
      <c r="F268" s="416">
        <v>144400401</v>
      </c>
      <c r="G268" s="416">
        <v>231173060</v>
      </c>
      <c r="H268" s="416">
        <v>375573461</v>
      </c>
      <c r="I268" s="400" t="s">
        <v>158</v>
      </c>
      <c r="J268" s="400" t="s">
        <v>798</v>
      </c>
      <c r="K268" s="401">
        <v>208439</v>
      </c>
      <c r="L268" s="400" t="s">
        <v>159</v>
      </c>
      <c r="M268" s="2"/>
      <c r="N268" s="2"/>
      <c r="O268" s="4"/>
    </row>
    <row r="269" spans="1:15" ht="15" customHeight="1" x14ac:dyDescent="0.25">
      <c r="A269" s="400" t="s">
        <v>1089</v>
      </c>
      <c r="B269" s="400" t="s">
        <v>1012</v>
      </c>
      <c r="C269" s="416">
        <v>38702</v>
      </c>
      <c r="D269" s="416">
        <v>36296</v>
      </c>
      <c r="E269" s="416">
        <v>74998</v>
      </c>
      <c r="F269" s="416">
        <v>1386320513</v>
      </c>
      <c r="G269" s="416">
        <v>1427948416</v>
      </c>
      <c r="H269" s="416">
        <v>2814268929</v>
      </c>
      <c r="I269" s="400" t="s">
        <v>158</v>
      </c>
      <c r="J269" s="400" t="s">
        <v>795</v>
      </c>
      <c r="K269" s="401">
        <v>307306</v>
      </c>
      <c r="L269" s="400" t="s">
        <v>1007</v>
      </c>
      <c r="M269" s="2"/>
      <c r="N269" s="2"/>
      <c r="O269" s="4"/>
    </row>
    <row r="270" spans="1:15" ht="15" x14ac:dyDescent="0.25">
      <c r="A270" s="400" t="s">
        <v>369</v>
      </c>
      <c r="B270" s="400" t="s">
        <v>856</v>
      </c>
      <c r="C270" s="416">
        <v>207</v>
      </c>
      <c r="D270" s="416">
        <v>321</v>
      </c>
      <c r="E270" s="416">
        <v>528</v>
      </c>
      <c r="F270" s="416">
        <v>6777355</v>
      </c>
      <c r="G270" s="416">
        <v>12521956</v>
      </c>
      <c r="H270" s="416">
        <v>19299311</v>
      </c>
      <c r="I270" s="400" t="s">
        <v>69</v>
      </c>
      <c r="J270" s="400" t="s">
        <v>798</v>
      </c>
      <c r="K270" s="401">
        <v>369462</v>
      </c>
      <c r="L270" s="400" t="s">
        <v>579</v>
      </c>
      <c r="M270" s="2"/>
      <c r="N270" s="2"/>
      <c r="O270" s="4"/>
    </row>
    <row r="271" spans="1:15" ht="15" x14ac:dyDescent="0.25">
      <c r="A271" s="400" t="s">
        <v>1111</v>
      </c>
      <c r="B271" s="400" t="s">
        <v>1036</v>
      </c>
      <c r="C271" s="416">
        <v>1045</v>
      </c>
      <c r="D271" s="416">
        <v>2135</v>
      </c>
      <c r="E271" s="416">
        <v>3180</v>
      </c>
      <c r="F271" s="416">
        <v>70835216</v>
      </c>
      <c r="G271" s="416">
        <v>169233481</v>
      </c>
      <c r="H271" s="416">
        <v>240068696</v>
      </c>
      <c r="I271" s="400" t="s">
        <v>158</v>
      </c>
      <c r="J271" s="400" t="s">
        <v>798</v>
      </c>
      <c r="K271" s="401">
        <v>891507</v>
      </c>
      <c r="L271" s="400" t="s">
        <v>200</v>
      </c>
      <c r="M271" s="2"/>
      <c r="N271" s="2"/>
      <c r="O271" s="4"/>
    </row>
    <row r="272" spans="1:15" ht="15" customHeight="1" x14ac:dyDescent="0.25">
      <c r="A272" s="400" t="s">
        <v>219</v>
      </c>
      <c r="B272" s="400" t="s">
        <v>559</v>
      </c>
      <c r="C272" s="416">
        <v>29</v>
      </c>
      <c r="D272" s="416">
        <v>29</v>
      </c>
      <c r="E272" s="416">
        <v>58</v>
      </c>
      <c r="F272" s="416">
        <v>800755</v>
      </c>
      <c r="G272" s="416">
        <v>985524</v>
      </c>
      <c r="H272" s="416">
        <v>1786279</v>
      </c>
      <c r="I272" s="400" t="s">
        <v>69</v>
      </c>
      <c r="J272" s="400" t="s">
        <v>798</v>
      </c>
      <c r="K272" s="401">
        <v>810465</v>
      </c>
      <c r="L272" s="400" t="s">
        <v>1013</v>
      </c>
      <c r="M272" s="2"/>
      <c r="N272" s="2"/>
      <c r="O272" s="4"/>
    </row>
    <row r="273" spans="1:15" ht="15" customHeight="1" x14ac:dyDescent="0.25">
      <c r="A273" s="400" t="s">
        <v>1089</v>
      </c>
      <c r="B273" s="400" t="s">
        <v>360</v>
      </c>
      <c r="C273" s="416">
        <v>2335</v>
      </c>
      <c r="D273" s="416">
        <v>2782</v>
      </c>
      <c r="E273" s="416">
        <v>5117</v>
      </c>
      <c r="F273" s="416">
        <v>72417534</v>
      </c>
      <c r="G273" s="416">
        <v>103317001</v>
      </c>
      <c r="H273" s="416">
        <v>175734535</v>
      </c>
      <c r="I273" s="400" t="s">
        <v>69</v>
      </c>
      <c r="J273" s="400" t="s">
        <v>795</v>
      </c>
      <c r="K273" s="401">
        <v>639633</v>
      </c>
      <c r="L273" s="400" t="s">
        <v>213</v>
      </c>
      <c r="M273" s="2"/>
      <c r="N273" s="2"/>
      <c r="O273" s="4"/>
    </row>
    <row r="274" spans="1:15" ht="15" x14ac:dyDescent="0.25">
      <c r="A274" s="400" t="s">
        <v>302</v>
      </c>
      <c r="B274" s="400" t="s">
        <v>518</v>
      </c>
      <c r="C274" s="416">
        <v>28274</v>
      </c>
      <c r="D274" s="416">
        <v>33733</v>
      </c>
      <c r="E274" s="416">
        <v>62007</v>
      </c>
      <c r="F274" s="416">
        <v>1202379573</v>
      </c>
      <c r="G274" s="416">
        <v>1789157437</v>
      </c>
      <c r="H274" s="416">
        <v>2991537010</v>
      </c>
      <c r="I274" s="400" t="s">
        <v>69</v>
      </c>
      <c r="J274" s="400" t="s">
        <v>798</v>
      </c>
      <c r="K274" s="401">
        <v>501981</v>
      </c>
      <c r="L274" s="400" t="s">
        <v>180</v>
      </c>
      <c r="M274" s="2"/>
      <c r="N274" s="2"/>
      <c r="O274" s="4"/>
    </row>
    <row r="275" spans="1:15" ht="15" x14ac:dyDescent="0.25">
      <c r="A275" s="400" t="s">
        <v>223</v>
      </c>
      <c r="B275" s="400" t="s">
        <v>1125</v>
      </c>
      <c r="C275" s="416">
        <v>1920</v>
      </c>
      <c r="D275" s="416">
        <v>1895</v>
      </c>
      <c r="E275" s="416">
        <v>3815</v>
      </c>
      <c r="F275" s="416">
        <v>121770570</v>
      </c>
      <c r="G275" s="416">
        <v>134072729</v>
      </c>
      <c r="H275" s="416">
        <v>255843299</v>
      </c>
      <c r="I275" s="400" t="s">
        <v>158</v>
      </c>
      <c r="J275" s="400" t="s">
        <v>798</v>
      </c>
      <c r="K275" s="401">
        <v>928937</v>
      </c>
      <c r="L275" s="400" t="s">
        <v>170</v>
      </c>
      <c r="M275" s="2"/>
      <c r="N275" s="2"/>
      <c r="O275" s="4"/>
    </row>
    <row r="276" spans="1:15" ht="15" x14ac:dyDescent="0.25">
      <c r="A276" s="400" t="s">
        <v>1112</v>
      </c>
      <c r="B276" s="400" t="s">
        <v>582</v>
      </c>
      <c r="C276" s="416">
        <v>9775</v>
      </c>
      <c r="D276" s="416">
        <v>9128</v>
      </c>
      <c r="E276" s="416">
        <v>18903</v>
      </c>
      <c r="F276" s="416">
        <v>297356842</v>
      </c>
      <c r="G276" s="416">
        <v>353907272</v>
      </c>
      <c r="H276" s="416">
        <v>651264115</v>
      </c>
      <c r="I276" s="400" t="s">
        <v>69</v>
      </c>
      <c r="J276" s="400" t="s">
        <v>798</v>
      </c>
      <c r="K276" s="401">
        <v>407775</v>
      </c>
      <c r="L276" s="400" t="s">
        <v>418</v>
      </c>
      <c r="M276" s="2"/>
      <c r="N276" s="2"/>
      <c r="O276" s="4"/>
    </row>
    <row r="277" spans="1:15" ht="15" x14ac:dyDescent="0.25">
      <c r="A277" s="400" t="s">
        <v>205</v>
      </c>
      <c r="B277" s="400" t="s">
        <v>825</v>
      </c>
      <c r="C277" s="416">
        <v>74</v>
      </c>
      <c r="D277" s="416">
        <v>158</v>
      </c>
      <c r="E277" s="416">
        <v>232</v>
      </c>
      <c r="F277" s="416">
        <v>3014886</v>
      </c>
      <c r="G277" s="416">
        <v>8627283</v>
      </c>
      <c r="H277" s="416">
        <v>11642169</v>
      </c>
      <c r="I277" s="400" t="s">
        <v>69</v>
      </c>
      <c r="J277" s="400" t="s">
        <v>798</v>
      </c>
      <c r="K277" s="401">
        <v>299693</v>
      </c>
      <c r="L277" s="400" t="s">
        <v>556</v>
      </c>
      <c r="M277" s="2"/>
      <c r="N277" s="2"/>
      <c r="O277" s="4"/>
    </row>
    <row r="278" spans="1:15" ht="15" x14ac:dyDescent="0.25">
      <c r="A278" s="400" t="s">
        <v>1103</v>
      </c>
      <c r="B278" s="400" t="s">
        <v>658</v>
      </c>
      <c r="C278" s="416">
        <v>56</v>
      </c>
      <c r="D278" s="416">
        <v>130</v>
      </c>
      <c r="E278" s="416">
        <v>186</v>
      </c>
      <c r="F278" s="416">
        <v>3171548</v>
      </c>
      <c r="G278" s="416">
        <v>9561176</v>
      </c>
      <c r="H278" s="416">
        <v>12732724</v>
      </c>
      <c r="I278" s="400" t="s">
        <v>69</v>
      </c>
      <c r="J278" s="400" t="s">
        <v>799</v>
      </c>
      <c r="K278" s="401">
        <v>906792</v>
      </c>
      <c r="L278" s="400" t="s">
        <v>554</v>
      </c>
      <c r="M278" s="2"/>
      <c r="N278" s="2"/>
      <c r="O278" s="4"/>
    </row>
    <row r="279" spans="1:15" ht="15" x14ac:dyDescent="0.25">
      <c r="A279" s="400" t="s">
        <v>185</v>
      </c>
      <c r="B279" s="400" t="s">
        <v>232</v>
      </c>
      <c r="C279" s="416">
        <v>38357</v>
      </c>
      <c r="D279" s="416">
        <v>37501</v>
      </c>
      <c r="E279" s="416">
        <v>75858</v>
      </c>
      <c r="F279" s="416">
        <v>2149753559</v>
      </c>
      <c r="G279" s="416">
        <v>2605154817</v>
      </c>
      <c r="H279" s="416">
        <v>4754908375</v>
      </c>
      <c r="I279" s="400" t="s">
        <v>158</v>
      </c>
      <c r="J279" s="400" t="s">
        <v>798</v>
      </c>
      <c r="K279" s="401">
        <v>941096</v>
      </c>
      <c r="L279" s="400" t="s">
        <v>175</v>
      </c>
      <c r="M279" s="2"/>
      <c r="N279" s="2"/>
      <c r="O279" s="4"/>
    </row>
    <row r="280" spans="1:15" ht="15" x14ac:dyDescent="0.25">
      <c r="A280" s="400" t="s">
        <v>223</v>
      </c>
      <c r="B280" s="400" t="s">
        <v>355</v>
      </c>
      <c r="C280" s="416">
        <v>14077</v>
      </c>
      <c r="D280" s="416">
        <v>14949</v>
      </c>
      <c r="E280" s="416">
        <v>29026</v>
      </c>
      <c r="F280" s="416">
        <v>925984348</v>
      </c>
      <c r="G280" s="416">
        <v>1187290036</v>
      </c>
      <c r="H280" s="416">
        <v>2113274383</v>
      </c>
      <c r="I280" s="400" t="s">
        <v>158</v>
      </c>
      <c r="J280" s="400" t="s">
        <v>798</v>
      </c>
      <c r="K280" s="401">
        <v>528133</v>
      </c>
      <c r="L280" s="400" t="s">
        <v>177</v>
      </c>
      <c r="M280" s="2"/>
      <c r="N280" s="2"/>
      <c r="O280" s="4"/>
    </row>
    <row r="281" spans="1:15" ht="15" x14ac:dyDescent="0.25">
      <c r="A281" s="400" t="s">
        <v>369</v>
      </c>
      <c r="B281" s="400" t="s">
        <v>975</v>
      </c>
      <c r="C281" s="416">
        <v>1604</v>
      </c>
      <c r="D281" s="416">
        <v>2631</v>
      </c>
      <c r="E281" s="416">
        <v>4235</v>
      </c>
      <c r="F281" s="416">
        <v>48237714</v>
      </c>
      <c r="G281" s="416">
        <v>97495786</v>
      </c>
      <c r="H281" s="416">
        <v>145733500</v>
      </c>
      <c r="I281" s="400" t="s">
        <v>69</v>
      </c>
      <c r="J281" s="400" t="s">
        <v>798</v>
      </c>
      <c r="K281" s="401">
        <v>956268</v>
      </c>
      <c r="L281" s="400" t="s">
        <v>800</v>
      </c>
      <c r="M281" s="2"/>
      <c r="N281" s="2"/>
      <c r="O281" s="4"/>
    </row>
    <row r="282" spans="1:15" ht="15" x14ac:dyDescent="0.25">
      <c r="A282" s="400" t="s">
        <v>302</v>
      </c>
      <c r="B282" s="400" t="s">
        <v>993</v>
      </c>
      <c r="C282" s="416">
        <v>47</v>
      </c>
      <c r="D282" s="416">
        <v>101</v>
      </c>
      <c r="E282" s="416">
        <v>148</v>
      </c>
      <c r="F282" s="416">
        <v>2745671</v>
      </c>
      <c r="G282" s="416">
        <v>7637787</v>
      </c>
      <c r="H282" s="416">
        <v>10383458</v>
      </c>
      <c r="I282" s="400" t="s">
        <v>158</v>
      </c>
      <c r="J282" s="400" t="s">
        <v>798</v>
      </c>
      <c r="K282" s="401">
        <v>804674</v>
      </c>
      <c r="L282" s="400" t="s">
        <v>859</v>
      </c>
      <c r="M282" s="2"/>
      <c r="N282" s="2"/>
      <c r="O282" s="4"/>
    </row>
    <row r="283" spans="1:15" ht="15" customHeight="1" x14ac:dyDescent="0.25">
      <c r="A283" s="400" t="s">
        <v>1110</v>
      </c>
      <c r="B283" s="400" t="s">
        <v>717</v>
      </c>
      <c r="C283" s="416">
        <v>192</v>
      </c>
      <c r="D283" s="416">
        <v>391</v>
      </c>
      <c r="E283" s="416">
        <v>583</v>
      </c>
      <c r="F283" s="416">
        <v>6412104</v>
      </c>
      <c r="G283" s="416">
        <v>16314260</v>
      </c>
      <c r="H283" s="416">
        <v>22726364</v>
      </c>
      <c r="I283" s="400" t="s">
        <v>69</v>
      </c>
      <c r="J283" s="400" t="s">
        <v>798</v>
      </c>
      <c r="K283" s="401">
        <v>887497</v>
      </c>
      <c r="L283" s="400" t="s">
        <v>1013</v>
      </c>
      <c r="M283" s="2"/>
      <c r="N283" s="2"/>
      <c r="O283" s="4"/>
    </row>
    <row r="284" spans="1:15" ht="15" x14ac:dyDescent="0.25">
      <c r="A284" s="400" t="s">
        <v>1106</v>
      </c>
      <c r="B284" s="400" t="s">
        <v>384</v>
      </c>
      <c r="C284" s="416">
        <v>3303</v>
      </c>
      <c r="D284" s="416">
        <v>2454</v>
      </c>
      <c r="E284" s="416">
        <v>5757</v>
      </c>
      <c r="F284" s="416">
        <v>509910114</v>
      </c>
      <c r="G284" s="416">
        <v>427065894</v>
      </c>
      <c r="H284" s="416">
        <v>936976007</v>
      </c>
      <c r="I284" s="400" t="s">
        <v>69</v>
      </c>
      <c r="J284" s="400" t="s">
        <v>795</v>
      </c>
      <c r="K284" s="401">
        <v>997403</v>
      </c>
      <c r="L284" s="400" t="s">
        <v>213</v>
      </c>
      <c r="M284" s="2"/>
      <c r="N284" s="2"/>
      <c r="O284" s="4"/>
    </row>
    <row r="285" spans="1:15" ht="15" x14ac:dyDescent="0.25">
      <c r="A285" s="400" t="s">
        <v>1087</v>
      </c>
      <c r="B285" s="400" t="s">
        <v>235</v>
      </c>
      <c r="C285" s="416">
        <v>7942</v>
      </c>
      <c r="D285" s="416">
        <v>7120</v>
      </c>
      <c r="E285" s="416">
        <v>15062</v>
      </c>
      <c r="F285" s="416">
        <v>680138429</v>
      </c>
      <c r="G285" s="416">
        <v>742487106</v>
      </c>
      <c r="H285" s="416">
        <v>1422625535</v>
      </c>
      <c r="I285" s="400" t="s">
        <v>158</v>
      </c>
      <c r="J285" s="400" t="s">
        <v>792</v>
      </c>
      <c r="K285" s="401">
        <v>844522</v>
      </c>
      <c r="L285" s="400" t="s">
        <v>182</v>
      </c>
      <c r="M285" s="2"/>
      <c r="N285" s="2"/>
      <c r="O285" s="4"/>
    </row>
    <row r="286" spans="1:15" ht="15" x14ac:dyDescent="0.25">
      <c r="A286" s="400" t="s">
        <v>185</v>
      </c>
      <c r="B286" s="400" t="s">
        <v>577</v>
      </c>
      <c r="C286" s="416">
        <v>250</v>
      </c>
      <c r="D286" s="416">
        <v>278</v>
      </c>
      <c r="E286" s="416">
        <v>528</v>
      </c>
      <c r="F286" s="416">
        <v>11441315</v>
      </c>
      <c r="G286" s="416">
        <v>14978772</v>
      </c>
      <c r="H286" s="416">
        <v>26420086</v>
      </c>
      <c r="I286" s="400" t="s">
        <v>69</v>
      </c>
      <c r="J286" s="400" t="s">
        <v>798</v>
      </c>
      <c r="K286" s="401">
        <v>118067</v>
      </c>
      <c r="L286" s="400" t="s">
        <v>777</v>
      </c>
      <c r="M286" s="2"/>
      <c r="N286" s="2"/>
      <c r="O286" s="4"/>
    </row>
    <row r="287" spans="1:15" ht="15" x14ac:dyDescent="0.25">
      <c r="A287" s="400" t="s">
        <v>223</v>
      </c>
      <c r="B287" s="400" t="s">
        <v>901</v>
      </c>
      <c r="C287" s="416">
        <v>641</v>
      </c>
      <c r="D287" s="416">
        <v>900</v>
      </c>
      <c r="E287" s="416">
        <v>1541</v>
      </c>
      <c r="F287" s="416">
        <v>56558414</v>
      </c>
      <c r="G287" s="416">
        <v>94384602</v>
      </c>
      <c r="H287" s="416">
        <v>150943016</v>
      </c>
      <c r="I287" s="400" t="s">
        <v>158</v>
      </c>
      <c r="J287" s="400" t="s">
        <v>798</v>
      </c>
      <c r="K287" s="401">
        <v>354704</v>
      </c>
      <c r="L287" s="400" t="s">
        <v>859</v>
      </c>
      <c r="M287" s="2"/>
      <c r="N287" s="2"/>
      <c r="O287" s="4"/>
    </row>
    <row r="288" spans="1:15" ht="15" x14ac:dyDescent="0.25">
      <c r="A288" s="400" t="s">
        <v>381</v>
      </c>
      <c r="B288" s="400" t="s">
        <v>688</v>
      </c>
      <c r="C288" s="416">
        <v>1087</v>
      </c>
      <c r="D288" s="416">
        <v>1520</v>
      </c>
      <c r="E288" s="416">
        <v>2607</v>
      </c>
      <c r="F288" s="416">
        <v>33864752</v>
      </c>
      <c r="G288" s="416">
        <v>60862711</v>
      </c>
      <c r="H288" s="416">
        <v>94727463</v>
      </c>
      <c r="I288" s="400" t="s">
        <v>158</v>
      </c>
      <c r="J288" s="400" t="s">
        <v>798</v>
      </c>
      <c r="K288" s="401">
        <v>649491</v>
      </c>
      <c r="L288" s="400" t="s">
        <v>859</v>
      </c>
      <c r="M288" s="2"/>
      <c r="N288" s="2"/>
      <c r="O288" s="4"/>
    </row>
    <row r="289" spans="1:15" ht="15" x14ac:dyDescent="0.25">
      <c r="A289" s="400" t="s">
        <v>1096</v>
      </c>
      <c r="B289" s="400" t="s">
        <v>964</v>
      </c>
      <c r="C289" s="416">
        <v>3280</v>
      </c>
      <c r="D289" s="416">
        <v>2595</v>
      </c>
      <c r="E289" s="416">
        <v>5875</v>
      </c>
      <c r="F289" s="416">
        <v>141443035</v>
      </c>
      <c r="G289" s="416">
        <v>154080147</v>
      </c>
      <c r="H289" s="416">
        <v>295523182</v>
      </c>
      <c r="I289" s="400" t="s">
        <v>69</v>
      </c>
      <c r="J289" s="400" t="s">
        <v>799</v>
      </c>
      <c r="K289" s="401">
        <v>718205</v>
      </c>
      <c r="L289" s="400" t="s">
        <v>162</v>
      </c>
      <c r="M289" s="2"/>
      <c r="N289" s="2"/>
      <c r="O289" s="4"/>
    </row>
    <row r="290" spans="1:15" ht="15" x14ac:dyDescent="0.25">
      <c r="A290" s="400" t="s">
        <v>1109</v>
      </c>
      <c r="B290" s="400" t="s">
        <v>361</v>
      </c>
      <c r="C290" s="416">
        <v>64</v>
      </c>
      <c r="D290" s="416">
        <v>73</v>
      </c>
      <c r="E290" s="416">
        <v>137</v>
      </c>
      <c r="F290" s="416">
        <v>3343837</v>
      </c>
      <c r="G290" s="416">
        <v>4996901</v>
      </c>
      <c r="H290" s="416">
        <v>8340738</v>
      </c>
      <c r="I290" s="400" t="s">
        <v>69</v>
      </c>
      <c r="J290" s="400" t="s">
        <v>799</v>
      </c>
      <c r="K290" s="401">
        <v>980284</v>
      </c>
      <c r="L290" s="400" t="s">
        <v>362</v>
      </c>
      <c r="M290" s="2"/>
      <c r="N290" s="2"/>
      <c r="O290" s="4"/>
    </row>
    <row r="291" spans="1:15" ht="15" x14ac:dyDescent="0.25">
      <c r="A291" s="400" t="s">
        <v>305</v>
      </c>
      <c r="B291" s="400" t="s">
        <v>791</v>
      </c>
      <c r="C291" s="416">
        <v>236</v>
      </c>
      <c r="D291" s="416">
        <v>531</v>
      </c>
      <c r="E291" s="416">
        <v>767</v>
      </c>
      <c r="F291" s="416">
        <v>7230283</v>
      </c>
      <c r="G291" s="416">
        <v>21328434</v>
      </c>
      <c r="H291" s="416">
        <v>28558717</v>
      </c>
      <c r="I291" s="400" t="s">
        <v>158</v>
      </c>
      <c r="J291" s="400" t="s">
        <v>798</v>
      </c>
      <c r="K291" s="401">
        <v>946228</v>
      </c>
      <c r="L291" s="400" t="s">
        <v>159</v>
      </c>
      <c r="M291" s="2"/>
      <c r="N291" s="2"/>
      <c r="O291" s="4"/>
    </row>
    <row r="292" spans="1:15" ht="15" x14ac:dyDescent="0.25">
      <c r="A292" s="400" t="s">
        <v>1113</v>
      </c>
      <c r="B292" s="400" t="s">
        <v>542</v>
      </c>
      <c r="C292" s="416">
        <v>118</v>
      </c>
      <c r="D292" s="416">
        <v>163</v>
      </c>
      <c r="E292" s="416">
        <v>281</v>
      </c>
      <c r="F292" s="416">
        <v>3880974</v>
      </c>
      <c r="G292" s="416">
        <v>6900667</v>
      </c>
      <c r="H292" s="416">
        <v>10781641</v>
      </c>
      <c r="I292" s="400" t="s">
        <v>69</v>
      </c>
      <c r="J292" s="400" t="s">
        <v>798</v>
      </c>
      <c r="K292" s="401">
        <v>389650</v>
      </c>
      <c r="L292" s="400" t="s">
        <v>465</v>
      </c>
      <c r="M292" s="2"/>
      <c r="N292" s="2"/>
      <c r="O292" s="4"/>
    </row>
    <row r="293" spans="1:15" ht="15" x14ac:dyDescent="0.25">
      <c r="A293" s="400" t="s">
        <v>219</v>
      </c>
      <c r="B293" s="400" t="s">
        <v>972</v>
      </c>
      <c r="C293" s="416">
        <v>127</v>
      </c>
      <c r="D293" s="416">
        <v>177</v>
      </c>
      <c r="E293" s="416">
        <v>304</v>
      </c>
      <c r="F293" s="416">
        <v>4116572</v>
      </c>
      <c r="G293" s="416">
        <v>7615864</v>
      </c>
      <c r="H293" s="416">
        <v>11732436</v>
      </c>
      <c r="I293" s="400" t="s">
        <v>69</v>
      </c>
      <c r="J293" s="400" t="s">
        <v>798</v>
      </c>
      <c r="K293" s="401">
        <v>848770</v>
      </c>
      <c r="L293" s="400" t="s">
        <v>800</v>
      </c>
      <c r="M293" s="2"/>
      <c r="N293" s="2"/>
      <c r="O293" s="4"/>
    </row>
    <row r="294" spans="1:15" ht="15" x14ac:dyDescent="0.25">
      <c r="A294" s="400" t="s">
        <v>1103</v>
      </c>
      <c r="B294" s="400" t="s">
        <v>382</v>
      </c>
      <c r="C294" s="416">
        <v>454</v>
      </c>
      <c r="D294" s="416">
        <v>484</v>
      </c>
      <c r="E294" s="416">
        <v>938</v>
      </c>
      <c r="F294" s="416">
        <v>14350178</v>
      </c>
      <c r="G294" s="416">
        <v>20356356</v>
      </c>
      <c r="H294" s="416">
        <v>34706533</v>
      </c>
      <c r="I294" s="400" t="s">
        <v>69</v>
      </c>
      <c r="J294" s="400" t="s">
        <v>799</v>
      </c>
      <c r="K294" s="401">
        <v>483800</v>
      </c>
      <c r="L294" s="400" t="s">
        <v>383</v>
      </c>
      <c r="M294" s="2"/>
      <c r="N294" s="2"/>
      <c r="O294" s="4"/>
    </row>
    <row r="295" spans="1:15" ht="15" x14ac:dyDescent="0.25">
      <c r="A295" s="400" t="s">
        <v>1105</v>
      </c>
      <c r="B295" s="400" t="s">
        <v>181</v>
      </c>
      <c r="C295" s="416">
        <v>8234</v>
      </c>
      <c r="D295" s="416">
        <v>6724</v>
      </c>
      <c r="E295" s="416">
        <v>14958</v>
      </c>
      <c r="F295" s="416">
        <v>310473095</v>
      </c>
      <c r="G295" s="416">
        <v>332934969</v>
      </c>
      <c r="H295" s="416">
        <v>643408064</v>
      </c>
      <c r="I295" s="400" t="s">
        <v>158</v>
      </c>
      <c r="J295" s="400" t="s">
        <v>799</v>
      </c>
      <c r="K295" s="401">
        <v>534800</v>
      </c>
      <c r="L295" s="400" t="s">
        <v>182</v>
      </c>
      <c r="M295" s="2"/>
      <c r="N295" s="2"/>
      <c r="O295" s="4"/>
    </row>
    <row r="296" spans="1:15" ht="15" customHeight="1" x14ac:dyDescent="0.25">
      <c r="A296" s="400" t="s">
        <v>185</v>
      </c>
      <c r="B296" s="400" t="s">
        <v>346</v>
      </c>
      <c r="C296" s="416">
        <v>6280</v>
      </c>
      <c r="D296" s="416">
        <v>6188</v>
      </c>
      <c r="E296" s="416">
        <v>12468</v>
      </c>
      <c r="F296" s="416">
        <v>378372214</v>
      </c>
      <c r="G296" s="416">
        <v>437665634</v>
      </c>
      <c r="H296" s="416">
        <v>816037848</v>
      </c>
      <c r="I296" s="400" t="s">
        <v>69</v>
      </c>
      <c r="J296" s="400" t="s">
        <v>798</v>
      </c>
      <c r="K296" s="401">
        <v>479550</v>
      </c>
      <c r="L296" s="400" t="s">
        <v>208</v>
      </c>
      <c r="M296" s="2"/>
      <c r="N296" s="2"/>
      <c r="O296" s="4"/>
    </row>
    <row r="297" spans="1:15" ht="15" x14ac:dyDescent="0.25">
      <c r="A297" s="400" t="s">
        <v>264</v>
      </c>
      <c r="B297" s="400" t="s">
        <v>1059</v>
      </c>
      <c r="C297" s="416">
        <v>62</v>
      </c>
      <c r="D297" s="416">
        <v>109</v>
      </c>
      <c r="E297" s="416">
        <v>171</v>
      </c>
      <c r="F297" s="416">
        <v>4194652</v>
      </c>
      <c r="G297" s="416">
        <v>8641750</v>
      </c>
      <c r="H297" s="416">
        <v>12836402</v>
      </c>
      <c r="I297" s="400" t="s">
        <v>158</v>
      </c>
      <c r="J297" s="400" t="s">
        <v>798</v>
      </c>
      <c r="K297" s="401">
        <v>908509</v>
      </c>
      <c r="L297" s="400" t="s">
        <v>188</v>
      </c>
      <c r="M297" s="2"/>
      <c r="N297" s="2"/>
      <c r="O297" s="4"/>
    </row>
    <row r="298" spans="1:15" ht="15" x14ac:dyDescent="0.25">
      <c r="A298" s="400" t="s">
        <v>1089</v>
      </c>
      <c r="B298" s="400" t="s">
        <v>439</v>
      </c>
      <c r="C298" s="416">
        <v>5306</v>
      </c>
      <c r="D298" s="416">
        <v>5161</v>
      </c>
      <c r="E298" s="416">
        <v>10467</v>
      </c>
      <c r="F298" s="416">
        <v>291622107</v>
      </c>
      <c r="G298" s="416">
        <v>349759761</v>
      </c>
      <c r="H298" s="416">
        <v>641381869</v>
      </c>
      <c r="I298" s="400" t="s">
        <v>158</v>
      </c>
      <c r="J298" s="400" t="s">
        <v>795</v>
      </c>
      <c r="K298" s="401">
        <v>367813</v>
      </c>
      <c r="L298" s="400" t="s">
        <v>230</v>
      </c>
      <c r="M298" s="2"/>
      <c r="N298" s="2"/>
      <c r="O298" s="4"/>
    </row>
    <row r="299" spans="1:15" ht="15" x14ac:dyDescent="0.25">
      <c r="A299" s="400" t="s">
        <v>185</v>
      </c>
      <c r="B299" s="400" t="s">
        <v>907</v>
      </c>
      <c r="C299" s="416">
        <v>387</v>
      </c>
      <c r="D299" s="416">
        <v>457</v>
      </c>
      <c r="E299" s="416">
        <v>844</v>
      </c>
      <c r="F299" s="416">
        <v>12361059</v>
      </c>
      <c r="G299" s="416">
        <v>18199228</v>
      </c>
      <c r="H299" s="416">
        <v>30560288</v>
      </c>
      <c r="I299" s="400" t="s">
        <v>69</v>
      </c>
      <c r="J299" s="400" t="s">
        <v>798</v>
      </c>
      <c r="K299" s="401">
        <v>772509</v>
      </c>
      <c r="L299" s="400" t="s">
        <v>777</v>
      </c>
      <c r="M299" s="2"/>
      <c r="N299" s="2"/>
      <c r="O299" s="4"/>
    </row>
    <row r="300" spans="1:15" ht="15" x14ac:dyDescent="0.25">
      <c r="A300" s="400" t="s">
        <v>1105</v>
      </c>
      <c r="B300" s="400" t="s">
        <v>197</v>
      </c>
      <c r="C300" s="416">
        <v>1250</v>
      </c>
      <c r="D300" s="416">
        <v>1229</v>
      </c>
      <c r="E300" s="416">
        <v>2479</v>
      </c>
      <c r="F300" s="416">
        <v>46175606</v>
      </c>
      <c r="G300" s="416">
        <v>61215898</v>
      </c>
      <c r="H300" s="416">
        <v>107391504</v>
      </c>
      <c r="I300" s="400" t="s">
        <v>158</v>
      </c>
      <c r="J300" s="400" t="s">
        <v>799</v>
      </c>
      <c r="K300" s="401">
        <v>787382</v>
      </c>
      <c r="L300" s="400" t="s">
        <v>170</v>
      </c>
      <c r="M300" s="2"/>
      <c r="N300" s="2"/>
      <c r="O300" s="4"/>
    </row>
    <row r="301" spans="1:15" ht="15" x14ac:dyDescent="0.25">
      <c r="A301" s="400" t="s">
        <v>219</v>
      </c>
      <c r="B301" s="400" t="s">
        <v>218</v>
      </c>
      <c r="C301" s="416">
        <v>19821</v>
      </c>
      <c r="D301" s="416">
        <v>25799</v>
      </c>
      <c r="E301" s="416">
        <v>45620</v>
      </c>
      <c r="F301" s="416">
        <v>870603945</v>
      </c>
      <c r="G301" s="416">
        <v>1402790277</v>
      </c>
      <c r="H301" s="416">
        <v>2273394222</v>
      </c>
      <c r="I301" s="400" t="s">
        <v>158</v>
      </c>
      <c r="J301" s="400" t="s">
        <v>798</v>
      </c>
      <c r="K301" s="401">
        <v>538462</v>
      </c>
      <c r="L301" s="400" t="s">
        <v>172</v>
      </c>
      <c r="M301" s="2"/>
      <c r="N301" s="2"/>
      <c r="O301" s="4"/>
    </row>
    <row r="302" spans="1:15" ht="15" x14ac:dyDescent="0.25">
      <c r="A302" s="400" t="s">
        <v>1105</v>
      </c>
      <c r="B302" s="400" t="s">
        <v>1018</v>
      </c>
      <c r="C302" s="416">
        <v>508</v>
      </c>
      <c r="D302" s="416">
        <v>567</v>
      </c>
      <c r="E302" s="416">
        <v>1075</v>
      </c>
      <c r="F302" s="416">
        <v>21468093</v>
      </c>
      <c r="G302" s="416">
        <v>34102031</v>
      </c>
      <c r="H302" s="416">
        <v>55570124</v>
      </c>
      <c r="I302" s="400" t="s">
        <v>158</v>
      </c>
      <c r="J302" s="400" t="s">
        <v>799</v>
      </c>
      <c r="K302" s="401">
        <v>554691</v>
      </c>
      <c r="L302" s="400" t="s">
        <v>233</v>
      </c>
      <c r="M302" s="2"/>
      <c r="N302" s="2"/>
      <c r="O302" s="4"/>
    </row>
    <row r="303" spans="1:15" ht="15" x14ac:dyDescent="0.25">
      <c r="A303" s="400" t="s">
        <v>1113</v>
      </c>
      <c r="B303" s="400" t="s">
        <v>869</v>
      </c>
      <c r="C303" s="416">
        <v>688</v>
      </c>
      <c r="D303" s="416">
        <v>1000</v>
      </c>
      <c r="E303" s="416">
        <v>1688</v>
      </c>
      <c r="F303" s="416">
        <v>28960805</v>
      </c>
      <c r="G303" s="416">
        <v>51829625</v>
      </c>
      <c r="H303" s="416">
        <v>80790430</v>
      </c>
      <c r="I303" s="400" t="s">
        <v>69</v>
      </c>
      <c r="J303" s="400" t="s">
        <v>798</v>
      </c>
      <c r="K303" s="401">
        <v>401810</v>
      </c>
      <c r="L303" s="400" t="s">
        <v>506</v>
      </c>
      <c r="M303" s="2"/>
      <c r="N303" s="2"/>
      <c r="O303" s="4"/>
    </row>
    <row r="304" spans="1:15" ht="15" x14ac:dyDescent="0.25">
      <c r="A304" s="400" t="s">
        <v>1088</v>
      </c>
      <c r="B304" s="400" t="s">
        <v>479</v>
      </c>
      <c r="C304" s="416">
        <v>1816</v>
      </c>
      <c r="D304" s="416">
        <v>3475</v>
      </c>
      <c r="E304" s="416">
        <v>5291</v>
      </c>
      <c r="F304" s="416">
        <v>58416735</v>
      </c>
      <c r="G304" s="416">
        <v>132781789</v>
      </c>
      <c r="H304" s="416">
        <v>191198524</v>
      </c>
      <c r="I304" s="400" t="s">
        <v>69</v>
      </c>
      <c r="J304" s="400" t="s">
        <v>795</v>
      </c>
      <c r="K304" s="401">
        <v>153833</v>
      </c>
      <c r="L304" s="400" t="s">
        <v>338</v>
      </c>
      <c r="M304" s="2"/>
      <c r="N304" s="2"/>
      <c r="O304" s="4"/>
    </row>
    <row r="305" spans="1:15" ht="15" customHeight="1" x14ac:dyDescent="0.25">
      <c r="A305" s="400" t="s">
        <v>1096</v>
      </c>
      <c r="B305" s="400" t="s">
        <v>191</v>
      </c>
      <c r="C305" s="416">
        <v>816</v>
      </c>
      <c r="D305" s="416">
        <v>889</v>
      </c>
      <c r="E305" s="416">
        <v>1705</v>
      </c>
      <c r="F305" s="416">
        <v>47368298</v>
      </c>
      <c r="G305" s="416">
        <v>69257238</v>
      </c>
      <c r="H305" s="416">
        <v>116625537</v>
      </c>
      <c r="I305" s="400" t="s">
        <v>158</v>
      </c>
      <c r="J305" s="400" t="s">
        <v>799</v>
      </c>
      <c r="K305" s="401">
        <v>214163</v>
      </c>
      <c r="L305" s="400" t="s">
        <v>192</v>
      </c>
      <c r="M305" s="2"/>
      <c r="N305" s="2"/>
      <c r="O305" s="4"/>
    </row>
    <row r="306" spans="1:15" ht="15" customHeight="1" x14ac:dyDescent="0.25">
      <c r="A306" s="400" t="s">
        <v>1100</v>
      </c>
      <c r="B306" s="400" t="s">
        <v>412</v>
      </c>
      <c r="C306" s="416">
        <v>434</v>
      </c>
      <c r="D306" s="416">
        <v>488</v>
      </c>
      <c r="E306" s="416">
        <v>922</v>
      </c>
      <c r="F306" s="416">
        <v>32649980</v>
      </c>
      <c r="G306" s="416">
        <v>39571719</v>
      </c>
      <c r="H306" s="416">
        <v>72221698</v>
      </c>
      <c r="I306" s="400" t="s">
        <v>158</v>
      </c>
      <c r="J306" s="400" t="s">
        <v>795</v>
      </c>
      <c r="K306" s="401">
        <v>963462</v>
      </c>
      <c r="L306" s="400" t="s">
        <v>211</v>
      </c>
      <c r="M306" s="2"/>
      <c r="N306" s="2"/>
      <c r="O306" s="4"/>
    </row>
    <row r="307" spans="1:15" ht="15" x14ac:dyDescent="0.25">
      <c r="A307" s="400" t="s">
        <v>1088</v>
      </c>
      <c r="B307" s="400" t="s">
        <v>482</v>
      </c>
      <c r="C307" s="416">
        <v>192</v>
      </c>
      <c r="D307" s="416">
        <v>173</v>
      </c>
      <c r="E307" s="416">
        <v>365</v>
      </c>
      <c r="F307" s="416">
        <v>30783063</v>
      </c>
      <c r="G307" s="416">
        <v>27216260</v>
      </c>
      <c r="H307" s="416">
        <v>57999323</v>
      </c>
      <c r="I307" s="400" t="s">
        <v>158</v>
      </c>
      <c r="J307" s="400" t="s">
        <v>795</v>
      </c>
      <c r="K307" s="401">
        <v>696658</v>
      </c>
      <c r="L307" s="400" t="s">
        <v>211</v>
      </c>
      <c r="M307" s="2"/>
      <c r="N307" s="2"/>
      <c r="O307" s="4"/>
    </row>
    <row r="308" spans="1:15" ht="15" x14ac:dyDescent="0.25">
      <c r="A308" s="400" t="s">
        <v>1114</v>
      </c>
      <c r="B308" s="400" t="s">
        <v>574</v>
      </c>
      <c r="C308" s="416">
        <v>164</v>
      </c>
      <c r="D308" s="416">
        <v>248</v>
      </c>
      <c r="E308" s="416">
        <v>412</v>
      </c>
      <c r="F308" s="416">
        <v>6533550</v>
      </c>
      <c r="G308" s="416">
        <v>12509668</v>
      </c>
      <c r="H308" s="416">
        <v>19043218</v>
      </c>
      <c r="I308" s="400" t="s">
        <v>69</v>
      </c>
      <c r="J308" s="400" t="s">
        <v>798</v>
      </c>
      <c r="K308" s="401">
        <v>800664</v>
      </c>
      <c r="L308" s="400" t="s">
        <v>563</v>
      </c>
      <c r="M308" s="2"/>
      <c r="N308" s="2"/>
      <c r="O308" s="4"/>
    </row>
    <row r="309" spans="1:15" ht="15" x14ac:dyDescent="0.25">
      <c r="A309" s="400" t="s">
        <v>219</v>
      </c>
      <c r="B309" s="400" t="s">
        <v>951</v>
      </c>
      <c r="C309" s="416">
        <v>7489</v>
      </c>
      <c r="D309" s="416">
        <v>9321</v>
      </c>
      <c r="E309" s="416">
        <v>16810</v>
      </c>
      <c r="F309" s="416">
        <v>262244318</v>
      </c>
      <c r="G309" s="416">
        <v>409197559</v>
      </c>
      <c r="H309" s="416">
        <v>671441877</v>
      </c>
      <c r="I309" s="400" t="s">
        <v>158</v>
      </c>
      <c r="J309" s="400" t="s">
        <v>798</v>
      </c>
      <c r="K309" s="401">
        <v>362020</v>
      </c>
      <c r="L309" s="400" t="s">
        <v>198</v>
      </c>
      <c r="M309" s="2"/>
      <c r="N309" s="2"/>
      <c r="O309" s="4"/>
    </row>
    <row r="310" spans="1:15" ht="15" x14ac:dyDescent="0.25">
      <c r="A310" s="400" t="s">
        <v>1091</v>
      </c>
      <c r="B310" s="400" t="s">
        <v>363</v>
      </c>
      <c r="C310" s="416">
        <v>1755</v>
      </c>
      <c r="D310" s="416">
        <v>2154</v>
      </c>
      <c r="E310" s="416">
        <v>3909</v>
      </c>
      <c r="F310" s="416">
        <v>76148110</v>
      </c>
      <c r="G310" s="416">
        <v>110955319</v>
      </c>
      <c r="H310" s="416">
        <v>187103429</v>
      </c>
      <c r="I310" s="400" t="s">
        <v>69</v>
      </c>
      <c r="J310" s="400" t="s">
        <v>798</v>
      </c>
      <c r="K310" s="401">
        <v>120014</v>
      </c>
      <c r="L310" s="400" t="s">
        <v>180</v>
      </c>
      <c r="M310" s="2"/>
      <c r="N310" s="2"/>
      <c r="O310" s="4"/>
    </row>
    <row r="311" spans="1:15" ht="15" x14ac:dyDescent="0.25">
      <c r="A311" s="400" t="s">
        <v>1099</v>
      </c>
      <c r="B311" s="400" t="s">
        <v>1143</v>
      </c>
      <c r="C311" s="416">
        <v>5</v>
      </c>
      <c r="D311" s="416">
        <v>27</v>
      </c>
      <c r="E311" s="416">
        <v>32</v>
      </c>
      <c r="F311" s="416">
        <v>178490</v>
      </c>
      <c r="G311" s="416">
        <v>1308505</v>
      </c>
      <c r="H311" s="416">
        <v>1486995</v>
      </c>
      <c r="I311" s="400" t="s">
        <v>69</v>
      </c>
      <c r="J311" s="400" t="s">
        <v>799</v>
      </c>
      <c r="K311" s="401">
        <v>365684</v>
      </c>
      <c r="L311" s="400" t="s">
        <v>387</v>
      </c>
      <c r="M311" s="2"/>
      <c r="N311" s="2"/>
      <c r="O311" s="4"/>
    </row>
    <row r="312" spans="1:15" ht="15" x14ac:dyDescent="0.25">
      <c r="A312" s="400" t="s">
        <v>185</v>
      </c>
      <c r="B312" s="400" t="s">
        <v>1144</v>
      </c>
      <c r="C312" s="416">
        <v>30</v>
      </c>
      <c r="D312" s="416">
        <v>23</v>
      </c>
      <c r="E312" s="416">
        <v>53</v>
      </c>
      <c r="F312" s="416">
        <v>1222275</v>
      </c>
      <c r="G312" s="416">
        <v>871561</v>
      </c>
      <c r="H312" s="416">
        <v>2093836</v>
      </c>
      <c r="I312" s="400" t="s">
        <v>69</v>
      </c>
      <c r="J312" s="400" t="s">
        <v>798</v>
      </c>
      <c r="K312" s="401">
        <v>199406</v>
      </c>
      <c r="L312" s="400" t="s">
        <v>387</v>
      </c>
      <c r="M312" s="2"/>
      <c r="N312" s="2"/>
      <c r="O312" s="4"/>
    </row>
    <row r="313" spans="1:15" ht="15" x14ac:dyDescent="0.25">
      <c r="A313" s="400" t="s">
        <v>1098</v>
      </c>
      <c r="B313" s="400" t="s">
        <v>1145</v>
      </c>
      <c r="C313" s="416">
        <v>292</v>
      </c>
      <c r="D313" s="416">
        <v>295</v>
      </c>
      <c r="E313" s="416">
        <v>587</v>
      </c>
      <c r="F313" s="416">
        <v>11390293</v>
      </c>
      <c r="G313" s="416">
        <v>15794625</v>
      </c>
      <c r="H313" s="416">
        <v>27184917</v>
      </c>
      <c r="I313" s="400" t="s">
        <v>69</v>
      </c>
      <c r="J313" s="400" t="s">
        <v>799</v>
      </c>
      <c r="K313" s="401">
        <v>335463</v>
      </c>
      <c r="L313" s="400" t="s">
        <v>387</v>
      </c>
      <c r="M313" s="2"/>
      <c r="N313" s="2"/>
      <c r="O313" s="4"/>
    </row>
    <row r="314" spans="1:15" ht="15" x14ac:dyDescent="0.25">
      <c r="A314" s="400" t="s">
        <v>1099</v>
      </c>
      <c r="B314" s="400" t="s">
        <v>458</v>
      </c>
      <c r="C314" s="416">
        <v>308</v>
      </c>
      <c r="D314" s="416">
        <v>468</v>
      </c>
      <c r="E314" s="416">
        <v>776</v>
      </c>
      <c r="F314" s="416">
        <v>10663494</v>
      </c>
      <c r="G314" s="416">
        <v>20347564</v>
      </c>
      <c r="H314" s="416">
        <v>31011058</v>
      </c>
      <c r="I314" s="400" t="s">
        <v>69</v>
      </c>
      <c r="J314" s="400" t="s">
        <v>799</v>
      </c>
      <c r="K314" s="401">
        <v>336115</v>
      </c>
      <c r="L314" s="400" t="s">
        <v>418</v>
      </c>
      <c r="M314" s="2"/>
      <c r="N314" s="2"/>
      <c r="O314" s="4"/>
    </row>
    <row r="315" spans="1:15" ht="15" x14ac:dyDescent="0.25">
      <c r="A315" s="400" t="s">
        <v>205</v>
      </c>
      <c r="B315" s="400" t="s">
        <v>816</v>
      </c>
      <c r="C315" s="416">
        <v>396</v>
      </c>
      <c r="D315" s="416">
        <v>514</v>
      </c>
      <c r="E315" s="416">
        <v>910</v>
      </c>
      <c r="F315" s="416">
        <v>17894040</v>
      </c>
      <c r="G315" s="416">
        <v>30989458</v>
      </c>
      <c r="H315" s="416">
        <v>48883497</v>
      </c>
      <c r="I315" s="400" t="s">
        <v>69</v>
      </c>
      <c r="J315" s="400" t="s">
        <v>798</v>
      </c>
      <c r="K315" s="401">
        <v>159442</v>
      </c>
      <c r="L315" s="400" t="s">
        <v>556</v>
      </c>
      <c r="M315" s="2"/>
      <c r="N315" s="2"/>
      <c r="O315" s="4"/>
    </row>
    <row r="316" spans="1:15" ht="15" x14ac:dyDescent="0.25">
      <c r="A316" s="400" t="s">
        <v>1112</v>
      </c>
      <c r="B316" s="400" t="s">
        <v>812</v>
      </c>
      <c r="C316" s="416">
        <v>516</v>
      </c>
      <c r="D316" s="416">
        <v>862</v>
      </c>
      <c r="E316" s="416">
        <v>1378</v>
      </c>
      <c r="F316" s="416">
        <v>21860718</v>
      </c>
      <c r="G316" s="416">
        <v>48281882</v>
      </c>
      <c r="H316" s="416">
        <v>70142601</v>
      </c>
      <c r="I316" s="400" t="s">
        <v>69</v>
      </c>
      <c r="J316" s="400" t="s">
        <v>798</v>
      </c>
      <c r="K316" s="401">
        <v>625236</v>
      </c>
      <c r="L316" s="400" t="s">
        <v>556</v>
      </c>
      <c r="M316" s="2"/>
      <c r="N316" s="2"/>
      <c r="O316" s="4"/>
    </row>
    <row r="317" spans="1:15" ht="15" x14ac:dyDescent="0.25">
      <c r="A317" s="400" t="s">
        <v>1089</v>
      </c>
      <c r="B317" s="400" t="s">
        <v>664</v>
      </c>
      <c r="C317" s="416">
        <v>145</v>
      </c>
      <c r="D317" s="416">
        <v>112</v>
      </c>
      <c r="E317" s="416">
        <v>257</v>
      </c>
      <c r="F317" s="416">
        <v>16742409</v>
      </c>
      <c r="G317" s="416">
        <v>13590322</v>
      </c>
      <c r="H317" s="416">
        <v>30332731</v>
      </c>
      <c r="I317" s="400" t="s">
        <v>158</v>
      </c>
      <c r="J317" s="400" t="s">
        <v>795</v>
      </c>
      <c r="K317" s="401">
        <v>187898</v>
      </c>
      <c r="L317" s="400" t="s">
        <v>291</v>
      </c>
      <c r="M317" s="2"/>
      <c r="N317" s="2"/>
      <c r="O317" s="4"/>
    </row>
    <row r="318" spans="1:15" ht="15" x14ac:dyDescent="0.25">
      <c r="A318" s="400" t="s">
        <v>302</v>
      </c>
      <c r="B318" s="400" t="s">
        <v>728</v>
      </c>
      <c r="C318" s="416">
        <v>1571</v>
      </c>
      <c r="D318" s="416">
        <v>2316</v>
      </c>
      <c r="E318" s="416">
        <v>3887</v>
      </c>
      <c r="F318" s="416">
        <v>79488730</v>
      </c>
      <c r="G318" s="416">
        <v>142824797</v>
      </c>
      <c r="H318" s="416">
        <v>222313527</v>
      </c>
      <c r="I318" s="400" t="s">
        <v>69</v>
      </c>
      <c r="J318" s="400" t="s">
        <v>798</v>
      </c>
      <c r="K318" s="401">
        <v>978452</v>
      </c>
      <c r="L318" s="400" t="s">
        <v>554</v>
      </c>
      <c r="M318" s="2"/>
      <c r="N318" s="2"/>
      <c r="O318" s="4"/>
    </row>
    <row r="319" spans="1:15" ht="15" x14ac:dyDescent="0.25">
      <c r="A319" s="400" t="s">
        <v>1087</v>
      </c>
      <c r="B319" s="400" t="s">
        <v>966</v>
      </c>
      <c r="C319" s="416">
        <v>6748</v>
      </c>
      <c r="D319" s="416">
        <v>6375</v>
      </c>
      <c r="E319" s="416">
        <v>13123</v>
      </c>
      <c r="F319" s="416">
        <v>1071019043</v>
      </c>
      <c r="G319" s="416">
        <v>1109683655</v>
      </c>
      <c r="H319" s="416">
        <v>2180702698</v>
      </c>
      <c r="I319" s="400" t="s">
        <v>69</v>
      </c>
      <c r="J319" s="400" t="s">
        <v>792</v>
      </c>
      <c r="K319" s="401">
        <v>278853</v>
      </c>
      <c r="L319" s="400" t="s">
        <v>162</v>
      </c>
      <c r="M319" s="2"/>
      <c r="N319" s="2"/>
      <c r="O319" s="4"/>
    </row>
    <row r="320" spans="1:15" ht="15" x14ac:dyDescent="0.25">
      <c r="A320" s="319" t="s">
        <v>1087</v>
      </c>
      <c r="B320" s="319" t="s">
        <v>960</v>
      </c>
      <c r="C320" s="416">
        <v>387</v>
      </c>
      <c r="D320" s="416">
        <v>434</v>
      </c>
      <c r="E320" s="416">
        <v>821</v>
      </c>
      <c r="F320" s="416">
        <v>11495298</v>
      </c>
      <c r="G320" s="416">
        <v>17375295</v>
      </c>
      <c r="H320" s="416">
        <v>28870593</v>
      </c>
      <c r="I320" s="319" t="s">
        <v>69</v>
      </c>
      <c r="J320" s="319" t="s">
        <v>792</v>
      </c>
      <c r="K320" s="309">
        <v>337709</v>
      </c>
      <c r="L320" s="319" t="s">
        <v>162</v>
      </c>
      <c r="M320" s="4"/>
      <c r="N320" s="2"/>
      <c r="O320" s="4"/>
    </row>
    <row r="321" spans="1:15" ht="15" x14ac:dyDescent="0.25">
      <c r="A321" s="400" t="s">
        <v>223</v>
      </c>
      <c r="B321" s="400" t="s">
        <v>370</v>
      </c>
      <c r="C321" s="416">
        <v>9746</v>
      </c>
      <c r="D321" s="416">
        <v>11687</v>
      </c>
      <c r="E321" s="416">
        <v>21433</v>
      </c>
      <c r="F321" s="416">
        <v>627698206</v>
      </c>
      <c r="G321" s="416">
        <v>912483517</v>
      </c>
      <c r="H321" s="416">
        <v>1540181723</v>
      </c>
      <c r="I321" s="400" t="s">
        <v>158</v>
      </c>
      <c r="J321" s="400" t="s">
        <v>798</v>
      </c>
      <c r="K321" s="401">
        <v>916189</v>
      </c>
      <c r="L321" s="400" t="s">
        <v>198</v>
      </c>
      <c r="M321" s="2"/>
      <c r="N321" s="2"/>
      <c r="O321" s="4"/>
    </row>
    <row r="322" spans="1:15" ht="15" x14ac:dyDescent="0.25">
      <c r="A322" s="400" t="s">
        <v>185</v>
      </c>
      <c r="B322" s="400" t="s">
        <v>429</v>
      </c>
      <c r="C322" s="416">
        <v>54</v>
      </c>
      <c r="D322" s="416">
        <v>86</v>
      </c>
      <c r="E322" s="416">
        <v>140</v>
      </c>
      <c r="F322" s="416">
        <v>3312306</v>
      </c>
      <c r="G322" s="416">
        <v>4855876</v>
      </c>
      <c r="H322" s="416">
        <v>8168182</v>
      </c>
      <c r="I322" s="400" t="s">
        <v>69</v>
      </c>
      <c r="J322" s="400" t="s">
        <v>798</v>
      </c>
      <c r="K322" s="401">
        <v>282632</v>
      </c>
      <c r="L322" s="400" t="s">
        <v>362</v>
      </c>
      <c r="M322" s="2"/>
      <c r="N322" s="2"/>
      <c r="O322" s="4"/>
    </row>
    <row r="323" spans="1:15" ht="15" x14ac:dyDescent="0.25">
      <c r="A323" s="400" t="s">
        <v>1112</v>
      </c>
      <c r="B323" s="400" t="s">
        <v>492</v>
      </c>
      <c r="C323" s="416">
        <v>315</v>
      </c>
      <c r="D323" s="416">
        <v>694</v>
      </c>
      <c r="E323" s="416">
        <v>1009</v>
      </c>
      <c r="F323" s="416">
        <v>17923383</v>
      </c>
      <c r="G323" s="416">
        <v>45170349</v>
      </c>
      <c r="H323" s="416">
        <v>63093733</v>
      </c>
      <c r="I323" s="400" t="s">
        <v>158</v>
      </c>
      <c r="J323" s="400" t="s">
        <v>798</v>
      </c>
      <c r="K323" s="401">
        <v>297689</v>
      </c>
      <c r="L323" s="400" t="s">
        <v>409</v>
      </c>
      <c r="M323" s="2"/>
      <c r="N323" s="2"/>
      <c r="O323" s="4"/>
    </row>
    <row r="324" spans="1:15" ht="15" x14ac:dyDescent="0.25">
      <c r="A324" s="400" t="s">
        <v>302</v>
      </c>
      <c r="B324" s="400" t="s">
        <v>852</v>
      </c>
      <c r="C324" s="416">
        <v>6231</v>
      </c>
      <c r="D324" s="416">
        <v>7011</v>
      </c>
      <c r="E324" s="416">
        <v>13242</v>
      </c>
      <c r="F324" s="416">
        <v>212380873</v>
      </c>
      <c r="G324" s="416">
        <v>307344466</v>
      </c>
      <c r="H324" s="416">
        <v>519725340</v>
      </c>
      <c r="I324" s="400" t="s">
        <v>69</v>
      </c>
      <c r="J324" s="400" t="s">
        <v>798</v>
      </c>
      <c r="K324" s="401">
        <v>305243</v>
      </c>
      <c r="L324" s="400" t="s">
        <v>579</v>
      </c>
      <c r="M324" s="2"/>
      <c r="N324" s="2"/>
      <c r="O324" s="4"/>
    </row>
    <row r="325" spans="1:15" ht="15" x14ac:dyDescent="0.25">
      <c r="A325" s="400" t="s">
        <v>1113</v>
      </c>
      <c r="B325" s="400" t="s">
        <v>257</v>
      </c>
      <c r="C325" s="416">
        <v>2771</v>
      </c>
      <c r="D325" s="416">
        <v>5012</v>
      </c>
      <c r="E325" s="416">
        <v>7783</v>
      </c>
      <c r="F325" s="416">
        <v>105477284</v>
      </c>
      <c r="G325" s="416">
        <v>227549041</v>
      </c>
      <c r="H325" s="416">
        <v>333026325</v>
      </c>
      <c r="I325" s="400" t="s">
        <v>158</v>
      </c>
      <c r="J325" s="400" t="s">
        <v>798</v>
      </c>
      <c r="K325" s="401">
        <v>823096</v>
      </c>
      <c r="L325" s="400" t="s">
        <v>172</v>
      </c>
      <c r="M325" s="2"/>
      <c r="N325" s="2"/>
      <c r="O325" s="4"/>
    </row>
    <row r="326" spans="1:15" ht="15" x14ac:dyDescent="0.25">
      <c r="A326" s="400" t="s">
        <v>305</v>
      </c>
      <c r="B326" s="400" t="s">
        <v>514</v>
      </c>
      <c r="C326" s="416">
        <v>2015</v>
      </c>
      <c r="D326" s="416">
        <v>2885</v>
      </c>
      <c r="E326" s="416">
        <v>4900</v>
      </c>
      <c r="F326" s="416">
        <v>113950344</v>
      </c>
      <c r="G326" s="416">
        <v>200886574</v>
      </c>
      <c r="H326" s="416">
        <v>314836918</v>
      </c>
      <c r="I326" s="400" t="s">
        <v>69</v>
      </c>
      <c r="J326" s="400" t="s">
        <v>798</v>
      </c>
      <c r="K326" s="401">
        <v>147348</v>
      </c>
      <c r="L326" s="400" t="s">
        <v>301</v>
      </c>
      <c r="M326" s="2"/>
      <c r="N326" s="2"/>
      <c r="O326" s="4"/>
    </row>
    <row r="327" spans="1:15" ht="15" x14ac:dyDescent="0.25">
      <c r="A327" s="400" t="s">
        <v>185</v>
      </c>
      <c r="B327" s="400" t="s">
        <v>871</v>
      </c>
      <c r="C327" s="416">
        <v>2987</v>
      </c>
      <c r="D327" s="416">
        <v>3244</v>
      </c>
      <c r="E327" s="416">
        <v>6231</v>
      </c>
      <c r="F327" s="416">
        <v>106874939</v>
      </c>
      <c r="G327" s="416">
        <v>128135163</v>
      </c>
      <c r="H327" s="416">
        <v>235010102</v>
      </c>
      <c r="I327" s="400" t="s">
        <v>69</v>
      </c>
      <c r="J327" s="400" t="s">
        <v>798</v>
      </c>
      <c r="K327" s="401">
        <v>728824</v>
      </c>
      <c r="L327" s="400" t="s">
        <v>775</v>
      </c>
      <c r="M327" s="2"/>
      <c r="N327" s="2"/>
      <c r="O327" s="4"/>
    </row>
    <row r="328" spans="1:15" ht="15" x14ac:dyDescent="0.25">
      <c r="A328" s="400" t="s">
        <v>219</v>
      </c>
      <c r="B328" s="400" t="s">
        <v>870</v>
      </c>
      <c r="C328" s="416">
        <v>69</v>
      </c>
      <c r="D328" s="416">
        <v>92</v>
      </c>
      <c r="E328" s="416">
        <v>161</v>
      </c>
      <c r="F328" s="416">
        <v>2368831</v>
      </c>
      <c r="G328" s="416">
        <v>4562279</v>
      </c>
      <c r="H328" s="416">
        <v>6931110</v>
      </c>
      <c r="I328" s="400" t="s">
        <v>69</v>
      </c>
      <c r="J328" s="400" t="s">
        <v>798</v>
      </c>
      <c r="K328" s="401">
        <v>151001</v>
      </c>
      <c r="L328" s="400" t="s">
        <v>506</v>
      </c>
      <c r="M328" s="2"/>
      <c r="N328" s="2"/>
      <c r="O328" s="4"/>
    </row>
    <row r="329" spans="1:15" ht="15" customHeight="1" x14ac:dyDescent="0.25">
      <c r="A329" s="400" t="s">
        <v>1108</v>
      </c>
      <c r="B329" s="400" t="s">
        <v>337</v>
      </c>
      <c r="C329" s="416">
        <v>927</v>
      </c>
      <c r="D329" s="416">
        <v>974</v>
      </c>
      <c r="E329" s="416">
        <v>1901</v>
      </c>
      <c r="F329" s="416">
        <v>24787944</v>
      </c>
      <c r="G329" s="416">
        <v>31814306</v>
      </c>
      <c r="H329" s="416">
        <v>56602250</v>
      </c>
      <c r="I329" s="400" t="s">
        <v>69</v>
      </c>
      <c r="J329" s="400" t="s">
        <v>799</v>
      </c>
      <c r="K329" s="401">
        <v>587634</v>
      </c>
      <c r="L329" s="400" t="s">
        <v>338</v>
      </c>
      <c r="M329" s="2"/>
      <c r="N329" s="2"/>
      <c r="O329" s="4"/>
    </row>
    <row r="330" spans="1:15" ht="15" x14ac:dyDescent="0.25">
      <c r="A330" s="400" t="s">
        <v>1113</v>
      </c>
      <c r="B330" s="400" t="s">
        <v>580</v>
      </c>
      <c r="C330" s="416">
        <v>796</v>
      </c>
      <c r="D330" s="416">
        <v>1149</v>
      </c>
      <c r="E330" s="416">
        <v>1945</v>
      </c>
      <c r="F330" s="416">
        <v>33332017</v>
      </c>
      <c r="G330" s="416">
        <v>60712639</v>
      </c>
      <c r="H330" s="416">
        <v>94044657</v>
      </c>
      <c r="I330" s="400" t="s">
        <v>69</v>
      </c>
      <c r="J330" s="400" t="s">
        <v>798</v>
      </c>
      <c r="K330" s="401">
        <v>477729</v>
      </c>
      <c r="L330" s="400" t="s">
        <v>435</v>
      </c>
      <c r="M330" s="2"/>
      <c r="N330" s="2"/>
      <c r="O330" s="4"/>
    </row>
    <row r="331" spans="1:15" ht="15" x14ac:dyDescent="0.25">
      <c r="A331" s="400" t="s">
        <v>1117</v>
      </c>
      <c r="B331" s="400" t="s">
        <v>1128</v>
      </c>
      <c r="C331" s="416">
        <v>899</v>
      </c>
      <c r="D331" s="416">
        <v>1930</v>
      </c>
      <c r="E331" s="416">
        <v>2829</v>
      </c>
      <c r="F331" s="416">
        <v>44287170</v>
      </c>
      <c r="G331" s="416">
        <v>108457410</v>
      </c>
      <c r="H331" s="416">
        <v>152744580</v>
      </c>
      <c r="I331" s="400" t="s">
        <v>69</v>
      </c>
      <c r="J331" s="400" t="s">
        <v>798</v>
      </c>
      <c r="K331" s="401">
        <v>538108</v>
      </c>
      <c r="L331" s="400" t="s">
        <v>1129</v>
      </c>
      <c r="M331" s="2"/>
      <c r="N331" s="2"/>
      <c r="O331" s="4"/>
    </row>
    <row r="332" spans="1:15" ht="15" x14ac:dyDescent="0.25">
      <c r="A332" s="400" t="s">
        <v>302</v>
      </c>
      <c r="B332" s="400" t="s">
        <v>375</v>
      </c>
      <c r="C332" s="416">
        <v>38</v>
      </c>
      <c r="D332" s="416">
        <v>95</v>
      </c>
      <c r="E332" s="416">
        <v>133</v>
      </c>
      <c r="F332" s="416">
        <v>3812482</v>
      </c>
      <c r="G332" s="416">
        <v>10571193</v>
      </c>
      <c r="H332" s="416">
        <v>14383674</v>
      </c>
      <c r="I332" s="400" t="s">
        <v>158</v>
      </c>
      <c r="J332" s="400" t="s">
        <v>798</v>
      </c>
      <c r="K332" s="401">
        <v>543595</v>
      </c>
      <c r="L332" s="400" t="s">
        <v>291</v>
      </c>
      <c r="M332" s="2"/>
      <c r="N332" s="2"/>
      <c r="O332" s="4"/>
    </row>
    <row r="333" spans="1:15" ht="15" x14ac:dyDescent="0.25">
      <c r="A333" s="400" t="s">
        <v>185</v>
      </c>
      <c r="B333" s="400" t="s">
        <v>842</v>
      </c>
      <c r="C333" s="416">
        <v>12753</v>
      </c>
      <c r="D333" s="416">
        <v>12194</v>
      </c>
      <c r="E333" s="416">
        <v>24947</v>
      </c>
      <c r="F333" s="416">
        <v>606764566</v>
      </c>
      <c r="G333" s="416">
        <v>673781926</v>
      </c>
      <c r="H333" s="416">
        <v>1280546492</v>
      </c>
      <c r="I333" s="400" t="s">
        <v>158</v>
      </c>
      <c r="J333" s="400" t="s">
        <v>798</v>
      </c>
      <c r="K333" s="401">
        <v>123679</v>
      </c>
      <c r="L333" s="400" t="s">
        <v>198</v>
      </c>
      <c r="M333" s="2"/>
      <c r="N333" s="2"/>
      <c r="O333" s="4"/>
    </row>
    <row r="334" spans="1:15" ht="15" x14ac:dyDescent="0.25">
      <c r="A334" s="400" t="s">
        <v>1117</v>
      </c>
      <c r="B334" s="400" t="s">
        <v>1064</v>
      </c>
      <c r="C334" s="416">
        <v>2967</v>
      </c>
      <c r="D334" s="416">
        <v>4320</v>
      </c>
      <c r="E334" s="416">
        <v>7287</v>
      </c>
      <c r="F334" s="416">
        <v>161193780</v>
      </c>
      <c r="G334" s="416">
        <v>277179876</v>
      </c>
      <c r="H334" s="416">
        <v>438373656</v>
      </c>
      <c r="I334" s="400" t="s">
        <v>158</v>
      </c>
      <c r="J334" s="400" t="s">
        <v>798</v>
      </c>
      <c r="K334" s="401">
        <v>644005</v>
      </c>
      <c r="L334" s="400" t="s">
        <v>198</v>
      </c>
      <c r="M334" s="2"/>
      <c r="N334" s="2"/>
      <c r="O334" s="4"/>
    </row>
    <row r="335" spans="1:15" ht="15" x14ac:dyDescent="0.25">
      <c r="A335" s="400" t="s">
        <v>1109</v>
      </c>
      <c r="B335" s="400" t="s">
        <v>750</v>
      </c>
      <c r="C335" s="416">
        <v>17</v>
      </c>
      <c r="D335" s="416">
        <v>40</v>
      </c>
      <c r="E335" s="416">
        <v>57</v>
      </c>
      <c r="F335" s="416">
        <v>775464</v>
      </c>
      <c r="G335" s="416">
        <v>3068519</v>
      </c>
      <c r="H335" s="416">
        <v>3843983</v>
      </c>
      <c r="I335" s="400" t="s">
        <v>158</v>
      </c>
      <c r="J335" s="400" t="s">
        <v>799</v>
      </c>
      <c r="K335" s="401">
        <v>853903</v>
      </c>
      <c r="L335" s="400" t="s">
        <v>362</v>
      </c>
      <c r="M335" s="2"/>
      <c r="N335" s="2"/>
      <c r="O335" s="4"/>
    </row>
    <row r="336" spans="1:15" ht="15" x14ac:dyDescent="0.25">
      <c r="A336" s="400" t="s">
        <v>1106</v>
      </c>
      <c r="B336" s="400" t="s">
        <v>420</v>
      </c>
      <c r="C336" s="416">
        <v>17403</v>
      </c>
      <c r="D336" s="416">
        <v>15050</v>
      </c>
      <c r="E336" s="416">
        <v>32453</v>
      </c>
      <c r="F336" s="416">
        <v>2690055031</v>
      </c>
      <c r="G336" s="416">
        <v>2700764959</v>
      </c>
      <c r="H336" s="416">
        <v>5390819990</v>
      </c>
      <c r="I336" s="400" t="s">
        <v>69</v>
      </c>
      <c r="J336" s="400" t="s">
        <v>795</v>
      </c>
      <c r="K336" s="401">
        <v>119776</v>
      </c>
      <c r="L336" s="400" t="s">
        <v>997</v>
      </c>
      <c r="M336" s="2"/>
      <c r="N336" s="2"/>
      <c r="O336" s="4"/>
    </row>
    <row r="337" spans="1:15" ht="15" x14ac:dyDescent="0.25">
      <c r="A337" s="400" t="s">
        <v>185</v>
      </c>
      <c r="B337" s="400" t="s">
        <v>1134</v>
      </c>
      <c r="C337" s="416">
        <v>5</v>
      </c>
      <c r="D337" s="416">
        <v>7</v>
      </c>
      <c r="E337" s="416">
        <v>12</v>
      </c>
      <c r="F337" s="416">
        <v>130288</v>
      </c>
      <c r="G337" s="416">
        <v>421277</v>
      </c>
      <c r="H337" s="416">
        <v>551566</v>
      </c>
      <c r="I337" s="400" t="s">
        <v>69</v>
      </c>
      <c r="J337" s="400" t="s">
        <v>798</v>
      </c>
      <c r="K337" s="401">
        <v>523050</v>
      </c>
      <c r="L337" s="400" t="s">
        <v>800</v>
      </c>
      <c r="M337" s="2"/>
      <c r="N337" s="2"/>
      <c r="O337" s="4"/>
    </row>
    <row r="338" spans="1:15" ht="15" x14ac:dyDescent="0.25">
      <c r="A338" s="400" t="s">
        <v>1091</v>
      </c>
      <c r="B338" s="400" t="s">
        <v>1073</v>
      </c>
      <c r="C338" s="416">
        <v>1103</v>
      </c>
      <c r="D338" s="416">
        <v>1836</v>
      </c>
      <c r="E338" s="416">
        <v>2939</v>
      </c>
      <c r="F338" s="416">
        <v>304340932</v>
      </c>
      <c r="G338" s="416">
        <v>559354796</v>
      </c>
      <c r="H338" s="416">
        <v>863695728</v>
      </c>
      <c r="I338" s="400" t="s">
        <v>158</v>
      </c>
      <c r="J338" s="400" t="s">
        <v>798</v>
      </c>
      <c r="K338" s="401">
        <v>339002</v>
      </c>
      <c r="L338" s="400" t="s">
        <v>631</v>
      </c>
      <c r="M338" s="2"/>
      <c r="N338" s="2"/>
      <c r="O338" s="4"/>
    </row>
    <row r="339" spans="1:15" ht="15" x14ac:dyDescent="0.25">
      <c r="A339" s="400" t="s">
        <v>219</v>
      </c>
      <c r="B339" s="400" t="s">
        <v>356</v>
      </c>
      <c r="C339" s="416">
        <v>24525</v>
      </c>
      <c r="D339" s="416">
        <v>24323</v>
      </c>
      <c r="E339" s="416">
        <v>48848</v>
      </c>
      <c r="F339" s="416">
        <v>871867400</v>
      </c>
      <c r="G339" s="416">
        <v>1046092694</v>
      </c>
      <c r="H339" s="416">
        <v>1917960094</v>
      </c>
      <c r="I339" s="400" t="s">
        <v>69</v>
      </c>
      <c r="J339" s="400" t="s">
        <v>798</v>
      </c>
      <c r="K339" s="401">
        <v>564849</v>
      </c>
      <c r="L339" s="400" t="s">
        <v>195</v>
      </c>
      <c r="M339" s="2"/>
      <c r="N339" s="2"/>
      <c r="O339" s="4"/>
    </row>
    <row r="340" spans="1:15" ht="15" x14ac:dyDescent="0.25">
      <c r="A340" s="400" t="s">
        <v>1123</v>
      </c>
      <c r="B340" s="400" t="s">
        <v>734</v>
      </c>
      <c r="C340" s="416">
        <v>1044</v>
      </c>
      <c r="D340" s="416">
        <v>1512</v>
      </c>
      <c r="E340" s="416">
        <v>2556</v>
      </c>
      <c r="F340" s="416">
        <v>52285429</v>
      </c>
      <c r="G340" s="416">
        <v>99872750</v>
      </c>
      <c r="H340" s="416">
        <v>152158179</v>
      </c>
      <c r="I340" s="400" t="s">
        <v>69</v>
      </c>
      <c r="J340" s="400" t="s">
        <v>798</v>
      </c>
      <c r="K340" s="401">
        <v>874271</v>
      </c>
      <c r="L340" s="400" t="s">
        <v>1013</v>
      </c>
      <c r="M340" s="2"/>
      <c r="N340" s="2"/>
      <c r="O340" s="4"/>
    </row>
    <row r="341" spans="1:15" ht="15" x14ac:dyDescent="0.25">
      <c r="A341" s="400" t="s">
        <v>185</v>
      </c>
      <c r="B341" s="400" t="s">
        <v>938</v>
      </c>
      <c r="C341" s="416">
        <v>852</v>
      </c>
      <c r="D341" s="416">
        <v>636</v>
      </c>
      <c r="E341" s="416">
        <v>1488</v>
      </c>
      <c r="F341" s="416">
        <v>141161229</v>
      </c>
      <c r="G341" s="416">
        <v>115442942</v>
      </c>
      <c r="H341" s="416">
        <v>256604170</v>
      </c>
      <c r="I341" s="400" t="s">
        <v>69</v>
      </c>
      <c r="J341" s="400" t="s">
        <v>798</v>
      </c>
      <c r="K341" s="401">
        <v>623108</v>
      </c>
      <c r="L341" s="400" t="s">
        <v>838</v>
      </c>
      <c r="M341" s="2"/>
      <c r="N341" s="2"/>
      <c r="O341" s="4"/>
    </row>
    <row r="342" spans="1:15" ht="15" x14ac:dyDescent="0.25">
      <c r="A342" s="400" t="s">
        <v>185</v>
      </c>
      <c r="B342" s="400" t="s">
        <v>286</v>
      </c>
      <c r="C342" s="416">
        <v>308</v>
      </c>
      <c r="D342" s="416">
        <v>438</v>
      </c>
      <c r="E342" s="416">
        <v>746</v>
      </c>
      <c r="F342" s="416">
        <v>14279865</v>
      </c>
      <c r="G342" s="416">
        <v>25399812</v>
      </c>
      <c r="H342" s="416">
        <v>39679677</v>
      </c>
      <c r="I342" s="400" t="s">
        <v>158</v>
      </c>
      <c r="J342" s="400" t="s">
        <v>798</v>
      </c>
      <c r="K342" s="401">
        <v>912220</v>
      </c>
      <c r="L342" s="400" t="s">
        <v>182</v>
      </c>
      <c r="M342" s="2"/>
      <c r="N342" s="2"/>
      <c r="O342" s="4"/>
    </row>
    <row r="343" spans="1:15" ht="15" x14ac:dyDescent="0.25">
      <c r="A343" s="400" t="s">
        <v>223</v>
      </c>
      <c r="B343" s="400" t="s">
        <v>214</v>
      </c>
      <c r="C343" s="416">
        <v>42740</v>
      </c>
      <c r="D343" s="416">
        <v>45934</v>
      </c>
      <c r="E343" s="416">
        <v>88674</v>
      </c>
      <c r="F343" s="416">
        <v>2822166945</v>
      </c>
      <c r="G343" s="416">
        <v>3730077886</v>
      </c>
      <c r="H343" s="416">
        <v>6552244830</v>
      </c>
      <c r="I343" s="400" t="s">
        <v>158</v>
      </c>
      <c r="J343" s="400" t="s">
        <v>798</v>
      </c>
      <c r="K343" s="401">
        <v>212332</v>
      </c>
      <c r="L343" s="400" t="s">
        <v>182</v>
      </c>
      <c r="M343" s="2"/>
      <c r="N343" s="2"/>
      <c r="O343" s="4"/>
    </row>
    <row r="344" spans="1:15" ht="15" x14ac:dyDescent="0.25">
      <c r="A344" s="400" t="s">
        <v>1096</v>
      </c>
      <c r="B344" s="400" t="s">
        <v>229</v>
      </c>
      <c r="C344" s="416">
        <v>2848</v>
      </c>
      <c r="D344" s="416">
        <v>1988</v>
      </c>
      <c r="E344" s="416">
        <v>4836</v>
      </c>
      <c r="F344" s="416">
        <v>71358604</v>
      </c>
      <c r="G344" s="416">
        <v>68968680</v>
      </c>
      <c r="H344" s="416">
        <v>140327283</v>
      </c>
      <c r="I344" s="400" t="s">
        <v>158</v>
      </c>
      <c r="J344" s="400" t="s">
        <v>799</v>
      </c>
      <c r="K344" s="401">
        <v>331983</v>
      </c>
      <c r="L344" s="400" t="s">
        <v>230</v>
      </c>
      <c r="M344" s="2"/>
      <c r="N344" s="2"/>
      <c r="O344" s="4"/>
    </row>
    <row r="345" spans="1:15" ht="15" x14ac:dyDescent="0.25">
      <c r="A345" s="400" t="s">
        <v>1089</v>
      </c>
      <c r="B345" s="400" t="s">
        <v>677</v>
      </c>
      <c r="C345" s="416">
        <v>9635</v>
      </c>
      <c r="D345" s="416">
        <v>9079</v>
      </c>
      <c r="E345" s="416">
        <v>18714</v>
      </c>
      <c r="F345" s="416">
        <v>1748810430</v>
      </c>
      <c r="G345" s="416">
        <v>1992551002</v>
      </c>
      <c r="H345" s="416">
        <v>3741361431</v>
      </c>
      <c r="I345" s="400" t="s">
        <v>69</v>
      </c>
      <c r="J345" s="400" t="s">
        <v>795</v>
      </c>
      <c r="K345" s="401">
        <v>982116</v>
      </c>
      <c r="L345" s="400" t="s">
        <v>676</v>
      </c>
      <c r="M345" s="2"/>
      <c r="N345" s="2"/>
      <c r="O345" s="4"/>
    </row>
    <row r="346" spans="1:15" ht="15" x14ac:dyDescent="0.25">
      <c r="A346" s="400" t="s">
        <v>1112</v>
      </c>
      <c r="B346" s="400" t="s">
        <v>275</v>
      </c>
      <c r="C346" s="416">
        <v>173</v>
      </c>
      <c r="D346" s="416">
        <v>352</v>
      </c>
      <c r="E346" s="416">
        <v>525</v>
      </c>
      <c r="F346" s="416">
        <v>8839138</v>
      </c>
      <c r="G346" s="416">
        <v>21044684</v>
      </c>
      <c r="H346" s="416">
        <v>29883822</v>
      </c>
      <c r="I346" s="400" t="s">
        <v>158</v>
      </c>
      <c r="J346" s="400" t="s">
        <v>798</v>
      </c>
      <c r="K346" s="401">
        <v>316513</v>
      </c>
      <c r="L346" s="400" t="s">
        <v>170</v>
      </c>
      <c r="M346" s="2"/>
      <c r="N346" s="2"/>
      <c r="O346" s="4"/>
    </row>
    <row r="347" spans="1:15" ht="15" x14ac:dyDescent="0.25">
      <c r="A347" s="400" t="s">
        <v>223</v>
      </c>
      <c r="B347" s="400" t="s">
        <v>1030</v>
      </c>
      <c r="C347" s="416">
        <v>326</v>
      </c>
      <c r="D347" s="416">
        <v>889</v>
      </c>
      <c r="E347" s="416">
        <v>1215</v>
      </c>
      <c r="F347" s="416">
        <v>15978705</v>
      </c>
      <c r="G347" s="416">
        <v>54954227</v>
      </c>
      <c r="H347" s="416">
        <v>70932932</v>
      </c>
      <c r="I347" s="400" t="s">
        <v>158</v>
      </c>
      <c r="J347" s="400" t="s">
        <v>798</v>
      </c>
      <c r="K347" s="401">
        <v>874503</v>
      </c>
      <c r="L347" s="400" t="s">
        <v>249</v>
      </c>
      <c r="M347" s="2"/>
      <c r="N347" s="2"/>
      <c r="O347" s="4"/>
    </row>
    <row r="348" spans="1:15" ht="15" x14ac:dyDescent="0.25">
      <c r="A348" s="400" t="s">
        <v>1113</v>
      </c>
      <c r="B348" s="400" t="s">
        <v>692</v>
      </c>
      <c r="C348" s="416">
        <v>17</v>
      </c>
      <c r="D348" s="416">
        <v>56</v>
      </c>
      <c r="E348" s="416">
        <v>73</v>
      </c>
      <c r="F348" s="416">
        <v>649489</v>
      </c>
      <c r="G348" s="416">
        <v>3107123</v>
      </c>
      <c r="H348" s="416">
        <v>3756612</v>
      </c>
      <c r="I348" s="400" t="s">
        <v>69</v>
      </c>
      <c r="J348" s="400" t="s">
        <v>798</v>
      </c>
      <c r="K348" s="401">
        <v>431262</v>
      </c>
      <c r="L348" s="400" t="s">
        <v>768</v>
      </c>
      <c r="M348" s="2"/>
      <c r="N348" s="2"/>
      <c r="O348" s="4"/>
    </row>
    <row r="349" spans="1:15" ht="15" x14ac:dyDescent="0.25">
      <c r="A349" s="400" t="s">
        <v>1110</v>
      </c>
      <c r="B349" s="400" t="s">
        <v>1121</v>
      </c>
      <c r="C349" s="416">
        <v>177</v>
      </c>
      <c r="D349" s="416">
        <v>304</v>
      </c>
      <c r="E349" s="416">
        <v>481</v>
      </c>
      <c r="F349" s="416">
        <v>6818277</v>
      </c>
      <c r="G349" s="416">
        <v>14418503</v>
      </c>
      <c r="H349" s="416">
        <v>21236779</v>
      </c>
      <c r="I349" s="400" t="s">
        <v>69</v>
      </c>
      <c r="J349" s="400" t="s">
        <v>798</v>
      </c>
      <c r="K349" s="401">
        <v>918367</v>
      </c>
      <c r="L349" s="400" t="s">
        <v>775</v>
      </c>
      <c r="M349" s="2"/>
      <c r="N349" s="2"/>
      <c r="O349" s="4"/>
    </row>
    <row r="350" spans="1:15" ht="15" x14ac:dyDescent="0.25">
      <c r="A350" s="400" t="s">
        <v>305</v>
      </c>
      <c r="B350" s="400" t="s">
        <v>1063</v>
      </c>
      <c r="C350" s="416">
        <v>2532</v>
      </c>
      <c r="D350" s="416">
        <v>3914</v>
      </c>
      <c r="E350" s="416">
        <v>6446</v>
      </c>
      <c r="F350" s="416">
        <v>93010801</v>
      </c>
      <c r="G350" s="416">
        <v>199949923</v>
      </c>
      <c r="H350" s="416">
        <v>292960724</v>
      </c>
      <c r="I350" s="400" t="s">
        <v>158</v>
      </c>
      <c r="J350" s="400" t="s">
        <v>798</v>
      </c>
      <c r="K350" s="401">
        <v>333690</v>
      </c>
      <c r="L350" s="400" t="s">
        <v>624</v>
      </c>
      <c r="M350" s="2"/>
      <c r="N350" s="2"/>
      <c r="O350" s="4"/>
    </row>
    <row r="351" spans="1:15" ht="15" x14ac:dyDescent="0.25">
      <c r="A351" s="400" t="s">
        <v>185</v>
      </c>
      <c r="B351" s="400" t="s">
        <v>615</v>
      </c>
      <c r="C351" s="416">
        <v>711</v>
      </c>
      <c r="D351" s="416">
        <v>844</v>
      </c>
      <c r="E351" s="416">
        <v>1555</v>
      </c>
      <c r="F351" s="416">
        <v>25327825</v>
      </c>
      <c r="G351" s="416">
        <v>34118631</v>
      </c>
      <c r="H351" s="416">
        <v>59446456</v>
      </c>
      <c r="I351" s="400" t="s">
        <v>69</v>
      </c>
      <c r="J351" s="400" t="s">
        <v>798</v>
      </c>
      <c r="K351" s="401">
        <v>989491</v>
      </c>
      <c r="L351" s="400" t="s">
        <v>558</v>
      </c>
      <c r="M351" s="2"/>
      <c r="N351" s="2"/>
      <c r="O351" s="4"/>
    </row>
    <row r="352" spans="1:15" ht="15" x14ac:dyDescent="0.25">
      <c r="A352" s="400" t="s">
        <v>219</v>
      </c>
      <c r="B352" s="400" t="s">
        <v>399</v>
      </c>
      <c r="C352" s="416">
        <v>15384</v>
      </c>
      <c r="D352" s="416">
        <v>15983</v>
      </c>
      <c r="E352" s="416">
        <v>31367</v>
      </c>
      <c r="F352" s="416">
        <v>628900562</v>
      </c>
      <c r="G352" s="416">
        <v>744622435</v>
      </c>
      <c r="H352" s="416">
        <v>1373522997</v>
      </c>
      <c r="I352" s="400" t="s">
        <v>158</v>
      </c>
      <c r="J352" s="400" t="s">
        <v>798</v>
      </c>
      <c r="K352" s="401">
        <v>492306</v>
      </c>
      <c r="L352" s="400" t="s">
        <v>177</v>
      </c>
      <c r="M352" s="2"/>
      <c r="N352" s="2"/>
      <c r="O352" s="4"/>
    </row>
    <row r="353" spans="1:15" ht="15" x14ac:dyDescent="0.25">
      <c r="A353" s="400" t="s">
        <v>325</v>
      </c>
      <c r="B353" s="400" t="s">
        <v>357</v>
      </c>
      <c r="C353" s="416">
        <v>22040</v>
      </c>
      <c r="D353" s="416">
        <v>23810</v>
      </c>
      <c r="E353" s="416">
        <v>45850</v>
      </c>
      <c r="F353" s="416">
        <v>1437508535</v>
      </c>
      <c r="G353" s="416">
        <v>1910731948</v>
      </c>
      <c r="H353" s="416">
        <v>3348240483</v>
      </c>
      <c r="I353" s="400" t="s">
        <v>69</v>
      </c>
      <c r="J353" s="400" t="s">
        <v>798</v>
      </c>
      <c r="K353" s="401">
        <v>286294</v>
      </c>
      <c r="L353" s="400" t="s">
        <v>195</v>
      </c>
      <c r="M353" s="2"/>
      <c r="N353" s="2"/>
      <c r="O353" s="4"/>
    </row>
    <row r="354" spans="1:15" ht="15" x14ac:dyDescent="0.25">
      <c r="A354" s="400" t="s">
        <v>1109</v>
      </c>
      <c r="B354" s="400" t="s">
        <v>748</v>
      </c>
      <c r="C354" s="416">
        <v>162</v>
      </c>
      <c r="D354" s="416">
        <v>95</v>
      </c>
      <c r="E354" s="416">
        <v>257</v>
      </c>
      <c r="F354" s="416">
        <v>11935570</v>
      </c>
      <c r="G354" s="416">
        <v>9991306</v>
      </c>
      <c r="H354" s="416">
        <v>21926876</v>
      </c>
      <c r="I354" s="400" t="s">
        <v>69</v>
      </c>
      <c r="J354" s="400" t="s">
        <v>799</v>
      </c>
      <c r="K354" s="401">
        <v>651679</v>
      </c>
      <c r="L354" s="400" t="s">
        <v>213</v>
      </c>
      <c r="M354" s="2"/>
      <c r="N354" s="2"/>
      <c r="O354" s="4"/>
    </row>
    <row r="355" spans="1:15" ht="15" x14ac:dyDescent="0.25">
      <c r="A355" s="400" t="s">
        <v>328</v>
      </c>
      <c r="B355" s="400" t="s">
        <v>433</v>
      </c>
      <c r="C355" s="416">
        <v>2482</v>
      </c>
      <c r="D355" s="416">
        <v>2879</v>
      </c>
      <c r="E355" s="416">
        <v>5361</v>
      </c>
      <c r="F355" s="416">
        <v>76342955</v>
      </c>
      <c r="G355" s="416">
        <v>113468933</v>
      </c>
      <c r="H355" s="416">
        <v>189811889</v>
      </c>
      <c r="I355" s="400" t="s">
        <v>158</v>
      </c>
      <c r="J355" s="400" t="s">
        <v>798</v>
      </c>
      <c r="K355" s="401">
        <v>449090</v>
      </c>
      <c r="L355" s="400" t="s">
        <v>213</v>
      </c>
      <c r="M355" s="2"/>
      <c r="N355" s="2"/>
      <c r="O355" s="4"/>
    </row>
    <row r="356" spans="1:15" ht="15" x14ac:dyDescent="0.25">
      <c r="A356" s="400" t="s">
        <v>1105</v>
      </c>
      <c r="B356" s="400" t="s">
        <v>284</v>
      </c>
      <c r="C356" s="416">
        <v>5647</v>
      </c>
      <c r="D356" s="416">
        <v>4857</v>
      </c>
      <c r="E356" s="416">
        <v>10504</v>
      </c>
      <c r="F356" s="416">
        <v>190173522</v>
      </c>
      <c r="G356" s="416">
        <v>195450907</v>
      </c>
      <c r="H356" s="416">
        <v>385624429</v>
      </c>
      <c r="I356" s="400" t="s">
        <v>158</v>
      </c>
      <c r="J356" s="400" t="s">
        <v>799</v>
      </c>
      <c r="K356" s="401">
        <v>726117</v>
      </c>
      <c r="L356" s="400" t="s">
        <v>230</v>
      </c>
      <c r="M356" s="2"/>
      <c r="N356" s="2"/>
      <c r="O356" s="4"/>
    </row>
    <row r="357" spans="1:15" ht="15" x14ac:dyDescent="0.25">
      <c r="A357" s="400" t="s">
        <v>185</v>
      </c>
      <c r="B357" s="400" t="s">
        <v>911</v>
      </c>
      <c r="C357" s="416">
        <v>22486</v>
      </c>
      <c r="D357" s="416">
        <v>15552</v>
      </c>
      <c r="E357" s="416">
        <v>38038</v>
      </c>
      <c r="F357" s="416">
        <v>1560207723</v>
      </c>
      <c r="G357" s="416">
        <v>1217904824</v>
      </c>
      <c r="H357" s="416">
        <v>2778112547</v>
      </c>
      <c r="I357" s="400" t="s">
        <v>158</v>
      </c>
      <c r="J357" s="400" t="s">
        <v>798</v>
      </c>
      <c r="K357" s="401">
        <v>114819</v>
      </c>
      <c r="L357" s="400" t="s">
        <v>175</v>
      </c>
      <c r="M357" s="2"/>
      <c r="N357" s="2"/>
      <c r="O357" s="4"/>
    </row>
    <row r="358" spans="1:15" ht="15" x14ac:dyDescent="0.25">
      <c r="A358" s="400" t="s">
        <v>223</v>
      </c>
      <c r="B358" s="400" t="s">
        <v>234</v>
      </c>
      <c r="C358" s="416">
        <v>52529</v>
      </c>
      <c r="D358" s="416">
        <v>49552</v>
      </c>
      <c r="E358" s="416">
        <v>102081</v>
      </c>
      <c r="F358" s="416">
        <v>3381011673</v>
      </c>
      <c r="G358" s="416">
        <v>3905654126</v>
      </c>
      <c r="H358" s="416">
        <v>7286665799</v>
      </c>
      <c r="I358" s="400" t="s">
        <v>158</v>
      </c>
      <c r="J358" s="400" t="s">
        <v>798</v>
      </c>
      <c r="K358" s="401">
        <v>789271</v>
      </c>
      <c r="L358" s="400" t="s">
        <v>175</v>
      </c>
      <c r="M358" s="2"/>
      <c r="N358" s="2"/>
      <c r="O358" s="4"/>
    </row>
    <row r="359" spans="1:15" ht="15" x14ac:dyDescent="0.25">
      <c r="A359" s="400" t="s">
        <v>302</v>
      </c>
      <c r="B359" s="400" t="s">
        <v>1080</v>
      </c>
      <c r="C359" s="416">
        <v>29</v>
      </c>
      <c r="D359" s="416">
        <v>56</v>
      </c>
      <c r="E359" s="416">
        <v>85</v>
      </c>
      <c r="F359" s="416">
        <v>1128494</v>
      </c>
      <c r="G359" s="416">
        <v>3097578</v>
      </c>
      <c r="H359" s="416">
        <v>4226073</v>
      </c>
      <c r="I359" s="400" t="s">
        <v>69</v>
      </c>
      <c r="J359" s="400" t="s">
        <v>798</v>
      </c>
      <c r="K359" s="401">
        <v>789560</v>
      </c>
      <c r="L359" s="400" t="s">
        <v>768</v>
      </c>
      <c r="M359" s="2"/>
      <c r="N359" s="2"/>
      <c r="O359" s="4"/>
    </row>
    <row r="360" spans="1:15" ht="15" x14ac:dyDescent="0.25">
      <c r="A360" s="400" t="s">
        <v>369</v>
      </c>
      <c r="B360" s="400" t="s">
        <v>666</v>
      </c>
      <c r="C360" s="416">
        <v>817</v>
      </c>
      <c r="D360" s="416">
        <v>1236</v>
      </c>
      <c r="E360" s="416">
        <v>2053</v>
      </c>
      <c r="F360" s="416">
        <v>21191055</v>
      </c>
      <c r="G360" s="416">
        <v>40401225</v>
      </c>
      <c r="H360" s="416">
        <v>61592280</v>
      </c>
      <c r="I360" s="400" t="s">
        <v>69</v>
      </c>
      <c r="J360" s="400" t="s">
        <v>798</v>
      </c>
      <c r="K360" s="401">
        <v>204891</v>
      </c>
      <c r="L360" s="400" t="s">
        <v>775</v>
      </c>
      <c r="M360" s="2"/>
      <c r="N360" s="2"/>
      <c r="O360" s="4"/>
    </row>
    <row r="361" spans="1:15" ht="15" x14ac:dyDescent="0.25">
      <c r="A361" s="400" t="s">
        <v>1112</v>
      </c>
      <c r="B361" s="400" t="s">
        <v>1146</v>
      </c>
      <c r="C361" s="416">
        <v>722</v>
      </c>
      <c r="D361" s="416">
        <v>1149</v>
      </c>
      <c r="E361" s="416">
        <v>1871</v>
      </c>
      <c r="F361" s="416">
        <v>28397237</v>
      </c>
      <c r="G361" s="416">
        <v>53601176</v>
      </c>
      <c r="H361" s="416">
        <v>81998413</v>
      </c>
      <c r="I361" s="400" t="s">
        <v>69</v>
      </c>
      <c r="J361" s="400" t="s">
        <v>798</v>
      </c>
      <c r="K361" s="401">
        <v>882530</v>
      </c>
      <c r="L361" s="400" t="s">
        <v>775</v>
      </c>
      <c r="M361" s="2"/>
      <c r="N361" s="2"/>
      <c r="O361" s="4"/>
    </row>
    <row r="362" spans="1:15" ht="15" x14ac:dyDescent="0.25">
      <c r="A362" s="400" t="s">
        <v>1098</v>
      </c>
      <c r="B362" s="400" t="s">
        <v>333</v>
      </c>
      <c r="C362" s="416">
        <v>1389</v>
      </c>
      <c r="D362" s="416">
        <v>1355</v>
      </c>
      <c r="E362" s="416">
        <v>2744</v>
      </c>
      <c r="F362" s="416">
        <v>61644703</v>
      </c>
      <c r="G362" s="416">
        <v>80512727</v>
      </c>
      <c r="H362" s="416">
        <v>142157430</v>
      </c>
      <c r="I362" s="400" t="s">
        <v>158</v>
      </c>
      <c r="J362" s="400" t="s">
        <v>799</v>
      </c>
      <c r="K362" s="401">
        <v>112755</v>
      </c>
      <c r="L362" s="400" t="s">
        <v>334</v>
      </c>
      <c r="M362" s="2"/>
      <c r="N362" s="2"/>
      <c r="O362" s="4"/>
    </row>
    <row r="363" spans="1:15" ht="15" x14ac:dyDescent="0.25">
      <c r="A363" s="400" t="s">
        <v>302</v>
      </c>
      <c r="B363" s="400" t="s">
        <v>745</v>
      </c>
      <c r="C363" s="416">
        <v>61</v>
      </c>
      <c r="D363" s="416">
        <v>172</v>
      </c>
      <c r="E363" s="416">
        <v>233</v>
      </c>
      <c r="F363" s="416">
        <v>2202676</v>
      </c>
      <c r="G363" s="416">
        <v>7376456</v>
      </c>
      <c r="H363" s="416">
        <v>9579132</v>
      </c>
      <c r="I363" s="400" t="s">
        <v>69</v>
      </c>
      <c r="J363" s="400" t="s">
        <v>798</v>
      </c>
      <c r="K363" s="401">
        <v>377192</v>
      </c>
      <c r="L363" s="400" t="s">
        <v>558</v>
      </c>
      <c r="M363" s="2"/>
      <c r="N363" s="2"/>
      <c r="O363" s="4"/>
    </row>
    <row r="364" spans="1:15" ht="15" x14ac:dyDescent="0.25">
      <c r="A364" s="400" t="s">
        <v>328</v>
      </c>
      <c r="B364" s="400" t="s">
        <v>709</v>
      </c>
      <c r="C364" s="416">
        <v>2311</v>
      </c>
      <c r="D364" s="416">
        <v>2716</v>
      </c>
      <c r="E364" s="416">
        <v>5027</v>
      </c>
      <c r="F364" s="416">
        <v>68117847</v>
      </c>
      <c r="G364" s="416">
        <v>95808693</v>
      </c>
      <c r="H364" s="416">
        <v>163926540</v>
      </c>
      <c r="I364" s="400" t="s">
        <v>158</v>
      </c>
      <c r="J364" s="400" t="s">
        <v>798</v>
      </c>
      <c r="K364" s="401">
        <v>534156</v>
      </c>
      <c r="L364" s="400" t="s">
        <v>859</v>
      </c>
      <c r="M364" s="2"/>
      <c r="N364" s="2"/>
      <c r="O364" s="4"/>
    </row>
    <row r="365" spans="1:15" ht="15" x14ac:dyDescent="0.25">
      <c r="A365" s="400" t="s">
        <v>381</v>
      </c>
      <c r="B365" s="400" t="s">
        <v>486</v>
      </c>
      <c r="C365" s="416">
        <v>1947</v>
      </c>
      <c r="D365" s="416">
        <v>3682</v>
      </c>
      <c r="E365" s="416">
        <v>5629</v>
      </c>
      <c r="F365" s="416">
        <v>91788859</v>
      </c>
      <c r="G365" s="416">
        <v>222116487</v>
      </c>
      <c r="H365" s="416">
        <v>313905347</v>
      </c>
      <c r="I365" s="400" t="s">
        <v>69</v>
      </c>
      <c r="J365" s="400" t="s">
        <v>798</v>
      </c>
      <c r="K365" s="401">
        <v>390062</v>
      </c>
      <c r="L365" s="400" t="s">
        <v>162</v>
      </c>
      <c r="M365" s="2"/>
      <c r="N365" s="2"/>
      <c r="O365" s="4"/>
    </row>
    <row r="366" spans="1:15" ht="15" x14ac:dyDescent="0.25">
      <c r="A366" s="400" t="s">
        <v>1110</v>
      </c>
      <c r="B366" s="400" t="s">
        <v>295</v>
      </c>
      <c r="C366" s="416">
        <v>2129</v>
      </c>
      <c r="D366" s="416">
        <v>2936</v>
      </c>
      <c r="E366" s="416">
        <v>5065</v>
      </c>
      <c r="F366" s="416">
        <v>49679387</v>
      </c>
      <c r="G366" s="416">
        <v>103602192</v>
      </c>
      <c r="H366" s="416">
        <v>153281579</v>
      </c>
      <c r="I366" s="400" t="s">
        <v>69</v>
      </c>
      <c r="J366" s="400" t="s">
        <v>798</v>
      </c>
      <c r="K366" s="401">
        <v>110098</v>
      </c>
      <c r="L366" s="400" t="s">
        <v>162</v>
      </c>
      <c r="M366" s="2"/>
      <c r="N366" s="2"/>
      <c r="O366" s="4"/>
    </row>
    <row r="367" spans="1:15" ht="15" x14ac:dyDescent="0.25">
      <c r="A367" s="400" t="s">
        <v>264</v>
      </c>
      <c r="B367" s="400" t="s">
        <v>397</v>
      </c>
      <c r="C367" s="416">
        <v>1044</v>
      </c>
      <c r="D367" s="416">
        <v>1668</v>
      </c>
      <c r="E367" s="416">
        <v>2712</v>
      </c>
      <c r="F367" s="416">
        <v>65256291</v>
      </c>
      <c r="G367" s="416">
        <v>129028977</v>
      </c>
      <c r="H367" s="416">
        <v>194285268</v>
      </c>
      <c r="I367" s="400" t="s">
        <v>158</v>
      </c>
      <c r="J367" s="400" t="s">
        <v>798</v>
      </c>
      <c r="K367" s="401">
        <v>515676</v>
      </c>
      <c r="L367" s="400" t="s">
        <v>177</v>
      </c>
      <c r="M367" s="2"/>
      <c r="N367" s="2"/>
      <c r="O367" s="4"/>
    </row>
    <row r="368" spans="1:15" ht="15" x14ac:dyDescent="0.25">
      <c r="A368" s="400" t="s">
        <v>302</v>
      </c>
      <c r="B368" s="400" t="s">
        <v>527</v>
      </c>
      <c r="C368" s="416">
        <v>214</v>
      </c>
      <c r="D368" s="416">
        <v>382</v>
      </c>
      <c r="E368" s="416">
        <v>596</v>
      </c>
      <c r="F368" s="416">
        <v>6581984</v>
      </c>
      <c r="G368" s="416">
        <v>14886157</v>
      </c>
      <c r="H368" s="416">
        <v>21468141</v>
      </c>
      <c r="I368" s="400" t="s">
        <v>69</v>
      </c>
      <c r="J368" s="400" t="s">
        <v>798</v>
      </c>
      <c r="K368" s="401">
        <v>353821</v>
      </c>
      <c r="L368" s="400" t="s">
        <v>465</v>
      </c>
      <c r="M368" s="2"/>
      <c r="N368" s="2"/>
      <c r="O368" s="4"/>
    </row>
    <row r="369" spans="1:15" ht="15" x14ac:dyDescent="0.25">
      <c r="A369" s="400" t="s">
        <v>1123</v>
      </c>
      <c r="B369" s="400" t="s">
        <v>508</v>
      </c>
      <c r="C369" s="416">
        <v>542</v>
      </c>
      <c r="D369" s="416">
        <v>1018</v>
      </c>
      <c r="E369" s="416">
        <v>1560</v>
      </c>
      <c r="F369" s="416">
        <v>30960141</v>
      </c>
      <c r="G369" s="416">
        <v>70692303</v>
      </c>
      <c r="H369" s="416">
        <v>101652444</v>
      </c>
      <c r="I369" s="400" t="s">
        <v>69</v>
      </c>
      <c r="J369" s="400" t="s">
        <v>798</v>
      </c>
      <c r="K369" s="401">
        <v>780007</v>
      </c>
      <c r="L369" s="400" t="s">
        <v>465</v>
      </c>
      <c r="M369" s="2"/>
      <c r="N369" s="2"/>
      <c r="O369" s="4"/>
    </row>
    <row r="370" spans="1:15" ht="15" x14ac:dyDescent="0.25">
      <c r="A370" s="400" t="s">
        <v>1111</v>
      </c>
      <c r="B370" s="400" t="s">
        <v>1004</v>
      </c>
      <c r="C370" s="416">
        <v>1</v>
      </c>
      <c r="D370" s="416">
        <v>7</v>
      </c>
      <c r="E370" s="416">
        <v>8</v>
      </c>
      <c r="F370" s="416">
        <v>26333</v>
      </c>
      <c r="G370" s="416">
        <v>259413</v>
      </c>
      <c r="H370" s="416">
        <v>285746</v>
      </c>
      <c r="I370" s="400" t="s">
        <v>69</v>
      </c>
      <c r="J370" s="400" t="s">
        <v>798</v>
      </c>
      <c r="K370" s="401">
        <v>814418</v>
      </c>
      <c r="L370" s="400" t="s">
        <v>1139</v>
      </c>
      <c r="M370" s="2"/>
      <c r="N370" s="2"/>
      <c r="O370" s="4"/>
    </row>
    <row r="371" spans="1:15" ht="15" x14ac:dyDescent="0.25">
      <c r="A371" s="400" t="s">
        <v>1099</v>
      </c>
      <c r="B371" s="400" t="s">
        <v>977</v>
      </c>
      <c r="C371" s="416">
        <v>36</v>
      </c>
      <c r="D371" s="416">
        <v>60</v>
      </c>
      <c r="E371" s="416">
        <v>96</v>
      </c>
      <c r="F371" s="416">
        <v>1385900</v>
      </c>
      <c r="G371" s="416">
        <v>4143485</v>
      </c>
      <c r="H371" s="416">
        <v>5529384</v>
      </c>
      <c r="I371" s="400" t="s">
        <v>69</v>
      </c>
      <c r="J371" s="400" t="s">
        <v>799</v>
      </c>
      <c r="K371" s="401">
        <v>323832</v>
      </c>
      <c r="L371" s="400" t="s">
        <v>800</v>
      </c>
      <c r="M371" s="2"/>
      <c r="N371" s="2"/>
      <c r="O371" s="4"/>
    </row>
    <row r="372" spans="1:15" ht="15" customHeight="1" x14ac:dyDescent="0.25">
      <c r="A372" s="400" t="s">
        <v>1096</v>
      </c>
      <c r="B372" s="400" t="s">
        <v>183</v>
      </c>
      <c r="C372" s="416">
        <v>540</v>
      </c>
      <c r="D372" s="416">
        <v>645</v>
      </c>
      <c r="E372" s="416">
        <v>1185</v>
      </c>
      <c r="F372" s="416">
        <v>31025365</v>
      </c>
      <c r="G372" s="416">
        <v>54318676</v>
      </c>
      <c r="H372" s="416">
        <v>85344041</v>
      </c>
      <c r="I372" s="400" t="s">
        <v>158</v>
      </c>
      <c r="J372" s="400" t="s">
        <v>799</v>
      </c>
      <c r="K372" s="401">
        <v>442897</v>
      </c>
      <c r="L372" s="400" t="s">
        <v>182</v>
      </c>
      <c r="M372" s="2"/>
      <c r="N372" s="2"/>
      <c r="O372" s="4"/>
    </row>
    <row r="373" spans="1:15" ht="15" x14ac:dyDescent="0.25">
      <c r="A373" s="400" t="s">
        <v>1112</v>
      </c>
      <c r="B373" s="400" t="s">
        <v>899</v>
      </c>
      <c r="C373" s="416">
        <v>22977</v>
      </c>
      <c r="D373" s="416">
        <v>27266</v>
      </c>
      <c r="E373" s="416">
        <v>50243</v>
      </c>
      <c r="F373" s="416">
        <v>1145142730</v>
      </c>
      <c r="G373" s="416">
        <v>1666257323</v>
      </c>
      <c r="H373" s="416">
        <v>2811400053</v>
      </c>
      <c r="I373" s="400" t="s">
        <v>158</v>
      </c>
      <c r="J373" s="400" t="s">
        <v>798</v>
      </c>
      <c r="K373" s="401">
        <v>150649</v>
      </c>
      <c r="L373" s="400" t="s">
        <v>175</v>
      </c>
      <c r="M373" s="2"/>
      <c r="N373" s="2"/>
      <c r="O373" s="4"/>
    </row>
    <row r="374" spans="1:15" ht="15" x14ac:dyDescent="0.25">
      <c r="A374" s="400" t="s">
        <v>1091</v>
      </c>
      <c r="B374" s="400" t="s">
        <v>61</v>
      </c>
      <c r="C374" s="416">
        <v>87030</v>
      </c>
      <c r="D374" s="416">
        <v>74745</v>
      </c>
      <c r="E374" s="416">
        <v>161775</v>
      </c>
      <c r="F374" s="416">
        <v>7035224842</v>
      </c>
      <c r="G374" s="416">
        <v>7328354650</v>
      </c>
      <c r="H374" s="416">
        <v>14363579491</v>
      </c>
      <c r="I374" s="400" t="s">
        <v>158</v>
      </c>
      <c r="J374" s="400" t="s">
        <v>798</v>
      </c>
      <c r="K374" s="401">
        <v>785022</v>
      </c>
      <c r="L374" s="400" t="s">
        <v>175</v>
      </c>
      <c r="M374" s="2"/>
      <c r="N374" s="2"/>
      <c r="O374" s="4"/>
    </row>
    <row r="375" spans="1:15" ht="15" x14ac:dyDescent="0.25">
      <c r="A375" s="400" t="s">
        <v>185</v>
      </c>
      <c r="B375" s="400" t="s">
        <v>1147</v>
      </c>
      <c r="C375" s="416">
        <v>4509</v>
      </c>
      <c r="D375" s="416">
        <v>3805</v>
      </c>
      <c r="E375" s="416">
        <v>8314</v>
      </c>
      <c r="F375" s="416">
        <v>241936057</v>
      </c>
      <c r="G375" s="416">
        <v>237634473</v>
      </c>
      <c r="H375" s="416">
        <v>479570530</v>
      </c>
      <c r="I375" s="400" t="s">
        <v>158</v>
      </c>
      <c r="J375" s="400" t="s">
        <v>798</v>
      </c>
      <c r="K375" s="401">
        <v>964767</v>
      </c>
      <c r="L375" s="400" t="s">
        <v>170</v>
      </c>
      <c r="M375" s="2"/>
      <c r="N375" s="2"/>
      <c r="O375" s="4"/>
    </row>
    <row r="376" spans="1:15" ht="15" x14ac:dyDescent="0.25">
      <c r="A376" s="400" t="s">
        <v>1105</v>
      </c>
      <c r="B376" s="400" t="s">
        <v>164</v>
      </c>
      <c r="C376" s="416">
        <v>8640</v>
      </c>
      <c r="D376" s="416">
        <v>10200</v>
      </c>
      <c r="E376" s="416">
        <v>18840</v>
      </c>
      <c r="F376" s="416">
        <v>417272234</v>
      </c>
      <c r="G376" s="416">
        <v>636500872</v>
      </c>
      <c r="H376" s="416">
        <v>1053773106</v>
      </c>
      <c r="I376" s="400" t="s">
        <v>158</v>
      </c>
      <c r="J376" s="400" t="s">
        <v>799</v>
      </c>
      <c r="K376" s="401">
        <v>545541</v>
      </c>
      <c r="L376" s="400" t="s">
        <v>165</v>
      </c>
      <c r="M376" s="2"/>
      <c r="N376" s="2"/>
      <c r="O376" s="4"/>
    </row>
    <row r="377" spans="1:15" ht="15" x14ac:dyDescent="0.25">
      <c r="A377" s="400" t="s">
        <v>1108</v>
      </c>
      <c r="B377" s="400" t="s">
        <v>364</v>
      </c>
      <c r="C377" s="416">
        <v>2363</v>
      </c>
      <c r="D377" s="416">
        <v>2456</v>
      </c>
      <c r="E377" s="416">
        <v>4819</v>
      </c>
      <c r="F377" s="416">
        <v>75084195</v>
      </c>
      <c r="G377" s="416">
        <v>100386787</v>
      </c>
      <c r="H377" s="416">
        <v>175470982</v>
      </c>
      <c r="I377" s="400" t="s">
        <v>69</v>
      </c>
      <c r="J377" s="400" t="s">
        <v>799</v>
      </c>
      <c r="K377" s="401">
        <v>700310</v>
      </c>
      <c r="L377" s="400" t="s">
        <v>202</v>
      </c>
      <c r="M377" s="2"/>
      <c r="N377" s="2"/>
      <c r="O377" s="4"/>
    </row>
    <row r="378" spans="1:15" ht="15" customHeight="1" x14ac:dyDescent="0.25">
      <c r="A378" s="400" t="s">
        <v>1110</v>
      </c>
      <c r="B378" s="400" t="s">
        <v>564</v>
      </c>
      <c r="C378" s="416">
        <v>888</v>
      </c>
      <c r="D378" s="416">
        <v>1315</v>
      </c>
      <c r="E378" s="416">
        <v>2203</v>
      </c>
      <c r="F378" s="416">
        <v>22527685</v>
      </c>
      <c r="G378" s="416">
        <v>44430038</v>
      </c>
      <c r="H378" s="416">
        <v>66957723</v>
      </c>
      <c r="I378" s="400" t="s">
        <v>69</v>
      </c>
      <c r="J378" s="400" t="s">
        <v>798</v>
      </c>
      <c r="K378" s="401">
        <v>899120</v>
      </c>
      <c r="L378" s="400" t="s">
        <v>563</v>
      </c>
      <c r="M378" s="2"/>
      <c r="N378" s="2"/>
      <c r="O378" s="4"/>
    </row>
    <row r="379" spans="1:15" ht="15" x14ac:dyDescent="0.25">
      <c r="A379" s="400" t="s">
        <v>302</v>
      </c>
      <c r="B379" s="400" t="s">
        <v>678</v>
      </c>
      <c r="C379" s="416">
        <v>18</v>
      </c>
      <c r="D379" s="416">
        <v>28</v>
      </c>
      <c r="E379" s="416">
        <v>46</v>
      </c>
      <c r="F379" s="416">
        <v>1159289</v>
      </c>
      <c r="G379" s="416">
        <v>2071498</v>
      </c>
      <c r="H379" s="416">
        <v>3230786</v>
      </c>
      <c r="I379" s="400" t="s">
        <v>69</v>
      </c>
      <c r="J379" s="400" t="s">
        <v>798</v>
      </c>
      <c r="K379" s="401">
        <v>533919</v>
      </c>
      <c r="L379" s="400" t="s">
        <v>679</v>
      </c>
      <c r="M379" s="2"/>
      <c r="N379" s="2"/>
      <c r="O379" s="4"/>
    </row>
    <row r="380" spans="1:15" ht="15" x14ac:dyDescent="0.25">
      <c r="A380" s="400" t="s">
        <v>1089</v>
      </c>
      <c r="B380" s="400" t="s">
        <v>845</v>
      </c>
      <c r="C380" s="416">
        <v>1026</v>
      </c>
      <c r="D380" s="416">
        <v>943</v>
      </c>
      <c r="E380" s="416">
        <v>1969</v>
      </c>
      <c r="F380" s="416">
        <v>33010683</v>
      </c>
      <c r="G380" s="416">
        <v>36493672</v>
      </c>
      <c r="H380" s="416">
        <v>69504355</v>
      </c>
      <c r="I380" s="400" t="s">
        <v>69</v>
      </c>
      <c r="J380" s="400" t="s">
        <v>795</v>
      </c>
      <c r="K380" s="401">
        <v>996348</v>
      </c>
      <c r="L380" s="400" t="s">
        <v>579</v>
      </c>
      <c r="M380" s="2"/>
      <c r="N380" s="2"/>
      <c r="O380" s="4"/>
    </row>
    <row r="381" spans="1:15" ht="15" x14ac:dyDescent="0.25">
      <c r="A381" s="400" t="s">
        <v>219</v>
      </c>
      <c r="B381" s="400" t="s">
        <v>523</v>
      </c>
      <c r="C381" s="416">
        <v>181</v>
      </c>
      <c r="D381" s="416">
        <v>240</v>
      </c>
      <c r="E381" s="416">
        <v>421</v>
      </c>
      <c r="F381" s="416">
        <v>7260500</v>
      </c>
      <c r="G381" s="416">
        <v>11451617</v>
      </c>
      <c r="H381" s="416">
        <v>18712117</v>
      </c>
      <c r="I381" s="400" t="s">
        <v>69</v>
      </c>
      <c r="J381" s="400" t="s">
        <v>798</v>
      </c>
      <c r="K381" s="401">
        <v>155788</v>
      </c>
      <c r="L381" s="400" t="s">
        <v>465</v>
      </c>
      <c r="M381" s="2"/>
      <c r="N381" s="2"/>
      <c r="O381" s="4"/>
    </row>
    <row r="382" spans="1:15" ht="15" customHeight="1" x14ac:dyDescent="0.25">
      <c r="A382" s="400" t="s">
        <v>1114</v>
      </c>
      <c r="B382" s="400" t="s">
        <v>499</v>
      </c>
      <c r="C382" s="416">
        <v>269</v>
      </c>
      <c r="D382" s="416">
        <v>322</v>
      </c>
      <c r="E382" s="416">
        <v>591</v>
      </c>
      <c r="F382" s="416">
        <v>9116658</v>
      </c>
      <c r="G382" s="416">
        <v>13884315</v>
      </c>
      <c r="H382" s="416">
        <v>23000973</v>
      </c>
      <c r="I382" s="400" t="s">
        <v>69</v>
      </c>
      <c r="J382" s="400" t="s">
        <v>798</v>
      </c>
      <c r="K382" s="401">
        <v>136895</v>
      </c>
      <c r="L382" s="400" t="s">
        <v>465</v>
      </c>
      <c r="M382" s="2"/>
      <c r="N382" s="2"/>
      <c r="O382" s="4"/>
    </row>
    <row r="383" spans="1:15" ht="15" x14ac:dyDescent="0.25">
      <c r="A383" s="400" t="s">
        <v>259</v>
      </c>
      <c r="B383" s="400" t="s">
        <v>973</v>
      </c>
      <c r="C383" s="416">
        <v>489</v>
      </c>
      <c r="D383" s="416">
        <v>723</v>
      </c>
      <c r="E383" s="416">
        <v>1212</v>
      </c>
      <c r="F383" s="416">
        <v>25475245</v>
      </c>
      <c r="G383" s="416">
        <v>44094525</v>
      </c>
      <c r="H383" s="416">
        <v>69569770</v>
      </c>
      <c r="I383" s="400" t="s">
        <v>69</v>
      </c>
      <c r="J383" s="400" t="s">
        <v>798</v>
      </c>
      <c r="K383" s="401">
        <v>401695</v>
      </c>
      <c r="L383" s="400" t="s">
        <v>800</v>
      </c>
      <c r="M383" s="2"/>
      <c r="N383" s="2"/>
      <c r="O383" s="4"/>
    </row>
    <row r="384" spans="1:15" ht="15" x14ac:dyDescent="0.25">
      <c r="A384" s="400" t="s">
        <v>185</v>
      </c>
      <c r="B384" s="400" t="s">
        <v>303</v>
      </c>
      <c r="C384" s="416">
        <v>20080</v>
      </c>
      <c r="D384" s="416">
        <v>19888</v>
      </c>
      <c r="E384" s="416">
        <v>39968</v>
      </c>
      <c r="F384" s="416">
        <v>836742417</v>
      </c>
      <c r="G384" s="416">
        <v>1000747653</v>
      </c>
      <c r="H384" s="416">
        <v>1837490071</v>
      </c>
      <c r="I384" s="400" t="s">
        <v>69</v>
      </c>
      <c r="J384" s="400" t="s">
        <v>798</v>
      </c>
      <c r="K384" s="401">
        <v>282517</v>
      </c>
      <c r="L384" s="400" t="s">
        <v>195</v>
      </c>
      <c r="M384" s="2"/>
      <c r="N384" s="2"/>
      <c r="O384" s="4"/>
    </row>
    <row r="385" spans="1:15" ht="15" customHeight="1" x14ac:dyDescent="0.25">
      <c r="A385" s="400" t="s">
        <v>325</v>
      </c>
      <c r="B385" s="400" t="s">
        <v>1027</v>
      </c>
      <c r="C385" s="416">
        <v>2307</v>
      </c>
      <c r="D385" s="416">
        <v>2460</v>
      </c>
      <c r="E385" s="416">
        <v>4767</v>
      </c>
      <c r="F385" s="416">
        <v>99396139</v>
      </c>
      <c r="G385" s="416">
        <v>129198114</v>
      </c>
      <c r="H385" s="416">
        <v>228594253</v>
      </c>
      <c r="I385" s="400" t="s">
        <v>69</v>
      </c>
      <c r="J385" s="400" t="s">
        <v>798</v>
      </c>
      <c r="K385" s="401">
        <v>861757</v>
      </c>
      <c r="L385" s="400" t="s">
        <v>195</v>
      </c>
      <c r="M385" s="2"/>
      <c r="N385" s="2"/>
      <c r="O385" s="4"/>
    </row>
    <row r="386" spans="1:15" ht="15" x14ac:dyDescent="0.25">
      <c r="A386" s="400" t="s">
        <v>305</v>
      </c>
      <c r="B386" s="400" t="s">
        <v>603</v>
      </c>
      <c r="C386" s="416">
        <v>1753</v>
      </c>
      <c r="D386" s="416">
        <v>1739</v>
      </c>
      <c r="E386" s="416">
        <v>3492</v>
      </c>
      <c r="F386" s="416">
        <v>93309380</v>
      </c>
      <c r="G386" s="416">
        <v>104275867</v>
      </c>
      <c r="H386" s="416">
        <v>197585248</v>
      </c>
      <c r="I386" s="400" t="s">
        <v>69</v>
      </c>
      <c r="J386" s="400" t="s">
        <v>798</v>
      </c>
      <c r="K386" s="401">
        <v>634386</v>
      </c>
      <c r="L386" s="400" t="s">
        <v>600</v>
      </c>
      <c r="M386" s="2"/>
      <c r="N386" s="2"/>
      <c r="O386" s="4"/>
    </row>
    <row r="387" spans="1:15" ht="15" x14ac:dyDescent="0.25">
      <c r="A387" s="400" t="s">
        <v>185</v>
      </c>
      <c r="B387" s="400" t="s">
        <v>947</v>
      </c>
      <c r="C387" s="416">
        <v>4</v>
      </c>
      <c r="D387" s="416">
        <v>11</v>
      </c>
      <c r="E387" s="416">
        <v>15</v>
      </c>
      <c r="F387" s="416">
        <v>178655</v>
      </c>
      <c r="G387" s="416">
        <v>485205</v>
      </c>
      <c r="H387" s="416">
        <v>663860</v>
      </c>
      <c r="I387" s="400" t="s">
        <v>69</v>
      </c>
      <c r="J387" s="400" t="s">
        <v>798</v>
      </c>
      <c r="K387" s="401">
        <v>167643</v>
      </c>
      <c r="L387" s="400" t="s">
        <v>953</v>
      </c>
      <c r="M387" s="2"/>
      <c r="N387" s="2"/>
      <c r="O387" s="4"/>
    </row>
    <row r="388" spans="1:15" ht="15" x14ac:dyDescent="0.25">
      <c r="A388" s="400" t="s">
        <v>1114</v>
      </c>
      <c r="B388" s="400" t="s">
        <v>809</v>
      </c>
      <c r="C388" s="416">
        <v>13</v>
      </c>
      <c r="D388" s="416">
        <v>29</v>
      </c>
      <c r="E388" s="416">
        <v>42</v>
      </c>
      <c r="F388" s="416">
        <v>726262</v>
      </c>
      <c r="G388" s="416">
        <v>1549491</v>
      </c>
      <c r="H388" s="416">
        <v>2275753</v>
      </c>
      <c r="I388" s="400" t="s">
        <v>69</v>
      </c>
      <c r="J388" s="400" t="s">
        <v>798</v>
      </c>
      <c r="K388" s="401">
        <v>780411</v>
      </c>
      <c r="L388" s="400" t="s">
        <v>805</v>
      </c>
      <c r="M388" s="2"/>
      <c r="N388" s="2"/>
      <c r="O388" s="4"/>
    </row>
    <row r="389" spans="1:15" ht="15" x14ac:dyDescent="0.25">
      <c r="A389" s="400" t="s">
        <v>1105</v>
      </c>
      <c r="B389" s="400" t="s">
        <v>239</v>
      </c>
      <c r="C389" s="416">
        <v>1332</v>
      </c>
      <c r="D389" s="416">
        <v>1437</v>
      </c>
      <c r="E389" s="416">
        <v>2769</v>
      </c>
      <c r="F389" s="416">
        <v>61701024</v>
      </c>
      <c r="G389" s="416">
        <v>78318146</v>
      </c>
      <c r="H389" s="416">
        <v>140019169</v>
      </c>
      <c r="I389" s="400" t="s">
        <v>69</v>
      </c>
      <c r="J389" s="400" t="s">
        <v>799</v>
      </c>
      <c r="K389" s="401">
        <v>496497</v>
      </c>
      <c r="L389" s="400" t="s">
        <v>213</v>
      </c>
      <c r="M389" s="2"/>
      <c r="N389" s="2"/>
      <c r="O389" s="4"/>
    </row>
    <row r="390" spans="1:15" ht="15" x14ac:dyDescent="0.25">
      <c r="A390" s="400" t="s">
        <v>302</v>
      </c>
      <c r="B390" s="400" t="s">
        <v>316</v>
      </c>
      <c r="C390" s="416">
        <v>631</v>
      </c>
      <c r="D390" s="416">
        <v>1134</v>
      </c>
      <c r="E390" s="416">
        <v>1765</v>
      </c>
      <c r="F390" s="416">
        <v>26315322</v>
      </c>
      <c r="G390" s="416">
        <v>47841152</v>
      </c>
      <c r="H390" s="416">
        <v>74156475</v>
      </c>
      <c r="I390" s="400" t="s">
        <v>158</v>
      </c>
      <c r="J390" s="400" t="s">
        <v>798</v>
      </c>
      <c r="K390" s="401">
        <v>459891</v>
      </c>
      <c r="L390" s="400" t="s">
        <v>182</v>
      </c>
      <c r="M390" s="2"/>
      <c r="N390" s="2"/>
      <c r="O390" s="4"/>
    </row>
    <row r="391" spans="1:15" ht="15" x14ac:dyDescent="0.25">
      <c r="A391" s="400" t="s">
        <v>185</v>
      </c>
      <c r="B391" s="400" t="s">
        <v>273</v>
      </c>
      <c r="C391" s="416">
        <v>156</v>
      </c>
      <c r="D391" s="416">
        <v>222</v>
      </c>
      <c r="E391" s="416">
        <v>378</v>
      </c>
      <c r="F391" s="416">
        <v>9367060</v>
      </c>
      <c r="G391" s="416">
        <v>16265451</v>
      </c>
      <c r="H391" s="416">
        <v>25632511</v>
      </c>
      <c r="I391" s="400" t="s">
        <v>158</v>
      </c>
      <c r="J391" s="400" t="s">
        <v>798</v>
      </c>
      <c r="K391" s="401">
        <v>545426</v>
      </c>
      <c r="L391" s="400" t="s">
        <v>230</v>
      </c>
      <c r="M391" s="2"/>
      <c r="N391" s="2"/>
      <c r="O391" s="4"/>
    </row>
    <row r="392" spans="1:15" ht="15" x14ac:dyDescent="0.25">
      <c r="A392" s="400" t="s">
        <v>264</v>
      </c>
      <c r="B392" s="400" t="s">
        <v>446</v>
      </c>
      <c r="C392" s="416">
        <v>1314</v>
      </c>
      <c r="D392" s="416">
        <v>1756</v>
      </c>
      <c r="E392" s="416">
        <v>3070</v>
      </c>
      <c r="F392" s="416">
        <v>93532894</v>
      </c>
      <c r="G392" s="416">
        <v>147164254</v>
      </c>
      <c r="H392" s="416">
        <v>240697148</v>
      </c>
      <c r="I392" s="400" t="s">
        <v>158</v>
      </c>
      <c r="J392" s="400" t="s">
        <v>798</v>
      </c>
      <c r="K392" s="401">
        <v>103606</v>
      </c>
      <c r="L392" s="400" t="s">
        <v>230</v>
      </c>
      <c r="M392" s="2"/>
      <c r="N392" s="2"/>
      <c r="O392" s="4"/>
    </row>
    <row r="393" spans="1:15" ht="15" x14ac:dyDescent="0.25">
      <c r="A393" s="400" t="s">
        <v>185</v>
      </c>
      <c r="B393" s="400" t="s">
        <v>436</v>
      </c>
      <c r="C393" s="416">
        <v>902</v>
      </c>
      <c r="D393" s="416">
        <v>1165</v>
      </c>
      <c r="E393" s="416">
        <v>2067</v>
      </c>
      <c r="F393" s="416">
        <v>34164723</v>
      </c>
      <c r="G393" s="416">
        <v>55942632</v>
      </c>
      <c r="H393" s="416">
        <v>90107355</v>
      </c>
      <c r="I393" s="400" t="s">
        <v>69</v>
      </c>
      <c r="J393" s="400" t="s">
        <v>798</v>
      </c>
      <c r="K393" s="401">
        <v>503573</v>
      </c>
      <c r="L393" s="400" t="s">
        <v>228</v>
      </c>
      <c r="M393" s="2"/>
      <c r="N393" s="2"/>
      <c r="O393" s="4"/>
    </row>
    <row r="394" spans="1:15" ht="15" x14ac:dyDescent="0.25">
      <c r="A394" s="400" t="s">
        <v>1089</v>
      </c>
      <c r="B394" s="400" t="s">
        <v>787</v>
      </c>
      <c r="C394" s="416">
        <v>579</v>
      </c>
      <c r="D394" s="416">
        <v>535</v>
      </c>
      <c r="E394" s="416">
        <v>1114</v>
      </c>
      <c r="F394" s="416">
        <v>62315948</v>
      </c>
      <c r="G394" s="416">
        <v>64053677</v>
      </c>
      <c r="H394" s="416">
        <v>126369625</v>
      </c>
      <c r="I394" s="400" t="s">
        <v>158</v>
      </c>
      <c r="J394" s="400" t="s">
        <v>795</v>
      </c>
      <c r="K394" s="401">
        <v>590463</v>
      </c>
      <c r="L394" s="400" t="s">
        <v>159</v>
      </c>
      <c r="M394" s="2"/>
      <c r="N394" s="2"/>
      <c r="O394" s="4"/>
    </row>
    <row r="395" spans="1:15" ht="15" x14ac:dyDescent="0.25">
      <c r="A395" s="400" t="s">
        <v>328</v>
      </c>
      <c r="B395" s="400" t="s">
        <v>944</v>
      </c>
      <c r="C395" s="416">
        <v>81</v>
      </c>
      <c r="D395" s="416">
        <v>160</v>
      </c>
      <c r="E395" s="416">
        <v>241</v>
      </c>
      <c r="F395" s="416">
        <v>4196090</v>
      </c>
      <c r="G395" s="416">
        <v>12305547</v>
      </c>
      <c r="H395" s="416">
        <v>16501638</v>
      </c>
      <c r="I395" s="400" t="s">
        <v>69</v>
      </c>
      <c r="J395" s="400" t="s">
        <v>798</v>
      </c>
      <c r="K395" s="401">
        <v>772038</v>
      </c>
      <c r="L395" s="400" t="s">
        <v>915</v>
      </c>
      <c r="M395" s="2"/>
      <c r="N395" s="2"/>
      <c r="O395" s="4"/>
    </row>
    <row r="396" spans="1:15" ht="15" x14ac:dyDescent="0.25">
      <c r="A396" s="400" t="s">
        <v>223</v>
      </c>
      <c r="B396" s="400" t="s">
        <v>474</v>
      </c>
      <c r="C396" s="416">
        <v>4824</v>
      </c>
      <c r="D396" s="416">
        <v>5300</v>
      </c>
      <c r="E396" s="416">
        <v>10124</v>
      </c>
      <c r="F396" s="416">
        <v>296141743</v>
      </c>
      <c r="G396" s="416">
        <v>400687383</v>
      </c>
      <c r="H396" s="416">
        <v>696829126</v>
      </c>
      <c r="I396" s="400" t="s">
        <v>158</v>
      </c>
      <c r="J396" s="400" t="s">
        <v>798</v>
      </c>
      <c r="K396" s="401">
        <v>806869</v>
      </c>
      <c r="L396" s="400" t="s">
        <v>200</v>
      </c>
      <c r="M396" s="2"/>
      <c r="N396" s="2"/>
      <c r="O396" s="4"/>
    </row>
    <row r="397" spans="1:15" ht="15" x14ac:dyDescent="0.25">
      <c r="A397" s="400" t="s">
        <v>223</v>
      </c>
      <c r="B397" s="400" t="s">
        <v>898</v>
      </c>
      <c r="C397" s="416">
        <v>5</v>
      </c>
      <c r="D397" s="416">
        <v>11</v>
      </c>
      <c r="E397" s="416">
        <v>16</v>
      </c>
      <c r="F397" s="416">
        <v>331216</v>
      </c>
      <c r="G397" s="416">
        <v>930391</v>
      </c>
      <c r="H397" s="416">
        <v>1261607</v>
      </c>
      <c r="I397" s="400" t="s">
        <v>69</v>
      </c>
      <c r="J397" s="400" t="s">
        <v>798</v>
      </c>
      <c r="K397" s="401">
        <v>850248</v>
      </c>
      <c r="L397" s="400" t="s">
        <v>1139</v>
      </c>
      <c r="M397" s="2"/>
      <c r="N397" s="2"/>
      <c r="O397" s="4"/>
    </row>
    <row r="398" spans="1:15" ht="15" x14ac:dyDescent="0.25">
      <c r="A398" s="400" t="s">
        <v>350</v>
      </c>
      <c r="B398" s="400" t="s">
        <v>700</v>
      </c>
      <c r="C398" s="416">
        <v>139</v>
      </c>
      <c r="D398" s="416">
        <v>219</v>
      </c>
      <c r="E398" s="416">
        <v>358</v>
      </c>
      <c r="F398" s="416">
        <v>5208782</v>
      </c>
      <c r="G398" s="416">
        <v>10578261</v>
      </c>
      <c r="H398" s="416">
        <v>15787044</v>
      </c>
      <c r="I398" s="400" t="s">
        <v>69</v>
      </c>
      <c r="J398" s="400" t="s">
        <v>798</v>
      </c>
      <c r="K398" s="401">
        <v>246868</v>
      </c>
      <c r="L398" s="400" t="s">
        <v>383</v>
      </c>
      <c r="M398" s="2"/>
      <c r="N398" s="2"/>
      <c r="O398" s="4"/>
    </row>
    <row r="399" spans="1:15" ht="15" x14ac:dyDescent="0.25">
      <c r="A399" s="400" t="s">
        <v>296</v>
      </c>
      <c r="B399" s="400" t="s">
        <v>594</v>
      </c>
      <c r="C399" s="416">
        <v>101</v>
      </c>
      <c r="D399" s="416">
        <v>241</v>
      </c>
      <c r="E399" s="416">
        <v>342</v>
      </c>
      <c r="F399" s="416">
        <v>3855780</v>
      </c>
      <c r="G399" s="416">
        <v>11361711</v>
      </c>
      <c r="H399" s="416">
        <v>15217491</v>
      </c>
      <c r="I399" s="400" t="s">
        <v>69</v>
      </c>
      <c r="J399" s="400" t="s">
        <v>798</v>
      </c>
      <c r="K399" s="401">
        <v>942094</v>
      </c>
      <c r="L399" s="400" t="s">
        <v>595</v>
      </c>
      <c r="M399" s="2"/>
      <c r="N399" s="2"/>
      <c r="O399" s="4"/>
    </row>
    <row r="400" spans="1:15" ht="15" x14ac:dyDescent="0.25">
      <c r="A400" s="400" t="s">
        <v>1088</v>
      </c>
      <c r="B400" s="400" t="s">
        <v>1148</v>
      </c>
      <c r="C400" s="416">
        <v>29</v>
      </c>
      <c r="D400" s="416">
        <v>24</v>
      </c>
      <c r="E400" s="416">
        <v>53</v>
      </c>
      <c r="F400" s="416">
        <v>1671133</v>
      </c>
      <c r="G400" s="416">
        <v>1272422</v>
      </c>
      <c r="H400" s="416">
        <v>2943555</v>
      </c>
      <c r="I400" s="400" t="s">
        <v>69</v>
      </c>
      <c r="J400" s="400" t="s">
        <v>795</v>
      </c>
      <c r="K400" s="401">
        <v>235234</v>
      </c>
      <c r="L400" s="400" t="s">
        <v>387</v>
      </c>
      <c r="M400" s="2"/>
      <c r="N400" s="2"/>
      <c r="O400" s="4"/>
    </row>
    <row r="401" spans="1:15" ht="15" x14ac:dyDescent="0.25">
      <c r="A401" s="400" t="s">
        <v>223</v>
      </c>
      <c r="B401" s="400" t="s">
        <v>525</v>
      </c>
      <c r="C401" s="416">
        <v>2651</v>
      </c>
      <c r="D401" s="416">
        <v>4461</v>
      </c>
      <c r="E401" s="416">
        <v>7112</v>
      </c>
      <c r="F401" s="416">
        <v>227857671</v>
      </c>
      <c r="G401" s="416">
        <v>403516352</v>
      </c>
      <c r="H401" s="416">
        <v>631374023</v>
      </c>
      <c r="I401" s="400" t="s">
        <v>158</v>
      </c>
      <c r="J401" s="400" t="s">
        <v>798</v>
      </c>
      <c r="K401" s="401">
        <v>152181</v>
      </c>
      <c r="L401" s="400" t="s">
        <v>168</v>
      </c>
      <c r="M401" s="2"/>
      <c r="N401" s="2"/>
      <c r="O401" s="4"/>
    </row>
    <row r="402" spans="1:15" ht="15" x14ac:dyDescent="0.25">
      <c r="A402" s="400" t="s">
        <v>1089</v>
      </c>
      <c r="B402" s="400" t="s">
        <v>641</v>
      </c>
      <c r="C402" s="416">
        <v>32</v>
      </c>
      <c r="D402" s="416">
        <v>43</v>
      </c>
      <c r="E402" s="416">
        <v>75</v>
      </c>
      <c r="F402" s="416">
        <v>1748100</v>
      </c>
      <c r="G402" s="416">
        <v>3122104</v>
      </c>
      <c r="H402" s="416">
        <v>4870204</v>
      </c>
      <c r="I402" s="400" t="s">
        <v>158</v>
      </c>
      <c r="J402" s="400" t="s">
        <v>795</v>
      </c>
      <c r="K402" s="401">
        <v>305532</v>
      </c>
      <c r="L402" s="400" t="s">
        <v>422</v>
      </c>
      <c r="M402" s="2"/>
      <c r="N402" s="2"/>
      <c r="O402" s="4"/>
    </row>
    <row r="403" spans="1:15" ht="15" x14ac:dyDescent="0.25">
      <c r="A403" s="400" t="s">
        <v>1112</v>
      </c>
      <c r="B403" s="400" t="s">
        <v>549</v>
      </c>
      <c r="C403" s="416">
        <v>439</v>
      </c>
      <c r="D403" s="416">
        <v>478</v>
      </c>
      <c r="E403" s="416">
        <v>917</v>
      </c>
      <c r="F403" s="416">
        <v>14568031</v>
      </c>
      <c r="G403" s="416">
        <v>22799094</v>
      </c>
      <c r="H403" s="416">
        <v>37367125</v>
      </c>
      <c r="I403" s="400" t="s">
        <v>69</v>
      </c>
      <c r="J403" s="400" t="s">
        <v>798</v>
      </c>
      <c r="K403" s="401">
        <v>889261</v>
      </c>
      <c r="L403" s="400" t="s">
        <v>777</v>
      </c>
      <c r="M403" s="2"/>
      <c r="N403" s="2"/>
      <c r="O403" s="4"/>
    </row>
    <row r="404" spans="1:15" ht="15" x14ac:dyDescent="0.25">
      <c r="A404" s="400" t="s">
        <v>1108</v>
      </c>
      <c r="B404" s="400" t="s">
        <v>329</v>
      </c>
      <c r="C404" s="416">
        <v>79</v>
      </c>
      <c r="D404" s="416">
        <v>95</v>
      </c>
      <c r="E404" s="416">
        <v>174</v>
      </c>
      <c r="F404" s="416">
        <v>3591500</v>
      </c>
      <c r="G404" s="416">
        <v>6006599</v>
      </c>
      <c r="H404" s="416">
        <v>9598099</v>
      </c>
      <c r="I404" s="400" t="s">
        <v>69</v>
      </c>
      <c r="J404" s="400" t="s">
        <v>799</v>
      </c>
      <c r="K404" s="401">
        <v>203000</v>
      </c>
      <c r="L404" s="400" t="s">
        <v>330</v>
      </c>
      <c r="M404" s="2"/>
      <c r="N404" s="2"/>
      <c r="O404" s="4"/>
    </row>
    <row r="405" spans="1:15" ht="15" x14ac:dyDescent="0.25">
      <c r="A405" s="400" t="s">
        <v>1096</v>
      </c>
      <c r="B405" s="400" t="s">
        <v>171</v>
      </c>
      <c r="C405" s="416">
        <v>11467</v>
      </c>
      <c r="D405" s="416">
        <v>11820</v>
      </c>
      <c r="E405" s="416">
        <v>23287</v>
      </c>
      <c r="F405" s="416">
        <v>671713321</v>
      </c>
      <c r="G405" s="416">
        <v>941526583</v>
      </c>
      <c r="H405" s="416">
        <v>1613239904</v>
      </c>
      <c r="I405" s="400" t="s">
        <v>158</v>
      </c>
      <c r="J405" s="400" t="s">
        <v>799</v>
      </c>
      <c r="K405" s="401">
        <v>305185</v>
      </c>
      <c r="L405" s="400" t="s">
        <v>172</v>
      </c>
      <c r="M405" s="2"/>
      <c r="N405" s="2"/>
      <c r="O405" s="4"/>
    </row>
    <row r="406" spans="1:15" ht="15" x14ac:dyDescent="0.25">
      <c r="A406" s="319" t="s">
        <v>1088</v>
      </c>
      <c r="B406" s="319" t="s">
        <v>461</v>
      </c>
      <c r="C406" s="416">
        <v>1765</v>
      </c>
      <c r="D406" s="416">
        <v>1615</v>
      </c>
      <c r="E406" s="416">
        <v>3380</v>
      </c>
      <c r="F406" s="416">
        <v>65081182</v>
      </c>
      <c r="G406" s="416">
        <v>71435358</v>
      </c>
      <c r="H406" s="416">
        <v>136516540</v>
      </c>
      <c r="I406" s="319" t="s">
        <v>69</v>
      </c>
      <c r="J406" s="319" t="s">
        <v>795</v>
      </c>
      <c r="K406" s="309">
        <v>408484</v>
      </c>
      <c r="L406" s="319" t="s">
        <v>338</v>
      </c>
      <c r="M406" s="4"/>
      <c r="N406" s="2"/>
      <c r="O406" s="4"/>
    </row>
    <row r="407" spans="1:15" ht="15" customHeight="1" x14ac:dyDescent="0.25">
      <c r="A407" s="400" t="s">
        <v>1110</v>
      </c>
      <c r="B407" s="400" t="s">
        <v>832</v>
      </c>
      <c r="C407" s="416">
        <v>10843</v>
      </c>
      <c r="D407" s="416">
        <v>15262</v>
      </c>
      <c r="E407" s="416">
        <v>26105</v>
      </c>
      <c r="F407" s="416">
        <v>378700666</v>
      </c>
      <c r="G407" s="416">
        <v>771254822</v>
      </c>
      <c r="H407" s="416">
        <v>1149955488</v>
      </c>
      <c r="I407" s="400" t="s">
        <v>69</v>
      </c>
      <c r="J407" s="400" t="s">
        <v>798</v>
      </c>
      <c r="K407" s="401">
        <v>338590</v>
      </c>
      <c r="L407" s="400" t="s">
        <v>556</v>
      </c>
      <c r="M407" s="2"/>
      <c r="N407" s="2"/>
      <c r="O407" s="4"/>
    </row>
    <row r="408" spans="1:15" ht="15" customHeight="1" x14ac:dyDescent="0.25">
      <c r="A408" s="400" t="s">
        <v>264</v>
      </c>
      <c r="B408" s="400" t="s">
        <v>1092</v>
      </c>
      <c r="C408" s="416">
        <v>2000</v>
      </c>
      <c r="D408" s="416">
        <v>3466</v>
      </c>
      <c r="E408" s="416">
        <v>5466</v>
      </c>
      <c r="F408" s="416">
        <v>117529248</v>
      </c>
      <c r="G408" s="416">
        <v>256035681</v>
      </c>
      <c r="H408" s="416">
        <v>373564929</v>
      </c>
      <c r="I408" s="400" t="s">
        <v>69</v>
      </c>
      <c r="J408" s="400" t="s">
        <v>798</v>
      </c>
      <c r="K408" s="401">
        <v>721035</v>
      </c>
      <c r="L408" s="400" t="s">
        <v>1129</v>
      </c>
      <c r="M408" s="2"/>
      <c r="N408" s="2"/>
      <c r="O408" s="4"/>
    </row>
    <row r="409" spans="1:15" ht="15" x14ac:dyDescent="0.25">
      <c r="A409" s="400" t="s">
        <v>1108</v>
      </c>
      <c r="B409" s="400" t="s">
        <v>1115</v>
      </c>
      <c r="C409" s="416">
        <v>4</v>
      </c>
      <c r="D409" s="416">
        <v>4</v>
      </c>
      <c r="E409" s="416">
        <v>8</v>
      </c>
      <c r="F409" s="416">
        <v>106053</v>
      </c>
      <c r="G409" s="416">
        <v>364887</v>
      </c>
      <c r="H409" s="416">
        <v>470941</v>
      </c>
      <c r="I409" s="400" t="s">
        <v>69</v>
      </c>
      <c r="J409" s="400" t="s">
        <v>799</v>
      </c>
      <c r="K409" s="401">
        <v>191908</v>
      </c>
      <c r="L409" s="400" t="s">
        <v>558</v>
      </c>
      <c r="M409" s="2"/>
      <c r="N409" s="2"/>
      <c r="O409" s="4"/>
    </row>
    <row r="410" spans="1:15" ht="15" x14ac:dyDescent="0.25">
      <c r="A410" s="400" t="s">
        <v>305</v>
      </c>
      <c r="B410" s="400" t="s">
        <v>567</v>
      </c>
      <c r="C410" s="416">
        <v>249</v>
      </c>
      <c r="D410" s="416">
        <v>292</v>
      </c>
      <c r="E410" s="416">
        <v>541</v>
      </c>
      <c r="F410" s="416">
        <v>12875115</v>
      </c>
      <c r="G410" s="416">
        <v>16084185</v>
      </c>
      <c r="H410" s="416">
        <v>28959299</v>
      </c>
      <c r="I410" s="400" t="s">
        <v>69</v>
      </c>
      <c r="J410" s="400" t="s">
        <v>798</v>
      </c>
      <c r="K410" s="401">
        <v>324665</v>
      </c>
      <c r="L410" s="400" t="s">
        <v>558</v>
      </c>
      <c r="M410" s="2"/>
      <c r="N410" s="2"/>
      <c r="O410" s="4"/>
    </row>
    <row r="411" spans="1:15" ht="15" x14ac:dyDescent="0.25">
      <c r="A411" s="400" t="s">
        <v>185</v>
      </c>
      <c r="B411" s="400" t="s">
        <v>623</v>
      </c>
      <c r="C411" s="416">
        <v>1717</v>
      </c>
      <c r="D411" s="416">
        <v>2684</v>
      </c>
      <c r="E411" s="416">
        <v>4401</v>
      </c>
      <c r="F411" s="416">
        <v>67152813</v>
      </c>
      <c r="G411" s="416">
        <v>126887969</v>
      </c>
      <c r="H411" s="416">
        <v>194040783</v>
      </c>
      <c r="I411" s="400" t="s">
        <v>69</v>
      </c>
      <c r="J411" s="400" t="s">
        <v>798</v>
      </c>
      <c r="K411" s="401">
        <v>717496</v>
      </c>
      <c r="L411" s="400" t="s">
        <v>545</v>
      </c>
      <c r="M411" s="2"/>
      <c r="N411" s="2"/>
      <c r="O411" s="4"/>
    </row>
    <row r="412" spans="1:15" ht="15" x14ac:dyDescent="0.25">
      <c r="A412" s="400" t="s">
        <v>1111</v>
      </c>
      <c r="B412" s="400" t="s">
        <v>722</v>
      </c>
      <c r="C412" s="416">
        <v>323</v>
      </c>
      <c r="D412" s="416">
        <v>408</v>
      </c>
      <c r="E412" s="416">
        <v>731</v>
      </c>
      <c r="F412" s="416">
        <v>16931257</v>
      </c>
      <c r="G412" s="416">
        <v>25279740</v>
      </c>
      <c r="H412" s="416">
        <v>42210997</v>
      </c>
      <c r="I412" s="400" t="s">
        <v>69</v>
      </c>
      <c r="J412" s="400" t="s">
        <v>798</v>
      </c>
      <c r="K412" s="401">
        <v>440065</v>
      </c>
      <c r="L412" s="400" t="s">
        <v>1013</v>
      </c>
      <c r="M412" s="2"/>
      <c r="N412" s="2"/>
      <c r="O412" s="4"/>
    </row>
    <row r="413" spans="1:15" ht="15" x14ac:dyDescent="0.25">
      <c r="A413" s="400" t="s">
        <v>1109</v>
      </c>
      <c r="B413" s="400" t="s">
        <v>193</v>
      </c>
      <c r="C413" s="416">
        <v>259</v>
      </c>
      <c r="D413" s="416">
        <v>312</v>
      </c>
      <c r="E413" s="416">
        <v>571</v>
      </c>
      <c r="F413" s="416">
        <v>15351013</v>
      </c>
      <c r="G413" s="416">
        <v>25096966</v>
      </c>
      <c r="H413" s="416">
        <v>40447979</v>
      </c>
      <c r="I413" s="400" t="s">
        <v>158</v>
      </c>
      <c r="J413" s="400" t="s">
        <v>799</v>
      </c>
      <c r="K413" s="401">
        <v>331686</v>
      </c>
      <c r="L413" s="400" t="s">
        <v>182</v>
      </c>
      <c r="M413" s="2"/>
      <c r="N413" s="2"/>
      <c r="O413" s="4"/>
    </row>
    <row r="414" spans="1:15" ht="15" x14ac:dyDescent="0.25">
      <c r="A414" s="400" t="s">
        <v>1109</v>
      </c>
      <c r="B414" s="400" t="s">
        <v>365</v>
      </c>
      <c r="C414" s="416">
        <v>154</v>
      </c>
      <c r="D414" s="416">
        <v>174</v>
      </c>
      <c r="E414" s="416">
        <v>328</v>
      </c>
      <c r="F414" s="416">
        <v>9045960</v>
      </c>
      <c r="G414" s="416">
        <v>12496314</v>
      </c>
      <c r="H414" s="416">
        <v>21542274</v>
      </c>
      <c r="I414" s="400" t="s">
        <v>158</v>
      </c>
      <c r="J414" s="400" t="s">
        <v>799</v>
      </c>
      <c r="K414" s="401">
        <v>832717</v>
      </c>
      <c r="L414" s="400" t="s">
        <v>188</v>
      </c>
      <c r="M414" s="2"/>
      <c r="N414" s="2"/>
      <c r="O414" s="4"/>
    </row>
    <row r="415" spans="1:15" ht="15" x14ac:dyDescent="0.25">
      <c r="A415" s="400" t="s">
        <v>185</v>
      </c>
      <c r="B415" s="400" t="s">
        <v>449</v>
      </c>
      <c r="C415" s="416">
        <v>17597</v>
      </c>
      <c r="D415" s="416">
        <v>14276</v>
      </c>
      <c r="E415" s="416">
        <v>31873</v>
      </c>
      <c r="F415" s="416">
        <v>784365385</v>
      </c>
      <c r="G415" s="416">
        <v>726658304</v>
      </c>
      <c r="H415" s="416">
        <v>1511023688</v>
      </c>
      <c r="I415" s="400" t="s">
        <v>158</v>
      </c>
      <c r="J415" s="400" t="s">
        <v>798</v>
      </c>
      <c r="K415" s="401">
        <v>475301</v>
      </c>
      <c r="L415" s="400" t="s">
        <v>230</v>
      </c>
      <c r="M415" s="2"/>
      <c r="N415" s="2"/>
      <c r="O415" s="4"/>
    </row>
    <row r="416" spans="1:15" ht="15" x14ac:dyDescent="0.25">
      <c r="A416" s="400" t="s">
        <v>185</v>
      </c>
      <c r="B416" s="400" t="s">
        <v>909</v>
      </c>
      <c r="C416" s="416">
        <v>772</v>
      </c>
      <c r="D416" s="416">
        <v>410</v>
      </c>
      <c r="E416" s="416">
        <v>1182</v>
      </c>
      <c r="F416" s="416">
        <v>164962654</v>
      </c>
      <c r="G416" s="416">
        <v>94435493</v>
      </c>
      <c r="H416" s="416">
        <v>259398147</v>
      </c>
      <c r="I416" s="400" t="s">
        <v>158</v>
      </c>
      <c r="J416" s="400" t="s">
        <v>798</v>
      </c>
      <c r="K416" s="401">
        <v>356592</v>
      </c>
      <c r="L416" s="400" t="s">
        <v>253</v>
      </c>
      <c r="M416" s="2"/>
      <c r="N416" s="2"/>
      <c r="O416" s="4"/>
    </row>
    <row r="417" spans="1:15" ht="15" x14ac:dyDescent="0.25">
      <c r="A417" s="400" t="s">
        <v>1089</v>
      </c>
      <c r="B417" s="400" t="s">
        <v>913</v>
      </c>
      <c r="C417" s="416">
        <v>2354</v>
      </c>
      <c r="D417" s="416">
        <v>1935</v>
      </c>
      <c r="E417" s="416">
        <v>4289</v>
      </c>
      <c r="F417" s="416">
        <v>348161821</v>
      </c>
      <c r="G417" s="416">
        <v>341385754</v>
      </c>
      <c r="H417" s="416">
        <v>689547575</v>
      </c>
      <c r="I417" s="400" t="s">
        <v>158</v>
      </c>
      <c r="J417" s="400" t="s">
        <v>795</v>
      </c>
      <c r="K417" s="401">
        <v>499913</v>
      </c>
      <c r="L417" s="400" t="s">
        <v>253</v>
      </c>
      <c r="M417" s="2"/>
      <c r="N417" s="2"/>
      <c r="O417" s="4"/>
    </row>
    <row r="418" spans="1:15" ht="15" x14ac:dyDescent="0.25">
      <c r="A418" s="400" t="s">
        <v>302</v>
      </c>
      <c r="B418" s="400" t="s">
        <v>1149</v>
      </c>
      <c r="C418" s="416">
        <v>85</v>
      </c>
      <c r="D418" s="416">
        <v>163</v>
      </c>
      <c r="E418" s="416">
        <v>248</v>
      </c>
      <c r="F418" s="416">
        <v>3863485</v>
      </c>
      <c r="G418" s="416">
        <v>9204618</v>
      </c>
      <c r="H418" s="416">
        <v>13068102</v>
      </c>
      <c r="I418" s="400" t="s">
        <v>69</v>
      </c>
      <c r="J418" s="400" t="s">
        <v>798</v>
      </c>
      <c r="K418" s="401">
        <v>401513</v>
      </c>
      <c r="L418" s="400" t="s">
        <v>387</v>
      </c>
      <c r="M418" s="2"/>
      <c r="N418" s="2"/>
      <c r="O418" s="4"/>
    </row>
    <row r="419" spans="1:15" ht="15" x14ac:dyDescent="0.25">
      <c r="A419" s="400" t="s">
        <v>1106</v>
      </c>
      <c r="B419" s="400" t="s">
        <v>503</v>
      </c>
      <c r="C419" s="416">
        <v>719</v>
      </c>
      <c r="D419" s="416">
        <v>703</v>
      </c>
      <c r="E419" s="416">
        <v>1422</v>
      </c>
      <c r="F419" s="416">
        <v>21641309</v>
      </c>
      <c r="G419" s="416">
        <v>25446341</v>
      </c>
      <c r="H419" s="416">
        <v>47087650</v>
      </c>
      <c r="I419" s="400" t="s">
        <v>69</v>
      </c>
      <c r="J419" s="400" t="s">
        <v>795</v>
      </c>
      <c r="K419" s="401">
        <v>722454</v>
      </c>
      <c r="L419" s="400" t="s">
        <v>777</v>
      </c>
      <c r="M419" s="2"/>
      <c r="N419" s="2"/>
      <c r="O419" s="4"/>
    </row>
    <row r="420" spans="1:15" ht="15" x14ac:dyDescent="0.25">
      <c r="A420" s="400" t="s">
        <v>865</v>
      </c>
      <c r="B420" s="400" t="s">
        <v>797</v>
      </c>
      <c r="C420" s="416">
        <v>6335</v>
      </c>
      <c r="D420" s="416">
        <v>11470</v>
      </c>
      <c r="E420" s="416">
        <v>17805</v>
      </c>
      <c r="F420" s="416">
        <v>1181681991</v>
      </c>
      <c r="G420" s="416">
        <v>2336240126</v>
      </c>
      <c r="H420" s="416">
        <v>3517922117</v>
      </c>
      <c r="I420" s="400" t="s">
        <v>158</v>
      </c>
      <c r="J420" s="400" t="s">
        <v>795</v>
      </c>
      <c r="K420" s="401">
        <v>4</v>
      </c>
      <c r="L420" s="400" t="s">
        <v>793</v>
      </c>
      <c r="M420" s="2"/>
      <c r="N420" s="2"/>
      <c r="O420" s="4"/>
    </row>
    <row r="421" spans="1:15" ht="15" x14ac:dyDescent="0.25">
      <c r="A421" s="400" t="s">
        <v>296</v>
      </c>
      <c r="B421" s="400" t="s">
        <v>895</v>
      </c>
      <c r="C421" s="416">
        <v>332</v>
      </c>
      <c r="D421" s="416">
        <v>895</v>
      </c>
      <c r="E421" s="416">
        <v>1227</v>
      </c>
      <c r="F421" s="416">
        <v>15471447</v>
      </c>
      <c r="G421" s="416">
        <v>68473242</v>
      </c>
      <c r="H421" s="416">
        <v>83944689</v>
      </c>
      <c r="I421" s="400" t="s">
        <v>158</v>
      </c>
      <c r="J421" s="400" t="s">
        <v>798</v>
      </c>
      <c r="K421" s="401">
        <v>186478</v>
      </c>
      <c r="L421" s="400" t="s">
        <v>233</v>
      </c>
      <c r="M421" s="2"/>
      <c r="N421" s="2"/>
      <c r="O421" s="4"/>
    </row>
    <row r="422" spans="1:15" ht="15" x14ac:dyDescent="0.25">
      <c r="A422" s="400" t="s">
        <v>219</v>
      </c>
      <c r="B422" s="400" t="s">
        <v>896</v>
      </c>
      <c r="C422" s="416">
        <v>2</v>
      </c>
      <c r="D422" s="416">
        <v>3</v>
      </c>
      <c r="E422" s="416">
        <v>5</v>
      </c>
      <c r="F422" s="416">
        <v>113243</v>
      </c>
      <c r="G422" s="416">
        <v>79512</v>
      </c>
      <c r="H422" s="416">
        <v>192755</v>
      </c>
      <c r="I422" s="400" t="s">
        <v>69</v>
      </c>
      <c r="J422" s="400" t="s">
        <v>798</v>
      </c>
      <c r="K422" s="401">
        <v>103309</v>
      </c>
      <c r="L422" s="400" t="s">
        <v>775</v>
      </c>
      <c r="M422" s="2"/>
      <c r="N422" s="2"/>
      <c r="O422" s="4"/>
    </row>
    <row r="423" spans="1:15" ht="15" x14ac:dyDescent="0.25">
      <c r="A423" s="400" t="s">
        <v>1088</v>
      </c>
      <c r="B423" s="400" t="s">
        <v>737</v>
      </c>
      <c r="C423" s="416">
        <v>6</v>
      </c>
      <c r="D423" s="416">
        <v>3</v>
      </c>
      <c r="E423" s="416">
        <v>9</v>
      </c>
      <c r="F423" s="416">
        <v>224745</v>
      </c>
      <c r="G423" s="416">
        <v>111847</v>
      </c>
      <c r="H423" s="416">
        <v>336592</v>
      </c>
      <c r="I423" s="400" t="s">
        <v>69</v>
      </c>
      <c r="J423" s="400" t="s">
        <v>795</v>
      </c>
      <c r="K423" s="401">
        <v>216408</v>
      </c>
      <c r="L423" s="400" t="s">
        <v>338</v>
      </c>
      <c r="M423" s="2"/>
      <c r="N423" s="2"/>
      <c r="O423" s="4"/>
    </row>
    <row r="424" spans="1:15" ht="15" x14ac:dyDescent="0.25">
      <c r="A424" s="400" t="s">
        <v>185</v>
      </c>
      <c r="B424" s="400" t="s">
        <v>1102</v>
      </c>
      <c r="C424" s="416">
        <v>30941</v>
      </c>
      <c r="D424" s="416">
        <v>28997</v>
      </c>
      <c r="E424" s="416">
        <v>59938</v>
      </c>
      <c r="F424" s="416">
        <v>1690725085</v>
      </c>
      <c r="G424" s="416">
        <v>1817823964</v>
      </c>
      <c r="H424" s="416">
        <v>3508549049</v>
      </c>
      <c r="I424" s="400" t="s">
        <v>69</v>
      </c>
      <c r="J424" s="400" t="s">
        <v>798</v>
      </c>
      <c r="K424" s="401">
        <v>384818</v>
      </c>
      <c r="L424" s="400" t="s">
        <v>1129</v>
      </c>
      <c r="M424" s="2"/>
      <c r="N424" s="2"/>
      <c r="O424" s="4"/>
    </row>
    <row r="425" spans="1:15" ht="15" x14ac:dyDescent="0.25">
      <c r="A425" s="400" t="s">
        <v>1117</v>
      </c>
      <c r="B425" s="400" t="s">
        <v>1127</v>
      </c>
      <c r="C425" s="416">
        <v>43680</v>
      </c>
      <c r="D425" s="416">
        <v>40047</v>
      </c>
      <c r="E425" s="416">
        <v>83727</v>
      </c>
      <c r="F425" s="416">
        <v>1943906656</v>
      </c>
      <c r="G425" s="416">
        <v>2122570939</v>
      </c>
      <c r="H425" s="416">
        <v>4066477595</v>
      </c>
      <c r="I425" s="400" t="s">
        <v>69</v>
      </c>
      <c r="J425" s="400" t="s">
        <v>798</v>
      </c>
      <c r="K425" s="401">
        <v>313155</v>
      </c>
      <c r="L425" s="400" t="s">
        <v>1129</v>
      </c>
      <c r="M425" s="2"/>
      <c r="N425" s="2"/>
      <c r="O425" s="4"/>
    </row>
    <row r="426" spans="1:15" ht="15" x14ac:dyDescent="0.25">
      <c r="A426" s="400" t="s">
        <v>185</v>
      </c>
      <c r="B426" s="400" t="s">
        <v>530</v>
      </c>
      <c r="C426" s="416">
        <v>52</v>
      </c>
      <c r="D426" s="416">
        <v>130</v>
      </c>
      <c r="E426" s="416">
        <v>182</v>
      </c>
      <c r="F426" s="416">
        <v>2572588</v>
      </c>
      <c r="G426" s="416">
        <v>5837085</v>
      </c>
      <c r="H426" s="416">
        <v>8409673</v>
      </c>
      <c r="I426" s="400" t="s">
        <v>69</v>
      </c>
      <c r="J426" s="400" t="s">
        <v>798</v>
      </c>
      <c r="K426" s="401">
        <v>445841</v>
      </c>
      <c r="L426" s="400" t="s">
        <v>228</v>
      </c>
      <c r="M426" s="2"/>
      <c r="N426" s="2"/>
      <c r="O426" s="4"/>
    </row>
    <row r="427" spans="1:15" ht="15" x14ac:dyDescent="0.25">
      <c r="A427" s="400" t="s">
        <v>1099</v>
      </c>
      <c r="B427" s="400" t="s">
        <v>755</v>
      </c>
      <c r="C427" s="416">
        <v>477</v>
      </c>
      <c r="D427" s="416">
        <v>722</v>
      </c>
      <c r="E427" s="416">
        <v>1199</v>
      </c>
      <c r="F427" s="416">
        <v>22272045</v>
      </c>
      <c r="G427" s="416">
        <v>39394101</v>
      </c>
      <c r="H427" s="416">
        <v>61666146</v>
      </c>
      <c r="I427" s="400" t="s">
        <v>69</v>
      </c>
      <c r="J427" s="400" t="s">
        <v>799</v>
      </c>
      <c r="K427" s="401">
        <v>909333</v>
      </c>
      <c r="L427" s="400" t="s">
        <v>476</v>
      </c>
      <c r="M427" s="2"/>
      <c r="N427" s="2"/>
      <c r="O427" s="4"/>
    </row>
    <row r="428" spans="1:15" ht="15" x14ac:dyDescent="0.25">
      <c r="A428" s="400" t="s">
        <v>302</v>
      </c>
      <c r="B428" s="400" t="s">
        <v>731</v>
      </c>
      <c r="C428" s="416">
        <v>145</v>
      </c>
      <c r="D428" s="416">
        <v>309</v>
      </c>
      <c r="E428" s="416">
        <v>454</v>
      </c>
      <c r="F428" s="416">
        <v>4863804</v>
      </c>
      <c r="G428" s="416">
        <v>12586401</v>
      </c>
      <c r="H428" s="416">
        <v>17450205</v>
      </c>
      <c r="I428" s="400" t="s">
        <v>69</v>
      </c>
      <c r="J428" s="400" t="s">
        <v>798</v>
      </c>
      <c r="K428" s="401">
        <v>114280</v>
      </c>
      <c r="L428" s="400" t="s">
        <v>554</v>
      </c>
      <c r="M428" s="2"/>
      <c r="N428" s="2"/>
      <c r="O428" s="4"/>
    </row>
    <row r="429" spans="1:15" ht="15" x14ac:dyDescent="0.25">
      <c r="A429" s="400" t="s">
        <v>1106</v>
      </c>
      <c r="B429" s="400" t="s">
        <v>1135</v>
      </c>
      <c r="C429" s="416">
        <v>9200</v>
      </c>
      <c r="D429" s="416">
        <v>8147</v>
      </c>
      <c r="E429" s="416">
        <v>17347</v>
      </c>
      <c r="F429" s="416">
        <v>397348177</v>
      </c>
      <c r="G429" s="416">
        <v>416618995</v>
      </c>
      <c r="H429" s="416">
        <v>813967172</v>
      </c>
      <c r="I429" s="400" t="s">
        <v>158</v>
      </c>
      <c r="J429" s="400" t="s">
        <v>795</v>
      </c>
      <c r="K429" s="401">
        <v>154302</v>
      </c>
      <c r="L429" s="400" t="s">
        <v>198</v>
      </c>
      <c r="M429" s="2"/>
      <c r="N429" s="2"/>
      <c r="O429" s="4"/>
    </row>
    <row r="430" spans="1:15" ht="15" x14ac:dyDescent="0.25">
      <c r="A430" s="400" t="s">
        <v>219</v>
      </c>
      <c r="B430" s="400" t="s">
        <v>1150</v>
      </c>
      <c r="C430" s="416">
        <v>1026</v>
      </c>
      <c r="D430" s="416">
        <v>976</v>
      </c>
      <c r="E430" s="416">
        <v>2002</v>
      </c>
      <c r="F430" s="416">
        <v>21460755</v>
      </c>
      <c r="G430" s="416">
        <v>29455439</v>
      </c>
      <c r="H430" s="416">
        <v>50916194</v>
      </c>
      <c r="I430" s="400" t="s">
        <v>158</v>
      </c>
      <c r="J430" s="400" t="s">
        <v>798</v>
      </c>
      <c r="K430" s="401">
        <v>102897</v>
      </c>
      <c r="L430" s="400" t="s">
        <v>539</v>
      </c>
      <c r="M430" s="2"/>
      <c r="N430" s="2"/>
      <c r="O430" s="4"/>
    </row>
    <row r="431" spans="1:15" ht="15" x14ac:dyDescent="0.25">
      <c r="A431" s="400" t="s">
        <v>205</v>
      </c>
      <c r="B431" s="400" t="s">
        <v>304</v>
      </c>
      <c r="C431" s="416">
        <v>1520</v>
      </c>
      <c r="D431" s="416">
        <v>2153</v>
      </c>
      <c r="E431" s="416">
        <v>3673</v>
      </c>
      <c r="F431" s="416">
        <v>29719806</v>
      </c>
      <c r="G431" s="416">
        <v>51809078</v>
      </c>
      <c r="H431" s="416">
        <v>81528883</v>
      </c>
      <c r="I431" s="400" t="s">
        <v>69</v>
      </c>
      <c r="J431" s="400" t="s">
        <v>798</v>
      </c>
      <c r="K431" s="401">
        <v>218115</v>
      </c>
      <c r="L431" s="400" t="s">
        <v>195</v>
      </c>
      <c r="M431" s="2"/>
      <c r="N431" s="2"/>
      <c r="O431" s="4"/>
    </row>
    <row r="432" spans="1:15" ht="15" x14ac:dyDescent="0.25">
      <c r="A432" s="400" t="s">
        <v>219</v>
      </c>
      <c r="B432" s="400" t="s">
        <v>897</v>
      </c>
      <c r="C432" s="416">
        <v>18404</v>
      </c>
      <c r="D432" s="416">
        <v>16711</v>
      </c>
      <c r="E432" s="416">
        <v>35115</v>
      </c>
      <c r="F432" s="416">
        <v>702145002</v>
      </c>
      <c r="G432" s="416">
        <v>765655244</v>
      </c>
      <c r="H432" s="416">
        <v>1467800246</v>
      </c>
      <c r="I432" s="400" t="s">
        <v>158</v>
      </c>
      <c r="J432" s="400" t="s">
        <v>798</v>
      </c>
      <c r="K432" s="401">
        <v>755504</v>
      </c>
      <c r="L432" s="400" t="s">
        <v>175</v>
      </c>
      <c r="M432" s="2"/>
      <c r="N432" s="2"/>
      <c r="O432" s="4"/>
    </row>
    <row r="433" spans="1:15" ht="15" x14ac:dyDescent="0.25">
      <c r="A433" s="400" t="s">
        <v>381</v>
      </c>
      <c r="B433" s="400" t="s">
        <v>400</v>
      </c>
      <c r="C433" s="416">
        <v>18356</v>
      </c>
      <c r="D433" s="416">
        <v>23863</v>
      </c>
      <c r="E433" s="416">
        <v>42219</v>
      </c>
      <c r="F433" s="416">
        <v>639665882</v>
      </c>
      <c r="G433" s="416">
        <v>1122861839</v>
      </c>
      <c r="H433" s="416">
        <v>1762527722</v>
      </c>
      <c r="I433" s="400" t="s">
        <v>158</v>
      </c>
      <c r="J433" s="400" t="s">
        <v>798</v>
      </c>
      <c r="K433" s="401">
        <v>752204</v>
      </c>
      <c r="L433" s="400" t="s">
        <v>175</v>
      </c>
      <c r="M433" s="2"/>
      <c r="N433" s="2"/>
      <c r="O433" s="4"/>
    </row>
    <row r="434" spans="1:15" ht="15" x14ac:dyDescent="0.25">
      <c r="A434" s="400" t="s">
        <v>1098</v>
      </c>
      <c r="B434" s="400" t="s">
        <v>497</v>
      </c>
      <c r="C434" s="416">
        <v>40</v>
      </c>
      <c r="D434" s="416">
        <v>48</v>
      </c>
      <c r="E434" s="416">
        <v>88</v>
      </c>
      <c r="F434" s="416">
        <v>1555181</v>
      </c>
      <c r="G434" s="416">
        <v>2685077</v>
      </c>
      <c r="H434" s="416">
        <v>4240258</v>
      </c>
      <c r="I434" s="400" t="s">
        <v>69</v>
      </c>
      <c r="J434" s="400" t="s">
        <v>799</v>
      </c>
      <c r="K434" s="401">
        <v>717900</v>
      </c>
      <c r="L434" s="400" t="s">
        <v>768</v>
      </c>
      <c r="M434" s="2"/>
      <c r="N434" s="2"/>
      <c r="O434" s="4"/>
    </row>
    <row r="435" spans="1:15" ht="15" x14ac:dyDescent="0.25">
      <c r="A435" s="400" t="s">
        <v>219</v>
      </c>
      <c r="B435" s="400" t="s">
        <v>818</v>
      </c>
      <c r="C435" s="416">
        <v>170</v>
      </c>
      <c r="D435" s="416">
        <v>218</v>
      </c>
      <c r="E435" s="416">
        <v>388</v>
      </c>
      <c r="F435" s="416">
        <v>6510484</v>
      </c>
      <c r="G435" s="416">
        <v>10226910</v>
      </c>
      <c r="H435" s="416">
        <v>16737395</v>
      </c>
      <c r="I435" s="400" t="s">
        <v>69</v>
      </c>
      <c r="J435" s="400" t="s">
        <v>798</v>
      </c>
      <c r="K435" s="401">
        <v>732727</v>
      </c>
      <c r="L435" s="400" t="s">
        <v>556</v>
      </c>
      <c r="M435" s="2"/>
      <c r="N435" s="2"/>
      <c r="O435" s="4"/>
    </row>
    <row r="436" spans="1:15" ht="15" x14ac:dyDescent="0.25">
      <c r="A436" s="400" t="s">
        <v>1113</v>
      </c>
      <c r="B436" s="400" t="s">
        <v>443</v>
      </c>
      <c r="C436" s="416">
        <v>6111</v>
      </c>
      <c r="D436" s="416">
        <v>8600</v>
      </c>
      <c r="E436" s="416">
        <v>14711</v>
      </c>
      <c r="F436" s="416">
        <v>239352153</v>
      </c>
      <c r="G436" s="416">
        <v>421943564</v>
      </c>
      <c r="H436" s="416">
        <v>661295717</v>
      </c>
      <c r="I436" s="400" t="s">
        <v>158</v>
      </c>
      <c r="J436" s="400" t="s">
        <v>798</v>
      </c>
      <c r="K436" s="401">
        <v>838383</v>
      </c>
      <c r="L436" s="400" t="s">
        <v>192</v>
      </c>
      <c r="M436" s="2"/>
      <c r="N436" s="2"/>
      <c r="O436" s="4"/>
    </row>
    <row r="437" spans="1:15" ht="15" x14ac:dyDescent="0.25">
      <c r="A437" s="400" t="s">
        <v>1112</v>
      </c>
      <c r="B437" s="400" t="s">
        <v>1031</v>
      </c>
      <c r="C437" s="416">
        <v>694</v>
      </c>
      <c r="D437" s="416">
        <v>1834</v>
      </c>
      <c r="E437" s="416">
        <v>2528</v>
      </c>
      <c r="F437" s="416">
        <v>31481925</v>
      </c>
      <c r="G437" s="416">
        <v>89922010</v>
      </c>
      <c r="H437" s="416">
        <v>121403935</v>
      </c>
      <c r="I437" s="400" t="s">
        <v>158</v>
      </c>
      <c r="J437" s="400" t="s">
        <v>798</v>
      </c>
      <c r="K437" s="401">
        <v>341305</v>
      </c>
      <c r="L437" s="400" t="s">
        <v>347</v>
      </c>
      <c r="M437" s="2"/>
      <c r="N437" s="2"/>
      <c r="O437" s="4"/>
    </row>
    <row r="438" spans="1:15" ht="15" x14ac:dyDescent="0.25">
      <c r="A438" s="400" t="s">
        <v>302</v>
      </c>
      <c r="B438" s="400" t="s">
        <v>729</v>
      </c>
      <c r="C438" s="416">
        <v>299</v>
      </c>
      <c r="D438" s="416">
        <v>597</v>
      </c>
      <c r="E438" s="416">
        <v>896</v>
      </c>
      <c r="F438" s="416">
        <v>11621893</v>
      </c>
      <c r="G438" s="416">
        <v>28461343</v>
      </c>
      <c r="H438" s="416">
        <v>40083235</v>
      </c>
      <c r="I438" s="400" t="s">
        <v>69</v>
      </c>
      <c r="J438" s="400" t="s">
        <v>798</v>
      </c>
      <c r="K438" s="401">
        <v>150110</v>
      </c>
      <c r="L438" s="400" t="s">
        <v>554</v>
      </c>
      <c r="M438" s="2"/>
      <c r="N438" s="2"/>
      <c r="O438" s="4"/>
    </row>
    <row r="439" spans="1:15" ht="15" x14ac:dyDescent="0.25">
      <c r="A439" s="400" t="s">
        <v>1113</v>
      </c>
      <c r="B439" s="400" t="s">
        <v>694</v>
      </c>
      <c r="C439" s="416">
        <v>643</v>
      </c>
      <c r="D439" s="416">
        <v>846</v>
      </c>
      <c r="E439" s="416">
        <v>1489</v>
      </c>
      <c r="F439" s="416">
        <v>11919371</v>
      </c>
      <c r="G439" s="416">
        <v>27673725</v>
      </c>
      <c r="H439" s="416">
        <v>39593095</v>
      </c>
      <c r="I439" s="400" t="s">
        <v>158</v>
      </c>
      <c r="J439" s="400" t="s">
        <v>798</v>
      </c>
      <c r="K439" s="401">
        <v>293498</v>
      </c>
      <c r="L439" s="400" t="s">
        <v>859</v>
      </c>
      <c r="M439" s="2"/>
      <c r="N439" s="2"/>
      <c r="O439" s="4"/>
    </row>
    <row r="440" spans="1:15" ht="15" x14ac:dyDescent="0.25">
      <c r="A440" s="400" t="s">
        <v>296</v>
      </c>
      <c r="B440" s="400" t="s">
        <v>1008</v>
      </c>
      <c r="C440" s="416">
        <v>18</v>
      </c>
      <c r="D440" s="416">
        <v>49</v>
      </c>
      <c r="E440" s="416">
        <v>67</v>
      </c>
      <c r="F440" s="416">
        <v>811092</v>
      </c>
      <c r="G440" s="416">
        <v>2389824</v>
      </c>
      <c r="H440" s="416">
        <v>3200916</v>
      </c>
      <c r="I440" s="400" t="s">
        <v>69</v>
      </c>
      <c r="J440" s="400" t="s">
        <v>798</v>
      </c>
      <c r="K440" s="401">
        <v>674101</v>
      </c>
      <c r="L440" s="400" t="s">
        <v>362</v>
      </c>
      <c r="M440" s="2"/>
      <c r="N440" s="2"/>
      <c r="O440" s="4"/>
    </row>
    <row r="441" spans="1:15" ht="15" x14ac:dyDescent="0.25">
      <c r="A441" s="400" t="s">
        <v>185</v>
      </c>
      <c r="B441" s="400" t="s">
        <v>653</v>
      </c>
      <c r="C441" s="416">
        <v>1310</v>
      </c>
      <c r="D441" s="416">
        <v>1486</v>
      </c>
      <c r="E441" s="416">
        <v>2796</v>
      </c>
      <c r="F441" s="416">
        <v>227545101</v>
      </c>
      <c r="G441" s="416">
        <v>288283766</v>
      </c>
      <c r="H441" s="416">
        <v>515828867</v>
      </c>
      <c r="I441" s="400" t="s">
        <v>158</v>
      </c>
      <c r="J441" s="400" t="s">
        <v>798</v>
      </c>
      <c r="K441" s="401">
        <v>333518</v>
      </c>
      <c r="L441" s="400" t="s">
        <v>409</v>
      </c>
      <c r="M441" s="2"/>
      <c r="N441" s="2"/>
      <c r="O441" s="4"/>
    </row>
    <row r="442" spans="1:15" ht="15" x14ac:dyDescent="0.25">
      <c r="A442" s="400" t="s">
        <v>1087</v>
      </c>
      <c r="B442" s="400" t="s">
        <v>287</v>
      </c>
      <c r="C442" s="416">
        <v>7350</v>
      </c>
      <c r="D442" s="416">
        <v>5852</v>
      </c>
      <c r="E442" s="416">
        <v>13202</v>
      </c>
      <c r="F442" s="416">
        <v>778011204</v>
      </c>
      <c r="G442" s="416">
        <v>768995655</v>
      </c>
      <c r="H442" s="416">
        <v>1547006859</v>
      </c>
      <c r="I442" s="400" t="s">
        <v>158</v>
      </c>
      <c r="J442" s="400" t="s">
        <v>792</v>
      </c>
      <c r="K442" s="401">
        <v>671453</v>
      </c>
      <c r="L442" s="400" t="s">
        <v>177</v>
      </c>
      <c r="M442" s="2"/>
      <c r="N442" s="2"/>
      <c r="O442" s="4"/>
    </row>
    <row r="443" spans="1:15" ht="15" x14ac:dyDescent="0.25">
      <c r="A443" s="400" t="s">
        <v>1112</v>
      </c>
      <c r="B443" s="400" t="s">
        <v>502</v>
      </c>
      <c r="C443" s="416">
        <v>245</v>
      </c>
      <c r="D443" s="416">
        <v>385</v>
      </c>
      <c r="E443" s="416">
        <v>630</v>
      </c>
      <c r="F443" s="416">
        <v>11401384</v>
      </c>
      <c r="G443" s="416">
        <v>22922859</v>
      </c>
      <c r="H443" s="416">
        <v>34324242</v>
      </c>
      <c r="I443" s="400" t="s">
        <v>69</v>
      </c>
      <c r="J443" s="400" t="s">
        <v>798</v>
      </c>
      <c r="K443" s="401">
        <v>304659</v>
      </c>
      <c r="L443" s="400" t="s">
        <v>383</v>
      </c>
      <c r="M443" s="2"/>
      <c r="N443" s="2"/>
      <c r="O443" s="4"/>
    </row>
    <row r="444" spans="1:15" ht="15" x14ac:dyDescent="0.25">
      <c r="A444" s="400" t="s">
        <v>205</v>
      </c>
      <c r="B444" s="400" t="s">
        <v>415</v>
      </c>
      <c r="C444" s="416">
        <v>422</v>
      </c>
      <c r="D444" s="416">
        <v>705</v>
      </c>
      <c r="E444" s="416">
        <v>1127</v>
      </c>
      <c r="F444" s="416">
        <v>17560503</v>
      </c>
      <c r="G444" s="416">
        <v>37471439</v>
      </c>
      <c r="H444" s="416">
        <v>55031942</v>
      </c>
      <c r="I444" s="400" t="s">
        <v>158</v>
      </c>
      <c r="J444" s="400" t="s">
        <v>798</v>
      </c>
      <c r="K444" s="401">
        <v>377432</v>
      </c>
      <c r="L444" s="400" t="s">
        <v>213</v>
      </c>
      <c r="M444" s="2"/>
      <c r="N444" s="2"/>
      <c r="O444" s="4"/>
    </row>
    <row r="445" spans="1:15" ht="15" x14ac:dyDescent="0.25">
      <c r="A445" s="400" t="s">
        <v>302</v>
      </c>
      <c r="B445" s="400" t="s">
        <v>837</v>
      </c>
      <c r="C445" s="416">
        <v>379</v>
      </c>
      <c r="D445" s="416">
        <v>548</v>
      </c>
      <c r="E445" s="416">
        <v>927</v>
      </c>
      <c r="F445" s="416">
        <v>10907788</v>
      </c>
      <c r="G445" s="416">
        <v>22222193</v>
      </c>
      <c r="H445" s="416">
        <v>33129981</v>
      </c>
      <c r="I445" s="400" t="s">
        <v>69</v>
      </c>
      <c r="J445" s="400" t="s">
        <v>798</v>
      </c>
      <c r="K445" s="401">
        <v>266049</v>
      </c>
      <c r="L445" s="400" t="s">
        <v>838</v>
      </c>
      <c r="M445" s="2"/>
      <c r="N445" s="2"/>
      <c r="O445" s="4"/>
    </row>
    <row r="446" spans="1:15" ht="15" x14ac:dyDescent="0.25">
      <c r="A446" s="400" t="s">
        <v>1087</v>
      </c>
      <c r="B446" s="400" t="s">
        <v>246</v>
      </c>
      <c r="C446" s="416">
        <v>39382</v>
      </c>
      <c r="D446" s="416">
        <v>28464</v>
      </c>
      <c r="E446" s="416">
        <v>67846</v>
      </c>
      <c r="F446" s="416">
        <v>3640789434</v>
      </c>
      <c r="G446" s="416">
        <v>3102963368</v>
      </c>
      <c r="H446" s="416">
        <v>6743752802</v>
      </c>
      <c r="I446" s="400" t="s">
        <v>158</v>
      </c>
      <c r="J446" s="400" t="s">
        <v>792</v>
      </c>
      <c r="K446" s="401">
        <v>498972</v>
      </c>
      <c r="L446" s="400" t="s">
        <v>182</v>
      </c>
      <c r="M446" s="2"/>
      <c r="N446" s="2"/>
      <c r="O446" s="4"/>
    </row>
    <row r="447" spans="1:15" ht="15" x14ac:dyDescent="0.25">
      <c r="A447" s="400" t="s">
        <v>1100</v>
      </c>
      <c r="B447" s="400" t="s">
        <v>358</v>
      </c>
      <c r="C447" s="416">
        <v>3308</v>
      </c>
      <c r="D447" s="416">
        <v>2229</v>
      </c>
      <c r="E447" s="416">
        <v>5537</v>
      </c>
      <c r="F447" s="416">
        <v>108977149</v>
      </c>
      <c r="G447" s="416">
        <v>91430235</v>
      </c>
      <c r="H447" s="416">
        <v>200407384</v>
      </c>
      <c r="I447" s="400" t="s">
        <v>158</v>
      </c>
      <c r="J447" s="400" t="s">
        <v>795</v>
      </c>
      <c r="K447" s="401">
        <v>403642</v>
      </c>
      <c r="L447" s="400" t="s">
        <v>230</v>
      </c>
      <c r="M447" s="2"/>
      <c r="N447" s="2"/>
      <c r="O447" s="4"/>
    </row>
    <row r="448" spans="1:15" ht="15" x14ac:dyDescent="0.25">
      <c r="A448" s="400" t="s">
        <v>223</v>
      </c>
      <c r="B448" s="400" t="s">
        <v>529</v>
      </c>
      <c r="C448" s="416">
        <v>3322</v>
      </c>
      <c r="D448" s="416">
        <v>5868</v>
      </c>
      <c r="E448" s="416">
        <v>9190</v>
      </c>
      <c r="F448" s="416">
        <v>222334272</v>
      </c>
      <c r="G448" s="416">
        <v>454666850</v>
      </c>
      <c r="H448" s="416">
        <v>677001122</v>
      </c>
      <c r="I448" s="400" t="s">
        <v>158</v>
      </c>
      <c r="J448" s="400" t="s">
        <v>798</v>
      </c>
      <c r="K448" s="401">
        <v>272898</v>
      </c>
      <c r="L448" s="400" t="s">
        <v>168</v>
      </c>
      <c r="M448" s="2"/>
      <c r="N448" s="2"/>
      <c r="O448" s="4"/>
    </row>
    <row r="449" spans="1:15" ht="15" x14ac:dyDescent="0.25">
      <c r="A449" s="400" t="s">
        <v>302</v>
      </c>
      <c r="B449" s="400" t="s">
        <v>578</v>
      </c>
      <c r="C449" s="416">
        <v>339</v>
      </c>
      <c r="D449" s="416">
        <v>232</v>
      </c>
      <c r="E449" s="416">
        <v>571</v>
      </c>
      <c r="F449" s="416">
        <v>8166256</v>
      </c>
      <c r="G449" s="416">
        <v>7174122</v>
      </c>
      <c r="H449" s="416">
        <v>15340378</v>
      </c>
      <c r="I449" s="400" t="s">
        <v>69</v>
      </c>
      <c r="J449" s="400" t="s">
        <v>798</v>
      </c>
      <c r="K449" s="401">
        <v>807867</v>
      </c>
      <c r="L449" s="400" t="s">
        <v>777</v>
      </c>
      <c r="M449" s="2"/>
      <c r="N449" s="2"/>
      <c r="O449" s="4"/>
    </row>
    <row r="450" spans="1:15" ht="15" x14ac:dyDescent="0.25">
      <c r="A450" s="400" t="s">
        <v>325</v>
      </c>
      <c r="B450" s="400" t="s">
        <v>1071</v>
      </c>
      <c r="C450" s="416">
        <v>58</v>
      </c>
      <c r="D450" s="416">
        <v>114</v>
      </c>
      <c r="E450" s="416">
        <v>172</v>
      </c>
      <c r="F450" s="416">
        <v>3308086</v>
      </c>
      <c r="G450" s="416">
        <v>8287626</v>
      </c>
      <c r="H450" s="416">
        <v>11595711</v>
      </c>
      <c r="I450" s="400" t="s">
        <v>69</v>
      </c>
      <c r="J450" s="400" t="s">
        <v>798</v>
      </c>
      <c r="K450" s="401">
        <v>267815</v>
      </c>
      <c r="L450" s="400" t="s">
        <v>620</v>
      </c>
      <c r="M450" s="2"/>
      <c r="N450" s="2"/>
      <c r="O450" s="4"/>
    </row>
    <row r="451" spans="1:15" ht="15" x14ac:dyDescent="0.25">
      <c r="A451" s="400" t="s">
        <v>1110</v>
      </c>
      <c r="B451" s="400" t="s">
        <v>592</v>
      </c>
      <c r="C451" s="416">
        <v>1195</v>
      </c>
      <c r="D451" s="416">
        <v>1650</v>
      </c>
      <c r="E451" s="416">
        <v>2845</v>
      </c>
      <c r="F451" s="416">
        <v>28844474</v>
      </c>
      <c r="G451" s="416">
        <v>48417374</v>
      </c>
      <c r="H451" s="416">
        <v>77261848</v>
      </c>
      <c r="I451" s="400" t="s">
        <v>69</v>
      </c>
      <c r="J451" s="400" t="s">
        <v>798</v>
      </c>
      <c r="K451" s="401">
        <v>262741</v>
      </c>
      <c r="L451" s="400" t="s">
        <v>435</v>
      </c>
      <c r="M451" s="2"/>
      <c r="N451" s="2"/>
      <c r="O451" s="4"/>
    </row>
    <row r="452" spans="1:15" ht="15" x14ac:dyDescent="0.25">
      <c r="A452" s="400" t="s">
        <v>1089</v>
      </c>
      <c r="B452" s="400" t="s">
        <v>806</v>
      </c>
      <c r="C452" s="416">
        <v>1997</v>
      </c>
      <c r="D452" s="416">
        <v>2241</v>
      </c>
      <c r="E452" s="416">
        <v>4238</v>
      </c>
      <c r="F452" s="416">
        <v>63271961</v>
      </c>
      <c r="G452" s="416">
        <v>77651486</v>
      </c>
      <c r="H452" s="416">
        <v>140923447</v>
      </c>
      <c r="I452" s="400" t="s">
        <v>69</v>
      </c>
      <c r="J452" s="400" t="s">
        <v>795</v>
      </c>
      <c r="K452" s="401">
        <v>302760</v>
      </c>
      <c r="L452" s="400" t="s">
        <v>556</v>
      </c>
      <c r="M452" s="2"/>
      <c r="N452" s="2"/>
      <c r="O452" s="4"/>
    </row>
    <row r="453" spans="1:15" ht="15" x14ac:dyDescent="0.25">
      <c r="A453" s="400" t="s">
        <v>1089</v>
      </c>
      <c r="B453" s="400" t="s">
        <v>575</v>
      </c>
      <c r="C453" s="416">
        <v>1438</v>
      </c>
      <c r="D453" s="416">
        <v>1520</v>
      </c>
      <c r="E453" s="416">
        <v>2958</v>
      </c>
      <c r="F453" s="416">
        <v>77618551</v>
      </c>
      <c r="G453" s="416">
        <v>102241169</v>
      </c>
      <c r="H453" s="416">
        <v>179859720</v>
      </c>
      <c r="I453" s="400" t="s">
        <v>158</v>
      </c>
      <c r="J453" s="400" t="s">
        <v>795</v>
      </c>
      <c r="K453" s="401">
        <v>855973</v>
      </c>
      <c r="L453" s="400" t="s">
        <v>291</v>
      </c>
      <c r="M453" s="2"/>
      <c r="N453" s="2"/>
      <c r="O453" s="4"/>
    </row>
    <row r="454" spans="1:15" ht="15" x14ac:dyDescent="0.25">
      <c r="A454" s="400" t="s">
        <v>1117</v>
      </c>
      <c r="B454" s="400" t="s">
        <v>478</v>
      </c>
      <c r="C454" s="416">
        <v>631</v>
      </c>
      <c r="D454" s="416">
        <v>1086</v>
      </c>
      <c r="E454" s="416">
        <v>1717</v>
      </c>
      <c r="F454" s="416">
        <v>28654251</v>
      </c>
      <c r="G454" s="416">
        <v>59826384</v>
      </c>
      <c r="H454" s="416">
        <v>88480635</v>
      </c>
      <c r="I454" s="400" t="s">
        <v>69</v>
      </c>
      <c r="J454" s="400" t="s">
        <v>798</v>
      </c>
      <c r="K454" s="401">
        <v>517508</v>
      </c>
      <c r="L454" s="400" t="s">
        <v>467</v>
      </c>
      <c r="M454" s="2"/>
      <c r="N454" s="2"/>
      <c r="O454" s="4"/>
    </row>
    <row r="455" spans="1:15" ht="15" x14ac:dyDescent="0.25">
      <c r="A455" s="400" t="s">
        <v>1106</v>
      </c>
      <c r="B455" s="400" t="s">
        <v>444</v>
      </c>
      <c r="C455" s="416">
        <v>3255</v>
      </c>
      <c r="D455" s="416">
        <v>2978</v>
      </c>
      <c r="E455" s="416">
        <v>6233</v>
      </c>
      <c r="F455" s="416">
        <v>175877331</v>
      </c>
      <c r="G455" s="416">
        <v>189737320</v>
      </c>
      <c r="H455" s="416">
        <v>365614651</v>
      </c>
      <c r="I455" s="400" t="s">
        <v>158</v>
      </c>
      <c r="J455" s="400" t="s">
        <v>795</v>
      </c>
      <c r="K455" s="401">
        <v>829945</v>
      </c>
      <c r="L455" s="400" t="s">
        <v>211</v>
      </c>
      <c r="M455" s="2"/>
      <c r="N455" s="2"/>
      <c r="O455" s="4"/>
    </row>
    <row r="456" spans="1:15" ht="15" x14ac:dyDescent="0.25">
      <c r="A456" s="400" t="s">
        <v>1096</v>
      </c>
      <c r="B456" s="400" t="s">
        <v>210</v>
      </c>
      <c r="C456" s="416">
        <v>2034</v>
      </c>
      <c r="D456" s="416">
        <v>1974</v>
      </c>
      <c r="E456" s="416">
        <v>4008</v>
      </c>
      <c r="F456" s="416">
        <v>76647549</v>
      </c>
      <c r="G456" s="416">
        <v>100093904</v>
      </c>
      <c r="H456" s="416">
        <v>176741453</v>
      </c>
      <c r="I456" s="400" t="s">
        <v>158</v>
      </c>
      <c r="J456" s="400" t="s">
        <v>799</v>
      </c>
      <c r="K456" s="401">
        <v>865774</v>
      </c>
      <c r="L456" s="400" t="s">
        <v>211</v>
      </c>
      <c r="M456" s="2"/>
      <c r="N456" s="2"/>
      <c r="O456" s="4"/>
    </row>
    <row r="457" spans="1:15" ht="15" x14ac:dyDescent="0.25">
      <c r="A457" s="400" t="s">
        <v>325</v>
      </c>
      <c r="B457" s="400" t="s">
        <v>651</v>
      </c>
      <c r="C457" s="416">
        <v>416</v>
      </c>
      <c r="D457" s="416">
        <v>539</v>
      </c>
      <c r="E457" s="416">
        <v>955</v>
      </c>
      <c r="F457" s="416">
        <v>23719790</v>
      </c>
      <c r="G457" s="416">
        <v>38461631</v>
      </c>
      <c r="H457" s="416">
        <v>62181420</v>
      </c>
      <c r="I457" s="400" t="s">
        <v>69</v>
      </c>
      <c r="J457" s="400" t="s">
        <v>798</v>
      </c>
      <c r="K457" s="401">
        <v>237834</v>
      </c>
      <c r="L457" s="400" t="s">
        <v>646</v>
      </c>
      <c r="M457" s="2"/>
      <c r="N457" s="2"/>
      <c r="O457" s="4"/>
    </row>
    <row r="458" spans="1:15" ht="15" x14ac:dyDescent="0.25">
      <c r="A458" s="400" t="s">
        <v>305</v>
      </c>
      <c r="B458" s="400" t="s">
        <v>548</v>
      </c>
      <c r="C458" s="416">
        <v>290</v>
      </c>
      <c r="D458" s="416">
        <v>493</v>
      </c>
      <c r="E458" s="416">
        <v>783</v>
      </c>
      <c r="F458" s="416">
        <v>13100295</v>
      </c>
      <c r="G458" s="416">
        <v>27938715</v>
      </c>
      <c r="H458" s="416">
        <v>41039009</v>
      </c>
      <c r="I458" s="400" t="s">
        <v>69</v>
      </c>
      <c r="J458" s="400" t="s">
        <v>798</v>
      </c>
      <c r="K458" s="401">
        <v>318469</v>
      </c>
      <c r="L458" s="400" t="s">
        <v>362</v>
      </c>
      <c r="M458" s="2"/>
      <c r="N458" s="2"/>
      <c r="O458" s="4"/>
    </row>
    <row r="459" spans="1:15" ht="15" x14ac:dyDescent="0.25">
      <c r="A459" s="400" t="s">
        <v>185</v>
      </c>
      <c r="B459" s="400" t="s">
        <v>690</v>
      </c>
      <c r="C459" s="416">
        <v>2215</v>
      </c>
      <c r="D459" s="416">
        <v>1951</v>
      </c>
      <c r="E459" s="416">
        <v>4166</v>
      </c>
      <c r="F459" s="416">
        <v>276356584</v>
      </c>
      <c r="G459" s="416">
        <v>268852362</v>
      </c>
      <c r="H459" s="416">
        <v>545208945</v>
      </c>
      <c r="I459" s="400" t="s">
        <v>69</v>
      </c>
      <c r="J459" s="400" t="s">
        <v>798</v>
      </c>
      <c r="K459" s="401">
        <v>451393</v>
      </c>
      <c r="L459" s="400" t="s">
        <v>612</v>
      </c>
      <c r="M459" s="2"/>
      <c r="N459" s="2"/>
      <c r="O459" s="4"/>
    </row>
    <row r="460" spans="1:15" ht="15" x14ac:dyDescent="0.25">
      <c r="A460" s="400" t="s">
        <v>185</v>
      </c>
      <c r="B460" s="400" t="s">
        <v>665</v>
      </c>
      <c r="C460" s="416">
        <v>2434</v>
      </c>
      <c r="D460" s="416">
        <v>3271</v>
      </c>
      <c r="E460" s="416">
        <v>5705</v>
      </c>
      <c r="F460" s="416">
        <v>418080716</v>
      </c>
      <c r="G460" s="416">
        <v>680640946</v>
      </c>
      <c r="H460" s="416">
        <v>1098721662</v>
      </c>
      <c r="I460" s="400" t="s">
        <v>158</v>
      </c>
      <c r="J460" s="400" t="s">
        <v>798</v>
      </c>
      <c r="K460" s="401">
        <v>727057</v>
      </c>
      <c r="L460" s="400" t="s">
        <v>903</v>
      </c>
      <c r="M460" s="2"/>
      <c r="N460" s="2"/>
      <c r="O460" s="4"/>
    </row>
    <row r="461" spans="1:15" ht="15" x14ac:dyDescent="0.25">
      <c r="A461" s="400" t="s">
        <v>369</v>
      </c>
      <c r="B461" s="400" t="s">
        <v>368</v>
      </c>
      <c r="C461" s="416">
        <v>2489</v>
      </c>
      <c r="D461" s="416">
        <v>3426</v>
      </c>
      <c r="E461" s="416">
        <v>5915</v>
      </c>
      <c r="F461" s="416">
        <v>70191874</v>
      </c>
      <c r="G461" s="416">
        <v>123058234</v>
      </c>
      <c r="H461" s="416">
        <v>193250108</v>
      </c>
      <c r="I461" s="400" t="s">
        <v>158</v>
      </c>
      <c r="J461" s="400" t="s">
        <v>798</v>
      </c>
      <c r="K461" s="401">
        <v>588699</v>
      </c>
      <c r="L461" s="400" t="s">
        <v>195</v>
      </c>
      <c r="M461" s="2"/>
      <c r="N461" s="2"/>
      <c r="O461" s="4"/>
    </row>
    <row r="462" spans="1:15" ht="15" x14ac:dyDescent="0.25">
      <c r="A462" s="400" t="s">
        <v>185</v>
      </c>
      <c r="B462" s="400" t="s">
        <v>680</v>
      </c>
      <c r="C462" s="416">
        <v>15648</v>
      </c>
      <c r="D462" s="416">
        <v>15819</v>
      </c>
      <c r="E462" s="416">
        <v>31467</v>
      </c>
      <c r="F462" s="416">
        <v>357903459</v>
      </c>
      <c r="G462" s="416">
        <v>454074402</v>
      </c>
      <c r="H462" s="416">
        <v>811977862</v>
      </c>
      <c r="I462" s="400" t="s">
        <v>158</v>
      </c>
      <c r="J462" s="400" t="s">
        <v>798</v>
      </c>
      <c r="K462" s="401">
        <v>341362</v>
      </c>
      <c r="L462" s="400" t="s">
        <v>681</v>
      </c>
      <c r="M462" s="2"/>
      <c r="N462" s="2"/>
      <c r="O462" s="4"/>
    </row>
    <row r="463" spans="1:15" ht="15" x14ac:dyDescent="0.25">
      <c r="A463" s="400" t="s">
        <v>1098</v>
      </c>
      <c r="B463" s="400" t="s">
        <v>495</v>
      </c>
      <c r="C463" s="416">
        <v>14</v>
      </c>
      <c r="D463" s="416">
        <v>20</v>
      </c>
      <c r="E463" s="416">
        <v>34</v>
      </c>
      <c r="F463" s="416">
        <v>322079</v>
      </c>
      <c r="G463" s="416">
        <v>922925</v>
      </c>
      <c r="H463" s="416">
        <v>1245004</v>
      </c>
      <c r="I463" s="400" t="s">
        <v>69</v>
      </c>
      <c r="J463" s="400" t="s">
        <v>799</v>
      </c>
      <c r="K463" s="401">
        <v>352583</v>
      </c>
      <c r="L463" s="400" t="s">
        <v>1013</v>
      </c>
      <c r="M463" s="2"/>
      <c r="N463" s="2"/>
      <c r="O463" s="4"/>
    </row>
    <row r="464" spans="1:15" ht="15" x14ac:dyDescent="0.25">
      <c r="A464" s="400" t="s">
        <v>185</v>
      </c>
      <c r="B464" s="400" t="s">
        <v>751</v>
      </c>
      <c r="C464" s="416">
        <v>3671</v>
      </c>
      <c r="D464" s="416">
        <v>3315</v>
      </c>
      <c r="E464" s="416">
        <v>6986</v>
      </c>
      <c r="F464" s="416">
        <v>264449465</v>
      </c>
      <c r="G464" s="416">
        <v>293444283</v>
      </c>
      <c r="H464" s="416">
        <v>557893748</v>
      </c>
      <c r="I464" s="400" t="s">
        <v>158</v>
      </c>
      <c r="J464" s="400" t="s">
        <v>798</v>
      </c>
      <c r="K464" s="401">
        <v>520759</v>
      </c>
      <c r="L464" s="400" t="s">
        <v>213</v>
      </c>
      <c r="M464" s="2"/>
      <c r="N464" s="2"/>
      <c r="O464" s="4"/>
    </row>
    <row r="465" spans="1:15" ht="15" x14ac:dyDescent="0.25">
      <c r="A465" s="400" t="s">
        <v>1089</v>
      </c>
      <c r="B465" s="400" t="s">
        <v>908</v>
      </c>
      <c r="C465" s="416">
        <v>7961</v>
      </c>
      <c r="D465" s="416">
        <v>7043</v>
      </c>
      <c r="E465" s="416">
        <v>15004</v>
      </c>
      <c r="F465" s="416">
        <v>1376254026</v>
      </c>
      <c r="G465" s="416">
        <v>1466116664</v>
      </c>
      <c r="H465" s="416">
        <v>2842370690</v>
      </c>
      <c r="I465" s="400" t="s">
        <v>158</v>
      </c>
      <c r="J465" s="400" t="s">
        <v>795</v>
      </c>
      <c r="K465" s="401">
        <v>464081</v>
      </c>
      <c r="L465" s="400" t="s">
        <v>253</v>
      </c>
      <c r="M465" s="2"/>
      <c r="N465" s="2"/>
      <c r="O465" s="4"/>
    </row>
    <row r="466" spans="1:15" ht="15" x14ac:dyDescent="0.25">
      <c r="A466" s="400" t="s">
        <v>1105</v>
      </c>
      <c r="B466" s="400" t="s">
        <v>186</v>
      </c>
      <c r="C466" s="416">
        <v>939</v>
      </c>
      <c r="D466" s="416">
        <v>1168</v>
      </c>
      <c r="E466" s="416">
        <v>2107</v>
      </c>
      <c r="F466" s="416">
        <v>62411947</v>
      </c>
      <c r="G466" s="416">
        <v>98823346</v>
      </c>
      <c r="H466" s="416">
        <v>161235293</v>
      </c>
      <c r="I466" s="400" t="s">
        <v>158</v>
      </c>
      <c r="J466" s="400" t="s">
        <v>799</v>
      </c>
      <c r="K466" s="401">
        <v>265512</v>
      </c>
      <c r="L466" s="400" t="s">
        <v>172</v>
      </c>
      <c r="M466" s="2"/>
      <c r="N466" s="2"/>
      <c r="O466" s="4"/>
    </row>
    <row r="467" spans="1:15" ht="15" x14ac:dyDescent="0.25">
      <c r="A467" s="400" t="s">
        <v>1114</v>
      </c>
      <c r="B467" s="400" t="s">
        <v>569</v>
      </c>
      <c r="C467" s="416">
        <v>971</v>
      </c>
      <c r="D467" s="416">
        <v>1507</v>
      </c>
      <c r="E467" s="416">
        <v>2478</v>
      </c>
      <c r="F467" s="416">
        <v>55787068</v>
      </c>
      <c r="G467" s="416">
        <v>101563048</v>
      </c>
      <c r="H467" s="416">
        <v>157350116</v>
      </c>
      <c r="I467" s="400" t="s">
        <v>158</v>
      </c>
      <c r="J467" s="400" t="s">
        <v>798</v>
      </c>
      <c r="K467" s="401">
        <v>320176</v>
      </c>
      <c r="L467" s="400" t="s">
        <v>233</v>
      </c>
      <c r="M467" s="2"/>
      <c r="N467" s="2"/>
      <c r="O467" s="4"/>
    </row>
    <row r="468" spans="1:15" ht="15" x14ac:dyDescent="0.25">
      <c r="A468" s="400" t="s">
        <v>1103</v>
      </c>
      <c r="B468" s="400" t="s">
        <v>1107</v>
      </c>
      <c r="C468" s="416">
        <v>414</v>
      </c>
      <c r="D468" s="416">
        <v>493</v>
      </c>
      <c r="E468" s="416">
        <v>907</v>
      </c>
      <c r="F468" s="416">
        <v>19008901</v>
      </c>
      <c r="G468" s="416">
        <v>27493653</v>
      </c>
      <c r="H468" s="416">
        <v>46502554</v>
      </c>
      <c r="I468" s="400" t="s">
        <v>69</v>
      </c>
      <c r="J468" s="400" t="s">
        <v>799</v>
      </c>
      <c r="K468" s="401">
        <v>408898</v>
      </c>
      <c r="L468" s="400" t="s">
        <v>389</v>
      </c>
      <c r="M468" s="2"/>
      <c r="N468" s="2"/>
      <c r="O468" s="4"/>
    </row>
    <row r="469" spans="1:15" ht="15" x14ac:dyDescent="0.25">
      <c r="A469" s="400" t="s">
        <v>1114</v>
      </c>
      <c r="B469" s="400" t="s">
        <v>622</v>
      </c>
      <c r="C469" s="416">
        <v>107</v>
      </c>
      <c r="D469" s="416">
        <v>188</v>
      </c>
      <c r="E469" s="416">
        <v>295</v>
      </c>
      <c r="F469" s="416">
        <v>4407057</v>
      </c>
      <c r="G469" s="416">
        <v>9963240</v>
      </c>
      <c r="H469" s="416">
        <v>14370297</v>
      </c>
      <c r="I469" s="400" t="s">
        <v>69</v>
      </c>
      <c r="J469" s="400" t="s">
        <v>798</v>
      </c>
      <c r="K469" s="401">
        <v>836494</v>
      </c>
      <c r="L469" s="400" t="s">
        <v>563</v>
      </c>
      <c r="M469" s="2"/>
      <c r="N469" s="2"/>
      <c r="O469" s="4"/>
    </row>
    <row r="470" spans="1:15" ht="15" x14ac:dyDescent="0.25">
      <c r="A470" s="400" t="s">
        <v>185</v>
      </c>
      <c r="B470" s="400" t="s">
        <v>857</v>
      </c>
      <c r="C470" s="416">
        <v>24</v>
      </c>
      <c r="D470" s="416">
        <v>53</v>
      </c>
      <c r="E470" s="416">
        <v>77</v>
      </c>
      <c r="F470" s="416">
        <v>1195549</v>
      </c>
      <c r="G470" s="416">
        <v>3157647</v>
      </c>
      <c r="H470" s="416">
        <v>4353197</v>
      </c>
      <c r="I470" s="400" t="s">
        <v>69</v>
      </c>
      <c r="J470" s="400" t="s">
        <v>798</v>
      </c>
      <c r="K470" s="401">
        <v>405290</v>
      </c>
      <c r="L470" s="400" t="s">
        <v>579</v>
      </c>
      <c r="M470" s="2"/>
      <c r="N470" s="2"/>
      <c r="O470" s="4"/>
    </row>
    <row r="471" spans="1:15" ht="15" customHeight="1" x14ac:dyDescent="0.25">
      <c r="A471" s="400" t="s">
        <v>185</v>
      </c>
      <c r="B471" s="400" t="s">
        <v>1047</v>
      </c>
      <c r="C471" s="416">
        <v>778</v>
      </c>
      <c r="D471" s="416">
        <v>753</v>
      </c>
      <c r="E471" s="416">
        <v>1531</v>
      </c>
      <c r="F471" s="416">
        <v>122258305</v>
      </c>
      <c r="G471" s="416">
        <v>135033613</v>
      </c>
      <c r="H471" s="416">
        <v>257291919</v>
      </c>
      <c r="I471" s="400" t="s">
        <v>69</v>
      </c>
      <c r="J471" s="400" t="s">
        <v>798</v>
      </c>
      <c r="K471" s="401">
        <v>708107</v>
      </c>
      <c r="L471" s="400" t="s">
        <v>294</v>
      </c>
      <c r="M471" s="2"/>
      <c r="N471" s="2"/>
      <c r="O471" s="4"/>
    </row>
    <row r="472" spans="1:15" ht="15" x14ac:dyDescent="0.25">
      <c r="A472" s="400" t="s">
        <v>223</v>
      </c>
      <c r="B472" s="400" t="s">
        <v>876</v>
      </c>
      <c r="C472" s="416">
        <v>2347</v>
      </c>
      <c r="D472" s="416">
        <v>2901</v>
      </c>
      <c r="E472" s="416">
        <v>5248</v>
      </c>
      <c r="F472" s="416">
        <v>149072493</v>
      </c>
      <c r="G472" s="416">
        <v>224837942</v>
      </c>
      <c r="H472" s="416">
        <v>373910435</v>
      </c>
      <c r="I472" s="400" t="s">
        <v>158</v>
      </c>
      <c r="J472" s="400" t="s">
        <v>798</v>
      </c>
      <c r="K472" s="401">
        <v>490292</v>
      </c>
      <c r="L472" s="400" t="s">
        <v>200</v>
      </c>
      <c r="M472" s="2"/>
      <c r="N472" s="2"/>
      <c r="O472" s="4"/>
    </row>
    <row r="473" spans="1:15" ht="15" x14ac:dyDescent="0.25">
      <c r="A473" s="400" t="s">
        <v>185</v>
      </c>
      <c r="B473" s="400" t="s">
        <v>184</v>
      </c>
      <c r="C473" s="416">
        <v>39353</v>
      </c>
      <c r="D473" s="416">
        <v>57121</v>
      </c>
      <c r="E473" s="416">
        <v>96474</v>
      </c>
      <c r="F473" s="416">
        <v>4077330639</v>
      </c>
      <c r="G473" s="416">
        <v>6489579876</v>
      </c>
      <c r="H473" s="416">
        <v>10566910514</v>
      </c>
      <c r="I473" s="400" t="s">
        <v>158</v>
      </c>
      <c r="J473" s="400" t="s">
        <v>798</v>
      </c>
      <c r="K473" s="401">
        <v>581371</v>
      </c>
      <c r="L473" s="400" t="s">
        <v>165</v>
      </c>
      <c r="M473" s="2"/>
      <c r="N473" s="2"/>
      <c r="O473" s="4"/>
    </row>
    <row r="474" spans="1:15" ht="15" x14ac:dyDescent="0.25">
      <c r="A474" s="400" t="s">
        <v>185</v>
      </c>
      <c r="B474" s="400" t="s">
        <v>535</v>
      </c>
      <c r="C474" s="416">
        <v>331</v>
      </c>
      <c r="D474" s="416">
        <v>397</v>
      </c>
      <c r="E474" s="416">
        <v>728</v>
      </c>
      <c r="F474" s="416">
        <v>12796883</v>
      </c>
      <c r="G474" s="416">
        <v>18146128</v>
      </c>
      <c r="H474" s="416">
        <v>30943011</v>
      </c>
      <c r="I474" s="400" t="s">
        <v>69</v>
      </c>
      <c r="J474" s="400" t="s">
        <v>798</v>
      </c>
      <c r="K474" s="401">
        <v>290668</v>
      </c>
      <c r="L474" s="400" t="s">
        <v>301</v>
      </c>
      <c r="M474" s="2"/>
      <c r="N474" s="2"/>
      <c r="O474" s="4"/>
    </row>
    <row r="475" spans="1:15" ht="15" x14ac:dyDescent="0.25">
      <c r="A475" s="400" t="s">
        <v>1112</v>
      </c>
      <c r="B475" s="400" t="s">
        <v>640</v>
      </c>
      <c r="C475" s="416">
        <v>686</v>
      </c>
      <c r="D475" s="416">
        <v>643</v>
      </c>
      <c r="E475" s="416">
        <v>1329</v>
      </c>
      <c r="F475" s="416">
        <v>40102879</v>
      </c>
      <c r="G475" s="416">
        <v>44873145</v>
      </c>
      <c r="H475" s="416">
        <v>84976025</v>
      </c>
      <c r="I475" s="400" t="s">
        <v>69</v>
      </c>
      <c r="J475" s="400" t="s">
        <v>798</v>
      </c>
      <c r="K475" s="401">
        <v>197517</v>
      </c>
      <c r="L475" s="400" t="s">
        <v>775</v>
      </c>
      <c r="M475" s="2"/>
      <c r="N475" s="2"/>
      <c r="O475" s="4"/>
    </row>
    <row r="476" spans="1:15" ht="15" x14ac:dyDescent="0.25">
      <c r="A476" s="400" t="s">
        <v>350</v>
      </c>
      <c r="B476" s="400" t="s">
        <v>820</v>
      </c>
      <c r="C476" s="416">
        <v>503</v>
      </c>
      <c r="D476" s="416">
        <v>1056</v>
      </c>
      <c r="E476" s="416">
        <v>1559</v>
      </c>
      <c r="F476" s="416">
        <v>26262933</v>
      </c>
      <c r="G476" s="416">
        <v>63102656</v>
      </c>
      <c r="H476" s="416">
        <v>89365590</v>
      </c>
      <c r="I476" s="400" t="s">
        <v>69</v>
      </c>
      <c r="J476" s="400" t="s">
        <v>798</v>
      </c>
      <c r="K476" s="401">
        <v>391896</v>
      </c>
      <c r="L476" s="400" t="s">
        <v>556</v>
      </c>
      <c r="M476" s="2"/>
      <c r="N476" s="2"/>
      <c r="O476" s="4"/>
    </row>
    <row r="477" spans="1:15" ht="15" x14ac:dyDescent="0.25">
      <c r="A477" s="400" t="s">
        <v>1109</v>
      </c>
      <c r="B477" s="400" t="s">
        <v>332</v>
      </c>
      <c r="C477" s="416">
        <v>3977</v>
      </c>
      <c r="D477" s="416">
        <v>5082</v>
      </c>
      <c r="E477" s="416">
        <v>9059</v>
      </c>
      <c r="F477" s="416">
        <v>294248853</v>
      </c>
      <c r="G477" s="416">
        <v>469375902</v>
      </c>
      <c r="H477" s="416">
        <v>763624755</v>
      </c>
      <c r="I477" s="400" t="s">
        <v>69</v>
      </c>
      <c r="J477" s="400" t="s">
        <v>799</v>
      </c>
      <c r="K477" s="401">
        <v>537639</v>
      </c>
      <c r="L477" s="400" t="s">
        <v>192</v>
      </c>
      <c r="M477" s="2"/>
      <c r="N477" s="2"/>
      <c r="O477" s="4"/>
    </row>
    <row r="478" spans="1:15" ht="15" x14ac:dyDescent="0.25">
      <c r="A478" s="400" t="s">
        <v>325</v>
      </c>
      <c r="B478" s="400" t="s">
        <v>101</v>
      </c>
      <c r="C478" s="416">
        <v>22597</v>
      </c>
      <c r="D478" s="416">
        <v>34269</v>
      </c>
      <c r="E478" s="416">
        <v>56866</v>
      </c>
      <c r="F478" s="416">
        <v>1864425326</v>
      </c>
      <c r="G478" s="416">
        <v>3207541233</v>
      </c>
      <c r="H478" s="416">
        <v>5071966559</v>
      </c>
      <c r="I478" s="400" t="s">
        <v>158</v>
      </c>
      <c r="J478" s="400" t="s">
        <v>798</v>
      </c>
      <c r="K478" s="401">
        <v>140491</v>
      </c>
      <c r="L478" s="400" t="s">
        <v>347</v>
      </c>
      <c r="M478" s="2"/>
      <c r="N478" s="2"/>
      <c r="O478" s="4"/>
    </row>
    <row r="479" spans="1:15" ht="15" x14ac:dyDescent="0.25">
      <c r="A479" s="400" t="s">
        <v>1103</v>
      </c>
      <c r="B479" s="400" t="s">
        <v>752</v>
      </c>
      <c r="C479" s="416">
        <v>87</v>
      </c>
      <c r="D479" s="416">
        <v>109</v>
      </c>
      <c r="E479" s="416">
        <v>196</v>
      </c>
      <c r="F479" s="416">
        <v>3394698</v>
      </c>
      <c r="G479" s="416">
        <v>7321439</v>
      </c>
      <c r="H479" s="416">
        <v>10716138</v>
      </c>
      <c r="I479" s="400" t="s">
        <v>69</v>
      </c>
      <c r="J479" s="400" t="s">
        <v>799</v>
      </c>
      <c r="K479" s="401">
        <v>945162</v>
      </c>
      <c r="L479" s="400" t="s">
        <v>476</v>
      </c>
      <c r="M479" s="2"/>
      <c r="N479" s="2"/>
      <c r="O479" s="4"/>
    </row>
    <row r="480" spans="1:15" ht="15" x14ac:dyDescent="0.25">
      <c r="A480" s="400" t="s">
        <v>325</v>
      </c>
      <c r="B480" s="400" t="s">
        <v>613</v>
      </c>
      <c r="C480" s="416">
        <v>178</v>
      </c>
      <c r="D480" s="416">
        <v>218</v>
      </c>
      <c r="E480" s="416">
        <v>396</v>
      </c>
      <c r="F480" s="416">
        <v>8031062</v>
      </c>
      <c r="G480" s="416">
        <v>11479344</v>
      </c>
      <c r="H480" s="416">
        <v>19510405</v>
      </c>
      <c r="I480" s="400" t="s">
        <v>69</v>
      </c>
      <c r="J480" s="400" t="s">
        <v>798</v>
      </c>
      <c r="K480" s="401">
        <v>390187</v>
      </c>
      <c r="L480" s="400" t="s">
        <v>558</v>
      </c>
      <c r="M480" s="2"/>
      <c r="N480" s="2"/>
      <c r="O480" s="4"/>
    </row>
    <row r="481" spans="1:15" ht="15" x14ac:dyDescent="0.25">
      <c r="A481" s="400" t="s">
        <v>381</v>
      </c>
      <c r="B481" s="400" t="s">
        <v>685</v>
      </c>
      <c r="C481" s="416">
        <v>1492</v>
      </c>
      <c r="D481" s="416">
        <v>2041</v>
      </c>
      <c r="E481" s="416">
        <v>3533</v>
      </c>
      <c r="F481" s="416">
        <v>45385333</v>
      </c>
      <c r="G481" s="416">
        <v>74629118</v>
      </c>
      <c r="H481" s="416">
        <v>120014451</v>
      </c>
      <c r="I481" s="400" t="s">
        <v>69</v>
      </c>
      <c r="J481" s="400" t="s">
        <v>798</v>
      </c>
      <c r="K481" s="401">
        <v>396325</v>
      </c>
      <c r="L481" s="400" t="s">
        <v>558</v>
      </c>
      <c r="M481" s="2"/>
      <c r="N481" s="2"/>
      <c r="O481" s="4"/>
    </row>
    <row r="482" spans="1:15" ht="15" x14ac:dyDescent="0.25">
      <c r="A482" s="400" t="s">
        <v>219</v>
      </c>
      <c r="B482" s="400" t="s">
        <v>726</v>
      </c>
      <c r="C482" s="416">
        <v>144</v>
      </c>
      <c r="D482" s="416">
        <v>198</v>
      </c>
      <c r="E482" s="416">
        <v>342</v>
      </c>
      <c r="F482" s="416">
        <v>6003850</v>
      </c>
      <c r="G482" s="416">
        <v>9666624</v>
      </c>
      <c r="H482" s="416">
        <v>15670474</v>
      </c>
      <c r="I482" s="400" t="s">
        <v>69</v>
      </c>
      <c r="J482" s="400" t="s">
        <v>798</v>
      </c>
      <c r="K482" s="401">
        <v>942623</v>
      </c>
      <c r="L482" s="400" t="s">
        <v>554</v>
      </c>
      <c r="M482" s="2"/>
      <c r="N482" s="2"/>
      <c r="O482" s="4"/>
    </row>
    <row r="483" spans="1:15" ht="15" x14ac:dyDescent="0.25">
      <c r="A483" s="400" t="s">
        <v>163</v>
      </c>
      <c r="B483" s="400" t="s">
        <v>269</v>
      </c>
      <c r="C483" s="416">
        <v>10968</v>
      </c>
      <c r="D483" s="416">
        <v>10745</v>
      </c>
      <c r="E483" s="416">
        <v>21713</v>
      </c>
      <c r="F483" s="416">
        <v>799598477</v>
      </c>
      <c r="G483" s="416">
        <v>920829319</v>
      </c>
      <c r="H483" s="416">
        <v>1720427796</v>
      </c>
      <c r="I483" s="400" t="s">
        <v>158</v>
      </c>
      <c r="J483" s="400" t="s">
        <v>792</v>
      </c>
      <c r="K483" s="401">
        <v>814772</v>
      </c>
      <c r="L483" s="400" t="s">
        <v>177</v>
      </c>
      <c r="M483" s="2"/>
      <c r="N483" s="2"/>
      <c r="O483" s="4"/>
    </row>
    <row r="484" spans="1:15" ht="15" x14ac:dyDescent="0.25">
      <c r="A484" s="400" t="s">
        <v>185</v>
      </c>
      <c r="B484" s="400" t="s">
        <v>280</v>
      </c>
      <c r="C484" s="416">
        <v>848</v>
      </c>
      <c r="D484" s="416">
        <v>1140</v>
      </c>
      <c r="E484" s="416">
        <v>1988</v>
      </c>
      <c r="F484" s="416">
        <v>51225638</v>
      </c>
      <c r="G484" s="416">
        <v>81660507</v>
      </c>
      <c r="H484" s="416">
        <v>132886145</v>
      </c>
      <c r="I484" s="400" t="s">
        <v>158</v>
      </c>
      <c r="J484" s="400" t="s">
        <v>798</v>
      </c>
      <c r="K484" s="401">
        <v>184119</v>
      </c>
      <c r="L484" s="400" t="s">
        <v>182</v>
      </c>
      <c r="M484" s="2"/>
      <c r="N484" s="2"/>
      <c r="O484" s="4"/>
    </row>
    <row r="485" spans="1:15" ht="15" x14ac:dyDescent="0.25">
      <c r="A485" s="400" t="s">
        <v>1105</v>
      </c>
      <c r="B485" s="400" t="s">
        <v>285</v>
      </c>
      <c r="C485" s="416">
        <v>4285</v>
      </c>
      <c r="D485" s="416">
        <v>4072</v>
      </c>
      <c r="E485" s="416">
        <v>8357</v>
      </c>
      <c r="F485" s="416">
        <v>158861708</v>
      </c>
      <c r="G485" s="416">
        <v>184363785</v>
      </c>
      <c r="H485" s="416">
        <v>343225493</v>
      </c>
      <c r="I485" s="400" t="s">
        <v>158</v>
      </c>
      <c r="J485" s="400" t="s">
        <v>799</v>
      </c>
      <c r="K485" s="401">
        <v>469817</v>
      </c>
      <c r="L485" s="400" t="s">
        <v>230</v>
      </c>
      <c r="M485" s="2"/>
      <c r="N485" s="2"/>
      <c r="O485" s="4"/>
    </row>
    <row r="486" spans="1:15" ht="15" x14ac:dyDescent="0.25">
      <c r="A486" s="400" t="s">
        <v>1106</v>
      </c>
      <c r="B486" s="400" t="s">
        <v>712</v>
      </c>
      <c r="C486" s="416">
        <v>1285</v>
      </c>
      <c r="D486" s="416">
        <v>1807</v>
      </c>
      <c r="E486" s="416">
        <v>3092</v>
      </c>
      <c r="F486" s="416">
        <v>166078861</v>
      </c>
      <c r="G486" s="416">
        <v>259066613</v>
      </c>
      <c r="H486" s="416">
        <v>425145474</v>
      </c>
      <c r="I486" s="400" t="s">
        <v>158</v>
      </c>
      <c r="J486" s="400" t="s">
        <v>795</v>
      </c>
      <c r="K486" s="401">
        <v>195628</v>
      </c>
      <c r="L486" s="400" t="s">
        <v>781</v>
      </c>
      <c r="M486" s="2"/>
      <c r="N486" s="2"/>
      <c r="O486" s="4"/>
    </row>
    <row r="487" spans="1:15" ht="15" x14ac:dyDescent="0.25">
      <c r="A487" s="400" t="s">
        <v>185</v>
      </c>
      <c r="B487" s="400" t="s">
        <v>1015</v>
      </c>
      <c r="C487" s="416">
        <v>1961</v>
      </c>
      <c r="D487" s="416">
        <v>3515</v>
      </c>
      <c r="E487" s="416">
        <v>5476</v>
      </c>
      <c r="F487" s="416">
        <v>173181027</v>
      </c>
      <c r="G487" s="416">
        <v>420733558</v>
      </c>
      <c r="H487" s="416">
        <v>593914585</v>
      </c>
      <c r="I487" s="400" t="s">
        <v>158</v>
      </c>
      <c r="J487" s="400" t="s">
        <v>798</v>
      </c>
      <c r="K487" s="401">
        <v>123968</v>
      </c>
      <c r="L487" s="400" t="s">
        <v>781</v>
      </c>
      <c r="M487" s="2"/>
      <c r="N487" s="2"/>
      <c r="O487" s="4"/>
    </row>
    <row r="488" spans="1:15" ht="15" x14ac:dyDescent="0.25">
      <c r="A488" s="400" t="s">
        <v>185</v>
      </c>
      <c r="B488" s="400" t="s">
        <v>763</v>
      </c>
      <c r="C488" s="416">
        <v>21</v>
      </c>
      <c r="D488" s="416">
        <v>27</v>
      </c>
      <c r="E488" s="416">
        <v>48</v>
      </c>
      <c r="F488" s="416">
        <v>690188</v>
      </c>
      <c r="G488" s="416">
        <v>1247814</v>
      </c>
      <c r="H488" s="416">
        <v>1938002</v>
      </c>
      <c r="I488" s="400" t="s">
        <v>69</v>
      </c>
      <c r="J488" s="400" t="s">
        <v>798</v>
      </c>
      <c r="K488" s="401">
        <v>179218</v>
      </c>
      <c r="L488" s="400" t="s">
        <v>768</v>
      </c>
      <c r="M488" s="2"/>
      <c r="N488" s="2"/>
      <c r="O488" s="4"/>
    </row>
    <row r="489" spans="1:15" ht="15" x14ac:dyDescent="0.25">
      <c r="A489" s="400" t="s">
        <v>1123</v>
      </c>
      <c r="B489" s="400" t="s">
        <v>477</v>
      </c>
      <c r="C489" s="416">
        <v>8341</v>
      </c>
      <c r="D489" s="416">
        <v>14365</v>
      </c>
      <c r="E489" s="416">
        <v>22706</v>
      </c>
      <c r="F489" s="416">
        <v>472998541</v>
      </c>
      <c r="G489" s="416">
        <v>1023203704</v>
      </c>
      <c r="H489" s="416">
        <v>1496202245</v>
      </c>
      <c r="I489" s="400" t="s">
        <v>158</v>
      </c>
      <c r="J489" s="400" t="s">
        <v>798</v>
      </c>
      <c r="K489" s="401">
        <v>505586</v>
      </c>
      <c r="L489" s="400" t="s">
        <v>192</v>
      </c>
      <c r="M489" s="2"/>
      <c r="N489" s="2"/>
      <c r="O489" s="4"/>
    </row>
    <row r="490" spans="1:15" ht="15" x14ac:dyDescent="0.25">
      <c r="A490" s="400" t="s">
        <v>259</v>
      </c>
      <c r="B490" s="400" t="s">
        <v>1055</v>
      </c>
      <c r="C490" s="416">
        <v>5232</v>
      </c>
      <c r="D490" s="416">
        <v>9092</v>
      </c>
      <c r="E490" s="416">
        <v>14324</v>
      </c>
      <c r="F490" s="416">
        <v>369686381</v>
      </c>
      <c r="G490" s="416">
        <v>720020250</v>
      </c>
      <c r="H490" s="416">
        <v>1089706630</v>
      </c>
      <c r="I490" s="400" t="s">
        <v>69</v>
      </c>
      <c r="J490" s="400" t="s">
        <v>798</v>
      </c>
      <c r="K490" s="401">
        <v>191676</v>
      </c>
      <c r="L490" s="400" t="s">
        <v>467</v>
      </c>
      <c r="M490" s="2"/>
      <c r="N490" s="2"/>
      <c r="O490" s="4"/>
    </row>
    <row r="491" spans="1:15" ht="15" customHeight="1" x14ac:dyDescent="0.25">
      <c r="A491" s="400" t="s">
        <v>305</v>
      </c>
      <c r="B491" s="400" t="s">
        <v>488</v>
      </c>
      <c r="C491" s="416">
        <v>3309</v>
      </c>
      <c r="D491" s="416">
        <v>3205</v>
      </c>
      <c r="E491" s="416">
        <v>6514</v>
      </c>
      <c r="F491" s="416">
        <v>215370517</v>
      </c>
      <c r="G491" s="416">
        <v>251001931</v>
      </c>
      <c r="H491" s="416">
        <v>466372448</v>
      </c>
      <c r="I491" s="400" t="s">
        <v>158</v>
      </c>
      <c r="J491" s="400" t="s">
        <v>798</v>
      </c>
      <c r="K491" s="401">
        <v>937433</v>
      </c>
      <c r="L491" s="400" t="s">
        <v>211</v>
      </c>
      <c r="M491" s="2"/>
      <c r="N491" s="2"/>
      <c r="O491" s="4"/>
    </row>
    <row r="492" spans="1:15" ht="15" x14ac:dyDescent="0.25">
      <c r="A492" s="400" t="s">
        <v>223</v>
      </c>
      <c r="B492" s="400" t="s">
        <v>98</v>
      </c>
      <c r="C492" s="416">
        <v>113707</v>
      </c>
      <c r="D492" s="416">
        <v>127228</v>
      </c>
      <c r="E492" s="416">
        <v>240935</v>
      </c>
      <c r="F492" s="416">
        <v>11102087865</v>
      </c>
      <c r="G492" s="416">
        <v>14808745384</v>
      </c>
      <c r="H492" s="416">
        <v>25910833250</v>
      </c>
      <c r="I492" s="400" t="s">
        <v>158</v>
      </c>
      <c r="J492" s="400" t="s">
        <v>798</v>
      </c>
      <c r="K492" s="401">
        <v>291906</v>
      </c>
      <c r="L492" s="400" t="s">
        <v>347</v>
      </c>
      <c r="M492" s="2"/>
      <c r="N492" s="2"/>
      <c r="O492" s="4"/>
    </row>
    <row r="493" spans="1:15" ht="15" x14ac:dyDescent="0.25">
      <c r="A493" s="400" t="s">
        <v>350</v>
      </c>
      <c r="B493" s="400" t="s">
        <v>1045</v>
      </c>
      <c r="C493" s="416">
        <v>399</v>
      </c>
      <c r="D493" s="416">
        <v>681</v>
      </c>
      <c r="E493" s="416">
        <v>1080</v>
      </c>
      <c r="F493" s="416">
        <v>14597391</v>
      </c>
      <c r="G493" s="416">
        <v>33883533</v>
      </c>
      <c r="H493" s="416">
        <v>48480925</v>
      </c>
      <c r="I493" s="400" t="s">
        <v>69</v>
      </c>
      <c r="J493" s="400" t="s">
        <v>798</v>
      </c>
      <c r="K493" s="401">
        <v>673699</v>
      </c>
      <c r="L493" s="400" t="s">
        <v>624</v>
      </c>
      <c r="M493" s="2"/>
      <c r="N493" s="2"/>
      <c r="O493" s="4"/>
    </row>
    <row r="494" spans="1:15" ht="15" x14ac:dyDescent="0.25">
      <c r="A494" s="400" t="s">
        <v>1089</v>
      </c>
      <c r="B494" s="400" t="s">
        <v>1001</v>
      </c>
      <c r="C494" s="416">
        <v>376</v>
      </c>
      <c r="D494" s="416">
        <v>306</v>
      </c>
      <c r="E494" s="416">
        <v>682</v>
      </c>
      <c r="F494" s="416">
        <v>15387554</v>
      </c>
      <c r="G494" s="416">
        <v>15193223</v>
      </c>
      <c r="H494" s="416">
        <v>30580777</v>
      </c>
      <c r="I494" s="400" t="s">
        <v>158</v>
      </c>
      <c r="J494" s="400" t="s">
        <v>795</v>
      </c>
      <c r="K494" s="401">
        <v>490706</v>
      </c>
      <c r="L494" s="400" t="s">
        <v>241</v>
      </c>
      <c r="M494" s="2"/>
      <c r="N494" s="2"/>
      <c r="O494" s="4"/>
    </row>
    <row r="495" spans="1:15" ht="15" x14ac:dyDescent="0.25">
      <c r="A495" s="400" t="s">
        <v>223</v>
      </c>
      <c r="B495" s="400" t="s">
        <v>408</v>
      </c>
      <c r="C495" s="416">
        <v>149</v>
      </c>
      <c r="D495" s="416">
        <v>305</v>
      </c>
      <c r="E495" s="416">
        <v>454</v>
      </c>
      <c r="F495" s="416">
        <v>7700634</v>
      </c>
      <c r="G495" s="416">
        <v>20057250</v>
      </c>
      <c r="H495" s="416">
        <v>27757884</v>
      </c>
      <c r="I495" s="400" t="s">
        <v>158</v>
      </c>
      <c r="J495" s="400" t="s">
        <v>798</v>
      </c>
      <c r="K495" s="401">
        <v>476895</v>
      </c>
      <c r="L495" s="400" t="s">
        <v>409</v>
      </c>
      <c r="M495" s="2"/>
      <c r="N495" s="2"/>
      <c r="O495" s="4"/>
    </row>
    <row r="496" spans="1:15" ht="15" x14ac:dyDescent="0.25">
      <c r="A496" s="400" t="s">
        <v>163</v>
      </c>
      <c r="B496" s="400" t="s">
        <v>261</v>
      </c>
      <c r="C496" s="416">
        <v>15423</v>
      </c>
      <c r="D496" s="416">
        <v>16991</v>
      </c>
      <c r="E496" s="416">
        <v>32414</v>
      </c>
      <c r="F496" s="416">
        <v>454519534</v>
      </c>
      <c r="G496" s="416">
        <v>632184978</v>
      </c>
      <c r="H496" s="416">
        <v>1086704512</v>
      </c>
      <c r="I496" s="400" t="s">
        <v>158</v>
      </c>
      <c r="J496" s="400" t="s">
        <v>792</v>
      </c>
      <c r="K496" s="401">
        <v>850602</v>
      </c>
      <c r="L496" s="400" t="s">
        <v>177</v>
      </c>
      <c r="M496" s="2"/>
      <c r="N496" s="2"/>
      <c r="O496" s="4"/>
    </row>
    <row r="497" spans="1:15" ht="15" x14ac:dyDescent="0.25">
      <c r="A497" s="400" t="s">
        <v>1112</v>
      </c>
      <c r="B497" s="400" t="s">
        <v>1014</v>
      </c>
      <c r="C497" s="416">
        <v>2521</v>
      </c>
      <c r="D497" s="416">
        <v>4666</v>
      </c>
      <c r="E497" s="416">
        <v>7187</v>
      </c>
      <c r="F497" s="416">
        <v>120418150</v>
      </c>
      <c r="G497" s="416">
        <v>264957135</v>
      </c>
      <c r="H497" s="416">
        <v>385375285</v>
      </c>
      <c r="I497" s="400" t="s">
        <v>158</v>
      </c>
      <c r="J497" s="400" t="s">
        <v>798</v>
      </c>
      <c r="K497" s="401">
        <v>551507</v>
      </c>
      <c r="L497" s="400" t="s">
        <v>177</v>
      </c>
      <c r="M497" s="2"/>
      <c r="N497" s="2"/>
      <c r="O497" s="4"/>
    </row>
    <row r="498" spans="1:15" ht="15" x14ac:dyDescent="0.25">
      <c r="A498" s="400" t="s">
        <v>302</v>
      </c>
      <c r="B498" s="400" t="s">
        <v>403</v>
      </c>
      <c r="C498" s="416">
        <v>9734</v>
      </c>
      <c r="D498" s="416">
        <v>10951</v>
      </c>
      <c r="E498" s="416">
        <v>20685</v>
      </c>
      <c r="F498" s="416">
        <v>287914736</v>
      </c>
      <c r="G498" s="416">
        <v>402747640</v>
      </c>
      <c r="H498" s="416">
        <v>690662376</v>
      </c>
      <c r="I498" s="400" t="s">
        <v>69</v>
      </c>
      <c r="J498" s="400" t="s">
        <v>798</v>
      </c>
      <c r="K498" s="401">
        <v>995571</v>
      </c>
      <c r="L498" s="400" t="s">
        <v>195</v>
      </c>
      <c r="M498" s="2"/>
      <c r="N498" s="2"/>
      <c r="O498" s="4"/>
    </row>
    <row r="499" spans="1:15" ht="15" x14ac:dyDescent="0.25">
      <c r="A499" s="400" t="s">
        <v>1112</v>
      </c>
      <c r="B499" s="400" t="s">
        <v>442</v>
      </c>
      <c r="C499" s="416">
        <v>14270</v>
      </c>
      <c r="D499" s="416">
        <v>18009</v>
      </c>
      <c r="E499" s="416">
        <v>32279</v>
      </c>
      <c r="F499" s="416">
        <v>688408546</v>
      </c>
      <c r="G499" s="416">
        <v>1013495083</v>
      </c>
      <c r="H499" s="416">
        <v>1701903630</v>
      </c>
      <c r="I499" s="400" t="s">
        <v>158</v>
      </c>
      <c r="J499" s="400" t="s">
        <v>798</v>
      </c>
      <c r="K499" s="401">
        <v>511139</v>
      </c>
      <c r="L499" s="400" t="s">
        <v>230</v>
      </c>
      <c r="M499" s="2"/>
      <c r="N499" s="2"/>
      <c r="O499" s="4"/>
    </row>
    <row r="500" spans="1:15" ht="15" x14ac:dyDescent="0.25">
      <c r="A500" s="400" t="s">
        <v>185</v>
      </c>
      <c r="B500" s="400" t="s">
        <v>917</v>
      </c>
      <c r="C500" s="416">
        <v>152</v>
      </c>
      <c r="D500" s="416">
        <v>181</v>
      </c>
      <c r="E500" s="416">
        <v>333</v>
      </c>
      <c r="F500" s="416">
        <v>7485992</v>
      </c>
      <c r="G500" s="416">
        <v>9735644</v>
      </c>
      <c r="H500" s="416">
        <v>17221636</v>
      </c>
      <c r="I500" s="400" t="s">
        <v>69</v>
      </c>
      <c r="J500" s="400" t="s">
        <v>798</v>
      </c>
      <c r="K500" s="401">
        <v>175265</v>
      </c>
      <c r="L500" s="400" t="s">
        <v>563</v>
      </c>
      <c r="M500" s="2"/>
      <c r="N500" s="2"/>
      <c r="O500" s="4"/>
    </row>
    <row r="501" spans="1:15" ht="15" x14ac:dyDescent="0.25">
      <c r="A501" s="400" t="s">
        <v>1098</v>
      </c>
      <c r="B501" s="400" t="s">
        <v>948</v>
      </c>
      <c r="C501" s="416">
        <v>89</v>
      </c>
      <c r="D501" s="416">
        <v>95</v>
      </c>
      <c r="E501" s="416">
        <v>184</v>
      </c>
      <c r="F501" s="416">
        <v>5563332</v>
      </c>
      <c r="G501" s="416">
        <v>7564632</v>
      </c>
      <c r="H501" s="416">
        <v>13127964</v>
      </c>
      <c r="I501" s="400" t="s">
        <v>158</v>
      </c>
      <c r="J501" s="400" t="s">
        <v>799</v>
      </c>
      <c r="K501" s="401">
        <v>273300</v>
      </c>
      <c r="L501" s="400" t="s">
        <v>175</v>
      </c>
      <c r="M501" s="2"/>
      <c r="N501" s="2"/>
      <c r="O501" s="4"/>
    </row>
    <row r="502" spans="1:15" ht="15" x14ac:dyDescent="0.25">
      <c r="A502" s="400" t="s">
        <v>1105</v>
      </c>
      <c r="B502" s="400" t="s">
        <v>1053</v>
      </c>
      <c r="C502" s="416">
        <v>434</v>
      </c>
      <c r="D502" s="416">
        <v>394</v>
      </c>
      <c r="E502" s="416">
        <v>828</v>
      </c>
      <c r="F502" s="416">
        <v>13566332</v>
      </c>
      <c r="G502" s="416">
        <v>14427014</v>
      </c>
      <c r="H502" s="416">
        <v>27993345</v>
      </c>
      <c r="I502" s="400" t="s">
        <v>158</v>
      </c>
      <c r="J502" s="400" t="s">
        <v>799</v>
      </c>
      <c r="K502" s="401">
        <v>439703</v>
      </c>
      <c r="L502" s="400" t="s">
        <v>170</v>
      </c>
      <c r="M502" s="2"/>
      <c r="N502" s="2"/>
      <c r="O502" s="4"/>
    </row>
    <row r="503" spans="1:15" ht="15" x14ac:dyDescent="0.25">
      <c r="A503" s="400" t="s">
        <v>1091</v>
      </c>
      <c r="B503" s="400" t="s">
        <v>221</v>
      </c>
      <c r="C503" s="416">
        <v>1131</v>
      </c>
      <c r="D503" s="416">
        <v>1387</v>
      </c>
      <c r="E503" s="416">
        <v>2518</v>
      </c>
      <c r="F503" s="416">
        <v>62724265</v>
      </c>
      <c r="G503" s="416">
        <v>97949190</v>
      </c>
      <c r="H503" s="416">
        <v>160673455</v>
      </c>
      <c r="I503" s="400" t="s">
        <v>158</v>
      </c>
      <c r="J503" s="400" t="s">
        <v>798</v>
      </c>
      <c r="K503" s="401">
        <v>229682</v>
      </c>
      <c r="L503" s="400" t="s">
        <v>172</v>
      </c>
      <c r="M503" s="2"/>
      <c r="N503" s="2"/>
      <c r="O503" s="4"/>
    </row>
    <row r="504" spans="1:15" ht="15" x14ac:dyDescent="0.25">
      <c r="A504" s="400" t="s">
        <v>185</v>
      </c>
      <c r="B504" s="400" t="s">
        <v>905</v>
      </c>
      <c r="C504" s="416">
        <v>33251</v>
      </c>
      <c r="D504" s="416">
        <v>34813</v>
      </c>
      <c r="E504" s="416">
        <v>68064</v>
      </c>
      <c r="F504" s="416">
        <v>3566138967</v>
      </c>
      <c r="G504" s="416">
        <v>4240018308</v>
      </c>
      <c r="H504" s="416">
        <v>7806157274</v>
      </c>
      <c r="I504" s="400" t="s">
        <v>69</v>
      </c>
      <c r="J504" s="400" t="s">
        <v>798</v>
      </c>
      <c r="K504" s="401">
        <v>286179</v>
      </c>
      <c r="L504" s="400" t="s">
        <v>863</v>
      </c>
      <c r="M504" s="2"/>
      <c r="N504" s="2"/>
      <c r="O504" s="4"/>
    </row>
    <row r="505" spans="1:15" ht="15" x14ac:dyDescent="0.25">
      <c r="A505" s="400" t="s">
        <v>1098</v>
      </c>
      <c r="B505" s="400" t="s">
        <v>778</v>
      </c>
      <c r="C505" s="416">
        <v>3</v>
      </c>
      <c r="D505" s="416">
        <v>6</v>
      </c>
      <c r="E505" s="416">
        <v>9</v>
      </c>
      <c r="F505" s="416">
        <v>107062</v>
      </c>
      <c r="G505" s="416">
        <v>327963</v>
      </c>
      <c r="H505" s="416">
        <v>435024</v>
      </c>
      <c r="I505" s="400" t="s">
        <v>69</v>
      </c>
      <c r="J505" s="400" t="s">
        <v>799</v>
      </c>
      <c r="K505" s="401">
        <v>456764</v>
      </c>
      <c r="L505" s="400" t="s">
        <v>770</v>
      </c>
      <c r="M505" s="2"/>
      <c r="N505" s="2"/>
      <c r="O505" s="4"/>
    </row>
    <row r="506" spans="1:15" ht="15" x14ac:dyDescent="0.25">
      <c r="A506" s="400" t="s">
        <v>1112</v>
      </c>
      <c r="B506" s="400" t="s">
        <v>395</v>
      </c>
      <c r="C506" s="416">
        <v>999</v>
      </c>
      <c r="D506" s="416">
        <v>1803</v>
      </c>
      <c r="E506" s="416">
        <v>2802</v>
      </c>
      <c r="F506" s="416">
        <v>52071842</v>
      </c>
      <c r="G506" s="416">
        <v>113425376</v>
      </c>
      <c r="H506" s="416">
        <v>165497219</v>
      </c>
      <c r="I506" s="400" t="s">
        <v>69</v>
      </c>
      <c r="J506" s="400" t="s">
        <v>798</v>
      </c>
      <c r="K506" s="401">
        <v>821736</v>
      </c>
      <c r="L506" s="400" t="s">
        <v>162</v>
      </c>
      <c r="M506" s="2"/>
      <c r="N506" s="2"/>
      <c r="O506" s="4"/>
    </row>
    <row r="507" spans="1:15" ht="15" x14ac:dyDescent="0.25">
      <c r="A507" s="400" t="s">
        <v>350</v>
      </c>
      <c r="B507" s="400" t="s">
        <v>427</v>
      </c>
      <c r="C507" s="416">
        <v>1725</v>
      </c>
      <c r="D507" s="416">
        <v>3099</v>
      </c>
      <c r="E507" s="416">
        <v>4824</v>
      </c>
      <c r="F507" s="416">
        <v>91965815</v>
      </c>
      <c r="G507" s="416">
        <v>215087765</v>
      </c>
      <c r="H507" s="416">
        <v>307053580</v>
      </c>
      <c r="I507" s="400" t="s">
        <v>158</v>
      </c>
      <c r="J507" s="400" t="s">
        <v>798</v>
      </c>
      <c r="K507" s="401">
        <v>617670</v>
      </c>
      <c r="L507" s="400" t="s">
        <v>198</v>
      </c>
      <c r="M507" s="2"/>
      <c r="N507" s="2"/>
      <c r="O507" s="4"/>
    </row>
    <row r="508" spans="1:15" ht="15" x14ac:dyDescent="0.25">
      <c r="A508" s="400" t="s">
        <v>1113</v>
      </c>
      <c r="B508" s="400" t="s">
        <v>789</v>
      </c>
      <c r="C508" s="416">
        <v>82</v>
      </c>
      <c r="D508" s="416">
        <v>135</v>
      </c>
      <c r="E508" s="416">
        <v>217</v>
      </c>
      <c r="F508" s="416">
        <v>2299274</v>
      </c>
      <c r="G508" s="416">
        <v>4645442</v>
      </c>
      <c r="H508" s="416">
        <v>6944716</v>
      </c>
      <c r="I508" s="400" t="s">
        <v>158</v>
      </c>
      <c r="J508" s="400" t="s">
        <v>798</v>
      </c>
      <c r="K508" s="401">
        <v>910398</v>
      </c>
      <c r="L508" s="400" t="s">
        <v>159</v>
      </c>
      <c r="M508" s="2"/>
      <c r="N508" s="2"/>
      <c r="O508" s="4"/>
    </row>
    <row r="509" spans="1:15" ht="15" x14ac:dyDescent="0.25">
      <c r="A509" s="400" t="s">
        <v>328</v>
      </c>
      <c r="B509" s="400" t="s">
        <v>961</v>
      </c>
      <c r="C509" s="416">
        <v>15</v>
      </c>
      <c r="D509" s="416">
        <v>30</v>
      </c>
      <c r="E509" s="416">
        <v>45</v>
      </c>
      <c r="F509" s="416">
        <v>680228</v>
      </c>
      <c r="G509" s="416">
        <v>1916474</v>
      </c>
      <c r="H509" s="416">
        <v>2596703</v>
      </c>
      <c r="I509" s="400" t="s">
        <v>69</v>
      </c>
      <c r="J509" s="400" t="s">
        <v>798</v>
      </c>
      <c r="K509" s="401">
        <v>161620</v>
      </c>
      <c r="L509" s="400" t="s">
        <v>915</v>
      </c>
      <c r="M509" s="2"/>
      <c r="N509" s="2"/>
      <c r="O509" s="4"/>
    </row>
    <row r="510" spans="1:15" ht="15" x14ac:dyDescent="0.25">
      <c r="A510" s="400" t="s">
        <v>1112</v>
      </c>
      <c r="B510" s="400" t="s">
        <v>308</v>
      </c>
      <c r="C510" s="416">
        <v>7664</v>
      </c>
      <c r="D510" s="416">
        <v>9456</v>
      </c>
      <c r="E510" s="416">
        <v>17120</v>
      </c>
      <c r="F510" s="416">
        <v>424004042</v>
      </c>
      <c r="G510" s="416">
        <v>632286523</v>
      </c>
      <c r="H510" s="416">
        <v>1056290565</v>
      </c>
      <c r="I510" s="400" t="s">
        <v>69</v>
      </c>
      <c r="J510" s="400" t="s">
        <v>798</v>
      </c>
      <c r="K510" s="401">
        <v>182287</v>
      </c>
      <c r="L510" s="400" t="s">
        <v>195</v>
      </c>
      <c r="M510" s="2"/>
      <c r="N510" s="2"/>
      <c r="O510" s="4"/>
    </row>
    <row r="511" spans="1:15" ht="15" x14ac:dyDescent="0.25">
      <c r="A511" s="400" t="s">
        <v>1103</v>
      </c>
      <c r="B511" s="400" t="s">
        <v>354</v>
      </c>
      <c r="C511" s="416">
        <v>359</v>
      </c>
      <c r="D511" s="416">
        <v>371</v>
      </c>
      <c r="E511" s="416">
        <v>730</v>
      </c>
      <c r="F511" s="416">
        <v>12856502</v>
      </c>
      <c r="G511" s="416">
        <v>17111752</v>
      </c>
      <c r="H511" s="416">
        <v>29968254</v>
      </c>
      <c r="I511" s="400" t="s">
        <v>69</v>
      </c>
      <c r="J511" s="400" t="s">
        <v>799</v>
      </c>
      <c r="K511" s="401">
        <v>316752</v>
      </c>
      <c r="L511" s="400" t="s">
        <v>1013</v>
      </c>
      <c r="M511" s="2"/>
      <c r="N511" s="2"/>
      <c r="O511" s="4"/>
    </row>
    <row r="512" spans="1:15" ht="15" x14ac:dyDescent="0.25">
      <c r="A512" s="400" t="s">
        <v>328</v>
      </c>
      <c r="B512" s="400" t="s">
        <v>536</v>
      </c>
      <c r="C512" s="416">
        <v>1279</v>
      </c>
      <c r="D512" s="416">
        <v>2023</v>
      </c>
      <c r="E512" s="416">
        <v>3302</v>
      </c>
      <c r="F512" s="416">
        <v>40068527</v>
      </c>
      <c r="G512" s="416">
        <v>79746775</v>
      </c>
      <c r="H512" s="416">
        <v>119815302</v>
      </c>
      <c r="I512" s="400" t="s">
        <v>69</v>
      </c>
      <c r="J512" s="400" t="s">
        <v>798</v>
      </c>
      <c r="K512" s="401">
        <v>376319</v>
      </c>
      <c r="L512" s="400" t="s">
        <v>383</v>
      </c>
      <c r="M512" s="2"/>
      <c r="N512" s="2"/>
      <c r="O512" s="4"/>
    </row>
    <row r="513" spans="1:15" ht="15" x14ac:dyDescent="0.25">
      <c r="A513" s="400" t="s">
        <v>219</v>
      </c>
      <c r="B513" s="400" t="s">
        <v>541</v>
      </c>
      <c r="C513" s="416">
        <v>31</v>
      </c>
      <c r="D513" s="416">
        <v>43</v>
      </c>
      <c r="E513" s="416">
        <v>74</v>
      </c>
      <c r="F513" s="416">
        <v>1218670</v>
      </c>
      <c r="G513" s="416">
        <v>2202020</v>
      </c>
      <c r="H513" s="416">
        <v>3420690</v>
      </c>
      <c r="I513" s="400" t="s">
        <v>69</v>
      </c>
      <c r="J513" s="400" t="s">
        <v>798</v>
      </c>
      <c r="K513" s="401">
        <v>238832</v>
      </c>
      <c r="L513" s="400" t="s">
        <v>330</v>
      </c>
      <c r="M513" s="2"/>
      <c r="N513" s="2"/>
      <c r="O513" s="4"/>
    </row>
    <row r="514" spans="1:15" ht="15" x14ac:dyDescent="0.25">
      <c r="A514" s="400" t="s">
        <v>219</v>
      </c>
      <c r="B514" s="400" t="s">
        <v>534</v>
      </c>
      <c r="C514" s="416">
        <v>578</v>
      </c>
      <c r="D514" s="416">
        <v>480</v>
      </c>
      <c r="E514" s="416">
        <v>1058</v>
      </c>
      <c r="F514" s="416">
        <v>22506251</v>
      </c>
      <c r="G514" s="416">
        <v>22442039</v>
      </c>
      <c r="H514" s="416">
        <v>44948290</v>
      </c>
      <c r="I514" s="400" t="s">
        <v>158</v>
      </c>
      <c r="J514" s="400" t="s">
        <v>798</v>
      </c>
      <c r="K514" s="401">
        <v>273078</v>
      </c>
      <c r="L514" s="400" t="s">
        <v>320</v>
      </c>
      <c r="M514" s="2"/>
      <c r="N514" s="2"/>
      <c r="O514" s="4"/>
    </row>
    <row r="515" spans="1:15" ht="15" x14ac:dyDescent="0.25">
      <c r="A515" s="400" t="s">
        <v>325</v>
      </c>
      <c r="B515" s="400" t="s">
        <v>1101</v>
      </c>
      <c r="C515" s="416">
        <v>5099</v>
      </c>
      <c r="D515" s="416">
        <v>4990</v>
      </c>
      <c r="E515" s="416">
        <v>10089</v>
      </c>
      <c r="F515" s="416">
        <v>245883437</v>
      </c>
      <c r="G515" s="416">
        <v>283550370</v>
      </c>
      <c r="H515" s="416">
        <v>529433807</v>
      </c>
      <c r="I515" s="400" t="s">
        <v>69</v>
      </c>
      <c r="J515" s="400" t="s">
        <v>798</v>
      </c>
      <c r="K515" s="401">
        <v>348987</v>
      </c>
      <c r="L515" s="400" t="s">
        <v>1129</v>
      </c>
      <c r="M515" s="2"/>
      <c r="N515" s="2"/>
      <c r="O515" s="4"/>
    </row>
    <row r="516" spans="1:15" ht="15" customHeight="1" x14ac:dyDescent="0.25">
      <c r="A516" s="400" t="s">
        <v>1091</v>
      </c>
      <c r="B516" s="400" t="s">
        <v>1006</v>
      </c>
      <c r="C516" s="416">
        <v>38262</v>
      </c>
      <c r="D516" s="416">
        <v>36055</v>
      </c>
      <c r="E516" s="416">
        <v>74317</v>
      </c>
      <c r="F516" s="416">
        <v>5488876250</v>
      </c>
      <c r="G516" s="416">
        <v>6564589063</v>
      </c>
      <c r="H516" s="416">
        <v>12053465313</v>
      </c>
      <c r="I516" s="400" t="s">
        <v>158</v>
      </c>
      <c r="J516" s="400" t="s">
        <v>798</v>
      </c>
      <c r="K516" s="401">
        <v>271478</v>
      </c>
      <c r="L516" s="400" t="s">
        <v>1007</v>
      </c>
      <c r="M516" s="2"/>
      <c r="N516" s="2"/>
      <c r="O516" s="4"/>
    </row>
    <row r="517" spans="1:15" ht="15" x14ac:dyDescent="0.25">
      <c r="A517" s="400" t="s">
        <v>163</v>
      </c>
      <c r="B517" s="400" t="s">
        <v>270</v>
      </c>
      <c r="C517" s="416">
        <v>8988</v>
      </c>
      <c r="D517" s="416">
        <v>8536</v>
      </c>
      <c r="E517" s="416">
        <v>17524</v>
      </c>
      <c r="F517" s="416">
        <v>1003290333</v>
      </c>
      <c r="G517" s="416">
        <v>1149791958</v>
      </c>
      <c r="H517" s="416">
        <v>2153082291</v>
      </c>
      <c r="I517" s="400" t="s">
        <v>158</v>
      </c>
      <c r="J517" s="400" t="s">
        <v>792</v>
      </c>
      <c r="K517" s="401">
        <v>778944</v>
      </c>
      <c r="L517" s="400" t="s">
        <v>177</v>
      </c>
      <c r="M517" s="2"/>
      <c r="N517" s="2"/>
      <c r="O517" s="4"/>
    </row>
    <row r="518" spans="1:15" ht="15" x14ac:dyDescent="0.25">
      <c r="A518" s="400" t="s">
        <v>1113</v>
      </c>
      <c r="B518" s="400" t="s">
        <v>359</v>
      </c>
      <c r="C518" s="416">
        <v>3535</v>
      </c>
      <c r="D518" s="416">
        <v>3849</v>
      </c>
      <c r="E518" s="416">
        <v>7384</v>
      </c>
      <c r="F518" s="416">
        <v>131639518</v>
      </c>
      <c r="G518" s="416">
        <v>187520966</v>
      </c>
      <c r="H518" s="416">
        <v>319160484</v>
      </c>
      <c r="I518" s="400" t="s">
        <v>69</v>
      </c>
      <c r="J518" s="400" t="s">
        <v>798</v>
      </c>
      <c r="K518" s="401">
        <v>494427</v>
      </c>
      <c r="L518" s="400" t="s">
        <v>195</v>
      </c>
      <c r="M518" s="2"/>
      <c r="N518" s="2"/>
      <c r="O518" s="4"/>
    </row>
    <row r="519" spans="1:15" ht="15" x14ac:dyDescent="0.25">
      <c r="A519" s="400" t="s">
        <v>219</v>
      </c>
      <c r="B519" s="400" t="s">
        <v>655</v>
      </c>
      <c r="C519" s="416">
        <v>268</v>
      </c>
      <c r="D519" s="416">
        <v>315</v>
      </c>
      <c r="E519" s="416">
        <v>583</v>
      </c>
      <c r="F519" s="416">
        <v>8164977</v>
      </c>
      <c r="G519" s="416">
        <v>12835651</v>
      </c>
      <c r="H519" s="416">
        <v>21000627</v>
      </c>
      <c r="I519" s="400" t="s">
        <v>69</v>
      </c>
      <c r="J519" s="400" t="s">
        <v>798</v>
      </c>
      <c r="K519" s="401">
        <v>475897</v>
      </c>
      <c r="L519" s="400" t="s">
        <v>1013</v>
      </c>
      <c r="M519" s="2"/>
      <c r="N519" s="2"/>
      <c r="O519" s="4"/>
    </row>
    <row r="520" spans="1:15" ht="15" x14ac:dyDescent="0.25">
      <c r="A520" s="400" t="s">
        <v>219</v>
      </c>
      <c r="B520" s="400" t="s">
        <v>203</v>
      </c>
      <c r="C520" s="416">
        <v>31818</v>
      </c>
      <c r="D520" s="416">
        <v>32019</v>
      </c>
      <c r="E520" s="416">
        <v>63837</v>
      </c>
      <c r="F520" s="416">
        <v>1156877924</v>
      </c>
      <c r="G520" s="416">
        <v>1412625601</v>
      </c>
      <c r="H520" s="416">
        <v>2569503525</v>
      </c>
      <c r="I520" s="400" t="s">
        <v>158</v>
      </c>
      <c r="J520" s="400" t="s">
        <v>798</v>
      </c>
      <c r="K520" s="401">
        <v>140673</v>
      </c>
      <c r="L520" s="400" t="s">
        <v>182</v>
      </c>
      <c r="M520" s="2"/>
      <c r="N520" s="2"/>
      <c r="O520" s="4"/>
    </row>
    <row r="521" spans="1:15" ht="15" x14ac:dyDescent="0.25">
      <c r="A521" s="400" t="s">
        <v>1103</v>
      </c>
      <c r="B521" s="400" t="s">
        <v>410</v>
      </c>
      <c r="C521" s="416">
        <v>77</v>
      </c>
      <c r="D521" s="416">
        <v>134</v>
      </c>
      <c r="E521" s="416">
        <v>211</v>
      </c>
      <c r="F521" s="416">
        <v>3758125</v>
      </c>
      <c r="G521" s="416">
        <v>10127133</v>
      </c>
      <c r="H521" s="416">
        <v>13885258</v>
      </c>
      <c r="I521" s="400" t="s">
        <v>158</v>
      </c>
      <c r="J521" s="400" t="s">
        <v>799</v>
      </c>
      <c r="K521" s="401">
        <v>934711</v>
      </c>
      <c r="L521" s="400" t="s">
        <v>188</v>
      </c>
      <c r="M521" s="2"/>
      <c r="N521" s="2"/>
      <c r="O521" s="4"/>
    </row>
    <row r="522" spans="1:15" ht="15" x14ac:dyDescent="0.25">
      <c r="A522" s="400" t="s">
        <v>381</v>
      </c>
      <c r="B522" s="400" t="s">
        <v>699</v>
      </c>
      <c r="C522" s="416">
        <v>348</v>
      </c>
      <c r="D522" s="416">
        <v>820</v>
      </c>
      <c r="E522" s="416">
        <v>1168</v>
      </c>
      <c r="F522" s="416">
        <v>18338513</v>
      </c>
      <c r="G522" s="416">
        <v>52182451</v>
      </c>
      <c r="H522" s="416">
        <v>70520965</v>
      </c>
      <c r="I522" s="400" t="s">
        <v>69</v>
      </c>
      <c r="J522" s="400" t="s">
        <v>798</v>
      </c>
      <c r="K522" s="401">
        <v>516914</v>
      </c>
      <c r="L522" s="400" t="s">
        <v>1029</v>
      </c>
      <c r="M522" s="2"/>
      <c r="N522" s="2"/>
      <c r="O522" s="4"/>
    </row>
    <row r="523" spans="1:15" ht="15" x14ac:dyDescent="0.25">
      <c r="A523" s="400" t="s">
        <v>205</v>
      </c>
      <c r="B523" s="400" t="s">
        <v>572</v>
      </c>
      <c r="C523" s="416">
        <v>291</v>
      </c>
      <c r="D523" s="416">
        <v>510</v>
      </c>
      <c r="E523" s="416">
        <v>801</v>
      </c>
      <c r="F523" s="416">
        <v>14486892</v>
      </c>
      <c r="G523" s="416">
        <v>30927666</v>
      </c>
      <c r="H523" s="416">
        <v>45414558</v>
      </c>
      <c r="I523" s="400" t="s">
        <v>69</v>
      </c>
      <c r="J523" s="400" t="s">
        <v>798</v>
      </c>
      <c r="K523" s="401">
        <v>757575</v>
      </c>
      <c r="L523" s="400" t="s">
        <v>418</v>
      </c>
      <c r="M523" s="2"/>
      <c r="N523" s="2"/>
      <c r="O523" s="4"/>
    </row>
    <row r="524" spans="1:15" ht="15" x14ac:dyDescent="0.25">
      <c r="A524" s="400" t="s">
        <v>223</v>
      </c>
      <c r="B524" s="400" t="s">
        <v>248</v>
      </c>
      <c r="C524" s="416">
        <v>12431</v>
      </c>
      <c r="D524" s="416">
        <v>16414</v>
      </c>
      <c r="E524" s="416">
        <v>28845</v>
      </c>
      <c r="F524" s="416">
        <v>734920107</v>
      </c>
      <c r="G524" s="416">
        <v>1186954230</v>
      </c>
      <c r="H524" s="416">
        <v>1921874336</v>
      </c>
      <c r="I524" s="400" t="s">
        <v>158</v>
      </c>
      <c r="J524" s="400" t="s">
        <v>798</v>
      </c>
      <c r="K524" s="401">
        <v>290072</v>
      </c>
      <c r="L524" s="400" t="s">
        <v>249</v>
      </c>
      <c r="M524" s="2"/>
      <c r="N524" s="2"/>
      <c r="O524" s="4"/>
    </row>
    <row r="525" spans="1:15" ht="15" x14ac:dyDescent="0.25">
      <c r="A525" s="400" t="s">
        <v>205</v>
      </c>
      <c r="B525" s="400" t="s">
        <v>621</v>
      </c>
      <c r="C525" s="416">
        <v>2706</v>
      </c>
      <c r="D525" s="416">
        <v>3483</v>
      </c>
      <c r="E525" s="416">
        <v>6189</v>
      </c>
      <c r="F525" s="416">
        <v>71354164</v>
      </c>
      <c r="G525" s="416">
        <v>119207845</v>
      </c>
      <c r="H525" s="416">
        <v>190562009</v>
      </c>
      <c r="I525" s="400" t="s">
        <v>69</v>
      </c>
      <c r="J525" s="400" t="s">
        <v>798</v>
      </c>
      <c r="K525" s="401">
        <v>174490</v>
      </c>
      <c r="L525" s="400" t="s">
        <v>775</v>
      </c>
      <c r="M525" s="2"/>
      <c r="N525" s="2"/>
      <c r="O525" s="4"/>
    </row>
    <row r="526" spans="1:15" ht="15" x14ac:dyDescent="0.25">
      <c r="A526" s="400" t="s">
        <v>223</v>
      </c>
      <c r="B526" s="400" t="s">
        <v>160</v>
      </c>
      <c r="C526" s="416">
        <v>31933</v>
      </c>
      <c r="D526" s="416">
        <v>54668</v>
      </c>
      <c r="E526" s="416">
        <v>86601</v>
      </c>
      <c r="F526" s="416">
        <v>2172909230</v>
      </c>
      <c r="G526" s="416">
        <v>4391628565</v>
      </c>
      <c r="H526" s="416">
        <v>6564537795</v>
      </c>
      <c r="I526" s="400" t="s">
        <v>158</v>
      </c>
      <c r="J526" s="400" t="s">
        <v>798</v>
      </c>
      <c r="K526" s="401">
        <v>734491</v>
      </c>
      <c r="L526" s="400" t="s">
        <v>161</v>
      </c>
      <c r="M526" s="2"/>
      <c r="N526" s="2"/>
      <c r="O526" s="4"/>
    </row>
    <row r="527" spans="1:15" ht="15" x14ac:dyDescent="0.25">
      <c r="A527" s="400" t="s">
        <v>1088</v>
      </c>
      <c r="B527" s="400" t="s">
        <v>498</v>
      </c>
      <c r="C527" s="416">
        <v>907</v>
      </c>
      <c r="D527" s="416">
        <v>1061</v>
      </c>
      <c r="E527" s="416">
        <v>1968</v>
      </c>
      <c r="F527" s="416">
        <v>38167073</v>
      </c>
      <c r="G527" s="416">
        <v>53648769</v>
      </c>
      <c r="H527" s="416">
        <v>91815842</v>
      </c>
      <c r="I527" s="400" t="s">
        <v>69</v>
      </c>
      <c r="J527" s="400" t="s">
        <v>795</v>
      </c>
      <c r="K527" s="401">
        <v>985895</v>
      </c>
      <c r="L527" s="400" t="s">
        <v>338</v>
      </c>
      <c r="M527" s="2"/>
      <c r="N527" s="2"/>
      <c r="O527" s="4"/>
    </row>
    <row r="528" spans="1:15" ht="15" x14ac:dyDescent="0.25">
      <c r="A528" s="400" t="s">
        <v>259</v>
      </c>
      <c r="B528" s="400" t="s">
        <v>824</v>
      </c>
      <c r="C528" s="416">
        <v>276</v>
      </c>
      <c r="D528" s="416">
        <v>612</v>
      </c>
      <c r="E528" s="416">
        <v>888</v>
      </c>
      <c r="F528" s="416">
        <v>15463868</v>
      </c>
      <c r="G528" s="416">
        <v>42429940</v>
      </c>
      <c r="H528" s="416">
        <v>57893807</v>
      </c>
      <c r="I528" s="400" t="s">
        <v>69</v>
      </c>
      <c r="J528" s="400" t="s">
        <v>798</v>
      </c>
      <c r="K528" s="401">
        <v>446088</v>
      </c>
      <c r="L528" s="400" t="s">
        <v>556</v>
      </c>
      <c r="M528" s="2"/>
      <c r="N528" s="2"/>
      <c r="O528" s="4"/>
    </row>
    <row r="529" spans="1:15" ht="15" x14ac:dyDescent="0.25">
      <c r="A529" s="400" t="s">
        <v>328</v>
      </c>
      <c r="B529" s="400" t="s">
        <v>834</v>
      </c>
      <c r="C529" s="416">
        <v>434</v>
      </c>
      <c r="D529" s="416">
        <v>534</v>
      </c>
      <c r="E529" s="416">
        <v>968</v>
      </c>
      <c r="F529" s="416">
        <v>13562703</v>
      </c>
      <c r="G529" s="416">
        <v>20876840</v>
      </c>
      <c r="H529" s="416">
        <v>34439544</v>
      </c>
      <c r="I529" s="400" t="s">
        <v>69</v>
      </c>
      <c r="J529" s="400" t="s">
        <v>798</v>
      </c>
      <c r="K529" s="401">
        <v>987784</v>
      </c>
      <c r="L529" s="400" t="s">
        <v>556</v>
      </c>
      <c r="M529" s="2"/>
      <c r="N529" s="2"/>
      <c r="O529" s="4"/>
    </row>
    <row r="530" spans="1:15" ht="15" x14ac:dyDescent="0.25">
      <c r="A530" s="400" t="s">
        <v>1087</v>
      </c>
      <c r="B530" s="400" t="s">
        <v>959</v>
      </c>
      <c r="C530" s="416">
        <v>4569</v>
      </c>
      <c r="D530" s="416">
        <v>4509</v>
      </c>
      <c r="E530" s="416">
        <v>9078</v>
      </c>
      <c r="F530" s="416">
        <v>421727343</v>
      </c>
      <c r="G530" s="416">
        <v>481937562</v>
      </c>
      <c r="H530" s="416">
        <v>903664905</v>
      </c>
      <c r="I530" s="400" t="s">
        <v>69</v>
      </c>
      <c r="J530" s="400" t="s">
        <v>792</v>
      </c>
      <c r="K530" s="401">
        <v>243022</v>
      </c>
      <c r="L530" s="400" t="s">
        <v>162</v>
      </c>
      <c r="M530" s="2"/>
      <c r="N530" s="2"/>
      <c r="O530" s="4"/>
    </row>
    <row r="531" spans="1:15" ht="15" x14ac:dyDescent="0.25">
      <c r="A531" s="400" t="s">
        <v>350</v>
      </c>
      <c r="B531" s="400" t="s">
        <v>850</v>
      </c>
      <c r="C531" s="416">
        <v>3196</v>
      </c>
      <c r="D531" s="416">
        <v>4766</v>
      </c>
      <c r="E531" s="416">
        <v>7962</v>
      </c>
      <c r="F531" s="416">
        <v>149353335</v>
      </c>
      <c r="G531" s="416">
        <v>282475739</v>
      </c>
      <c r="H531" s="416">
        <v>431829074</v>
      </c>
      <c r="I531" s="400" t="s">
        <v>69</v>
      </c>
      <c r="J531" s="400" t="s">
        <v>798</v>
      </c>
      <c r="K531" s="401">
        <v>233585</v>
      </c>
      <c r="L531" s="400" t="s">
        <v>579</v>
      </c>
      <c r="M531" s="2"/>
      <c r="N531" s="2"/>
      <c r="O531" s="4"/>
    </row>
    <row r="532" spans="1:15" ht="15" x14ac:dyDescent="0.25">
      <c r="A532" s="400" t="s">
        <v>1103</v>
      </c>
      <c r="B532" s="400" t="s">
        <v>784</v>
      </c>
      <c r="C532" s="416">
        <v>24</v>
      </c>
      <c r="D532" s="416">
        <v>52</v>
      </c>
      <c r="E532" s="416">
        <v>76</v>
      </c>
      <c r="F532" s="416">
        <v>1509082</v>
      </c>
      <c r="G532" s="416">
        <v>5113678</v>
      </c>
      <c r="H532" s="416">
        <v>6622760</v>
      </c>
      <c r="I532" s="400" t="s">
        <v>158</v>
      </c>
      <c r="J532" s="400" t="s">
        <v>799</v>
      </c>
      <c r="K532" s="401">
        <v>212621</v>
      </c>
      <c r="L532" s="400" t="s">
        <v>177</v>
      </c>
      <c r="M532" s="2"/>
      <c r="N532" s="2"/>
      <c r="O532" s="4"/>
    </row>
    <row r="533" spans="1:15" ht="15" x14ac:dyDescent="0.25">
      <c r="A533" s="400" t="s">
        <v>1099</v>
      </c>
      <c r="B533" s="400" t="s">
        <v>608</v>
      </c>
      <c r="C533" s="416">
        <v>442</v>
      </c>
      <c r="D533" s="416">
        <v>540</v>
      </c>
      <c r="E533" s="416">
        <v>982</v>
      </c>
      <c r="F533" s="416">
        <v>18136268</v>
      </c>
      <c r="G533" s="416">
        <v>28740108</v>
      </c>
      <c r="H533" s="416">
        <v>46876376</v>
      </c>
      <c r="I533" s="400" t="s">
        <v>69</v>
      </c>
      <c r="J533" s="400" t="s">
        <v>799</v>
      </c>
      <c r="K533" s="401">
        <v>173435</v>
      </c>
      <c r="L533" s="400" t="s">
        <v>1013</v>
      </c>
      <c r="M533" s="2"/>
      <c r="N533" s="2"/>
      <c r="O533" s="4"/>
    </row>
    <row r="534" spans="1:15" ht="15" x14ac:dyDescent="0.25">
      <c r="A534" s="400" t="s">
        <v>1112</v>
      </c>
      <c r="B534" s="400" t="s">
        <v>331</v>
      </c>
      <c r="C534" s="416">
        <v>1110</v>
      </c>
      <c r="D534" s="416">
        <v>1029</v>
      </c>
      <c r="E534" s="416">
        <v>2139</v>
      </c>
      <c r="F534" s="416">
        <v>60267789</v>
      </c>
      <c r="G534" s="416">
        <v>65629955</v>
      </c>
      <c r="H534" s="416">
        <v>125897744</v>
      </c>
      <c r="I534" s="400" t="s">
        <v>158</v>
      </c>
      <c r="J534" s="400" t="s">
        <v>798</v>
      </c>
      <c r="K534" s="401">
        <v>678128</v>
      </c>
      <c r="L534" s="400" t="s">
        <v>170</v>
      </c>
      <c r="M534" s="2"/>
      <c r="N534" s="2"/>
      <c r="O534" s="4"/>
    </row>
    <row r="535" spans="1:15" ht="15" x14ac:dyDescent="0.25">
      <c r="A535" s="400" t="s">
        <v>1108</v>
      </c>
      <c r="B535" s="400" t="s">
        <v>516</v>
      </c>
      <c r="C535" s="416">
        <v>43</v>
      </c>
      <c r="D535" s="416">
        <v>68</v>
      </c>
      <c r="E535" s="416">
        <v>111</v>
      </c>
      <c r="F535" s="416">
        <v>1613310</v>
      </c>
      <c r="G535" s="416">
        <v>2917212</v>
      </c>
      <c r="H535" s="416">
        <v>4530522</v>
      </c>
      <c r="I535" s="400" t="s">
        <v>69</v>
      </c>
      <c r="J535" s="400" t="s">
        <v>799</v>
      </c>
      <c r="K535" s="401">
        <v>543892</v>
      </c>
      <c r="L535" s="400" t="s">
        <v>517</v>
      </c>
      <c r="M535" s="2"/>
      <c r="N535" s="2"/>
      <c r="O535" s="4"/>
    </row>
    <row r="536" spans="1:15" ht="15" x14ac:dyDescent="0.25">
      <c r="A536" s="400" t="s">
        <v>219</v>
      </c>
      <c r="B536" s="400" t="s">
        <v>673</v>
      </c>
      <c r="C536" s="416">
        <v>117</v>
      </c>
      <c r="D536" s="416">
        <v>178</v>
      </c>
      <c r="E536" s="416">
        <v>295</v>
      </c>
      <c r="F536" s="416">
        <v>4806241</v>
      </c>
      <c r="G536" s="416">
        <v>8599343</v>
      </c>
      <c r="H536" s="416">
        <v>13405584</v>
      </c>
      <c r="I536" s="400" t="s">
        <v>69</v>
      </c>
      <c r="J536" s="400" t="s">
        <v>798</v>
      </c>
      <c r="K536" s="401">
        <v>579722</v>
      </c>
      <c r="L536" s="400" t="s">
        <v>517</v>
      </c>
      <c r="M536" s="2"/>
      <c r="N536" s="2"/>
      <c r="O536" s="4"/>
    </row>
    <row r="537" spans="1:15" ht="15" x14ac:dyDescent="0.25">
      <c r="A537" s="400" t="s">
        <v>185</v>
      </c>
      <c r="B537" s="400" t="s">
        <v>854</v>
      </c>
      <c r="C537" s="416">
        <v>2127</v>
      </c>
      <c r="D537" s="416">
        <v>2332</v>
      </c>
      <c r="E537" s="416">
        <v>4459</v>
      </c>
      <c r="F537" s="416">
        <v>438277615</v>
      </c>
      <c r="G537" s="416">
        <v>532474100</v>
      </c>
      <c r="H537" s="416">
        <v>970751715</v>
      </c>
      <c r="I537" s="400" t="s">
        <v>158</v>
      </c>
      <c r="J537" s="400" t="s">
        <v>798</v>
      </c>
      <c r="K537" s="401">
        <v>738500</v>
      </c>
      <c r="L537" s="400" t="s">
        <v>291</v>
      </c>
      <c r="M537" s="2"/>
      <c r="N537" s="2"/>
      <c r="O537" s="4"/>
    </row>
    <row r="538" spans="1:15" ht="15" x14ac:dyDescent="0.25">
      <c r="A538" s="400" t="s">
        <v>223</v>
      </c>
      <c r="B538" s="400" t="s">
        <v>487</v>
      </c>
      <c r="C538" s="416">
        <v>1040</v>
      </c>
      <c r="D538" s="416">
        <v>1081</v>
      </c>
      <c r="E538" s="416">
        <v>2121</v>
      </c>
      <c r="F538" s="416">
        <v>52234384</v>
      </c>
      <c r="G538" s="416">
        <v>63038352</v>
      </c>
      <c r="H538" s="416">
        <v>115272737</v>
      </c>
      <c r="I538" s="400" t="s">
        <v>158</v>
      </c>
      <c r="J538" s="400" t="s">
        <v>798</v>
      </c>
      <c r="K538" s="401">
        <v>832899</v>
      </c>
      <c r="L538" s="400" t="s">
        <v>211</v>
      </c>
      <c r="M538" s="2"/>
      <c r="N538" s="2"/>
      <c r="O538" s="4"/>
    </row>
    <row r="539" spans="1:15" ht="15" x14ac:dyDescent="0.25">
      <c r="A539" s="400" t="s">
        <v>296</v>
      </c>
      <c r="B539" s="400" t="s">
        <v>593</v>
      </c>
      <c r="C539" s="416">
        <v>442</v>
      </c>
      <c r="D539" s="416">
        <v>919</v>
      </c>
      <c r="E539" s="416">
        <v>1361</v>
      </c>
      <c r="F539" s="416">
        <v>26096026</v>
      </c>
      <c r="G539" s="416">
        <v>62409631</v>
      </c>
      <c r="H539" s="416">
        <v>88505657</v>
      </c>
      <c r="I539" s="400" t="s">
        <v>158</v>
      </c>
      <c r="J539" s="400" t="s">
        <v>798</v>
      </c>
      <c r="K539" s="401">
        <v>456236</v>
      </c>
      <c r="L539" s="400" t="s">
        <v>859</v>
      </c>
      <c r="M539" s="2"/>
      <c r="N539" s="2"/>
      <c r="O539" s="4"/>
    </row>
    <row r="540" spans="1:15" ht="15" x14ac:dyDescent="0.25">
      <c r="A540" s="400" t="s">
        <v>381</v>
      </c>
      <c r="B540" s="400" t="s">
        <v>946</v>
      </c>
      <c r="C540" s="416">
        <v>142</v>
      </c>
      <c r="D540" s="416">
        <v>298</v>
      </c>
      <c r="E540" s="416">
        <v>440</v>
      </c>
      <c r="F540" s="416">
        <v>7772369</v>
      </c>
      <c r="G540" s="416">
        <v>16636992</v>
      </c>
      <c r="H540" s="416">
        <v>24409361</v>
      </c>
      <c r="I540" s="400" t="s">
        <v>69</v>
      </c>
      <c r="J540" s="400" t="s">
        <v>798</v>
      </c>
      <c r="K540" s="401">
        <v>125799</v>
      </c>
      <c r="L540" s="400" t="s">
        <v>915</v>
      </c>
      <c r="M540" s="2"/>
      <c r="N540" s="2"/>
      <c r="O540" s="4"/>
    </row>
    <row r="541" spans="1:15" ht="15" x14ac:dyDescent="0.25">
      <c r="A541" s="400" t="s">
        <v>1089</v>
      </c>
      <c r="B541" s="400" t="s">
        <v>1048</v>
      </c>
      <c r="C541" s="416">
        <v>56</v>
      </c>
      <c r="D541" s="416">
        <v>174</v>
      </c>
      <c r="E541" s="416">
        <v>230</v>
      </c>
      <c r="F541" s="416">
        <v>10769980</v>
      </c>
      <c r="G541" s="416">
        <v>39280009</v>
      </c>
      <c r="H541" s="416">
        <v>50049989</v>
      </c>
      <c r="I541" s="400" t="s">
        <v>158</v>
      </c>
      <c r="J541" s="400" t="s">
        <v>795</v>
      </c>
      <c r="K541" s="401">
        <v>174904</v>
      </c>
      <c r="L541" s="400" t="s">
        <v>859</v>
      </c>
      <c r="M541" s="2"/>
      <c r="N541" s="2"/>
      <c r="O541" s="4"/>
    </row>
    <row r="542" spans="1:15" ht="15" x14ac:dyDescent="0.25">
      <c r="A542" s="400" t="s">
        <v>205</v>
      </c>
      <c r="B542" s="400" t="s">
        <v>851</v>
      </c>
      <c r="C542" s="416">
        <v>1477</v>
      </c>
      <c r="D542" s="416">
        <v>1671</v>
      </c>
      <c r="E542" s="416">
        <v>3148</v>
      </c>
      <c r="F542" s="416">
        <v>39652667</v>
      </c>
      <c r="G542" s="416">
        <v>56617479</v>
      </c>
      <c r="H542" s="416">
        <v>96270146</v>
      </c>
      <c r="I542" s="400" t="s">
        <v>69</v>
      </c>
      <c r="J542" s="400" t="s">
        <v>798</v>
      </c>
      <c r="K542" s="401">
        <v>275495</v>
      </c>
      <c r="L542" s="400" t="s">
        <v>579</v>
      </c>
      <c r="M542" s="2"/>
      <c r="N542" s="2"/>
      <c r="O542" s="4"/>
    </row>
    <row r="543" spans="1:15" ht="15" x14ac:dyDescent="0.25">
      <c r="A543" s="400" t="s">
        <v>1112</v>
      </c>
      <c r="B543" s="400" t="s">
        <v>494</v>
      </c>
      <c r="C543" s="416">
        <v>1957</v>
      </c>
      <c r="D543" s="416">
        <v>2934</v>
      </c>
      <c r="E543" s="416">
        <v>4891</v>
      </c>
      <c r="F543" s="416">
        <v>116297578</v>
      </c>
      <c r="G543" s="416">
        <v>213990132</v>
      </c>
      <c r="H543" s="416">
        <v>330287710</v>
      </c>
      <c r="I543" s="400" t="s">
        <v>69</v>
      </c>
      <c r="J543" s="400" t="s">
        <v>798</v>
      </c>
      <c r="K543" s="401">
        <v>174086</v>
      </c>
      <c r="L543" s="400" t="s">
        <v>465</v>
      </c>
      <c r="M543" s="2"/>
      <c r="N543" s="2"/>
      <c r="O543" s="4"/>
    </row>
    <row r="544" spans="1:15" ht="15" x14ac:dyDescent="0.25">
      <c r="A544" s="400" t="s">
        <v>1114</v>
      </c>
      <c r="B544" s="400" t="s">
        <v>985</v>
      </c>
      <c r="C544" s="416">
        <v>33</v>
      </c>
      <c r="D544" s="416">
        <v>38</v>
      </c>
      <c r="E544" s="416">
        <v>71</v>
      </c>
      <c r="F544" s="416">
        <v>1396021</v>
      </c>
      <c r="G544" s="416">
        <v>1531843</v>
      </c>
      <c r="H544" s="416">
        <v>2927863</v>
      </c>
      <c r="I544" s="400" t="s">
        <v>69</v>
      </c>
      <c r="J544" s="400" t="s">
        <v>798</v>
      </c>
      <c r="K544" s="401">
        <v>558882</v>
      </c>
      <c r="L544" s="400" t="s">
        <v>800</v>
      </c>
      <c r="M544" s="2"/>
      <c r="N544" s="2"/>
      <c r="O544" s="4"/>
    </row>
    <row r="545" spans="1:15" ht="15" x14ac:dyDescent="0.25">
      <c r="A545" s="400" t="s">
        <v>350</v>
      </c>
      <c r="B545" s="400" t="s">
        <v>378</v>
      </c>
      <c r="C545" s="416">
        <v>3197</v>
      </c>
      <c r="D545" s="416">
        <v>4542</v>
      </c>
      <c r="E545" s="416">
        <v>7739</v>
      </c>
      <c r="F545" s="416">
        <v>100932170</v>
      </c>
      <c r="G545" s="416">
        <v>195410476</v>
      </c>
      <c r="H545" s="416">
        <v>296342645</v>
      </c>
      <c r="I545" s="400" t="s">
        <v>69</v>
      </c>
      <c r="J545" s="400" t="s">
        <v>798</v>
      </c>
      <c r="K545" s="401">
        <v>653097</v>
      </c>
      <c r="L545" s="400" t="s">
        <v>195</v>
      </c>
      <c r="M545" s="2"/>
      <c r="N545" s="2"/>
      <c r="O545" s="4"/>
    </row>
    <row r="546" spans="1:15" ht="15" x14ac:dyDescent="0.25">
      <c r="A546" s="400" t="s">
        <v>185</v>
      </c>
      <c r="B546" s="400" t="s">
        <v>719</v>
      </c>
      <c r="C546" s="416">
        <v>158</v>
      </c>
      <c r="D546" s="416">
        <v>200</v>
      </c>
      <c r="E546" s="416">
        <v>358</v>
      </c>
      <c r="F546" s="416">
        <v>6020646</v>
      </c>
      <c r="G546" s="416">
        <v>9120955</v>
      </c>
      <c r="H546" s="416">
        <v>15141601</v>
      </c>
      <c r="I546" s="400" t="s">
        <v>69</v>
      </c>
      <c r="J546" s="400" t="s">
        <v>798</v>
      </c>
      <c r="K546" s="401">
        <v>923383</v>
      </c>
      <c r="L546" s="400" t="s">
        <v>1013</v>
      </c>
      <c r="M546" s="2"/>
      <c r="N546" s="2"/>
      <c r="O546" s="4"/>
    </row>
    <row r="547" spans="1:15" ht="15" x14ac:dyDescent="0.25">
      <c r="A547" s="400" t="s">
        <v>1106</v>
      </c>
      <c r="B547" s="400" t="s">
        <v>438</v>
      </c>
      <c r="C547" s="416">
        <v>6490</v>
      </c>
      <c r="D547" s="416">
        <v>5368</v>
      </c>
      <c r="E547" s="416">
        <v>11858</v>
      </c>
      <c r="F547" s="416">
        <v>278970690</v>
      </c>
      <c r="G547" s="416">
        <v>274354856</v>
      </c>
      <c r="H547" s="416">
        <v>553325547</v>
      </c>
      <c r="I547" s="400" t="s">
        <v>158</v>
      </c>
      <c r="J547" s="400" t="s">
        <v>795</v>
      </c>
      <c r="K547" s="401">
        <v>546960</v>
      </c>
      <c r="L547" s="400" t="s">
        <v>230</v>
      </c>
      <c r="M547" s="2"/>
      <c r="N547" s="2"/>
      <c r="O547" s="4"/>
    </row>
    <row r="548" spans="1:15" ht="15" x14ac:dyDescent="0.25">
      <c r="A548" s="400" t="s">
        <v>302</v>
      </c>
      <c r="B548" s="400" t="s">
        <v>483</v>
      </c>
      <c r="C548" s="416">
        <v>56</v>
      </c>
      <c r="D548" s="416">
        <v>87</v>
      </c>
      <c r="E548" s="416">
        <v>143</v>
      </c>
      <c r="F548" s="416">
        <v>3361175</v>
      </c>
      <c r="G548" s="416">
        <v>5399562</v>
      </c>
      <c r="H548" s="416">
        <v>8760737</v>
      </c>
      <c r="I548" s="400" t="s">
        <v>158</v>
      </c>
      <c r="J548" s="400" t="s">
        <v>798</v>
      </c>
      <c r="K548" s="401">
        <v>802900</v>
      </c>
      <c r="L548" s="400" t="s">
        <v>230</v>
      </c>
      <c r="M548" s="2"/>
      <c r="N548" s="2"/>
      <c r="O548" s="4"/>
    </row>
    <row r="549" spans="1:15" ht="15" x14ac:dyDescent="0.25">
      <c r="A549" s="400" t="s">
        <v>302</v>
      </c>
      <c r="B549" s="400" t="s">
        <v>706</v>
      </c>
      <c r="C549" s="416">
        <v>2619</v>
      </c>
      <c r="D549" s="416">
        <v>3256</v>
      </c>
      <c r="E549" s="416">
        <v>5875</v>
      </c>
      <c r="F549" s="416">
        <v>64656677</v>
      </c>
      <c r="G549" s="416">
        <v>114718444</v>
      </c>
      <c r="H549" s="416">
        <v>179375121</v>
      </c>
      <c r="I549" s="400" t="s">
        <v>158</v>
      </c>
      <c r="J549" s="400" t="s">
        <v>798</v>
      </c>
      <c r="K549" s="401">
        <v>861229</v>
      </c>
      <c r="L549" s="400" t="s">
        <v>707</v>
      </c>
      <c r="M549" s="2"/>
      <c r="N549" s="2"/>
      <c r="O549" s="4"/>
    </row>
    <row r="550" spans="1:15" ht="15" x14ac:dyDescent="0.25">
      <c r="A550" s="400" t="s">
        <v>1110</v>
      </c>
      <c r="B550" s="400" t="s">
        <v>1120</v>
      </c>
      <c r="C550" s="416">
        <v>2126</v>
      </c>
      <c r="D550" s="416">
        <v>4018</v>
      </c>
      <c r="E550" s="416">
        <v>6144</v>
      </c>
      <c r="F550" s="416">
        <v>100875569</v>
      </c>
      <c r="G550" s="416">
        <v>249530476</v>
      </c>
      <c r="H550" s="416">
        <v>350406044</v>
      </c>
      <c r="I550" s="400" t="s">
        <v>69</v>
      </c>
      <c r="J550" s="400" t="s">
        <v>798</v>
      </c>
      <c r="K550" s="401">
        <v>305003</v>
      </c>
      <c r="L550" s="400" t="s">
        <v>775</v>
      </c>
      <c r="M550" s="2"/>
      <c r="N550" s="2"/>
      <c r="O550" s="4"/>
    </row>
    <row r="551" spans="1:15" ht="15" x14ac:dyDescent="0.25">
      <c r="A551" s="400" t="s">
        <v>1100</v>
      </c>
      <c r="B551" s="400" t="s">
        <v>457</v>
      </c>
      <c r="C551" s="416">
        <v>539</v>
      </c>
      <c r="D551" s="416">
        <v>473</v>
      </c>
      <c r="E551" s="416">
        <v>1012</v>
      </c>
      <c r="F551" s="416">
        <v>15185427</v>
      </c>
      <c r="G551" s="416">
        <v>14793019</v>
      </c>
      <c r="H551" s="416">
        <v>29978446</v>
      </c>
      <c r="I551" s="400" t="s">
        <v>69</v>
      </c>
      <c r="J551" s="400" t="s">
        <v>795</v>
      </c>
      <c r="K551" s="401">
        <v>480145</v>
      </c>
      <c r="L551" s="400" t="s">
        <v>338</v>
      </c>
      <c r="M551" s="2"/>
      <c r="N551" s="2"/>
      <c r="O551" s="4"/>
    </row>
    <row r="552" spans="1:15" ht="15" x14ac:dyDescent="0.25">
      <c r="A552" s="400" t="s">
        <v>369</v>
      </c>
      <c r="B552" s="400" t="s">
        <v>581</v>
      </c>
      <c r="C552" s="416">
        <v>1077</v>
      </c>
      <c r="D552" s="416">
        <v>1398</v>
      </c>
      <c r="E552" s="416">
        <v>2475</v>
      </c>
      <c r="F552" s="416">
        <v>28003145</v>
      </c>
      <c r="G552" s="416">
        <v>46258442</v>
      </c>
      <c r="H552" s="416">
        <v>74261587</v>
      </c>
      <c r="I552" s="400" t="s">
        <v>69</v>
      </c>
      <c r="J552" s="400" t="s">
        <v>798</v>
      </c>
      <c r="K552" s="401">
        <v>235291</v>
      </c>
      <c r="L552" s="400" t="s">
        <v>435</v>
      </c>
      <c r="M552" s="2"/>
      <c r="N552" s="2"/>
      <c r="O552" s="4"/>
    </row>
    <row r="553" spans="1:15" ht="15" x14ac:dyDescent="0.25">
      <c r="A553" s="400" t="s">
        <v>223</v>
      </c>
      <c r="B553" s="400" t="s">
        <v>335</v>
      </c>
      <c r="C553" s="416">
        <v>5997</v>
      </c>
      <c r="D553" s="416">
        <v>4594</v>
      </c>
      <c r="E553" s="416">
        <v>10591</v>
      </c>
      <c r="F553" s="416">
        <v>369066894</v>
      </c>
      <c r="G553" s="416">
        <v>345960102</v>
      </c>
      <c r="H553" s="416">
        <v>715026997</v>
      </c>
      <c r="I553" s="400" t="s">
        <v>158</v>
      </c>
      <c r="J553" s="400" t="s">
        <v>798</v>
      </c>
      <c r="K553" s="401">
        <v>838441</v>
      </c>
      <c r="L553" s="400" t="s">
        <v>334</v>
      </c>
      <c r="M553" s="2"/>
      <c r="N553" s="2"/>
      <c r="O553" s="4"/>
    </row>
    <row r="554" spans="1:15" ht="15" x14ac:dyDescent="0.25">
      <c r="A554" s="400" t="s">
        <v>1109</v>
      </c>
      <c r="B554" s="400" t="s">
        <v>921</v>
      </c>
      <c r="C554" s="416">
        <v>10</v>
      </c>
      <c r="D554" s="416">
        <v>18</v>
      </c>
      <c r="E554" s="416">
        <v>28</v>
      </c>
      <c r="F554" s="416">
        <v>1060844</v>
      </c>
      <c r="G554" s="416">
        <v>1970451</v>
      </c>
      <c r="H554" s="416">
        <v>3031295</v>
      </c>
      <c r="I554" s="400" t="s">
        <v>69</v>
      </c>
      <c r="J554" s="400" t="s">
        <v>799</v>
      </c>
      <c r="K554" s="401">
        <v>386870</v>
      </c>
      <c r="L554" s="400" t="s">
        <v>919</v>
      </c>
      <c r="M554" s="2"/>
      <c r="N554" s="2"/>
      <c r="O554" s="4"/>
    </row>
    <row r="555" spans="1:15" ht="15" x14ac:dyDescent="0.25">
      <c r="A555" s="400" t="s">
        <v>1111</v>
      </c>
      <c r="B555" s="400" t="s">
        <v>774</v>
      </c>
      <c r="C555" s="416">
        <v>203</v>
      </c>
      <c r="D555" s="416">
        <v>246</v>
      </c>
      <c r="E555" s="416">
        <v>449</v>
      </c>
      <c r="F555" s="416">
        <v>9351455</v>
      </c>
      <c r="G555" s="416">
        <v>12973625</v>
      </c>
      <c r="H555" s="416">
        <v>22325080</v>
      </c>
      <c r="I555" s="400" t="s">
        <v>69</v>
      </c>
      <c r="J555" s="400" t="s">
        <v>798</v>
      </c>
      <c r="K555" s="401">
        <v>920371</v>
      </c>
      <c r="L555" s="400" t="s">
        <v>756</v>
      </c>
      <c r="M555" s="2"/>
      <c r="N555" s="2"/>
      <c r="O555" s="4"/>
    </row>
    <row r="556" spans="1:15" ht="15" x14ac:dyDescent="0.25">
      <c r="A556" s="400" t="s">
        <v>185</v>
      </c>
      <c r="B556" s="400" t="s">
        <v>385</v>
      </c>
      <c r="C556" s="416">
        <v>4456</v>
      </c>
      <c r="D556" s="416">
        <v>6923</v>
      </c>
      <c r="E556" s="416">
        <v>11379</v>
      </c>
      <c r="F556" s="416">
        <v>285188626</v>
      </c>
      <c r="G556" s="416">
        <v>507092585</v>
      </c>
      <c r="H556" s="416">
        <v>792281211</v>
      </c>
      <c r="I556" s="400" t="s">
        <v>158</v>
      </c>
      <c r="J556" s="400" t="s">
        <v>798</v>
      </c>
      <c r="K556" s="401">
        <v>541235</v>
      </c>
      <c r="L556" s="400" t="s">
        <v>347</v>
      </c>
      <c r="M556" s="2"/>
      <c r="N556" s="2"/>
      <c r="O556" s="4"/>
    </row>
    <row r="557" spans="1:15" ht="15" x14ac:dyDescent="0.25">
      <c r="A557" s="400" t="s">
        <v>1099</v>
      </c>
      <c r="B557" s="400" t="s">
        <v>998</v>
      </c>
      <c r="C557" s="416">
        <v>24</v>
      </c>
      <c r="D557" s="416">
        <v>34</v>
      </c>
      <c r="E557" s="416">
        <v>58</v>
      </c>
      <c r="F557" s="416">
        <v>1174303</v>
      </c>
      <c r="G557" s="416">
        <v>2658150</v>
      </c>
      <c r="H557" s="416">
        <v>3832452</v>
      </c>
      <c r="I557" s="400" t="s">
        <v>69</v>
      </c>
      <c r="J557" s="400" t="s">
        <v>799</v>
      </c>
      <c r="K557" s="401">
        <v>420935</v>
      </c>
      <c r="L557" s="400" t="s">
        <v>770</v>
      </c>
      <c r="M557" s="2"/>
      <c r="N557" s="2"/>
      <c r="O557" s="4"/>
    </row>
    <row r="558" spans="1:15" ht="15" x14ac:dyDescent="0.25">
      <c r="A558" s="400" t="s">
        <v>219</v>
      </c>
      <c r="B558" s="400" t="s">
        <v>617</v>
      </c>
      <c r="C558" s="416">
        <v>1868</v>
      </c>
      <c r="D558" s="416">
        <v>3351</v>
      </c>
      <c r="E558" s="416">
        <v>5219</v>
      </c>
      <c r="F558" s="416">
        <v>156910204</v>
      </c>
      <c r="G558" s="416">
        <v>365432695</v>
      </c>
      <c r="H558" s="416">
        <v>522342899</v>
      </c>
      <c r="I558" s="400" t="s">
        <v>69</v>
      </c>
      <c r="J558" s="400" t="s">
        <v>798</v>
      </c>
      <c r="K558" s="401">
        <v>755090</v>
      </c>
      <c r="L558" s="400" t="s">
        <v>558</v>
      </c>
      <c r="M558" s="2"/>
      <c r="N558" s="2"/>
      <c r="O558" s="4"/>
    </row>
    <row r="559" spans="1:15" ht="15" x14ac:dyDescent="0.25">
      <c r="A559" s="400" t="s">
        <v>1089</v>
      </c>
      <c r="B559" s="400" t="s">
        <v>448</v>
      </c>
      <c r="C559" s="416">
        <v>2664</v>
      </c>
      <c r="D559" s="416">
        <v>3093</v>
      </c>
      <c r="E559" s="416">
        <v>5757</v>
      </c>
      <c r="F559" s="416">
        <v>120968725</v>
      </c>
      <c r="G559" s="416">
        <v>162666420</v>
      </c>
      <c r="H559" s="416">
        <v>283635145</v>
      </c>
      <c r="I559" s="400" t="s">
        <v>158</v>
      </c>
      <c r="J559" s="400" t="s">
        <v>795</v>
      </c>
      <c r="K559" s="401">
        <v>626291</v>
      </c>
      <c r="L559" s="400" t="s">
        <v>159</v>
      </c>
      <c r="M559" s="2"/>
      <c r="N559" s="2"/>
      <c r="O559" s="4"/>
    </row>
    <row r="560" spans="1:15" ht="15" x14ac:dyDescent="0.25">
      <c r="A560" s="400" t="s">
        <v>185</v>
      </c>
      <c r="B560" s="400" t="s">
        <v>396</v>
      </c>
      <c r="C560" s="416">
        <v>1968</v>
      </c>
      <c r="D560" s="416">
        <v>2081</v>
      </c>
      <c r="E560" s="416">
        <v>4049</v>
      </c>
      <c r="F560" s="416">
        <v>101391749</v>
      </c>
      <c r="G560" s="416">
        <v>140905290</v>
      </c>
      <c r="H560" s="416">
        <v>242297039</v>
      </c>
      <c r="I560" s="400" t="s">
        <v>158</v>
      </c>
      <c r="J560" s="400" t="s">
        <v>798</v>
      </c>
      <c r="K560" s="401">
        <v>522581</v>
      </c>
      <c r="L560" s="400" t="s">
        <v>177</v>
      </c>
      <c r="M560" s="2"/>
      <c r="N560" s="2"/>
      <c r="O560" s="4"/>
    </row>
    <row r="561" spans="1:15" ht="15" x14ac:dyDescent="0.25">
      <c r="A561" s="400" t="s">
        <v>1099</v>
      </c>
      <c r="B561" s="400" t="s">
        <v>468</v>
      </c>
      <c r="C561" s="416">
        <v>271</v>
      </c>
      <c r="D561" s="416">
        <v>352</v>
      </c>
      <c r="E561" s="416">
        <v>623</v>
      </c>
      <c r="F561" s="416">
        <v>10143013</v>
      </c>
      <c r="G561" s="416">
        <v>15862654</v>
      </c>
      <c r="H561" s="416">
        <v>26005667</v>
      </c>
      <c r="I561" s="400" t="s">
        <v>69</v>
      </c>
      <c r="J561" s="400" t="s">
        <v>799</v>
      </c>
      <c r="K561" s="401">
        <v>103010</v>
      </c>
      <c r="L561" s="400" t="s">
        <v>465</v>
      </c>
      <c r="M561" s="2"/>
      <c r="N561" s="2"/>
      <c r="O561" s="4"/>
    </row>
    <row r="562" spans="1:15" ht="15" x14ac:dyDescent="0.25">
      <c r="A562" s="400" t="s">
        <v>1110</v>
      </c>
      <c r="B562" s="400" t="s">
        <v>995</v>
      </c>
      <c r="C562" s="416">
        <v>73</v>
      </c>
      <c r="D562" s="416">
        <v>193</v>
      </c>
      <c r="E562" s="416">
        <v>266</v>
      </c>
      <c r="F562" s="416">
        <v>3661487</v>
      </c>
      <c r="G562" s="416">
        <v>10252378</v>
      </c>
      <c r="H562" s="416">
        <v>13913866</v>
      </c>
      <c r="I562" s="400" t="s">
        <v>158</v>
      </c>
      <c r="J562" s="400" t="s">
        <v>798</v>
      </c>
      <c r="K562" s="401">
        <v>840504</v>
      </c>
      <c r="L562" s="400" t="s">
        <v>859</v>
      </c>
      <c r="M562" s="2"/>
      <c r="N562" s="2"/>
      <c r="O562" s="4"/>
    </row>
    <row r="563" spans="1:15" ht="15" x14ac:dyDescent="0.25">
      <c r="A563" s="400" t="s">
        <v>219</v>
      </c>
      <c r="B563" s="400" t="s">
        <v>940</v>
      </c>
      <c r="C563" s="416">
        <v>11</v>
      </c>
      <c r="D563" s="416">
        <v>31</v>
      </c>
      <c r="E563" s="416">
        <v>42</v>
      </c>
      <c r="F563" s="416">
        <v>720140</v>
      </c>
      <c r="G563" s="416">
        <v>2094887</v>
      </c>
      <c r="H563" s="416">
        <v>2815027</v>
      </c>
      <c r="I563" s="400" t="s">
        <v>69</v>
      </c>
      <c r="J563" s="400" t="s">
        <v>798</v>
      </c>
      <c r="K563" s="401">
        <v>551440</v>
      </c>
      <c r="L563" s="400" t="s">
        <v>838</v>
      </c>
      <c r="M563" s="2"/>
      <c r="N563" s="2"/>
      <c r="O563" s="4"/>
    </row>
    <row r="564" spans="1:15" ht="15" x14ac:dyDescent="0.25">
      <c r="A564" s="400" t="s">
        <v>1113</v>
      </c>
      <c r="B564" s="400" t="s">
        <v>659</v>
      </c>
      <c r="C564" s="416">
        <v>304</v>
      </c>
      <c r="D564" s="416">
        <v>378</v>
      </c>
      <c r="E564" s="416">
        <v>682</v>
      </c>
      <c r="F564" s="416">
        <v>10170827</v>
      </c>
      <c r="G564" s="416">
        <v>15732480</v>
      </c>
      <c r="H564" s="416">
        <v>25903307</v>
      </c>
      <c r="I564" s="400" t="s">
        <v>158</v>
      </c>
      <c r="J564" s="400" t="s">
        <v>798</v>
      </c>
      <c r="K564" s="401">
        <v>602094</v>
      </c>
      <c r="L564" s="400" t="s">
        <v>188</v>
      </c>
      <c r="M564" s="2"/>
      <c r="N564" s="2"/>
      <c r="O564" s="4"/>
    </row>
    <row r="565" spans="1:15" ht="15" x14ac:dyDescent="0.25">
      <c r="A565" s="400" t="s">
        <v>259</v>
      </c>
      <c r="B565" s="400" t="s">
        <v>450</v>
      </c>
      <c r="C565" s="416">
        <v>25244</v>
      </c>
      <c r="D565" s="416">
        <v>28541</v>
      </c>
      <c r="E565" s="416">
        <v>53785</v>
      </c>
      <c r="F565" s="416">
        <v>1062359628</v>
      </c>
      <c r="G565" s="416">
        <v>1544288168</v>
      </c>
      <c r="H565" s="416">
        <v>2606647796</v>
      </c>
      <c r="I565" s="400" t="s">
        <v>158</v>
      </c>
      <c r="J565" s="400" t="s">
        <v>798</v>
      </c>
      <c r="K565" s="401">
        <v>439471</v>
      </c>
      <c r="L565" s="400" t="s">
        <v>230</v>
      </c>
      <c r="M565" s="2"/>
      <c r="N565" s="2"/>
      <c r="O565" s="4"/>
    </row>
    <row r="566" spans="1:15" ht="15" x14ac:dyDescent="0.25">
      <c r="A566" s="400" t="s">
        <v>325</v>
      </c>
      <c r="B566" s="400" t="s">
        <v>619</v>
      </c>
      <c r="C566" s="416">
        <v>1133</v>
      </c>
      <c r="D566" s="416">
        <v>1287</v>
      </c>
      <c r="E566" s="416">
        <v>2420</v>
      </c>
      <c r="F566" s="416">
        <v>67968588</v>
      </c>
      <c r="G566" s="416">
        <v>89321744</v>
      </c>
      <c r="H566" s="416">
        <v>157290332</v>
      </c>
      <c r="I566" s="400" t="s">
        <v>69</v>
      </c>
      <c r="J566" s="400" t="s">
        <v>798</v>
      </c>
      <c r="K566" s="401">
        <v>182584</v>
      </c>
      <c r="L566" s="400" t="s">
        <v>620</v>
      </c>
      <c r="M566" s="2"/>
      <c r="N566" s="2"/>
      <c r="O566" s="4"/>
    </row>
    <row r="567" spans="1:15" ht="15" x14ac:dyDescent="0.25">
      <c r="A567" s="400" t="s">
        <v>302</v>
      </c>
      <c r="B567" s="400" t="s">
        <v>674</v>
      </c>
      <c r="C567" s="416">
        <v>17</v>
      </c>
      <c r="D567" s="416">
        <v>39</v>
      </c>
      <c r="E567" s="416">
        <v>56</v>
      </c>
      <c r="F567" s="416">
        <v>767872</v>
      </c>
      <c r="G567" s="416">
        <v>1827644</v>
      </c>
      <c r="H567" s="416">
        <v>2595516</v>
      </c>
      <c r="I567" s="400" t="s">
        <v>69</v>
      </c>
      <c r="J567" s="400" t="s">
        <v>798</v>
      </c>
      <c r="K567" s="401">
        <v>161687</v>
      </c>
      <c r="L567" s="400" t="s">
        <v>775</v>
      </c>
      <c r="M567" s="2"/>
      <c r="N567" s="2"/>
      <c r="O567" s="4"/>
    </row>
    <row r="568" spans="1:15" ht="15" x14ac:dyDescent="0.25">
      <c r="A568" s="400" t="s">
        <v>185</v>
      </c>
      <c r="B568" s="400" t="s">
        <v>817</v>
      </c>
      <c r="C568" s="416">
        <v>580</v>
      </c>
      <c r="D568" s="416">
        <v>868</v>
      </c>
      <c r="E568" s="416">
        <v>1448</v>
      </c>
      <c r="F568" s="416">
        <v>18561005</v>
      </c>
      <c r="G568" s="416">
        <v>29480697</v>
      </c>
      <c r="H568" s="416">
        <v>48041701</v>
      </c>
      <c r="I568" s="400" t="s">
        <v>69</v>
      </c>
      <c r="J568" s="400" t="s">
        <v>798</v>
      </c>
      <c r="K568" s="401">
        <v>195271</v>
      </c>
      <c r="L568" s="400" t="s">
        <v>556</v>
      </c>
      <c r="M568" s="2"/>
      <c r="N568" s="2"/>
      <c r="O568" s="4"/>
    </row>
    <row r="569" spans="1:15" ht="15" x14ac:dyDescent="0.25">
      <c r="A569" s="400" t="s">
        <v>302</v>
      </c>
      <c r="B569" s="400" t="s">
        <v>815</v>
      </c>
      <c r="C569" s="416">
        <v>371</v>
      </c>
      <c r="D569" s="416">
        <v>575</v>
      </c>
      <c r="E569" s="416">
        <v>946</v>
      </c>
      <c r="F569" s="416">
        <v>13694978</v>
      </c>
      <c r="G569" s="416">
        <v>27032743</v>
      </c>
      <c r="H569" s="416">
        <v>40727721</v>
      </c>
      <c r="I569" s="400" t="s">
        <v>69</v>
      </c>
      <c r="J569" s="400" t="s">
        <v>798</v>
      </c>
      <c r="K569" s="401">
        <v>231100</v>
      </c>
      <c r="L569" s="400" t="s">
        <v>556</v>
      </c>
      <c r="M569" s="2"/>
      <c r="N569" s="2"/>
      <c r="O569" s="4"/>
    </row>
    <row r="570" spans="1:15" ht="15" customHeight="1" x14ac:dyDescent="0.25">
      <c r="A570" s="400" t="s">
        <v>1108</v>
      </c>
      <c r="B570" s="400" t="s">
        <v>349</v>
      </c>
      <c r="C570" s="416">
        <v>1113</v>
      </c>
      <c r="D570" s="416">
        <v>1522</v>
      </c>
      <c r="E570" s="416">
        <v>2635</v>
      </c>
      <c r="F570" s="416">
        <v>40912820</v>
      </c>
      <c r="G570" s="416">
        <v>60595589</v>
      </c>
      <c r="H570" s="416">
        <v>101508409</v>
      </c>
      <c r="I570" s="400" t="s">
        <v>69</v>
      </c>
      <c r="J570" s="400" t="s">
        <v>799</v>
      </c>
      <c r="K570" s="401">
        <v>390898</v>
      </c>
      <c r="L570" s="400" t="s">
        <v>202</v>
      </c>
      <c r="M570" s="2"/>
      <c r="N570" s="2"/>
      <c r="O570" s="4"/>
    </row>
    <row r="571" spans="1:15" ht="15" x14ac:dyDescent="0.25">
      <c r="A571" s="400" t="s">
        <v>205</v>
      </c>
      <c r="B571" s="400" t="s">
        <v>1104</v>
      </c>
      <c r="C571" s="416">
        <v>518</v>
      </c>
      <c r="D571" s="416">
        <v>677</v>
      </c>
      <c r="E571" s="416">
        <v>1195</v>
      </c>
      <c r="F571" s="416">
        <v>20588544</v>
      </c>
      <c r="G571" s="416">
        <v>34479848</v>
      </c>
      <c r="H571" s="416">
        <v>55068392</v>
      </c>
      <c r="I571" s="400" t="s">
        <v>158</v>
      </c>
      <c r="J571" s="400" t="s">
        <v>798</v>
      </c>
      <c r="K571" s="401">
        <v>203182</v>
      </c>
      <c r="L571" s="400" t="s">
        <v>198</v>
      </c>
      <c r="M571" s="2"/>
      <c r="N571" s="2"/>
      <c r="O571" s="4"/>
    </row>
    <row r="572" spans="1:15" ht="15" x14ac:dyDescent="0.25">
      <c r="A572" s="400" t="s">
        <v>163</v>
      </c>
      <c r="B572" s="400" t="s">
        <v>1021</v>
      </c>
      <c r="C572" s="416">
        <v>73</v>
      </c>
      <c r="D572" s="416">
        <v>131</v>
      </c>
      <c r="E572" s="416">
        <v>204</v>
      </c>
      <c r="F572" s="416">
        <v>15872181</v>
      </c>
      <c r="G572" s="416">
        <v>29673140</v>
      </c>
      <c r="H572" s="416">
        <v>45545322</v>
      </c>
      <c r="I572" s="400" t="s">
        <v>158</v>
      </c>
      <c r="J572" s="400" t="s">
        <v>792</v>
      </c>
      <c r="K572" s="401">
        <v>324301</v>
      </c>
      <c r="L572" s="400" t="s">
        <v>1035</v>
      </c>
      <c r="M572" s="2"/>
      <c r="N572" s="2"/>
      <c r="O572" s="4"/>
    </row>
    <row r="573" spans="1:15" ht="15" x14ac:dyDescent="0.25">
      <c r="A573" s="400" t="s">
        <v>1109</v>
      </c>
      <c r="B573" s="400" t="s">
        <v>268</v>
      </c>
      <c r="C573" s="416">
        <v>47</v>
      </c>
      <c r="D573" s="416">
        <v>59</v>
      </c>
      <c r="E573" s="416">
        <v>106</v>
      </c>
      <c r="F573" s="416">
        <v>3217235</v>
      </c>
      <c r="G573" s="416">
        <v>5276046</v>
      </c>
      <c r="H573" s="416">
        <v>8493281</v>
      </c>
      <c r="I573" s="400" t="s">
        <v>158</v>
      </c>
      <c r="J573" s="400" t="s">
        <v>799</v>
      </c>
      <c r="K573" s="401">
        <v>874560</v>
      </c>
      <c r="L573" s="400" t="s">
        <v>177</v>
      </c>
      <c r="M573" s="2"/>
      <c r="N573" s="2"/>
      <c r="O573" s="4"/>
    </row>
    <row r="574" spans="1:15" ht="15" x14ac:dyDescent="0.25">
      <c r="A574" s="400" t="s">
        <v>1114</v>
      </c>
      <c r="B574" s="400" t="s">
        <v>521</v>
      </c>
      <c r="C574" s="416">
        <v>440</v>
      </c>
      <c r="D574" s="416">
        <v>581</v>
      </c>
      <c r="E574" s="416">
        <v>1021</v>
      </c>
      <c r="F574" s="416">
        <v>16130015</v>
      </c>
      <c r="G574" s="416">
        <v>27572817</v>
      </c>
      <c r="H574" s="416">
        <v>43702832</v>
      </c>
      <c r="I574" s="400" t="s">
        <v>69</v>
      </c>
      <c r="J574" s="400" t="s">
        <v>798</v>
      </c>
      <c r="K574" s="401">
        <v>353235</v>
      </c>
      <c r="L574" s="400" t="s">
        <v>465</v>
      </c>
      <c r="M574" s="2"/>
      <c r="N574" s="2"/>
      <c r="O574" s="4"/>
    </row>
    <row r="575" spans="1:15" ht="15" x14ac:dyDescent="0.25">
      <c r="A575" s="400" t="s">
        <v>1089</v>
      </c>
      <c r="B575" s="400" t="s">
        <v>984</v>
      </c>
      <c r="C575" s="416">
        <v>321</v>
      </c>
      <c r="D575" s="416">
        <v>246</v>
      </c>
      <c r="E575" s="416">
        <v>567</v>
      </c>
      <c r="F575" s="416">
        <v>7954537</v>
      </c>
      <c r="G575" s="416">
        <v>7417975</v>
      </c>
      <c r="H575" s="416">
        <v>15372513</v>
      </c>
      <c r="I575" s="400" t="s">
        <v>69</v>
      </c>
      <c r="J575" s="400" t="s">
        <v>795</v>
      </c>
      <c r="K575" s="401">
        <v>857037</v>
      </c>
      <c r="L575" s="400" t="s">
        <v>800</v>
      </c>
      <c r="M575" s="2"/>
      <c r="N575" s="2"/>
      <c r="O575" s="4"/>
    </row>
    <row r="576" spans="1:15" ht="15" x14ac:dyDescent="0.25">
      <c r="A576" s="400" t="s">
        <v>223</v>
      </c>
      <c r="B576" s="400" t="s">
        <v>981</v>
      </c>
      <c r="C576" s="416">
        <v>185</v>
      </c>
      <c r="D576" s="416">
        <v>360</v>
      </c>
      <c r="E576" s="416">
        <v>545</v>
      </c>
      <c r="F576" s="416">
        <v>11147634</v>
      </c>
      <c r="G576" s="416">
        <v>26792251</v>
      </c>
      <c r="H576" s="416">
        <v>37939884</v>
      </c>
      <c r="I576" s="400" t="s">
        <v>158</v>
      </c>
      <c r="J576" s="400" t="s">
        <v>798</v>
      </c>
      <c r="K576" s="401">
        <v>290304</v>
      </c>
      <c r="L576" s="400" t="s">
        <v>188</v>
      </c>
      <c r="M576" s="2"/>
      <c r="N576" s="2"/>
      <c r="O576" s="4"/>
    </row>
    <row r="577" spans="1:15" ht="15" x14ac:dyDescent="0.25">
      <c r="A577" s="400" t="s">
        <v>185</v>
      </c>
      <c r="B577" s="400" t="s">
        <v>848</v>
      </c>
      <c r="C577" s="416">
        <v>15</v>
      </c>
      <c r="D577" s="416">
        <v>42</v>
      </c>
      <c r="E577" s="416">
        <v>57</v>
      </c>
      <c r="F577" s="416">
        <v>1829702</v>
      </c>
      <c r="G577" s="416">
        <v>2851190</v>
      </c>
      <c r="H577" s="416">
        <v>4680893</v>
      </c>
      <c r="I577" s="400" t="s">
        <v>158</v>
      </c>
      <c r="J577" s="400" t="s">
        <v>798</v>
      </c>
      <c r="K577" s="401">
        <v>269704</v>
      </c>
      <c r="L577" s="400" t="s">
        <v>422</v>
      </c>
      <c r="M577" s="2"/>
      <c r="N577" s="2"/>
      <c r="O577" s="4"/>
    </row>
    <row r="578" spans="1:15" ht="15" x14ac:dyDescent="0.25">
      <c r="A578" s="400" t="s">
        <v>302</v>
      </c>
      <c r="B578" s="400" t="s">
        <v>1151</v>
      </c>
      <c r="C578" s="416">
        <v>189</v>
      </c>
      <c r="D578" s="416">
        <v>397</v>
      </c>
      <c r="E578" s="416">
        <v>586</v>
      </c>
      <c r="F578" s="416">
        <v>5000833</v>
      </c>
      <c r="G578" s="416">
        <v>16430698</v>
      </c>
      <c r="H578" s="416">
        <v>21431532</v>
      </c>
      <c r="I578" s="400" t="s">
        <v>158</v>
      </c>
      <c r="J578" s="400" t="s">
        <v>798</v>
      </c>
      <c r="K578" s="401">
        <v>878223</v>
      </c>
      <c r="L578" s="400" t="s">
        <v>707</v>
      </c>
      <c r="M578" s="2"/>
      <c r="N578" s="2"/>
      <c r="O578" s="4"/>
    </row>
    <row r="579" spans="1:15" ht="15" x14ac:dyDescent="0.25">
      <c r="A579" s="400" t="s">
        <v>1110</v>
      </c>
      <c r="B579" s="400" t="s">
        <v>626</v>
      </c>
      <c r="C579" s="416">
        <v>379</v>
      </c>
      <c r="D579" s="416">
        <v>985</v>
      </c>
      <c r="E579" s="416">
        <v>1364</v>
      </c>
      <c r="F579" s="416">
        <v>18945341</v>
      </c>
      <c r="G579" s="416">
        <v>58590452</v>
      </c>
      <c r="H579" s="416">
        <v>77535792</v>
      </c>
      <c r="I579" s="400" t="s">
        <v>69</v>
      </c>
      <c r="J579" s="400" t="s">
        <v>798</v>
      </c>
      <c r="K579" s="401">
        <v>502922</v>
      </c>
      <c r="L579" s="400" t="s">
        <v>768</v>
      </c>
      <c r="M579" s="2"/>
      <c r="N579" s="2"/>
      <c r="O579" s="4"/>
    </row>
    <row r="580" spans="1:15" ht="15" x14ac:dyDescent="0.25">
      <c r="A580" s="400" t="s">
        <v>328</v>
      </c>
      <c r="B580" s="400" t="s">
        <v>1065</v>
      </c>
      <c r="C580" s="416">
        <v>5883</v>
      </c>
      <c r="D580" s="416">
        <v>6411</v>
      </c>
      <c r="E580" s="416">
        <v>12294</v>
      </c>
      <c r="F580" s="416">
        <v>173349489</v>
      </c>
      <c r="G580" s="416">
        <v>227597688</v>
      </c>
      <c r="H580" s="416">
        <v>400947177</v>
      </c>
      <c r="I580" s="400" t="s">
        <v>158</v>
      </c>
      <c r="J580" s="400" t="s">
        <v>798</v>
      </c>
      <c r="K580" s="401">
        <v>442483</v>
      </c>
      <c r="L580" s="400" t="s">
        <v>624</v>
      </c>
      <c r="M580" s="2"/>
      <c r="N580" s="2"/>
      <c r="O580" s="4"/>
    </row>
    <row r="581" spans="1:15" ht="15" x14ac:dyDescent="0.25">
      <c r="A581" s="400" t="s">
        <v>264</v>
      </c>
      <c r="B581" s="400" t="s">
        <v>589</v>
      </c>
      <c r="C581" s="416">
        <v>1307</v>
      </c>
      <c r="D581" s="416">
        <v>1517</v>
      </c>
      <c r="E581" s="416">
        <v>2824</v>
      </c>
      <c r="F581" s="416">
        <v>77386890</v>
      </c>
      <c r="G581" s="416">
        <v>117316539</v>
      </c>
      <c r="H581" s="416">
        <v>194703429</v>
      </c>
      <c r="I581" s="400" t="s">
        <v>158</v>
      </c>
      <c r="J581" s="400" t="s">
        <v>798</v>
      </c>
      <c r="K581" s="401">
        <v>656637</v>
      </c>
      <c r="L581" s="400" t="s">
        <v>491</v>
      </c>
      <c r="M581" s="2"/>
      <c r="N581" s="2"/>
      <c r="O581" s="4"/>
    </row>
    <row r="582" spans="1:15" ht="15" x14ac:dyDescent="0.25">
      <c r="A582" s="400" t="s">
        <v>1088</v>
      </c>
      <c r="B582" s="400" t="s">
        <v>485</v>
      </c>
      <c r="C582" s="416">
        <v>13274</v>
      </c>
      <c r="D582" s="416">
        <v>15491</v>
      </c>
      <c r="E582" s="416">
        <v>28765</v>
      </c>
      <c r="F582" s="416">
        <v>2285259079</v>
      </c>
      <c r="G582" s="416">
        <v>3209539527</v>
      </c>
      <c r="H582" s="416">
        <v>5494798607</v>
      </c>
      <c r="I582" s="400" t="s">
        <v>69</v>
      </c>
      <c r="J582" s="400" t="s">
        <v>795</v>
      </c>
      <c r="K582" s="401">
        <v>912287</v>
      </c>
      <c r="L582" s="400" t="s">
        <v>997</v>
      </c>
      <c r="M582" s="2"/>
      <c r="N582" s="2"/>
      <c r="O582" s="4"/>
    </row>
    <row r="583" spans="1:15" ht="15" x14ac:dyDescent="0.25">
      <c r="A583" s="400" t="s">
        <v>1100</v>
      </c>
      <c r="B583" s="400" t="s">
        <v>500</v>
      </c>
      <c r="C583" s="416">
        <v>667</v>
      </c>
      <c r="D583" s="416">
        <v>700</v>
      </c>
      <c r="E583" s="416">
        <v>1367</v>
      </c>
      <c r="F583" s="416">
        <v>50005436</v>
      </c>
      <c r="G583" s="416">
        <v>50157207</v>
      </c>
      <c r="H583" s="416">
        <v>100162643</v>
      </c>
      <c r="I583" s="400" t="s">
        <v>158</v>
      </c>
      <c r="J583" s="400" t="s">
        <v>795</v>
      </c>
      <c r="K583" s="401">
        <v>447086</v>
      </c>
      <c r="L583" s="400" t="s">
        <v>903</v>
      </c>
      <c r="M583" s="2"/>
      <c r="N583" s="2"/>
      <c r="O583" s="4"/>
    </row>
    <row r="584" spans="1:15" ht="15" x14ac:dyDescent="0.25">
      <c r="A584" s="400" t="s">
        <v>1103</v>
      </c>
      <c r="B584" s="400" t="s">
        <v>853</v>
      </c>
      <c r="C584" s="416">
        <v>8</v>
      </c>
      <c r="D584" s="416">
        <v>11</v>
      </c>
      <c r="E584" s="416">
        <v>19</v>
      </c>
      <c r="F584" s="416">
        <v>964237</v>
      </c>
      <c r="G584" s="416">
        <v>728614</v>
      </c>
      <c r="H584" s="416">
        <v>1692851</v>
      </c>
      <c r="I584" s="400" t="s">
        <v>69</v>
      </c>
      <c r="J584" s="400" t="s">
        <v>799</v>
      </c>
      <c r="K584" s="401">
        <v>921908</v>
      </c>
      <c r="L584" s="400" t="s">
        <v>180</v>
      </c>
      <c r="M584" s="2"/>
      <c r="N584" s="2"/>
      <c r="O584" s="4"/>
    </row>
    <row r="585" spans="1:15" ht="15" x14ac:dyDescent="0.25">
      <c r="A585" s="400" t="s">
        <v>1087</v>
      </c>
      <c r="B585" s="400" t="s">
        <v>245</v>
      </c>
      <c r="C585" s="416">
        <v>53510</v>
      </c>
      <c r="D585" s="416">
        <v>42966</v>
      </c>
      <c r="E585" s="416">
        <v>96476</v>
      </c>
      <c r="F585" s="416">
        <v>5559739377</v>
      </c>
      <c r="G585" s="416">
        <v>5403491926</v>
      </c>
      <c r="H585" s="416">
        <v>10963231303</v>
      </c>
      <c r="I585" s="400" t="s">
        <v>158</v>
      </c>
      <c r="J585" s="400" t="s">
        <v>792</v>
      </c>
      <c r="K585" s="401">
        <v>463141</v>
      </c>
      <c r="L585" s="400" t="s">
        <v>182</v>
      </c>
      <c r="M585" s="2"/>
      <c r="N585" s="2"/>
      <c r="O585" s="4"/>
    </row>
    <row r="586" spans="1:15" ht="15" x14ac:dyDescent="0.25">
      <c r="A586" s="400" t="s">
        <v>1089</v>
      </c>
      <c r="B586" s="400" t="s">
        <v>765</v>
      </c>
      <c r="C586" s="416">
        <v>278</v>
      </c>
      <c r="D586" s="416">
        <v>453</v>
      </c>
      <c r="E586" s="416">
        <v>731</v>
      </c>
      <c r="F586" s="416">
        <v>13862624</v>
      </c>
      <c r="G586" s="416">
        <v>30042429</v>
      </c>
      <c r="H586" s="416">
        <v>43905053</v>
      </c>
      <c r="I586" s="400" t="s">
        <v>158</v>
      </c>
      <c r="J586" s="400" t="s">
        <v>795</v>
      </c>
      <c r="K586" s="401">
        <v>303701</v>
      </c>
      <c r="L586" s="400" t="s">
        <v>766</v>
      </c>
      <c r="M586" s="2"/>
      <c r="N586" s="2"/>
      <c r="O586" s="4"/>
    </row>
    <row r="587" spans="1:15" ht="15" x14ac:dyDescent="0.25">
      <c r="A587" s="400" t="s">
        <v>1089</v>
      </c>
      <c r="B587" s="400" t="s">
        <v>1039</v>
      </c>
      <c r="C587" s="416">
        <v>198</v>
      </c>
      <c r="D587" s="416">
        <v>218</v>
      </c>
      <c r="E587" s="416">
        <v>416</v>
      </c>
      <c r="F587" s="416">
        <v>23639803</v>
      </c>
      <c r="G587" s="416">
        <v>31366557</v>
      </c>
      <c r="H587" s="416">
        <v>55006360</v>
      </c>
      <c r="I587" s="400" t="s">
        <v>158</v>
      </c>
      <c r="J587" s="400" t="s">
        <v>795</v>
      </c>
      <c r="K587" s="401">
        <v>691105</v>
      </c>
      <c r="L587" s="400" t="s">
        <v>175</v>
      </c>
      <c r="M587" s="2"/>
      <c r="N587" s="2"/>
      <c r="O587" s="4"/>
    </row>
    <row r="588" spans="1:15" ht="15" x14ac:dyDescent="0.25">
      <c r="A588" s="400" t="s">
        <v>185</v>
      </c>
      <c r="B588" s="400" t="s">
        <v>236</v>
      </c>
      <c r="C588" s="416">
        <v>45143</v>
      </c>
      <c r="D588" s="416">
        <v>40859</v>
      </c>
      <c r="E588" s="416">
        <v>86002</v>
      </c>
      <c r="F588" s="416">
        <v>2730212480</v>
      </c>
      <c r="G588" s="416">
        <v>3291627029</v>
      </c>
      <c r="H588" s="416">
        <v>6021839509</v>
      </c>
      <c r="I588" s="400" t="s">
        <v>158</v>
      </c>
      <c r="J588" s="400" t="s">
        <v>798</v>
      </c>
      <c r="K588" s="401">
        <v>753442</v>
      </c>
      <c r="L588" s="400" t="s">
        <v>175</v>
      </c>
      <c r="M588" s="2"/>
      <c r="N588" s="2"/>
      <c r="O588" s="4"/>
    </row>
    <row r="589" spans="1:15" ht="15" x14ac:dyDescent="0.25">
      <c r="A589" s="400" t="s">
        <v>1105</v>
      </c>
      <c r="B589" s="400" t="s">
        <v>923</v>
      </c>
      <c r="C589" s="416">
        <v>19</v>
      </c>
      <c r="D589" s="416">
        <v>24</v>
      </c>
      <c r="E589" s="416">
        <v>43</v>
      </c>
      <c r="F589" s="416">
        <v>863560</v>
      </c>
      <c r="G589" s="416">
        <v>1251410</v>
      </c>
      <c r="H589" s="416">
        <v>2114970</v>
      </c>
      <c r="I589" s="400" t="s">
        <v>69</v>
      </c>
      <c r="J589" s="400" t="s">
        <v>799</v>
      </c>
      <c r="K589" s="401">
        <v>203471</v>
      </c>
      <c r="L589" s="400" t="s">
        <v>330</v>
      </c>
      <c r="M589" s="2"/>
      <c r="N589" s="2"/>
      <c r="O589" s="4"/>
    </row>
    <row r="590" spans="1:15" ht="15" x14ac:dyDescent="0.25">
      <c r="A590" s="400" t="s">
        <v>205</v>
      </c>
      <c r="B590" s="400" t="s">
        <v>872</v>
      </c>
      <c r="C590" s="416">
        <v>418</v>
      </c>
      <c r="D590" s="416">
        <v>566</v>
      </c>
      <c r="E590" s="416">
        <v>984</v>
      </c>
      <c r="F590" s="416">
        <v>17370212</v>
      </c>
      <c r="G590" s="416">
        <v>29957930</v>
      </c>
      <c r="H590" s="416">
        <v>47328141</v>
      </c>
      <c r="I590" s="400" t="s">
        <v>69</v>
      </c>
      <c r="J590" s="400" t="s">
        <v>798</v>
      </c>
      <c r="K590" s="401">
        <v>652628</v>
      </c>
      <c r="L590" s="400" t="s">
        <v>506</v>
      </c>
      <c r="M590" s="2"/>
      <c r="N590" s="2"/>
      <c r="O590" s="4"/>
    </row>
    <row r="591" spans="1:15" ht="15" x14ac:dyDescent="0.25">
      <c r="A591" s="400" t="s">
        <v>185</v>
      </c>
      <c r="B591" s="400" t="s">
        <v>463</v>
      </c>
      <c r="C591" s="416">
        <v>536</v>
      </c>
      <c r="D591" s="416">
        <v>1496</v>
      </c>
      <c r="E591" s="416">
        <v>2032</v>
      </c>
      <c r="F591" s="416">
        <v>13357567</v>
      </c>
      <c r="G591" s="416">
        <v>41234843</v>
      </c>
      <c r="H591" s="416">
        <v>54592410</v>
      </c>
      <c r="I591" s="400" t="s">
        <v>69</v>
      </c>
      <c r="J591" s="400" t="s">
        <v>798</v>
      </c>
      <c r="K591" s="401">
        <v>118000</v>
      </c>
      <c r="L591" s="400" t="s">
        <v>338</v>
      </c>
      <c r="M591" s="2"/>
      <c r="N591" s="2"/>
      <c r="O591" s="4"/>
    </row>
    <row r="592" spans="1:15" ht="15" x14ac:dyDescent="0.25">
      <c r="A592" s="334" t="s">
        <v>1117</v>
      </c>
      <c r="B592" s="334" t="s">
        <v>822</v>
      </c>
      <c r="C592" s="416">
        <v>1249</v>
      </c>
      <c r="D592" s="416">
        <v>1896</v>
      </c>
      <c r="E592" s="416">
        <v>3145</v>
      </c>
      <c r="F592" s="416">
        <v>68372696</v>
      </c>
      <c r="G592" s="416">
        <v>116380782</v>
      </c>
      <c r="H592" s="416">
        <v>184753478</v>
      </c>
      <c r="I592" s="334" t="s">
        <v>69</v>
      </c>
      <c r="J592" s="334" t="s">
        <v>798</v>
      </c>
      <c r="K592" s="323">
        <v>374421</v>
      </c>
      <c r="L592" s="334" t="s">
        <v>556</v>
      </c>
      <c r="M592" s="4"/>
      <c r="N592" s="2"/>
      <c r="O592" s="4"/>
    </row>
    <row r="593" spans="1:15" ht="15" x14ac:dyDescent="0.25">
      <c r="A593" s="400" t="s">
        <v>264</v>
      </c>
      <c r="B593" s="400" t="s">
        <v>411</v>
      </c>
      <c r="C593" s="416">
        <v>18459</v>
      </c>
      <c r="D593" s="416">
        <v>20724</v>
      </c>
      <c r="E593" s="416">
        <v>39183</v>
      </c>
      <c r="F593" s="416">
        <v>646384650</v>
      </c>
      <c r="G593" s="416">
        <v>950292031</v>
      </c>
      <c r="H593" s="416">
        <v>1596676681</v>
      </c>
      <c r="I593" s="400" t="s">
        <v>158</v>
      </c>
      <c r="J593" s="400" t="s">
        <v>798</v>
      </c>
      <c r="K593" s="401">
        <v>584912</v>
      </c>
      <c r="L593" s="400" t="s">
        <v>192</v>
      </c>
      <c r="M593" s="2"/>
      <c r="N593" s="2"/>
      <c r="O593" s="4"/>
    </row>
    <row r="594" spans="1:15" ht="15" x14ac:dyDescent="0.25">
      <c r="A594" s="400" t="s">
        <v>1112</v>
      </c>
      <c r="B594" s="400" t="s">
        <v>762</v>
      </c>
      <c r="C594" s="416">
        <v>338</v>
      </c>
      <c r="D594" s="416">
        <v>503</v>
      </c>
      <c r="E594" s="416">
        <v>841</v>
      </c>
      <c r="F594" s="416">
        <v>17877179</v>
      </c>
      <c r="G594" s="416">
        <v>32348842</v>
      </c>
      <c r="H594" s="416">
        <v>50226020</v>
      </c>
      <c r="I594" s="400" t="s">
        <v>69</v>
      </c>
      <c r="J594" s="400" t="s">
        <v>798</v>
      </c>
      <c r="K594" s="401">
        <v>116822</v>
      </c>
      <c r="L594" s="400" t="s">
        <v>476</v>
      </c>
      <c r="M594" s="2"/>
      <c r="N594" s="2"/>
      <c r="O594" s="4"/>
    </row>
    <row r="595" spans="1:15" ht="15" x14ac:dyDescent="0.25">
      <c r="A595" s="400" t="s">
        <v>1117</v>
      </c>
      <c r="B595" s="400" t="s">
        <v>1051</v>
      </c>
      <c r="C595" s="416">
        <v>6</v>
      </c>
      <c r="D595" s="416">
        <v>13</v>
      </c>
      <c r="E595" s="416">
        <v>19</v>
      </c>
      <c r="F595" s="416">
        <v>309856</v>
      </c>
      <c r="G595" s="416">
        <v>487247</v>
      </c>
      <c r="H595" s="416">
        <v>797103</v>
      </c>
      <c r="I595" s="400" t="s">
        <v>158</v>
      </c>
      <c r="J595" s="400" t="s">
        <v>798</v>
      </c>
      <c r="K595" s="401">
        <v>541706</v>
      </c>
      <c r="L595" s="400" t="s">
        <v>159</v>
      </c>
      <c r="M595" s="3">
        <f>SUM(H595:H1433)</f>
        <v>509052740753</v>
      </c>
      <c r="N595" s="2"/>
      <c r="O595" s="4"/>
    </row>
    <row r="596" spans="1:15" ht="15" x14ac:dyDescent="0.25">
      <c r="A596" s="400" t="s">
        <v>1108</v>
      </c>
      <c r="B596" s="400" t="s">
        <v>470</v>
      </c>
      <c r="C596" s="416">
        <v>114</v>
      </c>
      <c r="D596" s="416">
        <v>112</v>
      </c>
      <c r="E596" s="416">
        <v>226</v>
      </c>
      <c r="F596" s="416">
        <v>3139340</v>
      </c>
      <c r="G596" s="416">
        <v>4192710</v>
      </c>
      <c r="H596" s="416">
        <v>7332049</v>
      </c>
      <c r="I596" s="400" t="s">
        <v>69</v>
      </c>
      <c r="J596" s="400" t="s">
        <v>799</v>
      </c>
      <c r="K596" s="401">
        <v>966598</v>
      </c>
      <c r="L596" s="400" t="s">
        <v>465</v>
      </c>
      <c r="M596" s="2"/>
      <c r="N596" s="2"/>
      <c r="O596" s="4"/>
    </row>
    <row r="597" spans="1:15" ht="15" x14ac:dyDescent="0.25">
      <c r="A597" s="400" t="s">
        <v>1087</v>
      </c>
      <c r="B597" s="400" t="s">
        <v>133</v>
      </c>
      <c r="C597" s="416">
        <v>44680</v>
      </c>
      <c r="D597" s="416">
        <v>35494</v>
      </c>
      <c r="E597" s="416">
        <v>80174</v>
      </c>
      <c r="F597" s="416">
        <v>7907679526</v>
      </c>
      <c r="G597" s="416">
        <v>7388586978</v>
      </c>
      <c r="H597" s="416">
        <v>15296266504</v>
      </c>
      <c r="I597" s="400" t="s">
        <v>158</v>
      </c>
      <c r="J597" s="400" t="s">
        <v>792</v>
      </c>
      <c r="K597" s="401">
        <v>359315</v>
      </c>
      <c r="L597" s="400" t="s">
        <v>195</v>
      </c>
      <c r="M597" s="2"/>
      <c r="N597" s="2"/>
      <c r="O597" s="4"/>
    </row>
    <row r="598" spans="1:15" ht="15" x14ac:dyDescent="0.25">
      <c r="A598" s="400" t="s">
        <v>185</v>
      </c>
      <c r="B598" s="400" t="s">
        <v>910</v>
      </c>
      <c r="C598" s="416">
        <v>3518</v>
      </c>
      <c r="D598" s="416">
        <v>5265</v>
      </c>
      <c r="E598" s="416">
        <v>8783</v>
      </c>
      <c r="F598" s="416">
        <v>852263450</v>
      </c>
      <c r="G598" s="416">
        <v>1544876856</v>
      </c>
      <c r="H598" s="416">
        <v>2397140307</v>
      </c>
      <c r="I598" s="400" t="s">
        <v>158</v>
      </c>
      <c r="J598" s="400" t="s">
        <v>798</v>
      </c>
      <c r="K598" s="401">
        <v>392423</v>
      </c>
      <c r="L598" s="400" t="s">
        <v>253</v>
      </c>
      <c r="M598" s="2"/>
      <c r="N598" s="2"/>
      <c r="O598" s="4"/>
    </row>
    <row r="599" spans="1:15" ht="15" x14ac:dyDescent="0.25">
      <c r="A599" s="400" t="s">
        <v>185</v>
      </c>
      <c r="B599" s="400" t="s">
        <v>1042</v>
      </c>
      <c r="C599" s="416">
        <v>2549</v>
      </c>
      <c r="D599" s="416">
        <v>6496</v>
      </c>
      <c r="E599" s="416">
        <v>9045</v>
      </c>
      <c r="F599" s="416">
        <v>122170941</v>
      </c>
      <c r="G599" s="416">
        <v>339482279</v>
      </c>
      <c r="H599" s="416">
        <v>461653221</v>
      </c>
      <c r="I599" s="400" t="s">
        <v>158</v>
      </c>
      <c r="J599" s="400" t="s">
        <v>798</v>
      </c>
      <c r="K599" s="401">
        <v>358309</v>
      </c>
      <c r="L599" s="400" t="s">
        <v>168</v>
      </c>
      <c r="M599" s="2"/>
      <c r="N599" s="2"/>
      <c r="O599" s="4"/>
    </row>
    <row r="600" spans="1:15" ht="15" x14ac:dyDescent="0.25">
      <c r="A600" s="400" t="s">
        <v>1087</v>
      </c>
      <c r="B600" s="400" t="s">
        <v>310</v>
      </c>
      <c r="C600" s="416">
        <v>34820</v>
      </c>
      <c r="D600" s="416">
        <v>22977</v>
      </c>
      <c r="E600" s="416">
        <v>57797</v>
      </c>
      <c r="F600" s="416">
        <v>4414951236</v>
      </c>
      <c r="G600" s="416">
        <v>3374818603</v>
      </c>
      <c r="H600" s="416">
        <v>7789769840</v>
      </c>
      <c r="I600" s="400" t="s">
        <v>158</v>
      </c>
      <c r="J600" s="400" t="s">
        <v>792</v>
      </c>
      <c r="K600" s="401">
        <v>819557</v>
      </c>
      <c r="L600" s="400" t="s">
        <v>175</v>
      </c>
      <c r="M600" s="2"/>
      <c r="N600" s="2"/>
      <c r="O600" s="4"/>
    </row>
    <row r="601" spans="1:15" ht="15" x14ac:dyDescent="0.25">
      <c r="A601" s="400" t="s">
        <v>1106</v>
      </c>
      <c r="B601" s="400" t="s">
        <v>1152</v>
      </c>
      <c r="C601" s="416">
        <v>2935</v>
      </c>
      <c r="D601" s="416">
        <v>3917</v>
      </c>
      <c r="E601" s="416">
        <v>6852</v>
      </c>
      <c r="F601" s="416">
        <v>330710221</v>
      </c>
      <c r="G601" s="416">
        <v>437518223</v>
      </c>
      <c r="H601" s="416">
        <v>768228443</v>
      </c>
      <c r="I601" s="400" t="s">
        <v>158</v>
      </c>
      <c r="J601" s="400" t="s">
        <v>795</v>
      </c>
      <c r="K601" s="401">
        <v>536276</v>
      </c>
      <c r="L601" s="400" t="s">
        <v>859</v>
      </c>
      <c r="M601" s="2"/>
      <c r="N601" s="2"/>
      <c r="O601" s="4"/>
    </row>
    <row r="602" spans="1:15" ht="15" x14ac:dyDescent="0.25">
      <c r="A602" s="400" t="s">
        <v>223</v>
      </c>
      <c r="B602" s="400" t="s">
        <v>292</v>
      </c>
      <c r="C602" s="416">
        <v>793</v>
      </c>
      <c r="D602" s="416">
        <v>1022</v>
      </c>
      <c r="E602" s="416">
        <v>1815</v>
      </c>
      <c r="F602" s="416">
        <v>44023490</v>
      </c>
      <c r="G602" s="416">
        <v>63674652</v>
      </c>
      <c r="H602" s="416">
        <v>107698142</v>
      </c>
      <c r="I602" s="400" t="s">
        <v>158</v>
      </c>
      <c r="J602" s="400" t="s">
        <v>798</v>
      </c>
      <c r="K602" s="401">
        <v>577833</v>
      </c>
      <c r="L602" s="400" t="s">
        <v>170</v>
      </c>
      <c r="M602" s="2"/>
      <c r="N602" s="2"/>
      <c r="O602" s="4"/>
    </row>
    <row r="603" spans="1:15" ht="15" x14ac:dyDescent="0.25">
      <c r="A603" s="400" t="s">
        <v>1103</v>
      </c>
      <c r="B603" s="400" t="s">
        <v>480</v>
      </c>
      <c r="C603" s="416">
        <v>258</v>
      </c>
      <c r="D603" s="416">
        <v>284</v>
      </c>
      <c r="E603" s="416">
        <v>542</v>
      </c>
      <c r="F603" s="416">
        <v>7534350</v>
      </c>
      <c r="G603" s="416">
        <v>11391186</v>
      </c>
      <c r="H603" s="416">
        <v>18925536</v>
      </c>
      <c r="I603" s="400" t="s">
        <v>69</v>
      </c>
      <c r="J603" s="400" t="s">
        <v>799</v>
      </c>
      <c r="K603" s="401">
        <v>479436</v>
      </c>
      <c r="L603" s="400" t="s">
        <v>418</v>
      </c>
      <c r="M603" s="2"/>
      <c r="N603" s="2"/>
      <c r="O603" s="4"/>
    </row>
    <row r="604" spans="1:15" ht="15" x14ac:dyDescent="0.25">
      <c r="A604" s="400" t="s">
        <v>1100</v>
      </c>
      <c r="B604" s="400" t="s">
        <v>1077</v>
      </c>
      <c r="C604" s="416">
        <v>3</v>
      </c>
      <c r="D604" s="416">
        <v>3</v>
      </c>
      <c r="E604" s="416">
        <v>6</v>
      </c>
      <c r="F604" s="416">
        <v>232762</v>
      </c>
      <c r="G604" s="416">
        <v>90545</v>
      </c>
      <c r="H604" s="416">
        <v>323306</v>
      </c>
      <c r="I604" s="400" t="s">
        <v>69</v>
      </c>
      <c r="J604" s="400" t="s">
        <v>795</v>
      </c>
      <c r="K604" s="401">
        <v>231985</v>
      </c>
      <c r="L604" s="400" t="s">
        <v>620</v>
      </c>
      <c r="M604" s="2"/>
      <c r="N604" s="2"/>
      <c r="O604" s="4"/>
    </row>
    <row r="605" spans="1:15" ht="15" x14ac:dyDescent="0.25">
      <c r="A605" s="400" t="s">
        <v>296</v>
      </c>
      <c r="B605" s="400" t="s">
        <v>662</v>
      </c>
      <c r="C605" s="416">
        <v>91</v>
      </c>
      <c r="D605" s="416">
        <v>152</v>
      </c>
      <c r="E605" s="416">
        <v>243</v>
      </c>
      <c r="F605" s="416">
        <v>5298442</v>
      </c>
      <c r="G605" s="416">
        <v>10389012</v>
      </c>
      <c r="H605" s="416">
        <v>15687454</v>
      </c>
      <c r="I605" s="400" t="s">
        <v>69</v>
      </c>
      <c r="J605" s="400" t="s">
        <v>798</v>
      </c>
      <c r="K605" s="401">
        <v>233346</v>
      </c>
      <c r="L605" s="400" t="s">
        <v>775</v>
      </c>
      <c r="M605" s="2"/>
      <c r="N605" s="2"/>
      <c r="O605" s="4"/>
    </row>
    <row r="606" spans="1:15" ht="15" x14ac:dyDescent="0.25">
      <c r="A606" s="400" t="s">
        <v>185</v>
      </c>
      <c r="B606" s="400" t="s">
        <v>882</v>
      </c>
      <c r="C606" s="416">
        <v>21</v>
      </c>
      <c r="D606" s="416">
        <v>43</v>
      </c>
      <c r="E606" s="416">
        <v>64</v>
      </c>
      <c r="F606" s="416">
        <v>756994</v>
      </c>
      <c r="G606" s="416">
        <v>2246703</v>
      </c>
      <c r="H606" s="416">
        <v>3003696</v>
      </c>
      <c r="I606" s="400" t="s">
        <v>69</v>
      </c>
      <c r="J606" s="400" t="s">
        <v>798</v>
      </c>
      <c r="K606" s="401">
        <v>317040</v>
      </c>
      <c r="L606" s="400" t="s">
        <v>506</v>
      </c>
      <c r="M606" s="2"/>
      <c r="N606" s="2"/>
      <c r="O606" s="4"/>
    </row>
    <row r="607" spans="1:15" ht="15" x14ac:dyDescent="0.25">
      <c r="A607" s="400" t="s">
        <v>219</v>
      </c>
      <c r="B607" s="400" t="s">
        <v>568</v>
      </c>
      <c r="C607" s="416">
        <v>351</v>
      </c>
      <c r="D607" s="416">
        <v>447</v>
      </c>
      <c r="E607" s="416">
        <v>798</v>
      </c>
      <c r="F607" s="416">
        <v>13604352</v>
      </c>
      <c r="G607" s="416">
        <v>20055463</v>
      </c>
      <c r="H607" s="416">
        <v>33659815</v>
      </c>
      <c r="I607" s="400" t="s">
        <v>69</v>
      </c>
      <c r="J607" s="400" t="s">
        <v>798</v>
      </c>
      <c r="K607" s="401">
        <v>155259</v>
      </c>
      <c r="L607" s="400" t="s">
        <v>435</v>
      </c>
      <c r="M607" s="2"/>
      <c r="N607" s="2"/>
      <c r="O607" s="4"/>
    </row>
    <row r="608" spans="1:15" ht="15" x14ac:dyDescent="0.25">
      <c r="A608" s="400" t="s">
        <v>1109</v>
      </c>
      <c r="B608" s="400" t="s">
        <v>928</v>
      </c>
      <c r="C608" s="416">
        <v>10</v>
      </c>
      <c r="D608" s="416">
        <v>25</v>
      </c>
      <c r="E608" s="416">
        <v>35</v>
      </c>
      <c r="F608" s="416">
        <v>612203</v>
      </c>
      <c r="G608" s="416">
        <v>3047396</v>
      </c>
      <c r="H608" s="416">
        <v>3659600</v>
      </c>
      <c r="I608" s="400" t="s">
        <v>158</v>
      </c>
      <c r="J608" s="400" t="s">
        <v>799</v>
      </c>
      <c r="K608" s="401">
        <v>955906</v>
      </c>
      <c r="L608" s="400" t="s">
        <v>927</v>
      </c>
      <c r="M608" s="2"/>
      <c r="N608" s="2"/>
      <c r="O608" s="4"/>
    </row>
    <row r="609" spans="1:15" ht="15" x14ac:dyDescent="0.25">
      <c r="A609" s="400" t="s">
        <v>219</v>
      </c>
      <c r="B609" s="400" t="s">
        <v>511</v>
      </c>
      <c r="C609" s="416">
        <v>942</v>
      </c>
      <c r="D609" s="416">
        <v>1205</v>
      </c>
      <c r="E609" s="416">
        <v>2147</v>
      </c>
      <c r="F609" s="416">
        <v>40296755</v>
      </c>
      <c r="G609" s="416">
        <v>61676820</v>
      </c>
      <c r="H609" s="416">
        <v>101973575</v>
      </c>
      <c r="I609" s="400" t="s">
        <v>69</v>
      </c>
      <c r="J609" s="400" t="s">
        <v>798</v>
      </c>
      <c r="K609" s="401">
        <v>764951</v>
      </c>
      <c r="L609" s="400" t="s">
        <v>202</v>
      </c>
      <c r="M609" s="2"/>
      <c r="N609" s="2"/>
      <c r="O609" s="4"/>
    </row>
    <row r="610" spans="1:15" ht="15" x14ac:dyDescent="0.25">
      <c r="A610" s="400" t="s">
        <v>1109</v>
      </c>
      <c r="B610" s="400" t="s">
        <v>201</v>
      </c>
      <c r="C610" s="416">
        <v>666</v>
      </c>
      <c r="D610" s="416">
        <v>607</v>
      </c>
      <c r="E610" s="416">
        <v>1273</v>
      </c>
      <c r="F610" s="416">
        <v>17198179</v>
      </c>
      <c r="G610" s="416">
        <v>21509014</v>
      </c>
      <c r="H610" s="416">
        <v>38707193</v>
      </c>
      <c r="I610" s="400" t="s">
        <v>69</v>
      </c>
      <c r="J610" s="400" t="s">
        <v>799</v>
      </c>
      <c r="K610" s="401">
        <v>574582</v>
      </c>
      <c r="L610" s="400" t="s">
        <v>202</v>
      </c>
      <c r="M610" s="2"/>
      <c r="N610" s="2"/>
      <c r="O610" s="4"/>
    </row>
    <row r="611" spans="1:15" ht="15" x14ac:dyDescent="0.25">
      <c r="A611" s="400" t="s">
        <v>1113</v>
      </c>
      <c r="B611" s="400" t="s">
        <v>1119</v>
      </c>
      <c r="C611" s="416">
        <v>4405</v>
      </c>
      <c r="D611" s="416">
        <v>6469</v>
      </c>
      <c r="E611" s="416">
        <v>10874</v>
      </c>
      <c r="F611" s="416">
        <v>195796963</v>
      </c>
      <c r="G611" s="416">
        <v>362105847</v>
      </c>
      <c r="H611" s="416">
        <v>557902810</v>
      </c>
      <c r="I611" s="400" t="s">
        <v>158</v>
      </c>
      <c r="J611" s="400" t="s">
        <v>798</v>
      </c>
      <c r="K611" s="401">
        <v>504100</v>
      </c>
      <c r="L611" s="400" t="s">
        <v>198</v>
      </c>
      <c r="M611" s="2"/>
      <c r="N611" s="2"/>
      <c r="O611" s="4"/>
    </row>
    <row r="612" spans="1:15" ht="15" x14ac:dyDescent="0.25">
      <c r="A612" s="400" t="s">
        <v>223</v>
      </c>
      <c r="B612" s="400" t="s">
        <v>277</v>
      </c>
      <c r="C612" s="416">
        <v>523</v>
      </c>
      <c r="D612" s="416">
        <v>542</v>
      </c>
      <c r="E612" s="416">
        <v>1065</v>
      </c>
      <c r="F612" s="416">
        <v>30175647</v>
      </c>
      <c r="G612" s="416">
        <v>37184203</v>
      </c>
      <c r="H612" s="416">
        <v>67359850</v>
      </c>
      <c r="I612" s="400" t="s">
        <v>158</v>
      </c>
      <c r="J612" s="400" t="s">
        <v>798</v>
      </c>
      <c r="K612" s="401">
        <v>893396</v>
      </c>
      <c r="L612" s="400" t="s">
        <v>930</v>
      </c>
      <c r="M612" s="2"/>
      <c r="N612" s="2"/>
      <c r="O612" s="4"/>
    </row>
    <row r="613" spans="1:15" ht="15" x14ac:dyDescent="0.25">
      <c r="A613" s="400" t="s">
        <v>1108</v>
      </c>
      <c r="B613" s="400" t="s">
        <v>989</v>
      </c>
      <c r="C613" s="416">
        <v>86</v>
      </c>
      <c r="D613" s="416">
        <v>116</v>
      </c>
      <c r="E613" s="416">
        <v>202</v>
      </c>
      <c r="F613" s="416">
        <v>2152449</v>
      </c>
      <c r="G613" s="416">
        <v>3486094</v>
      </c>
      <c r="H613" s="416">
        <v>5638544</v>
      </c>
      <c r="I613" s="400" t="s">
        <v>69</v>
      </c>
      <c r="J613" s="400" t="s">
        <v>799</v>
      </c>
      <c r="K613" s="401">
        <v>288001</v>
      </c>
      <c r="L613" s="400" t="s">
        <v>800</v>
      </c>
      <c r="M613" s="2"/>
      <c r="N613" s="2"/>
      <c r="O613" s="4"/>
    </row>
    <row r="614" spans="1:15" ht="15" x14ac:dyDescent="0.25">
      <c r="A614" s="400" t="s">
        <v>1105</v>
      </c>
      <c r="B614" s="400" t="s">
        <v>237</v>
      </c>
      <c r="C614" s="416">
        <v>4322</v>
      </c>
      <c r="D614" s="416">
        <v>3697</v>
      </c>
      <c r="E614" s="416">
        <v>8019</v>
      </c>
      <c r="F614" s="416">
        <v>179647282</v>
      </c>
      <c r="G614" s="416">
        <v>180982048</v>
      </c>
      <c r="H614" s="416">
        <v>360629330</v>
      </c>
      <c r="I614" s="400" t="s">
        <v>158</v>
      </c>
      <c r="J614" s="400" t="s">
        <v>799</v>
      </c>
      <c r="K614" s="401">
        <v>648964</v>
      </c>
      <c r="L614" s="400" t="s">
        <v>195</v>
      </c>
      <c r="M614" s="2"/>
      <c r="N614" s="2"/>
      <c r="O614" s="4"/>
    </row>
    <row r="615" spans="1:15" ht="15" x14ac:dyDescent="0.25">
      <c r="A615" s="400" t="s">
        <v>1112</v>
      </c>
      <c r="B615" s="400" t="s">
        <v>271</v>
      </c>
      <c r="C615" s="416">
        <v>118</v>
      </c>
      <c r="D615" s="416">
        <v>233</v>
      </c>
      <c r="E615" s="416">
        <v>351</v>
      </c>
      <c r="F615" s="416">
        <v>5381899</v>
      </c>
      <c r="G615" s="416">
        <v>14539576</v>
      </c>
      <c r="H615" s="416">
        <v>19921475</v>
      </c>
      <c r="I615" s="400" t="s">
        <v>158</v>
      </c>
      <c r="J615" s="400" t="s">
        <v>798</v>
      </c>
      <c r="K615" s="401">
        <v>256362</v>
      </c>
      <c r="L615" s="400" t="s">
        <v>230</v>
      </c>
      <c r="M615" s="2"/>
      <c r="N615" s="2"/>
      <c r="O615" s="4"/>
    </row>
    <row r="616" spans="1:15" ht="15" x14ac:dyDescent="0.25">
      <c r="A616" s="400" t="s">
        <v>865</v>
      </c>
      <c r="B616" s="400" t="s">
        <v>873</v>
      </c>
      <c r="C616" s="416">
        <v>1775935</v>
      </c>
      <c r="D616" s="416">
        <v>1906647</v>
      </c>
      <c r="E616" s="416">
        <v>3682582</v>
      </c>
      <c r="F616" s="416">
        <v>160091197058</v>
      </c>
      <c r="G616" s="416">
        <v>200078557021</v>
      </c>
      <c r="H616" s="416">
        <v>360169754079</v>
      </c>
      <c r="I616" s="400" t="s">
        <v>158</v>
      </c>
      <c r="J616" s="400" t="s">
        <v>792</v>
      </c>
      <c r="K616" s="401">
        <v>1</v>
      </c>
      <c r="L616" s="400" t="s">
        <v>793</v>
      </c>
      <c r="M616" s="2"/>
      <c r="N616" s="2"/>
      <c r="O616" s="4"/>
    </row>
    <row r="617" spans="1:15" ht="15" x14ac:dyDescent="0.25">
      <c r="A617" s="400" t="s">
        <v>1111</v>
      </c>
      <c r="B617" s="400" t="s">
        <v>1079</v>
      </c>
      <c r="C617" s="416">
        <v>3</v>
      </c>
      <c r="D617" s="416">
        <v>8</v>
      </c>
      <c r="E617" s="416">
        <v>11</v>
      </c>
      <c r="F617" s="416">
        <v>98219</v>
      </c>
      <c r="G617" s="416">
        <v>444062</v>
      </c>
      <c r="H617" s="416">
        <v>542282</v>
      </c>
      <c r="I617" s="400" t="s">
        <v>69</v>
      </c>
      <c r="J617" s="400" t="s">
        <v>798</v>
      </c>
      <c r="K617" s="401">
        <v>303644</v>
      </c>
      <c r="L617" s="400" t="s">
        <v>620</v>
      </c>
      <c r="M617" s="2"/>
      <c r="N617" s="2"/>
      <c r="O617" s="4"/>
    </row>
    <row r="618" spans="1:15" ht="15" x14ac:dyDescent="0.25">
      <c r="A618" s="400" t="s">
        <v>185</v>
      </c>
      <c r="B618" s="400" t="s">
        <v>462</v>
      </c>
      <c r="C618" s="416">
        <v>2246</v>
      </c>
      <c r="D618" s="416">
        <v>2976</v>
      </c>
      <c r="E618" s="416">
        <v>5222</v>
      </c>
      <c r="F618" s="416">
        <v>143163553</v>
      </c>
      <c r="G618" s="416">
        <v>235183142</v>
      </c>
      <c r="H618" s="416">
        <v>378346695</v>
      </c>
      <c r="I618" s="400" t="s">
        <v>69</v>
      </c>
      <c r="J618" s="400" t="s">
        <v>798</v>
      </c>
      <c r="K618" s="401">
        <v>320358</v>
      </c>
      <c r="L618" s="400" t="s">
        <v>338</v>
      </c>
      <c r="M618" s="2"/>
      <c r="N618" s="2"/>
      <c r="O618" s="4"/>
    </row>
    <row r="619" spans="1:15" ht="15" x14ac:dyDescent="0.25">
      <c r="A619" s="400" t="s">
        <v>1105</v>
      </c>
      <c r="B619" s="400" t="s">
        <v>769</v>
      </c>
      <c r="C619" s="416">
        <v>653</v>
      </c>
      <c r="D619" s="416">
        <v>558</v>
      </c>
      <c r="E619" s="416">
        <v>1211</v>
      </c>
      <c r="F619" s="416">
        <v>22345511</v>
      </c>
      <c r="G619" s="416">
        <v>24876533</v>
      </c>
      <c r="H619" s="416">
        <v>47222045</v>
      </c>
      <c r="I619" s="400" t="s">
        <v>158</v>
      </c>
      <c r="J619" s="400" t="s">
        <v>799</v>
      </c>
      <c r="K619" s="401">
        <v>901603</v>
      </c>
      <c r="L619" s="400" t="s">
        <v>211</v>
      </c>
      <c r="M619" s="2"/>
      <c r="N619" s="2"/>
      <c r="O619" s="4"/>
    </row>
    <row r="620" spans="1:15" ht="15" x14ac:dyDescent="0.25">
      <c r="A620" s="400" t="s">
        <v>325</v>
      </c>
      <c r="B620" s="400" t="s">
        <v>401</v>
      </c>
      <c r="C620" s="416">
        <v>2900</v>
      </c>
      <c r="D620" s="416">
        <v>4571</v>
      </c>
      <c r="E620" s="416">
        <v>7471</v>
      </c>
      <c r="F620" s="416">
        <v>182349044</v>
      </c>
      <c r="G620" s="416">
        <v>319079089</v>
      </c>
      <c r="H620" s="416">
        <v>501428133</v>
      </c>
      <c r="I620" s="400" t="s">
        <v>69</v>
      </c>
      <c r="J620" s="400" t="s">
        <v>798</v>
      </c>
      <c r="K620" s="401">
        <v>388298</v>
      </c>
      <c r="L620" s="400" t="s">
        <v>801</v>
      </c>
      <c r="M620" s="2"/>
      <c r="N620" s="2"/>
      <c r="O620" s="4"/>
    </row>
    <row r="621" spans="1:15" ht="15" x14ac:dyDescent="0.25">
      <c r="A621" s="400" t="s">
        <v>1110</v>
      </c>
      <c r="B621" s="400" t="s">
        <v>767</v>
      </c>
      <c r="C621" s="416">
        <v>351</v>
      </c>
      <c r="D621" s="416">
        <v>723</v>
      </c>
      <c r="E621" s="416">
        <v>1074</v>
      </c>
      <c r="F621" s="416">
        <v>15442441</v>
      </c>
      <c r="G621" s="416">
        <v>37488528</v>
      </c>
      <c r="H621" s="416">
        <v>52930969</v>
      </c>
      <c r="I621" s="400" t="s">
        <v>158</v>
      </c>
      <c r="J621" s="400" t="s">
        <v>798</v>
      </c>
      <c r="K621" s="401">
        <v>687509</v>
      </c>
      <c r="L621" s="400" t="s">
        <v>198</v>
      </c>
      <c r="M621" s="2"/>
      <c r="N621" s="2"/>
      <c r="O621" s="4"/>
    </row>
    <row r="622" spans="1:15" ht="15" x14ac:dyDescent="0.25">
      <c r="A622" s="400" t="s">
        <v>302</v>
      </c>
      <c r="B622" s="400" t="s">
        <v>952</v>
      </c>
      <c r="C622" s="416">
        <v>15655</v>
      </c>
      <c r="D622" s="416">
        <v>18344</v>
      </c>
      <c r="E622" s="416">
        <v>33999</v>
      </c>
      <c r="F622" s="416">
        <v>698431338</v>
      </c>
      <c r="G622" s="416">
        <v>1012592197</v>
      </c>
      <c r="H622" s="416">
        <v>1711023535</v>
      </c>
      <c r="I622" s="400" t="s">
        <v>158</v>
      </c>
      <c r="J622" s="400" t="s">
        <v>798</v>
      </c>
      <c r="K622" s="401">
        <v>987842</v>
      </c>
      <c r="L622" s="400" t="s">
        <v>198</v>
      </c>
      <c r="M622" s="2"/>
      <c r="N622" s="2"/>
      <c r="O622" s="4"/>
    </row>
    <row r="623" spans="1:15" ht="15" x14ac:dyDescent="0.25">
      <c r="A623" s="400" t="s">
        <v>1087</v>
      </c>
      <c r="B623" s="400" t="s">
        <v>1058</v>
      </c>
      <c r="C623" s="416">
        <v>13</v>
      </c>
      <c r="D623" s="416">
        <v>22</v>
      </c>
      <c r="E623" s="416">
        <v>35</v>
      </c>
      <c r="F623" s="416">
        <v>508356</v>
      </c>
      <c r="G623" s="416">
        <v>953639</v>
      </c>
      <c r="H623" s="416">
        <v>1461995</v>
      </c>
      <c r="I623" s="400" t="s">
        <v>158</v>
      </c>
      <c r="J623" s="400" t="s">
        <v>792</v>
      </c>
      <c r="K623" s="401">
        <v>105072</v>
      </c>
      <c r="L623" s="400" t="s">
        <v>177</v>
      </c>
      <c r="M623" s="2"/>
      <c r="N623" s="2"/>
      <c r="O623" s="4"/>
    </row>
    <row r="624" spans="1:15" ht="15" x14ac:dyDescent="0.25">
      <c r="A624" s="400" t="s">
        <v>223</v>
      </c>
      <c r="B624" s="400" t="s">
        <v>954</v>
      </c>
      <c r="C624" s="416">
        <v>7295</v>
      </c>
      <c r="D624" s="416">
        <v>7140</v>
      </c>
      <c r="E624" s="416">
        <v>14435</v>
      </c>
      <c r="F624" s="416">
        <v>479812148</v>
      </c>
      <c r="G624" s="416">
        <v>584627639</v>
      </c>
      <c r="H624" s="416">
        <v>1064439787</v>
      </c>
      <c r="I624" s="400" t="s">
        <v>158</v>
      </c>
      <c r="J624" s="400" t="s">
        <v>798</v>
      </c>
      <c r="K624" s="401">
        <v>158261</v>
      </c>
      <c r="L624" s="400" t="s">
        <v>213</v>
      </c>
      <c r="M624" s="2"/>
      <c r="N624" s="2"/>
      <c r="O624" s="4"/>
    </row>
    <row r="625" spans="1:15" ht="15" customHeight="1" x14ac:dyDescent="0.25">
      <c r="A625" s="400" t="s">
        <v>1113</v>
      </c>
      <c r="B625" s="400" t="s">
        <v>489</v>
      </c>
      <c r="C625" s="416">
        <v>3890</v>
      </c>
      <c r="D625" s="416">
        <v>5402</v>
      </c>
      <c r="E625" s="416">
        <v>9292</v>
      </c>
      <c r="F625" s="416">
        <v>147145485</v>
      </c>
      <c r="G625" s="416">
        <v>247090340</v>
      </c>
      <c r="H625" s="416">
        <v>394235826</v>
      </c>
      <c r="I625" s="400" t="s">
        <v>158</v>
      </c>
      <c r="J625" s="400" t="s">
        <v>798</v>
      </c>
      <c r="K625" s="401">
        <v>618629</v>
      </c>
      <c r="L625" s="400" t="s">
        <v>230</v>
      </c>
      <c r="M625" s="2"/>
      <c r="N625" s="2"/>
      <c r="O625" s="4"/>
    </row>
    <row r="626" spans="1:15" ht="15" customHeight="1" x14ac:dyDescent="0.25">
      <c r="A626" s="400" t="s">
        <v>219</v>
      </c>
      <c r="B626" s="400" t="s">
        <v>584</v>
      </c>
      <c r="C626" s="416">
        <v>932</v>
      </c>
      <c r="D626" s="416">
        <v>1164</v>
      </c>
      <c r="E626" s="416">
        <v>2096</v>
      </c>
      <c r="F626" s="416">
        <v>34439681</v>
      </c>
      <c r="G626" s="416">
        <v>49343898</v>
      </c>
      <c r="H626" s="416">
        <v>83783579</v>
      </c>
      <c r="I626" s="400" t="s">
        <v>69</v>
      </c>
      <c r="J626" s="400" t="s">
        <v>798</v>
      </c>
      <c r="K626" s="401">
        <v>529016</v>
      </c>
      <c r="L626" s="400" t="s">
        <v>777</v>
      </c>
      <c r="M626" s="2"/>
      <c r="N626" s="2"/>
      <c r="O626" s="4"/>
    </row>
    <row r="627" spans="1:15" ht="15" x14ac:dyDescent="0.25">
      <c r="A627" s="400" t="s">
        <v>865</v>
      </c>
      <c r="B627" s="400" t="s">
        <v>796</v>
      </c>
      <c r="C627" s="416">
        <v>8071</v>
      </c>
      <c r="D627" s="416">
        <v>8930</v>
      </c>
      <c r="E627" s="416">
        <v>17001</v>
      </c>
      <c r="F627" s="416">
        <v>1422172956</v>
      </c>
      <c r="G627" s="416">
        <v>1762875383</v>
      </c>
      <c r="H627" s="416">
        <v>3185048339</v>
      </c>
      <c r="I627" s="400" t="s">
        <v>158</v>
      </c>
      <c r="J627" s="400" t="s">
        <v>795</v>
      </c>
      <c r="K627" s="401">
        <v>3</v>
      </c>
      <c r="L627" s="400" t="s">
        <v>793</v>
      </c>
      <c r="M627" s="2"/>
      <c r="N627" s="2"/>
      <c r="O627" s="4"/>
    </row>
    <row r="628" spans="1:15" ht="15" x14ac:dyDescent="0.25">
      <c r="A628" s="400" t="s">
        <v>223</v>
      </c>
      <c r="B628" s="400" t="s">
        <v>990</v>
      </c>
      <c r="C628" s="416">
        <v>24</v>
      </c>
      <c r="D628" s="416">
        <v>36</v>
      </c>
      <c r="E628" s="416">
        <v>60</v>
      </c>
      <c r="F628" s="416">
        <v>1389786</v>
      </c>
      <c r="G628" s="416">
        <v>2569595</v>
      </c>
      <c r="H628" s="416">
        <v>3959382</v>
      </c>
      <c r="I628" s="400" t="s">
        <v>158</v>
      </c>
      <c r="J628" s="400" t="s">
        <v>798</v>
      </c>
      <c r="K628" s="401">
        <v>657106</v>
      </c>
      <c r="L628" s="400" t="s">
        <v>233</v>
      </c>
      <c r="M628" s="2"/>
      <c r="N628" s="2"/>
      <c r="O628" s="4"/>
    </row>
    <row r="629" spans="1:15" ht="15" x14ac:dyDescent="0.25">
      <c r="A629" s="400" t="s">
        <v>1089</v>
      </c>
      <c r="B629" s="400" t="s">
        <v>528</v>
      </c>
      <c r="C629" s="416">
        <v>274</v>
      </c>
      <c r="D629" s="416">
        <v>413</v>
      </c>
      <c r="E629" s="416">
        <v>687</v>
      </c>
      <c r="F629" s="416">
        <v>9271646</v>
      </c>
      <c r="G629" s="416">
        <v>18545061</v>
      </c>
      <c r="H629" s="416">
        <v>27816708</v>
      </c>
      <c r="I629" s="400" t="s">
        <v>69</v>
      </c>
      <c r="J629" s="400" t="s">
        <v>795</v>
      </c>
      <c r="K629" s="401">
        <v>303230</v>
      </c>
      <c r="L629" s="400" t="s">
        <v>775</v>
      </c>
      <c r="M629" s="2"/>
      <c r="N629" s="2"/>
      <c r="O629" s="4"/>
    </row>
    <row r="630" spans="1:15" ht="15" customHeight="1" x14ac:dyDescent="0.25">
      <c r="A630" s="400" t="s">
        <v>219</v>
      </c>
      <c r="B630" s="400" t="s">
        <v>819</v>
      </c>
      <c r="C630" s="416">
        <v>125</v>
      </c>
      <c r="D630" s="416">
        <v>179</v>
      </c>
      <c r="E630" s="416">
        <v>304</v>
      </c>
      <c r="F630" s="416">
        <v>5924718</v>
      </c>
      <c r="G630" s="416">
        <v>9698566</v>
      </c>
      <c r="H630" s="416">
        <v>15623284</v>
      </c>
      <c r="I630" s="400" t="s">
        <v>69</v>
      </c>
      <c r="J630" s="400" t="s">
        <v>798</v>
      </c>
      <c r="K630" s="401">
        <v>696898</v>
      </c>
      <c r="L630" s="400" t="s">
        <v>556</v>
      </c>
      <c r="M630" s="2"/>
      <c r="N630" s="2"/>
      <c r="O630" s="4"/>
    </row>
    <row r="631" spans="1:15" ht="15" x14ac:dyDescent="0.25">
      <c r="A631" s="400" t="s">
        <v>185</v>
      </c>
      <c r="B631" s="400" t="s">
        <v>616</v>
      </c>
      <c r="C631" s="416">
        <v>72</v>
      </c>
      <c r="D631" s="416">
        <v>122</v>
      </c>
      <c r="E631" s="416">
        <v>194</v>
      </c>
      <c r="F631" s="416">
        <v>3758902</v>
      </c>
      <c r="G631" s="416">
        <v>6770096</v>
      </c>
      <c r="H631" s="416">
        <v>10528998</v>
      </c>
      <c r="I631" s="400" t="s">
        <v>69</v>
      </c>
      <c r="J631" s="400" t="s">
        <v>798</v>
      </c>
      <c r="K631" s="401">
        <v>432153</v>
      </c>
      <c r="L631" s="400" t="s">
        <v>558</v>
      </c>
      <c r="M631" s="2"/>
      <c r="N631" s="2"/>
      <c r="O631" s="4"/>
    </row>
    <row r="632" spans="1:15" ht="15" x14ac:dyDescent="0.25">
      <c r="A632" s="400" t="s">
        <v>305</v>
      </c>
      <c r="B632" s="400" t="s">
        <v>647</v>
      </c>
      <c r="C632" s="416">
        <v>202</v>
      </c>
      <c r="D632" s="416">
        <v>265</v>
      </c>
      <c r="E632" s="416">
        <v>467</v>
      </c>
      <c r="F632" s="416">
        <v>11137441</v>
      </c>
      <c r="G632" s="416">
        <v>16447294</v>
      </c>
      <c r="H632" s="416">
        <v>27584735</v>
      </c>
      <c r="I632" s="400" t="s">
        <v>69</v>
      </c>
      <c r="J632" s="400" t="s">
        <v>798</v>
      </c>
      <c r="K632" s="401">
        <v>273664</v>
      </c>
      <c r="L632" s="400" t="s">
        <v>646</v>
      </c>
      <c r="M632" s="2"/>
      <c r="N632" s="2"/>
      <c r="O632" s="4"/>
    </row>
    <row r="633" spans="1:15" ht="15" x14ac:dyDescent="0.25">
      <c r="A633" s="400" t="s">
        <v>1114</v>
      </c>
      <c r="B633" s="400" t="s">
        <v>802</v>
      </c>
      <c r="C633" s="416">
        <v>169</v>
      </c>
      <c r="D633" s="416">
        <v>274</v>
      </c>
      <c r="E633" s="416">
        <v>443</v>
      </c>
      <c r="F633" s="416">
        <v>7468499</v>
      </c>
      <c r="G633" s="416">
        <v>14872114</v>
      </c>
      <c r="H633" s="416">
        <v>22340613</v>
      </c>
      <c r="I633" s="400" t="s">
        <v>158</v>
      </c>
      <c r="J633" s="400" t="s">
        <v>798</v>
      </c>
      <c r="K633" s="401">
        <v>171306</v>
      </c>
      <c r="L633" s="400" t="s">
        <v>159</v>
      </c>
      <c r="M633" s="2"/>
      <c r="N633" s="2"/>
      <c r="O633" s="4"/>
    </row>
    <row r="634" spans="1:15" ht="15" x14ac:dyDescent="0.25">
      <c r="A634" s="400" t="s">
        <v>1103</v>
      </c>
      <c r="B634" s="400" t="s">
        <v>293</v>
      </c>
      <c r="C634" s="416">
        <v>5802</v>
      </c>
      <c r="D634" s="416">
        <v>4678</v>
      </c>
      <c r="E634" s="416">
        <v>10480</v>
      </c>
      <c r="F634" s="416">
        <v>190543517</v>
      </c>
      <c r="G634" s="416">
        <v>186222458</v>
      </c>
      <c r="H634" s="416">
        <v>376765975</v>
      </c>
      <c r="I634" s="400" t="s">
        <v>69</v>
      </c>
      <c r="J634" s="400" t="s">
        <v>799</v>
      </c>
      <c r="K634" s="401">
        <v>191437</v>
      </c>
      <c r="L634" s="400" t="s">
        <v>997</v>
      </c>
      <c r="M634" s="2"/>
      <c r="N634" s="2"/>
      <c r="O634" s="4"/>
    </row>
    <row r="635" spans="1:15" ht="15" x14ac:dyDescent="0.25">
      <c r="A635" s="400" t="s">
        <v>1103</v>
      </c>
      <c r="B635" s="400" t="s">
        <v>937</v>
      </c>
      <c r="C635" s="416">
        <v>8</v>
      </c>
      <c r="D635" s="416">
        <v>16</v>
      </c>
      <c r="E635" s="416">
        <v>24</v>
      </c>
      <c r="F635" s="416">
        <v>720739</v>
      </c>
      <c r="G635" s="416">
        <v>704342</v>
      </c>
      <c r="H635" s="416">
        <v>1425081</v>
      </c>
      <c r="I635" s="400" t="s">
        <v>69</v>
      </c>
      <c r="J635" s="400" t="s">
        <v>799</v>
      </c>
      <c r="K635" s="401">
        <v>606103</v>
      </c>
      <c r="L635" s="400" t="s">
        <v>294</v>
      </c>
      <c r="M635" s="2"/>
      <c r="N635" s="2"/>
      <c r="O635" s="4"/>
    </row>
    <row r="636" spans="1:15" ht="15" x14ac:dyDescent="0.25">
      <c r="A636" s="400" t="s">
        <v>1114</v>
      </c>
      <c r="B636" s="400" t="s">
        <v>828</v>
      </c>
      <c r="C636" s="416">
        <v>10</v>
      </c>
      <c r="D636" s="416">
        <v>21</v>
      </c>
      <c r="E636" s="416">
        <v>31</v>
      </c>
      <c r="F636" s="416">
        <v>479968</v>
      </c>
      <c r="G636" s="416">
        <v>1514322</v>
      </c>
      <c r="H636" s="416">
        <v>1994290</v>
      </c>
      <c r="I636" s="400" t="s">
        <v>69</v>
      </c>
      <c r="J636" s="400" t="s">
        <v>798</v>
      </c>
      <c r="K636" s="401">
        <v>744581</v>
      </c>
      <c r="L636" s="400" t="s">
        <v>805</v>
      </c>
      <c r="M636" s="2"/>
      <c r="N636" s="2"/>
      <c r="O636" s="4"/>
    </row>
    <row r="637" spans="1:15" ht="15" x14ac:dyDescent="0.25">
      <c r="A637" s="400" t="s">
        <v>205</v>
      </c>
      <c r="B637" s="400" t="s">
        <v>912</v>
      </c>
      <c r="C637" s="416">
        <v>6288</v>
      </c>
      <c r="D637" s="416">
        <v>7725</v>
      </c>
      <c r="E637" s="416">
        <v>14013</v>
      </c>
      <c r="F637" s="416">
        <v>176647592</v>
      </c>
      <c r="G637" s="416">
        <v>276363969</v>
      </c>
      <c r="H637" s="416">
        <v>453011561</v>
      </c>
      <c r="I637" s="400" t="s">
        <v>158</v>
      </c>
      <c r="J637" s="400" t="s">
        <v>798</v>
      </c>
      <c r="K637" s="401">
        <v>943159</v>
      </c>
      <c r="L637" s="400" t="s">
        <v>175</v>
      </c>
      <c r="M637" s="2"/>
      <c r="N637" s="2"/>
      <c r="O637" s="4"/>
    </row>
    <row r="638" spans="1:15" ht="15" x14ac:dyDescent="0.25">
      <c r="A638" s="400" t="s">
        <v>264</v>
      </c>
      <c r="B638" s="400" t="s">
        <v>326</v>
      </c>
      <c r="C638" s="416">
        <v>22377</v>
      </c>
      <c r="D638" s="416">
        <v>27966</v>
      </c>
      <c r="E638" s="416">
        <v>50343</v>
      </c>
      <c r="F638" s="416">
        <v>1776412901</v>
      </c>
      <c r="G638" s="416">
        <v>2770763563</v>
      </c>
      <c r="H638" s="416">
        <v>4547176464</v>
      </c>
      <c r="I638" s="400" t="s">
        <v>158</v>
      </c>
      <c r="J638" s="400" t="s">
        <v>798</v>
      </c>
      <c r="K638" s="401">
        <v>856682</v>
      </c>
      <c r="L638" s="400" t="s">
        <v>175</v>
      </c>
      <c r="M638" s="2"/>
      <c r="N638" s="2"/>
      <c r="O638" s="4"/>
    </row>
    <row r="639" spans="1:15" ht="15" customHeight="1" x14ac:dyDescent="0.25">
      <c r="A639" s="400" t="s">
        <v>350</v>
      </c>
      <c r="B639" s="400" t="s">
        <v>550</v>
      </c>
      <c r="C639" s="416">
        <v>13910</v>
      </c>
      <c r="D639" s="416">
        <v>19825</v>
      </c>
      <c r="E639" s="416">
        <v>33735</v>
      </c>
      <c r="F639" s="416">
        <v>723251718</v>
      </c>
      <c r="G639" s="416">
        <v>1296808082</v>
      </c>
      <c r="H639" s="416">
        <v>2020059800</v>
      </c>
      <c r="I639" s="400" t="s">
        <v>69</v>
      </c>
      <c r="J639" s="400" t="s">
        <v>798</v>
      </c>
      <c r="K639" s="401">
        <v>334409</v>
      </c>
      <c r="L639" s="400" t="s">
        <v>435</v>
      </c>
      <c r="M639" s="2"/>
      <c r="N639" s="2"/>
      <c r="O639" s="4"/>
    </row>
    <row r="640" spans="1:15" ht="15" x14ac:dyDescent="0.25">
      <c r="A640" s="400" t="s">
        <v>1112</v>
      </c>
      <c r="B640" s="400" t="s">
        <v>814</v>
      </c>
      <c r="C640" s="416">
        <v>2562</v>
      </c>
      <c r="D640" s="416">
        <v>2465</v>
      </c>
      <c r="E640" s="416">
        <v>5027</v>
      </c>
      <c r="F640" s="416">
        <v>85184804</v>
      </c>
      <c r="G640" s="416">
        <v>101085427</v>
      </c>
      <c r="H640" s="416">
        <v>186270231</v>
      </c>
      <c r="I640" s="400" t="s">
        <v>69</v>
      </c>
      <c r="J640" s="400" t="s">
        <v>798</v>
      </c>
      <c r="K640" s="401">
        <v>768556</v>
      </c>
      <c r="L640" s="400" t="s">
        <v>556</v>
      </c>
      <c r="M640" s="2"/>
      <c r="N640" s="2"/>
      <c r="O640" s="4"/>
    </row>
    <row r="641" spans="1:15" ht="15" x14ac:dyDescent="0.25">
      <c r="A641" s="400" t="s">
        <v>1110</v>
      </c>
      <c r="B641" s="400" t="s">
        <v>830</v>
      </c>
      <c r="C641" s="416">
        <v>1107</v>
      </c>
      <c r="D641" s="416">
        <v>1459</v>
      </c>
      <c r="E641" s="416">
        <v>2566</v>
      </c>
      <c r="F641" s="416">
        <v>24630597</v>
      </c>
      <c r="G641" s="416">
        <v>43961029</v>
      </c>
      <c r="H641" s="416">
        <v>68591626</v>
      </c>
      <c r="I641" s="400" t="s">
        <v>69</v>
      </c>
      <c r="J641" s="400" t="s">
        <v>798</v>
      </c>
      <c r="K641" s="401">
        <v>517748</v>
      </c>
      <c r="L641" s="400" t="s">
        <v>556</v>
      </c>
      <c r="M641" s="2"/>
      <c r="N641" s="2"/>
      <c r="O641" s="4"/>
    </row>
    <row r="642" spans="1:15" ht="15" x14ac:dyDescent="0.25">
      <c r="A642" s="400" t="s">
        <v>185</v>
      </c>
      <c r="B642" s="400" t="s">
        <v>920</v>
      </c>
      <c r="C642" s="416">
        <v>56</v>
      </c>
      <c r="D642" s="416">
        <v>120</v>
      </c>
      <c r="E642" s="416">
        <v>176</v>
      </c>
      <c r="F642" s="416">
        <v>6740162</v>
      </c>
      <c r="G642" s="416">
        <v>18200282</v>
      </c>
      <c r="H642" s="416">
        <v>24940445</v>
      </c>
      <c r="I642" s="400" t="s">
        <v>69</v>
      </c>
      <c r="J642" s="400" t="s">
        <v>798</v>
      </c>
      <c r="K642" s="401">
        <v>422709</v>
      </c>
      <c r="L642" s="400" t="s">
        <v>919</v>
      </c>
      <c r="M642" s="2"/>
      <c r="N642" s="2"/>
      <c r="O642" s="4"/>
    </row>
    <row r="643" spans="1:15" ht="15" x14ac:dyDescent="0.25">
      <c r="A643" s="400" t="s">
        <v>1112</v>
      </c>
      <c r="B643" s="400" t="s">
        <v>242</v>
      </c>
      <c r="C643" s="416">
        <v>5754</v>
      </c>
      <c r="D643" s="416">
        <v>7486</v>
      </c>
      <c r="E643" s="416">
        <v>13240</v>
      </c>
      <c r="F643" s="416">
        <v>255426814</v>
      </c>
      <c r="G643" s="416">
        <v>411414229</v>
      </c>
      <c r="H643" s="416">
        <v>666841043</v>
      </c>
      <c r="I643" s="400" t="s">
        <v>158</v>
      </c>
      <c r="J643" s="400" t="s">
        <v>798</v>
      </c>
      <c r="K643" s="401">
        <v>929224</v>
      </c>
      <c r="L643" s="400" t="s">
        <v>930</v>
      </c>
      <c r="M643" s="2"/>
      <c r="N643" s="2"/>
      <c r="O643" s="4"/>
    </row>
    <row r="644" spans="1:15" ht="15" x14ac:dyDescent="0.25">
      <c r="A644" s="400" t="s">
        <v>1117</v>
      </c>
      <c r="B644" s="400" t="s">
        <v>140</v>
      </c>
      <c r="C644" s="416">
        <v>1023</v>
      </c>
      <c r="D644" s="416">
        <v>1143</v>
      </c>
      <c r="E644" s="416">
        <v>2166</v>
      </c>
      <c r="F644" s="416">
        <v>40118060</v>
      </c>
      <c r="G644" s="416">
        <v>58678732</v>
      </c>
      <c r="H644" s="416">
        <v>98796792</v>
      </c>
      <c r="I644" s="400" t="s">
        <v>158</v>
      </c>
      <c r="J644" s="400" t="s">
        <v>798</v>
      </c>
      <c r="K644" s="401">
        <v>396028</v>
      </c>
      <c r="L644" s="400" t="s">
        <v>426</v>
      </c>
      <c r="M644" s="2"/>
      <c r="N644" s="2"/>
      <c r="O644" s="4"/>
    </row>
    <row r="645" spans="1:15" ht="15" x14ac:dyDescent="0.25">
      <c r="A645" s="400" t="s">
        <v>223</v>
      </c>
      <c r="B645" s="400" t="s">
        <v>344</v>
      </c>
      <c r="C645" s="416">
        <v>9556</v>
      </c>
      <c r="D645" s="416">
        <v>9533</v>
      </c>
      <c r="E645" s="416">
        <v>19089</v>
      </c>
      <c r="F645" s="416">
        <v>616796183</v>
      </c>
      <c r="G645" s="416">
        <v>781718596</v>
      </c>
      <c r="H645" s="416">
        <v>1398514779</v>
      </c>
      <c r="I645" s="400" t="s">
        <v>69</v>
      </c>
      <c r="J645" s="400" t="s">
        <v>798</v>
      </c>
      <c r="K645" s="401">
        <v>585216</v>
      </c>
      <c r="L645" s="400" t="s">
        <v>997</v>
      </c>
      <c r="M645" s="2"/>
      <c r="N645" s="2"/>
      <c r="O645" s="4"/>
    </row>
    <row r="646" spans="1:15" ht="15" x14ac:dyDescent="0.25">
      <c r="A646" s="400" t="s">
        <v>163</v>
      </c>
      <c r="B646" s="400" t="s">
        <v>244</v>
      </c>
      <c r="C646" s="416">
        <v>41294</v>
      </c>
      <c r="D646" s="416">
        <v>37030</v>
      </c>
      <c r="E646" s="416">
        <v>78324</v>
      </c>
      <c r="F646" s="416">
        <v>4051332673</v>
      </c>
      <c r="G646" s="416">
        <v>4415460395</v>
      </c>
      <c r="H646" s="416">
        <v>8466793067</v>
      </c>
      <c r="I646" s="400" t="s">
        <v>158</v>
      </c>
      <c r="J646" s="400" t="s">
        <v>792</v>
      </c>
      <c r="K646" s="401">
        <v>427310</v>
      </c>
      <c r="L646" s="400" t="s">
        <v>182</v>
      </c>
      <c r="M646" s="2"/>
      <c r="N646" s="2"/>
      <c r="O646" s="4"/>
    </row>
    <row r="647" spans="1:15" ht="15" x14ac:dyDescent="0.25">
      <c r="A647" s="400" t="s">
        <v>1117</v>
      </c>
      <c r="B647" s="400" t="s">
        <v>62</v>
      </c>
      <c r="C647" s="416">
        <v>60768</v>
      </c>
      <c r="D647" s="416">
        <v>57128</v>
      </c>
      <c r="E647" s="416">
        <v>117896</v>
      </c>
      <c r="F647" s="416">
        <v>2569903296</v>
      </c>
      <c r="G647" s="416">
        <v>3106114887</v>
      </c>
      <c r="H647" s="416">
        <v>5676018183</v>
      </c>
      <c r="I647" s="400" t="s">
        <v>158</v>
      </c>
      <c r="J647" s="400" t="s">
        <v>798</v>
      </c>
      <c r="K647" s="401">
        <v>928341</v>
      </c>
      <c r="L647" s="400" t="s">
        <v>175</v>
      </c>
      <c r="M647" s="2"/>
      <c r="N647" s="2"/>
      <c r="O647" s="4"/>
    </row>
    <row r="648" spans="1:15" ht="15" x14ac:dyDescent="0.25">
      <c r="A648" s="400" t="s">
        <v>1103</v>
      </c>
      <c r="B648" s="400" t="s">
        <v>1133</v>
      </c>
      <c r="C648" s="416">
        <v>435</v>
      </c>
      <c r="D648" s="416">
        <v>416</v>
      </c>
      <c r="E648" s="416">
        <v>851</v>
      </c>
      <c r="F648" s="416">
        <v>16492426</v>
      </c>
      <c r="G648" s="416">
        <v>18430672</v>
      </c>
      <c r="H648" s="416">
        <v>34923097</v>
      </c>
      <c r="I648" s="400" t="s">
        <v>69</v>
      </c>
      <c r="J648" s="400" t="s">
        <v>799</v>
      </c>
      <c r="K648" s="401">
        <v>259499</v>
      </c>
      <c r="L648" s="400" t="s">
        <v>777</v>
      </c>
      <c r="M648" s="2"/>
      <c r="N648" s="2"/>
      <c r="O648" s="4"/>
    </row>
    <row r="649" spans="1:15" ht="15" x14ac:dyDescent="0.25">
      <c r="A649" s="400" t="s">
        <v>350</v>
      </c>
      <c r="B649" s="400" t="s">
        <v>632</v>
      </c>
      <c r="C649" s="416">
        <v>906</v>
      </c>
      <c r="D649" s="416">
        <v>1400</v>
      </c>
      <c r="E649" s="416">
        <v>2306</v>
      </c>
      <c r="F649" s="416">
        <v>45003338</v>
      </c>
      <c r="G649" s="416">
        <v>88617423</v>
      </c>
      <c r="H649" s="416">
        <v>133620760</v>
      </c>
      <c r="I649" s="400" t="s">
        <v>69</v>
      </c>
      <c r="J649" s="400" t="s">
        <v>798</v>
      </c>
      <c r="K649" s="401">
        <v>908806</v>
      </c>
      <c r="L649" s="400" t="s">
        <v>777</v>
      </c>
      <c r="M649" s="2"/>
      <c r="N649" s="2"/>
      <c r="O649" s="4"/>
    </row>
    <row r="650" spans="1:15" ht="15" x14ac:dyDescent="0.25">
      <c r="A650" s="400" t="s">
        <v>1105</v>
      </c>
      <c r="B650" s="400" t="s">
        <v>1060</v>
      </c>
      <c r="C650" s="416">
        <v>28</v>
      </c>
      <c r="D650" s="416">
        <v>48</v>
      </c>
      <c r="E650" s="416">
        <v>76</v>
      </c>
      <c r="F650" s="416">
        <v>1460758</v>
      </c>
      <c r="G650" s="416">
        <v>2782298</v>
      </c>
      <c r="H650" s="416">
        <v>4243055</v>
      </c>
      <c r="I650" s="400" t="s">
        <v>158</v>
      </c>
      <c r="J650" s="400" t="s">
        <v>799</v>
      </c>
      <c r="K650" s="401">
        <v>624999</v>
      </c>
      <c r="L650" s="400" t="s">
        <v>170</v>
      </c>
      <c r="M650" s="2"/>
      <c r="N650" s="2"/>
      <c r="O650" s="4"/>
    </row>
    <row r="651" spans="1:15" ht="15" x14ac:dyDescent="0.25">
      <c r="A651" s="400" t="s">
        <v>1108</v>
      </c>
      <c r="B651" s="400" t="s">
        <v>416</v>
      </c>
      <c r="C651" s="416">
        <v>83</v>
      </c>
      <c r="D651" s="416">
        <v>103</v>
      </c>
      <c r="E651" s="416">
        <v>186</v>
      </c>
      <c r="F651" s="416">
        <v>2941978</v>
      </c>
      <c r="G651" s="416">
        <v>5505919</v>
      </c>
      <c r="H651" s="416">
        <v>8447897</v>
      </c>
      <c r="I651" s="400" t="s">
        <v>69</v>
      </c>
      <c r="J651" s="400" t="s">
        <v>799</v>
      </c>
      <c r="K651" s="401">
        <v>551093</v>
      </c>
      <c r="L651" s="400" t="s">
        <v>418</v>
      </c>
      <c r="M651" s="2"/>
      <c r="N651" s="2"/>
      <c r="O651" s="4"/>
    </row>
    <row r="652" spans="1:15" ht="15" x14ac:dyDescent="0.25">
      <c r="A652" s="400" t="s">
        <v>350</v>
      </c>
      <c r="B652" s="400" t="s">
        <v>691</v>
      </c>
      <c r="C652" s="416">
        <v>59</v>
      </c>
      <c r="D652" s="416">
        <v>151</v>
      </c>
      <c r="E652" s="416">
        <v>210</v>
      </c>
      <c r="F652" s="416">
        <v>2489893</v>
      </c>
      <c r="G652" s="416">
        <v>7224037</v>
      </c>
      <c r="H652" s="416">
        <v>9713930</v>
      </c>
      <c r="I652" s="400" t="s">
        <v>69</v>
      </c>
      <c r="J652" s="400" t="s">
        <v>798</v>
      </c>
      <c r="K652" s="401">
        <v>753731</v>
      </c>
      <c r="L652" s="400" t="s">
        <v>768</v>
      </c>
      <c r="M652" s="2"/>
      <c r="N652" s="2"/>
      <c r="O652" s="4"/>
    </row>
    <row r="653" spans="1:15" ht="15" x14ac:dyDescent="0.25">
      <c r="A653" s="400" t="s">
        <v>185</v>
      </c>
      <c r="B653" s="400" t="s">
        <v>862</v>
      </c>
      <c r="C653" s="416">
        <v>11648</v>
      </c>
      <c r="D653" s="416">
        <v>11329</v>
      </c>
      <c r="E653" s="416">
        <v>22977</v>
      </c>
      <c r="F653" s="416">
        <v>508616321</v>
      </c>
      <c r="G653" s="416">
        <v>553181044</v>
      </c>
      <c r="H653" s="416">
        <v>1061797365</v>
      </c>
      <c r="I653" s="400" t="s">
        <v>69</v>
      </c>
      <c r="J653" s="400" t="s">
        <v>798</v>
      </c>
      <c r="K653" s="401">
        <v>704502</v>
      </c>
      <c r="L653" s="400" t="s">
        <v>775</v>
      </c>
      <c r="M653" s="2"/>
      <c r="N653" s="2"/>
      <c r="O653" s="4"/>
    </row>
    <row r="654" spans="1:15" ht="15" x14ac:dyDescent="0.25">
      <c r="A654" s="400" t="s">
        <v>302</v>
      </c>
      <c r="B654" s="400" t="s">
        <v>526</v>
      </c>
      <c r="C654" s="416">
        <v>1643</v>
      </c>
      <c r="D654" s="416">
        <v>3605</v>
      </c>
      <c r="E654" s="416">
        <v>5248</v>
      </c>
      <c r="F654" s="416">
        <v>44564748</v>
      </c>
      <c r="G654" s="416">
        <v>128393975</v>
      </c>
      <c r="H654" s="416">
        <v>172958724</v>
      </c>
      <c r="I654" s="400" t="s">
        <v>158</v>
      </c>
      <c r="J654" s="400" t="s">
        <v>798</v>
      </c>
      <c r="K654" s="401">
        <v>184291</v>
      </c>
      <c r="L654" s="400" t="s">
        <v>192</v>
      </c>
      <c r="M654" s="2"/>
      <c r="N654" s="2"/>
      <c r="O654" s="4"/>
    </row>
    <row r="655" spans="1:15" ht="15" x14ac:dyDescent="0.25">
      <c r="A655" s="400" t="s">
        <v>1105</v>
      </c>
      <c r="B655" s="400" t="s">
        <v>290</v>
      </c>
      <c r="C655" s="416">
        <v>361</v>
      </c>
      <c r="D655" s="416">
        <v>429</v>
      </c>
      <c r="E655" s="416">
        <v>790</v>
      </c>
      <c r="F655" s="416">
        <v>17439343</v>
      </c>
      <c r="G655" s="416">
        <v>25812397</v>
      </c>
      <c r="H655" s="416">
        <v>43251740</v>
      </c>
      <c r="I655" s="400" t="s">
        <v>158</v>
      </c>
      <c r="J655" s="400" t="s">
        <v>799</v>
      </c>
      <c r="K655" s="401">
        <v>384750</v>
      </c>
      <c r="L655" s="400" t="s">
        <v>291</v>
      </c>
      <c r="M655" s="2"/>
      <c r="N655" s="2"/>
      <c r="O655" s="4"/>
    </row>
    <row r="656" spans="1:15" ht="15" x14ac:dyDescent="0.25">
      <c r="A656" s="400" t="s">
        <v>223</v>
      </c>
      <c r="B656" s="400" t="s">
        <v>466</v>
      </c>
      <c r="C656" s="416">
        <v>61</v>
      </c>
      <c r="D656" s="416">
        <v>117</v>
      </c>
      <c r="E656" s="416">
        <v>178</v>
      </c>
      <c r="F656" s="416">
        <v>3907406</v>
      </c>
      <c r="G656" s="416">
        <v>9433937</v>
      </c>
      <c r="H656" s="416">
        <v>13341343</v>
      </c>
      <c r="I656" s="400" t="s">
        <v>69</v>
      </c>
      <c r="J656" s="400" t="s">
        <v>798</v>
      </c>
      <c r="K656" s="401">
        <v>646240</v>
      </c>
      <c r="L656" s="400" t="s">
        <v>202</v>
      </c>
      <c r="M656" s="2"/>
      <c r="N656" s="2"/>
      <c r="O656" s="4"/>
    </row>
    <row r="657" spans="1:15" ht="15" x14ac:dyDescent="0.25">
      <c r="A657" s="400" t="s">
        <v>1099</v>
      </c>
      <c r="B657" s="400" t="s">
        <v>988</v>
      </c>
      <c r="C657" s="416">
        <v>6</v>
      </c>
      <c r="D657" s="416">
        <v>21</v>
      </c>
      <c r="E657" s="416">
        <v>27</v>
      </c>
      <c r="F657" s="416">
        <v>314481</v>
      </c>
      <c r="G657" s="416">
        <v>694673</v>
      </c>
      <c r="H657" s="416">
        <v>1009154</v>
      </c>
      <c r="I657" s="400" t="s">
        <v>69</v>
      </c>
      <c r="J657" s="400" t="s">
        <v>799</v>
      </c>
      <c r="K657" s="401">
        <v>140434</v>
      </c>
      <c r="L657" s="400" t="s">
        <v>800</v>
      </c>
      <c r="M657" s="2"/>
      <c r="N657" s="2"/>
      <c r="O657" s="4"/>
    </row>
    <row r="658" spans="1:15" ht="15" x14ac:dyDescent="0.25">
      <c r="A658" s="400" t="s">
        <v>1089</v>
      </c>
      <c r="B658" s="400" t="s">
        <v>675</v>
      </c>
      <c r="C658" s="416">
        <v>2651</v>
      </c>
      <c r="D658" s="416">
        <v>4929</v>
      </c>
      <c r="E658" s="416">
        <v>7580</v>
      </c>
      <c r="F658" s="416">
        <v>583357048</v>
      </c>
      <c r="G658" s="416">
        <v>1299805786</v>
      </c>
      <c r="H658" s="416">
        <v>1883162833</v>
      </c>
      <c r="I658" s="400" t="s">
        <v>69</v>
      </c>
      <c r="J658" s="400" t="s">
        <v>795</v>
      </c>
      <c r="K658" s="401">
        <v>946285</v>
      </c>
      <c r="L658" s="400" t="s">
        <v>676</v>
      </c>
      <c r="M658" s="2"/>
      <c r="N658" s="2"/>
      <c r="O658" s="4"/>
    </row>
    <row r="659" spans="1:15" ht="15" x14ac:dyDescent="0.25">
      <c r="A659" s="400" t="s">
        <v>350</v>
      </c>
      <c r="B659" s="400" t="s">
        <v>783</v>
      </c>
      <c r="C659" s="416">
        <v>4089</v>
      </c>
      <c r="D659" s="416">
        <v>6276</v>
      </c>
      <c r="E659" s="416">
        <v>10365</v>
      </c>
      <c r="F659" s="416">
        <v>175556833</v>
      </c>
      <c r="G659" s="416">
        <v>336347645</v>
      </c>
      <c r="H659" s="416">
        <v>511904479</v>
      </c>
      <c r="I659" s="400" t="s">
        <v>69</v>
      </c>
      <c r="J659" s="400" t="s">
        <v>798</v>
      </c>
      <c r="K659" s="401">
        <v>799247</v>
      </c>
      <c r="L659" s="400" t="s">
        <v>330</v>
      </c>
      <c r="M659" s="2"/>
      <c r="N659" s="2"/>
      <c r="O659" s="4"/>
    </row>
    <row r="660" spans="1:15" ht="15" x14ac:dyDescent="0.25">
      <c r="A660" s="400" t="s">
        <v>1100</v>
      </c>
      <c r="B660" s="400" t="s">
        <v>916</v>
      </c>
      <c r="C660" s="416">
        <v>9</v>
      </c>
      <c r="D660" s="416">
        <v>12</v>
      </c>
      <c r="E660" s="416">
        <v>21</v>
      </c>
      <c r="F660" s="416">
        <v>861085</v>
      </c>
      <c r="G660" s="416">
        <v>1165877</v>
      </c>
      <c r="H660" s="416">
        <v>2026962</v>
      </c>
      <c r="I660" s="400" t="s">
        <v>69</v>
      </c>
      <c r="J660" s="400" t="s">
        <v>795</v>
      </c>
      <c r="K660" s="401">
        <v>239301</v>
      </c>
      <c r="L660" s="400" t="s">
        <v>330</v>
      </c>
      <c r="M660" s="2"/>
      <c r="N660" s="2"/>
      <c r="O660" s="4"/>
    </row>
    <row r="661" spans="1:15" ht="15" x14ac:dyDescent="0.25">
      <c r="A661" s="400" t="s">
        <v>1088</v>
      </c>
      <c r="B661" s="400" t="s">
        <v>1026</v>
      </c>
      <c r="C661" s="416">
        <v>26</v>
      </c>
      <c r="D661" s="416">
        <v>29</v>
      </c>
      <c r="E661" s="416">
        <v>55</v>
      </c>
      <c r="F661" s="416">
        <v>831226</v>
      </c>
      <c r="G661" s="416">
        <v>1948377</v>
      </c>
      <c r="H661" s="416">
        <v>2779603</v>
      </c>
      <c r="I661" s="400" t="s">
        <v>69</v>
      </c>
      <c r="J661" s="400" t="s">
        <v>795</v>
      </c>
      <c r="K661" s="401">
        <v>988071</v>
      </c>
      <c r="L661" s="400" t="s">
        <v>330</v>
      </c>
      <c r="M661" s="2"/>
      <c r="N661" s="2"/>
      <c r="O661" s="4"/>
    </row>
    <row r="662" spans="1:15" ht="15" x14ac:dyDescent="0.25">
      <c r="A662" s="400" t="s">
        <v>1117</v>
      </c>
      <c r="B662" s="400" t="s">
        <v>490</v>
      </c>
      <c r="C662" s="416">
        <v>23701</v>
      </c>
      <c r="D662" s="416">
        <v>20880</v>
      </c>
      <c r="E662" s="416">
        <v>44581</v>
      </c>
      <c r="F662" s="416">
        <v>1204999610</v>
      </c>
      <c r="G662" s="416">
        <v>1278976463</v>
      </c>
      <c r="H662" s="416">
        <v>2483976072</v>
      </c>
      <c r="I662" s="400" t="s">
        <v>158</v>
      </c>
      <c r="J662" s="400" t="s">
        <v>798</v>
      </c>
      <c r="K662" s="401">
        <v>749788</v>
      </c>
      <c r="L662" s="400" t="s">
        <v>170</v>
      </c>
      <c r="M662" s="2"/>
      <c r="N662" s="2"/>
      <c r="O662" s="4"/>
    </row>
    <row r="663" spans="1:15" ht="15" x14ac:dyDescent="0.25">
      <c r="A663" s="400" t="s">
        <v>223</v>
      </c>
      <c r="B663" s="400" t="s">
        <v>886</v>
      </c>
      <c r="C663" s="416">
        <v>143</v>
      </c>
      <c r="D663" s="416">
        <v>323</v>
      </c>
      <c r="E663" s="416">
        <v>466</v>
      </c>
      <c r="F663" s="416">
        <v>9573987</v>
      </c>
      <c r="G663" s="416">
        <v>24137493</v>
      </c>
      <c r="H663" s="416">
        <v>33711480</v>
      </c>
      <c r="I663" s="400" t="s">
        <v>158</v>
      </c>
      <c r="J663" s="400" t="s">
        <v>798</v>
      </c>
      <c r="K663" s="401">
        <v>222307</v>
      </c>
      <c r="L663" s="400" t="s">
        <v>233</v>
      </c>
      <c r="M663" s="2"/>
      <c r="N663" s="2"/>
      <c r="O663" s="4"/>
    </row>
    <row r="664" spans="1:15" ht="15" x14ac:dyDescent="0.25">
      <c r="A664" s="400" t="s">
        <v>1113</v>
      </c>
      <c r="B664" s="400" t="s">
        <v>884</v>
      </c>
      <c r="C664" s="416">
        <v>13</v>
      </c>
      <c r="D664" s="416">
        <v>22</v>
      </c>
      <c r="E664" s="416">
        <v>35</v>
      </c>
      <c r="F664" s="416">
        <v>867687</v>
      </c>
      <c r="G664" s="416">
        <v>1844050</v>
      </c>
      <c r="H664" s="416">
        <v>2711737</v>
      </c>
      <c r="I664" s="400" t="s">
        <v>69</v>
      </c>
      <c r="J664" s="400" t="s">
        <v>798</v>
      </c>
      <c r="K664" s="401">
        <v>281212</v>
      </c>
      <c r="L664" s="400" t="s">
        <v>506</v>
      </c>
      <c r="M664" s="2"/>
      <c r="N664" s="2"/>
      <c r="O664" s="4"/>
    </row>
    <row r="665" spans="1:15" ht="15" x14ac:dyDescent="0.25">
      <c r="A665" s="400" t="s">
        <v>185</v>
      </c>
      <c r="B665" s="400" t="s">
        <v>860</v>
      </c>
      <c r="C665" s="416">
        <v>392</v>
      </c>
      <c r="D665" s="416">
        <v>401</v>
      </c>
      <c r="E665" s="416">
        <v>793</v>
      </c>
      <c r="F665" s="416">
        <v>14688730</v>
      </c>
      <c r="G665" s="416">
        <v>19756600</v>
      </c>
      <c r="H665" s="416">
        <v>34445330</v>
      </c>
      <c r="I665" s="400" t="s">
        <v>69</v>
      </c>
      <c r="J665" s="400" t="s">
        <v>798</v>
      </c>
      <c r="K665" s="401">
        <v>294322</v>
      </c>
      <c r="L665" s="400" t="s">
        <v>506</v>
      </c>
      <c r="M665" s="2"/>
      <c r="N665" s="2"/>
      <c r="O665" s="4"/>
    </row>
    <row r="666" spans="1:15" ht="15" x14ac:dyDescent="0.25">
      <c r="A666" s="400" t="s">
        <v>205</v>
      </c>
      <c r="B666" s="400" t="s">
        <v>861</v>
      </c>
      <c r="C666" s="416">
        <v>81</v>
      </c>
      <c r="D666" s="416">
        <v>118</v>
      </c>
      <c r="E666" s="416">
        <v>199</v>
      </c>
      <c r="F666" s="416">
        <v>3316054</v>
      </c>
      <c r="G666" s="416">
        <v>5212227</v>
      </c>
      <c r="H666" s="416">
        <v>8528281</v>
      </c>
      <c r="I666" s="400" t="s">
        <v>69</v>
      </c>
      <c r="J666" s="400" t="s">
        <v>798</v>
      </c>
      <c r="K666" s="401">
        <v>365981</v>
      </c>
      <c r="L666" s="400" t="s">
        <v>506</v>
      </c>
      <c r="M666" s="2"/>
      <c r="N666" s="2"/>
      <c r="O666" s="4"/>
    </row>
    <row r="667" spans="1:15" ht="15" x14ac:dyDescent="0.25">
      <c r="A667" s="400" t="s">
        <v>1089</v>
      </c>
      <c r="B667" s="400" t="s">
        <v>388</v>
      </c>
      <c r="C667" s="416">
        <v>13323</v>
      </c>
      <c r="D667" s="416">
        <v>16061</v>
      </c>
      <c r="E667" s="416">
        <v>29384</v>
      </c>
      <c r="F667" s="416">
        <v>783125102</v>
      </c>
      <c r="G667" s="416">
        <v>1133443775</v>
      </c>
      <c r="H667" s="416">
        <v>1916568877</v>
      </c>
      <c r="I667" s="400" t="s">
        <v>158</v>
      </c>
      <c r="J667" s="400" t="s">
        <v>795</v>
      </c>
      <c r="K667" s="401">
        <v>357483</v>
      </c>
      <c r="L667" s="400" t="s">
        <v>192</v>
      </c>
      <c r="M667" s="2"/>
      <c r="N667" s="2"/>
      <c r="O667" s="4"/>
    </row>
    <row r="668" spans="1:15" ht="15" x14ac:dyDescent="0.25">
      <c r="A668" s="400" t="s">
        <v>1112</v>
      </c>
      <c r="B668" s="400" t="s">
        <v>484</v>
      </c>
      <c r="C668" s="416">
        <v>439</v>
      </c>
      <c r="D668" s="416">
        <v>653</v>
      </c>
      <c r="E668" s="416">
        <v>1092</v>
      </c>
      <c r="F668" s="416">
        <v>28373352</v>
      </c>
      <c r="G668" s="416">
        <v>53363384</v>
      </c>
      <c r="H668" s="416">
        <v>81736736</v>
      </c>
      <c r="I668" s="400" t="s">
        <v>69</v>
      </c>
      <c r="J668" s="400" t="s">
        <v>798</v>
      </c>
      <c r="K668" s="401">
        <v>815837</v>
      </c>
      <c r="L668" s="400" t="s">
        <v>465</v>
      </c>
      <c r="M668" s="2"/>
      <c r="N668" s="2"/>
      <c r="O668" s="4"/>
    </row>
    <row r="669" spans="1:15" ht="15" x14ac:dyDescent="0.25">
      <c r="A669" s="400" t="s">
        <v>185</v>
      </c>
      <c r="B669" s="400" t="s">
        <v>987</v>
      </c>
      <c r="C669" s="416">
        <v>52</v>
      </c>
      <c r="D669" s="416">
        <v>39</v>
      </c>
      <c r="E669" s="416">
        <v>91</v>
      </c>
      <c r="F669" s="416">
        <v>1847777</v>
      </c>
      <c r="G669" s="416">
        <v>1547598</v>
      </c>
      <c r="H669" s="416">
        <v>3395374</v>
      </c>
      <c r="I669" s="400" t="s">
        <v>69</v>
      </c>
      <c r="J669" s="400" t="s">
        <v>798</v>
      </c>
      <c r="K669" s="401">
        <v>594713</v>
      </c>
      <c r="L669" s="400" t="s">
        <v>800</v>
      </c>
      <c r="M669" s="2"/>
      <c r="N669" s="2"/>
      <c r="O669" s="4"/>
    </row>
    <row r="670" spans="1:15" ht="15" x14ac:dyDescent="0.25">
      <c r="A670" s="400" t="s">
        <v>185</v>
      </c>
      <c r="B670" s="400" t="s">
        <v>994</v>
      </c>
      <c r="C670" s="416">
        <v>2</v>
      </c>
      <c r="D670" s="416">
        <v>6</v>
      </c>
      <c r="E670" s="416">
        <v>8</v>
      </c>
      <c r="F670" s="416">
        <v>56573</v>
      </c>
      <c r="G670" s="416">
        <v>390212</v>
      </c>
      <c r="H670" s="416">
        <v>446785</v>
      </c>
      <c r="I670" s="400" t="s">
        <v>158</v>
      </c>
      <c r="J670" s="400" t="s">
        <v>798</v>
      </c>
      <c r="K670" s="401">
        <v>768846</v>
      </c>
      <c r="L670" s="400" t="s">
        <v>859</v>
      </c>
      <c r="M670" s="2"/>
      <c r="N670" s="2"/>
      <c r="O670" s="4"/>
    </row>
    <row r="671" spans="1:15" ht="15" x14ac:dyDescent="0.25">
      <c r="A671" s="400" t="s">
        <v>1113</v>
      </c>
      <c r="B671" s="400" t="s">
        <v>721</v>
      </c>
      <c r="C671" s="416">
        <v>185</v>
      </c>
      <c r="D671" s="416">
        <v>223</v>
      </c>
      <c r="E671" s="416">
        <v>408</v>
      </c>
      <c r="F671" s="416">
        <v>7502222</v>
      </c>
      <c r="G671" s="416">
        <v>11320597</v>
      </c>
      <c r="H671" s="416">
        <v>18822818</v>
      </c>
      <c r="I671" s="400" t="s">
        <v>69</v>
      </c>
      <c r="J671" s="400" t="s">
        <v>798</v>
      </c>
      <c r="K671" s="401">
        <v>917955</v>
      </c>
      <c r="L671" s="400" t="s">
        <v>1013</v>
      </c>
      <c r="M671" s="2"/>
      <c r="N671" s="2"/>
      <c r="O671" s="4"/>
    </row>
    <row r="672" spans="1:15" ht="15" x14ac:dyDescent="0.25">
      <c r="A672" s="400" t="s">
        <v>1108</v>
      </c>
      <c r="B672" s="400" t="s">
        <v>447</v>
      </c>
      <c r="C672" s="416">
        <v>46</v>
      </c>
      <c r="D672" s="416">
        <v>50</v>
      </c>
      <c r="E672" s="416">
        <v>96</v>
      </c>
      <c r="F672" s="416">
        <v>1641110</v>
      </c>
      <c r="G672" s="416">
        <v>2027775</v>
      </c>
      <c r="H672" s="416">
        <v>3668885</v>
      </c>
      <c r="I672" s="400" t="s">
        <v>69</v>
      </c>
      <c r="J672" s="400" t="s">
        <v>799</v>
      </c>
      <c r="K672" s="401">
        <v>280925</v>
      </c>
      <c r="L672" s="400" t="s">
        <v>1013</v>
      </c>
      <c r="M672" s="2"/>
      <c r="N672" s="2"/>
      <c r="O672" s="4"/>
    </row>
    <row r="673" spans="1:15" ht="15" x14ac:dyDescent="0.25">
      <c r="A673" s="400" t="s">
        <v>205</v>
      </c>
      <c r="B673" s="400" t="s">
        <v>656</v>
      </c>
      <c r="C673" s="416">
        <v>130</v>
      </c>
      <c r="D673" s="416">
        <v>219</v>
      </c>
      <c r="E673" s="416">
        <v>349</v>
      </c>
      <c r="F673" s="416">
        <v>4769468</v>
      </c>
      <c r="G673" s="416">
        <v>11178151</v>
      </c>
      <c r="H673" s="416">
        <v>15947619</v>
      </c>
      <c r="I673" s="400" t="s">
        <v>69</v>
      </c>
      <c r="J673" s="400" t="s">
        <v>798</v>
      </c>
      <c r="K673" s="401">
        <v>910109</v>
      </c>
      <c r="L673" s="400" t="s">
        <v>1013</v>
      </c>
      <c r="M673" s="2"/>
      <c r="N673" s="2"/>
      <c r="O673" s="4"/>
    </row>
    <row r="674" spans="1:15" ht="15" x14ac:dyDescent="0.25">
      <c r="A674" s="400" t="s">
        <v>205</v>
      </c>
      <c r="B674" s="400" t="s">
        <v>657</v>
      </c>
      <c r="C674" s="416">
        <v>15</v>
      </c>
      <c r="D674" s="416">
        <v>25</v>
      </c>
      <c r="E674" s="416">
        <v>40</v>
      </c>
      <c r="F674" s="416">
        <v>398566</v>
      </c>
      <c r="G674" s="416">
        <v>1650884</v>
      </c>
      <c r="H674" s="416">
        <v>2049450</v>
      </c>
      <c r="I674" s="400" t="s">
        <v>69</v>
      </c>
      <c r="J674" s="400" t="s">
        <v>798</v>
      </c>
      <c r="K674" s="401">
        <v>866897</v>
      </c>
      <c r="L674" s="400" t="s">
        <v>1013</v>
      </c>
      <c r="M674" s="2"/>
      <c r="N674" s="2"/>
      <c r="O674" s="4"/>
    </row>
    <row r="675" spans="1:15" ht="15" x14ac:dyDescent="0.25">
      <c r="A675" s="400" t="s">
        <v>1108</v>
      </c>
      <c r="B675" s="400" t="s">
        <v>206</v>
      </c>
      <c r="C675" s="416">
        <v>975</v>
      </c>
      <c r="D675" s="416">
        <v>999</v>
      </c>
      <c r="E675" s="416">
        <v>1974</v>
      </c>
      <c r="F675" s="416">
        <v>40765827</v>
      </c>
      <c r="G675" s="416">
        <v>49637070</v>
      </c>
      <c r="H675" s="416">
        <v>90402897</v>
      </c>
      <c r="I675" s="400" t="s">
        <v>69</v>
      </c>
      <c r="J675" s="400" t="s">
        <v>799</v>
      </c>
      <c r="K675" s="401">
        <v>443721</v>
      </c>
      <c r="L675" s="400" t="s">
        <v>208</v>
      </c>
      <c r="M675" s="2"/>
      <c r="N675" s="2"/>
      <c r="O675" s="4"/>
    </row>
    <row r="676" spans="1:15" ht="15" x14ac:dyDescent="0.25">
      <c r="A676" s="400" t="s">
        <v>1098</v>
      </c>
      <c r="B676" s="400" t="s">
        <v>504</v>
      </c>
      <c r="C676" s="416">
        <v>137</v>
      </c>
      <c r="D676" s="416">
        <v>243</v>
      </c>
      <c r="E676" s="416">
        <v>380</v>
      </c>
      <c r="F676" s="416">
        <v>5764364</v>
      </c>
      <c r="G676" s="416">
        <v>14616339</v>
      </c>
      <c r="H676" s="416">
        <v>20380704</v>
      </c>
      <c r="I676" s="400" t="s">
        <v>69</v>
      </c>
      <c r="J676" s="400" t="s">
        <v>799</v>
      </c>
      <c r="K676" s="401">
        <v>467092</v>
      </c>
      <c r="L676" s="400" t="s">
        <v>768</v>
      </c>
      <c r="M676" s="2"/>
      <c r="N676" s="2"/>
      <c r="O676" s="4"/>
    </row>
    <row r="677" spans="1:15" ht="15" x14ac:dyDescent="0.25">
      <c r="A677" s="400" t="s">
        <v>223</v>
      </c>
      <c r="B677" s="400" t="s">
        <v>454</v>
      </c>
      <c r="C677" s="416">
        <v>1620</v>
      </c>
      <c r="D677" s="416">
        <v>1784</v>
      </c>
      <c r="E677" s="416">
        <v>3404</v>
      </c>
      <c r="F677" s="416">
        <v>98905228</v>
      </c>
      <c r="G677" s="416">
        <v>129765953</v>
      </c>
      <c r="H677" s="416">
        <v>228671181</v>
      </c>
      <c r="I677" s="400" t="s">
        <v>158</v>
      </c>
      <c r="J677" s="400" t="s">
        <v>798</v>
      </c>
      <c r="K677" s="401">
        <v>973263</v>
      </c>
      <c r="L677" s="400" t="s">
        <v>211</v>
      </c>
      <c r="M677" s="2"/>
      <c r="N677" s="2"/>
      <c r="O677" s="4"/>
    </row>
    <row r="678" spans="1:15" ht="15" x14ac:dyDescent="0.25">
      <c r="A678" s="400" t="s">
        <v>1112</v>
      </c>
      <c r="B678" s="400" t="s">
        <v>557</v>
      </c>
      <c r="C678" s="416">
        <v>61</v>
      </c>
      <c r="D678" s="416">
        <v>80</v>
      </c>
      <c r="E678" s="416">
        <v>141</v>
      </c>
      <c r="F678" s="416">
        <v>2902485</v>
      </c>
      <c r="G678" s="416">
        <v>4489909</v>
      </c>
      <c r="H678" s="416">
        <v>7392393</v>
      </c>
      <c r="I678" s="400" t="s">
        <v>69</v>
      </c>
      <c r="J678" s="400" t="s">
        <v>798</v>
      </c>
      <c r="K678" s="401">
        <v>360495</v>
      </c>
      <c r="L678" s="400" t="s">
        <v>558</v>
      </c>
      <c r="M678" s="2"/>
      <c r="N678" s="2"/>
      <c r="O678" s="4"/>
    </row>
    <row r="679" spans="1:15" ht="15" x14ac:dyDescent="0.25">
      <c r="A679" s="400" t="s">
        <v>1114</v>
      </c>
      <c r="B679" s="400" t="s">
        <v>562</v>
      </c>
      <c r="C679" s="416">
        <v>801</v>
      </c>
      <c r="D679" s="416">
        <v>1857</v>
      </c>
      <c r="E679" s="416">
        <v>2658</v>
      </c>
      <c r="F679" s="416">
        <v>39216025</v>
      </c>
      <c r="G679" s="416">
        <v>108135674</v>
      </c>
      <c r="H679" s="416">
        <v>147351699</v>
      </c>
      <c r="I679" s="400" t="s">
        <v>69</v>
      </c>
      <c r="J679" s="400" t="s">
        <v>798</v>
      </c>
      <c r="K679" s="401">
        <v>724690</v>
      </c>
      <c r="L679" s="400" t="s">
        <v>563</v>
      </c>
      <c r="M679" s="2"/>
      <c r="N679" s="2"/>
      <c r="O679" s="4"/>
    </row>
    <row r="680" spans="1:15" ht="15" x14ac:dyDescent="0.25">
      <c r="A680" s="400" t="s">
        <v>1123</v>
      </c>
      <c r="B680" s="400" t="s">
        <v>630</v>
      </c>
      <c r="C680" s="416">
        <v>1569</v>
      </c>
      <c r="D680" s="416">
        <v>2736</v>
      </c>
      <c r="E680" s="416">
        <v>4305</v>
      </c>
      <c r="F680" s="416">
        <v>74696121</v>
      </c>
      <c r="G680" s="416">
        <v>170722627</v>
      </c>
      <c r="H680" s="416">
        <v>245418748</v>
      </c>
      <c r="I680" s="400" t="s">
        <v>69</v>
      </c>
      <c r="J680" s="400" t="s">
        <v>798</v>
      </c>
      <c r="K680" s="401">
        <v>170894</v>
      </c>
      <c r="L680" s="400" t="s">
        <v>545</v>
      </c>
      <c r="M680" s="2"/>
      <c r="N680" s="2"/>
      <c r="O680" s="4"/>
    </row>
    <row r="681" spans="1:15" ht="15" x14ac:dyDescent="0.25">
      <c r="A681" s="400" t="s">
        <v>1087</v>
      </c>
      <c r="B681" s="400" t="s">
        <v>1023</v>
      </c>
      <c r="C681" s="416">
        <v>77</v>
      </c>
      <c r="D681" s="416">
        <v>202</v>
      </c>
      <c r="E681" s="416">
        <v>279</v>
      </c>
      <c r="F681" s="416">
        <v>12550915</v>
      </c>
      <c r="G681" s="416">
        <v>41226499</v>
      </c>
      <c r="H681" s="416">
        <v>53777414</v>
      </c>
      <c r="I681" s="400" t="s">
        <v>158</v>
      </c>
      <c r="J681" s="400" t="s">
        <v>792</v>
      </c>
      <c r="K681" s="401">
        <v>252643</v>
      </c>
      <c r="L681" s="400" t="s">
        <v>1035</v>
      </c>
      <c r="M681" s="2"/>
      <c r="N681" s="2"/>
      <c r="O681" s="4"/>
    </row>
    <row r="682" spans="1:15" ht="15" x14ac:dyDescent="0.25">
      <c r="A682" s="400" t="s">
        <v>1096</v>
      </c>
      <c r="B682" s="400" t="s">
        <v>176</v>
      </c>
      <c r="C682" s="416">
        <v>6837</v>
      </c>
      <c r="D682" s="416">
        <v>6249</v>
      </c>
      <c r="E682" s="416">
        <v>13086</v>
      </c>
      <c r="F682" s="416">
        <v>226332734</v>
      </c>
      <c r="G682" s="416">
        <v>260958454</v>
      </c>
      <c r="H682" s="416">
        <v>487291189</v>
      </c>
      <c r="I682" s="400" t="s">
        <v>158</v>
      </c>
      <c r="J682" s="400" t="s">
        <v>799</v>
      </c>
      <c r="K682" s="401">
        <v>420646</v>
      </c>
      <c r="L682" s="400" t="s">
        <v>177</v>
      </c>
      <c r="M682" s="2"/>
      <c r="N682" s="2"/>
      <c r="O682" s="4"/>
    </row>
    <row r="683" spans="1:15" ht="15" x14ac:dyDescent="0.25">
      <c r="A683" s="400" t="s">
        <v>1106</v>
      </c>
      <c r="B683" s="400" t="s">
        <v>738</v>
      </c>
      <c r="C683" s="416">
        <v>127</v>
      </c>
      <c r="D683" s="416">
        <v>212</v>
      </c>
      <c r="E683" s="416">
        <v>339</v>
      </c>
      <c r="F683" s="416">
        <v>6422435</v>
      </c>
      <c r="G683" s="416">
        <v>16177363</v>
      </c>
      <c r="H683" s="416">
        <v>22599798</v>
      </c>
      <c r="I683" s="400" t="s">
        <v>69</v>
      </c>
      <c r="J683" s="400" t="s">
        <v>795</v>
      </c>
      <c r="K683" s="401">
        <v>133116</v>
      </c>
      <c r="L683" s="400" t="s">
        <v>294</v>
      </c>
      <c r="M683" s="2"/>
      <c r="N683" s="2"/>
      <c r="O683" s="4"/>
    </row>
    <row r="684" spans="1:15" ht="15" x14ac:dyDescent="0.25">
      <c r="A684" s="400" t="s">
        <v>302</v>
      </c>
      <c r="B684" s="400" t="s">
        <v>431</v>
      </c>
      <c r="C684" s="416">
        <v>5801</v>
      </c>
      <c r="D684" s="416">
        <v>6800</v>
      </c>
      <c r="E684" s="416">
        <v>12601</v>
      </c>
      <c r="F684" s="416">
        <v>208590382</v>
      </c>
      <c r="G684" s="416">
        <v>328743861</v>
      </c>
      <c r="H684" s="416">
        <v>537334243</v>
      </c>
      <c r="I684" s="400" t="s">
        <v>158</v>
      </c>
      <c r="J684" s="400" t="s">
        <v>798</v>
      </c>
      <c r="K684" s="401">
        <v>950774</v>
      </c>
      <c r="L684" s="400" t="s">
        <v>213</v>
      </c>
      <c r="M684" s="2"/>
      <c r="N684" s="2"/>
      <c r="O684" s="4"/>
    </row>
    <row r="685" spans="1:15" ht="15" customHeight="1" x14ac:dyDescent="0.25">
      <c r="A685" s="400" t="s">
        <v>1087</v>
      </c>
      <c r="B685" s="400" t="s">
        <v>266</v>
      </c>
      <c r="C685" s="416">
        <v>9627</v>
      </c>
      <c r="D685" s="416">
        <v>7350</v>
      </c>
      <c r="E685" s="416">
        <v>16977</v>
      </c>
      <c r="F685" s="416">
        <v>949205151</v>
      </c>
      <c r="G685" s="416">
        <v>848709460</v>
      </c>
      <c r="H685" s="416">
        <v>1797914611</v>
      </c>
      <c r="I685" s="400" t="s">
        <v>158</v>
      </c>
      <c r="J685" s="400" t="s">
        <v>792</v>
      </c>
      <c r="K685" s="401">
        <v>829358</v>
      </c>
      <c r="L685" s="400" t="s">
        <v>213</v>
      </c>
      <c r="M685" s="2"/>
      <c r="N685" s="2"/>
      <c r="O685" s="4"/>
    </row>
    <row r="686" spans="1:15" ht="15" x14ac:dyDescent="0.25">
      <c r="A686" s="400" t="s">
        <v>185</v>
      </c>
      <c r="B686" s="400" t="s">
        <v>1153</v>
      </c>
      <c r="C686" s="416">
        <v>349</v>
      </c>
      <c r="D686" s="416">
        <v>495</v>
      </c>
      <c r="E686" s="416">
        <v>844</v>
      </c>
      <c r="F686" s="416">
        <v>14392315</v>
      </c>
      <c r="G686" s="416">
        <v>24919960</v>
      </c>
      <c r="H686" s="416">
        <v>39312276</v>
      </c>
      <c r="I686" s="400" t="s">
        <v>158</v>
      </c>
      <c r="J686" s="400" t="s">
        <v>798</v>
      </c>
      <c r="K686" s="401">
        <v>318873</v>
      </c>
      <c r="L686" s="400" t="s">
        <v>1011</v>
      </c>
      <c r="M686" s="2"/>
      <c r="N686" s="2"/>
      <c r="O686" s="4"/>
    </row>
    <row r="687" spans="1:15" ht="15" x14ac:dyDescent="0.25">
      <c r="A687" s="400" t="s">
        <v>185</v>
      </c>
      <c r="B687" s="400" t="s">
        <v>1154</v>
      </c>
      <c r="C687" s="416">
        <v>7</v>
      </c>
      <c r="D687" s="416">
        <v>4</v>
      </c>
      <c r="E687" s="416">
        <v>11</v>
      </c>
      <c r="F687" s="416">
        <v>214678</v>
      </c>
      <c r="G687" s="416">
        <v>96742</v>
      </c>
      <c r="H687" s="416">
        <v>311420</v>
      </c>
      <c r="I687" s="400" t="s">
        <v>69</v>
      </c>
      <c r="J687" s="400" t="s">
        <v>798</v>
      </c>
      <c r="K687" s="401">
        <v>306894</v>
      </c>
      <c r="L687" s="400" t="s">
        <v>387</v>
      </c>
      <c r="M687" s="2"/>
      <c r="N687" s="2"/>
      <c r="O687" s="4"/>
    </row>
    <row r="688" spans="1:15" ht="15" x14ac:dyDescent="0.25">
      <c r="A688" s="400" t="s">
        <v>1109</v>
      </c>
      <c r="B688" s="400" t="s">
        <v>1017</v>
      </c>
      <c r="C688" s="416">
        <v>23</v>
      </c>
      <c r="D688" s="416">
        <v>37</v>
      </c>
      <c r="E688" s="416">
        <v>60</v>
      </c>
      <c r="F688" s="416">
        <v>1548986</v>
      </c>
      <c r="G688" s="416">
        <v>2540581</v>
      </c>
      <c r="H688" s="416">
        <v>4089568</v>
      </c>
      <c r="I688" s="400" t="s">
        <v>158</v>
      </c>
      <c r="J688" s="400" t="s">
        <v>799</v>
      </c>
      <c r="K688" s="401">
        <v>120303</v>
      </c>
      <c r="L688" s="400" t="s">
        <v>233</v>
      </c>
      <c r="M688" s="2"/>
      <c r="N688" s="2"/>
      <c r="O688" s="4"/>
    </row>
    <row r="689" spans="1:15" ht="15" x14ac:dyDescent="0.25">
      <c r="A689" s="400" t="s">
        <v>185</v>
      </c>
      <c r="B689" s="400" t="s">
        <v>1086</v>
      </c>
      <c r="C689" s="416">
        <v>55</v>
      </c>
      <c r="D689" s="416">
        <v>77</v>
      </c>
      <c r="E689" s="416">
        <v>132</v>
      </c>
      <c r="F689" s="416">
        <v>2739288</v>
      </c>
      <c r="G689" s="416">
        <v>5109014</v>
      </c>
      <c r="H689" s="416">
        <v>7848301</v>
      </c>
      <c r="I689" s="400" t="s">
        <v>69</v>
      </c>
      <c r="J689" s="400" t="s">
        <v>798</v>
      </c>
      <c r="K689" s="401">
        <v>432096</v>
      </c>
      <c r="L689" s="400" t="s">
        <v>389</v>
      </c>
      <c r="M689" s="2"/>
      <c r="N689" s="2"/>
      <c r="O689" s="4"/>
    </row>
    <row r="690" spans="1:15" ht="15" x14ac:dyDescent="0.25">
      <c r="A690" s="400" t="s">
        <v>219</v>
      </c>
      <c r="B690" s="400" t="s">
        <v>757</v>
      </c>
      <c r="C690" s="416">
        <v>18</v>
      </c>
      <c r="D690" s="416">
        <v>27</v>
      </c>
      <c r="E690" s="416">
        <v>45</v>
      </c>
      <c r="F690" s="416">
        <v>643523</v>
      </c>
      <c r="G690" s="416">
        <v>1354036</v>
      </c>
      <c r="H690" s="416">
        <v>1997558</v>
      </c>
      <c r="I690" s="400" t="s">
        <v>69</v>
      </c>
      <c r="J690" s="400" t="s">
        <v>798</v>
      </c>
      <c r="K690" s="401">
        <v>188482</v>
      </c>
      <c r="L690" s="400" t="s">
        <v>476</v>
      </c>
      <c r="M690" s="2"/>
      <c r="N690" s="2"/>
      <c r="O690" s="4"/>
    </row>
    <row r="691" spans="1:15" ht="15" x14ac:dyDescent="0.25">
      <c r="A691" s="400" t="s">
        <v>350</v>
      </c>
      <c r="B691" s="400" t="s">
        <v>727</v>
      </c>
      <c r="C691" s="416">
        <v>347</v>
      </c>
      <c r="D691" s="416">
        <v>460</v>
      </c>
      <c r="E691" s="416">
        <v>807</v>
      </c>
      <c r="F691" s="416">
        <v>12937251</v>
      </c>
      <c r="G691" s="416">
        <v>23718756</v>
      </c>
      <c r="H691" s="416">
        <v>36656007</v>
      </c>
      <c r="I691" s="400" t="s">
        <v>69</v>
      </c>
      <c r="J691" s="400" t="s">
        <v>798</v>
      </c>
      <c r="K691" s="401">
        <v>759225</v>
      </c>
      <c r="L691" s="400" t="s">
        <v>554</v>
      </c>
      <c r="M691" s="2"/>
      <c r="N691" s="2"/>
      <c r="O691" s="4"/>
    </row>
    <row r="692" spans="1:15" ht="15" x14ac:dyDescent="0.25">
      <c r="A692" s="400" t="s">
        <v>1108</v>
      </c>
      <c r="B692" s="400" t="s">
        <v>553</v>
      </c>
      <c r="C692" s="416">
        <v>113</v>
      </c>
      <c r="D692" s="416">
        <v>176</v>
      </c>
      <c r="E692" s="416">
        <v>289</v>
      </c>
      <c r="F692" s="416">
        <v>4629991</v>
      </c>
      <c r="G692" s="416">
        <v>9174247</v>
      </c>
      <c r="H692" s="416">
        <v>13804238</v>
      </c>
      <c r="I692" s="400" t="s">
        <v>69</v>
      </c>
      <c r="J692" s="400" t="s">
        <v>799</v>
      </c>
      <c r="K692" s="401">
        <v>830885</v>
      </c>
      <c r="L692" s="400" t="s">
        <v>554</v>
      </c>
      <c r="M692" s="2"/>
      <c r="N692" s="2"/>
      <c r="O692" s="4"/>
    </row>
    <row r="693" spans="1:15" ht="15" x14ac:dyDescent="0.25">
      <c r="A693" s="400" t="s">
        <v>185</v>
      </c>
      <c r="B693" s="400" t="s">
        <v>711</v>
      </c>
      <c r="C693" s="416">
        <v>419</v>
      </c>
      <c r="D693" s="416">
        <v>327</v>
      </c>
      <c r="E693" s="416">
        <v>746</v>
      </c>
      <c r="F693" s="416">
        <v>37780148</v>
      </c>
      <c r="G693" s="416">
        <v>34926051</v>
      </c>
      <c r="H693" s="416">
        <v>72706199</v>
      </c>
      <c r="I693" s="400" t="s">
        <v>158</v>
      </c>
      <c r="J693" s="400" t="s">
        <v>798</v>
      </c>
      <c r="K693" s="401">
        <v>993097</v>
      </c>
      <c r="L693" s="400" t="s">
        <v>859</v>
      </c>
      <c r="M693" s="2"/>
      <c r="N693" s="2"/>
      <c r="O693" s="4"/>
    </row>
    <row r="694" spans="1:15" ht="15" customHeight="1" x14ac:dyDescent="0.25">
      <c r="A694" s="400" t="s">
        <v>296</v>
      </c>
      <c r="B694" s="400" t="s">
        <v>1020</v>
      </c>
      <c r="C694" s="416">
        <v>24</v>
      </c>
      <c r="D694" s="416">
        <v>51</v>
      </c>
      <c r="E694" s="416">
        <v>75</v>
      </c>
      <c r="F694" s="416">
        <v>912924</v>
      </c>
      <c r="G694" s="416">
        <v>2125759</v>
      </c>
      <c r="H694" s="416">
        <v>3038683</v>
      </c>
      <c r="I694" s="400" t="s">
        <v>158</v>
      </c>
      <c r="J694" s="400" t="s">
        <v>798</v>
      </c>
      <c r="K694" s="401">
        <v>933416</v>
      </c>
      <c r="L694" s="400" t="s">
        <v>159</v>
      </c>
      <c r="M694" s="2"/>
      <c r="N694" s="2"/>
      <c r="O694" s="4"/>
    </row>
    <row r="695" spans="1:15" ht="15" x14ac:dyDescent="0.25">
      <c r="A695" s="400" t="s">
        <v>1113</v>
      </c>
      <c r="B695" s="400" t="s">
        <v>404</v>
      </c>
      <c r="C695" s="416">
        <v>1222</v>
      </c>
      <c r="D695" s="416">
        <v>1649</v>
      </c>
      <c r="E695" s="416">
        <v>2871</v>
      </c>
      <c r="F695" s="416">
        <v>54800028</v>
      </c>
      <c r="G695" s="416">
        <v>93395270</v>
      </c>
      <c r="H695" s="416">
        <v>148195298</v>
      </c>
      <c r="I695" s="400" t="s">
        <v>158</v>
      </c>
      <c r="J695" s="400" t="s">
        <v>798</v>
      </c>
      <c r="K695" s="401">
        <v>385401</v>
      </c>
      <c r="L695" s="400" t="s">
        <v>177</v>
      </c>
      <c r="M695" s="2"/>
      <c r="N695" s="2"/>
      <c r="O695" s="4"/>
    </row>
    <row r="696" spans="1:15" ht="15" x14ac:dyDescent="0.25">
      <c r="A696" s="400" t="s">
        <v>185</v>
      </c>
      <c r="B696" s="400" t="s">
        <v>1016</v>
      </c>
      <c r="C696" s="416">
        <v>9499</v>
      </c>
      <c r="D696" s="416">
        <v>9273</v>
      </c>
      <c r="E696" s="416">
        <v>18772</v>
      </c>
      <c r="F696" s="416">
        <v>402608853</v>
      </c>
      <c r="G696" s="416">
        <v>451369572</v>
      </c>
      <c r="H696" s="416">
        <v>853978424</v>
      </c>
      <c r="I696" s="400" t="s">
        <v>158</v>
      </c>
      <c r="J696" s="400" t="s">
        <v>798</v>
      </c>
      <c r="K696" s="401">
        <v>563965</v>
      </c>
      <c r="L696" s="400" t="s">
        <v>177</v>
      </c>
      <c r="M696" s="2"/>
      <c r="N696" s="2"/>
      <c r="O696" s="4"/>
    </row>
    <row r="697" spans="1:15" ht="15" x14ac:dyDescent="0.25">
      <c r="A697" s="400" t="s">
        <v>1089</v>
      </c>
      <c r="B697" s="400" t="s">
        <v>315</v>
      </c>
      <c r="C697" s="416">
        <v>2812</v>
      </c>
      <c r="D697" s="416">
        <v>1306</v>
      </c>
      <c r="E697" s="416">
        <v>4118</v>
      </c>
      <c r="F697" s="416">
        <v>81832686</v>
      </c>
      <c r="G697" s="416">
        <v>32015938</v>
      </c>
      <c r="H697" s="416">
        <v>113848624</v>
      </c>
      <c r="I697" s="400" t="s">
        <v>158</v>
      </c>
      <c r="J697" s="400" t="s">
        <v>795</v>
      </c>
      <c r="K697" s="401">
        <v>981175</v>
      </c>
      <c r="L697" s="400" t="s">
        <v>170</v>
      </c>
      <c r="M697" s="2"/>
      <c r="N697" s="2"/>
      <c r="O697" s="4"/>
    </row>
    <row r="698" spans="1:15" ht="15" x14ac:dyDescent="0.25">
      <c r="A698" s="400" t="s">
        <v>350</v>
      </c>
      <c r="B698" s="400" t="s">
        <v>986</v>
      </c>
      <c r="C698" s="416">
        <v>60</v>
      </c>
      <c r="D698" s="416">
        <v>115</v>
      </c>
      <c r="E698" s="416">
        <v>175</v>
      </c>
      <c r="F698" s="416">
        <v>3354677</v>
      </c>
      <c r="G698" s="416">
        <v>6191402</v>
      </c>
      <c r="H698" s="416">
        <v>9546078</v>
      </c>
      <c r="I698" s="400" t="s">
        <v>69</v>
      </c>
      <c r="J698" s="400" t="s">
        <v>798</v>
      </c>
      <c r="K698" s="401">
        <v>666370</v>
      </c>
      <c r="L698" s="400" t="s">
        <v>800</v>
      </c>
      <c r="M698" s="2"/>
      <c r="N698" s="2"/>
      <c r="O698" s="4"/>
    </row>
    <row r="699" spans="1:15" ht="15" x14ac:dyDescent="0.25">
      <c r="A699" s="400" t="s">
        <v>1113</v>
      </c>
      <c r="B699" s="400" t="s">
        <v>430</v>
      </c>
      <c r="C699" s="416">
        <v>3494</v>
      </c>
      <c r="D699" s="416">
        <v>4514</v>
      </c>
      <c r="E699" s="416">
        <v>8008</v>
      </c>
      <c r="F699" s="416">
        <v>150933987</v>
      </c>
      <c r="G699" s="416">
        <v>244202868</v>
      </c>
      <c r="H699" s="416">
        <v>395136855</v>
      </c>
      <c r="I699" s="400" t="s">
        <v>158</v>
      </c>
      <c r="J699" s="400" t="s">
        <v>798</v>
      </c>
      <c r="K699" s="401">
        <v>914945</v>
      </c>
      <c r="L699" s="400" t="s">
        <v>213</v>
      </c>
      <c r="M699" s="2"/>
      <c r="N699" s="2"/>
      <c r="O699" s="4"/>
    </row>
    <row r="700" spans="1:15" ht="15" x14ac:dyDescent="0.25">
      <c r="A700" s="400" t="s">
        <v>1089</v>
      </c>
      <c r="B700" s="400" t="s">
        <v>456</v>
      </c>
      <c r="C700" s="416">
        <v>62</v>
      </c>
      <c r="D700" s="416">
        <v>48</v>
      </c>
      <c r="E700" s="416">
        <v>110</v>
      </c>
      <c r="F700" s="416">
        <v>2111916</v>
      </c>
      <c r="G700" s="416">
        <v>2104899</v>
      </c>
      <c r="H700" s="416">
        <v>4216815</v>
      </c>
      <c r="I700" s="400" t="s">
        <v>69</v>
      </c>
      <c r="J700" s="400" t="s">
        <v>795</v>
      </c>
      <c r="K700" s="401">
        <v>647669</v>
      </c>
      <c r="L700" s="400" t="s">
        <v>338</v>
      </c>
      <c r="M700" s="2"/>
      <c r="N700" s="2"/>
      <c r="O700" s="4"/>
    </row>
    <row r="701" spans="1:15" ht="15" x14ac:dyDescent="0.25">
      <c r="A701" s="400" t="s">
        <v>1089</v>
      </c>
      <c r="B701" s="400" t="s">
        <v>926</v>
      </c>
      <c r="C701" s="416">
        <v>104</v>
      </c>
      <c r="D701" s="416">
        <v>184</v>
      </c>
      <c r="E701" s="416">
        <v>288</v>
      </c>
      <c r="F701" s="416">
        <v>7894269</v>
      </c>
      <c r="G701" s="416">
        <v>14108671</v>
      </c>
      <c r="H701" s="416">
        <v>22002940</v>
      </c>
      <c r="I701" s="400" t="s">
        <v>158</v>
      </c>
      <c r="J701" s="400" t="s">
        <v>795</v>
      </c>
      <c r="K701" s="401">
        <v>920074</v>
      </c>
      <c r="L701" s="400" t="s">
        <v>927</v>
      </c>
      <c r="M701" s="2"/>
      <c r="N701" s="2"/>
      <c r="O701" s="4"/>
    </row>
    <row r="702" spans="1:15" ht="15" x14ac:dyDescent="0.25">
      <c r="A702" s="400" t="s">
        <v>302</v>
      </c>
      <c r="B702" s="400" t="s">
        <v>790</v>
      </c>
      <c r="C702" s="416">
        <v>393</v>
      </c>
      <c r="D702" s="416">
        <v>659</v>
      </c>
      <c r="E702" s="416">
        <v>1052</v>
      </c>
      <c r="F702" s="416">
        <v>28479725</v>
      </c>
      <c r="G702" s="416">
        <v>64926437</v>
      </c>
      <c r="H702" s="416">
        <v>93406162</v>
      </c>
      <c r="I702" s="400" t="s">
        <v>158</v>
      </c>
      <c r="J702" s="400" t="s">
        <v>798</v>
      </c>
      <c r="K702" s="401">
        <v>686972</v>
      </c>
      <c r="L702" s="400" t="s">
        <v>159</v>
      </c>
      <c r="M702" s="2"/>
      <c r="N702" s="2"/>
      <c r="O702" s="4"/>
    </row>
    <row r="703" spans="1:15" ht="15" x14ac:dyDescent="0.25">
      <c r="A703" s="400" t="s">
        <v>1105</v>
      </c>
      <c r="B703" s="400" t="s">
        <v>215</v>
      </c>
      <c r="C703" s="416">
        <v>2587</v>
      </c>
      <c r="D703" s="416">
        <v>2222</v>
      </c>
      <c r="E703" s="416">
        <v>4809</v>
      </c>
      <c r="F703" s="416">
        <v>95121870</v>
      </c>
      <c r="G703" s="416">
        <v>110288507</v>
      </c>
      <c r="H703" s="416">
        <v>205410376</v>
      </c>
      <c r="I703" s="400" t="s">
        <v>158</v>
      </c>
      <c r="J703" s="400" t="s">
        <v>799</v>
      </c>
      <c r="K703" s="401">
        <v>242081</v>
      </c>
      <c r="L703" s="400" t="s">
        <v>177</v>
      </c>
      <c r="M703" s="2"/>
      <c r="N703" s="2"/>
      <c r="O703" s="4"/>
    </row>
    <row r="704" spans="1:15" ht="15" x14ac:dyDescent="0.25">
      <c r="A704" s="400" t="s">
        <v>1091</v>
      </c>
      <c r="B704" s="400" t="s">
        <v>313</v>
      </c>
      <c r="C704" s="416">
        <v>9628</v>
      </c>
      <c r="D704" s="416">
        <v>3802</v>
      </c>
      <c r="E704" s="416">
        <v>13430</v>
      </c>
      <c r="F704" s="416">
        <v>951512006</v>
      </c>
      <c r="G704" s="416">
        <v>417044762</v>
      </c>
      <c r="H704" s="416">
        <v>1368556768</v>
      </c>
      <c r="I704" s="400" t="s">
        <v>158</v>
      </c>
      <c r="J704" s="400" t="s">
        <v>798</v>
      </c>
      <c r="K704" s="401">
        <v>152835</v>
      </c>
      <c r="L704" s="400" t="s">
        <v>170</v>
      </c>
      <c r="M704" s="2"/>
      <c r="N704" s="2"/>
      <c r="O704" s="4"/>
    </row>
    <row r="705" spans="1:15" ht="15" x14ac:dyDescent="0.25">
      <c r="A705" s="400" t="s">
        <v>185</v>
      </c>
      <c r="B705" s="400" t="s">
        <v>935</v>
      </c>
      <c r="C705" s="416">
        <v>10</v>
      </c>
      <c r="D705" s="416">
        <v>12</v>
      </c>
      <c r="E705" s="416">
        <v>22</v>
      </c>
      <c r="F705" s="416">
        <v>717520</v>
      </c>
      <c r="G705" s="416">
        <v>1033626</v>
      </c>
      <c r="H705" s="416">
        <v>1751146</v>
      </c>
      <c r="I705" s="400" t="s">
        <v>69</v>
      </c>
      <c r="J705" s="400" t="s">
        <v>798</v>
      </c>
      <c r="K705" s="401">
        <v>256305</v>
      </c>
      <c r="L705" s="400" t="s">
        <v>1139</v>
      </c>
      <c r="M705" s="2"/>
      <c r="N705" s="2"/>
      <c r="O705" s="4"/>
    </row>
    <row r="706" spans="1:15" ht="15" x14ac:dyDescent="0.25">
      <c r="A706" s="400" t="s">
        <v>219</v>
      </c>
      <c r="B706" s="400" t="s">
        <v>1130</v>
      </c>
      <c r="C706" s="416">
        <v>118</v>
      </c>
      <c r="D706" s="416">
        <v>126</v>
      </c>
      <c r="E706" s="416">
        <v>244</v>
      </c>
      <c r="F706" s="416">
        <v>3965010</v>
      </c>
      <c r="G706" s="416">
        <v>5708421</v>
      </c>
      <c r="H706" s="416">
        <v>9673430</v>
      </c>
      <c r="I706" s="400" t="s">
        <v>69</v>
      </c>
      <c r="J706" s="400" t="s">
        <v>798</v>
      </c>
      <c r="K706" s="401">
        <v>899773</v>
      </c>
      <c r="L706" s="400" t="s">
        <v>800</v>
      </c>
      <c r="M706" s="2"/>
      <c r="N706" s="2"/>
      <c r="O706" s="4"/>
    </row>
    <row r="707" spans="1:15" ht="15" x14ac:dyDescent="0.25">
      <c r="A707" s="400" t="s">
        <v>302</v>
      </c>
      <c r="B707" s="400" t="s">
        <v>682</v>
      </c>
      <c r="C707" s="416">
        <v>945</v>
      </c>
      <c r="D707" s="416">
        <v>1476</v>
      </c>
      <c r="E707" s="416">
        <v>2421</v>
      </c>
      <c r="F707" s="416">
        <v>76854190</v>
      </c>
      <c r="G707" s="416">
        <v>166420427</v>
      </c>
      <c r="H707" s="416">
        <v>243274616</v>
      </c>
      <c r="I707" s="400" t="s">
        <v>158</v>
      </c>
      <c r="J707" s="400" t="s">
        <v>798</v>
      </c>
      <c r="K707" s="401">
        <v>691220</v>
      </c>
      <c r="L707" s="400" t="s">
        <v>903</v>
      </c>
      <c r="M707" s="2"/>
      <c r="N707" s="2"/>
      <c r="O707" s="4"/>
    </row>
    <row r="708" spans="1:15" ht="15" x14ac:dyDescent="0.25">
      <c r="A708" s="400" t="s">
        <v>302</v>
      </c>
      <c r="B708" s="400" t="s">
        <v>601</v>
      </c>
      <c r="C708" s="416">
        <v>97</v>
      </c>
      <c r="D708" s="416">
        <v>202</v>
      </c>
      <c r="E708" s="416">
        <v>299</v>
      </c>
      <c r="F708" s="416">
        <v>3126273</v>
      </c>
      <c r="G708" s="416">
        <v>8666706</v>
      </c>
      <c r="H708" s="416">
        <v>11792979</v>
      </c>
      <c r="I708" s="400" t="s">
        <v>69</v>
      </c>
      <c r="J708" s="400" t="s">
        <v>798</v>
      </c>
      <c r="K708" s="401">
        <v>419101</v>
      </c>
      <c r="L708" s="400" t="s">
        <v>600</v>
      </c>
      <c r="M708" s="2"/>
      <c r="N708" s="2"/>
      <c r="O708" s="4"/>
    </row>
    <row r="709" spans="1:15" ht="15" customHeight="1" x14ac:dyDescent="0.25">
      <c r="A709" s="400" t="s">
        <v>205</v>
      </c>
      <c r="B709" s="400" t="s">
        <v>693</v>
      </c>
      <c r="C709" s="416">
        <v>43</v>
      </c>
      <c r="D709" s="416">
        <v>77</v>
      </c>
      <c r="E709" s="416">
        <v>120</v>
      </c>
      <c r="F709" s="416">
        <v>1560750</v>
      </c>
      <c r="G709" s="416">
        <v>3093044</v>
      </c>
      <c r="H709" s="416">
        <v>4653793</v>
      </c>
      <c r="I709" s="400" t="s">
        <v>69</v>
      </c>
      <c r="J709" s="400" t="s">
        <v>798</v>
      </c>
      <c r="K709" s="401">
        <v>282699</v>
      </c>
      <c r="L709" s="400" t="s">
        <v>383</v>
      </c>
      <c r="M709" s="2"/>
      <c r="N709" s="2"/>
      <c r="O709" s="4"/>
    </row>
    <row r="710" spans="1:15" ht="15" x14ac:dyDescent="0.25">
      <c r="A710" s="400" t="s">
        <v>223</v>
      </c>
      <c r="B710" s="400" t="s">
        <v>441</v>
      </c>
      <c r="C710" s="416">
        <v>6011</v>
      </c>
      <c r="D710" s="416">
        <v>6500</v>
      </c>
      <c r="E710" s="416">
        <v>12511</v>
      </c>
      <c r="F710" s="416">
        <v>361245359</v>
      </c>
      <c r="G710" s="416">
        <v>470320719</v>
      </c>
      <c r="H710" s="416">
        <v>831566079</v>
      </c>
      <c r="I710" s="400" t="s">
        <v>158</v>
      </c>
      <c r="J710" s="400" t="s">
        <v>798</v>
      </c>
      <c r="K710" s="401">
        <v>690289</v>
      </c>
      <c r="L710" s="400" t="s">
        <v>230</v>
      </c>
      <c r="M710" s="2"/>
      <c r="N710" s="2"/>
      <c r="O710" s="4"/>
    </row>
    <row r="711" spans="1:15" ht="15" x14ac:dyDescent="0.25">
      <c r="A711" s="400" t="s">
        <v>1103</v>
      </c>
      <c r="B711" s="400" t="s">
        <v>1155</v>
      </c>
      <c r="C711" s="416">
        <v>436</v>
      </c>
      <c r="D711" s="416">
        <v>458</v>
      </c>
      <c r="E711" s="416">
        <v>894</v>
      </c>
      <c r="F711" s="416">
        <v>13977931</v>
      </c>
      <c r="G711" s="416">
        <v>18015450</v>
      </c>
      <c r="H711" s="416">
        <v>31993381</v>
      </c>
      <c r="I711" s="400" t="s">
        <v>69</v>
      </c>
      <c r="J711" s="400" t="s">
        <v>799</v>
      </c>
      <c r="K711" s="401">
        <v>907329</v>
      </c>
      <c r="L711" s="400" t="s">
        <v>387</v>
      </c>
      <c r="M711" s="2"/>
      <c r="N711" s="2"/>
      <c r="O711" s="4"/>
    </row>
    <row r="712" spans="1:15" ht="15" customHeight="1" x14ac:dyDescent="0.25">
      <c r="A712" s="400" t="s">
        <v>1096</v>
      </c>
      <c r="B712" s="400" t="s">
        <v>942</v>
      </c>
      <c r="C712" s="416">
        <v>38</v>
      </c>
      <c r="D712" s="416">
        <v>51</v>
      </c>
      <c r="E712" s="416">
        <v>89</v>
      </c>
      <c r="F712" s="416">
        <v>2246132</v>
      </c>
      <c r="G712" s="416">
        <v>3859485</v>
      </c>
      <c r="H712" s="416">
        <v>6105618</v>
      </c>
      <c r="I712" s="400" t="s">
        <v>158</v>
      </c>
      <c r="J712" s="400" t="s">
        <v>799</v>
      </c>
      <c r="K712" s="401">
        <v>660829</v>
      </c>
      <c r="L712" s="400" t="s">
        <v>170</v>
      </c>
      <c r="M712" s="2"/>
      <c r="N712" s="2"/>
      <c r="O712" s="4"/>
    </row>
    <row r="713" spans="1:15" ht="15" x14ac:dyDescent="0.25">
      <c r="A713" s="400" t="s">
        <v>1099</v>
      </c>
      <c r="B713" s="400" t="s">
        <v>552</v>
      </c>
      <c r="C713" s="416">
        <v>1535</v>
      </c>
      <c r="D713" s="416">
        <v>2098</v>
      </c>
      <c r="E713" s="416">
        <v>3633</v>
      </c>
      <c r="F713" s="416">
        <v>73631756</v>
      </c>
      <c r="G713" s="416">
        <v>122724705</v>
      </c>
      <c r="H713" s="416">
        <v>196356461</v>
      </c>
      <c r="I713" s="400" t="s">
        <v>69</v>
      </c>
      <c r="J713" s="400" t="s">
        <v>799</v>
      </c>
      <c r="K713" s="401">
        <v>721746</v>
      </c>
      <c r="L713" s="400" t="s">
        <v>418</v>
      </c>
      <c r="M713" s="2"/>
      <c r="N713" s="2"/>
      <c r="O713" s="4"/>
    </row>
    <row r="714" spans="1:15" ht="15" x14ac:dyDescent="0.25">
      <c r="A714" s="400" t="s">
        <v>305</v>
      </c>
      <c r="B714" s="400" t="s">
        <v>135</v>
      </c>
      <c r="C714" s="416">
        <v>269</v>
      </c>
      <c r="D714" s="416">
        <v>566</v>
      </c>
      <c r="E714" s="416">
        <v>835</v>
      </c>
      <c r="F714" s="416">
        <v>9306628</v>
      </c>
      <c r="G714" s="416">
        <v>29078298</v>
      </c>
      <c r="H714" s="416">
        <v>38384926</v>
      </c>
      <c r="I714" s="400" t="s">
        <v>69</v>
      </c>
      <c r="J714" s="400" t="s">
        <v>798</v>
      </c>
      <c r="K714" s="401">
        <v>395434</v>
      </c>
      <c r="L714" s="400" t="s">
        <v>768</v>
      </c>
      <c r="M714" s="2"/>
      <c r="N714" s="2"/>
      <c r="O714" s="4"/>
    </row>
    <row r="715" spans="1:15" ht="15" x14ac:dyDescent="0.25">
      <c r="A715" s="400" t="s">
        <v>1123</v>
      </c>
      <c r="B715" s="400" t="s">
        <v>1124</v>
      </c>
      <c r="C715" s="416">
        <v>925</v>
      </c>
      <c r="D715" s="416">
        <v>1463</v>
      </c>
      <c r="E715" s="416">
        <v>2388</v>
      </c>
      <c r="F715" s="416">
        <v>53793491</v>
      </c>
      <c r="G715" s="416">
        <v>101304054</v>
      </c>
      <c r="H715" s="416">
        <v>155097545</v>
      </c>
      <c r="I715" s="400" t="s">
        <v>69</v>
      </c>
      <c r="J715" s="400" t="s">
        <v>798</v>
      </c>
      <c r="K715" s="401">
        <v>233460</v>
      </c>
      <c r="L715" s="400" t="s">
        <v>775</v>
      </c>
      <c r="M715" s="2"/>
      <c r="N715" s="2"/>
      <c r="O715" s="4"/>
    </row>
    <row r="716" spans="1:15" ht="15" x14ac:dyDescent="0.25">
      <c r="A716" s="400" t="s">
        <v>1112</v>
      </c>
      <c r="B716" s="400" t="s">
        <v>1126</v>
      </c>
      <c r="C716" s="416">
        <v>70</v>
      </c>
      <c r="D716" s="416">
        <v>161</v>
      </c>
      <c r="E716" s="416">
        <v>231</v>
      </c>
      <c r="F716" s="416">
        <v>2791592</v>
      </c>
      <c r="G716" s="416">
        <v>9080661</v>
      </c>
      <c r="H716" s="416">
        <v>11872253</v>
      </c>
      <c r="I716" s="400" t="s">
        <v>69</v>
      </c>
      <c r="J716" s="400" t="s">
        <v>798</v>
      </c>
      <c r="K716" s="401">
        <v>388702</v>
      </c>
      <c r="L716" s="400" t="s">
        <v>506</v>
      </c>
      <c r="M716" s="2"/>
      <c r="N716" s="2"/>
      <c r="O716" s="4"/>
    </row>
    <row r="717" spans="1:15" ht="15" x14ac:dyDescent="0.25">
      <c r="A717" s="400" t="s">
        <v>1112</v>
      </c>
      <c r="B717" s="400" t="s">
        <v>459</v>
      </c>
      <c r="C717" s="416">
        <v>2403</v>
      </c>
      <c r="D717" s="416">
        <v>3087</v>
      </c>
      <c r="E717" s="416">
        <v>5490</v>
      </c>
      <c r="F717" s="416">
        <v>129038493</v>
      </c>
      <c r="G717" s="416">
        <v>192973108</v>
      </c>
      <c r="H717" s="416">
        <v>322011601</v>
      </c>
      <c r="I717" s="400" t="s">
        <v>69</v>
      </c>
      <c r="J717" s="400" t="s">
        <v>798</v>
      </c>
      <c r="K717" s="401">
        <v>300996</v>
      </c>
      <c r="L717" s="400" t="s">
        <v>338</v>
      </c>
      <c r="M717" s="2"/>
      <c r="N717" s="2"/>
      <c r="O717" s="4"/>
    </row>
    <row r="718" spans="1:15" ht="15" x14ac:dyDescent="0.25">
      <c r="A718" s="400" t="s">
        <v>219</v>
      </c>
      <c r="B718" s="400" t="s">
        <v>453</v>
      </c>
      <c r="C718" s="416">
        <v>4622</v>
      </c>
      <c r="D718" s="416">
        <v>5367</v>
      </c>
      <c r="E718" s="416">
        <v>9989</v>
      </c>
      <c r="F718" s="416">
        <v>219160455</v>
      </c>
      <c r="G718" s="416">
        <v>298073209</v>
      </c>
      <c r="H718" s="416">
        <v>517233665</v>
      </c>
      <c r="I718" s="400" t="s">
        <v>69</v>
      </c>
      <c r="J718" s="400" t="s">
        <v>798</v>
      </c>
      <c r="K718" s="401">
        <v>336826</v>
      </c>
      <c r="L718" s="400" t="s">
        <v>338</v>
      </c>
      <c r="M718" s="2"/>
      <c r="N718" s="2"/>
      <c r="O718" s="4"/>
    </row>
    <row r="719" spans="1:15" ht="15" x14ac:dyDescent="0.25">
      <c r="A719" s="400" t="s">
        <v>163</v>
      </c>
      <c r="B719" s="400" t="s">
        <v>965</v>
      </c>
      <c r="C719" s="416">
        <v>2086</v>
      </c>
      <c r="D719" s="416">
        <v>1634</v>
      </c>
      <c r="E719" s="416">
        <v>3720</v>
      </c>
      <c r="F719" s="416">
        <v>184460061</v>
      </c>
      <c r="G719" s="416">
        <v>161028713</v>
      </c>
      <c r="H719" s="416">
        <v>345488774</v>
      </c>
      <c r="I719" s="400" t="s">
        <v>69</v>
      </c>
      <c r="J719" s="400" t="s">
        <v>792</v>
      </c>
      <c r="K719" s="401">
        <v>167114</v>
      </c>
      <c r="L719" s="400" t="s">
        <v>162</v>
      </c>
      <c r="M719" s="2"/>
      <c r="N719" s="2"/>
      <c r="O719" s="4"/>
    </row>
    <row r="720" spans="1:15" ht="15" x14ac:dyDescent="0.25">
      <c r="A720" s="400" t="s">
        <v>219</v>
      </c>
      <c r="B720" s="400" t="s">
        <v>1005</v>
      </c>
      <c r="C720" s="416">
        <v>941</v>
      </c>
      <c r="D720" s="416">
        <v>1678</v>
      </c>
      <c r="E720" s="416">
        <v>2619</v>
      </c>
      <c r="F720" s="416">
        <v>41965502</v>
      </c>
      <c r="G720" s="416">
        <v>87441150</v>
      </c>
      <c r="H720" s="416">
        <v>129406652</v>
      </c>
      <c r="I720" s="400" t="s">
        <v>158</v>
      </c>
      <c r="J720" s="400" t="s">
        <v>798</v>
      </c>
      <c r="K720" s="401">
        <v>479840</v>
      </c>
      <c r="L720" s="400" t="s">
        <v>177</v>
      </c>
      <c r="M720" s="2"/>
      <c r="N720" s="2"/>
      <c r="O720" s="4"/>
    </row>
    <row r="721" spans="1:15" ht="15" x14ac:dyDescent="0.25">
      <c r="A721" s="400" t="s">
        <v>1099</v>
      </c>
      <c r="B721" s="400" t="s">
        <v>469</v>
      </c>
      <c r="C721" s="416">
        <v>237</v>
      </c>
      <c r="D721" s="416">
        <v>225</v>
      </c>
      <c r="E721" s="416">
        <v>462</v>
      </c>
      <c r="F721" s="416">
        <v>5346532</v>
      </c>
      <c r="G721" s="416">
        <v>6251451</v>
      </c>
      <c r="H721" s="416">
        <v>11597983</v>
      </c>
      <c r="I721" s="400" t="s">
        <v>69</v>
      </c>
      <c r="J721" s="400" t="s">
        <v>799</v>
      </c>
      <c r="K721" s="401">
        <v>874099</v>
      </c>
      <c r="L721" s="400" t="s">
        <v>465</v>
      </c>
      <c r="M721" s="2"/>
      <c r="N721" s="2"/>
      <c r="O721" s="4"/>
    </row>
    <row r="722" spans="1:15" ht="15" x14ac:dyDescent="0.25">
      <c r="A722" s="400" t="s">
        <v>205</v>
      </c>
      <c r="B722" s="400" t="s">
        <v>974</v>
      </c>
      <c r="C722" s="416">
        <v>285</v>
      </c>
      <c r="D722" s="416">
        <v>388</v>
      </c>
      <c r="E722" s="416">
        <v>673</v>
      </c>
      <c r="F722" s="416">
        <v>7567030</v>
      </c>
      <c r="G722" s="416">
        <v>14128908</v>
      </c>
      <c r="H722" s="416">
        <v>21695937</v>
      </c>
      <c r="I722" s="400" t="s">
        <v>69</v>
      </c>
      <c r="J722" s="400" t="s">
        <v>798</v>
      </c>
      <c r="K722" s="401">
        <v>920439</v>
      </c>
      <c r="L722" s="400" t="s">
        <v>800</v>
      </c>
      <c r="M722" s="2"/>
      <c r="N722" s="2"/>
      <c r="O722" s="4"/>
    </row>
    <row r="723" spans="1:15" ht="15" x14ac:dyDescent="0.25">
      <c r="A723" s="400" t="s">
        <v>302</v>
      </c>
      <c r="B723" s="400" t="s">
        <v>1122</v>
      </c>
      <c r="C723" s="416">
        <v>137</v>
      </c>
      <c r="D723" s="416">
        <v>225</v>
      </c>
      <c r="E723" s="416">
        <v>362</v>
      </c>
      <c r="F723" s="416">
        <v>7147692</v>
      </c>
      <c r="G723" s="416">
        <v>14152314</v>
      </c>
      <c r="H723" s="416">
        <v>21300006</v>
      </c>
      <c r="I723" s="400" t="s">
        <v>158</v>
      </c>
      <c r="J723" s="400" t="s">
        <v>798</v>
      </c>
      <c r="K723" s="401">
        <v>742106</v>
      </c>
      <c r="L723" s="400" t="s">
        <v>175</v>
      </c>
      <c r="M723" s="2"/>
      <c r="N723" s="2"/>
      <c r="O723" s="4"/>
    </row>
    <row r="724" spans="1:15" ht="15" x14ac:dyDescent="0.25">
      <c r="A724" s="400" t="s">
        <v>305</v>
      </c>
      <c r="B724" s="400" t="s">
        <v>531</v>
      </c>
      <c r="C724" s="416">
        <v>62</v>
      </c>
      <c r="D724" s="416">
        <v>104</v>
      </c>
      <c r="E724" s="416">
        <v>166</v>
      </c>
      <c r="F724" s="416">
        <v>3664013</v>
      </c>
      <c r="G724" s="416">
        <v>7002901</v>
      </c>
      <c r="H724" s="416">
        <v>10666914</v>
      </c>
      <c r="I724" s="400" t="s">
        <v>69</v>
      </c>
      <c r="J724" s="400" t="s">
        <v>798</v>
      </c>
      <c r="K724" s="401">
        <v>157438</v>
      </c>
      <c r="L724" s="400" t="s">
        <v>532</v>
      </c>
      <c r="M724" s="2"/>
      <c r="N724" s="2"/>
      <c r="O724" s="4"/>
    </row>
    <row r="725" spans="1:15" ht="15" x14ac:dyDescent="0.25">
      <c r="A725" s="400" t="s">
        <v>1098</v>
      </c>
      <c r="B725" s="400" t="s">
        <v>696</v>
      </c>
      <c r="C725" s="416">
        <v>11</v>
      </c>
      <c r="D725" s="416">
        <v>22</v>
      </c>
      <c r="E725" s="416">
        <v>33</v>
      </c>
      <c r="F725" s="416">
        <v>281721</v>
      </c>
      <c r="G725" s="416">
        <v>1000259</v>
      </c>
      <c r="H725" s="416">
        <v>1281980</v>
      </c>
      <c r="I725" s="400" t="s">
        <v>69</v>
      </c>
      <c r="J725" s="400" t="s">
        <v>799</v>
      </c>
      <c r="K725" s="401">
        <v>844225</v>
      </c>
      <c r="L725" s="400" t="s">
        <v>874</v>
      </c>
      <c r="M725" s="2"/>
      <c r="N725" s="2"/>
      <c r="O725" s="4"/>
    </row>
    <row r="726" spans="1:15" ht="15" x14ac:dyDescent="0.25">
      <c r="A726" s="400" t="s">
        <v>205</v>
      </c>
      <c r="B726" s="400" t="s">
        <v>887</v>
      </c>
      <c r="C726" s="416">
        <v>178</v>
      </c>
      <c r="D726" s="416">
        <v>279</v>
      </c>
      <c r="E726" s="416">
        <v>457</v>
      </c>
      <c r="F726" s="416">
        <v>7487768</v>
      </c>
      <c r="G726" s="416">
        <v>15735573</v>
      </c>
      <c r="H726" s="416">
        <v>23223341</v>
      </c>
      <c r="I726" s="400" t="s">
        <v>69</v>
      </c>
      <c r="J726" s="400" t="s">
        <v>798</v>
      </c>
      <c r="K726" s="401">
        <v>938902</v>
      </c>
      <c r="L726" s="400" t="s">
        <v>777</v>
      </c>
      <c r="M726" s="2"/>
      <c r="N726" s="2"/>
      <c r="O726" s="4"/>
    </row>
    <row r="727" spans="1:15" ht="15" x14ac:dyDescent="0.25">
      <c r="A727" s="400" t="s">
        <v>223</v>
      </c>
      <c r="B727" s="400" t="s">
        <v>878</v>
      </c>
      <c r="C727" s="416">
        <v>379</v>
      </c>
      <c r="D727" s="416">
        <v>550</v>
      </c>
      <c r="E727" s="416">
        <v>929</v>
      </c>
      <c r="F727" s="416">
        <v>14012172</v>
      </c>
      <c r="G727" s="416">
        <v>23759361</v>
      </c>
      <c r="H727" s="416">
        <v>37771533</v>
      </c>
      <c r="I727" s="400" t="s">
        <v>158</v>
      </c>
      <c r="J727" s="400" t="s">
        <v>798</v>
      </c>
      <c r="K727" s="401">
        <v>205302</v>
      </c>
      <c r="L727" s="400" t="s">
        <v>879</v>
      </c>
      <c r="M727" s="2"/>
      <c r="N727" s="2"/>
      <c r="O727" s="4"/>
    </row>
    <row r="728" spans="1:15" ht="15" x14ac:dyDescent="0.25">
      <c r="A728" s="400" t="s">
        <v>1098</v>
      </c>
      <c r="B728" s="400" t="s">
        <v>343</v>
      </c>
      <c r="C728" s="416">
        <v>2797</v>
      </c>
      <c r="D728" s="416">
        <v>2521</v>
      </c>
      <c r="E728" s="416">
        <v>5318</v>
      </c>
      <c r="F728" s="416">
        <v>83151816</v>
      </c>
      <c r="G728" s="416">
        <v>90001711</v>
      </c>
      <c r="H728" s="416">
        <v>173153527</v>
      </c>
      <c r="I728" s="400" t="s">
        <v>158</v>
      </c>
      <c r="J728" s="400" t="s">
        <v>799</v>
      </c>
      <c r="K728" s="401">
        <v>325902</v>
      </c>
      <c r="L728" s="400" t="s">
        <v>233</v>
      </c>
      <c r="M728" s="2"/>
      <c r="N728" s="2"/>
      <c r="O728" s="4"/>
    </row>
    <row r="729" spans="1:15" ht="15" x14ac:dyDescent="0.25">
      <c r="A729" s="400" t="s">
        <v>1110</v>
      </c>
      <c r="B729" s="400" t="s">
        <v>831</v>
      </c>
      <c r="C729" s="416">
        <v>1120</v>
      </c>
      <c r="D729" s="416">
        <v>1689</v>
      </c>
      <c r="E729" s="416">
        <v>2809</v>
      </c>
      <c r="F729" s="416">
        <v>36872226</v>
      </c>
      <c r="G729" s="416">
        <v>73238082</v>
      </c>
      <c r="H729" s="416">
        <v>110110308</v>
      </c>
      <c r="I729" s="400" t="s">
        <v>69</v>
      </c>
      <c r="J729" s="400" t="s">
        <v>798</v>
      </c>
      <c r="K729" s="401">
        <v>553578</v>
      </c>
      <c r="L729" s="400" t="s">
        <v>556</v>
      </c>
      <c r="M729" s="2"/>
      <c r="N729" s="2"/>
      <c r="O729" s="4"/>
    </row>
    <row r="730" spans="1:15" ht="15" x14ac:dyDescent="0.25">
      <c r="A730" s="400" t="s">
        <v>1112</v>
      </c>
      <c r="B730" s="400" t="s">
        <v>813</v>
      </c>
      <c r="C730" s="416">
        <v>309</v>
      </c>
      <c r="D730" s="416">
        <v>456</v>
      </c>
      <c r="E730" s="416">
        <v>765</v>
      </c>
      <c r="F730" s="416">
        <v>13837677</v>
      </c>
      <c r="G730" s="416">
        <v>23985350</v>
      </c>
      <c r="H730" s="416">
        <v>37823028</v>
      </c>
      <c r="I730" s="400" t="s">
        <v>69</v>
      </c>
      <c r="J730" s="400" t="s">
        <v>798</v>
      </c>
      <c r="K730" s="401">
        <v>804385</v>
      </c>
      <c r="L730" s="400" t="s">
        <v>556</v>
      </c>
      <c r="M730" s="2"/>
      <c r="N730" s="2"/>
      <c r="O730" s="4"/>
    </row>
    <row r="731" spans="1:15" ht="15" x14ac:dyDescent="0.25">
      <c r="A731" s="319" t="s">
        <v>185</v>
      </c>
      <c r="B731" s="319" t="s">
        <v>406</v>
      </c>
      <c r="C731" s="416">
        <v>731</v>
      </c>
      <c r="D731" s="416">
        <v>801</v>
      </c>
      <c r="E731" s="416">
        <v>1532</v>
      </c>
      <c r="F731" s="416">
        <v>34032124</v>
      </c>
      <c r="G731" s="416">
        <v>42038179</v>
      </c>
      <c r="H731" s="416">
        <v>76070304</v>
      </c>
      <c r="I731" s="319" t="s">
        <v>69</v>
      </c>
      <c r="J731" s="319" t="s">
        <v>798</v>
      </c>
      <c r="K731" s="309">
        <v>352468</v>
      </c>
      <c r="L731" s="319" t="s">
        <v>801</v>
      </c>
      <c r="M731" s="4"/>
      <c r="N731" s="2"/>
      <c r="O731" s="4"/>
    </row>
    <row r="732" spans="1:15" ht="15" x14ac:dyDescent="0.25">
      <c r="A732" s="400" t="s">
        <v>1105</v>
      </c>
      <c r="B732" s="400" t="s">
        <v>178</v>
      </c>
      <c r="C732" s="416">
        <v>14230</v>
      </c>
      <c r="D732" s="416">
        <v>13315</v>
      </c>
      <c r="E732" s="416">
        <v>27545</v>
      </c>
      <c r="F732" s="416">
        <v>464609979</v>
      </c>
      <c r="G732" s="416">
        <v>530596387</v>
      </c>
      <c r="H732" s="416">
        <v>995206366</v>
      </c>
      <c r="I732" s="400" t="s">
        <v>158</v>
      </c>
      <c r="J732" s="400" t="s">
        <v>799</v>
      </c>
      <c r="K732" s="401">
        <v>869438</v>
      </c>
      <c r="L732" s="400" t="s">
        <v>175</v>
      </c>
      <c r="M732" s="2"/>
      <c r="N732" s="2"/>
      <c r="O732" s="4"/>
    </row>
    <row r="733" spans="1:15" ht="15" x14ac:dyDescent="0.25">
      <c r="A733" s="400" t="s">
        <v>302</v>
      </c>
      <c r="B733" s="400" t="s">
        <v>312</v>
      </c>
      <c r="C733" s="416">
        <v>1479</v>
      </c>
      <c r="D733" s="416">
        <v>2861</v>
      </c>
      <c r="E733" s="416">
        <v>4340</v>
      </c>
      <c r="F733" s="416">
        <v>55221679</v>
      </c>
      <c r="G733" s="416">
        <v>125752498</v>
      </c>
      <c r="H733" s="416">
        <v>180974176</v>
      </c>
      <c r="I733" s="400" t="s">
        <v>69</v>
      </c>
      <c r="J733" s="400" t="s">
        <v>798</v>
      </c>
      <c r="K733" s="401">
        <v>750075</v>
      </c>
      <c r="L733" s="400" t="s">
        <v>162</v>
      </c>
      <c r="M733" s="2"/>
      <c r="N733" s="2"/>
      <c r="O733" s="4"/>
    </row>
    <row r="734" spans="1:15" ht="15" x14ac:dyDescent="0.25">
      <c r="A734" s="400" t="s">
        <v>325</v>
      </c>
      <c r="B734" s="400" t="s">
        <v>888</v>
      </c>
      <c r="C734" s="416">
        <v>4876</v>
      </c>
      <c r="D734" s="416">
        <v>4552</v>
      </c>
      <c r="E734" s="416">
        <v>9428</v>
      </c>
      <c r="F734" s="416">
        <v>301153006</v>
      </c>
      <c r="G734" s="416">
        <v>331526802</v>
      </c>
      <c r="H734" s="416">
        <v>632679809</v>
      </c>
      <c r="I734" s="400" t="s">
        <v>158</v>
      </c>
      <c r="J734" s="400" t="s">
        <v>798</v>
      </c>
      <c r="K734" s="401">
        <v>811117</v>
      </c>
      <c r="L734" s="400" t="s">
        <v>198</v>
      </c>
      <c r="M734" s="2"/>
      <c r="N734" s="2"/>
      <c r="O734" s="4"/>
    </row>
    <row r="735" spans="1:15" ht="15" x14ac:dyDescent="0.25">
      <c r="A735" s="400" t="s">
        <v>328</v>
      </c>
      <c r="B735" s="400" t="s">
        <v>1061</v>
      </c>
      <c r="C735" s="416">
        <v>1350</v>
      </c>
      <c r="D735" s="416">
        <v>1808</v>
      </c>
      <c r="E735" s="416">
        <v>3158</v>
      </c>
      <c r="F735" s="416">
        <v>42415862</v>
      </c>
      <c r="G735" s="416">
        <v>70933537</v>
      </c>
      <c r="H735" s="416">
        <v>113349399</v>
      </c>
      <c r="I735" s="400" t="s">
        <v>158</v>
      </c>
      <c r="J735" s="400" t="s">
        <v>798</v>
      </c>
      <c r="K735" s="401">
        <v>715664</v>
      </c>
      <c r="L735" s="400" t="s">
        <v>198</v>
      </c>
      <c r="M735" s="2"/>
      <c r="N735" s="2"/>
      <c r="O735" s="4"/>
    </row>
    <row r="736" spans="1:15" ht="15" x14ac:dyDescent="0.25">
      <c r="A736" s="400" t="s">
        <v>1087</v>
      </c>
      <c r="B736" s="400" t="s">
        <v>279</v>
      </c>
      <c r="C736" s="416">
        <v>9040</v>
      </c>
      <c r="D736" s="416">
        <v>7739</v>
      </c>
      <c r="E736" s="416">
        <v>16779</v>
      </c>
      <c r="F736" s="416">
        <v>1031898807</v>
      </c>
      <c r="G736" s="416">
        <v>1092578285</v>
      </c>
      <c r="H736" s="416">
        <v>2124477092</v>
      </c>
      <c r="I736" s="400" t="s">
        <v>158</v>
      </c>
      <c r="J736" s="400" t="s">
        <v>792</v>
      </c>
      <c r="K736" s="401">
        <v>707281</v>
      </c>
      <c r="L736" s="400" t="s">
        <v>177</v>
      </c>
      <c r="M736" s="2"/>
      <c r="N736" s="2"/>
      <c r="O736" s="4"/>
    </row>
    <row r="737" spans="1:15" ht="15" x14ac:dyDescent="0.25">
      <c r="A737" s="400" t="s">
        <v>296</v>
      </c>
      <c r="B737" s="400" t="s">
        <v>718</v>
      </c>
      <c r="C737" s="416">
        <v>43</v>
      </c>
      <c r="D737" s="416">
        <v>100</v>
      </c>
      <c r="E737" s="416">
        <v>143</v>
      </c>
      <c r="F737" s="416">
        <v>2252182</v>
      </c>
      <c r="G737" s="416">
        <v>6200179</v>
      </c>
      <c r="H737" s="416">
        <v>8452361</v>
      </c>
      <c r="I737" s="400" t="s">
        <v>69</v>
      </c>
      <c r="J737" s="400" t="s">
        <v>798</v>
      </c>
      <c r="K737" s="401">
        <v>968891</v>
      </c>
      <c r="L737" s="400" t="s">
        <v>1013</v>
      </c>
      <c r="M737" s="4"/>
      <c r="N737" s="2"/>
      <c r="O737" s="4"/>
    </row>
    <row r="738" spans="1:15" ht="15" x14ac:dyDescent="0.25">
      <c r="A738" s="400" t="s">
        <v>302</v>
      </c>
      <c r="B738" s="400" t="s">
        <v>576</v>
      </c>
      <c r="C738" s="416">
        <v>753</v>
      </c>
      <c r="D738" s="416">
        <v>1112</v>
      </c>
      <c r="E738" s="416">
        <v>1865</v>
      </c>
      <c r="F738" s="416">
        <v>27193690</v>
      </c>
      <c r="G738" s="416">
        <v>48046820</v>
      </c>
      <c r="H738" s="416">
        <v>75240510</v>
      </c>
      <c r="I738" s="400" t="s">
        <v>69</v>
      </c>
      <c r="J738" s="400" t="s">
        <v>798</v>
      </c>
      <c r="K738" s="401">
        <v>232991</v>
      </c>
      <c r="L738" s="400" t="s">
        <v>383</v>
      </c>
      <c r="M738" s="2"/>
      <c r="N738" s="2"/>
      <c r="O738" s="4"/>
    </row>
    <row r="739" spans="1:15" ht="15" x14ac:dyDescent="0.25">
      <c r="A739" s="400" t="s">
        <v>185</v>
      </c>
      <c r="B739" s="400" t="s">
        <v>481</v>
      </c>
      <c r="C739" s="416">
        <v>94</v>
      </c>
      <c r="D739" s="416">
        <v>88</v>
      </c>
      <c r="E739" s="416">
        <v>182</v>
      </c>
      <c r="F739" s="416">
        <v>4550065</v>
      </c>
      <c r="G739" s="416">
        <v>4737413</v>
      </c>
      <c r="H739" s="416">
        <v>9287478</v>
      </c>
      <c r="I739" s="400" t="s">
        <v>69</v>
      </c>
      <c r="J739" s="400" t="s">
        <v>798</v>
      </c>
      <c r="K739" s="401">
        <v>555466</v>
      </c>
      <c r="L739" s="400" t="s">
        <v>383</v>
      </c>
      <c r="M739" s="2"/>
      <c r="N739" s="2"/>
      <c r="O739" s="4"/>
    </row>
    <row r="740" spans="1:15" ht="15" x14ac:dyDescent="0.25">
      <c r="A740" s="400" t="s">
        <v>1096</v>
      </c>
      <c r="B740" s="400" t="s">
        <v>179</v>
      </c>
      <c r="C740" s="416">
        <v>1010</v>
      </c>
      <c r="D740" s="416">
        <v>1068</v>
      </c>
      <c r="E740" s="416">
        <v>2078</v>
      </c>
      <c r="F740" s="416">
        <v>66674163</v>
      </c>
      <c r="G740" s="416">
        <v>83189237</v>
      </c>
      <c r="H740" s="416">
        <v>149863400</v>
      </c>
      <c r="I740" s="400" t="s">
        <v>69</v>
      </c>
      <c r="J740" s="400" t="s">
        <v>799</v>
      </c>
      <c r="K740" s="401">
        <v>870493</v>
      </c>
      <c r="L740" s="400" t="s">
        <v>180</v>
      </c>
      <c r="M740" s="2"/>
      <c r="N740" s="2"/>
      <c r="O740" s="4"/>
    </row>
    <row r="741" spans="1:15" ht="15" x14ac:dyDescent="0.25">
      <c r="A741" s="400" t="s">
        <v>219</v>
      </c>
      <c r="B741" s="400" t="s">
        <v>849</v>
      </c>
      <c r="C741" s="416">
        <v>529</v>
      </c>
      <c r="D741" s="416">
        <v>631</v>
      </c>
      <c r="E741" s="416">
        <v>1160</v>
      </c>
      <c r="F741" s="416">
        <v>13670014</v>
      </c>
      <c r="G741" s="416">
        <v>19691963</v>
      </c>
      <c r="H741" s="416">
        <v>33361977</v>
      </c>
      <c r="I741" s="400" t="s">
        <v>158</v>
      </c>
      <c r="J741" s="400" t="s">
        <v>798</v>
      </c>
      <c r="K741" s="401">
        <v>188300</v>
      </c>
      <c r="L741" s="400" t="s">
        <v>188</v>
      </c>
      <c r="M741" s="2"/>
      <c r="N741" s="2"/>
      <c r="O741" s="4"/>
    </row>
    <row r="742" spans="1:15" ht="15" x14ac:dyDescent="0.25">
      <c r="A742" s="334" t="s">
        <v>328</v>
      </c>
      <c r="B742" s="334" t="s">
        <v>327</v>
      </c>
      <c r="C742" s="416">
        <v>23577</v>
      </c>
      <c r="D742" s="416">
        <v>28980</v>
      </c>
      <c r="E742" s="416">
        <v>52557</v>
      </c>
      <c r="F742" s="416">
        <v>681840851</v>
      </c>
      <c r="G742" s="416">
        <v>1095597591</v>
      </c>
      <c r="H742" s="416">
        <v>1777438442</v>
      </c>
      <c r="I742" s="334" t="s">
        <v>158</v>
      </c>
      <c r="J742" s="334" t="s">
        <v>798</v>
      </c>
      <c r="K742" s="323">
        <v>825109</v>
      </c>
      <c r="L742" s="334" t="s">
        <v>175</v>
      </c>
      <c r="M742" s="4"/>
      <c r="N742" s="2"/>
      <c r="O742" s="4"/>
    </row>
    <row r="743" spans="1:15" ht="15" x14ac:dyDescent="0.25">
      <c r="A743" s="400" t="s">
        <v>1113</v>
      </c>
      <c r="B743" s="400" t="s">
        <v>979</v>
      </c>
      <c r="C743" s="416">
        <v>17</v>
      </c>
      <c r="D743" s="416">
        <v>39</v>
      </c>
      <c r="E743" s="416">
        <v>56</v>
      </c>
      <c r="F743" s="416">
        <v>782891</v>
      </c>
      <c r="G743" s="416">
        <v>2040896</v>
      </c>
      <c r="H743" s="416">
        <v>2823787</v>
      </c>
      <c r="I743" s="400" t="s">
        <v>69</v>
      </c>
      <c r="J743" s="400" t="s">
        <v>798</v>
      </c>
      <c r="K743" s="401">
        <v>823500</v>
      </c>
      <c r="L743" s="400" t="s">
        <v>777</v>
      </c>
      <c r="M743" s="2"/>
      <c r="N743" s="2"/>
      <c r="O743" s="4"/>
    </row>
    <row r="744" spans="1:15" ht="15" x14ac:dyDescent="0.25">
      <c r="A744" s="400" t="s">
        <v>185</v>
      </c>
      <c r="B744" s="400" t="s">
        <v>906</v>
      </c>
      <c r="C744" s="416">
        <v>17173</v>
      </c>
      <c r="D744" s="416">
        <v>19459</v>
      </c>
      <c r="E744" s="416">
        <v>36632</v>
      </c>
      <c r="F744" s="416">
        <v>1138746008</v>
      </c>
      <c r="G744" s="416">
        <v>1650745446</v>
      </c>
      <c r="H744" s="416">
        <v>2789491454</v>
      </c>
      <c r="I744" s="400" t="s">
        <v>69</v>
      </c>
      <c r="J744" s="400" t="s">
        <v>798</v>
      </c>
      <c r="K744" s="401">
        <v>250340</v>
      </c>
      <c r="L744" s="400" t="s">
        <v>863</v>
      </c>
      <c r="M744" s="2"/>
      <c r="N744" s="2"/>
      <c r="O744" s="4"/>
    </row>
    <row r="745" spans="1:15" ht="15" x14ac:dyDescent="0.25">
      <c r="A745" s="400" t="s">
        <v>1089</v>
      </c>
      <c r="B745" s="400" t="s">
        <v>610</v>
      </c>
      <c r="C745" s="416">
        <v>71</v>
      </c>
      <c r="D745" s="416">
        <v>80</v>
      </c>
      <c r="E745" s="416">
        <v>151</v>
      </c>
      <c r="F745" s="416">
        <v>2253146</v>
      </c>
      <c r="G745" s="416">
        <v>3289921</v>
      </c>
      <c r="H745" s="416">
        <v>5543067</v>
      </c>
      <c r="I745" s="400" t="s">
        <v>69</v>
      </c>
      <c r="J745" s="400" t="s">
        <v>795</v>
      </c>
      <c r="K745" s="401">
        <v>999359</v>
      </c>
      <c r="L745" s="400" t="s">
        <v>517</v>
      </c>
      <c r="M745" s="2"/>
      <c r="N745" s="2"/>
      <c r="O745" s="4"/>
    </row>
    <row r="746" spans="1:15" ht="15" x14ac:dyDescent="0.25">
      <c r="A746" s="400" t="s">
        <v>302</v>
      </c>
      <c r="B746" s="400" t="s">
        <v>599</v>
      </c>
      <c r="C746" s="416">
        <v>6011</v>
      </c>
      <c r="D746" s="416">
        <v>5877</v>
      </c>
      <c r="E746" s="416">
        <v>11888</v>
      </c>
      <c r="F746" s="416">
        <v>142047807</v>
      </c>
      <c r="G746" s="416">
        <v>187782523</v>
      </c>
      <c r="H746" s="416">
        <v>329830329</v>
      </c>
      <c r="I746" s="400" t="s">
        <v>69</v>
      </c>
      <c r="J746" s="400" t="s">
        <v>798</v>
      </c>
      <c r="K746" s="401">
        <v>191080</v>
      </c>
      <c r="L746" s="400" t="s">
        <v>435</v>
      </c>
      <c r="M746" s="2"/>
      <c r="N746" s="2"/>
      <c r="O746" s="4"/>
    </row>
    <row r="747" spans="1:15" ht="15" x14ac:dyDescent="0.25">
      <c r="A747" s="400" t="s">
        <v>302</v>
      </c>
      <c r="B747" s="400" t="s">
        <v>551</v>
      </c>
      <c r="C747" s="416">
        <v>1831</v>
      </c>
      <c r="D747" s="416">
        <v>2706</v>
      </c>
      <c r="E747" s="416">
        <v>4537</v>
      </c>
      <c r="F747" s="416">
        <v>71321191</v>
      </c>
      <c r="G747" s="416">
        <v>129113297</v>
      </c>
      <c r="H747" s="416">
        <v>200434488</v>
      </c>
      <c r="I747" s="400" t="s">
        <v>69</v>
      </c>
      <c r="J747" s="400" t="s">
        <v>798</v>
      </c>
      <c r="K747" s="401">
        <v>819029</v>
      </c>
      <c r="L747" s="400" t="s">
        <v>228</v>
      </c>
      <c r="M747" s="2"/>
      <c r="N747" s="2"/>
      <c r="O747" s="4"/>
    </row>
    <row r="748" spans="1:15" ht="15" x14ac:dyDescent="0.25">
      <c r="A748" s="400" t="s">
        <v>381</v>
      </c>
      <c r="B748" s="400" t="s">
        <v>1070</v>
      </c>
      <c r="C748" s="416">
        <v>14006</v>
      </c>
      <c r="D748" s="416">
        <v>18122</v>
      </c>
      <c r="E748" s="416">
        <v>32128</v>
      </c>
      <c r="F748" s="416">
        <v>514704664</v>
      </c>
      <c r="G748" s="416">
        <v>861170383</v>
      </c>
      <c r="H748" s="416">
        <v>1375875047</v>
      </c>
      <c r="I748" s="400" t="s">
        <v>158</v>
      </c>
      <c r="J748" s="400" t="s">
        <v>798</v>
      </c>
      <c r="K748" s="401">
        <v>834788</v>
      </c>
      <c r="L748" s="400" t="s">
        <v>624</v>
      </c>
      <c r="M748" s="2"/>
      <c r="N748" s="2"/>
      <c r="O748" s="4"/>
    </row>
    <row r="749" spans="1:15" ht="15" x14ac:dyDescent="0.25">
      <c r="A749" s="400" t="s">
        <v>223</v>
      </c>
      <c r="B749" s="400" t="s">
        <v>591</v>
      </c>
      <c r="C749" s="416">
        <v>652</v>
      </c>
      <c r="D749" s="416">
        <v>800</v>
      </c>
      <c r="E749" s="416">
        <v>1452</v>
      </c>
      <c r="F749" s="416">
        <v>39080707</v>
      </c>
      <c r="G749" s="416">
        <v>56799151</v>
      </c>
      <c r="H749" s="416">
        <v>95879858</v>
      </c>
      <c r="I749" s="400" t="s">
        <v>158</v>
      </c>
      <c r="J749" s="400" t="s">
        <v>798</v>
      </c>
      <c r="K749" s="401">
        <v>170423</v>
      </c>
      <c r="L749" s="400" t="s">
        <v>241</v>
      </c>
      <c r="M749" s="2"/>
      <c r="N749" s="2"/>
      <c r="O749" s="4"/>
    </row>
    <row r="750" spans="1:15" ht="15" x14ac:dyDescent="0.25">
      <c r="A750" s="400" t="s">
        <v>1111</v>
      </c>
      <c r="B750" s="400" t="s">
        <v>760</v>
      </c>
      <c r="C750" s="416">
        <v>213</v>
      </c>
      <c r="D750" s="416">
        <v>324</v>
      </c>
      <c r="E750" s="416">
        <v>537</v>
      </c>
      <c r="F750" s="416">
        <v>9917244</v>
      </c>
      <c r="G750" s="416">
        <v>18537161</v>
      </c>
      <c r="H750" s="416">
        <v>28454405</v>
      </c>
      <c r="I750" s="400" t="s">
        <v>69</v>
      </c>
      <c r="J750" s="400" t="s">
        <v>798</v>
      </c>
      <c r="K750" s="401">
        <v>152652</v>
      </c>
      <c r="L750" s="400" t="s">
        <v>476</v>
      </c>
      <c r="M750" s="2"/>
      <c r="N750" s="2"/>
      <c r="O750" s="4"/>
    </row>
    <row r="751" spans="1:15" ht="15" x14ac:dyDescent="0.25">
      <c r="A751" s="400" t="s">
        <v>302</v>
      </c>
      <c r="B751" s="400" t="s">
        <v>507</v>
      </c>
      <c r="C751" s="416">
        <v>112</v>
      </c>
      <c r="D751" s="416">
        <v>166</v>
      </c>
      <c r="E751" s="416">
        <v>278</v>
      </c>
      <c r="F751" s="416">
        <v>3677380</v>
      </c>
      <c r="G751" s="416">
        <v>6861603</v>
      </c>
      <c r="H751" s="416">
        <v>10538983</v>
      </c>
      <c r="I751" s="400" t="s">
        <v>69</v>
      </c>
      <c r="J751" s="400" t="s">
        <v>798</v>
      </c>
      <c r="K751" s="401">
        <v>317990</v>
      </c>
      <c r="L751" s="400" t="s">
        <v>465</v>
      </c>
      <c r="M751" s="2"/>
      <c r="N751" s="2"/>
      <c r="O751" s="4"/>
    </row>
    <row r="752" spans="1:15" ht="15" x14ac:dyDescent="0.25">
      <c r="A752" s="400" t="s">
        <v>1089</v>
      </c>
      <c r="B752" s="400" t="s">
        <v>982</v>
      </c>
      <c r="C752" s="416">
        <v>7</v>
      </c>
      <c r="D752" s="416">
        <v>21</v>
      </c>
      <c r="E752" s="416">
        <v>28</v>
      </c>
      <c r="F752" s="416">
        <v>182092</v>
      </c>
      <c r="G752" s="416">
        <v>1315353</v>
      </c>
      <c r="H752" s="416">
        <v>1497445</v>
      </c>
      <c r="I752" s="400" t="s">
        <v>69</v>
      </c>
      <c r="J752" s="400" t="s">
        <v>795</v>
      </c>
      <c r="K752" s="401">
        <v>809699</v>
      </c>
      <c r="L752" s="400" t="s">
        <v>800</v>
      </c>
      <c r="M752" s="2"/>
      <c r="N752" s="2"/>
      <c r="O752" s="4"/>
    </row>
    <row r="753" spans="1:15" ht="15" x14ac:dyDescent="0.25">
      <c r="A753" s="400" t="s">
        <v>185</v>
      </c>
      <c r="B753" s="400" t="s">
        <v>670</v>
      </c>
      <c r="C753" s="416">
        <v>302</v>
      </c>
      <c r="D753" s="416">
        <v>469</v>
      </c>
      <c r="E753" s="416">
        <v>771</v>
      </c>
      <c r="F753" s="416">
        <v>39970741</v>
      </c>
      <c r="G753" s="416">
        <v>66284780</v>
      </c>
      <c r="H753" s="416">
        <v>106255521</v>
      </c>
      <c r="I753" s="400" t="s">
        <v>158</v>
      </c>
      <c r="J753" s="400" t="s">
        <v>798</v>
      </c>
      <c r="K753" s="401">
        <v>482919</v>
      </c>
      <c r="L753" s="400" t="s">
        <v>903</v>
      </c>
      <c r="M753" s="2"/>
      <c r="N753" s="2"/>
      <c r="O753" s="4"/>
    </row>
    <row r="754" spans="1:15" ht="15" x14ac:dyDescent="0.25">
      <c r="A754" s="400" t="s">
        <v>163</v>
      </c>
      <c r="B754" s="400" t="s">
        <v>260</v>
      </c>
      <c r="C754" s="416">
        <v>9384</v>
      </c>
      <c r="D754" s="416">
        <v>6719</v>
      </c>
      <c r="E754" s="416">
        <v>16103</v>
      </c>
      <c r="F754" s="416">
        <v>192880062</v>
      </c>
      <c r="G754" s="416">
        <v>172421136</v>
      </c>
      <c r="H754" s="416">
        <v>365301199</v>
      </c>
      <c r="I754" s="400" t="s">
        <v>158</v>
      </c>
      <c r="J754" s="400" t="s">
        <v>792</v>
      </c>
      <c r="K754" s="401">
        <v>502633</v>
      </c>
      <c r="L754" s="400" t="s">
        <v>195</v>
      </c>
      <c r="M754" s="2"/>
      <c r="N754" s="2"/>
      <c r="O754" s="4"/>
    </row>
    <row r="755" spans="1:15" ht="15" x14ac:dyDescent="0.25">
      <c r="A755" s="400" t="s">
        <v>305</v>
      </c>
      <c r="B755" s="400" t="s">
        <v>606</v>
      </c>
      <c r="C755" s="416">
        <v>2101</v>
      </c>
      <c r="D755" s="416">
        <v>2371</v>
      </c>
      <c r="E755" s="416">
        <v>4472</v>
      </c>
      <c r="F755" s="416">
        <v>83618755</v>
      </c>
      <c r="G755" s="416">
        <v>108890098</v>
      </c>
      <c r="H755" s="416">
        <v>192508853</v>
      </c>
      <c r="I755" s="400" t="s">
        <v>69</v>
      </c>
      <c r="J755" s="400" t="s">
        <v>798</v>
      </c>
      <c r="K755" s="401">
        <v>562728</v>
      </c>
      <c r="L755" s="400" t="s">
        <v>600</v>
      </c>
      <c r="M755" s="2"/>
      <c r="N755" s="2"/>
      <c r="O755" s="4"/>
    </row>
    <row r="756" spans="1:15" ht="15" x14ac:dyDescent="0.25">
      <c r="A756" s="400" t="s">
        <v>350</v>
      </c>
      <c r="B756" s="400" t="s">
        <v>720</v>
      </c>
      <c r="C756" s="416">
        <v>140</v>
      </c>
      <c r="D756" s="416">
        <v>244</v>
      </c>
      <c r="E756" s="416">
        <v>384</v>
      </c>
      <c r="F756" s="416">
        <v>6217040</v>
      </c>
      <c r="G756" s="416">
        <v>14210126</v>
      </c>
      <c r="H756" s="416">
        <v>20427165</v>
      </c>
      <c r="I756" s="400" t="s">
        <v>69</v>
      </c>
      <c r="J756" s="400" t="s">
        <v>798</v>
      </c>
      <c r="K756" s="401">
        <v>882126</v>
      </c>
      <c r="L756" s="400" t="s">
        <v>1013</v>
      </c>
      <c r="M756" s="2"/>
      <c r="N756" s="2"/>
      <c r="O756" s="4"/>
    </row>
    <row r="757" spans="1:15" ht="15" x14ac:dyDescent="0.25">
      <c r="A757" s="400" t="s">
        <v>1088</v>
      </c>
      <c r="B757" s="400" t="s">
        <v>371</v>
      </c>
      <c r="C757" s="416">
        <v>5901</v>
      </c>
      <c r="D757" s="416">
        <v>4836</v>
      </c>
      <c r="E757" s="416">
        <v>10737</v>
      </c>
      <c r="F757" s="416">
        <v>377644187</v>
      </c>
      <c r="G757" s="416">
        <v>359354189</v>
      </c>
      <c r="H757" s="416">
        <v>736998376</v>
      </c>
      <c r="I757" s="400" t="s">
        <v>158</v>
      </c>
      <c r="J757" s="400" t="s">
        <v>795</v>
      </c>
      <c r="K757" s="401">
        <v>879114</v>
      </c>
      <c r="L757" s="400" t="s">
        <v>213</v>
      </c>
      <c r="M757" s="2"/>
      <c r="N757" s="2"/>
      <c r="O757" s="4"/>
    </row>
    <row r="758" spans="1:15" ht="15" x14ac:dyDescent="0.25">
      <c r="A758" s="400" t="s">
        <v>325</v>
      </c>
      <c r="B758" s="400" t="s">
        <v>437</v>
      </c>
      <c r="C758" s="416">
        <v>53</v>
      </c>
      <c r="D758" s="416">
        <v>73</v>
      </c>
      <c r="E758" s="416">
        <v>126</v>
      </c>
      <c r="F758" s="416">
        <v>3291786</v>
      </c>
      <c r="G758" s="416">
        <v>5220891</v>
      </c>
      <c r="H758" s="416">
        <v>8512677</v>
      </c>
      <c r="I758" s="400" t="s">
        <v>158</v>
      </c>
      <c r="J758" s="400" t="s">
        <v>798</v>
      </c>
      <c r="K758" s="401">
        <v>611657</v>
      </c>
      <c r="L758" s="400" t="s">
        <v>230</v>
      </c>
      <c r="M758" s="2"/>
      <c r="N758" s="2"/>
      <c r="O758" s="4"/>
    </row>
    <row r="759" spans="1:15" ht="15" x14ac:dyDescent="0.25">
      <c r="A759" s="400" t="s">
        <v>1089</v>
      </c>
      <c r="B759" s="400" t="s">
        <v>252</v>
      </c>
      <c r="C759" s="416">
        <v>145</v>
      </c>
      <c r="D759" s="416">
        <v>160</v>
      </c>
      <c r="E759" s="416">
        <v>305</v>
      </c>
      <c r="F759" s="416">
        <v>12282046</v>
      </c>
      <c r="G759" s="416">
        <v>15086993</v>
      </c>
      <c r="H759" s="416">
        <v>27369039</v>
      </c>
      <c r="I759" s="400" t="s">
        <v>158</v>
      </c>
      <c r="J759" s="400" t="s">
        <v>795</v>
      </c>
      <c r="K759" s="401">
        <v>853374</v>
      </c>
      <c r="L759" s="400" t="s">
        <v>253</v>
      </c>
      <c r="M759" s="2"/>
      <c r="N759" s="2"/>
      <c r="O759" s="4"/>
    </row>
    <row r="760" spans="1:15" ht="15" x14ac:dyDescent="0.25">
      <c r="A760" s="400" t="s">
        <v>1109</v>
      </c>
      <c r="B760" s="400" t="s">
        <v>345</v>
      </c>
      <c r="C760" s="416">
        <v>578</v>
      </c>
      <c r="D760" s="416">
        <v>1136</v>
      </c>
      <c r="E760" s="416">
        <v>1714</v>
      </c>
      <c r="F760" s="416">
        <v>39799903</v>
      </c>
      <c r="G760" s="416">
        <v>103581036</v>
      </c>
      <c r="H760" s="416">
        <v>143380939</v>
      </c>
      <c r="I760" s="400" t="s">
        <v>158</v>
      </c>
      <c r="J760" s="400" t="s">
        <v>799</v>
      </c>
      <c r="K760" s="401">
        <v>560599</v>
      </c>
      <c r="L760" s="400" t="s">
        <v>168</v>
      </c>
      <c r="M760" s="2"/>
      <c r="N760" s="2"/>
      <c r="O760" s="4"/>
    </row>
    <row r="761" spans="1:15" ht="15" x14ac:dyDescent="0.25">
      <c r="A761" s="400" t="s">
        <v>1106</v>
      </c>
      <c r="B761" s="400" t="s">
        <v>941</v>
      </c>
      <c r="C761" s="416">
        <v>3</v>
      </c>
      <c r="D761" s="416">
        <v>7</v>
      </c>
      <c r="E761" s="416">
        <v>10</v>
      </c>
      <c r="F761" s="416">
        <v>117438</v>
      </c>
      <c r="G761" s="416">
        <v>749825</v>
      </c>
      <c r="H761" s="416">
        <v>867263</v>
      </c>
      <c r="I761" s="400" t="s">
        <v>69</v>
      </c>
      <c r="J761" s="400" t="s">
        <v>795</v>
      </c>
      <c r="K761" s="401">
        <v>683847</v>
      </c>
      <c r="L761" s="400" t="s">
        <v>838</v>
      </c>
      <c r="M761" s="2"/>
      <c r="N761" s="2"/>
      <c r="O761" s="4"/>
    </row>
    <row r="762" spans="1:15" ht="15" x14ac:dyDescent="0.25">
      <c r="A762" s="400" t="s">
        <v>1096</v>
      </c>
      <c r="B762" s="400" t="s">
        <v>902</v>
      </c>
      <c r="C762" s="416">
        <v>493</v>
      </c>
      <c r="D762" s="416">
        <v>477</v>
      </c>
      <c r="E762" s="416">
        <v>970</v>
      </c>
      <c r="F762" s="416">
        <v>9680704</v>
      </c>
      <c r="G762" s="416">
        <v>12571867</v>
      </c>
      <c r="H762" s="416">
        <v>22252571</v>
      </c>
      <c r="I762" s="400" t="s">
        <v>69</v>
      </c>
      <c r="J762" s="400" t="s">
        <v>799</v>
      </c>
      <c r="K762" s="401">
        <v>553271</v>
      </c>
      <c r="L762" s="400" t="s">
        <v>330</v>
      </c>
      <c r="M762" s="2"/>
      <c r="N762" s="2"/>
      <c r="O762" s="4"/>
    </row>
    <row r="763" spans="1:15" ht="15" x14ac:dyDescent="0.25">
      <c r="A763" s="400" t="s">
        <v>1099</v>
      </c>
      <c r="B763" s="400" t="s">
        <v>373</v>
      </c>
      <c r="C763" s="416">
        <v>94</v>
      </c>
      <c r="D763" s="416">
        <v>108</v>
      </c>
      <c r="E763" s="416">
        <v>202</v>
      </c>
      <c r="F763" s="416">
        <v>3138967</v>
      </c>
      <c r="G763" s="416">
        <v>5070716</v>
      </c>
      <c r="H763" s="416">
        <v>8209683</v>
      </c>
      <c r="I763" s="400" t="s">
        <v>69</v>
      </c>
      <c r="J763" s="400" t="s">
        <v>799</v>
      </c>
      <c r="K763" s="401">
        <v>229625</v>
      </c>
      <c r="L763" s="400" t="s">
        <v>202</v>
      </c>
      <c r="M763" s="2"/>
      <c r="N763" s="2"/>
      <c r="O763" s="4"/>
    </row>
    <row r="764" spans="1:15" ht="15" x14ac:dyDescent="0.25">
      <c r="A764" s="400" t="s">
        <v>1108</v>
      </c>
      <c r="B764" s="400" t="s">
        <v>306</v>
      </c>
      <c r="C764" s="416">
        <v>681</v>
      </c>
      <c r="D764" s="416">
        <v>684</v>
      </c>
      <c r="E764" s="416">
        <v>1365</v>
      </c>
      <c r="F764" s="416">
        <v>21652988</v>
      </c>
      <c r="G764" s="416">
        <v>26378208</v>
      </c>
      <c r="H764" s="416">
        <v>48031196</v>
      </c>
      <c r="I764" s="400" t="s">
        <v>69</v>
      </c>
      <c r="J764" s="400" t="s">
        <v>799</v>
      </c>
      <c r="K764" s="401">
        <v>426726</v>
      </c>
      <c r="L764" s="400" t="s">
        <v>202</v>
      </c>
      <c r="M764" s="2"/>
      <c r="N764" s="2"/>
      <c r="O764" s="4"/>
    </row>
    <row r="765" spans="1:15" ht="15" x14ac:dyDescent="0.25">
      <c r="A765" s="400" t="s">
        <v>223</v>
      </c>
      <c r="B765" s="400" t="s">
        <v>298</v>
      </c>
      <c r="C765" s="416">
        <v>8538</v>
      </c>
      <c r="D765" s="416">
        <v>9661</v>
      </c>
      <c r="E765" s="416">
        <v>18199</v>
      </c>
      <c r="F765" s="416">
        <v>489955378</v>
      </c>
      <c r="G765" s="416">
        <v>668547063</v>
      </c>
      <c r="H765" s="416">
        <v>1158502441</v>
      </c>
      <c r="I765" s="400" t="s">
        <v>69</v>
      </c>
      <c r="J765" s="400" t="s">
        <v>798</v>
      </c>
      <c r="K765" s="401">
        <v>610410</v>
      </c>
      <c r="L765" s="400" t="s">
        <v>202</v>
      </c>
      <c r="M765" s="2"/>
      <c r="N765" s="2"/>
      <c r="O765" s="4"/>
    </row>
    <row r="766" spans="1:15" ht="15" x14ac:dyDescent="0.25">
      <c r="A766" s="400" t="s">
        <v>1091</v>
      </c>
      <c r="B766" s="400" t="s">
        <v>289</v>
      </c>
      <c r="C766" s="416">
        <v>226</v>
      </c>
      <c r="D766" s="416">
        <v>212</v>
      </c>
      <c r="E766" s="416">
        <v>438</v>
      </c>
      <c r="F766" s="416">
        <v>13010324</v>
      </c>
      <c r="G766" s="416">
        <v>15861770</v>
      </c>
      <c r="H766" s="416">
        <v>28872093</v>
      </c>
      <c r="I766" s="400" t="s">
        <v>158</v>
      </c>
      <c r="J766" s="400" t="s">
        <v>798</v>
      </c>
      <c r="K766" s="401">
        <v>201111</v>
      </c>
      <c r="L766" s="400" t="s">
        <v>182</v>
      </c>
      <c r="M766" s="2"/>
      <c r="N766" s="2"/>
      <c r="O766" s="4"/>
    </row>
    <row r="767" spans="1:15" ht="15" customHeight="1" x14ac:dyDescent="0.25">
      <c r="A767" s="400" t="s">
        <v>325</v>
      </c>
      <c r="B767" s="400" t="s">
        <v>1068</v>
      </c>
      <c r="C767" s="416">
        <v>7116</v>
      </c>
      <c r="D767" s="416">
        <v>7822</v>
      </c>
      <c r="E767" s="416">
        <v>14938</v>
      </c>
      <c r="F767" s="416">
        <v>529709974</v>
      </c>
      <c r="G767" s="416">
        <v>694553704</v>
      </c>
      <c r="H767" s="416">
        <v>1224263678</v>
      </c>
      <c r="I767" s="400" t="s">
        <v>158</v>
      </c>
      <c r="J767" s="400" t="s">
        <v>798</v>
      </c>
      <c r="K767" s="401">
        <v>751495</v>
      </c>
      <c r="L767" s="400" t="s">
        <v>198</v>
      </c>
      <c r="M767" s="2"/>
      <c r="N767" s="2"/>
      <c r="O767" s="4"/>
    </row>
    <row r="768" spans="1:15" ht="15" x14ac:dyDescent="0.25">
      <c r="A768" s="400" t="s">
        <v>1110</v>
      </c>
      <c r="B768" s="400" t="s">
        <v>714</v>
      </c>
      <c r="C768" s="416">
        <v>46</v>
      </c>
      <c r="D768" s="416">
        <v>71</v>
      </c>
      <c r="E768" s="416">
        <v>117</v>
      </c>
      <c r="F768" s="416">
        <v>1657574</v>
      </c>
      <c r="G768" s="416">
        <v>2929190</v>
      </c>
      <c r="H768" s="416">
        <v>4586763</v>
      </c>
      <c r="I768" s="400" t="s">
        <v>69</v>
      </c>
      <c r="J768" s="400" t="s">
        <v>798</v>
      </c>
      <c r="K768" s="401">
        <v>755033</v>
      </c>
      <c r="L768" s="400" t="s">
        <v>1013</v>
      </c>
      <c r="M768" s="2"/>
      <c r="N768" s="2"/>
      <c r="O768" s="4"/>
    </row>
    <row r="769" spans="1:15" ht="15" x14ac:dyDescent="0.25">
      <c r="A769" s="400" t="s">
        <v>223</v>
      </c>
      <c r="B769" s="400" t="s">
        <v>423</v>
      </c>
      <c r="C769" s="416">
        <v>2821</v>
      </c>
      <c r="D769" s="416">
        <v>3856</v>
      </c>
      <c r="E769" s="416">
        <v>6677</v>
      </c>
      <c r="F769" s="416">
        <v>123342751</v>
      </c>
      <c r="G769" s="416">
        <v>214286788</v>
      </c>
      <c r="H769" s="416">
        <v>337629539</v>
      </c>
      <c r="I769" s="400" t="s">
        <v>158</v>
      </c>
      <c r="J769" s="400" t="s">
        <v>798</v>
      </c>
      <c r="K769" s="401">
        <v>328021</v>
      </c>
      <c r="L769" s="400" t="s">
        <v>424</v>
      </c>
      <c r="M769" s="2"/>
      <c r="N769" s="2"/>
      <c r="O769" s="4"/>
    </row>
    <row r="770" spans="1:15" ht="15" x14ac:dyDescent="0.25">
      <c r="A770" s="400" t="s">
        <v>223</v>
      </c>
      <c r="B770" s="400" t="s">
        <v>1156</v>
      </c>
      <c r="C770" s="416">
        <v>2</v>
      </c>
      <c r="D770" s="416">
        <v>2</v>
      </c>
      <c r="E770" s="416">
        <v>4</v>
      </c>
      <c r="F770" s="416">
        <v>22513</v>
      </c>
      <c r="G770" s="416">
        <v>114699</v>
      </c>
      <c r="H770" s="416">
        <v>137212</v>
      </c>
      <c r="I770" s="400" t="s">
        <v>158</v>
      </c>
      <c r="J770" s="400" t="s">
        <v>798</v>
      </c>
      <c r="K770" s="401">
        <v>706275</v>
      </c>
      <c r="L770" s="400" t="s">
        <v>182</v>
      </c>
      <c r="M770" s="2"/>
      <c r="N770" s="2"/>
      <c r="O770" s="4"/>
    </row>
    <row r="771" spans="1:15" ht="15" x14ac:dyDescent="0.25">
      <c r="A771" s="400" t="s">
        <v>219</v>
      </c>
      <c r="B771" s="400" t="s">
        <v>272</v>
      </c>
      <c r="C771" s="416">
        <v>3105</v>
      </c>
      <c r="D771" s="416">
        <v>3518</v>
      </c>
      <c r="E771" s="416">
        <v>6623</v>
      </c>
      <c r="F771" s="416">
        <v>127959798</v>
      </c>
      <c r="G771" s="416">
        <v>165269093</v>
      </c>
      <c r="H771" s="416">
        <v>293228891</v>
      </c>
      <c r="I771" s="400" t="s">
        <v>158</v>
      </c>
      <c r="J771" s="400" t="s">
        <v>798</v>
      </c>
      <c r="K771" s="401">
        <v>654459</v>
      </c>
      <c r="L771" s="400" t="s">
        <v>230</v>
      </c>
      <c r="M771" s="2"/>
      <c r="N771" s="2"/>
      <c r="O771" s="4"/>
    </row>
    <row r="772" spans="1:15" ht="15" x14ac:dyDescent="0.25">
      <c r="A772" s="400" t="s">
        <v>163</v>
      </c>
      <c r="B772" s="400" t="s">
        <v>309</v>
      </c>
      <c r="C772" s="416">
        <v>23963</v>
      </c>
      <c r="D772" s="416">
        <v>14636</v>
      </c>
      <c r="E772" s="416">
        <v>38599</v>
      </c>
      <c r="F772" s="416">
        <v>2443807211</v>
      </c>
      <c r="G772" s="416">
        <v>1704558520</v>
      </c>
      <c r="H772" s="416">
        <v>4148365731</v>
      </c>
      <c r="I772" s="400" t="s">
        <v>158</v>
      </c>
      <c r="J772" s="400" t="s">
        <v>792</v>
      </c>
      <c r="K772" s="401">
        <v>855387</v>
      </c>
      <c r="L772" s="400" t="s">
        <v>175</v>
      </c>
      <c r="M772" s="2"/>
      <c r="N772" s="2"/>
      <c r="O772" s="4"/>
    </row>
    <row r="773" spans="1:15" ht="15" x14ac:dyDescent="0.25">
      <c r="A773" s="400" t="s">
        <v>1096</v>
      </c>
      <c r="B773" s="400" t="s">
        <v>1019</v>
      </c>
      <c r="C773" s="416">
        <v>1522</v>
      </c>
      <c r="D773" s="416">
        <v>1284</v>
      </c>
      <c r="E773" s="416">
        <v>2806</v>
      </c>
      <c r="F773" s="416">
        <v>40023046</v>
      </c>
      <c r="G773" s="416">
        <v>47809875</v>
      </c>
      <c r="H773" s="416">
        <v>87832922</v>
      </c>
      <c r="I773" s="400" t="s">
        <v>158</v>
      </c>
      <c r="J773" s="400" t="s">
        <v>799</v>
      </c>
      <c r="K773" s="401">
        <v>361733</v>
      </c>
      <c r="L773" s="400" t="s">
        <v>233</v>
      </c>
      <c r="M773" s="2"/>
      <c r="N773" s="2"/>
      <c r="O773" s="4"/>
    </row>
    <row r="774" spans="1:15" ht="15" x14ac:dyDescent="0.25">
      <c r="A774" s="400" t="s">
        <v>1123</v>
      </c>
      <c r="B774" s="400" t="s">
        <v>826</v>
      </c>
      <c r="C774" s="416">
        <v>1805</v>
      </c>
      <c r="D774" s="416">
        <v>3041</v>
      </c>
      <c r="E774" s="416">
        <v>4846</v>
      </c>
      <c r="F774" s="416">
        <v>91639153</v>
      </c>
      <c r="G774" s="416">
        <v>189911002</v>
      </c>
      <c r="H774" s="416">
        <v>281550156</v>
      </c>
      <c r="I774" s="400" t="s">
        <v>69</v>
      </c>
      <c r="J774" s="400" t="s">
        <v>798</v>
      </c>
      <c r="K774" s="401">
        <v>768499</v>
      </c>
      <c r="L774" s="400" t="s">
        <v>556</v>
      </c>
      <c r="M774" s="2"/>
      <c r="N774" s="2"/>
      <c r="O774" s="4"/>
    </row>
    <row r="775" spans="1:15" ht="15" customHeight="1" x14ac:dyDescent="0.25">
      <c r="A775" s="400" t="s">
        <v>185</v>
      </c>
      <c r="B775" s="400" t="s">
        <v>1094</v>
      </c>
      <c r="C775" s="416">
        <v>1521</v>
      </c>
      <c r="D775" s="416">
        <v>1683</v>
      </c>
      <c r="E775" s="416">
        <v>3204</v>
      </c>
      <c r="F775" s="416">
        <v>61955486</v>
      </c>
      <c r="G775" s="416">
        <v>79521899</v>
      </c>
      <c r="H775" s="416">
        <v>141477385</v>
      </c>
      <c r="I775" s="400" t="s">
        <v>69</v>
      </c>
      <c r="J775" s="400" t="s">
        <v>798</v>
      </c>
      <c r="K775" s="401">
        <v>241497</v>
      </c>
      <c r="L775" s="400" t="s">
        <v>1129</v>
      </c>
      <c r="M775" s="2"/>
      <c r="N775" s="2"/>
      <c r="O775" s="4"/>
    </row>
    <row r="776" spans="1:15" ht="15" x14ac:dyDescent="0.25">
      <c r="A776" s="400" t="s">
        <v>223</v>
      </c>
      <c r="B776" s="400" t="s">
        <v>1090</v>
      </c>
      <c r="C776" s="416">
        <v>118</v>
      </c>
      <c r="D776" s="416">
        <v>190</v>
      </c>
      <c r="E776" s="416">
        <v>308</v>
      </c>
      <c r="F776" s="416">
        <v>5918158</v>
      </c>
      <c r="G776" s="416">
        <v>13041017</v>
      </c>
      <c r="H776" s="416">
        <v>18959175</v>
      </c>
      <c r="I776" s="400" t="s">
        <v>69</v>
      </c>
      <c r="J776" s="400" t="s">
        <v>798</v>
      </c>
      <c r="K776" s="401">
        <v>792697</v>
      </c>
      <c r="L776" s="400" t="s">
        <v>1129</v>
      </c>
      <c r="M776" s="2"/>
      <c r="N776" s="2"/>
      <c r="O776" s="4"/>
    </row>
    <row r="777" spans="1:15" ht="15" x14ac:dyDescent="0.25">
      <c r="A777" s="400" t="s">
        <v>1123</v>
      </c>
      <c r="B777" s="400" t="s">
        <v>519</v>
      </c>
      <c r="C777" s="416">
        <v>994</v>
      </c>
      <c r="D777" s="416">
        <v>2114</v>
      </c>
      <c r="E777" s="416">
        <v>3108</v>
      </c>
      <c r="F777" s="416">
        <v>59817732</v>
      </c>
      <c r="G777" s="416">
        <v>156738317</v>
      </c>
      <c r="H777" s="416">
        <v>216556049</v>
      </c>
      <c r="I777" s="400" t="s">
        <v>69</v>
      </c>
      <c r="J777" s="400" t="s">
        <v>798</v>
      </c>
      <c r="K777" s="401">
        <v>481671</v>
      </c>
      <c r="L777" s="400" t="s">
        <v>228</v>
      </c>
      <c r="M777" s="2"/>
      <c r="N777" s="2"/>
      <c r="O777" s="4"/>
    </row>
    <row r="778" spans="1:15" ht="15" x14ac:dyDescent="0.25">
      <c r="A778" s="400" t="s">
        <v>325</v>
      </c>
      <c r="B778" s="400" t="s">
        <v>451</v>
      </c>
      <c r="C778" s="416">
        <v>302</v>
      </c>
      <c r="D778" s="416">
        <v>412</v>
      </c>
      <c r="E778" s="416">
        <v>714</v>
      </c>
      <c r="F778" s="416">
        <v>15484295</v>
      </c>
      <c r="G778" s="416">
        <v>24000502</v>
      </c>
      <c r="H778" s="416">
        <v>39484797</v>
      </c>
      <c r="I778" s="400" t="s">
        <v>69</v>
      </c>
      <c r="J778" s="400" t="s">
        <v>798</v>
      </c>
      <c r="K778" s="401">
        <v>242495</v>
      </c>
      <c r="L778" s="400" t="s">
        <v>228</v>
      </c>
      <c r="M778" s="2"/>
      <c r="N778" s="2"/>
      <c r="O778" s="4"/>
    </row>
    <row r="779" spans="1:15" ht="15" x14ac:dyDescent="0.25">
      <c r="A779" s="400" t="s">
        <v>219</v>
      </c>
      <c r="B779" s="400" t="s">
        <v>405</v>
      </c>
      <c r="C779" s="416">
        <v>973</v>
      </c>
      <c r="D779" s="416">
        <v>840</v>
      </c>
      <c r="E779" s="416">
        <v>1813</v>
      </c>
      <c r="F779" s="416">
        <v>34988856</v>
      </c>
      <c r="G779" s="416">
        <v>36897723</v>
      </c>
      <c r="H779" s="416">
        <v>71886579</v>
      </c>
      <c r="I779" s="400" t="s">
        <v>69</v>
      </c>
      <c r="J779" s="400" t="s">
        <v>798</v>
      </c>
      <c r="K779" s="401">
        <v>571695</v>
      </c>
      <c r="L779" s="400" t="s">
        <v>801</v>
      </c>
      <c r="M779" s="2"/>
      <c r="N779" s="2"/>
      <c r="O779" s="4"/>
    </row>
    <row r="780" spans="1:15" ht="15" x14ac:dyDescent="0.25">
      <c r="A780" s="400" t="s">
        <v>1099</v>
      </c>
      <c r="B780" s="400" t="s">
        <v>945</v>
      </c>
      <c r="C780" s="416">
        <v>57</v>
      </c>
      <c r="D780" s="416">
        <v>79</v>
      </c>
      <c r="E780" s="416">
        <v>136</v>
      </c>
      <c r="F780" s="416">
        <v>2645336</v>
      </c>
      <c r="G780" s="416">
        <v>4135192</v>
      </c>
      <c r="H780" s="416">
        <v>6780529</v>
      </c>
      <c r="I780" s="400" t="s">
        <v>69</v>
      </c>
      <c r="J780" s="400" t="s">
        <v>799</v>
      </c>
      <c r="K780" s="401">
        <v>989962</v>
      </c>
      <c r="L780" s="400" t="s">
        <v>915</v>
      </c>
      <c r="M780" s="2"/>
      <c r="N780" s="2"/>
      <c r="O780" s="4"/>
    </row>
    <row r="781" spans="1:15" ht="15" x14ac:dyDescent="0.25">
      <c r="A781" s="400" t="s">
        <v>1087</v>
      </c>
      <c r="B781" s="400" t="s">
        <v>281</v>
      </c>
      <c r="C781" s="416">
        <v>6044</v>
      </c>
      <c r="D781" s="416">
        <v>5003</v>
      </c>
      <c r="E781" s="416">
        <v>11047</v>
      </c>
      <c r="F781" s="416">
        <v>584258452</v>
      </c>
      <c r="G781" s="416">
        <v>596496208</v>
      </c>
      <c r="H781" s="416">
        <v>1180754660</v>
      </c>
      <c r="I781" s="400" t="s">
        <v>158</v>
      </c>
      <c r="J781" s="400" t="s">
        <v>792</v>
      </c>
      <c r="K781" s="401">
        <v>635623</v>
      </c>
      <c r="L781" s="400" t="s">
        <v>177</v>
      </c>
      <c r="M781" s="2"/>
      <c r="N781" s="2"/>
      <c r="O781" s="4"/>
    </row>
    <row r="782" spans="1:15" ht="15" x14ac:dyDescent="0.25">
      <c r="A782" s="400" t="s">
        <v>328</v>
      </c>
      <c r="B782" s="400" t="s">
        <v>955</v>
      </c>
      <c r="C782" s="416">
        <v>410</v>
      </c>
      <c r="D782" s="416">
        <v>559</v>
      </c>
      <c r="E782" s="416">
        <v>969</v>
      </c>
      <c r="F782" s="416">
        <v>13146815</v>
      </c>
      <c r="G782" s="416">
        <v>21178478</v>
      </c>
      <c r="H782" s="416">
        <v>34325294</v>
      </c>
      <c r="I782" s="400" t="s">
        <v>69</v>
      </c>
      <c r="J782" s="400" t="s">
        <v>798</v>
      </c>
      <c r="K782" s="401">
        <v>368407</v>
      </c>
      <c r="L782" s="400" t="s">
        <v>1013</v>
      </c>
      <c r="M782" s="2"/>
      <c r="N782" s="2"/>
      <c r="O782" s="4"/>
    </row>
    <row r="783" spans="1:15" ht="15" x14ac:dyDescent="0.25">
      <c r="A783" s="400" t="s">
        <v>1110</v>
      </c>
      <c r="B783" s="400" t="s">
        <v>713</v>
      </c>
      <c r="C783" s="416">
        <v>641</v>
      </c>
      <c r="D783" s="416">
        <v>854</v>
      </c>
      <c r="E783" s="416">
        <v>1495</v>
      </c>
      <c r="F783" s="416">
        <v>26445688</v>
      </c>
      <c r="G783" s="416">
        <v>45835487</v>
      </c>
      <c r="H783" s="416">
        <v>72281175</v>
      </c>
      <c r="I783" s="400" t="s">
        <v>69</v>
      </c>
      <c r="J783" s="400" t="s">
        <v>798</v>
      </c>
      <c r="K783" s="401">
        <v>189258</v>
      </c>
      <c r="L783" s="400" t="s">
        <v>1013</v>
      </c>
      <c r="M783" s="2"/>
      <c r="N783" s="2"/>
      <c r="O783" s="4"/>
    </row>
    <row r="784" spans="1:15" ht="15" x14ac:dyDescent="0.25">
      <c r="A784" s="400" t="s">
        <v>1103</v>
      </c>
      <c r="B784" s="400" t="s">
        <v>889</v>
      </c>
      <c r="C784" s="416">
        <v>3582</v>
      </c>
      <c r="D784" s="416">
        <v>2821</v>
      </c>
      <c r="E784" s="416">
        <v>6403</v>
      </c>
      <c r="F784" s="416">
        <v>149064459</v>
      </c>
      <c r="G784" s="416">
        <v>146427858</v>
      </c>
      <c r="H784" s="416">
        <v>295492317</v>
      </c>
      <c r="I784" s="400" t="s">
        <v>69</v>
      </c>
      <c r="J784" s="400" t="s">
        <v>799</v>
      </c>
      <c r="K784" s="401">
        <v>405704</v>
      </c>
      <c r="L784" s="400" t="s">
        <v>213</v>
      </c>
      <c r="M784" s="2"/>
      <c r="N784" s="2"/>
      <c r="O784" s="4"/>
    </row>
    <row r="785" spans="1:15" ht="15" x14ac:dyDescent="0.25">
      <c r="A785" s="400" t="s">
        <v>1123</v>
      </c>
      <c r="B785" s="400" t="s">
        <v>639</v>
      </c>
      <c r="C785" s="416">
        <v>4807</v>
      </c>
      <c r="D785" s="416">
        <v>6693</v>
      </c>
      <c r="E785" s="416">
        <v>11500</v>
      </c>
      <c r="F785" s="416">
        <v>226668522</v>
      </c>
      <c r="G785" s="416">
        <v>407266982</v>
      </c>
      <c r="H785" s="416">
        <v>633935504</v>
      </c>
      <c r="I785" s="400" t="s">
        <v>158</v>
      </c>
      <c r="J785" s="400" t="s">
        <v>798</v>
      </c>
      <c r="K785" s="401">
        <v>722983</v>
      </c>
      <c r="L785" s="400" t="s">
        <v>188</v>
      </c>
      <c r="M785" s="2"/>
      <c r="N785" s="2"/>
      <c r="O785" s="4"/>
    </row>
    <row r="786" spans="1:15" ht="15" x14ac:dyDescent="0.25">
      <c r="A786" s="400" t="s">
        <v>259</v>
      </c>
      <c r="B786" s="400" t="s">
        <v>629</v>
      </c>
      <c r="C786" s="416">
        <v>3655</v>
      </c>
      <c r="D786" s="416">
        <v>5718</v>
      </c>
      <c r="E786" s="416">
        <v>9373</v>
      </c>
      <c r="F786" s="416">
        <v>159348547</v>
      </c>
      <c r="G786" s="416">
        <v>297504768</v>
      </c>
      <c r="H786" s="416">
        <v>456853314</v>
      </c>
      <c r="I786" s="400" t="s">
        <v>69</v>
      </c>
      <c r="J786" s="400" t="s">
        <v>798</v>
      </c>
      <c r="K786" s="401">
        <v>848069</v>
      </c>
      <c r="L786" s="400" t="s">
        <v>418</v>
      </c>
      <c r="M786" s="2"/>
      <c r="N786" s="2"/>
      <c r="O786" s="4"/>
    </row>
    <row r="787" spans="1:15" ht="15" x14ac:dyDescent="0.25">
      <c r="A787" s="400" t="s">
        <v>219</v>
      </c>
      <c r="B787" s="400" t="s">
        <v>501</v>
      </c>
      <c r="C787" s="416">
        <v>555</v>
      </c>
      <c r="D787" s="416">
        <v>606</v>
      </c>
      <c r="E787" s="416">
        <v>1161</v>
      </c>
      <c r="F787" s="416">
        <v>24709107</v>
      </c>
      <c r="G787" s="416">
        <v>30476747</v>
      </c>
      <c r="H787" s="416">
        <v>55185854</v>
      </c>
      <c r="I787" s="400" t="s">
        <v>158</v>
      </c>
      <c r="J787" s="400" t="s">
        <v>798</v>
      </c>
      <c r="K787" s="401">
        <v>144923</v>
      </c>
      <c r="L787" s="400" t="s">
        <v>211</v>
      </c>
      <c r="M787" s="2"/>
      <c r="N787" s="2"/>
      <c r="O787" s="4"/>
    </row>
    <row r="788" spans="1:15" ht="15" x14ac:dyDescent="0.25">
      <c r="A788" s="400" t="s">
        <v>185</v>
      </c>
      <c r="B788" s="400" t="s">
        <v>725</v>
      </c>
      <c r="C788" s="416">
        <v>19</v>
      </c>
      <c r="D788" s="416">
        <v>26</v>
      </c>
      <c r="E788" s="416">
        <v>45</v>
      </c>
      <c r="F788" s="416">
        <v>703639</v>
      </c>
      <c r="G788" s="416">
        <v>1538963</v>
      </c>
      <c r="H788" s="416">
        <v>2242602</v>
      </c>
      <c r="I788" s="400" t="s">
        <v>69</v>
      </c>
      <c r="J788" s="400" t="s">
        <v>798</v>
      </c>
      <c r="K788" s="401">
        <v>870964</v>
      </c>
      <c r="L788" s="400" t="s">
        <v>554</v>
      </c>
      <c r="M788" s="2"/>
      <c r="N788" s="2"/>
      <c r="O788" s="4"/>
    </row>
    <row r="789" spans="1:15" ht="15" x14ac:dyDescent="0.25">
      <c r="A789" s="400" t="s">
        <v>1112</v>
      </c>
      <c r="B789" s="400" t="s">
        <v>618</v>
      </c>
      <c r="C789" s="416">
        <v>1452</v>
      </c>
      <c r="D789" s="416">
        <v>1700</v>
      </c>
      <c r="E789" s="416">
        <v>3152</v>
      </c>
      <c r="F789" s="416">
        <v>65348645</v>
      </c>
      <c r="G789" s="416">
        <v>91780954</v>
      </c>
      <c r="H789" s="416">
        <v>157129599</v>
      </c>
      <c r="I789" s="400" t="s">
        <v>69</v>
      </c>
      <c r="J789" s="400" t="s">
        <v>798</v>
      </c>
      <c r="K789" s="401">
        <v>384107</v>
      </c>
      <c r="L789" s="400" t="s">
        <v>545</v>
      </c>
      <c r="M789" s="4"/>
      <c r="N789" s="2"/>
      <c r="O789" s="4"/>
    </row>
    <row r="790" spans="1:15" ht="15" x14ac:dyDescent="0.25">
      <c r="A790" s="400" t="s">
        <v>1089</v>
      </c>
      <c r="B790" s="400" t="s">
        <v>844</v>
      </c>
      <c r="C790" s="416">
        <v>18</v>
      </c>
      <c r="D790" s="416">
        <v>31</v>
      </c>
      <c r="E790" s="416">
        <v>49</v>
      </c>
      <c r="F790" s="416">
        <v>1429049</v>
      </c>
      <c r="G790" s="416">
        <v>2169442</v>
      </c>
      <c r="H790" s="416">
        <v>3598491</v>
      </c>
      <c r="I790" s="400" t="s">
        <v>158</v>
      </c>
      <c r="J790" s="400" t="s">
        <v>795</v>
      </c>
      <c r="K790" s="401">
        <v>371708</v>
      </c>
      <c r="L790" s="400" t="s">
        <v>159</v>
      </c>
      <c r="M790" s="2"/>
      <c r="N790" s="2"/>
      <c r="O790" s="4"/>
    </row>
    <row r="791" spans="1:15" ht="15" x14ac:dyDescent="0.25">
      <c r="A791" s="400" t="s">
        <v>223</v>
      </c>
      <c r="B791" s="400" t="s">
        <v>1157</v>
      </c>
      <c r="C791" s="416">
        <v>58</v>
      </c>
      <c r="D791" s="416">
        <v>157</v>
      </c>
      <c r="E791" s="416">
        <v>215</v>
      </c>
      <c r="F791" s="416">
        <v>3046953</v>
      </c>
      <c r="G791" s="416">
        <v>10132716</v>
      </c>
      <c r="H791" s="416">
        <v>13179669</v>
      </c>
      <c r="I791" s="400" t="s">
        <v>158</v>
      </c>
      <c r="J791" s="400" t="s">
        <v>798</v>
      </c>
      <c r="K791" s="401">
        <v>989905</v>
      </c>
      <c r="L791" s="400" t="s">
        <v>539</v>
      </c>
      <c r="M791" s="2"/>
      <c r="N791" s="2"/>
      <c r="O791" s="4"/>
    </row>
    <row r="792" spans="1:15" ht="15" x14ac:dyDescent="0.25">
      <c r="A792" s="400" t="s">
        <v>1096</v>
      </c>
      <c r="B792" s="400" t="s">
        <v>189</v>
      </c>
      <c r="C792" s="416">
        <v>39</v>
      </c>
      <c r="D792" s="416">
        <v>61</v>
      </c>
      <c r="E792" s="416">
        <v>100</v>
      </c>
      <c r="F792" s="416">
        <v>3551112</v>
      </c>
      <c r="G792" s="416">
        <v>7818697</v>
      </c>
      <c r="H792" s="416">
        <v>11369809</v>
      </c>
      <c r="I792" s="400" t="s">
        <v>158</v>
      </c>
      <c r="J792" s="400" t="s">
        <v>799</v>
      </c>
      <c r="K792" s="401">
        <v>838730</v>
      </c>
      <c r="L792" s="400" t="s">
        <v>177</v>
      </c>
      <c r="M792" s="2"/>
      <c r="N792" s="2"/>
      <c r="O792" s="4"/>
    </row>
    <row r="793" spans="1:15" ht="15" x14ac:dyDescent="0.25">
      <c r="A793" s="400" t="s">
        <v>1100</v>
      </c>
      <c r="B793" s="400" t="s">
        <v>390</v>
      </c>
      <c r="C793" s="416">
        <v>4041</v>
      </c>
      <c r="D793" s="416">
        <v>2934</v>
      </c>
      <c r="E793" s="416">
        <v>6975</v>
      </c>
      <c r="F793" s="416">
        <v>484961255</v>
      </c>
      <c r="G793" s="416">
        <v>399801146</v>
      </c>
      <c r="H793" s="416">
        <v>884762401</v>
      </c>
      <c r="I793" s="400" t="s">
        <v>69</v>
      </c>
      <c r="J793" s="400" t="s">
        <v>795</v>
      </c>
      <c r="K793" s="401">
        <v>155606</v>
      </c>
      <c r="L793" s="400" t="s">
        <v>997</v>
      </c>
      <c r="M793" s="2"/>
      <c r="N793" s="2"/>
      <c r="O793" s="4"/>
    </row>
    <row r="794" spans="1:15" ht="15" x14ac:dyDescent="0.25">
      <c r="A794" s="400" t="s">
        <v>302</v>
      </c>
      <c r="B794" s="400" t="s">
        <v>1076</v>
      </c>
      <c r="C794" s="416">
        <v>1246</v>
      </c>
      <c r="D794" s="416">
        <v>2213</v>
      </c>
      <c r="E794" s="416">
        <v>3459</v>
      </c>
      <c r="F794" s="416">
        <v>138678406</v>
      </c>
      <c r="G794" s="416">
        <v>319635466</v>
      </c>
      <c r="H794" s="416">
        <v>458313872</v>
      </c>
      <c r="I794" s="400" t="s">
        <v>69</v>
      </c>
      <c r="J794" s="400" t="s">
        <v>798</v>
      </c>
      <c r="K794" s="401">
        <v>948117</v>
      </c>
      <c r="L794" s="400" t="s">
        <v>997</v>
      </c>
      <c r="M794" s="2"/>
      <c r="N794" s="2"/>
      <c r="O794" s="4"/>
    </row>
    <row r="795" spans="1:15" ht="15" customHeight="1" x14ac:dyDescent="0.25">
      <c r="A795" s="400" t="s">
        <v>163</v>
      </c>
      <c r="B795" s="400" t="s">
        <v>250</v>
      </c>
      <c r="C795" s="416">
        <v>14167</v>
      </c>
      <c r="D795" s="416">
        <v>10283</v>
      </c>
      <c r="E795" s="416">
        <v>24450</v>
      </c>
      <c r="F795" s="416">
        <v>957136697</v>
      </c>
      <c r="G795" s="416">
        <v>799492036</v>
      </c>
      <c r="H795" s="416">
        <v>1756628732</v>
      </c>
      <c r="I795" s="400" t="s">
        <v>158</v>
      </c>
      <c r="J795" s="400" t="s">
        <v>792</v>
      </c>
      <c r="K795" s="401">
        <v>466805</v>
      </c>
      <c r="L795" s="400" t="s">
        <v>195</v>
      </c>
      <c r="M795" s="2"/>
      <c r="N795" s="2"/>
      <c r="O795" s="4"/>
    </row>
    <row r="796" spans="1:15" ht="15" x14ac:dyDescent="0.25">
      <c r="A796" s="400" t="s">
        <v>223</v>
      </c>
      <c r="B796" s="400" t="s">
        <v>939</v>
      </c>
      <c r="C796" s="416">
        <v>471</v>
      </c>
      <c r="D796" s="416">
        <v>332</v>
      </c>
      <c r="E796" s="416">
        <v>803</v>
      </c>
      <c r="F796" s="416">
        <v>35642341</v>
      </c>
      <c r="G796" s="416">
        <v>27008198</v>
      </c>
      <c r="H796" s="416">
        <v>62650539</v>
      </c>
      <c r="I796" s="400" t="s">
        <v>69</v>
      </c>
      <c r="J796" s="400" t="s">
        <v>798</v>
      </c>
      <c r="K796" s="401">
        <v>587279</v>
      </c>
      <c r="L796" s="400" t="s">
        <v>838</v>
      </c>
      <c r="M796" s="2"/>
      <c r="N796" s="2"/>
      <c r="O796" s="4"/>
    </row>
    <row r="797" spans="1:15" ht="15" x14ac:dyDescent="0.25">
      <c r="A797" s="400" t="s">
        <v>185</v>
      </c>
      <c r="B797" s="400" t="s">
        <v>999</v>
      </c>
      <c r="C797" s="416">
        <v>136</v>
      </c>
      <c r="D797" s="416">
        <v>177</v>
      </c>
      <c r="E797" s="416">
        <v>313</v>
      </c>
      <c r="F797" s="416">
        <v>6798312</v>
      </c>
      <c r="G797" s="416">
        <v>9822962</v>
      </c>
      <c r="H797" s="416">
        <v>16621274</v>
      </c>
      <c r="I797" s="400" t="s">
        <v>158</v>
      </c>
      <c r="J797" s="400" t="s">
        <v>798</v>
      </c>
      <c r="K797" s="401">
        <v>473702</v>
      </c>
      <c r="L797" s="400" t="s">
        <v>182</v>
      </c>
      <c r="M797" s="2"/>
      <c r="N797" s="2"/>
      <c r="O797" s="4"/>
    </row>
    <row r="798" spans="1:15" ht="15" x14ac:dyDescent="0.25">
      <c r="A798" s="319" t="s">
        <v>328</v>
      </c>
      <c r="B798" s="319" t="s">
        <v>644</v>
      </c>
      <c r="C798" s="416">
        <v>23</v>
      </c>
      <c r="D798" s="416">
        <v>51</v>
      </c>
      <c r="E798" s="416">
        <v>74</v>
      </c>
      <c r="F798" s="416">
        <v>945071</v>
      </c>
      <c r="G798" s="416">
        <v>2447379</v>
      </c>
      <c r="H798" s="416">
        <v>3392449</v>
      </c>
      <c r="I798" s="319" t="s">
        <v>69</v>
      </c>
      <c r="J798" s="319" t="s">
        <v>798</v>
      </c>
      <c r="K798" s="309">
        <v>949941</v>
      </c>
      <c r="L798" s="319" t="s">
        <v>532</v>
      </c>
      <c r="M798" s="4"/>
      <c r="N798" s="2"/>
      <c r="O798" s="4"/>
    </row>
    <row r="799" spans="1:15" ht="15" x14ac:dyDescent="0.25">
      <c r="A799" s="400" t="s">
        <v>1088</v>
      </c>
      <c r="B799" s="400" t="s">
        <v>533</v>
      </c>
      <c r="C799" s="416">
        <v>813</v>
      </c>
      <c r="D799" s="416">
        <v>856</v>
      </c>
      <c r="E799" s="416">
        <v>1669</v>
      </c>
      <c r="F799" s="416">
        <v>28402225</v>
      </c>
      <c r="G799" s="416">
        <v>34966880</v>
      </c>
      <c r="H799" s="416">
        <v>63369105</v>
      </c>
      <c r="I799" s="400" t="s">
        <v>69</v>
      </c>
      <c r="J799" s="400" t="s">
        <v>795</v>
      </c>
      <c r="K799" s="401">
        <v>794115</v>
      </c>
      <c r="L799" s="400" t="s">
        <v>777</v>
      </c>
      <c r="M799" s="2"/>
      <c r="N799" s="2"/>
      <c r="O799" s="4"/>
    </row>
    <row r="800" spans="1:15" ht="15" x14ac:dyDescent="0.25">
      <c r="A800" s="400" t="s">
        <v>223</v>
      </c>
      <c r="B800" s="400" t="s">
        <v>522</v>
      </c>
      <c r="C800" s="416">
        <v>3603</v>
      </c>
      <c r="D800" s="416">
        <v>3167</v>
      </c>
      <c r="E800" s="416">
        <v>6770</v>
      </c>
      <c r="F800" s="416">
        <v>233023759</v>
      </c>
      <c r="G800" s="416">
        <v>235431034</v>
      </c>
      <c r="H800" s="416">
        <v>468454793</v>
      </c>
      <c r="I800" s="400" t="s">
        <v>158</v>
      </c>
      <c r="J800" s="400" t="s">
        <v>798</v>
      </c>
      <c r="K800" s="401">
        <v>344739</v>
      </c>
      <c r="L800" s="400" t="s">
        <v>320</v>
      </c>
      <c r="M800" s="2"/>
      <c r="N800" s="2"/>
      <c r="O800" s="4"/>
    </row>
    <row r="801" spans="1:15" ht="15" x14ac:dyDescent="0.25">
      <c r="A801" s="400" t="s">
        <v>1112</v>
      </c>
      <c r="B801" s="400" t="s">
        <v>843</v>
      </c>
      <c r="C801" s="416">
        <v>18</v>
      </c>
      <c r="D801" s="416">
        <v>23</v>
      </c>
      <c r="E801" s="416">
        <v>41</v>
      </c>
      <c r="F801" s="416">
        <v>889999</v>
      </c>
      <c r="G801" s="416">
        <v>1763930</v>
      </c>
      <c r="H801" s="416">
        <v>2653929</v>
      </c>
      <c r="I801" s="400" t="s">
        <v>69</v>
      </c>
      <c r="J801" s="400" t="s">
        <v>798</v>
      </c>
      <c r="K801" s="401">
        <v>283044</v>
      </c>
      <c r="L801" s="400" t="s">
        <v>768</v>
      </c>
      <c r="M801" s="2"/>
      <c r="N801" s="2"/>
      <c r="O801" s="4"/>
    </row>
    <row r="802" spans="1:15" ht="15" x14ac:dyDescent="0.25">
      <c r="A802" s="400" t="s">
        <v>264</v>
      </c>
      <c r="B802" s="400" t="s">
        <v>890</v>
      </c>
      <c r="C802" s="416">
        <v>1474</v>
      </c>
      <c r="D802" s="416">
        <v>1642</v>
      </c>
      <c r="E802" s="416">
        <v>3116</v>
      </c>
      <c r="F802" s="416">
        <v>106390719</v>
      </c>
      <c r="G802" s="416">
        <v>149475324</v>
      </c>
      <c r="H802" s="416">
        <v>255866043</v>
      </c>
      <c r="I802" s="400" t="s">
        <v>158</v>
      </c>
      <c r="J802" s="400" t="s">
        <v>798</v>
      </c>
      <c r="K802" s="401">
        <v>184416</v>
      </c>
      <c r="L802" s="400" t="s">
        <v>334</v>
      </c>
      <c r="M802" s="2"/>
      <c r="N802" s="2"/>
      <c r="O802" s="4"/>
    </row>
    <row r="803" spans="1:15" ht="15" x14ac:dyDescent="0.25">
      <c r="A803" s="400" t="s">
        <v>219</v>
      </c>
      <c r="B803" s="400" t="s">
        <v>776</v>
      </c>
      <c r="C803" s="416">
        <v>10043</v>
      </c>
      <c r="D803" s="416">
        <v>10321</v>
      </c>
      <c r="E803" s="416">
        <v>20364</v>
      </c>
      <c r="F803" s="416">
        <v>407446082</v>
      </c>
      <c r="G803" s="416">
        <v>507646981</v>
      </c>
      <c r="H803" s="416">
        <v>915093062</v>
      </c>
      <c r="I803" s="400" t="s">
        <v>158</v>
      </c>
      <c r="J803" s="400" t="s">
        <v>798</v>
      </c>
      <c r="K803" s="401">
        <v>629543</v>
      </c>
      <c r="L803" s="400" t="s">
        <v>930</v>
      </c>
      <c r="M803" s="2"/>
      <c r="N803" s="2"/>
      <c r="O803" s="4"/>
    </row>
    <row r="804" spans="1:15" ht="15" x14ac:dyDescent="0.25">
      <c r="A804" s="400" t="s">
        <v>305</v>
      </c>
      <c r="B804" s="400" t="s">
        <v>788</v>
      </c>
      <c r="C804" s="416">
        <v>2737</v>
      </c>
      <c r="D804" s="416">
        <v>3400</v>
      </c>
      <c r="E804" s="416">
        <v>6137</v>
      </c>
      <c r="F804" s="416">
        <v>420596160</v>
      </c>
      <c r="G804" s="416">
        <v>594488337</v>
      </c>
      <c r="H804" s="416">
        <v>1015084498</v>
      </c>
      <c r="I804" s="400" t="s">
        <v>158</v>
      </c>
      <c r="J804" s="400" t="s">
        <v>798</v>
      </c>
      <c r="K804" s="401">
        <v>651141</v>
      </c>
      <c r="L804" s="400" t="s">
        <v>159</v>
      </c>
      <c r="M804" s="2"/>
      <c r="N804" s="2"/>
      <c r="O804" s="4"/>
    </row>
    <row r="805" spans="1:15" ht="15" x14ac:dyDescent="0.25">
      <c r="A805" s="400" t="s">
        <v>369</v>
      </c>
      <c r="B805" s="400" t="s">
        <v>509</v>
      </c>
      <c r="C805" s="416">
        <v>314</v>
      </c>
      <c r="D805" s="416">
        <v>438</v>
      </c>
      <c r="E805" s="416">
        <v>752</v>
      </c>
      <c r="F805" s="416">
        <v>9326986</v>
      </c>
      <c r="G805" s="416">
        <v>17245980</v>
      </c>
      <c r="H805" s="416">
        <v>26572966</v>
      </c>
      <c r="I805" s="400" t="s">
        <v>69</v>
      </c>
      <c r="J805" s="400" t="s">
        <v>798</v>
      </c>
      <c r="K805" s="401">
        <v>174672</v>
      </c>
      <c r="L805" s="400" t="s">
        <v>465</v>
      </c>
      <c r="M805" s="2"/>
      <c r="N805" s="2"/>
      <c r="O805" s="4"/>
    </row>
    <row r="806" spans="1:15" ht="15" x14ac:dyDescent="0.25">
      <c r="A806" s="400" t="s">
        <v>1089</v>
      </c>
      <c r="B806" s="400" t="s">
        <v>654</v>
      </c>
      <c r="C806" s="416">
        <v>3400</v>
      </c>
      <c r="D806" s="416">
        <v>3278</v>
      </c>
      <c r="E806" s="416">
        <v>6678</v>
      </c>
      <c r="F806" s="416">
        <v>494246885</v>
      </c>
      <c r="G806" s="416">
        <v>546759299</v>
      </c>
      <c r="H806" s="416">
        <v>1041006184</v>
      </c>
      <c r="I806" s="400" t="s">
        <v>158</v>
      </c>
      <c r="J806" s="400" t="s">
        <v>795</v>
      </c>
      <c r="K806" s="401">
        <v>615310</v>
      </c>
      <c r="L806" s="400" t="s">
        <v>903</v>
      </c>
      <c r="M806" s="2"/>
      <c r="N806" s="2"/>
      <c r="O806" s="4"/>
    </row>
    <row r="807" spans="1:15" ht="15" x14ac:dyDescent="0.25">
      <c r="A807" s="400" t="s">
        <v>185</v>
      </c>
      <c r="B807" s="400" t="s">
        <v>604</v>
      </c>
      <c r="C807" s="416">
        <v>63</v>
      </c>
      <c r="D807" s="416">
        <v>83</v>
      </c>
      <c r="E807" s="416">
        <v>146</v>
      </c>
      <c r="F807" s="416">
        <v>4287353</v>
      </c>
      <c r="G807" s="416">
        <v>6074141</v>
      </c>
      <c r="H807" s="416">
        <v>10361494</v>
      </c>
      <c r="I807" s="400" t="s">
        <v>69</v>
      </c>
      <c r="J807" s="400" t="s">
        <v>798</v>
      </c>
      <c r="K807" s="401">
        <v>562421</v>
      </c>
      <c r="L807" s="400" t="s">
        <v>600</v>
      </c>
      <c r="M807" s="2"/>
      <c r="N807" s="2"/>
      <c r="O807" s="4"/>
    </row>
    <row r="808" spans="1:15" ht="15" x14ac:dyDescent="0.25">
      <c r="A808" s="400" t="s">
        <v>369</v>
      </c>
      <c r="B808" s="400" t="s">
        <v>440</v>
      </c>
      <c r="C808" s="416">
        <v>343</v>
      </c>
      <c r="D808" s="416">
        <v>581</v>
      </c>
      <c r="E808" s="416">
        <v>924</v>
      </c>
      <c r="F808" s="416">
        <v>15684223</v>
      </c>
      <c r="G808" s="416">
        <v>34530321</v>
      </c>
      <c r="H808" s="416">
        <v>50214544</v>
      </c>
      <c r="I808" s="400" t="s">
        <v>158</v>
      </c>
      <c r="J808" s="400" t="s">
        <v>798</v>
      </c>
      <c r="K808" s="401">
        <v>823039</v>
      </c>
      <c r="L808" s="400" t="s">
        <v>213</v>
      </c>
      <c r="M808" s="2"/>
      <c r="N808" s="2"/>
      <c r="O808" s="4"/>
    </row>
    <row r="809" spans="1:15" ht="15" x14ac:dyDescent="0.25">
      <c r="A809" s="400" t="s">
        <v>1112</v>
      </c>
      <c r="B809" s="400" t="s">
        <v>413</v>
      </c>
      <c r="C809" s="416">
        <v>2982</v>
      </c>
      <c r="D809" s="416">
        <v>3817</v>
      </c>
      <c r="E809" s="416">
        <v>6799</v>
      </c>
      <c r="F809" s="416">
        <v>136563176</v>
      </c>
      <c r="G809" s="416">
        <v>215499722</v>
      </c>
      <c r="H809" s="416">
        <v>352062898</v>
      </c>
      <c r="I809" s="400" t="s">
        <v>158</v>
      </c>
      <c r="J809" s="400" t="s">
        <v>798</v>
      </c>
      <c r="K809" s="401">
        <v>986604</v>
      </c>
      <c r="L809" s="400" t="s">
        <v>213</v>
      </c>
      <c r="M809" s="2"/>
      <c r="N809" s="2"/>
      <c r="O809" s="4"/>
    </row>
    <row r="810" spans="1:15" ht="15" x14ac:dyDescent="0.25">
      <c r="A810" s="400" t="s">
        <v>1103</v>
      </c>
      <c r="B810" s="400" t="s">
        <v>1158</v>
      </c>
      <c r="C810" s="416">
        <v>112</v>
      </c>
      <c r="D810" s="416">
        <v>96</v>
      </c>
      <c r="E810" s="416">
        <v>208</v>
      </c>
      <c r="F810" s="416">
        <v>3092468</v>
      </c>
      <c r="G810" s="416">
        <v>2944800</v>
      </c>
      <c r="H810" s="416">
        <v>6037268</v>
      </c>
      <c r="I810" s="400" t="s">
        <v>69</v>
      </c>
      <c r="J810" s="400" t="s">
        <v>799</v>
      </c>
      <c r="K810" s="401">
        <v>871491</v>
      </c>
      <c r="L810" s="400" t="s">
        <v>387</v>
      </c>
      <c r="M810" s="2"/>
      <c r="N810" s="2"/>
      <c r="O810" s="4"/>
    </row>
    <row r="811" spans="1:15" ht="15" x14ac:dyDescent="0.25">
      <c r="A811" s="400" t="s">
        <v>1117</v>
      </c>
      <c r="B811" s="400" t="s">
        <v>136</v>
      </c>
      <c r="C811" s="416">
        <v>16476</v>
      </c>
      <c r="D811" s="416">
        <v>24234</v>
      </c>
      <c r="E811" s="416">
        <v>40710</v>
      </c>
      <c r="F811" s="416">
        <v>964047965</v>
      </c>
      <c r="G811" s="416">
        <v>1699824507</v>
      </c>
      <c r="H811" s="416">
        <v>2663872472</v>
      </c>
      <c r="I811" s="400" t="s">
        <v>69</v>
      </c>
      <c r="J811" s="400" t="s">
        <v>798</v>
      </c>
      <c r="K811" s="401">
        <v>364158</v>
      </c>
      <c r="L811" s="400" t="s">
        <v>777</v>
      </c>
      <c r="M811" s="2"/>
      <c r="N811" s="2"/>
      <c r="O811" s="4"/>
    </row>
    <row r="812" spans="1:15" ht="15" x14ac:dyDescent="0.25">
      <c r="A812" s="400" t="s">
        <v>1106</v>
      </c>
      <c r="B812" s="400" t="s">
        <v>1025</v>
      </c>
      <c r="C812" s="416">
        <v>0</v>
      </c>
      <c r="D812" s="416">
        <v>1</v>
      </c>
      <c r="E812" s="416">
        <v>1</v>
      </c>
      <c r="F812" s="416">
        <v>0</v>
      </c>
      <c r="G812" s="416">
        <v>19856</v>
      </c>
      <c r="H812" s="416">
        <v>19856</v>
      </c>
      <c r="I812" s="400" t="s">
        <v>69</v>
      </c>
      <c r="J812" s="400" t="s">
        <v>795</v>
      </c>
      <c r="K812" s="401">
        <v>123901</v>
      </c>
      <c r="L812" s="400" t="s">
        <v>330</v>
      </c>
      <c r="M812" s="2"/>
      <c r="N812" s="2"/>
      <c r="O812" s="4"/>
    </row>
    <row r="813" spans="1:15" ht="15" x14ac:dyDescent="0.25">
      <c r="A813" s="400" t="s">
        <v>1109</v>
      </c>
      <c r="B813" s="400" t="s">
        <v>299</v>
      </c>
      <c r="C813" s="416">
        <v>1926</v>
      </c>
      <c r="D813" s="416">
        <v>1826</v>
      </c>
      <c r="E813" s="416">
        <v>3752</v>
      </c>
      <c r="F813" s="416">
        <v>60209873</v>
      </c>
      <c r="G813" s="416">
        <v>70293373</v>
      </c>
      <c r="H813" s="416">
        <v>130503246</v>
      </c>
      <c r="I813" s="400" t="s">
        <v>69</v>
      </c>
      <c r="J813" s="400" t="s">
        <v>799</v>
      </c>
      <c r="K813" s="401">
        <v>111518</v>
      </c>
      <c r="L813" s="400" t="s">
        <v>301</v>
      </c>
      <c r="M813" s="2"/>
      <c r="N813" s="2"/>
      <c r="O813" s="4"/>
    </row>
    <row r="814" spans="1:15" ht="15" x14ac:dyDescent="0.25">
      <c r="A814" s="400" t="s">
        <v>1098</v>
      </c>
      <c r="B814" s="400" t="s">
        <v>351</v>
      </c>
      <c r="C814" s="416">
        <v>1863</v>
      </c>
      <c r="D814" s="416">
        <v>2024</v>
      </c>
      <c r="E814" s="416">
        <v>3887</v>
      </c>
      <c r="F814" s="416">
        <v>62801738</v>
      </c>
      <c r="G814" s="416">
        <v>83063409</v>
      </c>
      <c r="H814" s="416">
        <v>145865147</v>
      </c>
      <c r="I814" s="400" t="s">
        <v>69</v>
      </c>
      <c r="J814" s="400" t="s">
        <v>799</v>
      </c>
      <c r="K814" s="401">
        <v>551804</v>
      </c>
      <c r="L814" s="400" t="s">
        <v>338</v>
      </c>
      <c r="M814" s="2"/>
      <c r="N814" s="2"/>
      <c r="O814" s="4"/>
    </row>
    <row r="815" spans="1:15" ht="15" x14ac:dyDescent="0.25">
      <c r="A815" s="400" t="s">
        <v>1111</v>
      </c>
      <c r="B815" s="400" t="s">
        <v>648</v>
      </c>
      <c r="C815" s="416">
        <v>359</v>
      </c>
      <c r="D815" s="416">
        <v>560</v>
      </c>
      <c r="E815" s="416">
        <v>919</v>
      </c>
      <c r="F815" s="416">
        <v>21074142</v>
      </c>
      <c r="G815" s="416">
        <v>40141634</v>
      </c>
      <c r="H815" s="416">
        <v>61215776</v>
      </c>
      <c r="I815" s="400" t="s">
        <v>69</v>
      </c>
      <c r="J815" s="400" t="s">
        <v>798</v>
      </c>
      <c r="K815" s="401">
        <v>356063</v>
      </c>
      <c r="L815" s="400" t="s">
        <v>646</v>
      </c>
      <c r="M815" s="2"/>
      <c r="N815" s="2"/>
      <c r="O815" s="4"/>
    </row>
    <row r="816" spans="1:15" ht="15" x14ac:dyDescent="0.25">
      <c r="A816" s="400" t="s">
        <v>219</v>
      </c>
      <c r="B816" s="400" t="s">
        <v>493</v>
      </c>
      <c r="C816" s="416">
        <v>376</v>
      </c>
      <c r="D816" s="416">
        <v>348</v>
      </c>
      <c r="E816" s="416">
        <v>724</v>
      </c>
      <c r="F816" s="416">
        <v>12583742</v>
      </c>
      <c r="G816" s="416">
        <v>13879988</v>
      </c>
      <c r="H816" s="416">
        <v>26463730</v>
      </c>
      <c r="I816" s="400" t="s">
        <v>69</v>
      </c>
      <c r="J816" s="400" t="s">
        <v>798</v>
      </c>
      <c r="K816" s="401">
        <v>317404</v>
      </c>
      <c r="L816" s="400" t="s">
        <v>465</v>
      </c>
      <c r="M816" s="2"/>
      <c r="N816" s="2"/>
      <c r="O816" s="4"/>
    </row>
    <row r="817" spans="1:15" ht="15" x14ac:dyDescent="0.25">
      <c r="A817" s="400" t="s">
        <v>1105</v>
      </c>
      <c r="B817" s="400" t="s">
        <v>238</v>
      </c>
      <c r="C817" s="416">
        <v>2119</v>
      </c>
      <c r="D817" s="416">
        <v>1927</v>
      </c>
      <c r="E817" s="416">
        <v>4046</v>
      </c>
      <c r="F817" s="416">
        <v>101611117</v>
      </c>
      <c r="G817" s="416">
        <v>110917409</v>
      </c>
      <c r="H817" s="416">
        <v>212528527</v>
      </c>
      <c r="I817" s="400" t="s">
        <v>69</v>
      </c>
      <c r="J817" s="400" t="s">
        <v>799</v>
      </c>
      <c r="K817" s="401">
        <v>131409</v>
      </c>
      <c r="L817" s="400" t="s">
        <v>195</v>
      </c>
      <c r="M817" s="2"/>
      <c r="N817" s="2"/>
      <c r="O817" s="4"/>
    </row>
    <row r="818" spans="1:15" ht="15" x14ac:dyDescent="0.25">
      <c r="A818" s="400" t="s">
        <v>1117</v>
      </c>
      <c r="B818" s="400" t="s">
        <v>19</v>
      </c>
      <c r="C818" s="416">
        <v>36608</v>
      </c>
      <c r="D818" s="416">
        <v>36855</v>
      </c>
      <c r="E818" s="416">
        <v>73463</v>
      </c>
      <c r="F818" s="416">
        <v>1968664405</v>
      </c>
      <c r="G818" s="416">
        <v>2417921838</v>
      </c>
      <c r="H818" s="416">
        <v>4386586243</v>
      </c>
      <c r="I818" s="400" t="s">
        <v>158</v>
      </c>
      <c r="J818" s="400" t="s">
        <v>798</v>
      </c>
      <c r="K818" s="401">
        <v>229922</v>
      </c>
      <c r="L818" s="400" t="s">
        <v>213</v>
      </c>
      <c r="M818" s="2"/>
      <c r="N818" s="2"/>
      <c r="O818" s="4"/>
    </row>
    <row r="819" spans="1:15" ht="15" x14ac:dyDescent="0.25">
      <c r="A819" s="400" t="s">
        <v>205</v>
      </c>
      <c r="B819" s="400" t="s">
        <v>274</v>
      </c>
      <c r="C819" s="416">
        <v>1616</v>
      </c>
      <c r="D819" s="416">
        <v>2100</v>
      </c>
      <c r="E819" s="416">
        <v>3716</v>
      </c>
      <c r="F819" s="416">
        <v>48622110</v>
      </c>
      <c r="G819" s="416">
        <v>76641577</v>
      </c>
      <c r="H819" s="416">
        <v>125263687</v>
      </c>
      <c r="I819" s="400" t="s">
        <v>158</v>
      </c>
      <c r="J819" s="400" t="s">
        <v>798</v>
      </c>
      <c r="K819" s="401">
        <v>582791</v>
      </c>
      <c r="L819" s="400" t="s">
        <v>230</v>
      </c>
      <c r="M819" s="2"/>
      <c r="N819" s="2"/>
      <c r="O819" s="4"/>
    </row>
    <row r="820" spans="1:15" ht="15" x14ac:dyDescent="0.25">
      <c r="A820" s="400" t="s">
        <v>1112</v>
      </c>
      <c r="B820" s="400" t="s">
        <v>980</v>
      </c>
      <c r="C820" s="416">
        <v>234</v>
      </c>
      <c r="D820" s="416">
        <v>292</v>
      </c>
      <c r="E820" s="416">
        <v>526</v>
      </c>
      <c r="F820" s="416">
        <v>11134508</v>
      </c>
      <c r="G820" s="416">
        <v>17368007</v>
      </c>
      <c r="H820" s="416">
        <v>28502515</v>
      </c>
      <c r="I820" s="400" t="s">
        <v>69</v>
      </c>
      <c r="J820" s="400" t="s">
        <v>798</v>
      </c>
      <c r="K820" s="401">
        <v>686626</v>
      </c>
      <c r="L820" s="400" t="s">
        <v>777</v>
      </c>
      <c r="M820" s="2"/>
      <c r="N820" s="2"/>
      <c r="O820" s="4"/>
    </row>
    <row r="821" spans="1:15" ht="15" x14ac:dyDescent="0.25">
      <c r="A821" s="400" t="s">
        <v>219</v>
      </c>
      <c r="B821" s="400" t="s">
        <v>864</v>
      </c>
      <c r="C821" s="416">
        <v>685</v>
      </c>
      <c r="D821" s="416">
        <v>699</v>
      </c>
      <c r="E821" s="416">
        <v>1384</v>
      </c>
      <c r="F821" s="416">
        <v>20900147</v>
      </c>
      <c r="G821" s="416">
        <v>24894221</v>
      </c>
      <c r="H821" s="416">
        <v>45794368</v>
      </c>
      <c r="I821" s="400" t="s">
        <v>69</v>
      </c>
      <c r="J821" s="400" t="s">
        <v>798</v>
      </c>
      <c r="K821" s="401">
        <v>707638</v>
      </c>
      <c r="L821" s="400" t="s">
        <v>775</v>
      </c>
      <c r="M821" s="2"/>
      <c r="N821" s="2"/>
      <c r="O821" s="4"/>
    </row>
    <row r="822" spans="1:15" ht="15" x14ac:dyDescent="0.25">
      <c r="A822" s="400" t="s">
        <v>369</v>
      </c>
      <c r="B822" s="400" t="s">
        <v>724</v>
      </c>
      <c r="C822" s="416">
        <v>70</v>
      </c>
      <c r="D822" s="416">
        <v>145</v>
      </c>
      <c r="E822" s="416">
        <v>215</v>
      </c>
      <c r="F822" s="416">
        <v>3337769</v>
      </c>
      <c r="G822" s="416">
        <v>8226074</v>
      </c>
      <c r="H822" s="416">
        <v>11563843</v>
      </c>
      <c r="I822" s="400" t="s">
        <v>69</v>
      </c>
      <c r="J822" s="400" t="s">
        <v>798</v>
      </c>
      <c r="K822" s="401">
        <v>763474</v>
      </c>
      <c r="L822" s="400" t="s">
        <v>554</v>
      </c>
      <c r="M822" s="3"/>
      <c r="N822" s="2"/>
      <c r="O822" s="4"/>
    </row>
    <row r="823" spans="1:15" ht="15" customHeight="1" x14ac:dyDescent="0.25">
      <c r="A823" s="400" t="s">
        <v>223</v>
      </c>
      <c r="B823" s="400" t="s">
        <v>227</v>
      </c>
      <c r="C823" s="416">
        <v>5464</v>
      </c>
      <c r="D823" s="416">
        <v>6260</v>
      </c>
      <c r="E823" s="416">
        <v>11724</v>
      </c>
      <c r="F823" s="416">
        <v>381889014</v>
      </c>
      <c r="G823" s="416">
        <v>551760097</v>
      </c>
      <c r="H823" s="416">
        <v>933649111</v>
      </c>
      <c r="I823" s="400" t="s">
        <v>158</v>
      </c>
      <c r="J823" s="400" t="s">
        <v>798</v>
      </c>
      <c r="K823" s="401">
        <v>905265</v>
      </c>
      <c r="L823" s="400" t="s">
        <v>175</v>
      </c>
      <c r="M823" s="2"/>
      <c r="N823" s="2"/>
      <c r="O823" s="4"/>
    </row>
    <row r="824" spans="1:15" ht="15" x14ac:dyDescent="0.25">
      <c r="A824" s="400" t="s">
        <v>163</v>
      </c>
      <c r="B824" s="400" t="s">
        <v>957</v>
      </c>
      <c r="C824" s="416">
        <v>5731</v>
      </c>
      <c r="D824" s="416">
        <v>4364</v>
      </c>
      <c r="E824" s="416">
        <v>10095</v>
      </c>
      <c r="F824" s="416">
        <v>885689477</v>
      </c>
      <c r="G824" s="416">
        <v>771000307</v>
      </c>
      <c r="H824" s="416">
        <v>1656689784</v>
      </c>
      <c r="I824" s="400" t="s">
        <v>69</v>
      </c>
      <c r="J824" s="400" t="s">
        <v>792</v>
      </c>
      <c r="K824" s="401">
        <v>314682</v>
      </c>
      <c r="L824" s="400" t="s">
        <v>162</v>
      </c>
      <c r="M824" s="2"/>
      <c r="N824" s="2"/>
      <c r="O824" s="4"/>
    </row>
    <row r="825" spans="1:15" ht="15" x14ac:dyDescent="0.25">
      <c r="A825" s="400" t="s">
        <v>1087</v>
      </c>
      <c r="B825" s="400" t="s">
        <v>958</v>
      </c>
      <c r="C825" s="416">
        <v>8014</v>
      </c>
      <c r="D825" s="416">
        <v>7128</v>
      </c>
      <c r="E825" s="416">
        <v>15142</v>
      </c>
      <c r="F825" s="416">
        <v>1382204713</v>
      </c>
      <c r="G825" s="416">
        <v>1357017349</v>
      </c>
      <c r="H825" s="416">
        <v>2739222062</v>
      </c>
      <c r="I825" s="400" t="s">
        <v>69</v>
      </c>
      <c r="J825" s="400" t="s">
        <v>792</v>
      </c>
      <c r="K825" s="401">
        <v>350512</v>
      </c>
      <c r="L825" s="400" t="s">
        <v>162</v>
      </c>
      <c r="M825" s="2"/>
      <c r="N825" s="2"/>
      <c r="O825" s="4"/>
    </row>
    <row r="826" spans="1:15" ht="15" x14ac:dyDescent="0.25">
      <c r="A826" s="400" t="s">
        <v>1096</v>
      </c>
      <c r="B826" s="400" t="s">
        <v>190</v>
      </c>
      <c r="C826" s="416">
        <v>3883</v>
      </c>
      <c r="D826" s="416">
        <v>1683</v>
      </c>
      <c r="E826" s="416">
        <v>5566</v>
      </c>
      <c r="F826" s="416">
        <v>117253681</v>
      </c>
      <c r="G826" s="416">
        <v>72505415</v>
      </c>
      <c r="H826" s="416">
        <v>189759096</v>
      </c>
      <c r="I826" s="400" t="s">
        <v>158</v>
      </c>
      <c r="J826" s="400" t="s">
        <v>799</v>
      </c>
      <c r="K826" s="401">
        <v>188664</v>
      </c>
      <c r="L826" s="400" t="s">
        <v>175</v>
      </c>
      <c r="M826" s="2"/>
      <c r="N826" s="2"/>
      <c r="O826" s="4"/>
    </row>
    <row r="827" spans="1:15" ht="15" x14ac:dyDescent="0.25">
      <c r="A827" s="400" t="s">
        <v>1123</v>
      </c>
      <c r="B827" s="400" t="s">
        <v>414</v>
      </c>
      <c r="C827" s="416">
        <v>5138</v>
      </c>
      <c r="D827" s="416">
        <v>8487</v>
      </c>
      <c r="E827" s="416">
        <v>13625</v>
      </c>
      <c r="F827" s="416">
        <v>229311542</v>
      </c>
      <c r="G827" s="416">
        <v>529028620</v>
      </c>
      <c r="H827" s="416">
        <v>758340162</v>
      </c>
      <c r="I827" s="400" t="s">
        <v>69</v>
      </c>
      <c r="J827" s="400" t="s">
        <v>798</v>
      </c>
      <c r="K827" s="401">
        <v>469692</v>
      </c>
      <c r="L827" s="400" t="s">
        <v>195</v>
      </c>
      <c r="M827" s="2"/>
      <c r="N827" s="2"/>
      <c r="O827" s="4"/>
    </row>
    <row r="828" spans="1:15" ht="15" x14ac:dyDescent="0.25">
      <c r="A828" s="400" t="s">
        <v>302</v>
      </c>
      <c r="B828" s="400" t="s">
        <v>643</v>
      </c>
      <c r="C828" s="416">
        <v>1287</v>
      </c>
      <c r="D828" s="416">
        <v>2365</v>
      </c>
      <c r="E828" s="416">
        <v>3652</v>
      </c>
      <c r="F828" s="416">
        <v>39391963</v>
      </c>
      <c r="G828" s="416">
        <v>98543376</v>
      </c>
      <c r="H828" s="416">
        <v>137935339</v>
      </c>
      <c r="I828" s="400" t="s">
        <v>158</v>
      </c>
      <c r="J828" s="400" t="s">
        <v>798</v>
      </c>
      <c r="K828" s="401">
        <v>534099</v>
      </c>
      <c r="L828" s="400" t="s">
        <v>188</v>
      </c>
      <c r="M828" s="2"/>
      <c r="N828" s="2"/>
      <c r="O828" s="4"/>
    </row>
    <row r="829" spans="1:15" ht="15" x14ac:dyDescent="0.25">
      <c r="A829" s="400" t="s">
        <v>264</v>
      </c>
      <c r="B829" s="400" t="s">
        <v>925</v>
      </c>
      <c r="C829" s="416">
        <v>3346</v>
      </c>
      <c r="D829" s="416">
        <v>3724</v>
      </c>
      <c r="E829" s="416">
        <v>7070</v>
      </c>
      <c r="F829" s="416">
        <v>257572082</v>
      </c>
      <c r="G829" s="416">
        <v>344713453</v>
      </c>
      <c r="H829" s="416">
        <v>602285535</v>
      </c>
      <c r="I829" s="400" t="s">
        <v>158</v>
      </c>
      <c r="J829" s="400" t="s">
        <v>798</v>
      </c>
      <c r="K829" s="401">
        <v>694539</v>
      </c>
      <c r="L829" s="400" t="s">
        <v>170</v>
      </c>
      <c r="M829" s="2"/>
      <c r="N829" s="2"/>
      <c r="O829" s="4"/>
    </row>
    <row r="830" spans="1:15" ht="15" customHeight="1" x14ac:dyDescent="0.25">
      <c r="A830" s="400" t="s">
        <v>205</v>
      </c>
      <c r="B830" s="400" t="s">
        <v>573</v>
      </c>
      <c r="C830" s="416">
        <v>1306</v>
      </c>
      <c r="D830" s="416">
        <v>1986</v>
      </c>
      <c r="E830" s="416">
        <v>3292</v>
      </c>
      <c r="F830" s="416">
        <v>56953772</v>
      </c>
      <c r="G830" s="416">
        <v>110455700</v>
      </c>
      <c r="H830" s="416">
        <v>167409472</v>
      </c>
      <c r="I830" s="400" t="s">
        <v>69</v>
      </c>
      <c r="J830" s="400" t="s">
        <v>798</v>
      </c>
      <c r="K830" s="401">
        <v>192146</v>
      </c>
      <c r="L830" s="400" t="s">
        <v>418</v>
      </c>
      <c r="M830" s="2"/>
      <c r="N830" s="2"/>
      <c r="O830" s="4"/>
    </row>
    <row r="831" spans="1:15" ht="15" x14ac:dyDescent="0.25">
      <c r="A831" s="400" t="s">
        <v>1108</v>
      </c>
      <c r="B831" s="400" t="s">
        <v>496</v>
      </c>
      <c r="C831" s="416">
        <v>1019</v>
      </c>
      <c r="D831" s="416">
        <v>1375</v>
      </c>
      <c r="E831" s="416">
        <v>2394</v>
      </c>
      <c r="F831" s="416">
        <v>51994177</v>
      </c>
      <c r="G831" s="416">
        <v>78054456</v>
      </c>
      <c r="H831" s="416">
        <v>130048633</v>
      </c>
      <c r="I831" s="400" t="s">
        <v>69</v>
      </c>
      <c r="J831" s="400" t="s">
        <v>799</v>
      </c>
      <c r="K831" s="401">
        <v>900894</v>
      </c>
      <c r="L831" s="400" t="s">
        <v>418</v>
      </c>
      <c r="M831" s="2"/>
      <c r="N831" s="2"/>
      <c r="O831" s="4"/>
    </row>
    <row r="832" spans="1:15" ht="15" x14ac:dyDescent="0.25">
      <c r="A832" s="400" t="s">
        <v>1112</v>
      </c>
      <c r="B832" s="400" t="s">
        <v>628</v>
      </c>
      <c r="C832" s="416">
        <v>15</v>
      </c>
      <c r="D832" s="416">
        <v>35</v>
      </c>
      <c r="E832" s="416">
        <v>50</v>
      </c>
      <c r="F832" s="416">
        <v>1161432</v>
      </c>
      <c r="G832" s="416">
        <v>2157123</v>
      </c>
      <c r="H832" s="416">
        <v>3318555</v>
      </c>
      <c r="I832" s="400" t="s">
        <v>69</v>
      </c>
      <c r="J832" s="400" t="s">
        <v>798</v>
      </c>
      <c r="K832" s="401">
        <v>359604</v>
      </c>
      <c r="L832" s="400" t="s">
        <v>768</v>
      </c>
      <c r="M832" s="2"/>
      <c r="N832" s="2"/>
      <c r="O832" s="4"/>
    </row>
    <row r="833" spans="1:15" ht="15" x14ac:dyDescent="0.25">
      <c r="A833" s="400" t="s">
        <v>185</v>
      </c>
      <c r="B833" s="400" t="s">
        <v>943</v>
      </c>
      <c r="C833" s="416">
        <v>191</v>
      </c>
      <c r="D833" s="416">
        <v>166</v>
      </c>
      <c r="E833" s="416">
        <v>357</v>
      </c>
      <c r="F833" s="416">
        <v>8313514</v>
      </c>
      <c r="G833" s="416">
        <v>8191554</v>
      </c>
      <c r="H833" s="416">
        <v>16505068</v>
      </c>
      <c r="I833" s="400" t="s">
        <v>69</v>
      </c>
      <c r="J833" s="400" t="s">
        <v>798</v>
      </c>
      <c r="K833" s="401">
        <v>872440</v>
      </c>
      <c r="L833" s="400" t="s">
        <v>435</v>
      </c>
      <c r="M833" s="2"/>
      <c r="N833" s="2"/>
      <c r="O833" s="4"/>
    </row>
    <row r="834" spans="1:15" ht="15" x14ac:dyDescent="0.25">
      <c r="A834" s="400" t="s">
        <v>185</v>
      </c>
      <c r="B834" s="400" t="s">
        <v>317</v>
      </c>
      <c r="C834" s="416">
        <v>318</v>
      </c>
      <c r="D834" s="416">
        <v>293</v>
      </c>
      <c r="E834" s="416">
        <v>611</v>
      </c>
      <c r="F834" s="416">
        <v>18536695</v>
      </c>
      <c r="G834" s="416">
        <v>19008232</v>
      </c>
      <c r="H834" s="416">
        <v>37544927</v>
      </c>
      <c r="I834" s="400" t="s">
        <v>158</v>
      </c>
      <c r="J834" s="400" t="s">
        <v>798</v>
      </c>
      <c r="K834" s="401">
        <v>613729</v>
      </c>
      <c r="L834" s="400" t="s">
        <v>211</v>
      </c>
      <c r="M834" s="2"/>
      <c r="N834" s="2"/>
      <c r="O834" s="4"/>
    </row>
    <row r="835" spans="1:15" ht="15" x14ac:dyDescent="0.25">
      <c r="A835" s="400" t="s">
        <v>1108</v>
      </c>
      <c r="B835" s="400" t="s">
        <v>283</v>
      </c>
      <c r="C835" s="416">
        <v>202</v>
      </c>
      <c r="D835" s="416">
        <v>157</v>
      </c>
      <c r="E835" s="416">
        <v>359</v>
      </c>
      <c r="F835" s="416">
        <v>5469232</v>
      </c>
      <c r="G835" s="416">
        <v>5730170</v>
      </c>
      <c r="H835" s="416">
        <v>11199402</v>
      </c>
      <c r="I835" s="400" t="s">
        <v>69</v>
      </c>
      <c r="J835" s="400" t="s">
        <v>799</v>
      </c>
      <c r="K835" s="401">
        <v>621631</v>
      </c>
      <c r="L835" s="400" t="s">
        <v>202</v>
      </c>
      <c r="M835" s="2"/>
      <c r="N835" s="2"/>
      <c r="O835" s="4"/>
    </row>
    <row r="836" spans="1:15" ht="15" x14ac:dyDescent="0.25">
      <c r="A836" s="400" t="s">
        <v>1112</v>
      </c>
      <c r="B836" s="400" t="s">
        <v>544</v>
      </c>
      <c r="C836" s="416">
        <v>967</v>
      </c>
      <c r="D836" s="416">
        <v>1033</v>
      </c>
      <c r="E836" s="416">
        <v>2000</v>
      </c>
      <c r="F836" s="416">
        <v>36715136</v>
      </c>
      <c r="G836" s="416">
        <v>48821867</v>
      </c>
      <c r="H836" s="416">
        <v>85537003</v>
      </c>
      <c r="I836" s="400" t="s">
        <v>69</v>
      </c>
      <c r="J836" s="400" t="s">
        <v>798</v>
      </c>
      <c r="K836" s="401">
        <v>563254</v>
      </c>
      <c r="L836" s="400" t="s">
        <v>545</v>
      </c>
      <c r="M836" s="2"/>
      <c r="N836" s="2"/>
      <c r="O836" s="4"/>
    </row>
    <row r="837" spans="1:15" ht="15" x14ac:dyDescent="0.25">
      <c r="A837" s="400" t="s">
        <v>369</v>
      </c>
      <c r="B837" s="400" t="s">
        <v>1069</v>
      </c>
      <c r="C837" s="416">
        <v>7262</v>
      </c>
      <c r="D837" s="416">
        <v>10004</v>
      </c>
      <c r="E837" s="416">
        <v>17266</v>
      </c>
      <c r="F837" s="416">
        <v>252293807</v>
      </c>
      <c r="G837" s="416">
        <v>440429346</v>
      </c>
      <c r="H837" s="416">
        <v>692723153</v>
      </c>
      <c r="I837" s="400" t="s">
        <v>158</v>
      </c>
      <c r="J837" s="400" t="s">
        <v>798</v>
      </c>
      <c r="K837" s="401">
        <v>679837</v>
      </c>
      <c r="L837" s="400" t="s">
        <v>198</v>
      </c>
      <c r="M837" s="2"/>
      <c r="N837" s="2"/>
      <c r="O837" s="4"/>
    </row>
    <row r="838" spans="1:15" ht="15" x14ac:dyDescent="0.25">
      <c r="A838" s="400" t="s">
        <v>1087</v>
      </c>
      <c r="B838" s="400" t="s">
        <v>278</v>
      </c>
      <c r="C838" s="416">
        <v>9657</v>
      </c>
      <c r="D838" s="416">
        <v>8627</v>
      </c>
      <c r="E838" s="416">
        <v>18284</v>
      </c>
      <c r="F838" s="416">
        <v>1140014599</v>
      </c>
      <c r="G838" s="416">
        <v>1216969773</v>
      </c>
      <c r="H838" s="416">
        <v>2356984372</v>
      </c>
      <c r="I838" s="400" t="s">
        <v>158</v>
      </c>
      <c r="J838" s="400" t="s">
        <v>792</v>
      </c>
      <c r="K838" s="401">
        <v>743112</v>
      </c>
      <c r="L838" s="400" t="s">
        <v>177</v>
      </c>
      <c r="M838" s="2"/>
      <c r="N838" s="2"/>
      <c r="O838" s="4"/>
    </row>
    <row r="839" spans="1:15" ht="15" x14ac:dyDescent="0.25">
      <c r="A839" s="400" t="s">
        <v>1106</v>
      </c>
      <c r="B839" s="400" t="s">
        <v>391</v>
      </c>
      <c r="C839" s="416">
        <v>8480</v>
      </c>
      <c r="D839" s="416">
        <v>6832</v>
      </c>
      <c r="E839" s="416">
        <v>15312</v>
      </c>
      <c r="F839" s="416">
        <v>299460230</v>
      </c>
      <c r="G839" s="416">
        <v>285659580</v>
      </c>
      <c r="H839" s="416">
        <v>585119811</v>
      </c>
      <c r="I839" s="400" t="s">
        <v>158</v>
      </c>
      <c r="J839" s="400" t="s">
        <v>795</v>
      </c>
      <c r="K839" s="401">
        <v>599795</v>
      </c>
      <c r="L839" s="400" t="s">
        <v>177</v>
      </c>
      <c r="M839" s="2"/>
      <c r="N839" s="2"/>
      <c r="O839" s="4"/>
    </row>
    <row r="840" spans="1:15" ht="15" customHeight="1" x14ac:dyDescent="0.25">
      <c r="A840" s="400" t="s">
        <v>381</v>
      </c>
      <c r="B840" s="400" t="s">
        <v>380</v>
      </c>
      <c r="C840" s="416">
        <v>3783</v>
      </c>
      <c r="D840" s="416">
        <v>5656</v>
      </c>
      <c r="E840" s="416">
        <v>9439</v>
      </c>
      <c r="F840" s="416">
        <v>100050708</v>
      </c>
      <c r="G840" s="416">
        <v>208729007</v>
      </c>
      <c r="H840" s="416">
        <v>308779715</v>
      </c>
      <c r="I840" s="400" t="s">
        <v>69</v>
      </c>
      <c r="J840" s="400" t="s">
        <v>798</v>
      </c>
      <c r="K840" s="401">
        <v>433862</v>
      </c>
      <c r="L840" s="400" t="s">
        <v>195</v>
      </c>
      <c r="M840" s="2"/>
      <c r="N840" s="2"/>
      <c r="O840" s="4"/>
    </row>
    <row r="841" spans="1:15" ht="15" x14ac:dyDescent="0.25">
      <c r="A841" s="400" t="s">
        <v>1087</v>
      </c>
      <c r="B841" s="400" t="s">
        <v>276</v>
      </c>
      <c r="C841" s="416">
        <v>751</v>
      </c>
      <c r="D841" s="416">
        <v>646</v>
      </c>
      <c r="E841" s="416">
        <v>1397</v>
      </c>
      <c r="F841" s="416">
        <v>61919853</v>
      </c>
      <c r="G841" s="416">
        <v>58376819</v>
      </c>
      <c r="H841" s="416">
        <v>120296673</v>
      </c>
      <c r="I841" s="400" t="s">
        <v>69</v>
      </c>
      <c r="J841" s="400" t="s">
        <v>792</v>
      </c>
      <c r="K841" s="401">
        <v>537696</v>
      </c>
      <c r="L841" s="400" t="s">
        <v>213</v>
      </c>
      <c r="M841" s="2"/>
      <c r="N841" s="2"/>
      <c r="O841" s="4"/>
    </row>
    <row r="842" spans="1:15" ht="15" x14ac:dyDescent="0.25">
      <c r="A842" s="400" t="s">
        <v>1112</v>
      </c>
      <c r="B842" s="400" t="s">
        <v>590</v>
      </c>
      <c r="C842" s="416">
        <v>444</v>
      </c>
      <c r="D842" s="416">
        <v>629</v>
      </c>
      <c r="E842" s="416">
        <v>1073</v>
      </c>
      <c r="F842" s="416">
        <v>24271630</v>
      </c>
      <c r="G842" s="416">
        <v>41983961</v>
      </c>
      <c r="H842" s="416">
        <v>66255591</v>
      </c>
      <c r="I842" s="400" t="s">
        <v>69</v>
      </c>
      <c r="J842" s="400" t="s">
        <v>798</v>
      </c>
      <c r="K842" s="401">
        <v>626945</v>
      </c>
      <c r="L842" s="400" t="s">
        <v>777</v>
      </c>
      <c r="M842" s="2"/>
      <c r="N842" s="2"/>
      <c r="O842" s="4"/>
    </row>
    <row r="843" spans="1:15" ht="15" customHeight="1" x14ac:dyDescent="0.25">
      <c r="A843" s="400" t="s">
        <v>1087</v>
      </c>
      <c r="B843" s="400" t="s">
        <v>1024</v>
      </c>
      <c r="C843" s="416">
        <v>62</v>
      </c>
      <c r="D843" s="416">
        <v>150</v>
      </c>
      <c r="E843" s="416">
        <v>212</v>
      </c>
      <c r="F843" s="416">
        <v>3744482</v>
      </c>
      <c r="G843" s="416">
        <v>12783307</v>
      </c>
      <c r="H843" s="416">
        <v>16527788</v>
      </c>
      <c r="I843" s="400" t="s">
        <v>158</v>
      </c>
      <c r="J843" s="400" t="s">
        <v>792</v>
      </c>
      <c r="K843" s="401">
        <v>216812</v>
      </c>
      <c r="L843" s="400" t="s">
        <v>1035</v>
      </c>
      <c r="M843" s="2"/>
      <c r="N843" s="2"/>
      <c r="O843" s="4"/>
    </row>
    <row r="844" spans="1:15" ht="15" x14ac:dyDescent="0.25">
      <c r="A844" s="400" t="s">
        <v>1114</v>
      </c>
      <c r="B844" s="400" t="s">
        <v>20</v>
      </c>
      <c r="C844" s="416">
        <v>38198</v>
      </c>
      <c r="D844" s="416">
        <v>43405</v>
      </c>
      <c r="E844" s="416">
        <v>81603</v>
      </c>
      <c r="F844" s="416">
        <v>2125273586</v>
      </c>
      <c r="G844" s="416">
        <v>2983297053</v>
      </c>
      <c r="H844" s="416">
        <v>5108570639</v>
      </c>
      <c r="I844" s="400" t="s">
        <v>158</v>
      </c>
      <c r="J844" s="400" t="s">
        <v>798</v>
      </c>
      <c r="K844" s="401">
        <v>313742</v>
      </c>
      <c r="L844" s="400" t="s">
        <v>177</v>
      </c>
      <c r="M844" s="2"/>
      <c r="N844" s="2"/>
      <c r="O844" s="4"/>
    </row>
    <row r="845" spans="1:15" ht="15" x14ac:dyDescent="0.25">
      <c r="A845" s="400" t="s">
        <v>223</v>
      </c>
      <c r="B845" s="400" t="s">
        <v>1003</v>
      </c>
      <c r="C845" s="416">
        <v>1129</v>
      </c>
      <c r="D845" s="416">
        <v>1616</v>
      </c>
      <c r="E845" s="416">
        <v>2745</v>
      </c>
      <c r="F845" s="416">
        <v>59722808</v>
      </c>
      <c r="G845" s="416">
        <v>110321700</v>
      </c>
      <c r="H845" s="416">
        <v>170044508</v>
      </c>
      <c r="I845" s="400" t="s">
        <v>158</v>
      </c>
      <c r="J845" s="400" t="s">
        <v>798</v>
      </c>
      <c r="K845" s="401">
        <v>587337</v>
      </c>
      <c r="L845" s="400" t="s">
        <v>177</v>
      </c>
      <c r="M845" s="2"/>
      <c r="N845" s="2"/>
      <c r="O845" s="4"/>
    </row>
    <row r="846" spans="1:15" ht="15" x14ac:dyDescent="0.25">
      <c r="A846" s="400" t="s">
        <v>1113</v>
      </c>
      <c r="B846" s="400" t="s">
        <v>983</v>
      </c>
      <c r="C846" s="416">
        <v>599</v>
      </c>
      <c r="D846" s="416">
        <v>801</v>
      </c>
      <c r="E846" s="416">
        <v>1400</v>
      </c>
      <c r="F846" s="416">
        <v>24288968</v>
      </c>
      <c r="G846" s="416">
        <v>41570371</v>
      </c>
      <c r="H846" s="416">
        <v>65859340</v>
      </c>
      <c r="I846" s="400" t="s">
        <v>69</v>
      </c>
      <c r="J846" s="400" t="s">
        <v>798</v>
      </c>
      <c r="K846" s="401">
        <v>992099</v>
      </c>
      <c r="L846" s="400" t="s">
        <v>800</v>
      </c>
      <c r="M846" s="2"/>
      <c r="N846" s="2"/>
      <c r="O846" s="4"/>
    </row>
    <row r="847" spans="1:15" ht="15" x14ac:dyDescent="0.25">
      <c r="A847" s="400" t="s">
        <v>259</v>
      </c>
      <c r="B847" s="400" t="s">
        <v>1028</v>
      </c>
      <c r="C847" s="416">
        <v>305</v>
      </c>
      <c r="D847" s="416">
        <v>447</v>
      </c>
      <c r="E847" s="416">
        <v>752</v>
      </c>
      <c r="F847" s="416">
        <v>16155637</v>
      </c>
      <c r="G847" s="416">
        <v>29558603</v>
      </c>
      <c r="H847" s="416">
        <v>45714240</v>
      </c>
      <c r="I847" s="400" t="s">
        <v>69</v>
      </c>
      <c r="J847" s="400" t="s">
        <v>798</v>
      </c>
      <c r="K847" s="401">
        <v>296749</v>
      </c>
      <c r="L847" s="400" t="s">
        <v>1013</v>
      </c>
      <c r="M847" s="2"/>
      <c r="N847" s="2"/>
      <c r="O847" s="4"/>
    </row>
    <row r="848" spans="1:15" ht="15" x14ac:dyDescent="0.25">
      <c r="A848" s="400" t="s">
        <v>1089</v>
      </c>
      <c r="B848" s="400" t="s">
        <v>258</v>
      </c>
      <c r="C848" s="416">
        <v>983</v>
      </c>
      <c r="D848" s="416">
        <v>981</v>
      </c>
      <c r="E848" s="416">
        <v>1964</v>
      </c>
      <c r="F848" s="416">
        <v>31975002</v>
      </c>
      <c r="G848" s="416">
        <v>44281855</v>
      </c>
      <c r="H848" s="416">
        <v>76256856</v>
      </c>
      <c r="I848" s="400" t="s">
        <v>158</v>
      </c>
      <c r="J848" s="400" t="s">
        <v>795</v>
      </c>
      <c r="K848" s="401">
        <v>889204</v>
      </c>
      <c r="L848" s="400" t="s">
        <v>253</v>
      </c>
      <c r="M848" s="2"/>
      <c r="N848" s="2"/>
      <c r="O848" s="4"/>
    </row>
    <row r="849" spans="1:15" ht="15" x14ac:dyDescent="0.25">
      <c r="A849" s="400" t="s">
        <v>1113</v>
      </c>
      <c r="B849" s="400" t="s">
        <v>893</v>
      </c>
      <c r="C849" s="416">
        <v>31529</v>
      </c>
      <c r="D849" s="416">
        <v>38950</v>
      </c>
      <c r="E849" s="416">
        <v>70479</v>
      </c>
      <c r="F849" s="416">
        <v>1314669439</v>
      </c>
      <c r="G849" s="416">
        <v>2116336790</v>
      </c>
      <c r="H849" s="416">
        <v>3431006229</v>
      </c>
      <c r="I849" s="400" t="s">
        <v>158</v>
      </c>
      <c r="J849" s="400" t="s">
        <v>798</v>
      </c>
      <c r="K849" s="401">
        <v>978981</v>
      </c>
      <c r="L849" s="400" t="s">
        <v>175</v>
      </c>
      <c r="M849" s="2"/>
      <c r="N849" s="2"/>
      <c r="O849" s="4"/>
    </row>
    <row r="850" spans="1:15" ht="15" x14ac:dyDescent="0.25">
      <c r="A850" s="400" t="s">
        <v>219</v>
      </c>
      <c r="B850" s="400" t="s">
        <v>247</v>
      </c>
      <c r="C850" s="416">
        <v>29546</v>
      </c>
      <c r="D850" s="416">
        <v>27921</v>
      </c>
      <c r="E850" s="416">
        <v>57467</v>
      </c>
      <c r="F850" s="416">
        <v>1139043317</v>
      </c>
      <c r="G850" s="416">
        <v>1298497640</v>
      </c>
      <c r="H850" s="416">
        <v>2437540957</v>
      </c>
      <c r="I850" s="400" t="s">
        <v>158</v>
      </c>
      <c r="J850" s="400" t="s">
        <v>798</v>
      </c>
      <c r="K850" s="401">
        <v>964171</v>
      </c>
      <c r="L850" s="400" t="s">
        <v>175</v>
      </c>
      <c r="M850" s="2"/>
      <c r="N850" s="2"/>
      <c r="O850" s="4"/>
    </row>
    <row r="851" spans="1:15" ht="15" x14ac:dyDescent="0.25">
      <c r="A851" s="400" t="s">
        <v>1114</v>
      </c>
      <c r="B851" s="400" t="s">
        <v>322</v>
      </c>
      <c r="C851" s="416">
        <v>9825</v>
      </c>
      <c r="D851" s="416">
        <v>10170</v>
      </c>
      <c r="E851" s="416">
        <v>19995</v>
      </c>
      <c r="F851" s="416">
        <v>565455432</v>
      </c>
      <c r="G851" s="416">
        <v>714524950</v>
      </c>
      <c r="H851" s="416">
        <v>1279980382</v>
      </c>
      <c r="I851" s="400" t="s">
        <v>158</v>
      </c>
      <c r="J851" s="400" t="s">
        <v>798</v>
      </c>
      <c r="K851" s="401">
        <v>968420</v>
      </c>
      <c r="L851" s="400" t="s">
        <v>175</v>
      </c>
      <c r="M851" s="2"/>
      <c r="N851" s="2"/>
      <c r="O851" s="4"/>
    </row>
    <row r="852" spans="1:15" ht="15" x14ac:dyDescent="0.25">
      <c r="A852" s="400" t="s">
        <v>1113</v>
      </c>
      <c r="B852" s="400" t="s">
        <v>583</v>
      </c>
      <c r="C852" s="416">
        <v>169</v>
      </c>
      <c r="D852" s="416">
        <v>267</v>
      </c>
      <c r="E852" s="416">
        <v>436</v>
      </c>
      <c r="F852" s="416">
        <v>6305493</v>
      </c>
      <c r="G852" s="416">
        <v>12298511</v>
      </c>
      <c r="H852" s="416">
        <v>18604004</v>
      </c>
      <c r="I852" s="400" t="s">
        <v>69</v>
      </c>
      <c r="J852" s="400" t="s">
        <v>798</v>
      </c>
      <c r="K852" s="401">
        <v>843698</v>
      </c>
      <c r="L852" s="400" t="s">
        <v>777</v>
      </c>
      <c r="M852" s="2"/>
      <c r="N852" s="2"/>
      <c r="O852" s="4"/>
    </row>
    <row r="853" spans="1:15" ht="15" x14ac:dyDescent="0.25">
      <c r="A853" s="400" t="s">
        <v>185</v>
      </c>
      <c r="B853" s="400" t="s">
        <v>875</v>
      </c>
      <c r="C853" s="416">
        <v>1758</v>
      </c>
      <c r="D853" s="416">
        <v>2784</v>
      </c>
      <c r="E853" s="416">
        <v>4542</v>
      </c>
      <c r="F853" s="416">
        <v>83785402</v>
      </c>
      <c r="G853" s="416">
        <v>163528724</v>
      </c>
      <c r="H853" s="416">
        <v>247314125</v>
      </c>
      <c r="I853" s="400" t="s">
        <v>158</v>
      </c>
      <c r="J853" s="400" t="s">
        <v>798</v>
      </c>
      <c r="K853" s="401">
        <v>572107</v>
      </c>
      <c r="L853" s="400" t="s">
        <v>859</v>
      </c>
      <c r="M853" s="2"/>
      <c r="N853" s="2"/>
      <c r="O853" s="4"/>
    </row>
    <row r="854" spans="1:15" ht="15" x14ac:dyDescent="0.25">
      <c r="A854" s="400" t="s">
        <v>305</v>
      </c>
      <c r="B854" s="400" t="s">
        <v>701</v>
      </c>
      <c r="C854" s="416">
        <v>70</v>
      </c>
      <c r="D854" s="416">
        <v>151</v>
      </c>
      <c r="E854" s="416">
        <v>221</v>
      </c>
      <c r="F854" s="416">
        <v>3538262</v>
      </c>
      <c r="G854" s="416">
        <v>9555717</v>
      </c>
      <c r="H854" s="416">
        <v>13093979</v>
      </c>
      <c r="I854" s="400" t="s">
        <v>69</v>
      </c>
      <c r="J854" s="400" t="s">
        <v>798</v>
      </c>
      <c r="K854" s="401">
        <v>127621</v>
      </c>
      <c r="L854" s="400" t="s">
        <v>874</v>
      </c>
      <c r="M854" s="2"/>
      <c r="N854" s="2"/>
      <c r="O854" s="4"/>
    </row>
    <row r="855" spans="1:15" ht="15" x14ac:dyDescent="0.25">
      <c r="A855" s="400" t="s">
        <v>223</v>
      </c>
      <c r="B855" s="400" t="s">
        <v>1131</v>
      </c>
      <c r="C855" s="416">
        <v>8974</v>
      </c>
      <c r="D855" s="416">
        <v>9625</v>
      </c>
      <c r="E855" s="416">
        <v>18599</v>
      </c>
      <c r="F855" s="416">
        <v>584616122</v>
      </c>
      <c r="G855" s="416">
        <v>749596587</v>
      </c>
      <c r="H855" s="416">
        <v>1334212708</v>
      </c>
      <c r="I855" s="400" t="s">
        <v>158</v>
      </c>
      <c r="J855" s="400" t="s">
        <v>798</v>
      </c>
      <c r="K855" s="401">
        <v>220244</v>
      </c>
      <c r="L855" s="400" t="s">
        <v>334</v>
      </c>
      <c r="M855" s="2"/>
      <c r="N855" s="2"/>
      <c r="O855" s="4"/>
    </row>
    <row r="856" spans="1:15" ht="15" x14ac:dyDescent="0.25">
      <c r="A856" s="400" t="s">
        <v>1091</v>
      </c>
      <c r="B856" s="400" t="s">
        <v>520</v>
      </c>
      <c r="C856" s="416">
        <v>2127</v>
      </c>
      <c r="D856" s="416">
        <v>1996</v>
      </c>
      <c r="E856" s="416">
        <v>4123</v>
      </c>
      <c r="F856" s="416">
        <v>332813480</v>
      </c>
      <c r="G856" s="416">
        <v>336748249</v>
      </c>
      <c r="H856" s="416">
        <v>669561729</v>
      </c>
      <c r="I856" s="400" t="s">
        <v>158</v>
      </c>
      <c r="J856" s="400" t="s">
        <v>798</v>
      </c>
      <c r="K856" s="401">
        <v>891804</v>
      </c>
      <c r="L856" s="400" t="s">
        <v>211</v>
      </c>
      <c r="M856" s="2"/>
      <c r="N856" s="2"/>
      <c r="O856" s="4"/>
    </row>
    <row r="857" spans="1:15" ht="15" x14ac:dyDescent="0.25">
      <c r="A857" s="400" t="s">
        <v>328</v>
      </c>
      <c r="B857" s="400" t="s">
        <v>1062</v>
      </c>
      <c r="C857" s="416">
        <v>4908</v>
      </c>
      <c r="D857" s="416">
        <v>5492</v>
      </c>
      <c r="E857" s="416">
        <v>10400</v>
      </c>
      <c r="F857" s="416">
        <v>195858480</v>
      </c>
      <c r="G857" s="416">
        <v>260570259</v>
      </c>
      <c r="H857" s="416">
        <v>456428739</v>
      </c>
      <c r="I857" s="400" t="s">
        <v>158</v>
      </c>
      <c r="J857" s="400" t="s">
        <v>798</v>
      </c>
      <c r="K857" s="401">
        <v>552984</v>
      </c>
      <c r="L857" s="400" t="s">
        <v>624</v>
      </c>
      <c r="M857" s="2"/>
      <c r="N857" s="2"/>
      <c r="O857" s="4"/>
    </row>
    <row r="858" spans="1:15" ht="15" x14ac:dyDescent="0.25">
      <c r="A858" s="400" t="s">
        <v>1112</v>
      </c>
      <c r="B858" s="400" t="s">
        <v>392</v>
      </c>
      <c r="C858" s="416">
        <v>5025</v>
      </c>
      <c r="D858" s="416">
        <v>6277</v>
      </c>
      <c r="E858" s="416">
        <v>11302</v>
      </c>
      <c r="F858" s="416">
        <v>229842293</v>
      </c>
      <c r="G858" s="416">
        <v>351121047</v>
      </c>
      <c r="H858" s="416">
        <v>580963340</v>
      </c>
      <c r="I858" s="400" t="s">
        <v>158</v>
      </c>
      <c r="J858" s="400" t="s">
        <v>798</v>
      </c>
      <c r="K858" s="401">
        <v>456475</v>
      </c>
      <c r="L858" s="400" t="s">
        <v>177</v>
      </c>
      <c r="M858" s="2"/>
      <c r="N858" s="2"/>
      <c r="O858" s="4"/>
    </row>
    <row r="859" spans="1:15" ht="15" x14ac:dyDescent="0.25">
      <c r="A859" s="400" t="s">
        <v>325</v>
      </c>
      <c r="B859" s="400" t="s">
        <v>324</v>
      </c>
      <c r="C859" s="416">
        <v>16464</v>
      </c>
      <c r="D859" s="416">
        <v>16320</v>
      </c>
      <c r="E859" s="416">
        <v>32784</v>
      </c>
      <c r="F859" s="416">
        <v>940775758</v>
      </c>
      <c r="G859" s="416">
        <v>1149065344</v>
      </c>
      <c r="H859" s="416">
        <v>2089841102</v>
      </c>
      <c r="I859" s="400" t="s">
        <v>158</v>
      </c>
      <c r="J859" s="400" t="s">
        <v>798</v>
      </c>
      <c r="K859" s="401">
        <v>860932</v>
      </c>
      <c r="L859" s="400" t="s">
        <v>175</v>
      </c>
      <c r="M859" s="2"/>
      <c r="N859" s="4"/>
      <c r="O859" s="4"/>
    </row>
    <row r="860" spans="1:15" ht="15" x14ac:dyDescent="0.25">
      <c r="A860" s="400" t="s">
        <v>219</v>
      </c>
      <c r="B860" s="400" t="s">
        <v>1041</v>
      </c>
      <c r="C860" s="416">
        <v>539</v>
      </c>
      <c r="D860" s="416">
        <v>744</v>
      </c>
      <c r="E860" s="416">
        <v>1283</v>
      </c>
      <c r="F860" s="416">
        <v>17307479</v>
      </c>
      <c r="G860" s="416">
        <v>28770117</v>
      </c>
      <c r="H860" s="416">
        <v>46077596</v>
      </c>
      <c r="I860" s="400" t="s">
        <v>69</v>
      </c>
      <c r="J860" s="400" t="s">
        <v>798</v>
      </c>
      <c r="K860" s="401">
        <v>322479</v>
      </c>
      <c r="L860" s="400" t="s">
        <v>777</v>
      </c>
      <c r="M860" s="2"/>
      <c r="N860" s="4"/>
      <c r="O860" s="4"/>
    </row>
    <row r="861" spans="1:15" ht="15" x14ac:dyDescent="0.25">
      <c r="A861" s="400" t="s">
        <v>185</v>
      </c>
      <c r="B861" s="400" t="s">
        <v>846</v>
      </c>
      <c r="C861" s="416">
        <v>1679</v>
      </c>
      <c r="D861" s="416">
        <v>2657</v>
      </c>
      <c r="E861" s="416">
        <v>4336</v>
      </c>
      <c r="F861" s="416">
        <v>99688600</v>
      </c>
      <c r="G861" s="416">
        <v>185602824</v>
      </c>
      <c r="H861" s="416">
        <v>285291424</v>
      </c>
      <c r="I861" s="400" t="s">
        <v>158</v>
      </c>
      <c r="J861" s="400" t="s">
        <v>798</v>
      </c>
      <c r="K861" s="401">
        <v>778589</v>
      </c>
      <c r="L861" s="400" t="s">
        <v>781</v>
      </c>
      <c r="M861" s="2"/>
      <c r="N861" s="4"/>
      <c r="O861" s="4"/>
    </row>
    <row r="862" spans="1:15" ht="12.75" customHeight="1" x14ac:dyDescent="0.25">
      <c r="A862" s="400" t="s">
        <v>264</v>
      </c>
      <c r="B862" s="400" t="s">
        <v>933</v>
      </c>
      <c r="C862" s="416">
        <v>3083</v>
      </c>
      <c r="D862" s="416">
        <v>4668</v>
      </c>
      <c r="E862" s="416">
        <v>7751</v>
      </c>
      <c r="F862" s="416">
        <v>211935965</v>
      </c>
      <c r="G862" s="416">
        <v>356743380</v>
      </c>
      <c r="H862" s="416">
        <v>568679345</v>
      </c>
      <c r="I862" s="400" t="s">
        <v>158</v>
      </c>
      <c r="J862" s="400" t="s">
        <v>798</v>
      </c>
      <c r="K862" s="401">
        <v>416867</v>
      </c>
      <c r="L862" s="400" t="s">
        <v>170</v>
      </c>
      <c r="M862" s="2"/>
      <c r="N862" s="4"/>
      <c r="O862" s="4"/>
    </row>
    <row r="863" spans="1:15" ht="12.75" customHeight="1" x14ac:dyDescent="0.25">
      <c r="A863" s="400" t="s">
        <v>1113</v>
      </c>
      <c r="B863" s="400" t="s">
        <v>341</v>
      </c>
      <c r="C863" s="416">
        <v>2365</v>
      </c>
      <c r="D863" s="416">
        <v>2100</v>
      </c>
      <c r="E863" s="416">
        <v>4465</v>
      </c>
      <c r="F863" s="416">
        <v>100621326</v>
      </c>
      <c r="G863" s="416">
        <v>105468050</v>
      </c>
      <c r="H863" s="416">
        <v>206089375</v>
      </c>
      <c r="I863" s="400" t="s">
        <v>158</v>
      </c>
      <c r="J863" s="400" t="s">
        <v>798</v>
      </c>
      <c r="K863" s="401">
        <v>642298</v>
      </c>
      <c r="L863" s="400" t="s">
        <v>170</v>
      </c>
      <c r="M863" s="2"/>
      <c r="N863" s="4"/>
      <c r="O863" s="4"/>
    </row>
    <row r="864" spans="1:15" ht="12.75" customHeight="1" x14ac:dyDescent="0.25">
      <c r="A864" s="400" t="s">
        <v>223</v>
      </c>
      <c r="B864" s="400" t="s">
        <v>934</v>
      </c>
      <c r="C864" s="416">
        <v>6939</v>
      </c>
      <c r="D864" s="416">
        <v>7175</v>
      </c>
      <c r="E864" s="416">
        <v>14114</v>
      </c>
      <c r="F864" s="416">
        <v>380327336</v>
      </c>
      <c r="G864" s="416">
        <v>455855757</v>
      </c>
      <c r="H864" s="416">
        <v>836183093</v>
      </c>
      <c r="I864" s="400" t="s">
        <v>158</v>
      </c>
      <c r="J864" s="400" t="s">
        <v>798</v>
      </c>
      <c r="K864" s="401">
        <v>904904</v>
      </c>
      <c r="L864" s="400" t="s">
        <v>170</v>
      </c>
      <c r="M864" s="2"/>
      <c r="N864" s="4"/>
      <c r="O864" s="4"/>
    </row>
    <row r="865" spans="1:15" ht="12.75" customHeight="1" x14ac:dyDescent="0.25">
      <c r="A865" s="400"/>
      <c r="B865" s="400"/>
      <c r="C865" s="416"/>
      <c r="D865" s="416"/>
      <c r="E865" s="416"/>
      <c r="F865" s="416"/>
      <c r="G865" s="416"/>
      <c r="H865" s="416"/>
      <c r="I865" s="400"/>
      <c r="J865" s="400"/>
      <c r="K865" s="401"/>
      <c r="L865" s="400"/>
      <c r="M865" s="2"/>
      <c r="N865" s="4"/>
      <c r="O865" s="4"/>
    </row>
    <row r="866" spans="1:15" ht="12.75" customHeight="1" x14ac:dyDescent="0.25">
      <c r="A866" s="400"/>
      <c r="B866" s="400"/>
      <c r="C866" s="416"/>
      <c r="D866" s="416"/>
      <c r="E866" s="416"/>
      <c r="F866" s="416"/>
      <c r="G866" s="416"/>
      <c r="H866" s="416"/>
      <c r="I866" s="400"/>
      <c r="J866" s="400"/>
      <c r="K866" s="401"/>
      <c r="L866" s="400"/>
      <c r="M866" s="2"/>
      <c r="N866" s="4"/>
      <c r="O866" s="4"/>
    </row>
    <row r="867" spans="1:15" ht="12.75" customHeight="1" x14ac:dyDescent="0.25">
      <c r="A867" s="400"/>
      <c r="B867" s="400"/>
      <c r="C867" s="416"/>
      <c r="D867" s="416"/>
      <c r="E867" s="416"/>
      <c r="F867" s="416"/>
      <c r="G867" s="416"/>
      <c r="H867" s="416"/>
      <c r="I867" s="400"/>
      <c r="J867" s="400"/>
      <c r="K867" s="401"/>
      <c r="L867" s="400"/>
      <c r="M867" s="2"/>
      <c r="N867" s="4"/>
      <c r="O867" s="4"/>
    </row>
    <row r="868" spans="1:15" ht="12.75" customHeight="1" x14ac:dyDescent="0.25">
      <c r="A868" s="400"/>
      <c r="B868" s="400"/>
      <c r="C868" s="416"/>
      <c r="D868" s="416"/>
      <c r="E868" s="416"/>
      <c r="F868" s="416"/>
      <c r="G868" s="416"/>
      <c r="H868" s="416"/>
      <c r="I868" s="400"/>
      <c r="J868" s="400"/>
      <c r="K868" s="401"/>
      <c r="L868" s="400"/>
      <c r="M868" s="2"/>
      <c r="N868" s="4"/>
      <c r="O868" s="4"/>
    </row>
    <row r="869" spans="1:15" ht="12.75" customHeight="1" x14ac:dyDescent="0.25">
      <c r="A869" s="319"/>
      <c r="B869" s="319"/>
      <c r="C869" s="416"/>
      <c r="D869" s="416"/>
      <c r="E869" s="416"/>
      <c r="F869" s="416"/>
      <c r="G869" s="416"/>
      <c r="H869" s="416"/>
      <c r="I869" s="319"/>
      <c r="J869" s="319"/>
      <c r="K869" s="309"/>
      <c r="L869" s="319"/>
      <c r="M869" s="4"/>
      <c r="N869" s="4"/>
      <c r="O869" s="4"/>
    </row>
    <row r="870" spans="1:15" ht="12.75" customHeight="1" x14ac:dyDescent="0.25">
      <c r="A870" s="319"/>
      <c r="B870" s="319"/>
      <c r="C870" s="416"/>
      <c r="D870" s="416"/>
      <c r="E870" s="416"/>
      <c r="F870" s="416"/>
      <c r="G870" s="416"/>
      <c r="H870" s="416"/>
      <c r="I870" s="319"/>
      <c r="J870" s="319"/>
      <c r="K870" s="309"/>
      <c r="L870" s="319"/>
      <c r="M870" s="4"/>
      <c r="N870" s="4"/>
      <c r="O870" s="4"/>
    </row>
    <row r="871" spans="1:15" ht="12.75" customHeight="1" x14ac:dyDescent="0.25">
      <c r="A871" s="334"/>
      <c r="B871" s="334"/>
      <c r="C871" s="416"/>
      <c r="D871" s="416"/>
      <c r="E871" s="416"/>
      <c r="F871" s="416"/>
      <c r="G871" s="416"/>
      <c r="H871" s="416"/>
      <c r="I871" s="334"/>
      <c r="J871" s="334"/>
      <c r="K871" s="323"/>
      <c r="L871" s="334"/>
      <c r="M871" s="4"/>
      <c r="N871" s="4"/>
      <c r="O871" s="4"/>
    </row>
    <row r="872" spans="1:15" ht="12.75" customHeight="1" x14ac:dyDescent="0.25">
      <c r="A872" s="319"/>
      <c r="B872" s="319"/>
      <c r="C872" s="416"/>
      <c r="D872" s="416"/>
      <c r="E872" s="416"/>
      <c r="F872" s="416"/>
      <c r="G872" s="416"/>
      <c r="H872" s="416"/>
      <c r="I872" s="319"/>
      <c r="J872" s="319"/>
      <c r="K872" s="309"/>
      <c r="L872" s="319"/>
      <c r="M872" s="4"/>
      <c r="N872" s="4"/>
      <c r="O872" s="4"/>
    </row>
    <row r="873" spans="1:15" ht="12.75" customHeight="1" x14ac:dyDescent="0.25">
      <c r="A873" s="400"/>
      <c r="B873" s="400"/>
      <c r="C873" s="416"/>
      <c r="D873" s="416"/>
      <c r="E873" s="416"/>
      <c r="F873" s="416"/>
      <c r="G873" s="416"/>
      <c r="H873" s="416"/>
      <c r="I873" s="400"/>
      <c r="J873" s="400"/>
      <c r="K873" s="401"/>
      <c r="L873" s="400"/>
      <c r="M873" s="2"/>
      <c r="N873" s="4"/>
      <c r="O873" s="4"/>
    </row>
    <row r="874" spans="1:15" ht="12.75" customHeight="1" x14ac:dyDescent="0.25">
      <c r="A874" s="400"/>
      <c r="B874" s="400"/>
      <c r="C874" s="416"/>
      <c r="D874" s="416"/>
      <c r="E874" s="416"/>
      <c r="F874" s="416"/>
      <c r="G874" s="416"/>
      <c r="H874" s="416"/>
      <c r="I874" s="400"/>
      <c r="J874" s="400"/>
      <c r="K874" s="401"/>
      <c r="L874" s="400"/>
      <c r="M874" s="2"/>
      <c r="N874" s="4"/>
      <c r="O874" s="4"/>
    </row>
    <row r="875" spans="1:15" ht="12.75" customHeight="1" x14ac:dyDescent="0.25">
      <c r="A875" s="400"/>
      <c r="B875" s="400"/>
      <c r="C875" s="416"/>
      <c r="D875" s="416"/>
      <c r="E875" s="416"/>
      <c r="F875" s="416"/>
      <c r="G875" s="416"/>
      <c r="H875" s="416"/>
      <c r="I875" s="400"/>
      <c r="J875" s="400"/>
      <c r="K875" s="401"/>
      <c r="L875" s="400"/>
      <c r="M875" s="2"/>
      <c r="N875" s="4"/>
      <c r="O875" s="4"/>
    </row>
    <row r="876" spans="1:15" x14ac:dyDescent="0.2">
      <c r="A876" s="319"/>
      <c r="B876" s="319"/>
      <c r="C876" s="372"/>
      <c r="D876" s="372"/>
      <c r="E876" s="372"/>
      <c r="F876" s="371"/>
      <c r="G876" s="371"/>
      <c r="H876" s="371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1"/>
      <c r="D877" s="371"/>
      <c r="E877" s="371"/>
      <c r="F877" s="371"/>
      <c r="G877" s="371"/>
      <c r="H877" s="371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2"/>
      <c r="D878" s="372"/>
      <c r="E878" s="372"/>
      <c r="F878" s="371"/>
      <c r="G878" s="371"/>
      <c r="H878" s="371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2"/>
      <c r="D879" s="372"/>
      <c r="E879" s="372"/>
      <c r="F879" s="372"/>
      <c r="G879" s="372"/>
      <c r="H879" s="372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2"/>
      <c r="D880" s="372"/>
      <c r="E880" s="372"/>
      <c r="F880" s="372"/>
      <c r="G880" s="372"/>
      <c r="H880" s="372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2"/>
      <c r="D881" s="372"/>
      <c r="E881" s="372"/>
      <c r="F881" s="372"/>
      <c r="G881" s="372"/>
      <c r="H881" s="372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2"/>
      <c r="D882" s="372"/>
      <c r="E882" s="372"/>
      <c r="F882" s="372"/>
      <c r="G882" s="372"/>
      <c r="H882" s="372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2"/>
      <c r="D883" s="372"/>
      <c r="E883" s="372"/>
      <c r="F883" s="372"/>
      <c r="G883" s="372"/>
      <c r="H883" s="372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2"/>
      <c r="D884" s="372"/>
      <c r="E884" s="372"/>
      <c r="F884" s="372"/>
      <c r="G884" s="372"/>
      <c r="H884" s="372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2"/>
      <c r="D885" s="372"/>
      <c r="E885" s="372"/>
      <c r="F885" s="372"/>
      <c r="G885" s="372"/>
      <c r="H885" s="372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2"/>
      <c r="D886" s="372"/>
      <c r="E886" s="372"/>
      <c r="F886" s="372"/>
      <c r="G886" s="372"/>
      <c r="H886" s="372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2"/>
      <c r="D887" s="372"/>
      <c r="E887" s="372"/>
      <c r="F887" s="372"/>
      <c r="G887" s="372"/>
      <c r="H887" s="372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2"/>
      <c r="D888" s="372"/>
      <c r="E888" s="372"/>
      <c r="F888" s="372"/>
      <c r="G888" s="372"/>
      <c r="H888" s="372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2"/>
      <c r="D889" s="372"/>
      <c r="E889" s="372"/>
      <c r="F889" s="372"/>
      <c r="G889" s="372"/>
      <c r="H889" s="372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2"/>
      <c r="D890" s="372"/>
      <c r="E890" s="372"/>
      <c r="F890" s="372"/>
      <c r="G890" s="372"/>
      <c r="H890" s="372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2"/>
      <c r="D891" s="372"/>
      <c r="E891" s="372"/>
      <c r="F891" s="372"/>
      <c r="G891" s="372"/>
      <c r="H891" s="372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2"/>
      <c r="D892" s="372"/>
      <c r="E892" s="372"/>
      <c r="F892" s="372"/>
      <c r="G892" s="372"/>
      <c r="H892" s="372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2"/>
      <c r="D893" s="372"/>
      <c r="E893" s="372"/>
      <c r="F893" s="372"/>
      <c r="G893" s="372"/>
      <c r="H893" s="372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2"/>
      <c r="D894" s="372"/>
      <c r="E894" s="372"/>
      <c r="F894" s="372"/>
      <c r="G894" s="372"/>
      <c r="H894" s="372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2"/>
      <c r="D895" s="372"/>
      <c r="E895" s="372"/>
      <c r="F895" s="372"/>
      <c r="G895" s="372"/>
      <c r="H895" s="372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2"/>
      <c r="D896" s="372"/>
      <c r="E896" s="372"/>
      <c r="F896" s="372"/>
      <c r="G896" s="372"/>
      <c r="H896" s="372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2"/>
      <c r="D897" s="372"/>
      <c r="E897" s="372"/>
      <c r="F897" s="372"/>
      <c r="G897" s="372"/>
      <c r="H897" s="372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2"/>
      <c r="D898" s="372"/>
      <c r="E898" s="372"/>
      <c r="F898" s="372"/>
      <c r="G898" s="372"/>
      <c r="H898" s="372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3"/>
      <c r="D899" s="373"/>
      <c r="E899" s="373"/>
      <c r="F899" s="373"/>
      <c r="G899" s="373"/>
      <c r="H899" s="373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4"/>
      <c r="D900" s="374"/>
      <c r="E900" s="375"/>
      <c r="F900" s="374"/>
      <c r="G900" s="374"/>
      <c r="H900" s="374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4"/>
      <c r="D901" s="374"/>
      <c r="E901" s="375"/>
      <c r="F901" s="374"/>
      <c r="G901" s="374"/>
      <c r="H901" s="374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4"/>
      <c r="D902" s="374"/>
      <c r="E902" s="375"/>
      <c r="F902" s="374"/>
      <c r="G902" s="374"/>
      <c r="H902" s="374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4"/>
      <c r="D903" s="374"/>
      <c r="E903" s="375"/>
      <c r="F903" s="374"/>
      <c r="G903" s="374"/>
      <c r="H903" s="374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4"/>
      <c r="D904" s="374"/>
      <c r="E904" s="375"/>
      <c r="F904" s="374"/>
      <c r="G904" s="374"/>
      <c r="H904" s="374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4"/>
      <c r="D905" s="374"/>
      <c r="E905" s="375"/>
      <c r="F905" s="374"/>
      <c r="G905" s="374"/>
      <c r="H905" s="374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4"/>
      <c r="D906" s="374"/>
      <c r="E906" s="375"/>
      <c r="F906" s="374"/>
      <c r="G906" s="374"/>
      <c r="H906" s="374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4"/>
      <c r="D907" s="374"/>
      <c r="E907" s="375"/>
      <c r="F907" s="374"/>
      <c r="G907" s="374"/>
      <c r="H907" s="374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4"/>
      <c r="D908" s="374"/>
      <c r="E908" s="375"/>
      <c r="F908" s="374"/>
      <c r="G908" s="374"/>
      <c r="H908" s="374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4"/>
      <c r="D909" s="374"/>
      <c r="E909" s="375"/>
      <c r="F909" s="374"/>
      <c r="G909" s="374"/>
      <c r="H909" s="374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4"/>
      <c r="D910" s="374"/>
      <c r="E910" s="375"/>
      <c r="F910" s="374"/>
      <c r="G910" s="374"/>
      <c r="H910" s="374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4"/>
      <c r="D911" s="374"/>
      <c r="E911" s="375"/>
      <c r="F911" s="374"/>
      <c r="G911" s="374"/>
      <c r="H911" s="374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4"/>
      <c r="D912" s="374"/>
      <c r="E912" s="375"/>
      <c r="F912" s="374"/>
      <c r="G912" s="374"/>
      <c r="H912" s="374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4"/>
      <c r="D913" s="374"/>
      <c r="E913" s="375"/>
      <c r="F913" s="374"/>
      <c r="G913" s="374"/>
      <c r="H913" s="374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4"/>
      <c r="D914" s="374"/>
      <c r="E914" s="375"/>
      <c r="F914" s="374"/>
      <c r="G914" s="374"/>
      <c r="H914" s="374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4"/>
      <c r="D915" s="374"/>
      <c r="E915" s="375"/>
      <c r="F915" s="374"/>
      <c r="G915" s="374"/>
      <c r="H915" s="374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4"/>
      <c r="D916" s="374"/>
      <c r="E916" s="375"/>
      <c r="F916" s="374"/>
      <c r="G916" s="374"/>
      <c r="H916" s="374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4"/>
      <c r="D917" s="374"/>
      <c r="E917" s="375"/>
      <c r="F917" s="374"/>
      <c r="G917" s="374"/>
      <c r="H917" s="374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4"/>
      <c r="D918" s="374"/>
      <c r="E918" s="375"/>
      <c r="F918" s="374"/>
      <c r="G918" s="374"/>
      <c r="H918" s="374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4"/>
      <c r="D919" s="374"/>
      <c r="E919" s="375"/>
      <c r="F919" s="374"/>
      <c r="G919" s="374"/>
      <c r="H919" s="374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4"/>
      <c r="D920" s="374"/>
      <c r="E920" s="375"/>
      <c r="F920" s="374"/>
      <c r="G920" s="374"/>
      <c r="H920" s="374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4"/>
      <c r="D921" s="374"/>
      <c r="E921" s="375"/>
      <c r="F921" s="374"/>
      <c r="G921" s="374"/>
      <c r="H921" s="374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4"/>
      <c r="D922" s="374"/>
      <c r="E922" s="375"/>
      <c r="F922" s="374"/>
      <c r="G922" s="374"/>
      <c r="H922" s="374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4"/>
      <c r="D923" s="374"/>
      <c r="E923" s="375"/>
      <c r="F923" s="374"/>
      <c r="G923" s="374"/>
      <c r="H923" s="374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4"/>
      <c r="D924" s="374"/>
      <c r="E924" s="375"/>
      <c r="F924" s="374"/>
      <c r="G924" s="374"/>
      <c r="H924" s="374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4"/>
      <c r="D925" s="374"/>
      <c r="E925" s="375"/>
      <c r="F925" s="374"/>
      <c r="G925" s="374"/>
      <c r="H925" s="374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4"/>
      <c r="D926" s="374"/>
      <c r="E926" s="375"/>
      <c r="F926" s="374"/>
      <c r="G926" s="374"/>
      <c r="H926" s="374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4"/>
      <c r="D927" s="374"/>
      <c r="E927" s="375"/>
      <c r="F927" s="374"/>
      <c r="G927" s="374"/>
      <c r="H927" s="374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4"/>
      <c r="D928" s="374"/>
      <c r="E928" s="375"/>
      <c r="F928" s="374"/>
      <c r="G928" s="374"/>
      <c r="H928" s="374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4"/>
      <c r="D929" s="374"/>
      <c r="E929" s="375"/>
      <c r="F929" s="374"/>
      <c r="G929" s="374"/>
      <c r="H929" s="374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4"/>
      <c r="D930" s="374"/>
      <c r="E930" s="375"/>
      <c r="F930" s="374"/>
      <c r="G930" s="374"/>
      <c r="H930" s="374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4"/>
      <c r="D931" s="374"/>
      <c r="E931" s="375"/>
      <c r="F931" s="374"/>
      <c r="G931" s="374"/>
      <c r="H931" s="374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4"/>
      <c r="D932" s="374"/>
      <c r="E932" s="375"/>
      <c r="F932" s="374"/>
      <c r="G932" s="374"/>
      <c r="H932" s="374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4"/>
      <c r="D933" s="374"/>
      <c r="E933" s="375"/>
      <c r="F933" s="374"/>
      <c r="G933" s="374"/>
      <c r="H933" s="374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4"/>
      <c r="D934" s="374"/>
      <c r="E934" s="375"/>
      <c r="F934" s="374"/>
      <c r="G934" s="374"/>
      <c r="H934" s="374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4"/>
      <c r="D935" s="374"/>
      <c r="E935" s="375"/>
      <c r="F935" s="374"/>
      <c r="G935" s="374"/>
      <c r="H935" s="374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4"/>
      <c r="D936" s="374"/>
      <c r="E936" s="375"/>
      <c r="F936" s="374"/>
      <c r="G936" s="374"/>
      <c r="H936" s="374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4"/>
      <c r="D937" s="374"/>
      <c r="E937" s="375"/>
      <c r="F937" s="374"/>
      <c r="G937" s="374"/>
      <c r="H937" s="374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4"/>
      <c r="D938" s="374"/>
      <c r="E938" s="375"/>
      <c r="F938" s="374"/>
      <c r="G938" s="374"/>
      <c r="H938" s="374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4"/>
      <c r="D939" s="374"/>
      <c r="E939" s="375"/>
      <c r="F939" s="374"/>
      <c r="G939" s="374"/>
      <c r="H939" s="374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4"/>
      <c r="D940" s="374"/>
      <c r="E940" s="375"/>
      <c r="F940" s="374"/>
      <c r="G940" s="374"/>
      <c r="H940" s="374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4"/>
      <c r="D941" s="374"/>
      <c r="E941" s="375"/>
      <c r="F941" s="374"/>
      <c r="G941" s="374"/>
      <c r="H941" s="374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4"/>
      <c r="D942" s="374"/>
      <c r="E942" s="375"/>
      <c r="F942" s="374"/>
      <c r="G942" s="374"/>
      <c r="H942" s="374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4"/>
      <c r="D943" s="374"/>
      <c r="E943" s="375"/>
      <c r="F943" s="374"/>
      <c r="G943" s="374"/>
      <c r="H943" s="374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4"/>
      <c r="D944" s="374"/>
      <c r="E944" s="375"/>
      <c r="F944" s="374"/>
      <c r="G944" s="374"/>
      <c r="H944" s="374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4"/>
      <c r="D945" s="374"/>
      <c r="E945" s="375"/>
      <c r="F945" s="374"/>
      <c r="G945" s="374"/>
      <c r="H945" s="374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4"/>
      <c r="D946" s="374"/>
      <c r="E946" s="375"/>
      <c r="F946" s="374"/>
      <c r="G946" s="374"/>
      <c r="H946" s="374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4"/>
      <c r="D947" s="374"/>
      <c r="E947" s="375"/>
      <c r="F947" s="374"/>
      <c r="G947" s="374"/>
      <c r="H947" s="374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4"/>
      <c r="D948" s="374"/>
      <c r="E948" s="375"/>
      <c r="F948" s="374"/>
      <c r="G948" s="374"/>
      <c r="H948" s="374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4"/>
      <c r="D949" s="374"/>
      <c r="E949" s="375"/>
      <c r="F949" s="374"/>
      <c r="G949" s="374"/>
      <c r="H949" s="374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4"/>
      <c r="D950" s="374"/>
      <c r="E950" s="375"/>
      <c r="F950" s="374"/>
      <c r="G950" s="374"/>
      <c r="H950" s="374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4"/>
      <c r="D951" s="374"/>
      <c r="E951" s="375"/>
      <c r="F951" s="374"/>
      <c r="G951" s="374"/>
      <c r="H951" s="374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4"/>
      <c r="D952" s="374"/>
      <c r="E952" s="375"/>
      <c r="F952" s="374"/>
      <c r="G952" s="374"/>
      <c r="H952" s="374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4"/>
      <c r="D953" s="374"/>
      <c r="E953" s="375"/>
      <c r="F953" s="374"/>
      <c r="G953" s="374"/>
      <c r="H953" s="374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4"/>
      <c r="D954" s="374"/>
      <c r="E954" s="375"/>
      <c r="F954" s="374"/>
      <c r="G954" s="374"/>
      <c r="H954" s="374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4"/>
      <c r="D955" s="374"/>
      <c r="E955" s="375"/>
      <c r="F955" s="374"/>
      <c r="G955" s="374"/>
      <c r="H955" s="374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4"/>
      <c r="D956" s="374"/>
      <c r="E956" s="375"/>
      <c r="F956" s="374"/>
      <c r="G956" s="374"/>
      <c r="H956" s="374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4"/>
      <c r="D957" s="374"/>
      <c r="E957" s="375"/>
      <c r="F957" s="374"/>
      <c r="G957" s="374"/>
      <c r="H957" s="374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4"/>
      <c r="D958" s="374"/>
      <c r="E958" s="375"/>
      <c r="F958" s="374"/>
      <c r="G958" s="374"/>
      <c r="H958" s="374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4"/>
      <c r="D959" s="374"/>
      <c r="E959" s="375"/>
      <c r="F959" s="374"/>
      <c r="G959" s="374"/>
      <c r="H959" s="374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4"/>
      <c r="D960" s="374"/>
      <c r="E960" s="375"/>
      <c r="F960" s="374"/>
      <c r="G960" s="374"/>
      <c r="H960" s="374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4"/>
      <c r="D961" s="374"/>
      <c r="E961" s="375"/>
      <c r="F961" s="374"/>
      <c r="G961" s="374"/>
      <c r="H961" s="374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4"/>
      <c r="D962" s="374"/>
      <c r="E962" s="375"/>
      <c r="F962" s="374"/>
      <c r="G962" s="374"/>
      <c r="H962" s="374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4"/>
      <c r="D963" s="374"/>
      <c r="E963" s="375"/>
      <c r="F963" s="374"/>
      <c r="G963" s="374"/>
      <c r="H963" s="374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4"/>
      <c r="D964" s="374"/>
      <c r="E964" s="375"/>
      <c r="F964" s="374"/>
      <c r="G964" s="374"/>
      <c r="H964" s="374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4"/>
      <c r="D965" s="374"/>
      <c r="E965" s="375"/>
      <c r="F965" s="374"/>
      <c r="G965" s="374"/>
      <c r="H965" s="374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4"/>
      <c r="D966" s="374"/>
      <c r="E966" s="375"/>
      <c r="F966" s="374"/>
      <c r="G966" s="374"/>
      <c r="H966" s="374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4"/>
      <c r="D967" s="374"/>
      <c r="E967" s="375"/>
      <c r="F967" s="374"/>
      <c r="G967" s="374"/>
      <c r="H967" s="374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4"/>
      <c r="D968" s="374"/>
      <c r="E968" s="375"/>
      <c r="F968" s="374"/>
      <c r="G968" s="374"/>
      <c r="H968" s="374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4"/>
      <c r="D969" s="374"/>
      <c r="E969" s="375"/>
      <c r="F969" s="374"/>
      <c r="G969" s="374"/>
      <c r="H969" s="374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4"/>
      <c r="D970" s="374"/>
      <c r="E970" s="375"/>
      <c r="F970" s="374"/>
      <c r="G970" s="374"/>
      <c r="H970" s="374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4"/>
      <c r="D971" s="374"/>
      <c r="E971" s="375"/>
      <c r="F971" s="374"/>
      <c r="G971" s="374"/>
      <c r="H971" s="374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4"/>
      <c r="D972" s="374"/>
      <c r="E972" s="375"/>
      <c r="F972" s="374"/>
      <c r="G972" s="374"/>
      <c r="H972" s="374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4"/>
      <c r="D973" s="374"/>
      <c r="E973" s="375"/>
      <c r="F973" s="374"/>
      <c r="G973" s="374"/>
      <c r="H973" s="374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4"/>
      <c r="D974" s="374"/>
      <c r="E974" s="375"/>
      <c r="F974" s="374"/>
      <c r="G974" s="374"/>
      <c r="H974" s="374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4"/>
      <c r="D975" s="374"/>
      <c r="E975" s="375"/>
      <c r="F975" s="374"/>
      <c r="G975" s="374"/>
      <c r="H975" s="374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4"/>
      <c r="D976" s="374"/>
      <c r="E976" s="375"/>
      <c r="F976" s="374"/>
      <c r="G976" s="374"/>
      <c r="H976" s="374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4"/>
      <c r="D977" s="374"/>
      <c r="E977" s="375"/>
      <c r="F977" s="374"/>
      <c r="G977" s="374"/>
      <c r="H977" s="374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4"/>
      <c r="D978" s="374"/>
      <c r="E978" s="375"/>
      <c r="F978" s="374"/>
      <c r="G978" s="374"/>
      <c r="H978" s="374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4"/>
      <c r="D979" s="374"/>
      <c r="E979" s="375"/>
      <c r="F979" s="374"/>
      <c r="G979" s="374"/>
      <c r="H979" s="374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4"/>
      <c r="D980" s="374"/>
      <c r="E980" s="375"/>
      <c r="F980" s="374"/>
      <c r="G980" s="374"/>
      <c r="H980" s="374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4"/>
      <c r="D981" s="374"/>
      <c r="E981" s="375"/>
      <c r="F981" s="374"/>
      <c r="G981" s="374"/>
      <c r="H981" s="374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4"/>
      <c r="D982" s="374"/>
      <c r="E982" s="375"/>
      <c r="F982" s="374"/>
      <c r="G982" s="374"/>
      <c r="H982" s="374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4"/>
      <c r="D983" s="374"/>
      <c r="E983" s="375"/>
      <c r="F983" s="374"/>
      <c r="G983" s="374"/>
      <c r="H983" s="374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4"/>
      <c r="D984" s="374"/>
      <c r="E984" s="375"/>
      <c r="F984" s="374"/>
      <c r="G984" s="374"/>
      <c r="H984" s="374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4"/>
      <c r="D985" s="374"/>
      <c r="E985" s="375"/>
      <c r="F985" s="374"/>
      <c r="G985" s="374"/>
      <c r="H985" s="374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4"/>
      <c r="D986" s="374"/>
      <c r="E986" s="375"/>
      <c r="F986" s="374"/>
      <c r="G986" s="374"/>
      <c r="H986" s="374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4"/>
      <c r="D987" s="374"/>
      <c r="E987" s="375"/>
      <c r="F987" s="374"/>
      <c r="G987" s="374"/>
      <c r="H987" s="374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4"/>
      <c r="D988" s="374"/>
      <c r="E988" s="375"/>
      <c r="F988" s="374"/>
      <c r="G988" s="374"/>
      <c r="H988" s="374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4"/>
      <c r="D989" s="374"/>
      <c r="E989" s="375"/>
      <c r="F989" s="374"/>
      <c r="G989" s="374"/>
      <c r="H989" s="374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4"/>
      <c r="D990" s="374"/>
      <c r="E990" s="375"/>
      <c r="F990" s="374"/>
      <c r="G990" s="374"/>
      <c r="H990" s="374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4"/>
      <c r="D991" s="374"/>
      <c r="E991" s="375"/>
      <c r="F991" s="374"/>
      <c r="G991" s="374"/>
      <c r="H991" s="374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4"/>
      <c r="D992" s="374"/>
      <c r="E992" s="375"/>
      <c r="F992" s="374"/>
      <c r="G992" s="374"/>
      <c r="H992" s="374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4"/>
      <c r="D993" s="374"/>
      <c r="E993" s="375"/>
      <c r="F993" s="374"/>
      <c r="G993" s="374"/>
      <c r="H993" s="374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4"/>
      <c r="D994" s="374"/>
      <c r="E994" s="375"/>
      <c r="F994" s="374"/>
      <c r="G994" s="374"/>
      <c r="H994" s="374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4"/>
      <c r="D995" s="374"/>
      <c r="E995" s="375"/>
      <c r="F995" s="374"/>
      <c r="G995" s="374"/>
      <c r="H995" s="374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4"/>
      <c r="D996" s="374"/>
      <c r="E996" s="375"/>
      <c r="F996" s="374"/>
      <c r="G996" s="374"/>
      <c r="H996" s="374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4"/>
      <c r="D997" s="374"/>
      <c r="E997" s="375"/>
      <c r="F997" s="374"/>
      <c r="G997" s="374"/>
      <c r="H997" s="374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4"/>
      <c r="D998" s="374"/>
      <c r="E998" s="375"/>
      <c r="F998" s="374"/>
      <c r="G998" s="374"/>
      <c r="H998" s="374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4"/>
      <c r="D999" s="374"/>
      <c r="E999" s="375"/>
      <c r="F999" s="374"/>
      <c r="G999" s="374"/>
      <c r="H999" s="374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4"/>
      <c r="D1000" s="374"/>
      <c r="E1000" s="375"/>
      <c r="F1000" s="374"/>
      <c r="G1000" s="374"/>
      <c r="H1000" s="374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4"/>
      <c r="D1001" s="374"/>
      <c r="E1001" s="375"/>
      <c r="F1001" s="374"/>
      <c r="G1001" s="374"/>
      <c r="H1001" s="374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4"/>
      <c r="D1002" s="374"/>
      <c r="E1002" s="375"/>
      <c r="F1002" s="374"/>
      <c r="G1002" s="374"/>
      <c r="H1002" s="374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4"/>
      <c r="D1003" s="374"/>
      <c r="E1003" s="375"/>
      <c r="F1003" s="374"/>
      <c r="G1003" s="374"/>
      <c r="H1003" s="374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4"/>
      <c r="D1004" s="374"/>
      <c r="E1004" s="375"/>
      <c r="F1004" s="374"/>
      <c r="G1004" s="374"/>
      <c r="H1004" s="374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4"/>
      <c r="D1005" s="374"/>
      <c r="E1005" s="375"/>
      <c r="F1005" s="374"/>
      <c r="G1005" s="374"/>
      <c r="H1005" s="374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4"/>
      <c r="D1006" s="374"/>
      <c r="E1006" s="375"/>
      <c r="F1006" s="374"/>
      <c r="G1006" s="374"/>
      <c r="H1006" s="374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4"/>
      <c r="D1007" s="374"/>
      <c r="E1007" s="375"/>
      <c r="F1007" s="374"/>
      <c r="G1007" s="374"/>
      <c r="H1007" s="374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4"/>
      <c r="D1008" s="374"/>
      <c r="E1008" s="375"/>
      <c r="F1008" s="374"/>
      <c r="G1008" s="374"/>
      <c r="H1008" s="374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4"/>
      <c r="D1009" s="374"/>
      <c r="E1009" s="375"/>
      <c r="F1009" s="374"/>
      <c r="G1009" s="374"/>
      <c r="H1009" s="374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4"/>
      <c r="D1010" s="374"/>
      <c r="E1010" s="375"/>
      <c r="F1010" s="374"/>
      <c r="G1010" s="374"/>
      <c r="H1010" s="374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4"/>
      <c r="D1011" s="374"/>
      <c r="E1011" s="375"/>
      <c r="F1011" s="374"/>
      <c r="G1011" s="374"/>
      <c r="H1011" s="374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4"/>
      <c r="D1012" s="374"/>
      <c r="E1012" s="375"/>
      <c r="F1012" s="374"/>
      <c r="G1012" s="374"/>
      <c r="H1012" s="374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4"/>
      <c r="D1013" s="374"/>
      <c r="E1013" s="375"/>
      <c r="F1013" s="374"/>
      <c r="G1013" s="374"/>
      <c r="H1013" s="374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4"/>
      <c r="D1014" s="374"/>
      <c r="E1014" s="375"/>
      <c r="F1014" s="374"/>
      <c r="G1014" s="374"/>
      <c r="H1014" s="374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4"/>
      <c r="D1015" s="374"/>
      <c r="E1015" s="375"/>
      <c r="F1015" s="374"/>
      <c r="G1015" s="374"/>
      <c r="H1015" s="374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4"/>
      <c r="D1016" s="374"/>
      <c r="E1016" s="375"/>
      <c r="F1016" s="374"/>
      <c r="G1016" s="374"/>
      <c r="H1016" s="374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4"/>
      <c r="D1017" s="374"/>
      <c r="E1017" s="375"/>
      <c r="F1017" s="374"/>
      <c r="G1017" s="374"/>
      <c r="H1017" s="374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4"/>
      <c r="D1018" s="374"/>
      <c r="E1018" s="375"/>
      <c r="F1018" s="374"/>
      <c r="G1018" s="374"/>
      <c r="H1018" s="374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4"/>
      <c r="D1019" s="374"/>
      <c r="E1019" s="375"/>
      <c r="F1019" s="374"/>
      <c r="G1019" s="374"/>
      <c r="H1019" s="374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4"/>
      <c r="D1020" s="374"/>
      <c r="E1020" s="375"/>
      <c r="F1020" s="374"/>
      <c r="G1020" s="374"/>
      <c r="H1020" s="374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4"/>
      <c r="D1021" s="374"/>
      <c r="E1021" s="375"/>
      <c r="F1021" s="374"/>
      <c r="G1021" s="374"/>
      <c r="H1021" s="374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4"/>
      <c r="D1022" s="374"/>
      <c r="E1022" s="375"/>
      <c r="F1022" s="374"/>
      <c r="G1022" s="374"/>
      <c r="H1022" s="374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4"/>
      <c r="D1023" s="374"/>
      <c r="E1023" s="375"/>
      <c r="F1023" s="374"/>
      <c r="G1023" s="374"/>
      <c r="H1023" s="374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4"/>
      <c r="D1024" s="374"/>
      <c r="E1024" s="375"/>
      <c r="F1024" s="374"/>
      <c r="G1024" s="374"/>
      <c r="H1024" s="374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4"/>
      <c r="D1025" s="374"/>
      <c r="E1025" s="375"/>
      <c r="F1025" s="374"/>
      <c r="G1025" s="374"/>
      <c r="H1025" s="374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4"/>
      <c r="D1026" s="374"/>
      <c r="E1026" s="375"/>
      <c r="F1026" s="374"/>
      <c r="G1026" s="374"/>
      <c r="H1026" s="374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4"/>
      <c r="D1027" s="374"/>
      <c r="E1027" s="375"/>
      <c r="F1027" s="374"/>
      <c r="G1027" s="374"/>
      <c r="H1027" s="374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4"/>
      <c r="D1028" s="374"/>
      <c r="E1028" s="375"/>
      <c r="F1028" s="374"/>
      <c r="G1028" s="374"/>
      <c r="H1028" s="374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4"/>
      <c r="D1029" s="374"/>
      <c r="E1029" s="375"/>
      <c r="F1029" s="374"/>
      <c r="G1029" s="374"/>
      <c r="H1029" s="374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4"/>
      <c r="D1030" s="374"/>
      <c r="E1030" s="375"/>
      <c r="F1030" s="374"/>
      <c r="G1030" s="374"/>
      <c r="H1030" s="374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4"/>
      <c r="D1031" s="374"/>
      <c r="E1031" s="375"/>
      <c r="F1031" s="374"/>
      <c r="G1031" s="374"/>
      <c r="H1031" s="374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4"/>
      <c r="D1032" s="374"/>
      <c r="E1032" s="375"/>
      <c r="F1032" s="374"/>
      <c r="G1032" s="374"/>
      <c r="H1032" s="374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4"/>
      <c r="D1033" s="374"/>
      <c r="E1033" s="375"/>
      <c r="F1033" s="374"/>
      <c r="G1033" s="374"/>
      <c r="H1033" s="374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4"/>
      <c r="D1034" s="374"/>
      <c r="E1034" s="374"/>
      <c r="F1034" s="374"/>
      <c r="G1034" s="374"/>
      <c r="H1034" s="374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4"/>
      <c r="D1035" s="374"/>
      <c r="E1035" s="374"/>
      <c r="F1035" s="374"/>
      <c r="G1035" s="374"/>
      <c r="H1035" s="374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4"/>
      <c r="D1036" s="374"/>
      <c r="E1036" s="374"/>
      <c r="F1036" s="374"/>
      <c r="G1036" s="374"/>
      <c r="H1036" s="374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4"/>
      <c r="D1037" s="374"/>
      <c r="E1037" s="374"/>
      <c r="F1037" s="374"/>
      <c r="G1037" s="374"/>
      <c r="H1037" s="374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4"/>
      <c r="D1038" s="374"/>
      <c r="E1038" s="374"/>
      <c r="F1038" s="374"/>
      <c r="G1038" s="374"/>
      <c r="H1038" s="374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4"/>
      <c r="D1039" s="374"/>
      <c r="E1039" s="374"/>
      <c r="F1039" s="374"/>
      <c r="G1039" s="374"/>
      <c r="H1039" s="374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4"/>
      <c r="D1040" s="374"/>
      <c r="E1040" s="374"/>
      <c r="F1040" s="374"/>
      <c r="G1040" s="374"/>
      <c r="H1040" s="374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4"/>
      <c r="D1041" s="374"/>
      <c r="E1041" s="374"/>
      <c r="F1041" s="374"/>
      <c r="G1041" s="374"/>
      <c r="H1041" s="374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4"/>
      <c r="D1042" s="374"/>
      <c r="E1042" s="374"/>
      <c r="F1042" s="374"/>
      <c r="G1042" s="374"/>
      <c r="H1042" s="374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4"/>
      <c r="D1043" s="374"/>
      <c r="E1043" s="374"/>
      <c r="F1043" s="374"/>
      <c r="G1043" s="374"/>
      <c r="H1043" s="374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4"/>
      <c r="D1044" s="374"/>
      <c r="E1044" s="374"/>
      <c r="F1044" s="374"/>
      <c r="G1044" s="374"/>
      <c r="H1044" s="374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4"/>
      <c r="D1045" s="374"/>
      <c r="E1045" s="374"/>
      <c r="F1045" s="374"/>
      <c r="G1045" s="374"/>
      <c r="H1045" s="374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4"/>
      <c r="D1046" s="374"/>
      <c r="E1046" s="374"/>
      <c r="F1046" s="374"/>
      <c r="G1046" s="374"/>
      <c r="H1046" s="374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4"/>
      <c r="D1047" s="374"/>
      <c r="E1047" s="374"/>
      <c r="F1047" s="374"/>
      <c r="G1047" s="374"/>
      <c r="H1047" s="374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4"/>
      <c r="D1048" s="374"/>
      <c r="E1048" s="374"/>
      <c r="F1048" s="374"/>
      <c r="G1048" s="374"/>
      <c r="H1048" s="374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4"/>
      <c r="D1049" s="374"/>
      <c r="E1049" s="374"/>
      <c r="F1049" s="374"/>
      <c r="G1049" s="374"/>
      <c r="H1049" s="374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4"/>
      <c r="D1050" s="374"/>
      <c r="E1050" s="374"/>
      <c r="F1050" s="374"/>
      <c r="G1050" s="374"/>
      <c r="H1050" s="374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4"/>
      <c r="D1051" s="374"/>
      <c r="E1051" s="374"/>
      <c r="F1051" s="374"/>
      <c r="G1051" s="374"/>
      <c r="H1051" s="374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4"/>
      <c r="D1052" s="374"/>
      <c r="E1052" s="374"/>
      <c r="F1052" s="374"/>
      <c r="G1052" s="374"/>
      <c r="H1052" s="374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4"/>
      <c r="D1053" s="374"/>
      <c r="E1053" s="374"/>
      <c r="F1053" s="374"/>
      <c r="G1053" s="374"/>
      <c r="H1053" s="374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4"/>
      <c r="D1054" s="374"/>
      <c r="E1054" s="374"/>
      <c r="F1054" s="374"/>
      <c r="G1054" s="374"/>
      <c r="H1054" s="374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4"/>
      <c r="D1055" s="374"/>
      <c r="E1055" s="374"/>
      <c r="F1055" s="374"/>
      <c r="G1055" s="374"/>
      <c r="H1055" s="374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4"/>
      <c r="D1056" s="374"/>
      <c r="E1056" s="374"/>
      <c r="F1056" s="374"/>
      <c r="G1056" s="374"/>
      <c r="H1056" s="374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4"/>
      <c r="D1057" s="374"/>
      <c r="E1057" s="374"/>
      <c r="F1057" s="374"/>
      <c r="G1057" s="374"/>
      <c r="H1057" s="374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4"/>
      <c r="D1058" s="374"/>
      <c r="E1058" s="374"/>
      <c r="F1058" s="374"/>
      <c r="G1058" s="374"/>
      <c r="H1058" s="374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4"/>
      <c r="D1059" s="374"/>
      <c r="E1059" s="374"/>
      <c r="F1059" s="374"/>
      <c r="G1059" s="374"/>
      <c r="H1059" s="374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4"/>
      <c r="D1060" s="374"/>
      <c r="E1060" s="374"/>
      <c r="F1060" s="374"/>
      <c r="G1060" s="374"/>
      <c r="H1060" s="374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4"/>
      <c r="D1061" s="374"/>
      <c r="E1061" s="374"/>
      <c r="F1061" s="374"/>
      <c r="G1061" s="374"/>
      <c r="H1061" s="374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4"/>
      <c r="D1062" s="374"/>
      <c r="E1062" s="374"/>
      <c r="F1062" s="374"/>
      <c r="G1062" s="374"/>
      <c r="H1062" s="374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4"/>
      <c r="D1063" s="374"/>
      <c r="E1063" s="374"/>
      <c r="F1063" s="374"/>
      <c r="G1063" s="374"/>
      <c r="H1063" s="374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4"/>
      <c r="D1064" s="374"/>
      <c r="E1064" s="374"/>
      <c r="F1064" s="374"/>
      <c r="G1064" s="374"/>
      <c r="H1064" s="374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4"/>
      <c r="D1065" s="374"/>
      <c r="E1065" s="374"/>
      <c r="F1065" s="374"/>
      <c r="G1065" s="374"/>
      <c r="H1065" s="374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4"/>
      <c r="D1066" s="374"/>
      <c r="E1066" s="374"/>
      <c r="F1066" s="374"/>
      <c r="G1066" s="374"/>
      <c r="H1066" s="374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4"/>
      <c r="D1067" s="374"/>
      <c r="E1067" s="374"/>
      <c r="F1067" s="374"/>
      <c r="G1067" s="374"/>
      <c r="H1067" s="374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4"/>
      <c r="D1068" s="374"/>
      <c r="E1068" s="374"/>
      <c r="F1068" s="374"/>
      <c r="G1068" s="374"/>
      <c r="H1068" s="374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4"/>
      <c r="D1069" s="374"/>
      <c r="E1069" s="374"/>
      <c r="F1069" s="374"/>
      <c r="G1069" s="374"/>
      <c r="H1069" s="374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4"/>
      <c r="D1070" s="374"/>
      <c r="E1070" s="374"/>
      <c r="F1070" s="374"/>
      <c r="G1070" s="374"/>
      <c r="H1070" s="374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4"/>
      <c r="D1071" s="374"/>
      <c r="E1071" s="374"/>
      <c r="F1071" s="374"/>
      <c r="G1071" s="374"/>
      <c r="H1071" s="374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4"/>
      <c r="D1072" s="374"/>
      <c r="E1072" s="374"/>
      <c r="F1072" s="374"/>
      <c r="G1072" s="374"/>
      <c r="H1072" s="374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4"/>
      <c r="D1073" s="374"/>
      <c r="E1073" s="374"/>
      <c r="F1073" s="374"/>
      <c r="G1073" s="374"/>
      <c r="H1073" s="374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4"/>
      <c r="D1074" s="374"/>
      <c r="E1074" s="374"/>
      <c r="F1074" s="374"/>
      <c r="G1074" s="374"/>
      <c r="H1074" s="374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4"/>
      <c r="D1075" s="374"/>
      <c r="E1075" s="374"/>
      <c r="F1075" s="374"/>
      <c r="G1075" s="374"/>
      <c r="H1075" s="374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4"/>
      <c r="D1076" s="374"/>
      <c r="E1076" s="374"/>
      <c r="F1076" s="374"/>
      <c r="G1076" s="374"/>
      <c r="H1076" s="374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4"/>
      <c r="D1077" s="374"/>
      <c r="E1077" s="374"/>
      <c r="F1077" s="374"/>
      <c r="G1077" s="374"/>
      <c r="H1077" s="374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4"/>
      <c r="D1078" s="374"/>
      <c r="E1078" s="374"/>
      <c r="F1078" s="374"/>
      <c r="G1078" s="374"/>
      <c r="H1078" s="374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4"/>
      <c r="D1079" s="374"/>
      <c r="E1079" s="374"/>
      <c r="F1079" s="374"/>
      <c r="G1079" s="374"/>
      <c r="H1079" s="374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4"/>
      <c r="D1080" s="374"/>
      <c r="E1080" s="374"/>
      <c r="F1080" s="374"/>
      <c r="G1080" s="374"/>
      <c r="H1080" s="374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4"/>
      <c r="D1081" s="374"/>
      <c r="E1081" s="374"/>
      <c r="F1081" s="374"/>
      <c r="G1081" s="374"/>
      <c r="H1081" s="374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4"/>
      <c r="D1082" s="374"/>
      <c r="E1082" s="374"/>
      <c r="F1082" s="374"/>
      <c r="G1082" s="374"/>
      <c r="H1082" s="374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4"/>
      <c r="D1083" s="374"/>
      <c r="E1083" s="374"/>
      <c r="F1083" s="374"/>
      <c r="G1083" s="374"/>
      <c r="H1083" s="374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4"/>
      <c r="D1084" s="374"/>
      <c r="E1084" s="374"/>
      <c r="F1084" s="374"/>
      <c r="G1084" s="374"/>
      <c r="H1084" s="374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4"/>
      <c r="D1085" s="374"/>
      <c r="E1085" s="374"/>
      <c r="F1085" s="374"/>
      <c r="G1085" s="374"/>
      <c r="H1085" s="374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4"/>
      <c r="D1086" s="374"/>
      <c r="E1086" s="374"/>
      <c r="F1086" s="374"/>
      <c r="G1086" s="374"/>
      <c r="H1086" s="374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4"/>
      <c r="D1087" s="374"/>
      <c r="E1087" s="374"/>
      <c r="F1087" s="374"/>
      <c r="G1087" s="374"/>
      <c r="H1087" s="374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4"/>
      <c r="D1088" s="374"/>
      <c r="E1088" s="374"/>
      <c r="F1088" s="374"/>
      <c r="G1088" s="374"/>
      <c r="H1088" s="374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4"/>
      <c r="D1089" s="374"/>
      <c r="E1089" s="374"/>
      <c r="F1089" s="374"/>
      <c r="G1089" s="374"/>
      <c r="H1089" s="374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4"/>
      <c r="D1090" s="374"/>
      <c r="E1090" s="374"/>
      <c r="F1090" s="374"/>
      <c r="G1090" s="374"/>
      <c r="H1090" s="374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4"/>
      <c r="D1091" s="374"/>
      <c r="E1091" s="374"/>
      <c r="F1091" s="374"/>
      <c r="G1091" s="374"/>
      <c r="H1091" s="374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4"/>
      <c r="D1092" s="374"/>
      <c r="E1092" s="374"/>
      <c r="F1092" s="374"/>
      <c r="G1092" s="374"/>
      <c r="H1092" s="374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4"/>
      <c r="D1093" s="374"/>
      <c r="E1093" s="374"/>
      <c r="F1093" s="374"/>
      <c r="G1093" s="374"/>
      <c r="H1093" s="374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4"/>
      <c r="D1094" s="374"/>
      <c r="E1094" s="374"/>
      <c r="F1094" s="374"/>
      <c r="G1094" s="374"/>
      <c r="H1094" s="374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4"/>
      <c r="D1095" s="374"/>
      <c r="E1095" s="374"/>
      <c r="F1095" s="374"/>
      <c r="G1095" s="374"/>
      <c r="H1095" s="374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4"/>
      <c r="D1096" s="374"/>
      <c r="E1096" s="374"/>
      <c r="F1096" s="374"/>
      <c r="G1096" s="374"/>
      <c r="H1096" s="374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4"/>
      <c r="D1097" s="374"/>
      <c r="E1097" s="374"/>
      <c r="F1097" s="374"/>
      <c r="G1097" s="374"/>
      <c r="H1097" s="374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4"/>
      <c r="D1098" s="374"/>
      <c r="E1098" s="374"/>
      <c r="F1098" s="374"/>
      <c r="G1098" s="374"/>
      <c r="H1098" s="374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4"/>
      <c r="D1099" s="374"/>
      <c r="E1099" s="374"/>
      <c r="F1099" s="374"/>
      <c r="G1099" s="374"/>
      <c r="H1099" s="374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4"/>
      <c r="D1100" s="374"/>
      <c r="E1100" s="374"/>
      <c r="F1100" s="374"/>
      <c r="G1100" s="374"/>
      <c r="H1100" s="374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4"/>
      <c r="D1101" s="374"/>
      <c r="E1101" s="374"/>
      <c r="F1101" s="374"/>
      <c r="G1101" s="374"/>
      <c r="H1101" s="374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4"/>
      <c r="D1102" s="374"/>
      <c r="E1102" s="374"/>
      <c r="F1102" s="374"/>
      <c r="G1102" s="374"/>
      <c r="H1102" s="374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4"/>
      <c r="D1103" s="374"/>
      <c r="E1103" s="374"/>
      <c r="F1103" s="374"/>
      <c r="G1103" s="374"/>
      <c r="H1103" s="374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4"/>
      <c r="D1104" s="374"/>
      <c r="E1104" s="374"/>
      <c r="F1104" s="374"/>
      <c r="G1104" s="374"/>
      <c r="H1104" s="374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4"/>
      <c r="D1105" s="374"/>
      <c r="E1105" s="374"/>
      <c r="F1105" s="374"/>
      <c r="G1105" s="374"/>
      <c r="H1105" s="374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4"/>
      <c r="D1106" s="374"/>
      <c r="E1106" s="374"/>
      <c r="F1106" s="374"/>
      <c r="G1106" s="374"/>
      <c r="H1106" s="374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4"/>
      <c r="D1107" s="374"/>
      <c r="E1107" s="374"/>
      <c r="F1107" s="374"/>
      <c r="G1107" s="374"/>
      <c r="H1107" s="374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4"/>
      <c r="D1108" s="374"/>
      <c r="E1108" s="374"/>
      <c r="F1108" s="374"/>
      <c r="G1108" s="374"/>
      <c r="H1108" s="374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4"/>
      <c r="D1109" s="374"/>
      <c r="E1109" s="374"/>
      <c r="F1109" s="374"/>
      <c r="G1109" s="374"/>
      <c r="H1109" s="374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4"/>
      <c r="D1110" s="374"/>
      <c r="E1110" s="374"/>
      <c r="F1110" s="374"/>
      <c r="G1110" s="374"/>
      <c r="H1110" s="374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4"/>
      <c r="D1111" s="374"/>
      <c r="E1111" s="374"/>
      <c r="F1111" s="374"/>
      <c r="G1111" s="374"/>
      <c r="H1111" s="374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6"/>
      <c r="D1112" s="374"/>
      <c r="E1112" s="375"/>
      <c r="F1112" s="374"/>
      <c r="G1112" s="374"/>
      <c r="H1112" s="374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6"/>
      <c r="D1113" s="374"/>
      <c r="E1113" s="375"/>
      <c r="F1113" s="374"/>
      <c r="G1113" s="374"/>
      <c r="H1113" s="374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6"/>
      <c r="D1114" s="374"/>
      <c r="E1114" s="375"/>
      <c r="F1114" s="374"/>
      <c r="G1114" s="374"/>
      <c r="H1114" s="374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6"/>
      <c r="D1115" s="374"/>
      <c r="E1115" s="375"/>
      <c r="F1115" s="374"/>
      <c r="G1115" s="374"/>
      <c r="H1115" s="374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6"/>
      <c r="D1116" s="374"/>
      <c r="E1116" s="375"/>
      <c r="F1116" s="374"/>
      <c r="G1116" s="374"/>
      <c r="H1116" s="374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6"/>
      <c r="D1117" s="374"/>
      <c r="E1117" s="375"/>
      <c r="F1117" s="374"/>
      <c r="G1117" s="374"/>
      <c r="H1117" s="374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6"/>
      <c r="D1118" s="374"/>
      <c r="E1118" s="375"/>
      <c r="F1118" s="374"/>
      <c r="G1118" s="374"/>
      <c r="H1118" s="374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6"/>
      <c r="D1119" s="374"/>
      <c r="E1119" s="375"/>
      <c r="F1119" s="374"/>
      <c r="G1119" s="374"/>
      <c r="H1119" s="374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6"/>
      <c r="D1120" s="374"/>
      <c r="E1120" s="375"/>
      <c r="F1120" s="374"/>
      <c r="G1120" s="374"/>
      <c r="H1120" s="374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6"/>
      <c r="D1121" s="374"/>
      <c r="E1121" s="375"/>
      <c r="F1121" s="374"/>
      <c r="G1121" s="374"/>
      <c r="H1121" s="374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6"/>
      <c r="D1122" s="374"/>
      <c r="E1122" s="375"/>
      <c r="F1122" s="374"/>
      <c r="G1122" s="374"/>
      <c r="H1122" s="374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6"/>
      <c r="D1123" s="374"/>
      <c r="E1123" s="375"/>
      <c r="F1123" s="374"/>
      <c r="G1123" s="374"/>
      <c r="H1123" s="374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6"/>
      <c r="D1124" s="374"/>
      <c r="E1124" s="375"/>
      <c r="F1124" s="374"/>
      <c r="G1124" s="374"/>
      <c r="H1124" s="374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6"/>
      <c r="D1125" s="374"/>
      <c r="E1125" s="375"/>
      <c r="F1125" s="374"/>
      <c r="G1125" s="374"/>
      <c r="H1125" s="374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6"/>
      <c r="D1126" s="374"/>
      <c r="E1126" s="375"/>
      <c r="F1126" s="374"/>
      <c r="G1126" s="374"/>
      <c r="H1126" s="374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6"/>
      <c r="D1127" s="374"/>
      <c r="E1127" s="375"/>
      <c r="F1127" s="374"/>
      <c r="G1127" s="374"/>
      <c r="H1127" s="374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6"/>
      <c r="D1128" s="374"/>
      <c r="E1128" s="375"/>
      <c r="F1128" s="374"/>
      <c r="G1128" s="374"/>
      <c r="H1128" s="374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6"/>
      <c r="D1129" s="374"/>
      <c r="E1129" s="375"/>
      <c r="F1129" s="374"/>
      <c r="G1129" s="374"/>
      <c r="H1129" s="374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6"/>
      <c r="D1130" s="374"/>
      <c r="E1130" s="375"/>
      <c r="F1130" s="374"/>
      <c r="G1130" s="374"/>
      <c r="H1130" s="374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6"/>
      <c r="D1131" s="374"/>
      <c r="E1131" s="375"/>
      <c r="F1131" s="374"/>
      <c r="G1131" s="374"/>
      <c r="H1131" s="374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6"/>
      <c r="D1132" s="374"/>
      <c r="E1132" s="375"/>
      <c r="F1132" s="374"/>
      <c r="G1132" s="374"/>
      <c r="H1132" s="374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6"/>
      <c r="D1133" s="374"/>
      <c r="E1133" s="375"/>
      <c r="F1133" s="374"/>
      <c r="G1133" s="374"/>
      <c r="H1133" s="374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6"/>
      <c r="D1134" s="374"/>
      <c r="E1134" s="375"/>
      <c r="F1134" s="374"/>
      <c r="G1134" s="374"/>
      <c r="H1134" s="374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6"/>
      <c r="D1135" s="374"/>
      <c r="E1135" s="375"/>
      <c r="F1135" s="374"/>
      <c r="G1135" s="374"/>
      <c r="H1135" s="374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6"/>
      <c r="D1136" s="374"/>
      <c r="E1136" s="375"/>
      <c r="F1136" s="374"/>
      <c r="G1136" s="374"/>
      <c r="H1136" s="374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6"/>
      <c r="D1137" s="374"/>
      <c r="E1137" s="375"/>
      <c r="F1137" s="374"/>
      <c r="G1137" s="374"/>
      <c r="H1137" s="374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6"/>
      <c r="D1138" s="374"/>
      <c r="E1138" s="375"/>
      <c r="F1138" s="374"/>
      <c r="G1138" s="374"/>
      <c r="H1138" s="374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6"/>
      <c r="D1139" s="374"/>
      <c r="E1139" s="375"/>
      <c r="F1139" s="374"/>
      <c r="G1139" s="374"/>
      <c r="H1139" s="374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6"/>
      <c r="D1140" s="374"/>
      <c r="E1140" s="375"/>
      <c r="F1140" s="374"/>
      <c r="G1140" s="374"/>
      <c r="H1140" s="374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6"/>
      <c r="D1141" s="374"/>
      <c r="E1141" s="375"/>
      <c r="F1141" s="374"/>
      <c r="G1141" s="374"/>
      <c r="H1141" s="374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6"/>
      <c r="D1142" s="374"/>
      <c r="E1142" s="375"/>
      <c r="F1142" s="374"/>
      <c r="G1142" s="374"/>
      <c r="H1142" s="374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6"/>
      <c r="D1143" s="374"/>
      <c r="E1143" s="375"/>
      <c r="F1143" s="374"/>
      <c r="G1143" s="374"/>
      <c r="H1143" s="374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6"/>
      <c r="D1144" s="374"/>
      <c r="E1144" s="375"/>
      <c r="F1144" s="374"/>
      <c r="G1144" s="374"/>
      <c r="H1144" s="374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6"/>
      <c r="D1145" s="374"/>
      <c r="E1145" s="375"/>
      <c r="F1145" s="374"/>
      <c r="G1145" s="374"/>
      <c r="H1145" s="374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6"/>
      <c r="D1146" s="374"/>
      <c r="E1146" s="375"/>
      <c r="F1146" s="374"/>
      <c r="G1146" s="374"/>
      <c r="H1146" s="374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6"/>
      <c r="D1147" s="374"/>
      <c r="E1147" s="375"/>
      <c r="F1147" s="374"/>
      <c r="G1147" s="374"/>
      <c r="H1147" s="374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6"/>
      <c r="D1148" s="374"/>
      <c r="E1148" s="375"/>
      <c r="F1148" s="374"/>
      <c r="G1148" s="374"/>
      <c r="H1148" s="374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6"/>
      <c r="D1149" s="374"/>
      <c r="E1149" s="375"/>
      <c r="F1149" s="374"/>
      <c r="G1149" s="374"/>
      <c r="H1149" s="374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6"/>
      <c r="D1150" s="374"/>
      <c r="E1150" s="375"/>
      <c r="F1150" s="374"/>
      <c r="G1150" s="374"/>
      <c r="H1150" s="374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6"/>
      <c r="D1151" s="374"/>
      <c r="E1151" s="375"/>
      <c r="F1151" s="374"/>
      <c r="G1151" s="374"/>
      <c r="H1151" s="374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6"/>
      <c r="D1152" s="374"/>
      <c r="E1152" s="375"/>
      <c r="F1152" s="374"/>
      <c r="G1152" s="374"/>
      <c r="H1152" s="374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6"/>
      <c r="D1153" s="374"/>
      <c r="E1153" s="375"/>
      <c r="F1153" s="374"/>
      <c r="G1153" s="374"/>
      <c r="H1153" s="374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6"/>
      <c r="D1154" s="374"/>
      <c r="E1154" s="375"/>
      <c r="F1154" s="374"/>
      <c r="G1154" s="374"/>
      <c r="H1154" s="374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6"/>
      <c r="D1155" s="374"/>
      <c r="E1155" s="375"/>
      <c r="F1155" s="374"/>
      <c r="G1155" s="374"/>
      <c r="H1155" s="374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6"/>
      <c r="D1156" s="374"/>
      <c r="E1156" s="375"/>
      <c r="F1156" s="374"/>
      <c r="G1156" s="374"/>
      <c r="H1156" s="374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6"/>
      <c r="D1157" s="374"/>
      <c r="E1157" s="375"/>
      <c r="F1157" s="374"/>
      <c r="G1157" s="374"/>
      <c r="H1157" s="374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6"/>
      <c r="D1158" s="374"/>
      <c r="E1158" s="375"/>
      <c r="F1158" s="374"/>
      <c r="G1158" s="374"/>
      <c r="H1158" s="374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6"/>
      <c r="D1159" s="374"/>
      <c r="E1159" s="375"/>
      <c r="F1159" s="374"/>
      <c r="G1159" s="374"/>
      <c r="H1159" s="374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6"/>
      <c r="D1160" s="374"/>
      <c r="E1160" s="375"/>
      <c r="F1160" s="374"/>
      <c r="G1160" s="374"/>
      <c r="H1160" s="374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6"/>
      <c r="D1161" s="374"/>
      <c r="E1161" s="375"/>
      <c r="F1161" s="374"/>
      <c r="G1161" s="374"/>
      <c r="H1161" s="374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6"/>
      <c r="D1162" s="374"/>
      <c r="E1162" s="375"/>
      <c r="F1162" s="374"/>
      <c r="G1162" s="374"/>
      <c r="H1162" s="374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6"/>
      <c r="D1163" s="374"/>
      <c r="E1163" s="375"/>
      <c r="F1163" s="374"/>
      <c r="G1163" s="374"/>
      <c r="H1163" s="374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6"/>
      <c r="D1164" s="374"/>
      <c r="E1164" s="375"/>
      <c r="F1164" s="374"/>
      <c r="G1164" s="374"/>
      <c r="H1164" s="374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6"/>
      <c r="D1165" s="374"/>
      <c r="E1165" s="375"/>
      <c r="F1165" s="374"/>
      <c r="G1165" s="374"/>
      <c r="H1165" s="374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6"/>
      <c r="D1166" s="374"/>
      <c r="E1166" s="375"/>
      <c r="F1166" s="374"/>
      <c r="G1166" s="374"/>
      <c r="H1166" s="374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6"/>
      <c r="D1167" s="374"/>
      <c r="E1167" s="375"/>
      <c r="F1167" s="374"/>
      <c r="G1167" s="374"/>
      <c r="H1167" s="374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6"/>
      <c r="D1168" s="374"/>
      <c r="E1168" s="375"/>
      <c r="F1168" s="374"/>
      <c r="G1168" s="374"/>
      <c r="H1168" s="374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6"/>
      <c r="D1169" s="374"/>
      <c r="E1169" s="375"/>
      <c r="F1169" s="374"/>
      <c r="G1169" s="374"/>
      <c r="H1169" s="374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6"/>
      <c r="D1170" s="374"/>
      <c r="E1170" s="375"/>
      <c r="F1170" s="374"/>
      <c r="G1170" s="374"/>
      <c r="H1170" s="374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6"/>
      <c r="D1171" s="374"/>
      <c r="E1171" s="375"/>
      <c r="F1171" s="374"/>
      <c r="G1171" s="374"/>
      <c r="H1171" s="374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6"/>
      <c r="D1172" s="374"/>
      <c r="E1172" s="375"/>
      <c r="F1172" s="374"/>
      <c r="G1172" s="374"/>
      <c r="H1172" s="374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6"/>
      <c r="D1173" s="374"/>
      <c r="E1173" s="375"/>
      <c r="F1173" s="374"/>
      <c r="G1173" s="374"/>
      <c r="H1173" s="374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6"/>
      <c r="D1174" s="374"/>
      <c r="E1174" s="375"/>
      <c r="F1174" s="374"/>
      <c r="G1174" s="374"/>
      <c r="H1174" s="374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6"/>
      <c r="D1175" s="374"/>
      <c r="E1175" s="375"/>
      <c r="F1175" s="374"/>
      <c r="G1175" s="374"/>
      <c r="H1175" s="374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6"/>
      <c r="D1176" s="374"/>
      <c r="E1176" s="375"/>
      <c r="F1176" s="374"/>
      <c r="G1176" s="374"/>
      <c r="H1176" s="374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6"/>
      <c r="D1177" s="374"/>
      <c r="E1177" s="375"/>
      <c r="F1177" s="374"/>
      <c r="G1177" s="374"/>
      <c r="H1177" s="374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6"/>
      <c r="D1178" s="374"/>
      <c r="E1178" s="375"/>
      <c r="F1178" s="374"/>
      <c r="G1178" s="374"/>
      <c r="H1178" s="374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6"/>
      <c r="D1179" s="374"/>
      <c r="E1179" s="375"/>
      <c r="F1179" s="374"/>
      <c r="G1179" s="374"/>
      <c r="H1179" s="374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6"/>
      <c r="D1180" s="374"/>
      <c r="E1180" s="375"/>
      <c r="F1180" s="374"/>
      <c r="G1180" s="374"/>
      <c r="H1180" s="374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6"/>
      <c r="D1181" s="374"/>
      <c r="E1181" s="375"/>
      <c r="F1181" s="374"/>
      <c r="G1181" s="374"/>
      <c r="H1181" s="374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6"/>
      <c r="D1182" s="374"/>
      <c r="E1182" s="375"/>
      <c r="F1182" s="374"/>
      <c r="G1182" s="374"/>
      <c r="H1182" s="374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6"/>
      <c r="D1183" s="374"/>
      <c r="E1183" s="375"/>
      <c r="F1183" s="374"/>
      <c r="G1183" s="374"/>
      <c r="H1183" s="374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6"/>
      <c r="D1184" s="374"/>
      <c r="E1184" s="375"/>
      <c r="F1184" s="374"/>
      <c r="G1184" s="374"/>
      <c r="H1184" s="374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6"/>
      <c r="D1185" s="374"/>
      <c r="E1185" s="375"/>
      <c r="F1185" s="374"/>
      <c r="G1185" s="374"/>
      <c r="H1185" s="374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6"/>
      <c r="D1186" s="374"/>
      <c r="E1186" s="375"/>
      <c r="F1186" s="374"/>
      <c r="G1186" s="374"/>
      <c r="H1186" s="374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6"/>
      <c r="D1187" s="374"/>
      <c r="E1187" s="375"/>
      <c r="F1187" s="374"/>
      <c r="G1187" s="374"/>
      <c r="H1187" s="374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6"/>
      <c r="D1188" s="374"/>
      <c r="E1188" s="375"/>
      <c r="F1188" s="374"/>
      <c r="G1188" s="374"/>
      <c r="H1188" s="374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6"/>
      <c r="D1189" s="374"/>
      <c r="E1189" s="375"/>
      <c r="F1189" s="374"/>
      <c r="G1189" s="374"/>
      <c r="H1189" s="374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6"/>
      <c r="D1190" s="374"/>
      <c r="E1190" s="375"/>
      <c r="F1190" s="374"/>
      <c r="G1190" s="374"/>
      <c r="H1190" s="374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6"/>
      <c r="D1191" s="374"/>
      <c r="E1191" s="375"/>
      <c r="F1191" s="374"/>
      <c r="G1191" s="374"/>
      <c r="H1191" s="374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6"/>
      <c r="D1192" s="374"/>
      <c r="E1192" s="375"/>
      <c r="F1192" s="374"/>
      <c r="G1192" s="374"/>
      <c r="H1192" s="374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6"/>
      <c r="D1193" s="374"/>
      <c r="E1193" s="375"/>
      <c r="F1193" s="374"/>
      <c r="G1193" s="374"/>
      <c r="H1193" s="374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6"/>
      <c r="D1194" s="374"/>
      <c r="E1194" s="375"/>
      <c r="F1194" s="374"/>
      <c r="G1194" s="374"/>
      <c r="H1194" s="374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6"/>
      <c r="D1195" s="374"/>
      <c r="E1195" s="375"/>
      <c r="F1195" s="374"/>
      <c r="G1195" s="374"/>
      <c r="H1195" s="374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6"/>
      <c r="D1196" s="374"/>
      <c r="E1196" s="375"/>
      <c r="F1196" s="374"/>
      <c r="G1196" s="374"/>
      <c r="H1196" s="374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6"/>
      <c r="D1197" s="374"/>
      <c r="E1197" s="375"/>
      <c r="F1197" s="374"/>
      <c r="G1197" s="374"/>
      <c r="H1197" s="374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6"/>
      <c r="D1198" s="374"/>
      <c r="E1198" s="375"/>
      <c r="F1198" s="374"/>
      <c r="G1198" s="374"/>
      <c r="H1198" s="374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6"/>
      <c r="D1199" s="374"/>
      <c r="E1199" s="375"/>
      <c r="F1199" s="374"/>
      <c r="G1199" s="374"/>
      <c r="H1199" s="374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6"/>
      <c r="D1200" s="374"/>
      <c r="E1200" s="375"/>
      <c r="F1200" s="374"/>
      <c r="G1200" s="374"/>
      <c r="H1200" s="374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6"/>
      <c r="D1201" s="374"/>
      <c r="E1201" s="375"/>
      <c r="F1201" s="374"/>
      <c r="G1201" s="374"/>
      <c r="H1201" s="374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6"/>
      <c r="D1202" s="374"/>
      <c r="E1202" s="375"/>
      <c r="F1202" s="374"/>
      <c r="G1202" s="374"/>
      <c r="H1202" s="374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6"/>
      <c r="D1203" s="374"/>
      <c r="E1203" s="375"/>
      <c r="F1203" s="374"/>
      <c r="G1203" s="374"/>
      <c r="H1203" s="374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6"/>
      <c r="D1204" s="374"/>
      <c r="E1204" s="375"/>
      <c r="F1204" s="374"/>
      <c r="G1204" s="374"/>
      <c r="H1204" s="374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6"/>
      <c r="D1205" s="374"/>
      <c r="E1205" s="375"/>
      <c r="F1205" s="374"/>
      <c r="G1205" s="374"/>
      <c r="H1205" s="374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6"/>
      <c r="D1206" s="374"/>
      <c r="E1206" s="375"/>
      <c r="F1206" s="374"/>
      <c r="G1206" s="374"/>
      <c r="H1206" s="374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6"/>
      <c r="D1207" s="374"/>
      <c r="E1207" s="375"/>
      <c r="F1207" s="374"/>
      <c r="G1207" s="374"/>
      <c r="H1207" s="374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6"/>
      <c r="D1208" s="374"/>
      <c r="E1208" s="375"/>
      <c r="F1208" s="374"/>
      <c r="G1208" s="374"/>
      <c r="H1208" s="374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6"/>
      <c r="D1209" s="374"/>
      <c r="E1209" s="375"/>
      <c r="F1209" s="374"/>
      <c r="G1209" s="374"/>
      <c r="H1209" s="374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6"/>
      <c r="D1210" s="374"/>
      <c r="E1210" s="375"/>
      <c r="F1210" s="374"/>
      <c r="G1210" s="374"/>
      <c r="H1210" s="374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6"/>
      <c r="D1211" s="374"/>
      <c r="E1211" s="375"/>
      <c r="F1211" s="374"/>
      <c r="G1211" s="374"/>
      <c r="H1211" s="374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6"/>
      <c r="D1212" s="374"/>
      <c r="E1212" s="375"/>
      <c r="F1212" s="374"/>
      <c r="G1212" s="374"/>
      <c r="H1212" s="374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6"/>
      <c r="D1213" s="374"/>
      <c r="E1213" s="375"/>
      <c r="F1213" s="374"/>
      <c r="G1213" s="374"/>
      <c r="H1213" s="374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6"/>
      <c r="D1214" s="374"/>
      <c r="E1214" s="375"/>
      <c r="F1214" s="374"/>
      <c r="G1214" s="374"/>
      <c r="H1214" s="374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6"/>
      <c r="D1215" s="374"/>
      <c r="E1215" s="375"/>
      <c r="F1215" s="374"/>
      <c r="G1215" s="374"/>
      <c r="H1215" s="374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6"/>
      <c r="D1216" s="374"/>
      <c r="E1216" s="375"/>
      <c r="F1216" s="374"/>
      <c r="G1216" s="374"/>
      <c r="H1216" s="374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6"/>
      <c r="D1217" s="374"/>
      <c r="E1217" s="375"/>
      <c r="F1217" s="374"/>
      <c r="G1217" s="374"/>
      <c r="H1217" s="374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6"/>
      <c r="D1218" s="374"/>
      <c r="E1218" s="375"/>
      <c r="F1218" s="374"/>
      <c r="G1218" s="374"/>
      <c r="H1218" s="374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6"/>
      <c r="D1219" s="374"/>
      <c r="E1219" s="375"/>
      <c r="F1219" s="374"/>
      <c r="G1219" s="374"/>
      <c r="H1219" s="374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6"/>
      <c r="D1220" s="374"/>
      <c r="E1220" s="375"/>
      <c r="F1220" s="374"/>
      <c r="G1220" s="374"/>
      <c r="H1220" s="374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6"/>
      <c r="D1221" s="374"/>
      <c r="E1221" s="375"/>
      <c r="F1221" s="374"/>
      <c r="G1221" s="374"/>
      <c r="H1221" s="374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6"/>
      <c r="D1222" s="374"/>
      <c r="E1222" s="375"/>
      <c r="F1222" s="374"/>
      <c r="G1222" s="374"/>
      <c r="H1222" s="374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6"/>
      <c r="D1223" s="374"/>
      <c r="E1223" s="375"/>
      <c r="F1223" s="374"/>
      <c r="G1223" s="374"/>
      <c r="H1223" s="374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6"/>
      <c r="D1224" s="374"/>
      <c r="E1224" s="375"/>
      <c r="F1224" s="374"/>
      <c r="G1224" s="374"/>
      <c r="H1224" s="374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6"/>
      <c r="D1225" s="374"/>
      <c r="E1225" s="375"/>
      <c r="F1225" s="374"/>
      <c r="G1225" s="374"/>
      <c r="H1225" s="374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6"/>
      <c r="D1226" s="374"/>
      <c r="E1226" s="375"/>
      <c r="F1226" s="374"/>
      <c r="G1226" s="374"/>
      <c r="H1226" s="374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6"/>
      <c r="D1227" s="374"/>
      <c r="E1227" s="375"/>
      <c r="F1227" s="374"/>
      <c r="G1227" s="374"/>
      <c r="H1227" s="374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6"/>
      <c r="D1228" s="374"/>
      <c r="E1228" s="375"/>
      <c r="F1228" s="374"/>
      <c r="G1228" s="374"/>
      <c r="H1228" s="374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6"/>
      <c r="D1229" s="374"/>
      <c r="E1229" s="375"/>
      <c r="F1229" s="374"/>
      <c r="G1229" s="374"/>
      <c r="H1229" s="374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6"/>
      <c r="D1230" s="374"/>
      <c r="E1230" s="375"/>
      <c r="F1230" s="374"/>
      <c r="G1230" s="374"/>
      <c r="H1230" s="374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6"/>
      <c r="D1231" s="374"/>
      <c r="E1231" s="375"/>
      <c r="F1231" s="374"/>
      <c r="G1231" s="374"/>
      <c r="H1231" s="374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6"/>
      <c r="D1232" s="374"/>
      <c r="E1232" s="375"/>
      <c r="F1232" s="374"/>
      <c r="G1232" s="374"/>
      <c r="H1232" s="374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6"/>
      <c r="D1233" s="374"/>
      <c r="E1233" s="375"/>
      <c r="F1233" s="374"/>
      <c r="G1233" s="374"/>
      <c r="H1233" s="374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6"/>
      <c r="D1234" s="374"/>
      <c r="E1234" s="375"/>
      <c r="F1234" s="374"/>
      <c r="G1234" s="374"/>
      <c r="H1234" s="374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6"/>
      <c r="D1235" s="374"/>
      <c r="E1235" s="375"/>
      <c r="F1235" s="374"/>
      <c r="G1235" s="374"/>
      <c r="H1235" s="374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6"/>
      <c r="D1236" s="374"/>
      <c r="E1236" s="375"/>
      <c r="F1236" s="374"/>
      <c r="G1236" s="374"/>
      <c r="H1236" s="374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6"/>
      <c r="D1237" s="374"/>
      <c r="E1237" s="375"/>
      <c r="F1237" s="374"/>
      <c r="G1237" s="374"/>
      <c r="H1237" s="374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6"/>
      <c r="D1238" s="374"/>
      <c r="E1238" s="375"/>
      <c r="F1238" s="374"/>
      <c r="G1238" s="374"/>
      <c r="H1238" s="374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6"/>
      <c r="D1239" s="374"/>
      <c r="E1239" s="375"/>
      <c r="F1239" s="374"/>
      <c r="G1239" s="374"/>
      <c r="H1239" s="374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6"/>
      <c r="D1240" s="374"/>
      <c r="E1240" s="375"/>
      <c r="F1240" s="374"/>
      <c r="G1240" s="374"/>
      <c r="H1240" s="374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6"/>
      <c r="D1241" s="374"/>
      <c r="E1241" s="375"/>
      <c r="F1241" s="374"/>
      <c r="G1241" s="374"/>
      <c r="H1241" s="374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6"/>
      <c r="D1242" s="374"/>
      <c r="E1242" s="375"/>
      <c r="F1242" s="374"/>
      <c r="G1242" s="374"/>
      <c r="H1242" s="374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6"/>
      <c r="D1243" s="374"/>
      <c r="E1243" s="375"/>
      <c r="F1243" s="374"/>
      <c r="G1243" s="374"/>
      <c r="H1243" s="374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6"/>
      <c r="D1244" s="374"/>
      <c r="E1244" s="375"/>
      <c r="F1244" s="374"/>
      <c r="G1244" s="374"/>
      <c r="H1244" s="374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6"/>
      <c r="D1245" s="374"/>
      <c r="E1245" s="375"/>
      <c r="F1245" s="374"/>
      <c r="G1245" s="374"/>
      <c r="H1245" s="374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6"/>
      <c r="D1246" s="374"/>
      <c r="E1246" s="375"/>
      <c r="F1246" s="374"/>
      <c r="G1246" s="374"/>
      <c r="H1246" s="374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6"/>
      <c r="D1247" s="374"/>
      <c r="E1247" s="375"/>
      <c r="F1247" s="374"/>
      <c r="G1247" s="374"/>
      <c r="H1247" s="374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6"/>
      <c r="D1248" s="374"/>
      <c r="E1248" s="375"/>
      <c r="F1248" s="374"/>
      <c r="G1248" s="374"/>
      <c r="H1248" s="374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6"/>
      <c r="D1249" s="374"/>
      <c r="E1249" s="375"/>
      <c r="F1249" s="374"/>
      <c r="G1249" s="374"/>
      <c r="H1249" s="374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6"/>
      <c r="D1250" s="374"/>
      <c r="E1250" s="375"/>
      <c r="F1250" s="374"/>
      <c r="G1250" s="374"/>
      <c r="H1250" s="374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6"/>
      <c r="D1251" s="374"/>
      <c r="E1251" s="375"/>
      <c r="F1251" s="374"/>
      <c r="G1251" s="374"/>
      <c r="H1251" s="374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6"/>
      <c r="D1252" s="374"/>
      <c r="E1252" s="375"/>
      <c r="F1252" s="374"/>
      <c r="G1252" s="374"/>
      <c r="H1252" s="374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6"/>
      <c r="D1253" s="374"/>
      <c r="E1253" s="375"/>
      <c r="F1253" s="374"/>
      <c r="G1253" s="374"/>
      <c r="H1253" s="374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6"/>
      <c r="D1254" s="374"/>
      <c r="E1254" s="375"/>
      <c r="F1254" s="374"/>
      <c r="G1254" s="374"/>
      <c r="H1254" s="374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6"/>
      <c r="D1255" s="374"/>
      <c r="E1255" s="375"/>
      <c r="F1255" s="374"/>
      <c r="G1255" s="374"/>
      <c r="H1255" s="374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6"/>
      <c r="D1256" s="374"/>
      <c r="E1256" s="375"/>
      <c r="F1256" s="374"/>
      <c r="G1256" s="374"/>
      <c r="H1256" s="374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6"/>
      <c r="D1257" s="374"/>
      <c r="E1257" s="375"/>
      <c r="F1257" s="374"/>
      <c r="G1257" s="374"/>
      <c r="H1257" s="374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6"/>
      <c r="D1258" s="374"/>
      <c r="E1258" s="375"/>
      <c r="F1258" s="374"/>
      <c r="G1258" s="374"/>
      <c r="H1258" s="374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6"/>
      <c r="D1259" s="374"/>
      <c r="E1259" s="375"/>
      <c r="F1259" s="374"/>
      <c r="G1259" s="374"/>
      <c r="H1259" s="374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6"/>
      <c r="D1260" s="374"/>
      <c r="E1260" s="375"/>
      <c r="F1260" s="374"/>
      <c r="G1260" s="374"/>
      <c r="H1260" s="374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6"/>
      <c r="D1261" s="374"/>
      <c r="E1261" s="375"/>
      <c r="F1261" s="374"/>
      <c r="G1261" s="374"/>
      <c r="H1261" s="374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6"/>
      <c r="D1262" s="374"/>
      <c r="E1262" s="375"/>
      <c r="F1262" s="374"/>
      <c r="G1262" s="374"/>
      <c r="H1262" s="374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6"/>
      <c r="D1263" s="374"/>
      <c r="E1263" s="375"/>
      <c r="F1263" s="374"/>
      <c r="G1263" s="374"/>
      <c r="H1263" s="374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6"/>
      <c r="D1264" s="374"/>
      <c r="E1264" s="375"/>
      <c r="F1264" s="374"/>
      <c r="G1264" s="374"/>
      <c r="H1264" s="374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6"/>
      <c r="D1265" s="374"/>
      <c r="E1265" s="375"/>
      <c r="F1265" s="374"/>
      <c r="G1265" s="374"/>
      <c r="H1265" s="374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6"/>
      <c r="D1266" s="374"/>
      <c r="E1266" s="375"/>
      <c r="F1266" s="374"/>
      <c r="G1266" s="374"/>
      <c r="H1266" s="374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6"/>
      <c r="D1267" s="374"/>
      <c r="E1267" s="375"/>
      <c r="F1267" s="374"/>
      <c r="G1267" s="374"/>
      <c r="H1267" s="374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6"/>
      <c r="D1268" s="374"/>
      <c r="E1268" s="375"/>
      <c r="F1268" s="374"/>
      <c r="G1268" s="374"/>
      <c r="H1268" s="374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6"/>
      <c r="D1269" s="374"/>
      <c r="E1269" s="375"/>
      <c r="F1269" s="374"/>
      <c r="G1269" s="374"/>
      <c r="H1269" s="374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6"/>
      <c r="D1270" s="374"/>
      <c r="E1270" s="375"/>
      <c r="F1270" s="374"/>
      <c r="G1270" s="374"/>
      <c r="H1270" s="374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6"/>
      <c r="D1271" s="374"/>
      <c r="E1271" s="375"/>
      <c r="F1271" s="374"/>
      <c r="G1271" s="374"/>
      <c r="H1271" s="374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6"/>
      <c r="D1272" s="374"/>
      <c r="E1272" s="375"/>
      <c r="F1272" s="374"/>
      <c r="G1272" s="374"/>
      <c r="H1272" s="374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6"/>
      <c r="D1273" s="374"/>
      <c r="E1273" s="375"/>
      <c r="F1273" s="374"/>
      <c r="G1273" s="374"/>
      <c r="H1273" s="374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6"/>
      <c r="D1274" s="374"/>
      <c r="E1274" s="375"/>
      <c r="F1274" s="374"/>
      <c r="G1274" s="374"/>
      <c r="H1274" s="374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6"/>
      <c r="D1275" s="374"/>
      <c r="E1275" s="375"/>
      <c r="F1275" s="374"/>
      <c r="G1275" s="374"/>
      <c r="H1275" s="374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6"/>
      <c r="D1276" s="374"/>
      <c r="E1276" s="375"/>
      <c r="F1276" s="374"/>
      <c r="G1276" s="374"/>
      <c r="H1276" s="374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6"/>
      <c r="D1277" s="374"/>
      <c r="E1277" s="375"/>
      <c r="F1277" s="374"/>
      <c r="G1277" s="374"/>
      <c r="H1277" s="374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6"/>
      <c r="D1278" s="374"/>
      <c r="E1278" s="375"/>
      <c r="F1278" s="374"/>
      <c r="G1278" s="374"/>
      <c r="H1278" s="374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6"/>
      <c r="D1279" s="374"/>
      <c r="E1279" s="375"/>
      <c r="F1279" s="374"/>
      <c r="G1279" s="374"/>
      <c r="H1279" s="374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6"/>
      <c r="D1280" s="374"/>
      <c r="E1280" s="375"/>
      <c r="F1280" s="374"/>
      <c r="G1280" s="374"/>
      <c r="H1280" s="374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6"/>
      <c r="D1281" s="374"/>
      <c r="E1281" s="375"/>
      <c r="F1281" s="374"/>
      <c r="G1281" s="374"/>
      <c r="H1281" s="374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6"/>
      <c r="D1282" s="374"/>
      <c r="E1282" s="375"/>
      <c r="F1282" s="374"/>
      <c r="G1282" s="374"/>
      <c r="H1282" s="374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6"/>
      <c r="D1283" s="374"/>
      <c r="E1283" s="375"/>
      <c r="F1283" s="374"/>
      <c r="G1283" s="374"/>
      <c r="H1283" s="374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6"/>
      <c r="D1284" s="374"/>
      <c r="E1284" s="375"/>
      <c r="F1284" s="374"/>
      <c r="G1284" s="374"/>
      <c r="H1284" s="374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6"/>
      <c r="D1285" s="374"/>
      <c r="E1285" s="375"/>
      <c r="F1285" s="374"/>
      <c r="G1285" s="374"/>
      <c r="H1285" s="374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6"/>
      <c r="D1286" s="374"/>
      <c r="E1286" s="375"/>
      <c r="F1286" s="374"/>
      <c r="G1286" s="374"/>
      <c r="H1286" s="374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6"/>
      <c r="D1287" s="374"/>
      <c r="E1287" s="375"/>
      <c r="F1287" s="374"/>
      <c r="G1287" s="374"/>
      <c r="H1287" s="374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6"/>
      <c r="D1288" s="374"/>
      <c r="E1288" s="375"/>
      <c r="F1288" s="374"/>
      <c r="G1288" s="374"/>
      <c r="H1288" s="374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6"/>
      <c r="D1289" s="374"/>
      <c r="E1289" s="375"/>
      <c r="F1289" s="374"/>
      <c r="G1289" s="374"/>
      <c r="H1289" s="374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6"/>
      <c r="D1290" s="374"/>
      <c r="E1290" s="375"/>
      <c r="F1290" s="374"/>
      <c r="G1290" s="374"/>
      <c r="H1290" s="374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6"/>
      <c r="D1291" s="374"/>
      <c r="E1291" s="375"/>
      <c r="F1291" s="374"/>
      <c r="G1291" s="374"/>
      <c r="H1291" s="374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6"/>
      <c r="D1292" s="374"/>
      <c r="E1292" s="375"/>
      <c r="F1292" s="374"/>
      <c r="G1292" s="374"/>
      <c r="H1292" s="374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6"/>
      <c r="D1293" s="374"/>
      <c r="E1293" s="375"/>
      <c r="F1293" s="374"/>
      <c r="G1293" s="374"/>
      <c r="H1293" s="374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6"/>
      <c r="D1294" s="374"/>
      <c r="E1294" s="375"/>
      <c r="F1294" s="374"/>
      <c r="G1294" s="374"/>
      <c r="H1294" s="374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6"/>
      <c r="D1295" s="374"/>
      <c r="E1295" s="375"/>
      <c r="F1295" s="374"/>
      <c r="G1295" s="374"/>
      <c r="H1295" s="374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6"/>
      <c r="D1296" s="374"/>
      <c r="E1296" s="375"/>
      <c r="F1296" s="374"/>
      <c r="G1296" s="374"/>
      <c r="H1296" s="374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6"/>
      <c r="D1297" s="374"/>
      <c r="E1297" s="375"/>
      <c r="F1297" s="374"/>
      <c r="G1297" s="374"/>
      <c r="H1297" s="374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6"/>
      <c r="D1298" s="374"/>
      <c r="E1298" s="375"/>
      <c r="F1298" s="374"/>
      <c r="G1298" s="374"/>
      <c r="H1298" s="374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6"/>
      <c r="D1299" s="374"/>
      <c r="E1299" s="375"/>
      <c r="F1299" s="374"/>
      <c r="G1299" s="374"/>
      <c r="H1299" s="374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6"/>
      <c r="D1300" s="374"/>
      <c r="E1300" s="375"/>
      <c r="F1300" s="374"/>
      <c r="G1300" s="374"/>
      <c r="H1300" s="374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6"/>
      <c r="D1301" s="374"/>
      <c r="E1301" s="375"/>
      <c r="F1301" s="374"/>
      <c r="G1301" s="374"/>
      <c r="H1301" s="374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6"/>
      <c r="D1302" s="374"/>
      <c r="E1302" s="375"/>
      <c r="F1302" s="374"/>
      <c r="G1302" s="374"/>
      <c r="H1302" s="374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6"/>
      <c r="D1303" s="374"/>
      <c r="E1303" s="375"/>
      <c r="F1303" s="374"/>
      <c r="G1303" s="374"/>
      <c r="H1303" s="374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6"/>
      <c r="D1304" s="374"/>
      <c r="E1304" s="375"/>
      <c r="F1304" s="374"/>
      <c r="G1304" s="374"/>
      <c r="H1304" s="374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6"/>
      <c r="D1305" s="374"/>
      <c r="E1305" s="375"/>
      <c r="F1305" s="374"/>
      <c r="G1305" s="374"/>
      <c r="H1305" s="374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6"/>
      <c r="D1306" s="374"/>
      <c r="E1306" s="375"/>
      <c r="F1306" s="374"/>
      <c r="G1306" s="374"/>
      <c r="H1306" s="374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6"/>
      <c r="D1307" s="374"/>
      <c r="E1307" s="375"/>
      <c r="F1307" s="374"/>
      <c r="G1307" s="374"/>
      <c r="H1307" s="374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6"/>
      <c r="D1308" s="374"/>
      <c r="E1308" s="375"/>
      <c r="F1308" s="374"/>
      <c r="G1308" s="374"/>
      <c r="H1308" s="374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6"/>
      <c r="D1309" s="374"/>
      <c r="E1309" s="375"/>
      <c r="F1309" s="374"/>
      <c r="G1309" s="374"/>
      <c r="H1309" s="374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6"/>
      <c r="D1310" s="374"/>
      <c r="E1310" s="375"/>
      <c r="F1310" s="374"/>
      <c r="G1310" s="374"/>
      <c r="H1310" s="374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6"/>
      <c r="D1311" s="374"/>
      <c r="E1311" s="375"/>
      <c r="F1311" s="374"/>
      <c r="G1311" s="374"/>
      <c r="H1311" s="374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6"/>
      <c r="D1312" s="374"/>
      <c r="E1312" s="375"/>
      <c r="F1312" s="374"/>
      <c r="G1312" s="374"/>
      <c r="H1312" s="374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6"/>
      <c r="D1313" s="374"/>
      <c r="E1313" s="375"/>
      <c r="F1313" s="374"/>
      <c r="G1313" s="374"/>
      <c r="H1313" s="374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6"/>
      <c r="D1314" s="374"/>
      <c r="E1314" s="375"/>
      <c r="F1314" s="374"/>
      <c r="G1314" s="374"/>
      <c r="H1314" s="374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6"/>
      <c r="D1315" s="374"/>
      <c r="E1315" s="375"/>
      <c r="F1315" s="374"/>
      <c r="G1315" s="374"/>
      <c r="H1315" s="374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6"/>
      <c r="D1316" s="374"/>
      <c r="E1316" s="375"/>
      <c r="F1316" s="374"/>
      <c r="G1316" s="374"/>
      <c r="H1316" s="374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6"/>
      <c r="D1317" s="374"/>
      <c r="E1317" s="375"/>
      <c r="F1317" s="374"/>
      <c r="G1317" s="374"/>
      <c r="H1317" s="374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6"/>
      <c r="D1318" s="374"/>
      <c r="E1318" s="375"/>
      <c r="F1318" s="374"/>
      <c r="G1318" s="374"/>
      <c r="H1318" s="374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6"/>
      <c r="D1319" s="374"/>
      <c r="E1319" s="375"/>
      <c r="F1319" s="374"/>
      <c r="G1319" s="374"/>
      <c r="H1319" s="374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6"/>
      <c r="D1320" s="374"/>
      <c r="E1320" s="375"/>
      <c r="F1320" s="374"/>
      <c r="G1320" s="374"/>
      <c r="H1320" s="374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6"/>
      <c r="D1321" s="374"/>
      <c r="E1321" s="375"/>
      <c r="F1321" s="374"/>
      <c r="G1321" s="374"/>
      <c r="H1321" s="374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6"/>
      <c r="D1322" s="374"/>
      <c r="E1322" s="375"/>
      <c r="F1322" s="374"/>
      <c r="G1322" s="374"/>
      <c r="H1322" s="374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6"/>
      <c r="D1323" s="374"/>
      <c r="E1323" s="375"/>
      <c r="F1323" s="374"/>
      <c r="G1323" s="374"/>
      <c r="H1323" s="374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6"/>
      <c r="D1324" s="374"/>
      <c r="E1324" s="375"/>
      <c r="F1324" s="374"/>
      <c r="G1324" s="374"/>
      <c r="H1324" s="374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6"/>
      <c r="D1325" s="374"/>
      <c r="E1325" s="375"/>
      <c r="F1325" s="374"/>
      <c r="G1325" s="374"/>
      <c r="H1325" s="374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6"/>
      <c r="D1326" s="374"/>
      <c r="E1326" s="375"/>
      <c r="F1326" s="374"/>
      <c r="G1326" s="374"/>
      <c r="H1326" s="374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6"/>
      <c r="D1327" s="374"/>
      <c r="E1327" s="375"/>
      <c r="F1327" s="374"/>
      <c r="G1327" s="374"/>
      <c r="H1327" s="374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6"/>
      <c r="D1328" s="374"/>
      <c r="E1328" s="375"/>
      <c r="F1328" s="374"/>
      <c r="G1328" s="374"/>
      <c r="H1328" s="374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6"/>
      <c r="D1329" s="374"/>
      <c r="E1329" s="375"/>
      <c r="F1329" s="374"/>
      <c r="G1329" s="374"/>
      <c r="H1329" s="374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6"/>
      <c r="D1330" s="374"/>
      <c r="E1330" s="375"/>
      <c r="F1330" s="374"/>
      <c r="G1330" s="374"/>
      <c r="H1330" s="374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6"/>
      <c r="D1331" s="374"/>
      <c r="E1331" s="375"/>
      <c r="F1331" s="374"/>
      <c r="G1331" s="374"/>
      <c r="H1331" s="374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6"/>
      <c r="D1332" s="374"/>
      <c r="E1332" s="375"/>
      <c r="F1332" s="374"/>
      <c r="G1332" s="374"/>
      <c r="H1332" s="374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6"/>
      <c r="D1333" s="374"/>
      <c r="E1333" s="375"/>
      <c r="F1333" s="374"/>
      <c r="G1333" s="374"/>
      <c r="H1333" s="374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6"/>
      <c r="D1334" s="374"/>
      <c r="E1334" s="375"/>
      <c r="F1334" s="374"/>
      <c r="G1334" s="374"/>
      <c r="H1334" s="374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6"/>
      <c r="D1335" s="374"/>
      <c r="E1335" s="375"/>
      <c r="F1335" s="374"/>
      <c r="G1335" s="374"/>
      <c r="H1335" s="374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6"/>
      <c r="D1336" s="374"/>
      <c r="E1336" s="375"/>
      <c r="F1336" s="374"/>
      <c r="G1336" s="374"/>
      <c r="H1336" s="374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6"/>
      <c r="D1337" s="374"/>
      <c r="E1337" s="375"/>
      <c r="F1337" s="374"/>
      <c r="G1337" s="374"/>
      <c r="H1337" s="374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6"/>
      <c r="D1338" s="374"/>
      <c r="E1338" s="375"/>
      <c r="F1338" s="374"/>
      <c r="G1338" s="374"/>
      <c r="H1338" s="374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6"/>
      <c r="D1339" s="374"/>
      <c r="E1339" s="375"/>
      <c r="F1339" s="374"/>
      <c r="G1339" s="374"/>
      <c r="H1339" s="374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6"/>
      <c r="D1340" s="374"/>
      <c r="E1340" s="375"/>
      <c r="F1340" s="374"/>
      <c r="G1340" s="374"/>
      <c r="H1340" s="374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6"/>
      <c r="D1341" s="374"/>
      <c r="E1341" s="375"/>
      <c r="F1341" s="374"/>
      <c r="G1341" s="374"/>
      <c r="H1341" s="374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6"/>
      <c r="D1342" s="374"/>
      <c r="E1342" s="375"/>
      <c r="F1342" s="374"/>
      <c r="G1342" s="374"/>
      <c r="H1342" s="374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6"/>
      <c r="D1343" s="374"/>
      <c r="E1343" s="375"/>
      <c r="F1343" s="374"/>
      <c r="G1343" s="374"/>
      <c r="H1343" s="374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6"/>
      <c r="D1344" s="374"/>
      <c r="E1344" s="375"/>
      <c r="F1344" s="374"/>
      <c r="G1344" s="374"/>
      <c r="H1344" s="374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6"/>
      <c r="D1345" s="374"/>
      <c r="E1345" s="375"/>
      <c r="F1345" s="374"/>
      <c r="G1345" s="374"/>
      <c r="H1345" s="374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6"/>
      <c r="D1346" s="374"/>
      <c r="E1346" s="375"/>
      <c r="F1346" s="374"/>
      <c r="G1346" s="374"/>
      <c r="H1346" s="374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6"/>
      <c r="D1347" s="374"/>
      <c r="E1347" s="375"/>
      <c r="F1347" s="374"/>
      <c r="G1347" s="374"/>
      <c r="H1347" s="374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6"/>
      <c r="D1348" s="374"/>
      <c r="E1348" s="375"/>
      <c r="F1348" s="374"/>
      <c r="G1348" s="374"/>
      <c r="H1348" s="374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6"/>
      <c r="D1349" s="374"/>
      <c r="E1349" s="375"/>
      <c r="F1349" s="374"/>
      <c r="G1349" s="374"/>
      <c r="H1349" s="374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6"/>
      <c r="D1350" s="374"/>
      <c r="E1350" s="375"/>
      <c r="F1350" s="374"/>
      <c r="G1350" s="374"/>
      <c r="H1350" s="374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6"/>
      <c r="D1351" s="374"/>
      <c r="E1351" s="375"/>
      <c r="F1351" s="374"/>
      <c r="G1351" s="374"/>
      <c r="H1351" s="374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6"/>
      <c r="D1352" s="374"/>
      <c r="E1352" s="375"/>
      <c r="F1352" s="374"/>
      <c r="G1352" s="374"/>
      <c r="H1352" s="374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6"/>
      <c r="D1353" s="374"/>
      <c r="E1353" s="375"/>
      <c r="F1353" s="374"/>
      <c r="G1353" s="374"/>
      <c r="H1353" s="374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6"/>
      <c r="D1354" s="374"/>
      <c r="E1354" s="375"/>
      <c r="F1354" s="374"/>
      <c r="G1354" s="374"/>
      <c r="H1354" s="374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6"/>
      <c r="D1355" s="374"/>
      <c r="E1355" s="375"/>
      <c r="F1355" s="374"/>
      <c r="G1355" s="374"/>
      <c r="H1355" s="374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6"/>
      <c r="D1356" s="374"/>
      <c r="E1356" s="375"/>
      <c r="F1356" s="374"/>
      <c r="G1356" s="374"/>
      <c r="H1356" s="374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6"/>
      <c r="D1357" s="374"/>
      <c r="E1357" s="375"/>
      <c r="F1357" s="374"/>
      <c r="G1357" s="374"/>
      <c r="H1357" s="374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6"/>
      <c r="D1358" s="374"/>
      <c r="E1358" s="375"/>
      <c r="F1358" s="374"/>
      <c r="G1358" s="374"/>
      <c r="H1358" s="374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6"/>
      <c r="D1359" s="374"/>
      <c r="E1359" s="375"/>
      <c r="F1359" s="374"/>
      <c r="G1359" s="374"/>
      <c r="H1359" s="374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6"/>
      <c r="D1360" s="374"/>
      <c r="E1360" s="375"/>
      <c r="F1360" s="374"/>
      <c r="G1360" s="374"/>
      <c r="H1360" s="374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6"/>
      <c r="D1361" s="374"/>
      <c r="E1361" s="375"/>
      <c r="F1361" s="374"/>
      <c r="G1361" s="374"/>
      <c r="H1361" s="374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6"/>
      <c r="D1362" s="374"/>
      <c r="E1362" s="375"/>
      <c r="F1362" s="374"/>
      <c r="G1362" s="374"/>
      <c r="H1362" s="374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6"/>
      <c r="D1363" s="374"/>
      <c r="E1363" s="375"/>
      <c r="F1363" s="374"/>
      <c r="G1363" s="374"/>
      <c r="H1363" s="374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6"/>
      <c r="D1364" s="374"/>
      <c r="E1364" s="375"/>
      <c r="F1364" s="374"/>
      <c r="G1364" s="374"/>
      <c r="H1364" s="374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6"/>
      <c r="D1365" s="374"/>
      <c r="E1365" s="375"/>
      <c r="F1365" s="374"/>
      <c r="G1365" s="374"/>
      <c r="H1365" s="374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6"/>
      <c r="D1366" s="374"/>
      <c r="E1366" s="375"/>
      <c r="F1366" s="374"/>
      <c r="G1366" s="374"/>
      <c r="H1366" s="374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6"/>
      <c r="D1367" s="374"/>
      <c r="E1367" s="375"/>
      <c r="F1367" s="374"/>
      <c r="G1367" s="374"/>
      <c r="H1367" s="374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6"/>
      <c r="D1368" s="374"/>
      <c r="E1368" s="375"/>
      <c r="F1368" s="374"/>
      <c r="G1368" s="374"/>
      <c r="H1368" s="374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6"/>
      <c r="D1369" s="374"/>
      <c r="E1369" s="375"/>
      <c r="F1369" s="374"/>
      <c r="G1369" s="374"/>
      <c r="H1369" s="374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6"/>
      <c r="D1370" s="374"/>
      <c r="E1370" s="375"/>
      <c r="F1370" s="374"/>
      <c r="G1370" s="374"/>
      <c r="H1370" s="374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6"/>
      <c r="D1371" s="374"/>
      <c r="E1371" s="375"/>
      <c r="F1371" s="374"/>
      <c r="G1371" s="374"/>
      <c r="H1371" s="374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6"/>
      <c r="D1372" s="374"/>
      <c r="E1372" s="375"/>
      <c r="F1372" s="374"/>
      <c r="G1372" s="374"/>
      <c r="H1372" s="374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6"/>
      <c r="D1373" s="374"/>
      <c r="E1373" s="375"/>
      <c r="F1373" s="374"/>
      <c r="G1373" s="374"/>
      <c r="H1373" s="374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6"/>
      <c r="D1374" s="374"/>
      <c r="E1374" s="375"/>
      <c r="F1374" s="374"/>
      <c r="G1374" s="374"/>
      <c r="H1374" s="374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6"/>
      <c r="D1375" s="374"/>
      <c r="E1375" s="375"/>
      <c r="F1375" s="374"/>
      <c r="G1375" s="374"/>
      <c r="H1375" s="374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6"/>
      <c r="D1376" s="374"/>
      <c r="E1376" s="375"/>
      <c r="F1376" s="374"/>
      <c r="G1376" s="374"/>
      <c r="H1376" s="374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6"/>
      <c r="D1377" s="374"/>
      <c r="E1377" s="375"/>
      <c r="F1377" s="374"/>
      <c r="G1377" s="374"/>
      <c r="H1377" s="374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6"/>
      <c r="D1378" s="374"/>
      <c r="E1378" s="375"/>
      <c r="F1378" s="374"/>
      <c r="G1378" s="374"/>
      <c r="H1378" s="374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6"/>
      <c r="D1379" s="374"/>
      <c r="E1379" s="375"/>
      <c r="F1379" s="374"/>
      <c r="G1379" s="374"/>
      <c r="H1379" s="374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6"/>
      <c r="D1380" s="374"/>
      <c r="E1380" s="375"/>
      <c r="F1380" s="374"/>
      <c r="G1380" s="374"/>
      <c r="H1380" s="374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6"/>
      <c r="D1381" s="374"/>
      <c r="E1381" s="375"/>
      <c r="F1381" s="374"/>
      <c r="G1381" s="374"/>
      <c r="H1381" s="374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6"/>
      <c r="D1382" s="374"/>
      <c r="E1382" s="375"/>
      <c r="F1382" s="374"/>
      <c r="G1382" s="374"/>
      <c r="H1382" s="374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6"/>
      <c r="D1383" s="374"/>
      <c r="E1383" s="375"/>
      <c r="F1383" s="374"/>
      <c r="G1383" s="374"/>
      <c r="H1383" s="374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6"/>
      <c r="D1384" s="374"/>
      <c r="E1384" s="375"/>
      <c r="F1384" s="374"/>
      <c r="G1384" s="374"/>
      <c r="H1384" s="374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6"/>
      <c r="D1385" s="374"/>
      <c r="E1385" s="375"/>
      <c r="F1385" s="374"/>
      <c r="G1385" s="374"/>
      <c r="H1385" s="374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6"/>
      <c r="D1386" s="374"/>
      <c r="E1386" s="375"/>
      <c r="F1386" s="374"/>
      <c r="G1386" s="374"/>
      <c r="H1386" s="374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6"/>
      <c r="D1387" s="374"/>
      <c r="E1387" s="375"/>
      <c r="F1387" s="374"/>
      <c r="G1387" s="374"/>
      <c r="H1387" s="374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6"/>
      <c r="D1388" s="374"/>
      <c r="E1388" s="375"/>
      <c r="F1388" s="374"/>
      <c r="G1388" s="374"/>
      <c r="H1388" s="374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6"/>
      <c r="D1389" s="374"/>
      <c r="E1389" s="375"/>
      <c r="F1389" s="374"/>
      <c r="G1389" s="374"/>
      <c r="H1389" s="374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6"/>
      <c r="D1390" s="374"/>
      <c r="E1390" s="375"/>
      <c r="F1390" s="374"/>
      <c r="G1390" s="374"/>
      <c r="H1390" s="374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6"/>
      <c r="D1391" s="374"/>
      <c r="E1391" s="375"/>
      <c r="F1391" s="374"/>
      <c r="G1391" s="374"/>
      <c r="H1391" s="374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6"/>
      <c r="D1392" s="374"/>
      <c r="E1392" s="375"/>
      <c r="F1392" s="374"/>
      <c r="G1392" s="374"/>
      <c r="H1392" s="374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6"/>
      <c r="D1393" s="374"/>
      <c r="E1393" s="375"/>
      <c r="F1393" s="374"/>
      <c r="G1393" s="374"/>
      <c r="H1393" s="374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6"/>
      <c r="D1394" s="374"/>
      <c r="E1394" s="375"/>
      <c r="F1394" s="374"/>
      <c r="G1394" s="374"/>
      <c r="H1394" s="374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6"/>
      <c r="D1395" s="374"/>
      <c r="E1395" s="375"/>
      <c r="F1395" s="374"/>
      <c r="G1395" s="374"/>
      <c r="H1395" s="374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6"/>
      <c r="D1396" s="374"/>
      <c r="E1396" s="375"/>
      <c r="F1396" s="374"/>
      <c r="G1396" s="374"/>
      <c r="H1396" s="374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6"/>
      <c r="D1397" s="374"/>
      <c r="E1397" s="375"/>
      <c r="F1397" s="374"/>
      <c r="G1397" s="374"/>
      <c r="H1397" s="374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6"/>
      <c r="D1398" s="374"/>
      <c r="E1398" s="375"/>
      <c r="F1398" s="374"/>
      <c r="G1398" s="374"/>
      <c r="H1398" s="374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6"/>
      <c r="D1399" s="374"/>
      <c r="E1399" s="375"/>
      <c r="F1399" s="374"/>
      <c r="G1399" s="374"/>
      <c r="H1399" s="374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6"/>
      <c r="D1400" s="374"/>
      <c r="E1400" s="375"/>
      <c r="F1400" s="374"/>
      <c r="G1400" s="374"/>
      <c r="H1400" s="374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6"/>
      <c r="D1401" s="374"/>
      <c r="E1401" s="375"/>
      <c r="F1401" s="374"/>
      <c r="G1401" s="374"/>
      <c r="H1401" s="374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6"/>
      <c r="D1402" s="374"/>
      <c r="E1402" s="375"/>
      <c r="F1402" s="374"/>
      <c r="G1402" s="374"/>
      <c r="H1402" s="374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6"/>
      <c r="D1403" s="374"/>
      <c r="E1403" s="375"/>
      <c r="F1403" s="374"/>
      <c r="G1403" s="374"/>
      <c r="H1403" s="374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6"/>
      <c r="D1404" s="374"/>
      <c r="E1404" s="375"/>
      <c r="F1404" s="374"/>
      <c r="G1404" s="374"/>
      <c r="H1404" s="374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6"/>
      <c r="D1405" s="374"/>
      <c r="E1405" s="375"/>
      <c r="F1405" s="374"/>
      <c r="G1405" s="374"/>
      <c r="H1405" s="374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6"/>
      <c r="D1406" s="374"/>
      <c r="E1406" s="375"/>
      <c r="F1406" s="374"/>
      <c r="G1406" s="374"/>
      <c r="H1406" s="374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6"/>
      <c r="D1407" s="374"/>
      <c r="E1407" s="375"/>
      <c r="F1407" s="374"/>
      <c r="G1407" s="374"/>
      <c r="H1407" s="374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6"/>
      <c r="D1408" s="374"/>
      <c r="E1408" s="375"/>
      <c r="F1408" s="374"/>
      <c r="G1408" s="374"/>
      <c r="H1408" s="374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6"/>
      <c r="D1409" s="374"/>
      <c r="E1409" s="375"/>
      <c r="F1409" s="374"/>
      <c r="G1409" s="374"/>
      <c r="H1409" s="374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6"/>
      <c r="D1410" s="374"/>
      <c r="E1410" s="375"/>
      <c r="F1410" s="374"/>
      <c r="G1410" s="374"/>
      <c r="H1410" s="374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6"/>
      <c r="D1411" s="374"/>
      <c r="E1411" s="375"/>
      <c r="F1411" s="374"/>
      <c r="G1411" s="374"/>
      <c r="H1411" s="374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6"/>
      <c r="D1412" s="374"/>
      <c r="E1412" s="375"/>
      <c r="F1412" s="374"/>
      <c r="G1412" s="374"/>
      <c r="H1412" s="374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6"/>
      <c r="D1413" s="374"/>
      <c r="E1413" s="375"/>
      <c r="F1413" s="374"/>
      <c r="G1413" s="374"/>
      <c r="H1413" s="374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6"/>
      <c r="D1414" s="374"/>
      <c r="E1414" s="375"/>
      <c r="F1414" s="374"/>
      <c r="G1414" s="374"/>
      <c r="H1414" s="374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6"/>
      <c r="D1415" s="374"/>
      <c r="E1415" s="375"/>
      <c r="F1415" s="374"/>
      <c r="G1415" s="374"/>
      <c r="H1415" s="374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6"/>
      <c r="D1416" s="374"/>
      <c r="E1416" s="375"/>
      <c r="F1416" s="374"/>
      <c r="G1416" s="374"/>
      <c r="H1416" s="374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6"/>
      <c r="D1417" s="374"/>
      <c r="E1417" s="375"/>
      <c r="F1417" s="374"/>
      <c r="G1417" s="374"/>
      <c r="H1417" s="374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6"/>
      <c r="D1418" s="374"/>
      <c r="E1418" s="375"/>
      <c r="F1418" s="374"/>
      <c r="G1418" s="374"/>
      <c r="H1418" s="374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6"/>
      <c r="D1419" s="374"/>
      <c r="E1419" s="375"/>
      <c r="F1419" s="374"/>
      <c r="G1419" s="374"/>
      <c r="H1419" s="374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6"/>
      <c r="D1420" s="374"/>
      <c r="E1420" s="375"/>
      <c r="F1420" s="374"/>
      <c r="G1420" s="374"/>
      <c r="H1420" s="374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6"/>
      <c r="D1421" s="374"/>
      <c r="E1421" s="375"/>
      <c r="F1421" s="374"/>
      <c r="G1421" s="374"/>
      <c r="H1421" s="374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6"/>
      <c r="D1422" s="374"/>
      <c r="E1422" s="375"/>
      <c r="F1422" s="374"/>
      <c r="G1422" s="374"/>
      <c r="H1422" s="374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6"/>
      <c r="D1423" s="374"/>
      <c r="E1423" s="375"/>
      <c r="F1423" s="374"/>
      <c r="G1423" s="374"/>
      <c r="H1423" s="374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6"/>
      <c r="D1424" s="374"/>
      <c r="E1424" s="375"/>
      <c r="F1424" s="374"/>
      <c r="G1424" s="374"/>
      <c r="H1424" s="374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6"/>
      <c r="D1425" s="374"/>
      <c r="E1425" s="375"/>
      <c r="F1425" s="374"/>
      <c r="G1425" s="374"/>
      <c r="H1425" s="374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6"/>
      <c r="D1426" s="374"/>
      <c r="E1426" s="375"/>
      <c r="F1426" s="374"/>
      <c r="G1426" s="374"/>
      <c r="H1426" s="374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6"/>
      <c r="D1427" s="374"/>
      <c r="E1427" s="375"/>
      <c r="F1427" s="374"/>
      <c r="G1427" s="374"/>
      <c r="H1427" s="374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6"/>
      <c r="D1428" s="374"/>
      <c r="E1428" s="375"/>
      <c r="F1428" s="374"/>
      <c r="G1428" s="374"/>
      <c r="H1428" s="374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6"/>
      <c r="D1429" s="374"/>
      <c r="E1429" s="375"/>
      <c r="F1429" s="374"/>
      <c r="G1429" s="374"/>
      <c r="H1429" s="374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6"/>
      <c r="D1430" s="374"/>
      <c r="E1430" s="375"/>
      <c r="F1430" s="374"/>
      <c r="G1430" s="374"/>
      <c r="H1430" s="374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6"/>
      <c r="D1431" s="374"/>
      <c r="E1431" s="375"/>
      <c r="F1431" s="374"/>
      <c r="G1431" s="374"/>
      <c r="H1431" s="374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6"/>
      <c r="D1432" s="374"/>
      <c r="E1432" s="375"/>
      <c r="F1432" s="374"/>
      <c r="G1432" s="374"/>
      <c r="H1432" s="374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6"/>
      <c r="D1433" s="374"/>
      <c r="E1433" s="375"/>
      <c r="F1433" s="374"/>
      <c r="G1433" s="374"/>
      <c r="H1433" s="374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6"/>
      <c r="D1434" s="374"/>
      <c r="E1434" s="375"/>
      <c r="F1434" s="374"/>
      <c r="G1434" s="374"/>
      <c r="H1434" s="374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6"/>
      <c r="D1435" s="374"/>
      <c r="E1435" s="375"/>
      <c r="F1435" s="374"/>
      <c r="G1435" s="374"/>
      <c r="H1435" s="374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6"/>
      <c r="D1436" s="374"/>
      <c r="E1436" s="375"/>
      <c r="F1436" s="374"/>
      <c r="G1436" s="374"/>
      <c r="H1436" s="374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6"/>
      <c r="D1437" s="374"/>
      <c r="E1437" s="375"/>
      <c r="F1437" s="374"/>
      <c r="G1437" s="374"/>
      <c r="H1437" s="374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6"/>
      <c r="D1438" s="374"/>
      <c r="E1438" s="375"/>
      <c r="F1438" s="374"/>
      <c r="G1438" s="374"/>
      <c r="H1438" s="374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6"/>
      <c r="D1439" s="374"/>
      <c r="E1439" s="375"/>
      <c r="F1439" s="374"/>
      <c r="G1439" s="374"/>
      <c r="H1439" s="374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6"/>
      <c r="D1440" s="374"/>
      <c r="E1440" s="375"/>
      <c r="F1440" s="374"/>
      <c r="G1440" s="374"/>
      <c r="H1440" s="374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6"/>
      <c r="D1441" s="374"/>
      <c r="E1441" s="375"/>
      <c r="F1441" s="374"/>
      <c r="G1441" s="374"/>
      <c r="H1441" s="374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6"/>
      <c r="D1442" s="374"/>
      <c r="E1442" s="375"/>
      <c r="F1442" s="374"/>
      <c r="G1442" s="374"/>
      <c r="H1442" s="374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6"/>
      <c r="D1443" s="374"/>
      <c r="E1443" s="375"/>
      <c r="F1443" s="374"/>
      <c r="G1443" s="374"/>
      <c r="H1443" s="374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6"/>
      <c r="D1444" s="374"/>
      <c r="E1444" s="375"/>
      <c r="F1444" s="374"/>
      <c r="G1444" s="374"/>
      <c r="H1444" s="374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6"/>
      <c r="D1445" s="374"/>
      <c r="E1445" s="375"/>
      <c r="F1445" s="374"/>
      <c r="G1445" s="374"/>
      <c r="H1445" s="374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6"/>
      <c r="D1446" s="374"/>
      <c r="E1446" s="375"/>
      <c r="F1446" s="374"/>
      <c r="G1446" s="374"/>
      <c r="H1446" s="374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6"/>
      <c r="D1447" s="374"/>
      <c r="E1447" s="375"/>
      <c r="F1447" s="374"/>
      <c r="G1447" s="374"/>
      <c r="H1447" s="374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6"/>
      <c r="D1448" s="374"/>
      <c r="E1448" s="375"/>
      <c r="F1448" s="374"/>
      <c r="G1448" s="374"/>
      <c r="H1448" s="374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6"/>
      <c r="D1449" s="374"/>
      <c r="E1449" s="375"/>
      <c r="F1449" s="374"/>
      <c r="G1449" s="374"/>
      <c r="H1449" s="374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6"/>
      <c r="D1450" s="374"/>
      <c r="E1450" s="375"/>
      <c r="F1450" s="374"/>
      <c r="G1450" s="374"/>
      <c r="H1450" s="374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6"/>
      <c r="D1451" s="374"/>
      <c r="E1451" s="375"/>
      <c r="F1451" s="374"/>
      <c r="G1451" s="374"/>
      <c r="H1451" s="374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6"/>
      <c r="D1452" s="374"/>
      <c r="E1452" s="375"/>
      <c r="F1452" s="374"/>
      <c r="G1452" s="374"/>
      <c r="H1452" s="374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6"/>
      <c r="D1453" s="374"/>
      <c r="E1453" s="375"/>
      <c r="F1453" s="374"/>
      <c r="G1453" s="374"/>
      <c r="H1453" s="374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6"/>
      <c r="D1454" s="374"/>
      <c r="E1454" s="375"/>
      <c r="F1454" s="374"/>
      <c r="G1454" s="374"/>
      <c r="H1454" s="374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6"/>
      <c r="D1455" s="374"/>
      <c r="E1455" s="375"/>
      <c r="F1455" s="374"/>
      <c r="G1455" s="374"/>
      <c r="H1455" s="374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6"/>
      <c r="D1456" s="374"/>
      <c r="E1456" s="375"/>
      <c r="F1456" s="374"/>
      <c r="G1456" s="374"/>
      <c r="H1456" s="374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6"/>
      <c r="D1457" s="374"/>
      <c r="E1457" s="375"/>
      <c r="F1457" s="374"/>
      <c r="G1457" s="374"/>
      <c r="H1457" s="374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6"/>
      <c r="D1458" s="374"/>
      <c r="E1458" s="375"/>
      <c r="F1458" s="374"/>
      <c r="G1458" s="374"/>
      <c r="H1458" s="374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6"/>
      <c r="D1459" s="374"/>
      <c r="E1459" s="375"/>
      <c r="F1459" s="374"/>
      <c r="G1459" s="374"/>
      <c r="H1459" s="374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6"/>
      <c r="D1460" s="374"/>
      <c r="E1460" s="375"/>
      <c r="F1460" s="374"/>
      <c r="G1460" s="374"/>
      <c r="H1460" s="374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6"/>
      <c r="D1461" s="374"/>
      <c r="E1461" s="375"/>
      <c r="F1461" s="374"/>
      <c r="G1461" s="374"/>
      <c r="H1461" s="374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6"/>
      <c r="D1462" s="374"/>
      <c r="E1462" s="375"/>
      <c r="F1462" s="374"/>
      <c r="G1462" s="374"/>
      <c r="H1462" s="374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6"/>
      <c r="D1463" s="374"/>
      <c r="E1463" s="375"/>
      <c r="F1463" s="374"/>
      <c r="G1463" s="374"/>
      <c r="H1463" s="374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6"/>
      <c r="D1464" s="374"/>
      <c r="E1464" s="375"/>
      <c r="F1464" s="374"/>
      <c r="G1464" s="374"/>
      <c r="H1464" s="374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6"/>
      <c r="D1465" s="374"/>
      <c r="E1465" s="375"/>
      <c r="F1465" s="374"/>
      <c r="G1465" s="374"/>
      <c r="H1465" s="374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6"/>
      <c r="D1466" s="374"/>
      <c r="E1466" s="375"/>
      <c r="F1466" s="374"/>
      <c r="G1466" s="374"/>
      <c r="H1466" s="374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6"/>
      <c r="D1467" s="374"/>
      <c r="E1467" s="375"/>
      <c r="F1467" s="374"/>
      <c r="G1467" s="374"/>
      <c r="H1467" s="374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6"/>
      <c r="D1468" s="374"/>
      <c r="E1468" s="375"/>
      <c r="F1468" s="374"/>
      <c r="G1468" s="374"/>
      <c r="H1468" s="374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6"/>
      <c r="D1469" s="374"/>
      <c r="E1469" s="375"/>
      <c r="F1469" s="374"/>
      <c r="G1469" s="374"/>
      <c r="H1469" s="374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6"/>
      <c r="D1470" s="374"/>
      <c r="E1470" s="375"/>
      <c r="F1470" s="374"/>
      <c r="G1470" s="374"/>
      <c r="H1470" s="374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6"/>
      <c r="D1471" s="374"/>
      <c r="E1471" s="375"/>
      <c r="F1471" s="374"/>
      <c r="G1471" s="374"/>
      <c r="H1471" s="374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6"/>
      <c r="D1472" s="374"/>
      <c r="E1472" s="375"/>
      <c r="F1472" s="374"/>
      <c r="G1472" s="374"/>
      <c r="H1472" s="374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6"/>
      <c r="D1473" s="374"/>
      <c r="E1473" s="375"/>
      <c r="F1473" s="374"/>
      <c r="G1473" s="374"/>
      <c r="H1473" s="374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6"/>
      <c r="D1474" s="374"/>
      <c r="E1474" s="375"/>
      <c r="F1474" s="374"/>
      <c r="G1474" s="374"/>
      <c r="H1474" s="374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6"/>
      <c r="D1475" s="374"/>
      <c r="E1475" s="375"/>
      <c r="F1475" s="374"/>
      <c r="G1475" s="374"/>
      <c r="H1475" s="374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6"/>
      <c r="D1476" s="374"/>
      <c r="E1476" s="375"/>
      <c r="F1476" s="374"/>
      <c r="G1476" s="374"/>
      <c r="H1476" s="374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6"/>
      <c r="D1477" s="374"/>
      <c r="E1477" s="375"/>
      <c r="F1477" s="374"/>
      <c r="G1477" s="374"/>
      <c r="H1477" s="374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6"/>
      <c r="D1478" s="374"/>
      <c r="E1478" s="375"/>
      <c r="F1478" s="374"/>
      <c r="G1478" s="374"/>
      <c r="H1478" s="374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6"/>
      <c r="D1479" s="374"/>
      <c r="E1479" s="375"/>
      <c r="F1479" s="374"/>
      <c r="G1479" s="374"/>
      <c r="H1479" s="374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6"/>
      <c r="D1480" s="374"/>
      <c r="E1480" s="375"/>
      <c r="F1480" s="374"/>
      <c r="G1480" s="374"/>
      <c r="H1480" s="374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6"/>
      <c r="D1481" s="374"/>
      <c r="E1481" s="375"/>
      <c r="F1481" s="374"/>
      <c r="G1481" s="374"/>
      <c r="H1481" s="374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6"/>
      <c r="D1482" s="374"/>
      <c r="E1482" s="375"/>
      <c r="F1482" s="374"/>
      <c r="G1482" s="374"/>
      <c r="H1482" s="374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6"/>
      <c r="D1483" s="374"/>
      <c r="E1483" s="375"/>
      <c r="F1483" s="374"/>
      <c r="G1483" s="374"/>
      <c r="H1483" s="374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6"/>
      <c r="D1484" s="374"/>
      <c r="E1484" s="375"/>
      <c r="F1484" s="374"/>
      <c r="G1484" s="374"/>
      <c r="H1484" s="374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6"/>
      <c r="D1485" s="374"/>
      <c r="E1485" s="375"/>
      <c r="F1485" s="374"/>
      <c r="G1485" s="374"/>
      <c r="H1485" s="374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6"/>
      <c r="D1486" s="374"/>
      <c r="E1486" s="375"/>
      <c r="F1486" s="374"/>
      <c r="G1486" s="374"/>
      <c r="H1486" s="374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6"/>
      <c r="D1487" s="374"/>
      <c r="E1487" s="375"/>
      <c r="F1487" s="374"/>
      <c r="G1487" s="374"/>
      <c r="H1487" s="374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6"/>
      <c r="D1488" s="374"/>
      <c r="E1488" s="375"/>
      <c r="F1488" s="374"/>
      <c r="G1488" s="374"/>
      <c r="H1488" s="374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6"/>
      <c r="D1489" s="374"/>
      <c r="E1489" s="375"/>
      <c r="F1489" s="374"/>
      <c r="G1489" s="374"/>
      <c r="H1489" s="374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6"/>
      <c r="D1490" s="374"/>
      <c r="E1490" s="375"/>
      <c r="F1490" s="374"/>
      <c r="G1490" s="374"/>
      <c r="H1490" s="374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6"/>
      <c r="D1491" s="374"/>
      <c r="E1491" s="375"/>
      <c r="F1491" s="374"/>
      <c r="G1491" s="374"/>
      <c r="H1491" s="374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6"/>
      <c r="D1492" s="374"/>
      <c r="E1492" s="375"/>
      <c r="F1492" s="374"/>
      <c r="G1492" s="374"/>
      <c r="H1492" s="374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6"/>
      <c r="D1493" s="374"/>
      <c r="E1493" s="375"/>
      <c r="F1493" s="374"/>
      <c r="G1493" s="374"/>
      <c r="H1493" s="374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6"/>
      <c r="D1494" s="374"/>
      <c r="E1494" s="375"/>
      <c r="F1494" s="374"/>
      <c r="G1494" s="374"/>
      <c r="H1494" s="374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6"/>
      <c r="D1495" s="374"/>
      <c r="E1495" s="375"/>
      <c r="F1495" s="374"/>
      <c r="G1495" s="374"/>
      <c r="H1495" s="374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6"/>
      <c r="D1496" s="374"/>
      <c r="E1496" s="375"/>
      <c r="F1496" s="374"/>
      <c r="G1496" s="374"/>
      <c r="H1496" s="374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6"/>
      <c r="D1497" s="374"/>
      <c r="E1497" s="375"/>
      <c r="F1497" s="374"/>
      <c r="G1497" s="374"/>
      <c r="H1497" s="374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6"/>
      <c r="D1498" s="374"/>
      <c r="E1498" s="375"/>
      <c r="F1498" s="374"/>
      <c r="G1498" s="374"/>
      <c r="H1498" s="374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6"/>
      <c r="D1499" s="374"/>
      <c r="E1499" s="375"/>
      <c r="F1499" s="374"/>
      <c r="G1499" s="374"/>
      <c r="H1499" s="374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6"/>
      <c r="D1500" s="374"/>
      <c r="E1500" s="375"/>
      <c r="F1500" s="374"/>
      <c r="G1500" s="374"/>
      <c r="H1500" s="374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6"/>
      <c r="D1501" s="374"/>
      <c r="E1501" s="375"/>
      <c r="F1501" s="374"/>
      <c r="G1501" s="374"/>
      <c r="H1501" s="374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6"/>
      <c r="D1502" s="374"/>
      <c r="E1502" s="375"/>
      <c r="F1502" s="374"/>
      <c r="G1502" s="374"/>
      <c r="H1502" s="374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6"/>
      <c r="D1503" s="374"/>
      <c r="E1503" s="375"/>
      <c r="F1503" s="374"/>
      <c r="G1503" s="374"/>
      <c r="H1503" s="374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6"/>
      <c r="D1504" s="374"/>
      <c r="E1504" s="375"/>
      <c r="F1504" s="374"/>
      <c r="G1504" s="374"/>
      <c r="H1504" s="374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6"/>
      <c r="D1505" s="374"/>
      <c r="E1505" s="375"/>
      <c r="F1505" s="374"/>
      <c r="G1505" s="374"/>
      <c r="H1505" s="374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6"/>
      <c r="D1506" s="374"/>
      <c r="E1506" s="375"/>
      <c r="F1506" s="374"/>
      <c r="G1506" s="374"/>
      <c r="H1506" s="374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6"/>
      <c r="D1507" s="374"/>
      <c r="E1507" s="375"/>
      <c r="F1507" s="374"/>
      <c r="G1507" s="374"/>
      <c r="H1507" s="374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6"/>
      <c r="D1508" s="374"/>
      <c r="E1508" s="375"/>
      <c r="F1508" s="374"/>
      <c r="G1508" s="374"/>
      <c r="H1508" s="374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6"/>
      <c r="D1509" s="374"/>
      <c r="E1509" s="375"/>
      <c r="F1509" s="374"/>
      <c r="G1509" s="374"/>
      <c r="H1509" s="374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6"/>
      <c r="D1510" s="374"/>
      <c r="E1510" s="375"/>
      <c r="F1510" s="374"/>
      <c r="G1510" s="374"/>
      <c r="H1510" s="374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6"/>
      <c r="D1511" s="374"/>
      <c r="E1511" s="375"/>
      <c r="F1511" s="374"/>
      <c r="G1511" s="374"/>
      <c r="H1511" s="374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6"/>
      <c r="D1512" s="374"/>
      <c r="E1512" s="375"/>
      <c r="F1512" s="374"/>
      <c r="G1512" s="374"/>
      <c r="H1512" s="374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6"/>
      <c r="D1513" s="374"/>
      <c r="E1513" s="375"/>
      <c r="F1513" s="374"/>
      <c r="G1513" s="374"/>
      <c r="H1513" s="374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6"/>
      <c r="D1514" s="374"/>
      <c r="E1514" s="375"/>
      <c r="F1514" s="374"/>
      <c r="G1514" s="374"/>
      <c r="H1514" s="374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6"/>
      <c r="D1515" s="374"/>
      <c r="E1515" s="375"/>
      <c r="F1515" s="374"/>
      <c r="G1515" s="374"/>
      <c r="H1515" s="374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6"/>
      <c r="D1516" s="374"/>
      <c r="E1516" s="375"/>
      <c r="F1516" s="374"/>
      <c r="G1516" s="374"/>
      <c r="H1516" s="374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6"/>
      <c r="D1517" s="374"/>
      <c r="E1517" s="375"/>
      <c r="F1517" s="374"/>
      <c r="G1517" s="374"/>
      <c r="H1517" s="374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6"/>
      <c r="D1518" s="374"/>
      <c r="E1518" s="375"/>
      <c r="F1518" s="374"/>
      <c r="G1518" s="374"/>
      <c r="H1518" s="374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6"/>
      <c r="D1519" s="374"/>
      <c r="E1519" s="375"/>
      <c r="F1519" s="374"/>
      <c r="G1519" s="374"/>
      <c r="H1519" s="374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6"/>
      <c r="D1520" s="374"/>
      <c r="E1520" s="375"/>
      <c r="F1520" s="374"/>
      <c r="G1520" s="374"/>
      <c r="H1520" s="374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6"/>
      <c r="D1521" s="374"/>
      <c r="E1521" s="375"/>
      <c r="F1521" s="374"/>
      <c r="G1521" s="374"/>
      <c r="H1521" s="374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6"/>
      <c r="D1522" s="374"/>
      <c r="E1522" s="375"/>
      <c r="F1522" s="374"/>
      <c r="G1522" s="374"/>
      <c r="H1522" s="374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6"/>
      <c r="D1523" s="374"/>
      <c r="E1523" s="375"/>
      <c r="F1523" s="374"/>
      <c r="G1523" s="374"/>
      <c r="H1523" s="374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6"/>
      <c r="D1524" s="374"/>
      <c r="E1524" s="375"/>
      <c r="F1524" s="374"/>
      <c r="G1524" s="374"/>
      <c r="H1524" s="374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6"/>
      <c r="D1525" s="374"/>
      <c r="E1525" s="375"/>
      <c r="F1525" s="374"/>
      <c r="G1525" s="374"/>
      <c r="H1525" s="374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6"/>
      <c r="D1526" s="374"/>
      <c r="E1526" s="375"/>
      <c r="F1526" s="374"/>
      <c r="G1526" s="374"/>
      <c r="H1526" s="374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6"/>
      <c r="D1527" s="374"/>
      <c r="E1527" s="375"/>
      <c r="F1527" s="374"/>
      <c r="G1527" s="374"/>
      <c r="H1527" s="374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6"/>
      <c r="D1528" s="374"/>
      <c r="E1528" s="375"/>
      <c r="F1528" s="374"/>
      <c r="G1528" s="374"/>
      <c r="H1528" s="374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6"/>
      <c r="D1529" s="374"/>
      <c r="E1529" s="375"/>
      <c r="F1529" s="374"/>
      <c r="G1529" s="374"/>
      <c r="H1529" s="374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6"/>
      <c r="D1530" s="374"/>
      <c r="E1530" s="375"/>
      <c r="F1530" s="374"/>
      <c r="G1530" s="374"/>
      <c r="H1530" s="374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6"/>
      <c r="D1531" s="374"/>
      <c r="E1531" s="375"/>
      <c r="F1531" s="374"/>
      <c r="G1531" s="374"/>
      <c r="H1531" s="374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6"/>
      <c r="D1532" s="374"/>
      <c r="E1532" s="375"/>
      <c r="F1532" s="374"/>
      <c r="G1532" s="374"/>
      <c r="H1532" s="374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6"/>
      <c r="D1533" s="374"/>
      <c r="E1533" s="375"/>
      <c r="F1533" s="374"/>
      <c r="G1533" s="374"/>
      <c r="H1533" s="374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6"/>
      <c r="D1534" s="374"/>
      <c r="E1534" s="375"/>
      <c r="F1534" s="374"/>
      <c r="G1534" s="374"/>
      <c r="H1534" s="374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6"/>
      <c r="D1535" s="374"/>
      <c r="E1535" s="375"/>
      <c r="F1535" s="374"/>
      <c r="G1535" s="374"/>
      <c r="H1535" s="374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6"/>
      <c r="D1536" s="374"/>
      <c r="E1536" s="375"/>
      <c r="F1536" s="374"/>
      <c r="G1536" s="374"/>
      <c r="H1536" s="374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6"/>
      <c r="D1537" s="374"/>
      <c r="E1537" s="375"/>
      <c r="F1537" s="374"/>
      <c r="G1537" s="374"/>
      <c r="H1537" s="374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6"/>
      <c r="D1538" s="374"/>
      <c r="E1538" s="375"/>
      <c r="F1538" s="374"/>
      <c r="G1538" s="374"/>
      <c r="H1538" s="374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6"/>
      <c r="D1539" s="374"/>
      <c r="E1539" s="375"/>
      <c r="F1539" s="374"/>
      <c r="G1539" s="374"/>
      <c r="H1539" s="374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6"/>
      <c r="D1540" s="374"/>
      <c r="E1540" s="375"/>
      <c r="F1540" s="374"/>
      <c r="G1540" s="374"/>
      <c r="H1540" s="374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6"/>
      <c r="D1541" s="374"/>
      <c r="E1541" s="375"/>
      <c r="F1541" s="374"/>
      <c r="G1541" s="374"/>
      <c r="H1541" s="374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6"/>
      <c r="D1542" s="374"/>
      <c r="E1542" s="375"/>
      <c r="F1542" s="374"/>
      <c r="G1542" s="374"/>
      <c r="H1542" s="374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6"/>
      <c r="D1543" s="374"/>
      <c r="E1543" s="375"/>
      <c r="F1543" s="374"/>
      <c r="G1543" s="374"/>
      <c r="H1543" s="374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6"/>
      <c r="D1544" s="374"/>
      <c r="E1544" s="375"/>
      <c r="F1544" s="374"/>
      <c r="G1544" s="374"/>
      <c r="H1544" s="374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6"/>
      <c r="D1545" s="374"/>
      <c r="E1545" s="375"/>
      <c r="F1545" s="374"/>
      <c r="G1545" s="374"/>
      <c r="H1545" s="374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6"/>
      <c r="D1546" s="374"/>
      <c r="E1546" s="375"/>
      <c r="F1546" s="374"/>
      <c r="G1546" s="374"/>
      <c r="H1546" s="374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6"/>
      <c r="D1547" s="374"/>
      <c r="E1547" s="375"/>
      <c r="F1547" s="374"/>
      <c r="G1547" s="374"/>
      <c r="H1547" s="374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6"/>
      <c r="D1548" s="374"/>
      <c r="E1548" s="375"/>
      <c r="F1548" s="374"/>
      <c r="G1548" s="374"/>
      <c r="H1548" s="374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6"/>
      <c r="D1549" s="374"/>
      <c r="E1549" s="375"/>
      <c r="F1549" s="374"/>
      <c r="G1549" s="374"/>
      <c r="H1549" s="374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6"/>
      <c r="D1550" s="374"/>
      <c r="E1550" s="375"/>
      <c r="F1550" s="374"/>
      <c r="G1550" s="374"/>
      <c r="H1550" s="374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6"/>
      <c r="D1551" s="374"/>
      <c r="E1551" s="375"/>
      <c r="F1551" s="374"/>
      <c r="G1551" s="374"/>
      <c r="H1551" s="374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6"/>
      <c r="D1552" s="374"/>
      <c r="E1552" s="375"/>
      <c r="F1552" s="374"/>
      <c r="G1552" s="374"/>
      <c r="H1552" s="374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6"/>
      <c r="D1553" s="374"/>
      <c r="E1553" s="375"/>
      <c r="F1553" s="374"/>
      <c r="G1553" s="374"/>
      <c r="H1553" s="374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6"/>
      <c r="D1554" s="374"/>
      <c r="E1554" s="375"/>
      <c r="F1554" s="374"/>
      <c r="G1554" s="374"/>
      <c r="H1554" s="374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6"/>
      <c r="D1555" s="374"/>
      <c r="E1555" s="375"/>
      <c r="F1555" s="374"/>
      <c r="G1555" s="374"/>
      <c r="H1555" s="374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6"/>
      <c r="D1556" s="374"/>
      <c r="E1556" s="375"/>
      <c r="F1556" s="374"/>
      <c r="G1556" s="374"/>
      <c r="H1556" s="374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6"/>
      <c r="D1557" s="374"/>
      <c r="E1557" s="375"/>
      <c r="F1557" s="374"/>
      <c r="G1557" s="374"/>
      <c r="H1557" s="374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6"/>
      <c r="D1558" s="374"/>
      <c r="E1558" s="375"/>
      <c r="F1558" s="374"/>
      <c r="G1558" s="374"/>
      <c r="H1558" s="374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6"/>
      <c r="D1559" s="374"/>
      <c r="E1559" s="375"/>
      <c r="F1559" s="374"/>
      <c r="G1559" s="374"/>
      <c r="H1559" s="374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6"/>
      <c r="D1560" s="374"/>
      <c r="E1560" s="375"/>
      <c r="F1560" s="374"/>
      <c r="G1560" s="374"/>
      <c r="H1560" s="374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6"/>
      <c r="D1561" s="374"/>
      <c r="E1561" s="375"/>
      <c r="F1561" s="374"/>
      <c r="G1561" s="374"/>
      <c r="H1561" s="374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6"/>
      <c r="D1562" s="374"/>
      <c r="E1562" s="375"/>
      <c r="F1562" s="374"/>
      <c r="G1562" s="374"/>
      <c r="H1562" s="374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6"/>
      <c r="D1563" s="374"/>
      <c r="E1563" s="375"/>
      <c r="F1563" s="374"/>
      <c r="G1563" s="374"/>
      <c r="H1563" s="374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6"/>
      <c r="D1564" s="374"/>
      <c r="E1564" s="375"/>
      <c r="F1564" s="374"/>
      <c r="G1564" s="374"/>
      <c r="H1564" s="374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6"/>
      <c r="D1565" s="374"/>
      <c r="E1565" s="375"/>
      <c r="F1565" s="374"/>
      <c r="G1565" s="374"/>
      <c r="H1565" s="374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6"/>
      <c r="D1566" s="374"/>
      <c r="E1566" s="375"/>
      <c r="F1566" s="374"/>
      <c r="G1566" s="374"/>
      <c r="H1566" s="374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6"/>
      <c r="D1567" s="374"/>
      <c r="E1567" s="375"/>
      <c r="F1567" s="374"/>
      <c r="G1567" s="374"/>
      <c r="H1567" s="374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6"/>
      <c r="D1568" s="374"/>
      <c r="E1568" s="375"/>
      <c r="F1568" s="374"/>
      <c r="G1568" s="374"/>
      <c r="H1568" s="374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6"/>
      <c r="D1569" s="374"/>
      <c r="E1569" s="375"/>
      <c r="F1569" s="374"/>
      <c r="G1569" s="374"/>
      <c r="H1569" s="374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6"/>
      <c r="D1570" s="374"/>
      <c r="E1570" s="375"/>
      <c r="F1570" s="374"/>
      <c r="G1570" s="374"/>
      <c r="H1570" s="374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6"/>
      <c r="D1571" s="374"/>
      <c r="E1571" s="375"/>
      <c r="F1571" s="374"/>
      <c r="G1571" s="374"/>
      <c r="H1571" s="374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6"/>
      <c r="D1572" s="374"/>
      <c r="E1572" s="375"/>
      <c r="F1572" s="374"/>
      <c r="G1572" s="374"/>
      <c r="H1572" s="374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6"/>
      <c r="D1573" s="374"/>
      <c r="E1573" s="375"/>
      <c r="F1573" s="374"/>
      <c r="G1573" s="374"/>
      <c r="H1573" s="374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6"/>
      <c r="D1574" s="374"/>
      <c r="E1574" s="375"/>
      <c r="F1574" s="374"/>
      <c r="G1574" s="374"/>
      <c r="H1574" s="374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6"/>
      <c r="D1575" s="374"/>
      <c r="E1575" s="375"/>
      <c r="F1575" s="374"/>
      <c r="G1575" s="374"/>
      <c r="H1575" s="374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6"/>
      <c r="D1576" s="374"/>
      <c r="E1576" s="375"/>
      <c r="F1576" s="374"/>
      <c r="G1576" s="374"/>
      <c r="H1576" s="374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6"/>
      <c r="D1577" s="374"/>
      <c r="E1577" s="375"/>
      <c r="F1577" s="374"/>
      <c r="G1577" s="374"/>
      <c r="H1577" s="374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6"/>
      <c r="D1578" s="374"/>
      <c r="E1578" s="375"/>
      <c r="F1578" s="374"/>
      <c r="G1578" s="374"/>
      <c r="H1578" s="374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6"/>
      <c r="D1579" s="374"/>
      <c r="E1579" s="375"/>
      <c r="F1579" s="374"/>
      <c r="G1579" s="374"/>
      <c r="H1579" s="374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6"/>
      <c r="D1580" s="374"/>
      <c r="E1580" s="375"/>
      <c r="F1580" s="374"/>
      <c r="G1580" s="374"/>
      <c r="H1580" s="374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6"/>
      <c r="D1581" s="374"/>
      <c r="E1581" s="375"/>
      <c r="F1581" s="374"/>
      <c r="G1581" s="374"/>
      <c r="H1581" s="374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6"/>
      <c r="D1582" s="374"/>
      <c r="E1582" s="375"/>
      <c r="F1582" s="374"/>
      <c r="G1582" s="374"/>
      <c r="H1582" s="374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6"/>
      <c r="D1583" s="374"/>
      <c r="E1583" s="375"/>
      <c r="F1583" s="374"/>
      <c r="G1583" s="374"/>
      <c r="H1583" s="374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6"/>
      <c r="D1584" s="374"/>
      <c r="E1584" s="375"/>
      <c r="F1584" s="374"/>
      <c r="G1584" s="374"/>
      <c r="H1584" s="374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6"/>
      <c r="D1585" s="374"/>
      <c r="E1585" s="375"/>
      <c r="F1585" s="374"/>
      <c r="G1585" s="374"/>
      <c r="H1585" s="374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6"/>
      <c r="D1586" s="374"/>
      <c r="E1586" s="375"/>
      <c r="F1586" s="374"/>
      <c r="G1586" s="374"/>
      <c r="H1586" s="374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6"/>
      <c r="D1587" s="374"/>
      <c r="E1587" s="375"/>
      <c r="F1587" s="374"/>
      <c r="G1587" s="374"/>
      <c r="H1587" s="374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6"/>
      <c r="D1588" s="374"/>
      <c r="E1588" s="375"/>
      <c r="F1588" s="374"/>
      <c r="G1588" s="374"/>
      <c r="H1588" s="374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6"/>
      <c r="D1589" s="374"/>
      <c r="E1589" s="375"/>
      <c r="F1589" s="374"/>
      <c r="G1589" s="374"/>
      <c r="H1589" s="374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6"/>
      <c r="D1590" s="374"/>
      <c r="E1590" s="375"/>
      <c r="F1590" s="374"/>
      <c r="G1590" s="374"/>
      <c r="H1590" s="374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6"/>
      <c r="D1591" s="374"/>
      <c r="E1591" s="375"/>
      <c r="F1591" s="374"/>
      <c r="G1591" s="374"/>
      <c r="H1591" s="374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6"/>
      <c r="D1592" s="374"/>
      <c r="E1592" s="375"/>
      <c r="F1592" s="374"/>
      <c r="G1592" s="374"/>
      <c r="H1592" s="374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6"/>
      <c r="D1593" s="374"/>
      <c r="E1593" s="375"/>
      <c r="F1593" s="374"/>
      <c r="G1593" s="374"/>
      <c r="H1593" s="374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6"/>
      <c r="D1594" s="374"/>
      <c r="E1594" s="375"/>
      <c r="F1594" s="374"/>
      <c r="G1594" s="374"/>
      <c r="H1594" s="374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6"/>
      <c r="D1595" s="374"/>
      <c r="E1595" s="375"/>
      <c r="F1595" s="374"/>
      <c r="G1595" s="374"/>
      <c r="H1595" s="374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6"/>
      <c r="D1596" s="374"/>
      <c r="E1596" s="375"/>
      <c r="F1596" s="374"/>
      <c r="G1596" s="374"/>
      <c r="H1596" s="374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6"/>
      <c r="D1597" s="374"/>
      <c r="E1597" s="375"/>
      <c r="F1597" s="374"/>
      <c r="G1597" s="374"/>
      <c r="H1597" s="374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6"/>
      <c r="D1598" s="374"/>
      <c r="E1598" s="375"/>
      <c r="F1598" s="374"/>
      <c r="G1598" s="374"/>
      <c r="H1598" s="374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6"/>
      <c r="D1599" s="374"/>
      <c r="E1599" s="375"/>
      <c r="F1599" s="374"/>
      <c r="G1599" s="374"/>
      <c r="H1599" s="374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6"/>
      <c r="D1600" s="374"/>
      <c r="E1600" s="375"/>
      <c r="F1600" s="374"/>
      <c r="G1600" s="374"/>
      <c r="H1600" s="374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6"/>
      <c r="D1601" s="374"/>
      <c r="E1601" s="375"/>
      <c r="F1601" s="374"/>
      <c r="G1601" s="374"/>
      <c r="H1601" s="374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6"/>
      <c r="D1602" s="374"/>
      <c r="E1602" s="375"/>
      <c r="F1602" s="374"/>
      <c r="G1602" s="374"/>
      <c r="H1602" s="374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6"/>
      <c r="D1603" s="374"/>
      <c r="E1603" s="375"/>
      <c r="F1603" s="374"/>
      <c r="G1603" s="374"/>
      <c r="H1603" s="374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6"/>
      <c r="D1604" s="374"/>
      <c r="E1604" s="375"/>
      <c r="F1604" s="374"/>
      <c r="G1604" s="374"/>
      <c r="H1604" s="374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6"/>
      <c r="D1605" s="374"/>
      <c r="E1605" s="375"/>
      <c r="F1605" s="374"/>
      <c r="G1605" s="374"/>
      <c r="H1605" s="374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6"/>
      <c r="D1606" s="374"/>
      <c r="E1606" s="375"/>
      <c r="F1606" s="374"/>
      <c r="G1606" s="374"/>
      <c r="H1606" s="374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6"/>
      <c r="D1607" s="374"/>
      <c r="E1607" s="375"/>
      <c r="F1607" s="374"/>
      <c r="G1607" s="374"/>
      <c r="H1607" s="374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6"/>
      <c r="D1608" s="374"/>
      <c r="E1608" s="375"/>
      <c r="F1608" s="374"/>
      <c r="G1608" s="374"/>
      <c r="H1608" s="374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6"/>
      <c r="D1609" s="374"/>
      <c r="E1609" s="375"/>
      <c r="F1609" s="374"/>
      <c r="G1609" s="374"/>
      <c r="H1609" s="374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6"/>
      <c r="D1610" s="374"/>
      <c r="E1610" s="375"/>
      <c r="F1610" s="374"/>
      <c r="G1610" s="374"/>
      <c r="H1610" s="374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6"/>
      <c r="D1611" s="374"/>
      <c r="E1611" s="375"/>
      <c r="F1611" s="374"/>
      <c r="G1611" s="374"/>
      <c r="H1611" s="374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6"/>
      <c r="D1612" s="374"/>
      <c r="E1612" s="375"/>
      <c r="F1612" s="374"/>
      <c r="G1612" s="374"/>
      <c r="H1612" s="374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6"/>
      <c r="D1613" s="374"/>
      <c r="E1613" s="375"/>
      <c r="F1613" s="374"/>
      <c r="G1613" s="374"/>
      <c r="H1613" s="374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6"/>
      <c r="D1614" s="374"/>
      <c r="E1614" s="375"/>
      <c r="F1614" s="374"/>
      <c r="G1614" s="374"/>
      <c r="H1614" s="374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6"/>
      <c r="D1615" s="374"/>
      <c r="E1615" s="375"/>
      <c r="F1615" s="374"/>
      <c r="G1615" s="374"/>
      <c r="H1615" s="374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6"/>
      <c r="D1616" s="374"/>
      <c r="E1616" s="375"/>
      <c r="F1616" s="374"/>
      <c r="G1616" s="374"/>
      <c r="H1616" s="374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6"/>
      <c r="D1617" s="374"/>
      <c r="E1617" s="375"/>
      <c r="F1617" s="374"/>
      <c r="G1617" s="374"/>
      <c r="H1617" s="374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6"/>
      <c r="D1618" s="374"/>
      <c r="E1618" s="375"/>
      <c r="F1618" s="374"/>
      <c r="G1618" s="374"/>
      <c r="H1618" s="374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6"/>
      <c r="D1619" s="374"/>
      <c r="E1619" s="375"/>
      <c r="F1619" s="374"/>
      <c r="G1619" s="374"/>
      <c r="H1619" s="374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6"/>
      <c r="D1620" s="374"/>
      <c r="E1620" s="375"/>
      <c r="F1620" s="374"/>
      <c r="G1620" s="374"/>
      <c r="H1620" s="374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6"/>
      <c r="D1621" s="374"/>
      <c r="E1621" s="375"/>
      <c r="F1621" s="374"/>
      <c r="G1621" s="374"/>
      <c r="H1621" s="374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6"/>
      <c r="D1622" s="374"/>
      <c r="E1622" s="375"/>
      <c r="F1622" s="374"/>
      <c r="G1622" s="374"/>
      <c r="H1622" s="374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6"/>
      <c r="D1623" s="374"/>
      <c r="E1623" s="375"/>
      <c r="F1623" s="374"/>
      <c r="G1623" s="374"/>
      <c r="H1623" s="374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6"/>
      <c r="D1624" s="374"/>
      <c r="E1624" s="375"/>
      <c r="F1624" s="374"/>
      <c r="G1624" s="374"/>
      <c r="H1624" s="374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6"/>
      <c r="D1625" s="374"/>
      <c r="E1625" s="375"/>
      <c r="F1625" s="374"/>
      <c r="G1625" s="374"/>
      <c r="H1625" s="374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6"/>
      <c r="D1626" s="374"/>
      <c r="E1626" s="375"/>
      <c r="F1626" s="374"/>
      <c r="G1626" s="374"/>
      <c r="H1626" s="374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6"/>
      <c r="D1627" s="374"/>
      <c r="E1627" s="375"/>
      <c r="F1627" s="374"/>
      <c r="G1627" s="374"/>
      <c r="H1627" s="374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6"/>
      <c r="D1628" s="374"/>
      <c r="E1628" s="375"/>
      <c r="F1628" s="374"/>
      <c r="G1628" s="374"/>
      <c r="H1628" s="374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6"/>
      <c r="D1629" s="374"/>
      <c r="E1629" s="375"/>
      <c r="F1629" s="374"/>
      <c r="G1629" s="374"/>
      <c r="H1629" s="374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6"/>
      <c r="D1630" s="374"/>
      <c r="E1630" s="375"/>
      <c r="F1630" s="374"/>
      <c r="G1630" s="374"/>
      <c r="H1630" s="374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6"/>
      <c r="D1631" s="374"/>
      <c r="E1631" s="375"/>
      <c r="F1631" s="374"/>
      <c r="G1631" s="374"/>
      <c r="H1631" s="374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6"/>
      <c r="D1632" s="374"/>
      <c r="E1632" s="375"/>
      <c r="F1632" s="374"/>
      <c r="G1632" s="374"/>
      <c r="H1632" s="374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6"/>
      <c r="D1633" s="374"/>
      <c r="E1633" s="375"/>
      <c r="F1633" s="374"/>
      <c r="G1633" s="374"/>
      <c r="H1633" s="374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6"/>
      <c r="D1634" s="374"/>
      <c r="E1634" s="375"/>
      <c r="F1634" s="374"/>
      <c r="G1634" s="374"/>
      <c r="H1634" s="374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6"/>
      <c r="D1635" s="374"/>
      <c r="E1635" s="375"/>
      <c r="F1635" s="374"/>
      <c r="G1635" s="374"/>
      <c r="H1635" s="374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6"/>
      <c r="D1636" s="374"/>
      <c r="E1636" s="375"/>
      <c r="F1636" s="374"/>
      <c r="G1636" s="374"/>
      <c r="H1636" s="374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6"/>
      <c r="D1637" s="374"/>
      <c r="E1637" s="375"/>
      <c r="F1637" s="374"/>
      <c r="G1637" s="374"/>
      <c r="H1637" s="374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6"/>
      <c r="D1638" s="374"/>
      <c r="E1638" s="375"/>
      <c r="F1638" s="374"/>
      <c r="G1638" s="374"/>
      <c r="H1638" s="374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6"/>
      <c r="D1639" s="374"/>
      <c r="E1639" s="375"/>
      <c r="F1639" s="374"/>
      <c r="G1639" s="374"/>
      <c r="H1639" s="374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6"/>
      <c r="D1640" s="374"/>
      <c r="E1640" s="375"/>
      <c r="F1640" s="374"/>
      <c r="G1640" s="374"/>
      <c r="H1640" s="374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6"/>
      <c r="D1641" s="374"/>
      <c r="E1641" s="375"/>
      <c r="F1641" s="374"/>
      <c r="G1641" s="374"/>
      <c r="H1641" s="374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6"/>
      <c r="D1642" s="374"/>
      <c r="E1642" s="375"/>
      <c r="F1642" s="374"/>
      <c r="G1642" s="374"/>
      <c r="H1642" s="374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6"/>
      <c r="D1643" s="374"/>
      <c r="E1643" s="375"/>
      <c r="F1643" s="374"/>
      <c r="G1643" s="374"/>
      <c r="H1643" s="374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6"/>
      <c r="D1644" s="374"/>
      <c r="E1644" s="375"/>
      <c r="F1644" s="374"/>
      <c r="G1644" s="374"/>
      <c r="H1644" s="374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6"/>
      <c r="D1645" s="374"/>
      <c r="E1645" s="375"/>
      <c r="F1645" s="374"/>
      <c r="G1645" s="374"/>
      <c r="H1645" s="374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6"/>
      <c r="D1646" s="374"/>
      <c r="E1646" s="375"/>
      <c r="F1646" s="374"/>
      <c r="G1646" s="374"/>
      <c r="H1646" s="374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6"/>
      <c r="D1647" s="374"/>
      <c r="E1647" s="375"/>
      <c r="F1647" s="374"/>
      <c r="G1647" s="374"/>
      <c r="H1647" s="374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6"/>
      <c r="D1648" s="374"/>
      <c r="E1648" s="375"/>
      <c r="F1648" s="374"/>
      <c r="G1648" s="374"/>
      <c r="H1648" s="374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6"/>
      <c r="D1649" s="374"/>
      <c r="E1649" s="375"/>
      <c r="F1649" s="374"/>
      <c r="G1649" s="374"/>
      <c r="H1649" s="374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6"/>
      <c r="D1650" s="374"/>
      <c r="E1650" s="375"/>
      <c r="F1650" s="374"/>
      <c r="G1650" s="374"/>
      <c r="H1650" s="374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6"/>
      <c r="D1651" s="374"/>
      <c r="E1651" s="375"/>
      <c r="F1651" s="374"/>
      <c r="G1651" s="374"/>
      <c r="H1651" s="374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6"/>
      <c r="D1652" s="374"/>
      <c r="E1652" s="375"/>
      <c r="F1652" s="374"/>
      <c r="G1652" s="374"/>
      <c r="H1652" s="374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6"/>
      <c r="D1653" s="374"/>
      <c r="E1653" s="375"/>
      <c r="F1653" s="374"/>
      <c r="G1653" s="374"/>
      <c r="H1653" s="374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6"/>
      <c r="D1654" s="374"/>
      <c r="E1654" s="375"/>
      <c r="F1654" s="374"/>
      <c r="G1654" s="374"/>
      <c r="H1654" s="374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6"/>
      <c r="D1655" s="374"/>
      <c r="E1655" s="375"/>
      <c r="F1655" s="374"/>
      <c r="G1655" s="374"/>
      <c r="H1655" s="374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6"/>
      <c r="D1656" s="374"/>
      <c r="E1656" s="375"/>
      <c r="F1656" s="374"/>
      <c r="G1656" s="374"/>
      <c r="H1656" s="374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6"/>
      <c r="D1657" s="374"/>
      <c r="E1657" s="375"/>
      <c r="F1657" s="374"/>
      <c r="G1657" s="374"/>
      <c r="H1657" s="374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6"/>
      <c r="D1658" s="374"/>
      <c r="E1658" s="375"/>
      <c r="F1658" s="374"/>
      <c r="G1658" s="374"/>
      <c r="H1658" s="374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6"/>
      <c r="D1659" s="374"/>
      <c r="E1659" s="375"/>
      <c r="F1659" s="374"/>
      <c r="G1659" s="374"/>
      <c r="H1659" s="374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6"/>
      <c r="D1660" s="374"/>
      <c r="E1660" s="375"/>
      <c r="F1660" s="374"/>
      <c r="G1660" s="374"/>
      <c r="H1660" s="374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6"/>
      <c r="D1661" s="374"/>
      <c r="E1661" s="375"/>
      <c r="F1661" s="374"/>
      <c r="G1661" s="374"/>
      <c r="H1661" s="374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6"/>
      <c r="D1662" s="374"/>
      <c r="E1662" s="375"/>
      <c r="F1662" s="374"/>
      <c r="G1662" s="374"/>
      <c r="H1662" s="374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6"/>
      <c r="D1663" s="374"/>
      <c r="E1663" s="375"/>
      <c r="F1663" s="374"/>
      <c r="G1663" s="374"/>
      <c r="H1663" s="374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6"/>
      <c r="D1664" s="374"/>
      <c r="E1664" s="375"/>
      <c r="F1664" s="374"/>
      <c r="G1664" s="374"/>
      <c r="H1664" s="374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6"/>
      <c r="D1665" s="374"/>
      <c r="E1665" s="375"/>
      <c r="F1665" s="374"/>
      <c r="G1665" s="374"/>
      <c r="H1665" s="374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6"/>
      <c r="D1666" s="374"/>
      <c r="E1666" s="375"/>
      <c r="F1666" s="374"/>
      <c r="G1666" s="374"/>
      <c r="H1666" s="374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6"/>
      <c r="D1667" s="374"/>
      <c r="E1667" s="375"/>
      <c r="F1667" s="374"/>
      <c r="G1667" s="374"/>
      <c r="H1667" s="374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6"/>
      <c r="D1668" s="374"/>
      <c r="E1668" s="375"/>
      <c r="F1668" s="374"/>
      <c r="G1668" s="374"/>
      <c r="H1668" s="374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6"/>
      <c r="D1669" s="374"/>
      <c r="E1669" s="375"/>
      <c r="F1669" s="374"/>
      <c r="G1669" s="374"/>
      <c r="H1669" s="374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6"/>
      <c r="D1670" s="374"/>
      <c r="E1670" s="375"/>
      <c r="F1670" s="374"/>
      <c r="G1670" s="374"/>
      <c r="H1670" s="374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6"/>
      <c r="D1671" s="374"/>
      <c r="E1671" s="375"/>
      <c r="F1671" s="374"/>
      <c r="G1671" s="374"/>
      <c r="H1671" s="374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6"/>
      <c r="D1672" s="374"/>
      <c r="E1672" s="375"/>
      <c r="F1672" s="374"/>
      <c r="G1672" s="374"/>
      <c r="H1672" s="374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6"/>
      <c r="D1673" s="374"/>
      <c r="E1673" s="375"/>
      <c r="F1673" s="374"/>
      <c r="G1673" s="374"/>
      <c r="H1673" s="374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6"/>
      <c r="D1674" s="374"/>
      <c r="E1674" s="375"/>
      <c r="F1674" s="374"/>
      <c r="G1674" s="374"/>
      <c r="H1674" s="374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6"/>
      <c r="D1675" s="374"/>
      <c r="E1675" s="375"/>
      <c r="F1675" s="374"/>
      <c r="G1675" s="374"/>
      <c r="H1675" s="374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6"/>
      <c r="D1676" s="374"/>
      <c r="E1676" s="375"/>
      <c r="F1676" s="374"/>
      <c r="G1676" s="374"/>
      <c r="H1676" s="374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6"/>
      <c r="D1677" s="374"/>
      <c r="E1677" s="375"/>
      <c r="F1677" s="374"/>
      <c r="G1677" s="374"/>
      <c r="H1677" s="374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6"/>
      <c r="D1678" s="374"/>
      <c r="E1678" s="375"/>
      <c r="F1678" s="374"/>
      <c r="G1678" s="374"/>
      <c r="H1678" s="374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6"/>
      <c r="D1679" s="374"/>
      <c r="E1679" s="375"/>
      <c r="F1679" s="374"/>
      <c r="G1679" s="374"/>
      <c r="H1679" s="374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6"/>
      <c r="D1680" s="374"/>
      <c r="E1680" s="375"/>
      <c r="F1680" s="374"/>
      <c r="G1680" s="374"/>
      <c r="H1680" s="374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6"/>
      <c r="D1681" s="374"/>
      <c r="E1681" s="375"/>
      <c r="F1681" s="374"/>
      <c r="G1681" s="374"/>
      <c r="H1681" s="374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6"/>
      <c r="D1682" s="374"/>
      <c r="E1682" s="375"/>
      <c r="F1682" s="374"/>
      <c r="G1682" s="374"/>
      <c r="H1682" s="374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6"/>
      <c r="D1683" s="374"/>
      <c r="E1683" s="375"/>
      <c r="F1683" s="374"/>
      <c r="G1683" s="374"/>
      <c r="H1683" s="374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6"/>
      <c r="D1684" s="374"/>
      <c r="E1684" s="375"/>
      <c r="F1684" s="374"/>
      <c r="G1684" s="374"/>
      <c r="H1684" s="374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6"/>
      <c r="D1685" s="374"/>
      <c r="E1685" s="375"/>
      <c r="F1685" s="374"/>
      <c r="G1685" s="374"/>
      <c r="H1685" s="374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6"/>
      <c r="D1686" s="374"/>
      <c r="E1686" s="375"/>
      <c r="F1686" s="374"/>
      <c r="G1686" s="374"/>
      <c r="H1686" s="374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6"/>
      <c r="D1687" s="374"/>
      <c r="E1687" s="375"/>
      <c r="F1687" s="374"/>
      <c r="G1687" s="374"/>
      <c r="H1687" s="374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6"/>
      <c r="D1688" s="374"/>
      <c r="E1688" s="375"/>
      <c r="F1688" s="374"/>
      <c r="G1688" s="374"/>
      <c r="H1688" s="374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6"/>
      <c r="D1689" s="374"/>
      <c r="E1689" s="375"/>
      <c r="F1689" s="374"/>
      <c r="G1689" s="374"/>
      <c r="H1689" s="374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6"/>
      <c r="D1690" s="374"/>
      <c r="E1690" s="375"/>
      <c r="F1690" s="374"/>
      <c r="G1690" s="374"/>
      <c r="H1690" s="374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6"/>
      <c r="D1691" s="374"/>
      <c r="E1691" s="375"/>
      <c r="F1691" s="374"/>
      <c r="G1691" s="374"/>
      <c r="H1691" s="374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6"/>
      <c r="D1692" s="374"/>
      <c r="E1692" s="375"/>
      <c r="F1692" s="374"/>
      <c r="G1692" s="374"/>
      <c r="H1692" s="374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6"/>
      <c r="D1693" s="374"/>
      <c r="E1693" s="375"/>
      <c r="F1693" s="374"/>
      <c r="G1693" s="374"/>
      <c r="H1693" s="374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6"/>
      <c r="D1694" s="374"/>
      <c r="E1694" s="375"/>
      <c r="F1694" s="374"/>
      <c r="G1694" s="374"/>
      <c r="H1694" s="374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6"/>
      <c r="D1695" s="374"/>
      <c r="E1695" s="375"/>
      <c r="F1695" s="374"/>
      <c r="G1695" s="374"/>
      <c r="H1695" s="374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6"/>
      <c r="D1696" s="374"/>
      <c r="E1696" s="375"/>
      <c r="F1696" s="374"/>
      <c r="G1696" s="374"/>
      <c r="H1696" s="374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6"/>
      <c r="D1697" s="374"/>
      <c r="E1697" s="375"/>
      <c r="F1697" s="374"/>
      <c r="G1697" s="374"/>
      <c r="H1697" s="374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6"/>
      <c r="D1698" s="374"/>
      <c r="E1698" s="375"/>
      <c r="F1698" s="374"/>
      <c r="G1698" s="374"/>
      <c r="H1698" s="374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6"/>
      <c r="D1699" s="374"/>
      <c r="E1699" s="375"/>
      <c r="F1699" s="374"/>
      <c r="G1699" s="374"/>
      <c r="H1699" s="374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6"/>
      <c r="D1700" s="374"/>
      <c r="E1700" s="375"/>
      <c r="F1700" s="374"/>
      <c r="G1700" s="374"/>
      <c r="H1700" s="374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6"/>
      <c r="D1701" s="374"/>
      <c r="E1701" s="375"/>
      <c r="F1701" s="374"/>
      <c r="G1701" s="374"/>
      <c r="H1701" s="374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6"/>
      <c r="D1702" s="374"/>
      <c r="E1702" s="375"/>
      <c r="F1702" s="374"/>
      <c r="G1702" s="374"/>
      <c r="H1702" s="374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6"/>
      <c r="D1703" s="374"/>
      <c r="E1703" s="375"/>
      <c r="F1703" s="374"/>
      <c r="G1703" s="374"/>
      <c r="H1703" s="374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6"/>
      <c r="D1704" s="374"/>
      <c r="E1704" s="375"/>
      <c r="F1704" s="374"/>
      <c r="G1704" s="374"/>
      <c r="H1704" s="374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6"/>
      <c r="D1705" s="374"/>
      <c r="E1705" s="375"/>
      <c r="F1705" s="374"/>
      <c r="G1705" s="374"/>
      <c r="H1705" s="374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6"/>
      <c r="D1706" s="374"/>
      <c r="E1706" s="375"/>
      <c r="F1706" s="374"/>
      <c r="G1706" s="374"/>
      <c r="H1706" s="374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6"/>
      <c r="D1707" s="374"/>
      <c r="E1707" s="375"/>
      <c r="F1707" s="374"/>
      <c r="G1707" s="374"/>
      <c r="H1707" s="374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6"/>
      <c r="D1708" s="374"/>
      <c r="E1708" s="375"/>
      <c r="F1708" s="374"/>
      <c r="G1708" s="374"/>
      <c r="H1708" s="374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6"/>
      <c r="D1709" s="374"/>
      <c r="E1709" s="375"/>
      <c r="F1709" s="374"/>
      <c r="G1709" s="374"/>
      <c r="H1709" s="374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6"/>
      <c r="D1710" s="374"/>
      <c r="E1710" s="375"/>
      <c r="F1710" s="374"/>
      <c r="G1710" s="374"/>
      <c r="H1710" s="374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6"/>
      <c r="D1711" s="374"/>
      <c r="E1711" s="375"/>
      <c r="F1711" s="374"/>
      <c r="G1711" s="374"/>
      <c r="H1711" s="374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6"/>
      <c r="D1712" s="374"/>
      <c r="E1712" s="375"/>
      <c r="F1712" s="374"/>
      <c r="G1712" s="374"/>
      <c r="H1712" s="374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6"/>
      <c r="D1713" s="374"/>
      <c r="E1713" s="375"/>
      <c r="F1713" s="374"/>
      <c r="G1713" s="374"/>
      <c r="H1713" s="374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6"/>
      <c r="D1714" s="374"/>
      <c r="E1714" s="375"/>
      <c r="F1714" s="374"/>
      <c r="G1714" s="374"/>
      <c r="H1714" s="374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6"/>
      <c r="D1715" s="374"/>
      <c r="E1715" s="375"/>
      <c r="F1715" s="374"/>
      <c r="G1715" s="374"/>
      <c r="H1715" s="374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6"/>
      <c r="D1716" s="374"/>
      <c r="E1716" s="375"/>
      <c r="F1716" s="374"/>
      <c r="G1716" s="374"/>
      <c r="H1716" s="374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6"/>
      <c r="D1717" s="374"/>
      <c r="E1717" s="375"/>
      <c r="F1717" s="374"/>
      <c r="G1717" s="374"/>
      <c r="H1717" s="374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6"/>
      <c r="D1718" s="374"/>
      <c r="E1718" s="375"/>
      <c r="F1718" s="374"/>
      <c r="G1718" s="374"/>
      <c r="H1718" s="374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6"/>
      <c r="D1719" s="374"/>
      <c r="E1719" s="375"/>
      <c r="F1719" s="374"/>
      <c r="G1719" s="374"/>
      <c r="H1719" s="374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6"/>
      <c r="D1720" s="374"/>
      <c r="E1720" s="375"/>
      <c r="F1720" s="374"/>
      <c r="G1720" s="374"/>
      <c r="H1720" s="374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6"/>
      <c r="D1721" s="374"/>
      <c r="E1721" s="375"/>
      <c r="F1721" s="374"/>
      <c r="G1721" s="374"/>
      <c r="H1721" s="374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6"/>
      <c r="D1722" s="374"/>
      <c r="E1722" s="375"/>
      <c r="F1722" s="374"/>
      <c r="G1722" s="374"/>
      <c r="H1722" s="374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6"/>
      <c r="D1723" s="374"/>
      <c r="E1723" s="375"/>
      <c r="F1723" s="374"/>
      <c r="G1723" s="374"/>
      <c r="H1723" s="374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6"/>
      <c r="D1724" s="374"/>
      <c r="E1724" s="375"/>
      <c r="F1724" s="374"/>
      <c r="G1724" s="374"/>
      <c r="H1724" s="374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6"/>
      <c r="D1725" s="374"/>
      <c r="E1725" s="375"/>
      <c r="F1725" s="374"/>
      <c r="G1725" s="374"/>
      <c r="H1725" s="374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6"/>
      <c r="D1726" s="374"/>
      <c r="E1726" s="375"/>
      <c r="F1726" s="374"/>
      <c r="G1726" s="374"/>
      <c r="H1726" s="374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6"/>
      <c r="D1727" s="374"/>
      <c r="E1727" s="375"/>
      <c r="F1727" s="374"/>
      <c r="G1727" s="374"/>
      <c r="H1727" s="374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6"/>
      <c r="D1728" s="374"/>
      <c r="E1728" s="375"/>
      <c r="F1728" s="374"/>
      <c r="G1728" s="374"/>
      <c r="H1728" s="374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6"/>
      <c r="D1729" s="374"/>
      <c r="E1729" s="375"/>
      <c r="F1729" s="374"/>
      <c r="G1729" s="374"/>
      <c r="H1729" s="374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6"/>
      <c r="D1730" s="374"/>
      <c r="E1730" s="375"/>
      <c r="F1730" s="374"/>
      <c r="G1730" s="374"/>
      <c r="H1730" s="374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6"/>
      <c r="D1731" s="374"/>
      <c r="E1731" s="375"/>
      <c r="F1731" s="374"/>
      <c r="G1731" s="374"/>
      <c r="H1731" s="374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6"/>
      <c r="D1732" s="374"/>
      <c r="E1732" s="375"/>
      <c r="F1732" s="374"/>
      <c r="G1732" s="374"/>
      <c r="H1732" s="374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6"/>
      <c r="D1733" s="374"/>
      <c r="E1733" s="375"/>
      <c r="F1733" s="374"/>
      <c r="G1733" s="374"/>
      <c r="H1733" s="374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6"/>
      <c r="D1734" s="374"/>
      <c r="E1734" s="375"/>
      <c r="F1734" s="374"/>
      <c r="G1734" s="374"/>
      <c r="H1734" s="374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6"/>
      <c r="D1735" s="374"/>
      <c r="E1735" s="375"/>
      <c r="F1735" s="374"/>
      <c r="G1735" s="374"/>
      <c r="H1735" s="374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6"/>
      <c r="D1736" s="374"/>
      <c r="E1736" s="375"/>
      <c r="F1736" s="374"/>
      <c r="G1736" s="374"/>
      <c r="H1736" s="374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6"/>
      <c r="D1737" s="374"/>
      <c r="E1737" s="375"/>
      <c r="F1737" s="374"/>
      <c r="G1737" s="374"/>
      <c r="H1737" s="374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6"/>
      <c r="D1738" s="374"/>
      <c r="E1738" s="375"/>
      <c r="F1738" s="374"/>
      <c r="G1738" s="374"/>
      <c r="H1738" s="374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6"/>
      <c r="D1739" s="374"/>
      <c r="E1739" s="375"/>
      <c r="F1739" s="374"/>
      <c r="G1739" s="374"/>
      <c r="H1739" s="374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6"/>
      <c r="D1740" s="374"/>
      <c r="E1740" s="375"/>
      <c r="F1740" s="374"/>
      <c r="G1740" s="374"/>
      <c r="H1740" s="374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6"/>
      <c r="D1741" s="374"/>
      <c r="E1741" s="375"/>
      <c r="F1741" s="374"/>
      <c r="G1741" s="374"/>
      <c r="H1741" s="374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6"/>
      <c r="D1742" s="374"/>
      <c r="E1742" s="375"/>
      <c r="F1742" s="374"/>
      <c r="G1742" s="374"/>
      <c r="H1742" s="374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6"/>
      <c r="D1743" s="374"/>
      <c r="E1743" s="375"/>
      <c r="F1743" s="374"/>
      <c r="G1743" s="374"/>
      <c r="H1743" s="374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6"/>
      <c r="D1744" s="374"/>
      <c r="E1744" s="375"/>
      <c r="F1744" s="374"/>
      <c r="G1744" s="374"/>
      <c r="H1744" s="374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6"/>
      <c r="D1745" s="374"/>
      <c r="E1745" s="375"/>
      <c r="F1745" s="374"/>
      <c r="G1745" s="374"/>
      <c r="H1745" s="374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6"/>
      <c r="D1746" s="374"/>
      <c r="E1746" s="375"/>
      <c r="F1746" s="374"/>
      <c r="G1746" s="374"/>
      <c r="H1746" s="374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6"/>
      <c r="D1747" s="374"/>
      <c r="E1747" s="375"/>
      <c r="F1747" s="374"/>
      <c r="G1747" s="374"/>
      <c r="H1747" s="374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6"/>
      <c r="D1748" s="374"/>
      <c r="E1748" s="375"/>
      <c r="F1748" s="374"/>
      <c r="G1748" s="374"/>
      <c r="H1748" s="374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6"/>
      <c r="D1749" s="374"/>
      <c r="E1749" s="375"/>
      <c r="F1749" s="374"/>
      <c r="G1749" s="374"/>
      <c r="H1749" s="374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6"/>
      <c r="D1750" s="374"/>
      <c r="E1750" s="375"/>
      <c r="F1750" s="374"/>
      <c r="G1750" s="374"/>
      <c r="H1750" s="374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6"/>
      <c r="D1751" s="374"/>
      <c r="E1751" s="375"/>
      <c r="F1751" s="374"/>
      <c r="G1751" s="374"/>
      <c r="H1751" s="374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6"/>
      <c r="D1752" s="374"/>
      <c r="E1752" s="375"/>
      <c r="F1752" s="374"/>
      <c r="G1752" s="374"/>
      <c r="H1752" s="374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6"/>
      <c r="D1753" s="374"/>
      <c r="E1753" s="375"/>
      <c r="F1753" s="374"/>
      <c r="G1753" s="374"/>
      <c r="H1753" s="374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6"/>
      <c r="D1754" s="374"/>
      <c r="E1754" s="375"/>
      <c r="F1754" s="374"/>
      <c r="G1754" s="374"/>
      <c r="H1754" s="374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6"/>
      <c r="D1755" s="374"/>
      <c r="E1755" s="375"/>
      <c r="F1755" s="374"/>
      <c r="G1755" s="374"/>
      <c r="H1755" s="374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6"/>
      <c r="D1756" s="374"/>
      <c r="E1756" s="375"/>
      <c r="F1756" s="374"/>
      <c r="G1756" s="374"/>
      <c r="H1756" s="374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6"/>
      <c r="D1757" s="374"/>
      <c r="E1757" s="375"/>
      <c r="F1757" s="374"/>
      <c r="G1757" s="374"/>
      <c r="H1757" s="374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6"/>
      <c r="D1758" s="374"/>
      <c r="E1758" s="375"/>
      <c r="F1758" s="374"/>
      <c r="G1758" s="374"/>
      <c r="H1758" s="374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6"/>
      <c r="D1759" s="374"/>
      <c r="E1759" s="375"/>
      <c r="F1759" s="374"/>
      <c r="G1759" s="374"/>
      <c r="H1759" s="374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6"/>
      <c r="D1760" s="374"/>
      <c r="E1760" s="375"/>
      <c r="F1760" s="374"/>
      <c r="G1760" s="374"/>
      <c r="H1760" s="374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6"/>
      <c r="D1761" s="374"/>
      <c r="E1761" s="375"/>
      <c r="F1761" s="374"/>
      <c r="G1761" s="374"/>
      <c r="H1761" s="374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6"/>
      <c r="D1762" s="374"/>
      <c r="E1762" s="375"/>
      <c r="F1762" s="374"/>
      <c r="G1762" s="374"/>
      <c r="H1762" s="374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6"/>
      <c r="D1763" s="374"/>
      <c r="E1763" s="375"/>
      <c r="F1763" s="374"/>
      <c r="G1763" s="374"/>
      <c r="H1763" s="374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6"/>
      <c r="D1764" s="374"/>
      <c r="E1764" s="375"/>
      <c r="F1764" s="374"/>
      <c r="G1764" s="374"/>
      <c r="H1764" s="374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6"/>
      <c r="D1765" s="374"/>
      <c r="E1765" s="375"/>
      <c r="F1765" s="374"/>
      <c r="G1765" s="374"/>
      <c r="H1765" s="374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6"/>
      <c r="D1766" s="374"/>
      <c r="E1766" s="375"/>
      <c r="F1766" s="374"/>
      <c r="G1766" s="374"/>
      <c r="H1766" s="374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6"/>
      <c r="D1767" s="374"/>
      <c r="E1767" s="375"/>
      <c r="F1767" s="374"/>
      <c r="G1767" s="374"/>
      <c r="H1767" s="374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6"/>
      <c r="D1768" s="374"/>
      <c r="E1768" s="375"/>
      <c r="F1768" s="374"/>
      <c r="G1768" s="374"/>
      <c r="H1768" s="374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6"/>
      <c r="D1769" s="374"/>
      <c r="E1769" s="375"/>
      <c r="F1769" s="374"/>
      <c r="G1769" s="374"/>
      <c r="H1769" s="374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6"/>
      <c r="D1770" s="374"/>
      <c r="E1770" s="375"/>
      <c r="F1770" s="374"/>
      <c r="G1770" s="374"/>
      <c r="H1770" s="374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6"/>
      <c r="D1771" s="374"/>
      <c r="E1771" s="375"/>
      <c r="F1771" s="374"/>
      <c r="G1771" s="374"/>
      <c r="H1771" s="374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6"/>
      <c r="D1772" s="374"/>
      <c r="E1772" s="375"/>
      <c r="F1772" s="374"/>
      <c r="G1772" s="374"/>
      <c r="H1772" s="374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6"/>
      <c r="D1773" s="374"/>
      <c r="E1773" s="375"/>
      <c r="F1773" s="374"/>
      <c r="G1773" s="374"/>
      <c r="H1773" s="374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6"/>
      <c r="D1774" s="374"/>
      <c r="E1774" s="375"/>
      <c r="F1774" s="374"/>
      <c r="G1774" s="374"/>
      <c r="H1774" s="374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6"/>
      <c r="D1775" s="374"/>
      <c r="E1775" s="375"/>
      <c r="F1775" s="374"/>
      <c r="G1775" s="374"/>
      <c r="H1775" s="374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6"/>
      <c r="D1776" s="374"/>
      <c r="E1776" s="375"/>
      <c r="F1776" s="374"/>
      <c r="G1776" s="374"/>
      <c r="H1776" s="374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6"/>
      <c r="D1777" s="374"/>
      <c r="E1777" s="375"/>
      <c r="F1777" s="374"/>
      <c r="G1777" s="374"/>
      <c r="H1777" s="374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6"/>
      <c r="D1778" s="374"/>
      <c r="E1778" s="375"/>
      <c r="F1778" s="374"/>
      <c r="G1778" s="374"/>
      <c r="H1778" s="374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6"/>
      <c r="D1779" s="374"/>
      <c r="E1779" s="375"/>
      <c r="F1779" s="374"/>
      <c r="G1779" s="374"/>
      <c r="H1779" s="374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6"/>
      <c r="D1780" s="374"/>
      <c r="E1780" s="375"/>
      <c r="F1780" s="374"/>
      <c r="G1780" s="374"/>
      <c r="H1780" s="374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6"/>
      <c r="D1781" s="374"/>
      <c r="E1781" s="375"/>
      <c r="F1781" s="374"/>
      <c r="G1781" s="374"/>
      <c r="H1781" s="374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6"/>
      <c r="D1782" s="374"/>
      <c r="E1782" s="375"/>
      <c r="F1782" s="374"/>
      <c r="G1782" s="374"/>
      <c r="H1782" s="374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6"/>
      <c r="D1783" s="374"/>
      <c r="E1783" s="375"/>
      <c r="F1783" s="374"/>
      <c r="G1783" s="374"/>
      <c r="H1783" s="374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6"/>
      <c r="D1784" s="374"/>
      <c r="E1784" s="375"/>
      <c r="F1784" s="374"/>
      <c r="G1784" s="374"/>
      <c r="H1784" s="374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6"/>
      <c r="D1785" s="374"/>
      <c r="E1785" s="375"/>
      <c r="F1785" s="374"/>
      <c r="G1785" s="374"/>
      <c r="H1785" s="374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6"/>
      <c r="D1786" s="374"/>
      <c r="E1786" s="375"/>
      <c r="F1786" s="374"/>
      <c r="G1786" s="374"/>
      <c r="H1786" s="374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6"/>
      <c r="D1787" s="374"/>
      <c r="E1787" s="375"/>
      <c r="F1787" s="374"/>
      <c r="G1787" s="374"/>
      <c r="H1787" s="374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6"/>
      <c r="D1788" s="374"/>
      <c r="E1788" s="375"/>
      <c r="F1788" s="374"/>
      <c r="G1788" s="374"/>
      <c r="H1788" s="374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6"/>
      <c r="D1789" s="374"/>
      <c r="E1789" s="375"/>
      <c r="F1789" s="374"/>
      <c r="G1789" s="374"/>
      <c r="H1789" s="374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6"/>
      <c r="D1790" s="374"/>
      <c r="E1790" s="375"/>
      <c r="F1790" s="374"/>
      <c r="G1790" s="374"/>
      <c r="H1790" s="374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6"/>
      <c r="D1791" s="374"/>
      <c r="E1791" s="375"/>
      <c r="F1791" s="374"/>
      <c r="G1791" s="374"/>
      <c r="H1791" s="374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6"/>
      <c r="D1792" s="374"/>
      <c r="E1792" s="375"/>
      <c r="F1792" s="374"/>
      <c r="G1792" s="374"/>
      <c r="H1792" s="374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6"/>
      <c r="D1793" s="374"/>
      <c r="E1793" s="375"/>
      <c r="F1793" s="374"/>
      <c r="G1793" s="374"/>
      <c r="H1793" s="374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6"/>
      <c r="D1794" s="374"/>
      <c r="E1794" s="375"/>
      <c r="F1794" s="374"/>
      <c r="G1794" s="374"/>
      <c r="H1794" s="374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6"/>
      <c r="D1795" s="374"/>
      <c r="E1795" s="375"/>
      <c r="F1795" s="374"/>
      <c r="G1795" s="374"/>
      <c r="H1795" s="374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6"/>
      <c r="D1796" s="374"/>
      <c r="E1796" s="375"/>
      <c r="F1796" s="374"/>
      <c r="G1796" s="374"/>
      <c r="H1796" s="374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6"/>
      <c r="D1797" s="374"/>
      <c r="E1797" s="375"/>
      <c r="F1797" s="374"/>
      <c r="G1797" s="374"/>
      <c r="H1797" s="374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6"/>
      <c r="D1798" s="374"/>
      <c r="E1798" s="375"/>
      <c r="F1798" s="374"/>
      <c r="G1798" s="374"/>
      <c r="H1798" s="374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6"/>
      <c r="D1799" s="374"/>
      <c r="E1799" s="375"/>
      <c r="F1799" s="374"/>
      <c r="G1799" s="374"/>
      <c r="H1799" s="374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6"/>
      <c r="D1800" s="374"/>
      <c r="E1800" s="375"/>
      <c r="F1800" s="374"/>
      <c r="G1800" s="374"/>
      <c r="H1800" s="374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6"/>
      <c r="D1801" s="374"/>
      <c r="E1801" s="375"/>
      <c r="F1801" s="374"/>
      <c r="G1801" s="374"/>
      <c r="H1801" s="374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6"/>
      <c r="D1802" s="374"/>
      <c r="E1802" s="375"/>
      <c r="F1802" s="374"/>
      <c r="G1802" s="374"/>
      <c r="H1802" s="374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6"/>
      <c r="D1803" s="374"/>
      <c r="E1803" s="375"/>
      <c r="F1803" s="374"/>
      <c r="G1803" s="374"/>
      <c r="H1803" s="374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6"/>
      <c r="D1804" s="374"/>
      <c r="E1804" s="375"/>
      <c r="F1804" s="374"/>
      <c r="G1804" s="374"/>
      <c r="H1804" s="374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6"/>
      <c r="D1805" s="374"/>
      <c r="E1805" s="375"/>
      <c r="F1805" s="374"/>
      <c r="G1805" s="374"/>
      <c r="H1805" s="374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6"/>
      <c r="D1806" s="374"/>
      <c r="E1806" s="375"/>
      <c r="F1806" s="374"/>
      <c r="G1806" s="374"/>
      <c r="H1806" s="374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6"/>
      <c r="D1807" s="374"/>
      <c r="E1807" s="375"/>
      <c r="F1807" s="374"/>
      <c r="G1807" s="374"/>
      <c r="H1807" s="374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6"/>
      <c r="D1808" s="374"/>
      <c r="E1808" s="375"/>
      <c r="F1808" s="374"/>
      <c r="G1808" s="374"/>
      <c r="H1808" s="374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6"/>
      <c r="D1809" s="374"/>
      <c r="E1809" s="375"/>
      <c r="F1809" s="374"/>
      <c r="G1809" s="374"/>
      <c r="H1809" s="374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6"/>
      <c r="D1810" s="374"/>
      <c r="E1810" s="375"/>
      <c r="F1810" s="374"/>
      <c r="G1810" s="374"/>
      <c r="H1810" s="374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6"/>
      <c r="D1811" s="374"/>
      <c r="E1811" s="375"/>
      <c r="F1811" s="374"/>
      <c r="G1811" s="374"/>
      <c r="H1811" s="374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6"/>
      <c r="D1812" s="374"/>
      <c r="E1812" s="375"/>
      <c r="F1812" s="374"/>
      <c r="G1812" s="374"/>
      <c r="H1812" s="374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6"/>
      <c r="D1813" s="374"/>
      <c r="E1813" s="375"/>
      <c r="F1813" s="374"/>
      <c r="G1813" s="374"/>
      <c r="H1813" s="374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6"/>
      <c r="D1814" s="374"/>
      <c r="E1814" s="375"/>
      <c r="F1814" s="374"/>
      <c r="G1814" s="374"/>
      <c r="H1814" s="374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6"/>
      <c r="D1815" s="374"/>
      <c r="E1815" s="375"/>
      <c r="F1815" s="374"/>
      <c r="G1815" s="374"/>
      <c r="H1815" s="374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6"/>
      <c r="D1816" s="374"/>
      <c r="E1816" s="375"/>
      <c r="F1816" s="374"/>
      <c r="G1816" s="374"/>
      <c r="H1816" s="374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6"/>
      <c r="D1817" s="374"/>
      <c r="E1817" s="375"/>
      <c r="F1817" s="374"/>
      <c r="G1817" s="374"/>
      <c r="H1817" s="374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6"/>
      <c r="D1818" s="374"/>
      <c r="E1818" s="375"/>
      <c r="F1818" s="374"/>
      <c r="G1818" s="374"/>
      <c r="H1818" s="374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6"/>
      <c r="D1819" s="374"/>
      <c r="E1819" s="375"/>
      <c r="F1819" s="374"/>
      <c r="G1819" s="374"/>
      <c r="H1819" s="374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6"/>
      <c r="D1820" s="374"/>
      <c r="E1820" s="375"/>
      <c r="F1820" s="374"/>
      <c r="G1820" s="374"/>
      <c r="H1820" s="374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6"/>
      <c r="D1821" s="374"/>
      <c r="E1821" s="375"/>
      <c r="F1821" s="374"/>
      <c r="G1821" s="374"/>
      <c r="H1821" s="374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6"/>
      <c r="D1822" s="374"/>
      <c r="E1822" s="375"/>
      <c r="F1822" s="374"/>
      <c r="G1822" s="374"/>
      <c r="H1822" s="374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6"/>
      <c r="D1823" s="374"/>
      <c r="E1823" s="375"/>
      <c r="F1823" s="374"/>
      <c r="G1823" s="374"/>
      <c r="H1823" s="374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6"/>
      <c r="D1824" s="374"/>
      <c r="E1824" s="375"/>
      <c r="F1824" s="374"/>
      <c r="G1824" s="374"/>
      <c r="H1824" s="374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6"/>
      <c r="D1825" s="374"/>
      <c r="E1825" s="375"/>
      <c r="F1825" s="374"/>
      <c r="G1825" s="374"/>
      <c r="H1825" s="374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6"/>
      <c r="D1826" s="374"/>
      <c r="E1826" s="375"/>
      <c r="F1826" s="374"/>
      <c r="G1826" s="374"/>
      <c r="H1826" s="374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6"/>
      <c r="D1827" s="374"/>
      <c r="E1827" s="375"/>
      <c r="F1827" s="374"/>
      <c r="G1827" s="374"/>
      <c r="H1827" s="374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6"/>
      <c r="D1828" s="374"/>
      <c r="E1828" s="375"/>
      <c r="F1828" s="374"/>
      <c r="G1828" s="374"/>
      <c r="H1828" s="374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6"/>
      <c r="D1829" s="374"/>
      <c r="E1829" s="375"/>
      <c r="F1829" s="374"/>
      <c r="G1829" s="374"/>
      <c r="H1829" s="374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6"/>
      <c r="D1830" s="374"/>
      <c r="E1830" s="375"/>
      <c r="F1830" s="374"/>
      <c r="G1830" s="374"/>
      <c r="H1830" s="374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6"/>
      <c r="D1831" s="374"/>
      <c r="E1831" s="375"/>
      <c r="F1831" s="374"/>
      <c r="G1831" s="374"/>
      <c r="H1831" s="374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6"/>
      <c r="D1832" s="374"/>
      <c r="E1832" s="375"/>
      <c r="F1832" s="374"/>
      <c r="G1832" s="374"/>
      <c r="H1832" s="374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6"/>
      <c r="D1833" s="374"/>
      <c r="E1833" s="375"/>
      <c r="F1833" s="374"/>
      <c r="G1833" s="374"/>
      <c r="H1833" s="374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6"/>
      <c r="D1834" s="374"/>
      <c r="E1834" s="375"/>
      <c r="F1834" s="374"/>
      <c r="G1834" s="374"/>
      <c r="H1834" s="374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6"/>
      <c r="D1835" s="374"/>
      <c r="E1835" s="375"/>
      <c r="F1835" s="374"/>
      <c r="G1835" s="374"/>
      <c r="H1835" s="374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6"/>
      <c r="D1836" s="374"/>
      <c r="E1836" s="375"/>
      <c r="F1836" s="374"/>
      <c r="G1836" s="374"/>
      <c r="H1836" s="374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6"/>
      <c r="D1837" s="374"/>
      <c r="E1837" s="375"/>
      <c r="F1837" s="374"/>
      <c r="G1837" s="374"/>
      <c r="H1837" s="374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6"/>
      <c r="D1838" s="374"/>
      <c r="E1838" s="375"/>
      <c r="F1838" s="374"/>
      <c r="G1838" s="374"/>
      <c r="H1838" s="374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6"/>
      <c r="D1839" s="374"/>
      <c r="E1839" s="375"/>
      <c r="F1839" s="374"/>
      <c r="G1839" s="374"/>
      <c r="H1839" s="374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6"/>
      <c r="D1840" s="374"/>
      <c r="E1840" s="375"/>
      <c r="F1840" s="374"/>
      <c r="G1840" s="374"/>
      <c r="H1840" s="374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6"/>
      <c r="D1841" s="374"/>
      <c r="E1841" s="375"/>
      <c r="F1841" s="374"/>
      <c r="G1841" s="374"/>
      <c r="H1841" s="374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6"/>
      <c r="D1842" s="374"/>
      <c r="E1842" s="375"/>
      <c r="F1842" s="374"/>
      <c r="G1842" s="374"/>
      <c r="H1842" s="374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6"/>
      <c r="D1843" s="374"/>
      <c r="E1843" s="375"/>
      <c r="F1843" s="374"/>
      <c r="G1843" s="374"/>
      <c r="H1843" s="374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6"/>
      <c r="D1844" s="374"/>
      <c r="E1844" s="375"/>
      <c r="F1844" s="374"/>
      <c r="G1844" s="374"/>
      <c r="H1844" s="374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6"/>
      <c r="D1845" s="374"/>
      <c r="E1845" s="375"/>
      <c r="F1845" s="374"/>
      <c r="G1845" s="374"/>
      <c r="H1845" s="374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6"/>
      <c r="D1846" s="374"/>
      <c r="E1846" s="375"/>
      <c r="F1846" s="374"/>
      <c r="G1846" s="374"/>
      <c r="H1846" s="374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6"/>
      <c r="D1847" s="374"/>
      <c r="E1847" s="375"/>
      <c r="F1847" s="374"/>
      <c r="G1847" s="374"/>
      <c r="H1847" s="374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6"/>
      <c r="D1848" s="374"/>
      <c r="E1848" s="375"/>
      <c r="F1848" s="374"/>
      <c r="G1848" s="374"/>
      <c r="H1848" s="374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6"/>
      <c r="D1849" s="374"/>
      <c r="E1849" s="375"/>
      <c r="F1849" s="374"/>
      <c r="G1849" s="374"/>
      <c r="H1849" s="374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6"/>
      <c r="D1850" s="374"/>
      <c r="E1850" s="375"/>
      <c r="F1850" s="374"/>
      <c r="G1850" s="374"/>
      <c r="H1850" s="374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6"/>
      <c r="D1851" s="374"/>
      <c r="E1851" s="375"/>
      <c r="F1851" s="374"/>
      <c r="G1851" s="374"/>
      <c r="H1851" s="374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6"/>
      <c r="D1852" s="374"/>
      <c r="E1852" s="375"/>
      <c r="F1852" s="374"/>
      <c r="G1852" s="374"/>
      <c r="H1852" s="374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6"/>
      <c r="D1853" s="374"/>
      <c r="E1853" s="375"/>
      <c r="F1853" s="374"/>
      <c r="G1853" s="374"/>
      <c r="H1853" s="374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6"/>
      <c r="D1854" s="374"/>
      <c r="E1854" s="375"/>
      <c r="F1854" s="374"/>
      <c r="G1854" s="374"/>
      <c r="H1854" s="374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6"/>
      <c r="D1855" s="374"/>
      <c r="E1855" s="375"/>
      <c r="F1855" s="374"/>
      <c r="G1855" s="374"/>
      <c r="H1855" s="374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6"/>
      <c r="D1856" s="374"/>
      <c r="E1856" s="375"/>
      <c r="F1856" s="374"/>
      <c r="G1856" s="374"/>
      <c r="H1856" s="374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6"/>
      <c r="D1857" s="374"/>
      <c r="E1857" s="375"/>
      <c r="F1857" s="374"/>
      <c r="G1857" s="374"/>
      <c r="H1857" s="374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6"/>
      <c r="D1858" s="374"/>
      <c r="E1858" s="375"/>
      <c r="F1858" s="374"/>
      <c r="G1858" s="374"/>
      <c r="H1858" s="374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6"/>
      <c r="D1859" s="374"/>
      <c r="E1859" s="375"/>
      <c r="F1859" s="374"/>
      <c r="G1859" s="374"/>
      <c r="H1859" s="374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6"/>
      <c r="D1860" s="374"/>
      <c r="E1860" s="375"/>
      <c r="F1860" s="374"/>
      <c r="G1860" s="374"/>
      <c r="H1860" s="374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6"/>
      <c r="D1861" s="374"/>
      <c r="E1861" s="375"/>
      <c r="F1861" s="374"/>
      <c r="G1861" s="374"/>
      <c r="H1861" s="374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6"/>
      <c r="D1862" s="374"/>
      <c r="E1862" s="375"/>
      <c r="F1862" s="374"/>
      <c r="G1862" s="374"/>
      <c r="H1862" s="374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6"/>
      <c r="D1863" s="374"/>
      <c r="E1863" s="375"/>
      <c r="F1863" s="374"/>
      <c r="G1863" s="374"/>
      <c r="H1863" s="374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6"/>
      <c r="D1864" s="374"/>
      <c r="E1864" s="375"/>
      <c r="F1864" s="374"/>
      <c r="G1864" s="374"/>
      <c r="H1864" s="374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6"/>
      <c r="D1865" s="374"/>
      <c r="E1865" s="375"/>
      <c r="F1865" s="374"/>
      <c r="G1865" s="374"/>
      <c r="H1865" s="374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6"/>
      <c r="D1866" s="374"/>
      <c r="E1866" s="375"/>
      <c r="F1866" s="374"/>
      <c r="G1866" s="374"/>
      <c r="H1866" s="374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6"/>
      <c r="D1867" s="374"/>
      <c r="E1867" s="375"/>
      <c r="F1867" s="374"/>
      <c r="G1867" s="374"/>
      <c r="H1867" s="374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6"/>
      <c r="D1868" s="374"/>
      <c r="E1868" s="375"/>
      <c r="F1868" s="374"/>
      <c r="G1868" s="374"/>
      <c r="H1868" s="374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6"/>
      <c r="D1869" s="374"/>
      <c r="E1869" s="375"/>
      <c r="F1869" s="374"/>
      <c r="G1869" s="374"/>
      <c r="H1869" s="374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6"/>
      <c r="D1870" s="374"/>
      <c r="E1870" s="375"/>
      <c r="F1870" s="374"/>
      <c r="G1870" s="374"/>
      <c r="H1870" s="374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6"/>
      <c r="D1871" s="374"/>
      <c r="E1871" s="375"/>
      <c r="F1871" s="374"/>
      <c r="G1871" s="374"/>
      <c r="H1871" s="374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6"/>
      <c r="D1872" s="374"/>
      <c r="E1872" s="375"/>
      <c r="F1872" s="374"/>
      <c r="G1872" s="374"/>
      <c r="H1872" s="374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6"/>
      <c r="D1873" s="374"/>
      <c r="E1873" s="375"/>
      <c r="F1873" s="374"/>
      <c r="G1873" s="374"/>
      <c r="H1873" s="374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6"/>
      <c r="D1874" s="374"/>
      <c r="E1874" s="375"/>
      <c r="F1874" s="374"/>
      <c r="G1874" s="374"/>
      <c r="H1874" s="374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6"/>
      <c r="D1875" s="374"/>
      <c r="E1875" s="375"/>
      <c r="F1875" s="374"/>
      <c r="G1875" s="374"/>
      <c r="H1875" s="374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6"/>
      <c r="D1876" s="374"/>
      <c r="E1876" s="375"/>
      <c r="F1876" s="374"/>
      <c r="G1876" s="374"/>
      <c r="H1876" s="374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6"/>
      <c r="D1877" s="374"/>
      <c r="E1877" s="375"/>
      <c r="F1877" s="374"/>
      <c r="G1877" s="374"/>
      <c r="H1877" s="374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6"/>
      <c r="D1878" s="374"/>
      <c r="E1878" s="375"/>
      <c r="F1878" s="374"/>
      <c r="G1878" s="374"/>
      <c r="H1878" s="374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6"/>
      <c r="D1879" s="374"/>
      <c r="E1879" s="375"/>
      <c r="F1879" s="374"/>
      <c r="G1879" s="374"/>
      <c r="H1879" s="374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6"/>
      <c r="D1880" s="374"/>
      <c r="E1880" s="375"/>
      <c r="F1880" s="374"/>
      <c r="G1880" s="374"/>
      <c r="H1880" s="374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6"/>
      <c r="D1881" s="374"/>
      <c r="E1881" s="375"/>
      <c r="F1881" s="374"/>
      <c r="G1881" s="374"/>
      <c r="H1881" s="374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6"/>
      <c r="D1882" s="374"/>
      <c r="E1882" s="375"/>
      <c r="F1882" s="374"/>
      <c r="G1882" s="374"/>
      <c r="H1882" s="374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6"/>
      <c r="D1883" s="374"/>
      <c r="E1883" s="375"/>
      <c r="F1883" s="374"/>
      <c r="G1883" s="374"/>
      <c r="H1883" s="374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6"/>
      <c r="D1884" s="374"/>
      <c r="E1884" s="375"/>
      <c r="F1884" s="374"/>
      <c r="G1884" s="374"/>
      <c r="H1884" s="374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6"/>
      <c r="D1885" s="374"/>
      <c r="E1885" s="375"/>
      <c r="F1885" s="374"/>
      <c r="G1885" s="374"/>
      <c r="H1885" s="374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6"/>
      <c r="D1886" s="374"/>
      <c r="E1886" s="375"/>
      <c r="F1886" s="374"/>
      <c r="G1886" s="374"/>
      <c r="H1886" s="374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6"/>
      <c r="D1887" s="374"/>
      <c r="E1887" s="375"/>
      <c r="F1887" s="374"/>
      <c r="G1887" s="374"/>
      <c r="H1887" s="374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6"/>
      <c r="D1888" s="374"/>
      <c r="E1888" s="375"/>
      <c r="F1888" s="374"/>
      <c r="G1888" s="374"/>
      <c r="H1888" s="374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6"/>
      <c r="D1889" s="374"/>
      <c r="E1889" s="375"/>
      <c r="F1889" s="374"/>
      <c r="G1889" s="374"/>
      <c r="H1889" s="374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6"/>
      <c r="D1890" s="374"/>
      <c r="E1890" s="375"/>
      <c r="F1890" s="374"/>
      <c r="G1890" s="374"/>
      <c r="H1890" s="374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6"/>
      <c r="D1891" s="374"/>
      <c r="E1891" s="375"/>
      <c r="F1891" s="374"/>
      <c r="G1891" s="374"/>
      <c r="H1891" s="374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6"/>
      <c r="D1892" s="374"/>
      <c r="E1892" s="375"/>
      <c r="F1892" s="374"/>
      <c r="G1892" s="374"/>
      <c r="H1892" s="374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6"/>
      <c r="D1893" s="374"/>
      <c r="E1893" s="375"/>
      <c r="F1893" s="374"/>
      <c r="G1893" s="374"/>
      <c r="H1893" s="374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6"/>
      <c r="D1894" s="374"/>
      <c r="E1894" s="375"/>
      <c r="F1894" s="374"/>
      <c r="G1894" s="374"/>
      <c r="H1894" s="374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6"/>
      <c r="D1895" s="374"/>
      <c r="E1895" s="375"/>
      <c r="F1895" s="374"/>
      <c r="G1895" s="374"/>
      <c r="H1895" s="374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6"/>
      <c r="D1896" s="374"/>
      <c r="E1896" s="375"/>
      <c r="F1896" s="374"/>
      <c r="G1896" s="374"/>
      <c r="H1896" s="374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6"/>
      <c r="D1897" s="374"/>
      <c r="E1897" s="375"/>
      <c r="F1897" s="374"/>
      <c r="G1897" s="374"/>
      <c r="H1897" s="374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6"/>
      <c r="D1898" s="374"/>
      <c r="E1898" s="375"/>
      <c r="F1898" s="374"/>
      <c r="G1898" s="374"/>
      <c r="H1898" s="374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6"/>
      <c r="D1899" s="374"/>
      <c r="E1899" s="375"/>
      <c r="F1899" s="374"/>
      <c r="G1899" s="374"/>
      <c r="H1899" s="374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6"/>
      <c r="D1900" s="374"/>
      <c r="E1900" s="375"/>
      <c r="F1900" s="374"/>
      <c r="G1900" s="374"/>
      <c r="H1900" s="374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6"/>
      <c r="D1901" s="374"/>
      <c r="E1901" s="375"/>
      <c r="F1901" s="374"/>
      <c r="G1901" s="374"/>
      <c r="H1901" s="374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6"/>
      <c r="D1902" s="374"/>
      <c r="E1902" s="375"/>
      <c r="F1902" s="374"/>
      <c r="G1902" s="374"/>
      <c r="H1902" s="374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6"/>
      <c r="D1903" s="374"/>
      <c r="E1903" s="375"/>
      <c r="F1903" s="374"/>
      <c r="G1903" s="374"/>
      <c r="H1903" s="374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6"/>
      <c r="D1904" s="374"/>
      <c r="E1904" s="375"/>
      <c r="F1904" s="374"/>
      <c r="G1904" s="374"/>
      <c r="H1904" s="374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6"/>
      <c r="D1905" s="374"/>
      <c r="E1905" s="375"/>
      <c r="F1905" s="374"/>
      <c r="G1905" s="374"/>
      <c r="H1905" s="374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6"/>
      <c r="D1906" s="374"/>
      <c r="E1906" s="375"/>
      <c r="F1906" s="374"/>
      <c r="G1906" s="374"/>
      <c r="H1906" s="374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6"/>
      <c r="D1907" s="374"/>
      <c r="E1907" s="375"/>
      <c r="F1907" s="374"/>
      <c r="G1907" s="374"/>
      <c r="H1907" s="374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6"/>
      <c r="D1908" s="374"/>
      <c r="E1908" s="375"/>
      <c r="F1908" s="374"/>
      <c r="G1908" s="374"/>
      <c r="H1908" s="374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6"/>
      <c r="D1909" s="374"/>
      <c r="E1909" s="375"/>
      <c r="F1909" s="374"/>
      <c r="G1909" s="374"/>
      <c r="H1909" s="374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6"/>
      <c r="D1910" s="374"/>
      <c r="E1910" s="375"/>
      <c r="F1910" s="374"/>
      <c r="G1910" s="374"/>
      <c r="H1910" s="374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6"/>
      <c r="D1911" s="374"/>
      <c r="E1911" s="375"/>
      <c r="F1911" s="374"/>
      <c r="G1911" s="374"/>
      <c r="H1911" s="374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6"/>
      <c r="D1912" s="374"/>
      <c r="E1912" s="375"/>
      <c r="F1912" s="374"/>
      <c r="G1912" s="374"/>
      <c r="H1912" s="374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6"/>
      <c r="D1913" s="374"/>
      <c r="E1913" s="375"/>
      <c r="F1913" s="374"/>
      <c r="G1913" s="374"/>
      <c r="H1913" s="374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6"/>
      <c r="D1914" s="374"/>
      <c r="E1914" s="375"/>
      <c r="F1914" s="374"/>
      <c r="G1914" s="374"/>
      <c r="H1914" s="374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6"/>
      <c r="D1915" s="374"/>
      <c r="E1915" s="375"/>
      <c r="F1915" s="374"/>
      <c r="G1915" s="374"/>
      <c r="H1915" s="374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6"/>
      <c r="D1916" s="374"/>
      <c r="E1916" s="375"/>
      <c r="F1916" s="374"/>
      <c r="G1916" s="374"/>
      <c r="H1916" s="374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6"/>
      <c r="D1917" s="374"/>
      <c r="E1917" s="375"/>
      <c r="F1917" s="374"/>
      <c r="G1917" s="374"/>
      <c r="H1917" s="374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6"/>
      <c r="D1918" s="374"/>
      <c r="E1918" s="375"/>
      <c r="F1918" s="374"/>
      <c r="G1918" s="374"/>
      <c r="H1918" s="374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6"/>
      <c r="D1919" s="374"/>
      <c r="E1919" s="375"/>
      <c r="F1919" s="374"/>
      <c r="G1919" s="374"/>
      <c r="H1919" s="374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6"/>
      <c r="D1920" s="374"/>
      <c r="E1920" s="375"/>
      <c r="F1920" s="374"/>
      <c r="G1920" s="374"/>
      <c r="H1920" s="374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6"/>
      <c r="D1921" s="374"/>
      <c r="E1921" s="375"/>
      <c r="F1921" s="374"/>
      <c r="G1921" s="374"/>
      <c r="H1921" s="374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6"/>
      <c r="D1922" s="374"/>
      <c r="E1922" s="375"/>
      <c r="F1922" s="374"/>
      <c r="G1922" s="374"/>
      <c r="H1922" s="374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6"/>
      <c r="D1923" s="374"/>
      <c r="E1923" s="375"/>
      <c r="F1923" s="374"/>
      <c r="G1923" s="374"/>
      <c r="H1923" s="374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6"/>
      <c r="D1924" s="374"/>
      <c r="E1924" s="375"/>
      <c r="F1924" s="374"/>
      <c r="G1924" s="374"/>
      <c r="H1924" s="374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6"/>
      <c r="D1925" s="374"/>
      <c r="E1925" s="375"/>
      <c r="F1925" s="374"/>
      <c r="G1925" s="374"/>
      <c r="H1925" s="374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6"/>
      <c r="D1926" s="374"/>
      <c r="E1926" s="375"/>
      <c r="F1926" s="374"/>
      <c r="G1926" s="374"/>
      <c r="H1926" s="374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6"/>
      <c r="D1927" s="374"/>
      <c r="E1927" s="375"/>
      <c r="F1927" s="374"/>
      <c r="G1927" s="374"/>
      <c r="H1927" s="374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6"/>
      <c r="D1928" s="374"/>
      <c r="E1928" s="375"/>
      <c r="F1928" s="374"/>
      <c r="G1928" s="374"/>
      <c r="H1928" s="374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6"/>
      <c r="D1929" s="374"/>
      <c r="E1929" s="375"/>
      <c r="F1929" s="374"/>
      <c r="G1929" s="374"/>
      <c r="H1929" s="374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6"/>
      <c r="D1930" s="374"/>
      <c r="E1930" s="375"/>
      <c r="F1930" s="374"/>
      <c r="G1930" s="374"/>
      <c r="H1930" s="374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6"/>
      <c r="D1931" s="374"/>
      <c r="E1931" s="375"/>
      <c r="F1931" s="374"/>
      <c r="G1931" s="374"/>
      <c r="H1931" s="374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6"/>
      <c r="D1932" s="374"/>
      <c r="E1932" s="375"/>
      <c r="F1932" s="374"/>
      <c r="G1932" s="374"/>
      <c r="H1932" s="374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6"/>
      <c r="D1933" s="374"/>
      <c r="E1933" s="375"/>
      <c r="F1933" s="374"/>
      <c r="G1933" s="374"/>
      <c r="H1933" s="374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6"/>
      <c r="D1934" s="374"/>
      <c r="E1934" s="375"/>
      <c r="F1934" s="374"/>
      <c r="G1934" s="374"/>
      <c r="H1934" s="374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6"/>
      <c r="D1935" s="374"/>
      <c r="E1935" s="375"/>
      <c r="F1935" s="374"/>
      <c r="G1935" s="374"/>
      <c r="H1935" s="374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6"/>
      <c r="D1936" s="374"/>
      <c r="E1936" s="375"/>
      <c r="F1936" s="374"/>
      <c r="G1936" s="374"/>
      <c r="H1936" s="374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6"/>
      <c r="D1937" s="374"/>
      <c r="E1937" s="375"/>
      <c r="F1937" s="374"/>
      <c r="G1937" s="374"/>
      <c r="H1937" s="374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6"/>
      <c r="D1938" s="374"/>
      <c r="E1938" s="375"/>
      <c r="F1938" s="374"/>
      <c r="G1938" s="374"/>
      <c r="H1938" s="374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6"/>
      <c r="D1939" s="374"/>
      <c r="E1939" s="375"/>
      <c r="F1939" s="374"/>
      <c r="G1939" s="374"/>
      <c r="H1939" s="374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6"/>
      <c r="D1940" s="374"/>
      <c r="E1940" s="375"/>
      <c r="F1940" s="374"/>
      <c r="G1940" s="374"/>
      <c r="H1940" s="374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6"/>
      <c r="D1941" s="374"/>
      <c r="E1941" s="375"/>
      <c r="F1941" s="374"/>
      <c r="G1941" s="374"/>
      <c r="H1941" s="374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6"/>
      <c r="D1942" s="374"/>
      <c r="E1942" s="375"/>
      <c r="F1942" s="374"/>
      <c r="G1942" s="374"/>
      <c r="H1942" s="374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6"/>
      <c r="D1943" s="374"/>
      <c r="E1943" s="375"/>
      <c r="F1943" s="374"/>
      <c r="G1943" s="374"/>
      <c r="H1943" s="374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6"/>
      <c r="D1944" s="374"/>
      <c r="E1944" s="375"/>
      <c r="F1944" s="374"/>
      <c r="G1944" s="374"/>
      <c r="H1944" s="374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6"/>
      <c r="D1945" s="374"/>
      <c r="E1945" s="375"/>
      <c r="F1945" s="374"/>
      <c r="G1945" s="374"/>
      <c r="H1945" s="374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6"/>
      <c r="D1946" s="374"/>
      <c r="E1946" s="375"/>
      <c r="F1946" s="374"/>
      <c r="G1946" s="374"/>
      <c r="H1946" s="374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6"/>
      <c r="D1947" s="374"/>
      <c r="E1947" s="375"/>
      <c r="F1947" s="374"/>
      <c r="G1947" s="374"/>
      <c r="H1947" s="374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6"/>
      <c r="D1948" s="374"/>
      <c r="E1948" s="375"/>
      <c r="F1948" s="374"/>
      <c r="G1948" s="374"/>
      <c r="H1948" s="374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6"/>
      <c r="D1949" s="374"/>
      <c r="E1949" s="375"/>
      <c r="F1949" s="374"/>
      <c r="G1949" s="374"/>
      <c r="H1949" s="374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6"/>
      <c r="D1950" s="374"/>
      <c r="E1950" s="375"/>
      <c r="F1950" s="374"/>
      <c r="G1950" s="374"/>
      <c r="H1950" s="374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6"/>
      <c r="D1951" s="374"/>
      <c r="E1951" s="375"/>
      <c r="F1951" s="374"/>
      <c r="G1951" s="374"/>
      <c r="H1951" s="374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6"/>
      <c r="D1952" s="374"/>
      <c r="E1952" s="375"/>
      <c r="F1952" s="374"/>
      <c r="G1952" s="374"/>
      <c r="H1952" s="374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6"/>
      <c r="D1953" s="374"/>
      <c r="E1953" s="375"/>
      <c r="F1953" s="374"/>
      <c r="G1953" s="374"/>
      <c r="H1953" s="374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6"/>
      <c r="D1954" s="374"/>
      <c r="E1954" s="375"/>
      <c r="F1954" s="374"/>
      <c r="G1954" s="374"/>
      <c r="H1954" s="374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6"/>
      <c r="D1955" s="374"/>
      <c r="E1955" s="375"/>
      <c r="F1955" s="374"/>
      <c r="G1955" s="374"/>
      <c r="H1955" s="374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6"/>
      <c r="D1956" s="374"/>
      <c r="E1956" s="375"/>
      <c r="F1956" s="374"/>
      <c r="G1956" s="374"/>
      <c r="H1956" s="374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6"/>
      <c r="D1957" s="374"/>
      <c r="E1957" s="375"/>
      <c r="F1957" s="374"/>
      <c r="G1957" s="374"/>
      <c r="H1957" s="374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6"/>
      <c r="D1958" s="374"/>
      <c r="E1958" s="375"/>
      <c r="F1958" s="374"/>
      <c r="G1958" s="374"/>
      <c r="H1958" s="374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6"/>
      <c r="D1959" s="374"/>
      <c r="E1959" s="375"/>
      <c r="F1959" s="374"/>
      <c r="G1959" s="374"/>
      <c r="H1959" s="374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6"/>
      <c r="D1960" s="374"/>
      <c r="E1960" s="375"/>
      <c r="F1960" s="374"/>
      <c r="G1960" s="374"/>
      <c r="H1960" s="374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6"/>
      <c r="D1961" s="374"/>
      <c r="E1961" s="375"/>
      <c r="F1961" s="374"/>
      <c r="G1961" s="374"/>
      <c r="H1961" s="374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6"/>
      <c r="D1962" s="374"/>
      <c r="E1962" s="375"/>
      <c r="F1962" s="374"/>
      <c r="G1962" s="374"/>
      <c r="H1962" s="374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6"/>
      <c r="D1963" s="374"/>
      <c r="E1963" s="375"/>
      <c r="F1963" s="374"/>
      <c r="G1963" s="374"/>
      <c r="H1963" s="374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6"/>
      <c r="D1964" s="374"/>
      <c r="E1964" s="375"/>
      <c r="F1964" s="374"/>
      <c r="G1964" s="374"/>
      <c r="H1964" s="374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6"/>
      <c r="D1965" s="374"/>
      <c r="E1965" s="375"/>
      <c r="F1965" s="374"/>
      <c r="G1965" s="374"/>
      <c r="H1965" s="374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6"/>
      <c r="D1966" s="374"/>
      <c r="E1966" s="375"/>
      <c r="F1966" s="374"/>
      <c r="G1966" s="374"/>
      <c r="H1966" s="374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6"/>
      <c r="D1967" s="374"/>
      <c r="E1967" s="375"/>
      <c r="F1967" s="374"/>
      <c r="G1967" s="374"/>
      <c r="H1967" s="374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6"/>
      <c r="D1968" s="374"/>
      <c r="E1968" s="375"/>
      <c r="F1968" s="374"/>
      <c r="G1968" s="374"/>
      <c r="H1968" s="374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6"/>
      <c r="D1969" s="374"/>
      <c r="E1969" s="375"/>
      <c r="F1969" s="374"/>
      <c r="G1969" s="374"/>
      <c r="H1969" s="374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6"/>
      <c r="D1970" s="374"/>
      <c r="E1970" s="375"/>
      <c r="F1970" s="374"/>
      <c r="G1970" s="374"/>
      <c r="H1970" s="374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6"/>
      <c r="D1971" s="374"/>
      <c r="E1971" s="375"/>
      <c r="F1971" s="374"/>
      <c r="G1971" s="374"/>
      <c r="H1971" s="374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6"/>
      <c r="D1972" s="374"/>
      <c r="E1972" s="375"/>
      <c r="F1972" s="374"/>
      <c r="G1972" s="374"/>
      <c r="H1972" s="374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6"/>
      <c r="D1973" s="374"/>
      <c r="E1973" s="375"/>
      <c r="F1973" s="374"/>
      <c r="G1973" s="374"/>
      <c r="H1973" s="374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6"/>
      <c r="D1974" s="374"/>
      <c r="E1974" s="375"/>
      <c r="F1974" s="374"/>
      <c r="G1974" s="374"/>
      <c r="H1974" s="374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6"/>
      <c r="D1975" s="374"/>
      <c r="E1975" s="375"/>
      <c r="F1975" s="374"/>
      <c r="G1975" s="374"/>
      <c r="H1975" s="374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6"/>
      <c r="D1976" s="374"/>
      <c r="E1976" s="375"/>
      <c r="F1976" s="374"/>
      <c r="G1976" s="374"/>
      <c r="H1976" s="374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6"/>
      <c r="D1977" s="374"/>
      <c r="E1977" s="375"/>
      <c r="F1977" s="374"/>
      <c r="G1977" s="374"/>
      <c r="H1977" s="374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6"/>
      <c r="D1978" s="374"/>
      <c r="E1978" s="375"/>
      <c r="F1978" s="374"/>
      <c r="G1978" s="374"/>
      <c r="H1978" s="374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6"/>
      <c r="D1979" s="374"/>
      <c r="E1979" s="375"/>
      <c r="F1979" s="374"/>
      <c r="G1979" s="374"/>
      <c r="H1979" s="374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6"/>
      <c r="D1980" s="374"/>
      <c r="E1980" s="375"/>
      <c r="F1980" s="374"/>
      <c r="G1980" s="374"/>
      <c r="H1980" s="374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6"/>
      <c r="D1981" s="374"/>
      <c r="E1981" s="375"/>
      <c r="F1981" s="374"/>
      <c r="G1981" s="374"/>
      <c r="H1981" s="374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6"/>
      <c r="D1982" s="374"/>
      <c r="E1982" s="375"/>
      <c r="F1982" s="374"/>
      <c r="G1982" s="374"/>
      <c r="H1982" s="374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6"/>
      <c r="D1983" s="374"/>
      <c r="E1983" s="375"/>
      <c r="F1983" s="374"/>
      <c r="G1983" s="374"/>
      <c r="H1983" s="374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6"/>
      <c r="D1984" s="374"/>
      <c r="E1984" s="375"/>
      <c r="F1984" s="374"/>
      <c r="G1984" s="374"/>
      <c r="H1984" s="374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6"/>
      <c r="D1985" s="374"/>
      <c r="E1985" s="375"/>
      <c r="F1985" s="374"/>
      <c r="G1985" s="374"/>
      <c r="H1985" s="374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6"/>
      <c r="D1986" s="374"/>
      <c r="E1986" s="375"/>
      <c r="F1986" s="374"/>
      <c r="G1986" s="374"/>
      <c r="H1986" s="374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6"/>
      <c r="D1987" s="374"/>
      <c r="E1987" s="375"/>
      <c r="F1987" s="374"/>
      <c r="G1987" s="374"/>
      <c r="H1987" s="374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6"/>
      <c r="D1988" s="374"/>
      <c r="E1988" s="375"/>
      <c r="F1988" s="374"/>
      <c r="G1988" s="374"/>
      <c r="H1988" s="374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6"/>
      <c r="D1989" s="374"/>
      <c r="E1989" s="375"/>
      <c r="F1989" s="374"/>
      <c r="G1989" s="374"/>
      <c r="H1989" s="374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6"/>
      <c r="D1990" s="374"/>
      <c r="E1990" s="375"/>
      <c r="F1990" s="374"/>
      <c r="G1990" s="374"/>
      <c r="H1990" s="374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6"/>
      <c r="D1991" s="374"/>
      <c r="E1991" s="375"/>
      <c r="F1991" s="374"/>
      <c r="G1991" s="374"/>
      <c r="H1991" s="374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6"/>
      <c r="D1992" s="374"/>
      <c r="E1992" s="375"/>
      <c r="F1992" s="374"/>
      <c r="G1992" s="374"/>
      <c r="H1992" s="374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6"/>
      <c r="D1993" s="374"/>
      <c r="E1993" s="375"/>
      <c r="F1993" s="374"/>
      <c r="G1993" s="374"/>
      <c r="H1993" s="374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6"/>
      <c r="D1994" s="374"/>
      <c r="E1994" s="375"/>
      <c r="F1994" s="374"/>
      <c r="G1994" s="374"/>
      <c r="H1994" s="374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6"/>
      <c r="D1995" s="374"/>
      <c r="E1995" s="375"/>
      <c r="F1995" s="374"/>
      <c r="G1995" s="374"/>
      <c r="H1995" s="374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6"/>
      <c r="D1996" s="374"/>
      <c r="E1996" s="375"/>
      <c r="F1996" s="374"/>
      <c r="G1996" s="374"/>
      <c r="H1996" s="374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6"/>
      <c r="D1997" s="374"/>
      <c r="E1997" s="375"/>
      <c r="F1997" s="374"/>
      <c r="G1997" s="374"/>
      <c r="H1997" s="374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6"/>
      <c r="D1998" s="374"/>
      <c r="E1998" s="375"/>
      <c r="F1998" s="374"/>
      <c r="G1998" s="374"/>
      <c r="H1998" s="374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6"/>
      <c r="D1999" s="374"/>
      <c r="E1999" s="375"/>
      <c r="F1999" s="374"/>
      <c r="G1999" s="374"/>
      <c r="H1999" s="374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6"/>
      <c r="D2000" s="374"/>
      <c r="E2000" s="375"/>
      <c r="F2000" s="374"/>
      <c r="G2000" s="374"/>
      <c r="H2000" s="374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6"/>
      <c r="D2001" s="374"/>
      <c r="E2001" s="375"/>
      <c r="F2001" s="374"/>
      <c r="G2001" s="374"/>
      <c r="H2001" s="374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6"/>
      <c r="D2002" s="374"/>
      <c r="E2002" s="375"/>
      <c r="F2002" s="374"/>
      <c r="G2002" s="374"/>
      <c r="H2002" s="374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6"/>
      <c r="D2003" s="374"/>
      <c r="E2003" s="375"/>
      <c r="F2003" s="374"/>
      <c r="G2003" s="374"/>
      <c r="H2003" s="374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6"/>
      <c r="D2004" s="374"/>
      <c r="E2004" s="375"/>
      <c r="F2004" s="374"/>
      <c r="G2004" s="374"/>
      <c r="H2004" s="374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6"/>
      <c r="D2005" s="374"/>
      <c r="E2005" s="375"/>
      <c r="F2005" s="374"/>
      <c r="G2005" s="374"/>
      <c r="H2005" s="374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6"/>
      <c r="D2006" s="374"/>
      <c r="E2006" s="375"/>
      <c r="F2006" s="374"/>
      <c r="G2006" s="374"/>
      <c r="H2006" s="374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6"/>
      <c r="D2007" s="374"/>
      <c r="E2007" s="375"/>
      <c r="F2007" s="374"/>
      <c r="G2007" s="374"/>
      <c r="H2007" s="374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6"/>
      <c r="D2008" s="374"/>
      <c r="E2008" s="375"/>
      <c r="F2008" s="374"/>
      <c r="G2008" s="374"/>
      <c r="H2008" s="374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6"/>
      <c r="D2009" s="374"/>
      <c r="E2009" s="375"/>
      <c r="F2009" s="374"/>
      <c r="G2009" s="374"/>
      <c r="H2009" s="374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6"/>
      <c r="D2010" s="374"/>
      <c r="E2010" s="375"/>
      <c r="F2010" s="374"/>
      <c r="G2010" s="374"/>
      <c r="H2010" s="374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6"/>
      <c r="D2011" s="374"/>
      <c r="E2011" s="375"/>
      <c r="F2011" s="374"/>
      <c r="G2011" s="374"/>
      <c r="H2011" s="374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6"/>
      <c r="D2012" s="374"/>
      <c r="E2012" s="375"/>
      <c r="F2012" s="374"/>
      <c r="G2012" s="374"/>
      <c r="H2012" s="374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6"/>
      <c r="D2013" s="374"/>
      <c r="E2013" s="375"/>
      <c r="F2013" s="374"/>
      <c r="G2013" s="374"/>
      <c r="H2013" s="374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6"/>
      <c r="D2014" s="374"/>
      <c r="E2014" s="375"/>
      <c r="F2014" s="374"/>
      <c r="G2014" s="374"/>
      <c r="H2014" s="374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6"/>
      <c r="D2015" s="374"/>
      <c r="E2015" s="375"/>
      <c r="F2015" s="374"/>
      <c r="G2015" s="374"/>
      <c r="H2015" s="374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6"/>
      <c r="D2016" s="374"/>
      <c r="E2016" s="375"/>
      <c r="F2016" s="374"/>
      <c r="G2016" s="374"/>
      <c r="H2016" s="374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6"/>
      <c r="D2017" s="374"/>
      <c r="E2017" s="375"/>
      <c r="F2017" s="374"/>
      <c r="G2017" s="374"/>
      <c r="H2017" s="374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6"/>
      <c r="D2018" s="374"/>
      <c r="E2018" s="375"/>
      <c r="F2018" s="374"/>
      <c r="G2018" s="374"/>
      <c r="H2018" s="374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6"/>
      <c r="D2019" s="374"/>
      <c r="E2019" s="375"/>
      <c r="F2019" s="374"/>
      <c r="G2019" s="374"/>
      <c r="H2019" s="374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6"/>
      <c r="D2020" s="374"/>
      <c r="E2020" s="375"/>
      <c r="F2020" s="374"/>
      <c r="G2020" s="374"/>
      <c r="H2020" s="374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6"/>
      <c r="D2021" s="374"/>
      <c r="E2021" s="375"/>
      <c r="F2021" s="374"/>
      <c r="G2021" s="374"/>
      <c r="H2021" s="374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6"/>
      <c r="D2022" s="374"/>
      <c r="E2022" s="375"/>
      <c r="F2022" s="374"/>
      <c r="G2022" s="374"/>
      <c r="H2022" s="374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6"/>
      <c r="D2023" s="374"/>
      <c r="E2023" s="375"/>
      <c r="F2023" s="374"/>
      <c r="G2023" s="374"/>
      <c r="H2023" s="374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6"/>
      <c r="D2024" s="374"/>
      <c r="E2024" s="375"/>
      <c r="F2024" s="374"/>
      <c r="G2024" s="374"/>
      <c r="H2024" s="374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6"/>
      <c r="D2025" s="374"/>
      <c r="E2025" s="375"/>
      <c r="F2025" s="374"/>
      <c r="G2025" s="374"/>
      <c r="H2025" s="374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6"/>
      <c r="D2026" s="374"/>
      <c r="E2026" s="375"/>
      <c r="F2026" s="374"/>
      <c r="G2026" s="374"/>
      <c r="H2026" s="374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6"/>
      <c r="D2027" s="374"/>
      <c r="E2027" s="375"/>
      <c r="F2027" s="374"/>
      <c r="G2027" s="374"/>
      <c r="H2027" s="374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6"/>
      <c r="D2028" s="374"/>
      <c r="E2028" s="375"/>
      <c r="F2028" s="374"/>
      <c r="G2028" s="374"/>
      <c r="H2028" s="374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6"/>
      <c r="D2029" s="374"/>
      <c r="E2029" s="375"/>
      <c r="F2029" s="374"/>
      <c r="G2029" s="374"/>
      <c r="H2029" s="374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6"/>
      <c r="D2030" s="374"/>
      <c r="E2030" s="375"/>
      <c r="F2030" s="374"/>
      <c r="G2030" s="374"/>
      <c r="H2030" s="374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6"/>
      <c r="D2031" s="374"/>
      <c r="E2031" s="375"/>
      <c r="F2031" s="374"/>
      <c r="G2031" s="374"/>
      <c r="H2031" s="374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6"/>
      <c r="D2032" s="374"/>
      <c r="E2032" s="375"/>
      <c r="F2032" s="374"/>
      <c r="G2032" s="374"/>
      <c r="H2032" s="374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6"/>
      <c r="D2033" s="374"/>
      <c r="E2033" s="375"/>
      <c r="F2033" s="374"/>
      <c r="G2033" s="374"/>
      <c r="H2033" s="374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6"/>
      <c r="D2034" s="374"/>
      <c r="E2034" s="375"/>
      <c r="F2034" s="374"/>
      <c r="G2034" s="374"/>
      <c r="H2034" s="374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6"/>
      <c r="D2035" s="374"/>
      <c r="E2035" s="375"/>
      <c r="F2035" s="374"/>
      <c r="G2035" s="374"/>
      <c r="H2035" s="374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6"/>
      <c r="D2036" s="374"/>
      <c r="E2036" s="375"/>
      <c r="F2036" s="374"/>
      <c r="G2036" s="374"/>
      <c r="H2036" s="374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6"/>
      <c r="D2037" s="374"/>
      <c r="E2037" s="375"/>
      <c r="F2037" s="374"/>
      <c r="G2037" s="374"/>
      <c r="H2037" s="374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6"/>
      <c r="D2038" s="374"/>
      <c r="E2038" s="375"/>
      <c r="F2038" s="374"/>
      <c r="G2038" s="374"/>
      <c r="H2038" s="374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6"/>
      <c r="D2039" s="374"/>
      <c r="E2039" s="375"/>
      <c r="F2039" s="374"/>
      <c r="G2039" s="374"/>
      <c r="H2039" s="374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6"/>
      <c r="D2040" s="374"/>
      <c r="E2040" s="375"/>
      <c r="F2040" s="374"/>
      <c r="G2040" s="374"/>
      <c r="H2040" s="374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6"/>
      <c r="D2041" s="374"/>
      <c r="E2041" s="375"/>
      <c r="F2041" s="374"/>
      <c r="G2041" s="374"/>
      <c r="H2041" s="374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6"/>
      <c r="D2042" s="374"/>
      <c r="E2042" s="375"/>
      <c r="F2042" s="374"/>
      <c r="G2042" s="374"/>
      <c r="H2042" s="374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6"/>
      <c r="D2043" s="374"/>
      <c r="E2043" s="375"/>
      <c r="F2043" s="374"/>
      <c r="G2043" s="374"/>
      <c r="H2043" s="374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6"/>
      <c r="D2044" s="374"/>
      <c r="E2044" s="375"/>
      <c r="F2044" s="374"/>
      <c r="G2044" s="374"/>
      <c r="H2044" s="374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6"/>
      <c r="D2045" s="374"/>
      <c r="E2045" s="375"/>
      <c r="F2045" s="374"/>
      <c r="G2045" s="374"/>
      <c r="H2045" s="374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6"/>
      <c r="D2046" s="374"/>
      <c r="E2046" s="375"/>
      <c r="F2046" s="374"/>
      <c r="G2046" s="374"/>
      <c r="H2046" s="374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6"/>
      <c r="D2047" s="374"/>
      <c r="E2047" s="375"/>
      <c r="F2047" s="374"/>
      <c r="G2047" s="374"/>
      <c r="H2047" s="374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6"/>
      <c r="D2048" s="374"/>
      <c r="E2048" s="375"/>
      <c r="F2048" s="374"/>
      <c r="G2048" s="374"/>
      <c r="H2048" s="374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6"/>
      <c r="D2049" s="374"/>
      <c r="E2049" s="375"/>
      <c r="F2049" s="374"/>
      <c r="G2049" s="374"/>
      <c r="H2049" s="374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6"/>
      <c r="D2050" s="374"/>
      <c r="E2050" s="375"/>
      <c r="F2050" s="374"/>
      <c r="G2050" s="374"/>
      <c r="H2050" s="374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6"/>
      <c r="D2051" s="374"/>
      <c r="E2051" s="375"/>
      <c r="F2051" s="374"/>
      <c r="G2051" s="374"/>
      <c r="H2051" s="374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6"/>
      <c r="D2052" s="374"/>
      <c r="E2052" s="375"/>
      <c r="F2052" s="374"/>
      <c r="G2052" s="374"/>
      <c r="H2052" s="374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6"/>
      <c r="D2053" s="374"/>
      <c r="E2053" s="375"/>
      <c r="F2053" s="374"/>
      <c r="G2053" s="374"/>
      <c r="H2053" s="374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6"/>
      <c r="D2054" s="374"/>
      <c r="E2054" s="375"/>
      <c r="F2054" s="374"/>
      <c r="G2054" s="374"/>
      <c r="H2054" s="374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6"/>
      <c r="D2055" s="374"/>
      <c r="E2055" s="375"/>
      <c r="F2055" s="374"/>
      <c r="G2055" s="374"/>
      <c r="H2055" s="374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6"/>
      <c r="D2056" s="374"/>
      <c r="E2056" s="375"/>
      <c r="F2056" s="374"/>
      <c r="G2056" s="374"/>
      <c r="H2056" s="374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6"/>
      <c r="D2057" s="374"/>
      <c r="E2057" s="375"/>
      <c r="F2057" s="374"/>
      <c r="G2057" s="374"/>
      <c r="H2057" s="374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6"/>
      <c r="D2058" s="374"/>
      <c r="E2058" s="375"/>
      <c r="F2058" s="374"/>
      <c r="G2058" s="374"/>
      <c r="H2058" s="374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6"/>
      <c r="D2059" s="374"/>
      <c r="E2059" s="375"/>
      <c r="F2059" s="374"/>
      <c r="G2059" s="374"/>
      <c r="H2059" s="374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6"/>
      <c r="D2060" s="374"/>
      <c r="E2060" s="375"/>
      <c r="F2060" s="374"/>
      <c r="G2060" s="374"/>
      <c r="H2060" s="374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6"/>
      <c r="D2061" s="374"/>
      <c r="E2061" s="375"/>
      <c r="F2061" s="374"/>
      <c r="G2061" s="374"/>
      <c r="H2061" s="374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6"/>
      <c r="D2062" s="374"/>
      <c r="E2062" s="375"/>
      <c r="F2062" s="374"/>
      <c r="G2062" s="374"/>
      <c r="H2062" s="374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6"/>
      <c r="D2063" s="374"/>
      <c r="E2063" s="375"/>
      <c r="F2063" s="374"/>
      <c r="G2063" s="374"/>
      <c r="H2063" s="374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6"/>
      <c r="D2064" s="374"/>
      <c r="E2064" s="375"/>
      <c r="F2064" s="374"/>
      <c r="G2064" s="374"/>
      <c r="H2064" s="374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6"/>
      <c r="D2065" s="374"/>
      <c r="E2065" s="375"/>
      <c r="F2065" s="374"/>
      <c r="G2065" s="374"/>
      <c r="H2065" s="374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6"/>
      <c r="D2066" s="374"/>
      <c r="E2066" s="375"/>
      <c r="F2066" s="374"/>
      <c r="G2066" s="374"/>
      <c r="H2066" s="374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6"/>
      <c r="D2067" s="374"/>
      <c r="E2067" s="375"/>
      <c r="F2067" s="374"/>
      <c r="G2067" s="374"/>
      <c r="H2067" s="374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6"/>
      <c r="D2068" s="374"/>
      <c r="E2068" s="375"/>
      <c r="F2068" s="374"/>
      <c r="G2068" s="374"/>
      <c r="H2068" s="374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6"/>
      <c r="D2069" s="374"/>
      <c r="E2069" s="375"/>
      <c r="F2069" s="374"/>
      <c r="G2069" s="374"/>
      <c r="H2069" s="374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6"/>
      <c r="D2070" s="374"/>
      <c r="E2070" s="375"/>
      <c r="F2070" s="374"/>
      <c r="G2070" s="374"/>
      <c r="H2070" s="374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6"/>
      <c r="D2071" s="374"/>
      <c r="E2071" s="375"/>
      <c r="F2071" s="374"/>
      <c r="G2071" s="374"/>
      <c r="H2071" s="374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6"/>
      <c r="D2072" s="374"/>
      <c r="E2072" s="375"/>
      <c r="F2072" s="374"/>
      <c r="G2072" s="374"/>
      <c r="H2072" s="374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6"/>
      <c r="D2073" s="374"/>
      <c r="E2073" s="375"/>
      <c r="F2073" s="374"/>
      <c r="G2073" s="374"/>
      <c r="H2073" s="374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6"/>
      <c r="D2074" s="374"/>
      <c r="E2074" s="375"/>
      <c r="F2074" s="374"/>
      <c r="G2074" s="374"/>
      <c r="H2074" s="374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6"/>
      <c r="D2075" s="374"/>
      <c r="E2075" s="375"/>
      <c r="F2075" s="374"/>
      <c r="G2075" s="374"/>
      <c r="H2075" s="374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6"/>
      <c r="D2076" s="374"/>
      <c r="E2076" s="375"/>
      <c r="F2076" s="374"/>
      <c r="G2076" s="374"/>
      <c r="H2076" s="374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6"/>
      <c r="D2077" s="374"/>
      <c r="E2077" s="375"/>
      <c r="F2077" s="374"/>
      <c r="G2077" s="374"/>
      <c r="H2077" s="374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6"/>
      <c r="D2078" s="374"/>
      <c r="E2078" s="375"/>
      <c r="F2078" s="374"/>
      <c r="G2078" s="374"/>
      <c r="H2078" s="374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6"/>
      <c r="D2079" s="374"/>
      <c r="E2079" s="375"/>
      <c r="F2079" s="374"/>
      <c r="G2079" s="374"/>
      <c r="H2079" s="374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6"/>
      <c r="D2080" s="374"/>
      <c r="E2080" s="375"/>
      <c r="F2080" s="374"/>
      <c r="G2080" s="374"/>
      <c r="H2080" s="374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6"/>
      <c r="D2081" s="374"/>
      <c r="E2081" s="375"/>
      <c r="F2081" s="374"/>
      <c r="G2081" s="374"/>
      <c r="H2081" s="374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6"/>
      <c r="D2082" s="374"/>
      <c r="E2082" s="375"/>
      <c r="F2082" s="374"/>
      <c r="G2082" s="374"/>
      <c r="H2082" s="374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6"/>
      <c r="D2083" s="374"/>
      <c r="E2083" s="375"/>
      <c r="F2083" s="374"/>
      <c r="G2083" s="374"/>
      <c r="H2083" s="374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6"/>
      <c r="D2084" s="374"/>
      <c r="E2084" s="375"/>
      <c r="F2084" s="374"/>
      <c r="G2084" s="374"/>
      <c r="H2084" s="374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6"/>
      <c r="D2085" s="374"/>
      <c r="E2085" s="375"/>
      <c r="F2085" s="374"/>
      <c r="G2085" s="374"/>
      <c r="H2085" s="374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6"/>
      <c r="D2086" s="374"/>
      <c r="E2086" s="375"/>
      <c r="F2086" s="374"/>
      <c r="G2086" s="374"/>
      <c r="H2086" s="374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6"/>
      <c r="D2087" s="374"/>
      <c r="E2087" s="375"/>
      <c r="F2087" s="374"/>
      <c r="G2087" s="374"/>
      <c r="H2087" s="374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6"/>
      <c r="D2088" s="374"/>
      <c r="E2088" s="375"/>
      <c r="F2088" s="374"/>
      <c r="G2088" s="374"/>
      <c r="H2088" s="374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6"/>
      <c r="D2089" s="374"/>
      <c r="E2089" s="375"/>
      <c r="F2089" s="374"/>
      <c r="G2089" s="374"/>
      <c r="H2089" s="374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6"/>
      <c r="D2090" s="374"/>
      <c r="E2090" s="375"/>
      <c r="F2090" s="374"/>
      <c r="G2090" s="374"/>
      <c r="H2090" s="374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6"/>
      <c r="D2091" s="374"/>
      <c r="E2091" s="375"/>
      <c r="F2091" s="374"/>
      <c r="G2091" s="374"/>
      <c r="H2091" s="374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6"/>
      <c r="D2092" s="374"/>
      <c r="E2092" s="375"/>
      <c r="F2092" s="374"/>
      <c r="G2092" s="374"/>
      <c r="H2092" s="374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6"/>
      <c r="D2093" s="374"/>
      <c r="E2093" s="375"/>
      <c r="F2093" s="374"/>
      <c r="G2093" s="374"/>
      <c r="H2093" s="374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6"/>
      <c r="D2094" s="374"/>
      <c r="E2094" s="375"/>
      <c r="F2094" s="374"/>
      <c r="G2094" s="374"/>
      <c r="H2094" s="374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6"/>
      <c r="D2095" s="374"/>
      <c r="E2095" s="375"/>
      <c r="F2095" s="374"/>
      <c r="G2095" s="374"/>
      <c r="H2095" s="374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6"/>
      <c r="D2096" s="374"/>
      <c r="E2096" s="375"/>
      <c r="F2096" s="374"/>
      <c r="G2096" s="374"/>
      <c r="H2096" s="374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6"/>
      <c r="D2097" s="374"/>
      <c r="E2097" s="375"/>
      <c r="F2097" s="374"/>
      <c r="G2097" s="374"/>
      <c r="H2097" s="374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6"/>
      <c r="D2098" s="374"/>
      <c r="E2098" s="375"/>
      <c r="F2098" s="374"/>
      <c r="G2098" s="374"/>
      <c r="H2098" s="374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6"/>
      <c r="D2099" s="374"/>
      <c r="E2099" s="375"/>
      <c r="F2099" s="374"/>
      <c r="G2099" s="374"/>
      <c r="H2099" s="374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6"/>
      <c r="D2100" s="374"/>
      <c r="E2100" s="375"/>
      <c r="F2100" s="374"/>
      <c r="G2100" s="374"/>
      <c r="H2100" s="374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6"/>
      <c r="D2101" s="374"/>
      <c r="E2101" s="375"/>
      <c r="F2101" s="374"/>
      <c r="G2101" s="374"/>
      <c r="H2101" s="374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6"/>
      <c r="D2102" s="374"/>
      <c r="E2102" s="375"/>
      <c r="F2102" s="374"/>
      <c r="G2102" s="374"/>
      <c r="H2102" s="374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6"/>
      <c r="D2103" s="374"/>
      <c r="E2103" s="375"/>
      <c r="F2103" s="374"/>
      <c r="G2103" s="374"/>
      <c r="H2103" s="374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6"/>
      <c r="D2104" s="374"/>
      <c r="E2104" s="375"/>
      <c r="F2104" s="374"/>
      <c r="G2104" s="374"/>
      <c r="H2104" s="374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6"/>
      <c r="D2105" s="374"/>
      <c r="E2105" s="375"/>
      <c r="F2105" s="374"/>
      <c r="G2105" s="374"/>
      <c r="H2105" s="374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6"/>
      <c r="D2106" s="374"/>
      <c r="E2106" s="375"/>
      <c r="F2106" s="374"/>
      <c r="G2106" s="374"/>
      <c r="H2106" s="374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6"/>
      <c r="D2107" s="374"/>
      <c r="E2107" s="375"/>
      <c r="F2107" s="374"/>
      <c r="G2107" s="374"/>
      <c r="H2107" s="374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6"/>
      <c r="D2108" s="374"/>
      <c r="E2108" s="375"/>
      <c r="F2108" s="374"/>
      <c r="G2108" s="374"/>
      <c r="H2108" s="374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6"/>
      <c r="D2109" s="374"/>
      <c r="E2109" s="375"/>
      <c r="F2109" s="374"/>
      <c r="G2109" s="374"/>
      <c r="H2109" s="374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6"/>
      <c r="D2110" s="374"/>
      <c r="E2110" s="375"/>
      <c r="F2110" s="374"/>
      <c r="G2110" s="374"/>
      <c r="H2110" s="374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6"/>
      <c r="D2111" s="374"/>
      <c r="E2111" s="375"/>
      <c r="F2111" s="374"/>
      <c r="G2111" s="374"/>
      <c r="H2111" s="374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6"/>
      <c r="D2112" s="374"/>
      <c r="E2112" s="375"/>
      <c r="F2112" s="374"/>
      <c r="G2112" s="374"/>
      <c r="H2112" s="374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6"/>
      <c r="D2113" s="374"/>
      <c r="E2113" s="375"/>
      <c r="F2113" s="374"/>
      <c r="G2113" s="374"/>
      <c r="H2113" s="374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6"/>
      <c r="D2114" s="374"/>
      <c r="E2114" s="375"/>
      <c r="F2114" s="374"/>
      <c r="G2114" s="374"/>
      <c r="H2114" s="374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6"/>
      <c r="D2115" s="374"/>
      <c r="E2115" s="375"/>
      <c r="F2115" s="374"/>
      <c r="G2115" s="374"/>
      <c r="H2115" s="374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6"/>
      <c r="D2116" s="374"/>
      <c r="E2116" s="375"/>
      <c r="F2116" s="374"/>
      <c r="G2116" s="374"/>
      <c r="H2116" s="374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6"/>
      <c r="D2117" s="374"/>
      <c r="E2117" s="375"/>
      <c r="F2117" s="374"/>
      <c r="G2117" s="374"/>
      <c r="H2117" s="374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6"/>
      <c r="D2118" s="374"/>
      <c r="E2118" s="375"/>
      <c r="F2118" s="374"/>
      <c r="G2118" s="374"/>
      <c r="H2118" s="374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6"/>
      <c r="D2119" s="374"/>
      <c r="E2119" s="375"/>
      <c r="F2119" s="374"/>
      <c r="G2119" s="374"/>
      <c r="H2119" s="374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6"/>
      <c r="D2120" s="374"/>
      <c r="E2120" s="375"/>
      <c r="F2120" s="374"/>
      <c r="G2120" s="374"/>
      <c r="H2120" s="374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6"/>
      <c r="D2121" s="374"/>
      <c r="E2121" s="375"/>
      <c r="F2121" s="374"/>
      <c r="G2121" s="374"/>
      <c r="H2121" s="374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6"/>
      <c r="D2122" s="374"/>
      <c r="E2122" s="375"/>
      <c r="F2122" s="374"/>
      <c r="G2122" s="374"/>
      <c r="H2122" s="374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6"/>
      <c r="D2123" s="374"/>
      <c r="E2123" s="375"/>
      <c r="F2123" s="374"/>
      <c r="G2123" s="374"/>
      <c r="H2123" s="374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6"/>
      <c r="D2124" s="374"/>
      <c r="E2124" s="375"/>
      <c r="F2124" s="374"/>
      <c r="G2124" s="374"/>
      <c r="H2124" s="374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6"/>
      <c r="D2125" s="374"/>
      <c r="E2125" s="375"/>
      <c r="F2125" s="374"/>
      <c r="G2125" s="374"/>
      <c r="H2125" s="374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6"/>
      <c r="D2126" s="374"/>
      <c r="E2126" s="375"/>
      <c r="F2126" s="374"/>
      <c r="G2126" s="374"/>
      <c r="H2126" s="374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6"/>
      <c r="D2127" s="374"/>
      <c r="E2127" s="375"/>
      <c r="F2127" s="374"/>
      <c r="G2127" s="374"/>
      <c r="H2127" s="374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6"/>
      <c r="D2128" s="374"/>
      <c r="E2128" s="375"/>
      <c r="F2128" s="374"/>
      <c r="G2128" s="374"/>
      <c r="H2128" s="374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6"/>
      <c r="D2129" s="374"/>
      <c r="E2129" s="375"/>
      <c r="F2129" s="374"/>
      <c r="G2129" s="374"/>
      <c r="H2129" s="374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6"/>
      <c r="D2130" s="374"/>
      <c r="E2130" s="375"/>
      <c r="F2130" s="374"/>
      <c r="G2130" s="374"/>
      <c r="H2130" s="374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6"/>
      <c r="D2131" s="374"/>
      <c r="E2131" s="375"/>
      <c r="F2131" s="374"/>
      <c r="G2131" s="374"/>
      <c r="H2131" s="374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6"/>
      <c r="D2132" s="374"/>
      <c r="E2132" s="375"/>
      <c r="F2132" s="374"/>
      <c r="G2132" s="374"/>
      <c r="H2132" s="374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6"/>
      <c r="D2133" s="374"/>
      <c r="E2133" s="375"/>
      <c r="F2133" s="374"/>
      <c r="G2133" s="374"/>
      <c r="H2133" s="374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6"/>
      <c r="D2134" s="374"/>
      <c r="E2134" s="375"/>
      <c r="F2134" s="374"/>
      <c r="G2134" s="374"/>
      <c r="H2134" s="374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6"/>
      <c r="D2135" s="374"/>
      <c r="E2135" s="375"/>
      <c r="F2135" s="374"/>
      <c r="G2135" s="374"/>
      <c r="H2135" s="374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6"/>
      <c r="D2136" s="374"/>
      <c r="E2136" s="375"/>
      <c r="F2136" s="374"/>
      <c r="G2136" s="374"/>
      <c r="H2136" s="374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6"/>
      <c r="D2137" s="374"/>
      <c r="E2137" s="375"/>
      <c r="F2137" s="374"/>
      <c r="G2137" s="374"/>
      <c r="H2137" s="374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6"/>
      <c r="D2138" s="374"/>
      <c r="E2138" s="375"/>
      <c r="F2138" s="374"/>
      <c r="G2138" s="374"/>
      <c r="H2138" s="374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6"/>
      <c r="D2139" s="374"/>
      <c r="E2139" s="375"/>
      <c r="F2139" s="374"/>
      <c r="G2139" s="374"/>
      <c r="H2139" s="374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6"/>
      <c r="D2140" s="374"/>
      <c r="E2140" s="375"/>
      <c r="F2140" s="374"/>
      <c r="G2140" s="374"/>
      <c r="H2140" s="374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6"/>
      <c r="D2141" s="374"/>
      <c r="E2141" s="375"/>
      <c r="F2141" s="374"/>
      <c r="G2141" s="374"/>
      <c r="H2141" s="374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6"/>
      <c r="D2142" s="374"/>
      <c r="E2142" s="375"/>
      <c r="F2142" s="374"/>
      <c r="G2142" s="374"/>
      <c r="H2142" s="374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6"/>
      <c r="D2143" s="374"/>
      <c r="E2143" s="375"/>
      <c r="F2143" s="374"/>
      <c r="G2143" s="374"/>
      <c r="H2143" s="374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6"/>
      <c r="D2144" s="374"/>
      <c r="E2144" s="375"/>
      <c r="F2144" s="374"/>
      <c r="G2144" s="374"/>
      <c r="H2144" s="374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6"/>
      <c r="D2145" s="374"/>
      <c r="E2145" s="375"/>
      <c r="F2145" s="374"/>
      <c r="G2145" s="374"/>
      <c r="H2145" s="374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6"/>
      <c r="D2146" s="374"/>
      <c r="E2146" s="375"/>
      <c r="F2146" s="374"/>
      <c r="G2146" s="374"/>
      <c r="H2146" s="374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6"/>
      <c r="D2147" s="374"/>
      <c r="E2147" s="375"/>
      <c r="F2147" s="374"/>
      <c r="G2147" s="374"/>
      <c r="H2147" s="374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6"/>
      <c r="D2148" s="374"/>
      <c r="E2148" s="375"/>
      <c r="F2148" s="374"/>
      <c r="G2148" s="374"/>
      <c r="H2148" s="374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6"/>
      <c r="D2149" s="374"/>
      <c r="E2149" s="375"/>
      <c r="F2149" s="374"/>
      <c r="G2149" s="374"/>
      <c r="H2149" s="374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6"/>
      <c r="D2150" s="374"/>
      <c r="E2150" s="375"/>
      <c r="F2150" s="374"/>
      <c r="G2150" s="374"/>
      <c r="H2150" s="374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6"/>
      <c r="D2151" s="374"/>
      <c r="E2151" s="375"/>
      <c r="F2151" s="374"/>
      <c r="G2151" s="374"/>
      <c r="H2151" s="374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6"/>
      <c r="D2152" s="374"/>
      <c r="E2152" s="375"/>
      <c r="F2152" s="374"/>
      <c r="G2152" s="374"/>
      <c r="H2152" s="374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6"/>
      <c r="D2153" s="374"/>
      <c r="E2153" s="375"/>
      <c r="F2153" s="374"/>
      <c r="G2153" s="374"/>
      <c r="H2153" s="374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6"/>
      <c r="D2154" s="374"/>
      <c r="E2154" s="375"/>
      <c r="F2154" s="374"/>
      <c r="G2154" s="374"/>
      <c r="H2154" s="374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6"/>
      <c r="D2155" s="374"/>
      <c r="E2155" s="375"/>
      <c r="F2155" s="374"/>
      <c r="G2155" s="374"/>
      <c r="H2155" s="374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6"/>
      <c r="D2156" s="374"/>
      <c r="E2156" s="375"/>
      <c r="F2156" s="374"/>
      <c r="G2156" s="374"/>
      <c r="H2156" s="374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6"/>
      <c r="D2157" s="374"/>
      <c r="E2157" s="375"/>
      <c r="F2157" s="374"/>
      <c r="G2157" s="374"/>
      <c r="H2157" s="374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6"/>
      <c r="D2158" s="374"/>
      <c r="E2158" s="375"/>
      <c r="F2158" s="374"/>
      <c r="G2158" s="374"/>
      <c r="H2158" s="374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6"/>
      <c r="D2159" s="374"/>
      <c r="E2159" s="375"/>
      <c r="F2159" s="374"/>
      <c r="G2159" s="374"/>
      <c r="H2159" s="374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6"/>
      <c r="D2160" s="374"/>
      <c r="E2160" s="375"/>
      <c r="F2160" s="374"/>
      <c r="G2160" s="374"/>
      <c r="H2160" s="374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6"/>
      <c r="D2161" s="374"/>
      <c r="E2161" s="375"/>
      <c r="F2161" s="374"/>
      <c r="G2161" s="374"/>
      <c r="H2161" s="374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6"/>
      <c r="D2162" s="374"/>
      <c r="E2162" s="375"/>
      <c r="F2162" s="374"/>
      <c r="G2162" s="374"/>
      <c r="H2162" s="374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6"/>
      <c r="D2163" s="374"/>
      <c r="E2163" s="375"/>
      <c r="F2163" s="374"/>
      <c r="G2163" s="374"/>
      <c r="H2163" s="374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6"/>
      <c r="D2164" s="374"/>
      <c r="E2164" s="375"/>
      <c r="F2164" s="374"/>
      <c r="G2164" s="374"/>
      <c r="H2164" s="374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6"/>
      <c r="D2165" s="374"/>
      <c r="E2165" s="375"/>
      <c r="F2165" s="374"/>
      <c r="G2165" s="374"/>
      <c r="H2165" s="374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6"/>
      <c r="D2166" s="374"/>
      <c r="E2166" s="375"/>
      <c r="F2166" s="374"/>
      <c r="G2166" s="374"/>
      <c r="H2166" s="374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6"/>
      <c r="D2167" s="374"/>
      <c r="E2167" s="375"/>
      <c r="F2167" s="374"/>
      <c r="G2167" s="374"/>
      <c r="H2167" s="374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6"/>
      <c r="D2168" s="374"/>
      <c r="E2168" s="375"/>
      <c r="F2168" s="374"/>
      <c r="G2168" s="374"/>
      <c r="H2168" s="374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6"/>
      <c r="D2169" s="374"/>
      <c r="E2169" s="375"/>
      <c r="F2169" s="374"/>
      <c r="G2169" s="374"/>
      <c r="H2169" s="374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6"/>
      <c r="D2170" s="374"/>
      <c r="E2170" s="375"/>
      <c r="F2170" s="374"/>
      <c r="G2170" s="374"/>
      <c r="H2170" s="374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6"/>
      <c r="D2171" s="374"/>
      <c r="E2171" s="375"/>
      <c r="F2171" s="374"/>
      <c r="G2171" s="374"/>
      <c r="H2171" s="374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6"/>
      <c r="D2172" s="374"/>
      <c r="E2172" s="375"/>
      <c r="F2172" s="374"/>
      <c r="G2172" s="374"/>
      <c r="H2172" s="374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6"/>
      <c r="D2173" s="374"/>
      <c r="E2173" s="375"/>
      <c r="F2173" s="374"/>
      <c r="G2173" s="374"/>
      <c r="H2173" s="374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6"/>
      <c r="D2174" s="374"/>
      <c r="E2174" s="375"/>
      <c r="F2174" s="374"/>
      <c r="G2174" s="374"/>
      <c r="H2174" s="374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6"/>
      <c r="D2175" s="374"/>
      <c r="E2175" s="375"/>
      <c r="F2175" s="374"/>
      <c r="G2175" s="374"/>
      <c r="H2175" s="374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6"/>
      <c r="D2176" s="374"/>
      <c r="E2176" s="375"/>
      <c r="F2176" s="374"/>
      <c r="G2176" s="374"/>
      <c r="H2176" s="374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6"/>
      <c r="D2177" s="374"/>
      <c r="E2177" s="375"/>
      <c r="F2177" s="374"/>
      <c r="G2177" s="374"/>
      <c r="H2177" s="374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6"/>
      <c r="D2178" s="374"/>
      <c r="E2178" s="375"/>
      <c r="F2178" s="374"/>
      <c r="G2178" s="374"/>
      <c r="H2178" s="374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6"/>
      <c r="D2179" s="374"/>
      <c r="E2179" s="375"/>
      <c r="F2179" s="374"/>
      <c r="G2179" s="374"/>
      <c r="H2179" s="374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6"/>
      <c r="D2180" s="374"/>
      <c r="E2180" s="375"/>
      <c r="F2180" s="374"/>
      <c r="G2180" s="374"/>
      <c r="H2180" s="374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6"/>
      <c r="D2181" s="374"/>
      <c r="E2181" s="375"/>
      <c r="F2181" s="374"/>
      <c r="G2181" s="374"/>
      <c r="H2181" s="374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6"/>
      <c r="D2182" s="374"/>
      <c r="E2182" s="375"/>
      <c r="F2182" s="374"/>
      <c r="G2182" s="374"/>
      <c r="H2182" s="374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6"/>
      <c r="D2183" s="374"/>
      <c r="E2183" s="375"/>
      <c r="F2183" s="374"/>
      <c r="G2183" s="374"/>
      <c r="H2183" s="374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6"/>
      <c r="D2184" s="374"/>
      <c r="E2184" s="375"/>
      <c r="F2184" s="374"/>
      <c r="G2184" s="374"/>
      <c r="H2184" s="374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6"/>
      <c r="D2185" s="374"/>
      <c r="E2185" s="375"/>
      <c r="F2185" s="374"/>
      <c r="G2185" s="374"/>
      <c r="H2185" s="374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6"/>
      <c r="D2186" s="374"/>
      <c r="E2186" s="375"/>
      <c r="F2186" s="374"/>
      <c r="G2186" s="374"/>
      <c r="H2186" s="374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6"/>
      <c r="D2187" s="374"/>
      <c r="E2187" s="375"/>
      <c r="F2187" s="374"/>
      <c r="G2187" s="374"/>
      <c r="H2187" s="374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6"/>
      <c r="D2188" s="374"/>
      <c r="E2188" s="375"/>
      <c r="F2188" s="374"/>
      <c r="G2188" s="374"/>
      <c r="H2188" s="374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6"/>
      <c r="D2189" s="374"/>
      <c r="E2189" s="375"/>
      <c r="F2189" s="374"/>
      <c r="G2189" s="374"/>
      <c r="H2189" s="374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6"/>
      <c r="D2190" s="374"/>
      <c r="E2190" s="375"/>
      <c r="F2190" s="374"/>
      <c r="G2190" s="374"/>
      <c r="H2190" s="374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6"/>
      <c r="D2191" s="374"/>
      <c r="E2191" s="375"/>
      <c r="F2191" s="374"/>
      <c r="G2191" s="374"/>
      <c r="H2191" s="374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6"/>
      <c r="D2192" s="374"/>
      <c r="E2192" s="375"/>
      <c r="F2192" s="374"/>
      <c r="G2192" s="374"/>
      <c r="H2192" s="374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6"/>
      <c r="D2193" s="374"/>
      <c r="E2193" s="375"/>
      <c r="F2193" s="374"/>
      <c r="G2193" s="374"/>
      <c r="H2193" s="374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6"/>
      <c r="D2194" s="374"/>
      <c r="E2194" s="375"/>
      <c r="F2194" s="374"/>
      <c r="G2194" s="374"/>
      <c r="H2194" s="374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6"/>
      <c r="D2195" s="374"/>
      <c r="E2195" s="375"/>
      <c r="F2195" s="374"/>
      <c r="G2195" s="374"/>
      <c r="H2195" s="374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6"/>
      <c r="D2196" s="374"/>
      <c r="E2196" s="375"/>
      <c r="F2196" s="374"/>
      <c r="G2196" s="374"/>
      <c r="H2196" s="374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6"/>
      <c r="D2197" s="374"/>
      <c r="E2197" s="375"/>
      <c r="F2197" s="374"/>
      <c r="G2197" s="374"/>
      <c r="H2197" s="374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6"/>
      <c r="D2198" s="374"/>
      <c r="E2198" s="375"/>
      <c r="F2198" s="374"/>
      <c r="G2198" s="374"/>
      <c r="H2198" s="374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6"/>
      <c r="D2199" s="374"/>
      <c r="E2199" s="375"/>
      <c r="F2199" s="374"/>
      <c r="G2199" s="374"/>
      <c r="H2199" s="374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6"/>
      <c r="D2200" s="374"/>
      <c r="E2200" s="375"/>
      <c r="F2200" s="374"/>
      <c r="G2200" s="374"/>
      <c r="H2200" s="374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6"/>
      <c r="D2201" s="374"/>
      <c r="E2201" s="375"/>
      <c r="F2201" s="374"/>
      <c r="G2201" s="374"/>
      <c r="H2201" s="374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6"/>
      <c r="D2202" s="374"/>
      <c r="E2202" s="375"/>
      <c r="F2202" s="374"/>
      <c r="G2202" s="374"/>
      <c r="H2202" s="374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6"/>
      <c r="D2203" s="374"/>
      <c r="E2203" s="375"/>
      <c r="F2203" s="374"/>
      <c r="G2203" s="374"/>
      <c r="H2203" s="374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6"/>
      <c r="D2204" s="374"/>
      <c r="E2204" s="375"/>
      <c r="F2204" s="374"/>
      <c r="G2204" s="374"/>
      <c r="H2204" s="374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6"/>
      <c r="D2205" s="374"/>
      <c r="E2205" s="375"/>
      <c r="F2205" s="374"/>
      <c r="G2205" s="374"/>
      <c r="H2205" s="374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6"/>
      <c r="D2206" s="374"/>
      <c r="E2206" s="375"/>
      <c r="F2206" s="374"/>
      <c r="G2206" s="374"/>
      <c r="H2206" s="374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6"/>
      <c r="D2207" s="374"/>
      <c r="E2207" s="375"/>
      <c r="F2207" s="374"/>
      <c r="G2207" s="374"/>
      <c r="H2207" s="374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6"/>
      <c r="D2208" s="374"/>
      <c r="E2208" s="375"/>
      <c r="F2208" s="374"/>
      <c r="G2208" s="374"/>
      <c r="H2208" s="374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6"/>
      <c r="D2209" s="374"/>
      <c r="E2209" s="375"/>
      <c r="F2209" s="374"/>
      <c r="G2209" s="374"/>
      <c r="H2209" s="374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6"/>
      <c r="D2210" s="374"/>
      <c r="E2210" s="375"/>
      <c r="F2210" s="374"/>
      <c r="G2210" s="374"/>
      <c r="H2210" s="374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6"/>
      <c r="D2211" s="374"/>
      <c r="E2211" s="375"/>
      <c r="F2211" s="374"/>
      <c r="G2211" s="374"/>
      <c r="H2211" s="374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6"/>
      <c r="D2212" s="374"/>
      <c r="E2212" s="375"/>
      <c r="F2212" s="374"/>
      <c r="G2212" s="374"/>
      <c r="H2212" s="374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6"/>
      <c r="D2213" s="374"/>
      <c r="E2213" s="375"/>
      <c r="F2213" s="374"/>
      <c r="G2213" s="374"/>
      <c r="H2213" s="374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6"/>
      <c r="D2214" s="374"/>
      <c r="E2214" s="375"/>
      <c r="F2214" s="374"/>
      <c r="G2214" s="374"/>
      <c r="H2214" s="374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6"/>
      <c r="D2215" s="374"/>
      <c r="E2215" s="375"/>
      <c r="F2215" s="374"/>
      <c r="G2215" s="374"/>
      <c r="H2215" s="374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6"/>
      <c r="D2216" s="374"/>
      <c r="E2216" s="375"/>
      <c r="F2216" s="374"/>
      <c r="G2216" s="374"/>
      <c r="H2216" s="374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6"/>
      <c r="D2217" s="374"/>
      <c r="E2217" s="375"/>
      <c r="F2217" s="374"/>
      <c r="G2217" s="374"/>
      <c r="H2217" s="374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6"/>
      <c r="D2218" s="374"/>
      <c r="E2218" s="375"/>
      <c r="F2218" s="374"/>
      <c r="G2218" s="374"/>
      <c r="H2218" s="374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6"/>
      <c r="D2219" s="374"/>
      <c r="E2219" s="375"/>
      <c r="F2219" s="374"/>
      <c r="G2219" s="374"/>
      <c r="H2219" s="374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6"/>
      <c r="D2220" s="374"/>
      <c r="E2220" s="375"/>
      <c r="F2220" s="374"/>
      <c r="G2220" s="374"/>
      <c r="H2220" s="374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6"/>
      <c r="D2221" s="374"/>
      <c r="E2221" s="375"/>
      <c r="F2221" s="374"/>
      <c r="G2221" s="374"/>
      <c r="H2221" s="374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6"/>
      <c r="D2222" s="374"/>
      <c r="E2222" s="375"/>
      <c r="F2222" s="374"/>
      <c r="G2222" s="374"/>
      <c r="H2222" s="374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6"/>
      <c r="D2223" s="374"/>
      <c r="E2223" s="375"/>
      <c r="F2223" s="374"/>
      <c r="G2223" s="374"/>
      <c r="H2223" s="374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6"/>
      <c r="D2224" s="374"/>
      <c r="E2224" s="375"/>
      <c r="F2224" s="374"/>
      <c r="G2224" s="374"/>
      <c r="H2224" s="374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6"/>
      <c r="D2225" s="374"/>
      <c r="E2225" s="375"/>
      <c r="F2225" s="374"/>
      <c r="G2225" s="374"/>
      <c r="H2225" s="374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6"/>
      <c r="D2226" s="374"/>
      <c r="E2226" s="375"/>
      <c r="F2226" s="374"/>
      <c r="G2226" s="374"/>
      <c r="H2226" s="374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6"/>
      <c r="D2227" s="374"/>
      <c r="E2227" s="375"/>
      <c r="F2227" s="374"/>
      <c r="G2227" s="374"/>
      <c r="H2227" s="374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6"/>
      <c r="D2228" s="374"/>
      <c r="E2228" s="375"/>
      <c r="F2228" s="374"/>
      <c r="G2228" s="374"/>
      <c r="H2228" s="374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6"/>
      <c r="D2229" s="374"/>
      <c r="E2229" s="375"/>
      <c r="F2229" s="374"/>
      <c r="G2229" s="374"/>
      <c r="H2229" s="374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6"/>
      <c r="D2230" s="374"/>
      <c r="E2230" s="375"/>
      <c r="F2230" s="374"/>
      <c r="G2230" s="374"/>
      <c r="H2230" s="374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6"/>
      <c r="D2231" s="374"/>
      <c r="E2231" s="375"/>
      <c r="F2231" s="374"/>
      <c r="G2231" s="374"/>
      <c r="H2231" s="374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6"/>
      <c r="D2232" s="374"/>
      <c r="E2232" s="375"/>
      <c r="F2232" s="374"/>
      <c r="G2232" s="374"/>
      <c r="H2232" s="374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6"/>
      <c r="D2233" s="374"/>
      <c r="E2233" s="375"/>
      <c r="F2233" s="374"/>
      <c r="G2233" s="374"/>
      <c r="H2233" s="374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6"/>
      <c r="D2234" s="374"/>
      <c r="E2234" s="375"/>
      <c r="F2234" s="374"/>
      <c r="G2234" s="374"/>
      <c r="H2234" s="374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6"/>
      <c r="D2235" s="374"/>
      <c r="E2235" s="375"/>
      <c r="F2235" s="374"/>
      <c r="G2235" s="374"/>
      <c r="H2235" s="374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6"/>
      <c r="D2236" s="374"/>
      <c r="E2236" s="375"/>
      <c r="F2236" s="374"/>
      <c r="G2236" s="374"/>
      <c r="H2236" s="374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6"/>
      <c r="D2237" s="374"/>
      <c r="E2237" s="375"/>
      <c r="F2237" s="374"/>
      <c r="G2237" s="374"/>
      <c r="H2237" s="374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6"/>
      <c r="D2238" s="374"/>
      <c r="E2238" s="375"/>
      <c r="F2238" s="374"/>
      <c r="G2238" s="374"/>
      <c r="H2238" s="374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6"/>
      <c r="D2239" s="374"/>
      <c r="E2239" s="375"/>
      <c r="F2239" s="374"/>
      <c r="G2239" s="374"/>
      <c r="H2239" s="374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6"/>
      <c r="D2240" s="374"/>
      <c r="E2240" s="375"/>
      <c r="F2240" s="374"/>
      <c r="G2240" s="374"/>
      <c r="H2240" s="374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6"/>
      <c r="D2241" s="374"/>
      <c r="E2241" s="375"/>
      <c r="F2241" s="374"/>
      <c r="G2241" s="374"/>
      <c r="H2241" s="374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6"/>
      <c r="D2242" s="374"/>
      <c r="E2242" s="375"/>
      <c r="F2242" s="374"/>
      <c r="G2242" s="374"/>
      <c r="H2242" s="374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6"/>
      <c r="D2243" s="374"/>
      <c r="E2243" s="375"/>
      <c r="F2243" s="374"/>
      <c r="G2243" s="374"/>
      <c r="H2243" s="374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6"/>
      <c r="D2244" s="374"/>
      <c r="E2244" s="375"/>
      <c r="F2244" s="374"/>
      <c r="G2244" s="374"/>
      <c r="H2244" s="374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6"/>
      <c r="D2245" s="374"/>
      <c r="E2245" s="375"/>
      <c r="F2245" s="374"/>
      <c r="G2245" s="374"/>
      <c r="H2245" s="374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6"/>
      <c r="D2246" s="374"/>
      <c r="E2246" s="375"/>
      <c r="F2246" s="374"/>
      <c r="G2246" s="374"/>
      <c r="H2246" s="374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6"/>
      <c r="D2247" s="374"/>
      <c r="E2247" s="375"/>
      <c r="F2247" s="374"/>
      <c r="G2247" s="374"/>
      <c r="H2247" s="374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6"/>
      <c r="D2248" s="374"/>
      <c r="E2248" s="375"/>
      <c r="F2248" s="374"/>
      <c r="G2248" s="374"/>
      <c r="H2248" s="374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6"/>
      <c r="D2249" s="374"/>
      <c r="E2249" s="375"/>
      <c r="F2249" s="374"/>
      <c r="G2249" s="374"/>
      <c r="H2249" s="374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6"/>
      <c r="D2250" s="374"/>
      <c r="E2250" s="375"/>
      <c r="F2250" s="374"/>
      <c r="G2250" s="374"/>
      <c r="H2250" s="374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6"/>
      <c r="D2251" s="374"/>
      <c r="E2251" s="375"/>
      <c r="F2251" s="374"/>
      <c r="G2251" s="374"/>
      <c r="H2251" s="374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6"/>
      <c r="D2252" s="374"/>
      <c r="E2252" s="375"/>
      <c r="F2252" s="374"/>
      <c r="G2252" s="374"/>
      <c r="H2252" s="374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6"/>
      <c r="D2253" s="374"/>
      <c r="E2253" s="375"/>
      <c r="F2253" s="374"/>
      <c r="G2253" s="374"/>
      <c r="H2253" s="374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6"/>
      <c r="D2254" s="374"/>
      <c r="E2254" s="375"/>
      <c r="F2254" s="374"/>
      <c r="G2254" s="374"/>
      <c r="H2254" s="374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6"/>
      <c r="D2255" s="374"/>
      <c r="E2255" s="375"/>
      <c r="F2255" s="374"/>
      <c r="G2255" s="374"/>
      <c r="H2255" s="374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6"/>
      <c r="D2256" s="374"/>
      <c r="E2256" s="375"/>
      <c r="F2256" s="374"/>
      <c r="G2256" s="374"/>
      <c r="H2256" s="374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6"/>
      <c r="D2257" s="374"/>
      <c r="E2257" s="375"/>
      <c r="F2257" s="374"/>
      <c r="G2257" s="374"/>
      <c r="H2257" s="374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6"/>
      <c r="D2258" s="374"/>
      <c r="E2258" s="375"/>
      <c r="F2258" s="374"/>
      <c r="G2258" s="374"/>
      <c r="H2258" s="374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6"/>
      <c r="D2259" s="374"/>
      <c r="E2259" s="375"/>
      <c r="F2259" s="374"/>
      <c r="G2259" s="374"/>
      <c r="H2259" s="374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6"/>
      <c r="D2260" s="374"/>
      <c r="E2260" s="375"/>
      <c r="F2260" s="374"/>
      <c r="G2260" s="374"/>
      <c r="H2260" s="374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6"/>
      <c r="D2261" s="374"/>
      <c r="E2261" s="375"/>
      <c r="F2261" s="374"/>
      <c r="G2261" s="374"/>
      <c r="H2261" s="374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6"/>
      <c r="D2262" s="374"/>
      <c r="E2262" s="375"/>
      <c r="F2262" s="374"/>
      <c r="G2262" s="374"/>
      <c r="H2262" s="374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6"/>
      <c r="D2263" s="374"/>
      <c r="E2263" s="375"/>
      <c r="F2263" s="374"/>
      <c r="G2263" s="374"/>
      <c r="H2263" s="374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6"/>
      <c r="D2264" s="374"/>
      <c r="E2264" s="375"/>
      <c r="F2264" s="374"/>
      <c r="G2264" s="374"/>
      <c r="H2264" s="374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6"/>
      <c r="D2265" s="374"/>
      <c r="E2265" s="375"/>
      <c r="F2265" s="374"/>
      <c r="G2265" s="374"/>
      <c r="H2265" s="374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6"/>
      <c r="D2266" s="374"/>
      <c r="E2266" s="375"/>
      <c r="F2266" s="374"/>
      <c r="G2266" s="374"/>
      <c r="H2266" s="374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6"/>
      <c r="D2267" s="374"/>
      <c r="E2267" s="375"/>
      <c r="F2267" s="374"/>
      <c r="G2267" s="374"/>
      <c r="H2267" s="374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6"/>
      <c r="D2268" s="374"/>
      <c r="E2268" s="375"/>
      <c r="F2268" s="374"/>
      <c r="G2268" s="374"/>
      <c r="H2268" s="374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6"/>
      <c r="D2269" s="374"/>
      <c r="E2269" s="375"/>
      <c r="F2269" s="374"/>
      <c r="G2269" s="374"/>
      <c r="H2269" s="374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6"/>
      <c r="D2270" s="374"/>
      <c r="E2270" s="375"/>
      <c r="F2270" s="374"/>
      <c r="G2270" s="374"/>
      <c r="H2270" s="374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6"/>
      <c r="D2271" s="374"/>
      <c r="E2271" s="375"/>
      <c r="F2271" s="374"/>
      <c r="G2271" s="374"/>
      <c r="H2271" s="374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6"/>
      <c r="D2272" s="374"/>
      <c r="E2272" s="375"/>
      <c r="F2272" s="374"/>
      <c r="G2272" s="374"/>
      <c r="H2272" s="374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6"/>
      <c r="D2273" s="374"/>
      <c r="E2273" s="375"/>
      <c r="F2273" s="374"/>
      <c r="G2273" s="374"/>
      <c r="H2273" s="374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6"/>
      <c r="D2274" s="374"/>
      <c r="E2274" s="375"/>
      <c r="F2274" s="374"/>
      <c r="G2274" s="374"/>
      <c r="H2274" s="374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6"/>
      <c r="D2275" s="374"/>
      <c r="E2275" s="375"/>
      <c r="F2275" s="374"/>
      <c r="G2275" s="374"/>
      <c r="H2275" s="374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6"/>
      <c r="D2276" s="374"/>
      <c r="E2276" s="375"/>
      <c r="F2276" s="374"/>
      <c r="G2276" s="374"/>
      <c r="H2276" s="374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6"/>
      <c r="D2277" s="374"/>
      <c r="E2277" s="375"/>
      <c r="F2277" s="374"/>
      <c r="G2277" s="374"/>
      <c r="H2277" s="374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6"/>
      <c r="D2278" s="374"/>
      <c r="E2278" s="375"/>
      <c r="F2278" s="374"/>
      <c r="G2278" s="374"/>
      <c r="H2278" s="374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6"/>
      <c r="D2279" s="374"/>
      <c r="E2279" s="375"/>
      <c r="F2279" s="374"/>
      <c r="G2279" s="374"/>
      <c r="H2279" s="374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6"/>
      <c r="D2280" s="374"/>
      <c r="E2280" s="375"/>
      <c r="F2280" s="374"/>
      <c r="G2280" s="374"/>
      <c r="H2280" s="374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6"/>
      <c r="D2281" s="374"/>
      <c r="E2281" s="375"/>
      <c r="F2281" s="374"/>
      <c r="G2281" s="374"/>
      <c r="H2281" s="374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6"/>
      <c r="D2282" s="374"/>
      <c r="E2282" s="375"/>
      <c r="F2282" s="374"/>
      <c r="G2282" s="374"/>
      <c r="H2282" s="374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6"/>
      <c r="D2283" s="374"/>
      <c r="E2283" s="375"/>
      <c r="F2283" s="374"/>
      <c r="G2283" s="374"/>
      <c r="H2283" s="374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6"/>
      <c r="D2284" s="374"/>
      <c r="E2284" s="375"/>
      <c r="F2284" s="374"/>
      <c r="G2284" s="374"/>
      <c r="H2284" s="374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6"/>
      <c r="D2285" s="374"/>
      <c r="E2285" s="375"/>
      <c r="F2285" s="374"/>
      <c r="G2285" s="374"/>
      <c r="H2285" s="374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6"/>
      <c r="D2286" s="374"/>
      <c r="E2286" s="375"/>
      <c r="F2286" s="374"/>
      <c r="G2286" s="374"/>
      <c r="H2286" s="374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6"/>
      <c r="D2287" s="374"/>
      <c r="E2287" s="375"/>
      <c r="F2287" s="374"/>
      <c r="G2287" s="374"/>
      <c r="H2287" s="374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6"/>
      <c r="D2288" s="374"/>
      <c r="E2288" s="375"/>
      <c r="F2288" s="374"/>
      <c r="G2288" s="374"/>
      <c r="H2288" s="374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6"/>
      <c r="D2289" s="374"/>
      <c r="E2289" s="375"/>
      <c r="F2289" s="374"/>
      <c r="G2289" s="374"/>
      <c r="H2289" s="374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6"/>
      <c r="D2290" s="374"/>
      <c r="E2290" s="375"/>
      <c r="F2290" s="374"/>
      <c r="G2290" s="374"/>
      <c r="H2290" s="374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6"/>
      <c r="D2291" s="374"/>
      <c r="E2291" s="375"/>
      <c r="F2291" s="374"/>
      <c r="G2291" s="374"/>
      <c r="H2291" s="374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6"/>
      <c r="D2292" s="374"/>
      <c r="E2292" s="375"/>
      <c r="F2292" s="374"/>
      <c r="G2292" s="374"/>
      <c r="H2292" s="374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6"/>
      <c r="D2293" s="374"/>
      <c r="E2293" s="375"/>
      <c r="F2293" s="374"/>
      <c r="G2293" s="374"/>
      <c r="H2293" s="374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6"/>
      <c r="D2294" s="374"/>
      <c r="E2294" s="375"/>
      <c r="F2294" s="374"/>
      <c r="G2294" s="374"/>
      <c r="H2294" s="374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6"/>
      <c r="D2295" s="374"/>
      <c r="E2295" s="375"/>
      <c r="F2295" s="374"/>
      <c r="G2295" s="374"/>
      <c r="H2295" s="374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6"/>
      <c r="D2296" s="374"/>
      <c r="E2296" s="375"/>
      <c r="F2296" s="374"/>
      <c r="G2296" s="374"/>
      <c r="H2296" s="374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6"/>
      <c r="D2297" s="374"/>
      <c r="E2297" s="375"/>
      <c r="F2297" s="374"/>
      <c r="G2297" s="374"/>
      <c r="H2297" s="374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6"/>
      <c r="D2298" s="374"/>
      <c r="E2298" s="375"/>
      <c r="F2298" s="374"/>
      <c r="G2298" s="374"/>
      <c r="H2298" s="374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6"/>
      <c r="D2299" s="374"/>
      <c r="E2299" s="375"/>
      <c r="F2299" s="374"/>
      <c r="G2299" s="374"/>
      <c r="H2299" s="374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6"/>
      <c r="D2300" s="374"/>
      <c r="E2300" s="375"/>
      <c r="F2300" s="374"/>
      <c r="G2300" s="374"/>
      <c r="H2300" s="374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6"/>
      <c r="D2301" s="374"/>
      <c r="E2301" s="375"/>
      <c r="F2301" s="374"/>
      <c r="G2301" s="374"/>
      <c r="H2301" s="374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6"/>
      <c r="D2302" s="374"/>
      <c r="E2302" s="375"/>
      <c r="F2302" s="374"/>
      <c r="G2302" s="374"/>
      <c r="H2302" s="374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6"/>
      <c r="D2303" s="374"/>
      <c r="E2303" s="375"/>
      <c r="F2303" s="374"/>
      <c r="G2303" s="374"/>
      <c r="H2303" s="374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6"/>
      <c r="D2304" s="374"/>
      <c r="E2304" s="375"/>
      <c r="F2304" s="374"/>
      <c r="G2304" s="374"/>
      <c r="H2304" s="374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6"/>
      <c r="D2305" s="374"/>
      <c r="E2305" s="375"/>
      <c r="F2305" s="374"/>
      <c r="G2305" s="374"/>
      <c r="H2305" s="374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6"/>
      <c r="D2306" s="374"/>
      <c r="E2306" s="375"/>
      <c r="F2306" s="374"/>
      <c r="G2306" s="374"/>
      <c r="H2306" s="374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6"/>
      <c r="D2307" s="374"/>
      <c r="E2307" s="375"/>
      <c r="F2307" s="374"/>
      <c r="G2307" s="374"/>
      <c r="H2307" s="374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6"/>
      <c r="D2308" s="374"/>
      <c r="E2308" s="375"/>
      <c r="F2308" s="374"/>
      <c r="G2308" s="374"/>
      <c r="H2308" s="374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6"/>
      <c r="D2309" s="374"/>
      <c r="E2309" s="375"/>
      <c r="F2309" s="374"/>
      <c r="G2309" s="374"/>
      <c r="H2309" s="374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6"/>
      <c r="D2310" s="374"/>
      <c r="E2310" s="375"/>
      <c r="F2310" s="374"/>
      <c r="G2310" s="374"/>
      <c r="H2310" s="374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6"/>
      <c r="D2311" s="374"/>
      <c r="E2311" s="375"/>
      <c r="F2311" s="374"/>
      <c r="G2311" s="374"/>
      <c r="H2311" s="374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6"/>
      <c r="D2312" s="374"/>
      <c r="E2312" s="375"/>
      <c r="F2312" s="374"/>
      <c r="G2312" s="374"/>
      <c r="H2312" s="374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6"/>
      <c r="D2313" s="374"/>
      <c r="E2313" s="375"/>
      <c r="F2313" s="374"/>
      <c r="G2313" s="374"/>
      <c r="H2313" s="374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6"/>
      <c r="D2314" s="374"/>
      <c r="E2314" s="375"/>
      <c r="F2314" s="374"/>
      <c r="G2314" s="374"/>
      <c r="H2314" s="374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6"/>
      <c r="D2315" s="374"/>
      <c r="E2315" s="375"/>
      <c r="F2315" s="374"/>
      <c r="G2315" s="374"/>
      <c r="H2315" s="374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6"/>
      <c r="D2316" s="374"/>
      <c r="E2316" s="375"/>
      <c r="F2316" s="374"/>
      <c r="G2316" s="374"/>
      <c r="H2316" s="374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6"/>
      <c r="D2317" s="374"/>
      <c r="E2317" s="375"/>
      <c r="F2317" s="374"/>
      <c r="G2317" s="374"/>
      <c r="H2317" s="374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6"/>
      <c r="D2318" s="374"/>
      <c r="E2318" s="375"/>
      <c r="F2318" s="374"/>
      <c r="G2318" s="374"/>
      <c r="H2318" s="374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6"/>
      <c r="D2319" s="374"/>
      <c r="E2319" s="375"/>
      <c r="F2319" s="374"/>
      <c r="G2319" s="374"/>
      <c r="H2319" s="374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6"/>
      <c r="D2320" s="374"/>
      <c r="E2320" s="375"/>
      <c r="F2320" s="374"/>
      <c r="G2320" s="374"/>
      <c r="H2320" s="374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6"/>
      <c r="D2321" s="374"/>
      <c r="E2321" s="375"/>
      <c r="F2321" s="374"/>
      <c r="G2321" s="374"/>
      <c r="H2321" s="374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6"/>
      <c r="D2322" s="374"/>
      <c r="E2322" s="375"/>
      <c r="F2322" s="374"/>
      <c r="G2322" s="374"/>
      <c r="H2322" s="374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6"/>
      <c r="D2323" s="374"/>
      <c r="E2323" s="375"/>
      <c r="F2323" s="374"/>
      <c r="G2323" s="374"/>
      <c r="H2323" s="374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6"/>
      <c r="D2324" s="374"/>
      <c r="E2324" s="375"/>
      <c r="F2324" s="374"/>
      <c r="G2324" s="374"/>
      <c r="H2324" s="374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6"/>
      <c r="D2325" s="374"/>
      <c r="E2325" s="375"/>
      <c r="F2325" s="374"/>
      <c r="G2325" s="374"/>
      <c r="H2325" s="374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6"/>
      <c r="D2326" s="374"/>
      <c r="E2326" s="375"/>
      <c r="F2326" s="374"/>
      <c r="G2326" s="374"/>
      <c r="H2326" s="374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6"/>
      <c r="D2327" s="374"/>
      <c r="E2327" s="375"/>
      <c r="F2327" s="374"/>
      <c r="G2327" s="374"/>
      <c r="H2327" s="374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6"/>
      <c r="D2328" s="374"/>
      <c r="E2328" s="375"/>
      <c r="F2328" s="374"/>
      <c r="G2328" s="374"/>
      <c r="H2328" s="374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6"/>
      <c r="D2329" s="374"/>
      <c r="E2329" s="375"/>
      <c r="F2329" s="374"/>
      <c r="G2329" s="374"/>
      <c r="H2329" s="374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6"/>
      <c r="D2330" s="374"/>
      <c r="E2330" s="375"/>
      <c r="F2330" s="374"/>
      <c r="G2330" s="374"/>
      <c r="H2330" s="374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6"/>
      <c r="D2331" s="374"/>
      <c r="E2331" s="375"/>
      <c r="F2331" s="374"/>
      <c r="G2331" s="374"/>
      <c r="H2331" s="374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6"/>
      <c r="D2332" s="374"/>
      <c r="E2332" s="375"/>
      <c r="F2332" s="374"/>
      <c r="G2332" s="374"/>
      <c r="H2332" s="374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6"/>
      <c r="D2333" s="374"/>
      <c r="E2333" s="375"/>
      <c r="F2333" s="374"/>
      <c r="G2333" s="374"/>
      <c r="H2333" s="374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6"/>
      <c r="D2334" s="374"/>
      <c r="E2334" s="375"/>
      <c r="F2334" s="374"/>
      <c r="G2334" s="374"/>
      <c r="H2334" s="374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6"/>
      <c r="D2335" s="374"/>
      <c r="E2335" s="375"/>
      <c r="F2335" s="374"/>
      <c r="G2335" s="374"/>
      <c r="H2335" s="374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6"/>
      <c r="D2336" s="374"/>
      <c r="E2336" s="375"/>
      <c r="F2336" s="374"/>
      <c r="G2336" s="374"/>
      <c r="H2336" s="374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6"/>
      <c r="D2337" s="374"/>
      <c r="E2337" s="375"/>
      <c r="F2337" s="374"/>
      <c r="G2337" s="374"/>
      <c r="H2337" s="374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6"/>
      <c r="D2338" s="374"/>
      <c r="E2338" s="375"/>
      <c r="F2338" s="374"/>
      <c r="G2338" s="374"/>
      <c r="H2338" s="374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6"/>
      <c r="D2339" s="374"/>
      <c r="E2339" s="375"/>
      <c r="F2339" s="374"/>
      <c r="G2339" s="374"/>
      <c r="H2339" s="374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6"/>
      <c r="D2340" s="374"/>
      <c r="E2340" s="375"/>
      <c r="F2340" s="374"/>
      <c r="G2340" s="374"/>
      <c r="H2340" s="374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6"/>
      <c r="D2341" s="374"/>
      <c r="E2341" s="375"/>
      <c r="F2341" s="374"/>
      <c r="G2341" s="374"/>
      <c r="H2341" s="374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6"/>
      <c r="D2342" s="374"/>
      <c r="E2342" s="375"/>
      <c r="F2342" s="374"/>
      <c r="G2342" s="374"/>
      <c r="H2342" s="374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6"/>
      <c r="D2343" s="374"/>
      <c r="E2343" s="375"/>
      <c r="F2343" s="374"/>
      <c r="G2343" s="374"/>
      <c r="H2343" s="374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4"/>
      <c r="D2344" s="374"/>
      <c r="E2344" s="374"/>
      <c r="F2344" s="375"/>
      <c r="G2344" s="374"/>
      <c r="H2344" s="374"/>
      <c r="I2344" s="368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4"/>
      <c r="D2345" s="374"/>
      <c r="E2345" s="374"/>
      <c r="F2345" s="375"/>
      <c r="G2345" s="374"/>
      <c r="H2345" s="374"/>
      <c r="I2345" s="368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4"/>
      <c r="D2346" s="374"/>
      <c r="E2346" s="374"/>
      <c r="F2346" s="375"/>
      <c r="G2346" s="374"/>
      <c r="H2346" s="374"/>
      <c r="I2346" s="368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4"/>
      <c r="D2347" s="374"/>
      <c r="E2347" s="374"/>
      <c r="F2347" s="375"/>
      <c r="G2347" s="374"/>
      <c r="H2347" s="374"/>
      <c r="I2347" s="368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4"/>
      <c r="D2348" s="374"/>
      <c r="E2348" s="374"/>
      <c r="F2348" s="375"/>
      <c r="G2348" s="374"/>
      <c r="H2348" s="374"/>
      <c r="I2348" s="368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4"/>
      <c r="D2349" s="374"/>
      <c r="E2349" s="374"/>
      <c r="F2349" s="375"/>
      <c r="G2349" s="374"/>
      <c r="H2349" s="374"/>
      <c r="I2349" s="368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4"/>
      <c r="D2350" s="374"/>
      <c r="E2350" s="374"/>
      <c r="F2350" s="375"/>
      <c r="G2350" s="374"/>
      <c r="H2350" s="374"/>
      <c r="I2350" s="368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4"/>
      <c r="D2351" s="374"/>
      <c r="E2351" s="374"/>
      <c r="F2351" s="375"/>
      <c r="G2351" s="374"/>
      <c r="H2351" s="374"/>
      <c r="I2351" s="368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4"/>
      <c r="D2352" s="374"/>
      <c r="E2352" s="374"/>
      <c r="F2352" s="375"/>
      <c r="G2352" s="374"/>
      <c r="H2352" s="374"/>
      <c r="I2352" s="368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4"/>
      <c r="D2353" s="374"/>
      <c r="E2353" s="374"/>
      <c r="F2353" s="375"/>
      <c r="G2353" s="374"/>
      <c r="H2353" s="374"/>
      <c r="I2353" s="368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4"/>
      <c r="D2354" s="374"/>
      <c r="E2354" s="374"/>
      <c r="F2354" s="375"/>
      <c r="G2354" s="374"/>
      <c r="H2354" s="374"/>
      <c r="I2354" s="368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4"/>
      <c r="D2355" s="374"/>
      <c r="E2355" s="374"/>
      <c r="F2355" s="375"/>
      <c r="G2355" s="374"/>
      <c r="H2355" s="374"/>
      <c r="I2355" s="368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4"/>
      <c r="D2356" s="374"/>
      <c r="E2356" s="374"/>
      <c r="F2356" s="375"/>
      <c r="G2356" s="374"/>
      <c r="H2356" s="374"/>
      <c r="I2356" s="368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4"/>
      <c r="D2357" s="374"/>
      <c r="E2357" s="374"/>
      <c r="F2357" s="375"/>
      <c r="G2357" s="374"/>
      <c r="H2357" s="374"/>
      <c r="I2357" s="368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4"/>
      <c r="D2358" s="374"/>
      <c r="E2358" s="374"/>
      <c r="F2358" s="375"/>
      <c r="G2358" s="374"/>
      <c r="H2358" s="374"/>
      <c r="I2358" s="368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4"/>
      <c r="D2359" s="374"/>
      <c r="E2359" s="374"/>
      <c r="F2359" s="375"/>
      <c r="G2359" s="374"/>
      <c r="H2359" s="374"/>
      <c r="I2359" s="368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4"/>
      <c r="D2360" s="374"/>
      <c r="E2360" s="374"/>
      <c r="F2360" s="375"/>
      <c r="G2360" s="374"/>
      <c r="H2360" s="374"/>
      <c r="I2360" s="368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4"/>
      <c r="D2361" s="374"/>
      <c r="E2361" s="374"/>
      <c r="F2361" s="375"/>
      <c r="G2361" s="374"/>
      <c r="H2361" s="374"/>
      <c r="I2361" s="368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4"/>
      <c r="D2362" s="374"/>
      <c r="E2362" s="374"/>
      <c r="F2362" s="375"/>
      <c r="G2362" s="374"/>
      <c r="H2362" s="374"/>
      <c r="I2362" s="368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4"/>
      <c r="D2363" s="374"/>
      <c r="E2363" s="374"/>
      <c r="F2363" s="375"/>
      <c r="G2363" s="374"/>
      <c r="H2363" s="374"/>
      <c r="I2363" s="368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4"/>
      <c r="D2364" s="374"/>
      <c r="E2364" s="374"/>
      <c r="F2364" s="375"/>
      <c r="G2364" s="374"/>
      <c r="H2364" s="374"/>
      <c r="I2364" s="368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4"/>
      <c r="D2365" s="374"/>
      <c r="E2365" s="374"/>
      <c r="F2365" s="375"/>
      <c r="G2365" s="374"/>
      <c r="H2365" s="374"/>
      <c r="I2365" s="368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4"/>
      <c r="D2366" s="374"/>
      <c r="E2366" s="374"/>
      <c r="F2366" s="375"/>
      <c r="G2366" s="374"/>
      <c r="H2366" s="374"/>
      <c r="I2366" s="368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4"/>
      <c r="D2367" s="374"/>
      <c r="E2367" s="374"/>
      <c r="F2367" s="375"/>
      <c r="G2367" s="374"/>
      <c r="H2367" s="374"/>
      <c r="I2367" s="368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4"/>
      <c r="D2368" s="374"/>
      <c r="E2368" s="374"/>
      <c r="F2368" s="375"/>
      <c r="G2368" s="374"/>
      <c r="H2368" s="374"/>
      <c r="I2368" s="368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4"/>
      <c r="D2369" s="374"/>
      <c r="E2369" s="374"/>
      <c r="F2369" s="375"/>
      <c r="G2369" s="374"/>
      <c r="H2369" s="374"/>
      <c r="I2369" s="368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4"/>
      <c r="D2370" s="374"/>
      <c r="E2370" s="374"/>
      <c r="F2370" s="375"/>
      <c r="G2370" s="374"/>
      <c r="H2370" s="374"/>
      <c r="I2370" s="368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4"/>
      <c r="D2371" s="374"/>
      <c r="E2371" s="374"/>
      <c r="F2371" s="375"/>
      <c r="G2371" s="374"/>
      <c r="H2371" s="374"/>
      <c r="I2371" s="368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4"/>
      <c r="D2372" s="374"/>
      <c r="E2372" s="374"/>
      <c r="F2372" s="375"/>
      <c r="G2372" s="374"/>
      <c r="H2372" s="374"/>
      <c r="I2372" s="368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4"/>
      <c r="D2373" s="374"/>
      <c r="E2373" s="374"/>
      <c r="F2373" s="375"/>
      <c r="G2373" s="374"/>
      <c r="H2373" s="374"/>
      <c r="I2373" s="368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4"/>
      <c r="D2374" s="374"/>
      <c r="E2374" s="374"/>
      <c r="F2374" s="375"/>
      <c r="G2374" s="374"/>
      <c r="H2374" s="374"/>
      <c r="I2374" s="368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4"/>
      <c r="D2375" s="374"/>
      <c r="E2375" s="374"/>
      <c r="F2375" s="375"/>
      <c r="G2375" s="374"/>
      <c r="H2375" s="374"/>
      <c r="I2375" s="368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4"/>
      <c r="D2376" s="374"/>
      <c r="E2376" s="374"/>
      <c r="F2376" s="375"/>
      <c r="G2376" s="374"/>
      <c r="H2376" s="374"/>
      <c r="I2376" s="368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4"/>
      <c r="D2377" s="374"/>
      <c r="E2377" s="374"/>
      <c r="F2377" s="375"/>
      <c r="G2377" s="374"/>
      <c r="H2377" s="374"/>
      <c r="I2377" s="368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4"/>
      <c r="D2378" s="374"/>
      <c r="E2378" s="374"/>
      <c r="F2378" s="375"/>
      <c r="G2378" s="374"/>
      <c r="H2378" s="374"/>
      <c r="I2378" s="368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4"/>
      <c r="D2379" s="374"/>
      <c r="E2379" s="374"/>
      <c r="F2379" s="375"/>
      <c r="G2379" s="374"/>
      <c r="H2379" s="374"/>
      <c r="I2379" s="368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4"/>
      <c r="D2380" s="374"/>
      <c r="E2380" s="374"/>
      <c r="F2380" s="375"/>
      <c r="G2380" s="374"/>
      <c r="H2380" s="374"/>
      <c r="I2380" s="368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4"/>
      <c r="D2381" s="374"/>
      <c r="E2381" s="374"/>
      <c r="F2381" s="375"/>
      <c r="G2381" s="374"/>
      <c r="H2381" s="374"/>
      <c r="I2381" s="368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4"/>
      <c r="D2382" s="374"/>
      <c r="E2382" s="374"/>
      <c r="F2382" s="375"/>
      <c r="G2382" s="374"/>
      <c r="H2382" s="374"/>
      <c r="I2382" s="368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4"/>
      <c r="D2383" s="374"/>
      <c r="E2383" s="374"/>
      <c r="F2383" s="375"/>
      <c r="G2383" s="374"/>
      <c r="H2383" s="374"/>
      <c r="I2383" s="368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4"/>
      <c r="D2384" s="374"/>
      <c r="E2384" s="374"/>
      <c r="F2384" s="375"/>
      <c r="G2384" s="374"/>
      <c r="H2384" s="374"/>
      <c r="I2384" s="368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4"/>
      <c r="D2385" s="374"/>
      <c r="E2385" s="374"/>
      <c r="F2385" s="375"/>
      <c r="G2385" s="374"/>
      <c r="H2385" s="374"/>
      <c r="I2385" s="368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4"/>
      <c r="D2386" s="374"/>
      <c r="E2386" s="374"/>
      <c r="F2386" s="375"/>
      <c r="G2386" s="374"/>
      <c r="H2386" s="374"/>
      <c r="I2386" s="368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4"/>
      <c r="D2387" s="374"/>
      <c r="E2387" s="374"/>
      <c r="F2387" s="375"/>
      <c r="G2387" s="374"/>
      <c r="H2387" s="374"/>
      <c r="I2387" s="368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4"/>
      <c r="D2388" s="374"/>
      <c r="E2388" s="374"/>
      <c r="F2388" s="375"/>
      <c r="G2388" s="374"/>
      <c r="H2388" s="374"/>
      <c r="I2388" s="368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4"/>
      <c r="D2389" s="374"/>
      <c r="E2389" s="374"/>
      <c r="F2389" s="375"/>
      <c r="G2389" s="374"/>
      <c r="H2389" s="374"/>
      <c r="I2389" s="368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4"/>
      <c r="D2390" s="374"/>
      <c r="E2390" s="374"/>
      <c r="F2390" s="375"/>
      <c r="G2390" s="374"/>
      <c r="H2390" s="374"/>
      <c r="I2390" s="368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4"/>
      <c r="D2391" s="374"/>
      <c r="E2391" s="374"/>
      <c r="F2391" s="375"/>
      <c r="G2391" s="374"/>
      <c r="H2391" s="374"/>
      <c r="I2391" s="368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4"/>
      <c r="D2392" s="374"/>
      <c r="E2392" s="374"/>
      <c r="F2392" s="375"/>
      <c r="G2392" s="374"/>
      <c r="H2392" s="374"/>
      <c r="I2392" s="368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4"/>
      <c r="D2393" s="374"/>
      <c r="E2393" s="374"/>
      <c r="F2393" s="375"/>
      <c r="G2393" s="374"/>
      <c r="H2393" s="374"/>
      <c r="I2393" s="368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4"/>
      <c r="D2394" s="374"/>
      <c r="E2394" s="374"/>
      <c r="F2394" s="375"/>
      <c r="G2394" s="374"/>
      <c r="H2394" s="374"/>
      <c r="I2394" s="368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4"/>
      <c r="D2395" s="374"/>
      <c r="E2395" s="374"/>
      <c r="F2395" s="375"/>
      <c r="G2395" s="374"/>
      <c r="H2395" s="374"/>
      <c r="I2395" s="368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4"/>
      <c r="D2396" s="374"/>
      <c r="E2396" s="374"/>
      <c r="F2396" s="375"/>
      <c r="G2396" s="374"/>
      <c r="H2396" s="374"/>
      <c r="I2396" s="368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4"/>
      <c r="D2397" s="374"/>
      <c r="E2397" s="374"/>
      <c r="F2397" s="375"/>
      <c r="G2397" s="374"/>
      <c r="H2397" s="374"/>
      <c r="I2397" s="368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4"/>
      <c r="D2398" s="374"/>
      <c r="E2398" s="374"/>
      <c r="F2398" s="375"/>
      <c r="G2398" s="374"/>
      <c r="H2398" s="374"/>
      <c r="I2398" s="368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4"/>
      <c r="D2399" s="374"/>
      <c r="E2399" s="374"/>
      <c r="F2399" s="375"/>
      <c r="G2399" s="374"/>
      <c r="H2399" s="374"/>
      <c r="I2399" s="368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4"/>
      <c r="D2400" s="374"/>
      <c r="E2400" s="374"/>
      <c r="F2400" s="375"/>
      <c r="G2400" s="374"/>
      <c r="H2400" s="374"/>
      <c r="I2400" s="368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4"/>
      <c r="D2401" s="374"/>
      <c r="E2401" s="374"/>
      <c r="F2401" s="375"/>
      <c r="G2401" s="374"/>
      <c r="H2401" s="374"/>
      <c r="I2401" s="368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4"/>
      <c r="D2402" s="374"/>
      <c r="E2402" s="374"/>
      <c r="F2402" s="375"/>
      <c r="G2402" s="374"/>
      <c r="H2402" s="374"/>
      <c r="I2402" s="368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4"/>
      <c r="D2403" s="374"/>
      <c r="E2403" s="374"/>
      <c r="F2403" s="375"/>
      <c r="G2403" s="374"/>
      <c r="H2403" s="374"/>
      <c r="I2403" s="368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4"/>
      <c r="D2404" s="374"/>
      <c r="E2404" s="374"/>
      <c r="F2404" s="375"/>
      <c r="G2404" s="374"/>
      <c r="H2404" s="374"/>
      <c r="I2404" s="368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4"/>
      <c r="D2405" s="374"/>
      <c r="E2405" s="374"/>
      <c r="F2405" s="375"/>
      <c r="G2405" s="374"/>
      <c r="H2405" s="374"/>
      <c r="I2405" s="368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4"/>
      <c r="D2406" s="374"/>
      <c r="E2406" s="374"/>
      <c r="F2406" s="375"/>
      <c r="G2406" s="374"/>
      <c r="H2406" s="374"/>
      <c r="I2406" s="368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4"/>
      <c r="D2407" s="374"/>
      <c r="E2407" s="374"/>
      <c r="F2407" s="375"/>
      <c r="G2407" s="374"/>
      <c r="H2407" s="374"/>
      <c r="I2407" s="368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4"/>
      <c r="D2408" s="374"/>
      <c r="E2408" s="374"/>
      <c r="F2408" s="375"/>
      <c r="G2408" s="374"/>
      <c r="H2408" s="374"/>
      <c r="I2408" s="368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4"/>
      <c r="D2409" s="374"/>
      <c r="E2409" s="374"/>
      <c r="F2409" s="375"/>
      <c r="G2409" s="374"/>
      <c r="H2409" s="374"/>
      <c r="I2409" s="368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4"/>
      <c r="D2410" s="374"/>
      <c r="E2410" s="374"/>
      <c r="F2410" s="375"/>
      <c r="G2410" s="374"/>
      <c r="H2410" s="374"/>
      <c r="I2410" s="368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4"/>
      <c r="D2411" s="374"/>
      <c r="E2411" s="374"/>
      <c r="F2411" s="375"/>
      <c r="G2411" s="374"/>
      <c r="H2411" s="374"/>
      <c r="I2411" s="368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4"/>
      <c r="D2412" s="374"/>
      <c r="E2412" s="374"/>
      <c r="F2412" s="375"/>
      <c r="G2412" s="374"/>
      <c r="H2412" s="374"/>
      <c r="I2412" s="368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4"/>
      <c r="D2413" s="374"/>
      <c r="E2413" s="374"/>
      <c r="F2413" s="375"/>
      <c r="G2413" s="374"/>
      <c r="H2413" s="374"/>
      <c r="I2413" s="368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4"/>
      <c r="D2414" s="374"/>
      <c r="E2414" s="374"/>
      <c r="F2414" s="375"/>
      <c r="G2414" s="374"/>
      <c r="H2414" s="374"/>
      <c r="I2414" s="368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4"/>
      <c r="D2415" s="374"/>
      <c r="E2415" s="374"/>
      <c r="F2415" s="375"/>
      <c r="G2415" s="374"/>
      <c r="H2415" s="374"/>
      <c r="I2415" s="368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4"/>
      <c r="D2416" s="374"/>
      <c r="E2416" s="374"/>
      <c r="F2416" s="375"/>
      <c r="G2416" s="374"/>
      <c r="H2416" s="374"/>
      <c r="I2416" s="368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4"/>
      <c r="D2417" s="374"/>
      <c r="E2417" s="374"/>
      <c r="F2417" s="375"/>
      <c r="G2417" s="374"/>
      <c r="H2417" s="374"/>
      <c r="I2417" s="368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4"/>
      <c r="D2418" s="374"/>
      <c r="E2418" s="374"/>
      <c r="F2418" s="375"/>
      <c r="G2418" s="374"/>
      <c r="H2418" s="374"/>
      <c r="I2418" s="368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4"/>
      <c r="D2419" s="374"/>
      <c r="E2419" s="374"/>
      <c r="F2419" s="375"/>
      <c r="G2419" s="374"/>
      <c r="H2419" s="374"/>
      <c r="I2419" s="368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4"/>
      <c r="D2420" s="374"/>
      <c r="E2420" s="374"/>
      <c r="F2420" s="375"/>
      <c r="G2420" s="374"/>
      <c r="H2420" s="374"/>
      <c r="I2420" s="368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4"/>
      <c r="D2421" s="374"/>
      <c r="E2421" s="374"/>
      <c r="F2421" s="375"/>
      <c r="G2421" s="374"/>
      <c r="H2421" s="374"/>
      <c r="I2421" s="368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4"/>
      <c r="D2422" s="374"/>
      <c r="E2422" s="374"/>
      <c r="F2422" s="375"/>
      <c r="G2422" s="374"/>
      <c r="H2422" s="374"/>
      <c r="I2422" s="368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4"/>
      <c r="D2423" s="374"/>
      <c r="E2423" s="374"/>
      <c r="F2423" s="375"/>
      <c r="G2423" s="374"/>
      <c r="H2423" s="374"/>
      <c r="I2423" s="368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4"/>
      <c r="D2424" s="374"/>
      <c r="E2424" s="374"/>
      <c r="F2424" s="375"/>
      <c r="G2424" s="374"/>
      <c r="H2424" s="374"/>
      <c r="I2424" s="368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4"/>
      <c r="D2425" s="374"/>
      <c r="E2425" s="374"/>
      <c r="F2425" s="375"/>
      <c r="G2425" s="374"/>
      <c r="H2425" s="374"/>
      <c r="I2425" s="368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4"/>
      <c r="D2426" s="374"/>
      <c r="E2426" s="374"/>
      <c r="F2426" s="375"/>
      <c r="G2426" s="374"/>
      <c r="H2426" s="374"/>
      <c r="I2426" s="368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4"/>
      <c r="D2427" s="374"/>
      <c r="E2427" s="374"/>
      <c r="F2427" s="375"/>
      <c r="G2427" s="374"/>
      <c r="H2427" s="374"/>
      <c r="I2427" s="368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4"/>
      <c r="D2428" s="374"/>
      <c r="E2428" s="374"/>
      <c r="F2428" s="375"/>
      <c r="G2428" s="374"/>
      <c r="H2428" s="374"/>
      <c r="I2428" s="368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4"/>
      <c r="D2429" s="374"/>
      <c r="E2429" s="374"/>
      <c r="F2429" s="375"/>
      <c r="G2429" s="374"/>
      <c r="H2429" s="374"/>
      <c r="I2429" s="368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4"/>
      <c r="D2430" s="374"/>
      <c r="E2430" s="374"/>
      <c r="F2430" s="375"/>
      <c r="G2430" s="374"/>
      <c r="H2430" s="374"/>
      <c r="I2430" s="368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4"/>
      <c r="D2431" s="374"/>
      <c r="E2431" s="374"/>
      <c r="F2431" s="375"/>
      <c r="G2431" s="374"/>
      <c r="H2431" s="374"/>
      <c r="I2431" s="368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4"/>
      <c r="D2432" s="374"/>
      <c r="E2432" s="374"/>
      <c r="F2432" s="375"/>
      <c r="G2432" s="374"/>
      <c r="H2432" s="374"/>
      <c r="I2432" s="368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4"/>
      <c r="D2433" s="374"/>
      <c r="E2433" s="374"/>
      <c r="F2433" s="375"/>
      <c r="G2433" s="374"/>
      <c r="H2433" s="374"/>
      <c r="I2433" s="368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4"/>
      <c r="D2434" s="374"/>
      <c r="E2434" s="374"/>
      <c r="F2434" s="375"/>
      <c r="G2434" s="374"/>
      <c r="H2434" s="374"/>
      <c r="I2434" s="368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4"/>
      <c r="D2435" s="374"/>
      <c r="E2435" s="374"/>
      <c r="F2435" s="375"/>
      <c r="G2435" s="374"/>
      <c r="H2435" s="374"/>
      <c r="I2435" s="368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4"/>
      <c r="D2436" s="374"/>
      <c r="E2436" s="374"/>
      <c r="F2436" s="375"/>
      <c r="G2436" s="374"/>
      <c r="H2436" s="374"/>
      <c r="I2436" s="368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4"/>
      <c r="D2437" s="374"/>
      <c r="E2437" s="374"/>
      <c r="F2437" s="375"/>
      <c r="G2437" s="374"/>
      <c r="H2437" s="374"/>
      <c r="I2437" s="368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4"/>
      <c r="D2438" s="374"/>
      <c r="E2438" s="374"/>
      <c r="F2438" s="375"/>
      <c r="G2438" s="374"/>
      <c r="H2438" s="374"/>
      <c r="I2438" s="368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4"/>
      <c r="D2439" s="374"/>
      <c r="E2439" s="374"/>
      <c r="F2439" s="375"/>
      <c r="G2439" s="374"/>
      <c r="H2439" s="374"/>
      <c r="I2439" s="368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4"/>
      <c r="D2440" s="374"/>
      <c r="E2440" s="374"/>
      <c r="F2440" s="375"/>
      <c r="G2440" s="374"/>
      <c r="H2440" s="374"/>
      <c r="I2440" s="368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4"/>
      <c r="D2441" s="374"/>
      <c r="E2441" s="374"/>
      <c r="F2441" s="375"/>
      <c r="G2441" s="374"/>
      <c r="H2441" s="374"/>
      <c r="I2441" s="368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4"/>
      <c r="D2442" s="374"/>
      <c r="E2442" s="374"/>
      <c r="F2442" s="375"/>
      <c r="G2442" s="374"/>
      <c r="H2442" s="374"/>
      <c r="I2442" s="368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4"/>
      <c r="D2443" s="374"/>
      <c r="E2443" s="374"/>
      <c r="F2443" s="375"/>
      <c r="G2443" s="374"/>
      <c r="H2443" s="374"/>
      <c r="I2443" s="368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4"/>
      <c r="D2444" s="374"/>
      <c r="E2444" s="374"/>
      <c r="F2444" s="375"/>
      <c r="G2444" s="374"/>
      <c r="H2444" s="374"/>
      <c r="I2444" s="368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4"/>
      <c r="D2445" s="374"/>
      <c r="E2445" s="374"/>
      <c r="F2445" s="375"/>
      <c r="G2445" s="374"/>
      <c r="H2445" s="374"/>
      <c r="I2445" s="368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4"/>
      <c r="D2446" s="374"/>
      <c r="E2446" s="374"/>
      <c r="F2446" s="375"/>
      <c r="G2446" s="374"/>
      <c r="H2446" s="374"/>
      <c r="I2446" s="368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4"/>
      <c r="D2447" s="374"/>
      <c r="E2447" s="374"/>
      <c r="F2447" s="375"/>
      <c r="G2447" s="374"/>
      <c r="H2447" s="374"/>
      <c r="I2447" s="368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4"/>
      <c r="D2448" s="374"/>
      <c r="E2448" s="374"/>
      <c r="F2448" s="375"/>
      <c r="G2448" s="374"/>
      <c r="H2448" s="374"/>
      <c r="I2448" s="368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4"/>
      <c r="D2449" s="374"/>
      <c r="E2449" s="374"/>
      <c r="F2449" s="375"/>
      <c r="G2449" s="374"/>
      <c r="H2449" s="374"/>
      <c r="I2449" s="368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4"/>
      <c r="D2450" s="374"/>
      <c r="E2450" s="374"/>
      <c r="F2450" s="375"/>
      <c r="G2450" s="374"/>
      <c r="H2450" s="374"/>
      <c r="I2450" s="368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4"/>
      <c r="D2451" s="374"/>
      <c r="E2451" s="374"/>
      <c r="F2451" s="375"/>
      <c r="G2451" s="374"/>
      <c r="H2451" s="374"/>
      <c r="I2451" s="368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4"/>
      <c r="D2452" s="374"/>
      <c r="E2452" s="374"/>
      <c r="F2452" s="375"/>
      <c r="G2452" s="374"/>
      <c r="H2452" s="374"/>
      <c r="I2452" s="368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4"/>
      <c r="D2453" s="374"/>
      <c r="E2453" s="374"/>
      <c r="F2453" s="375"/>
      <c r="G2453" s="374"/>
      <c r="H2453" s="374"/>
      <c r="I2453" s="368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8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8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8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8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8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8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8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8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8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8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8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8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8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8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8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8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8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8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8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8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8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8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8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8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8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8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8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8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8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8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8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8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8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8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8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8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8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8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8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8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8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8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8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8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8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8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8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8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8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8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8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8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8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1161</v>
      </c>
      <c r="C5" s="22" t="s">
        <v>1160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8" t="s">
        <v>112</v>
      </c>
      <c r="D10" s="429"/>
      <c r="E10" s="430"/>
      <c r="F10" s="428" t="s">
        <v>73</v>
      </c>
      <c r="G10" s="429"/>
      <c r="H10" s="430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2017</v>
      </c>
      <c r="J11" s="133"/>
    </row>
    <row r="12" spans="1:10" ht="12.75" customHeight="1" x14ac:dyDescent="0.2">
      <c r="A12" s="138"/>
      <c r="B12" s="327" t="s">
        <v>873</v>
      </c>
      <c r="C12" s="381">
        <v>1775935</v>
      </c>
      <c r="D12" s="381">
        <v>1906647</v>
      </c>
      <c r="E12" s="381">
        <v>3682582</v>
      </c>
      <c r="F12" s="381">
        <v>160091197058</v>
      </c>
      <c r="G12" s="381">
        <v>200078557021</v>
      </c>
      <c r="H12" s="381">
        <v>360169754079</v>
      </c>
      <c r="I12" s="146"/>
      <c r="J12" s="133"/>
    </row>
    <row r="13" spans="1:10" ht="12.75" customHeight="1" x14ac:dyDescent="0.2">
      <c r="A13" s="138"/>
      <c r="B13" s="326" t="s">
        <v>131</v>
      </c>
      <c r="C13" s="381">
        <v>137533</v>
      </c>
      <c r="D13" s="381">
        <v>146904</v>
      </c>
      <c r="E13" s="381">
        <v>284437</v>
      </c>
      <c r="F13" s="381">
        <v>8355160837</v>
      </c>
      <c r="G13" s="381">
        <v>11337924479</v>
      </c>
      <c r="H13" s="381">
        <v>19693085315</v>
      </c>
      <c r="I13" s="146">
        <f>VLOOKUP($B$12:$B$21,Fondstatistik!$A$24:$R$1000,2,FALSE)</f>
        <v>20</v>
      </c>
      <c r="J13" s="133"/>
    </row>
    <row r="14" spans="1:10" ht="12.75" customHeight="1" x14ac:dyDescent="0.2">
      <c r="A14" s="138"/>
      <c r="B14" s="326" t="s">
        <v>98</v>
      </c>
      <c r="C14" s="381">
        <v>113707</v>
      </c>
      <c r="D14" s="381">
        <v>127228</v>
      </c>
      <c r="E14" s="381">
        <v>240935</v>
      </c>
      <c r="F14" s="381">
        <v>11102087865</v>
      </c>
      <c r="G14" s="381">
        <v>14808745384</v>
      </c>
      <c r="H14" s="381">
        <v>25910833250</v>
      </c>
      <c r="I14" s="146">
        <f>VLOOKUP($B$12:$B$21,Fondstatistik!$A$24:$R$1000,2,FALSE)</f>
        <v>12</v>
      </c>
      <c r="J14" s="133"/>
    </row>
    <row r="15" spans="1:10" ht="12.75" customHeight="1" x14ac:dyDescent="0.2">
      <c r="A15" s="138"/>
      <c r="B15" s="326" t="s">
        <v>109</v>
      </c>
      <c r="C15" s="381">
        <v>111461</v>
      </c>
      <c r="D15" s="381">
        <v>118297</v>
      </c>
      <c r="E15" s="381">
        <v>229758</v>
      </c>
      <c r="F15" s="381">
        <v>9052976113</v>
      </c>
      <c r="G15" s="381">
        <v>12006037862</v>
      </c>
      <c r="H15" s="381">
        <v>21059013975</v>
      </c>
      <c r="I15" s="146">
        <f>VLOOKUP($B$12:$B$21,Fondstatistik!$A$24:$R$1000,2,FALSE)</f>
        <v>13</v>
      </c>
      <c r="J15" s="133"/>
    </row>
    <row r="16" spans="1:10" ht="12.75" customHeight="1" x14ac:dyDescent="0.2">
      <c r="A16" s="138"/>
      <c r="B16" s="326" t="s">
        <v>108</v>
      </c>
      <c r="C16" s="381">
        <v>102461</v>
      </c>
      <c r="D16" s="381">
        <v>105482</v>
      </c>
      <c r="E16" s="381">
        <v>207943</v>
      </c>
      <c r="F16" s="381">
        <v>7555892255</v>
      </c>
      <c r="G16" s="381">
        <v>9824105908</v>
      </c>
      <c r="H16" s="381">
        <v>17379998163</v>
      </c>
      <c r="I16" s="146">
        <f>VLOOKUP($B$12:$B$21,Fondstatistik!$A$24:$R$1000,2,FALSE)</f>
        <v>10</v>
      </c>
      <c r="J16" s="133"/>
    </row>
    <row r="17" spans="1:10" ht="12.75" customHeight="1" x14ac:dyDescent="0.2">
      <c r="A17" s="138"/>
      <c r="B17" s="326" t="s">
        <v>61</v>
      </c>
      <c r="C17" s="381">
        <v>87030</v>
      </c>
      <c r="D17" s="381">
        <v>74745</v>
      </c>
      <c r="E17" s="381">
        <v>161775</v>
      </c>
      <c r="F17" s="381">
        <v>7035224842</v>
      </c>
      <c r="G17" s="381">
        <v>7328354650</v>
      </c>
      <c r="H17" s="381">
        <v>14363579491</v>
      </c>
      <c r="I17" s="146">
        <f>VLOOKUP($B$12:$B$21,Fondstatistik!$A$24:$R$1000,2,FALSE)</f>
        <v>10</v>
      </c>
      <c r="J17" s="133"/>
    </row>
    <row r="18" spans="1:10" ht="12.75" customHeight="1" x14ac:dyDescent="0.2">
      <c r="A18" s="138"/>
      <c r="B18" s="326" t="s">
        <v>59</v>
      </c>
      <c r="C18" s="381">
        <v>64449</v>
      </c>
      <c r="D18" s="381">
        <v>64775</v>
      </c>
      <c r="E18" s="381">
        <v>129224</v>
      </c>
      <c r="F18" s="381">
        <v>9326609585</v>
      </c>
      <c r="G18" s="381">
        <v>11560166142</v>
      </c>
      <c r="H18" s="381">
        <v>20886775727</v>
      </c>
      <c r="I18" s="146">
        <f>VLOOKUP($B$12:$B$21,Fondstatistik!$A$24:$R$1000,2,FALSE)</f>
        <v>7</v>
      </c>
      <c r="J18" s="133"/>
    </row>
    <row r="19" spans="1:10" ht="12.75" customHeight="1" x14ac:dyDescent="0.2">
      <c r="A19" s="138"/>
      <c r="B19" s="326" t="s">
        <v>60</v>
      </c>
      <c r="C19" s="381">
        <v>66587</v>
      </c>
      <c r="D19" s="381">
        <v>51372</v>
      </c>
      <c r="E19" s="381">
        <v>117959</v>
      </c>
      <c r="F19" s="381">
        <v>10071533849</v>
      </c>
      <c r="G19" s="381">
        <v>9152993581</v>
      </c>
      <c r="H19" s="381">
        <v>19224527429</v>
      </c>
      <c r="I19" s="146">
        <f>VLOOKUP($B$12:$B$21,Fondstatistik!$A$24:$R$1000,2,FALSE)</f>
        <v>5</v>
      </c>
      <c r="J19" s="133"/>
    </row>
    <row r="20" spans="1:10" ht="12.75" customHeight="1" x14ac:dyDescent="0.2">
      <c r="A20" s="138"/>
      <c r="B20" s="326" t="s">
        <v>62</v>
      </c>
      <c r="C20" s="381">
        <v>60768</v>
      </c>
      <c r="D20" s="381">
        <v>57128</v>
      </c>
      <c r="E20" s="381">
        <v>117896</v>
      </c>
      <c r="F20" s="381">
        <v>2569903296</v>
      </c>
      <c r="G20" s="381">
        <v>3106114887</v>
      </c>
      <c r="H20" s="381">
        <v>5676018183</v>
      </c>
      <c r="I20" s="146">
        <f>VLOOKUP($B$12:$B$21,Fondstatistik!$A$24:$R$1000,2,FALSE)</f>
        <v>3</v>
      </c>
      <c r="J20" s="133"/>
    </row>
    <row r="21" spans="1:10" ht="12.75" customHeight="1" x14ac:dyDescent="0.2">
      <c r="A21" s="138"/>
      <c r="B21" s="382" t="s">
        <v>107</v>
      </c>
      <c r="C21" s="383">
        <v>61654</v>
      </c>
      <c r="D21" s="383">
        <v>55905</v>
      </c>
      <c r="E21" s="383">
        <v>117559</v>
      </c>
      <c r="F21" s="383">
        <v>4091238244</v>
      </c>
      <c r="G21" s="383">
        <v>4628234310</v>
      </c>
      <c r="H21" s="383">
        <v>8719472554</v>
      </c>
      <c r="I21" s="146">
        <f>VLOOKUP($B$12:$B$21,Fondstatistik!$A$24:$R$1000,2,FALSE)</f>
        <v>7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8" t="s">
        <v>112</v>
      </c>
      <c r="D25" s="429"/>
      <c r="E25" s="430"/>
      <c r="F25" s="428" t="s">
        <v>73</v>
      </c>
      <c r="G25" s="429"/>
      <c r="H25" s="430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2017</v>
      </c>
      <c r="J26" s="133"/>
    </row>
    <row r="27" spans="1:10" ht="12.75" customHeight="1" x14ac:dyDescent="0.2">
      <c r="A27" s="138"/>
      <c r="B27" s="327" t="s">
        <v>873</v>
      </c>
      <c r="C27" s="381">
        <v>1775935</v>
      </c>
      <c r="D27" s="381">
        <v>1906647</v>
      </c>
      <c r="E27" s="381">
        <v>3682582</v>
      </c>
      <c r="F27" s="381">
        <v>160091197058</v>
      </c>
      <c r="G27" s="381">
        <v>200078557021</v>
      </c>
      <c r="H27" s="381">
        <v>360169754079</v>
      </c>
      <c r="I27" s="146"/>
      <c r="J27" s="133"/>
    </row>
    <row r="28" spans="1:10" ht="12.75" customHeight="1" x14ac:dyDescent="0.2">
      <c r="A28" s="138"/>
      <c r="B28" s="326" t="s">
        <v>98</v>
      </c>
      <c r="C28" s="381">
        <v>113707</v>
      </c>
      <c r="D28" s="381">
        <v>127228</v>
      </c>
      <c r="E28" s="381">
        <v>240935</v>
      </c>
      <c r="F28" s="381">
        <v>11102087865</v>
      </c>
      <c r="G28" s="381">
        <v>14808745384</v>
      </c>
      <c r="H28" s="381">
        <v>25910833250</v>
      </c>
      <c r="I28" s="146">
        <v>3</v>
      </c>
      <c r="J28" s="133"/>
    </row>
    <row r="29" spans="1:10" ht="12.75" customHeight="1" x14ac:dyDescent="0.2">
      <c r="A29" s="138"/>
      <c r="B29" s="326" t="s">
        <v>109</v>
      </c>
      <c r="C29" s="381">
        <v>111461</v>
      </c>
      <c r="D29" s="381">
        <v>118297</v>
      </c>
      <c r="E29" s="381">
        <v>229758</v>
      </c>
      <c r="F29" s="381">
        <v>9052976113</v>
      </c>
      <c r="G29" s="381">
        <v>12006037862</v>
      </c>
      <c r="H29" s="381">
        <v>21059013975</v>
      </c>
      <c r="I29" s="146">
        <v>4</v>
      </c>
      <c r="J29" s="133"/>
    </row>
    <row r="30" spans="1:10" ht="12.75" customHeight="1" x14ac:dyDescent="0.2">
      <c r="A30" s="138"/>
      <c r="B30" s="326" t="s">
        <v>59</v>
      </c>
      <c r="C30" s="381">
        <v>64449</v>
      </c>
      <c r="D30" s="381">
        <v>64775</v>
      </c>
      <c r="E30" s="381">
        <v>129224</v>
      </c>
      <c r="F30" s="381">
        <v>9326609585</v>
      </c>
      <c r="G30" s="381">
        <v>11560166142</v>
      </c>
      <c r="H30" s="381">
        <v>20886775727</v>
      </c>
      <c r="I30" s="146">
        <v>3</v>
      </c>
      <c r="J30" s="133"/>
    </row>
    <row r="31" spans="1:10" ht="12.75" customHeight="1" x14ac:dyDescent="0.2">
      <c r="A31" s="138"/>
      <c r="B31" s="326" t="s">
        <v>131</v>
      </c>
      <c r="C31" s="381">
        <v>137533</v>
      </c>
      <c r="D31" s="381">
        <v>146904</v>
      </c>
      <c r="E31" s="381">
        <v>284437</v>
      </c>
      <c r="F31" s="381">
        <v>8355160837</v>
      </c>
      <c r="G31" s="381">
        <v>11337924479</v>
      </c>
      <c r="H31" s="381">
        <v>19693085315</v>
      </c>
      <c r="I31" s="146">
        <v>3</v>
      </c>
      <c r="J31" s="133"/>
    </row>
    <row r="32" spans="1:10" ht="12.75" customHeight="1" x14ac:dyDescent="0.2">
      <c r="A32" s="138"/>
      <c r="B32" s="326" t="s">
        <v>60</v>
      </c>
      <c r="C32" s="381">
        <v>66587</v>
      </c>
      <c r="D32" s="381">
        <v>51372</v>
      </c>
      <c r="E32" s="381">
        <v>117959</v>
      </c>
      <c r="F32" s="381">
        <v>10071533849</v>
      </c>
      <c r="G32" s="381">
        <v>9152993581</v>
      </c>
      <c r="H32" s="381">
        <v>19224527429</v>
      </c>
      <c r="I32" s="146">
        <v>10</v>
      </c>
      <c r="J32" s="133"/>
    </row>
    <row r="33" spans="1:13" ht="12.75" customHeight="1" x14ac:dyDescent="0.2">
      <c r="A33" s="138"/>
      <c r="B33" s="326" t="s">
        <v>108</v>
      </c>
      <c r="C33" s="381">
        <v>102461</v>
      </c>
      <c r="D33" s="381">
        <v>105482</v>
      </c>
      <c r="E33" s="381">
        <v>207943</v>
      </c>
      <c r="F33" s="381">
        <v>7555892255</v>
      </c>
      <c r="G33" s="381">
        <v>9824105908</v>
      </c>
      <c r="H33" s="381">
        <v>17379998163</v>
      </c>
      <c r="I33" s="146">
        <v>3</v>
      </c>
      <c r="J33" s="133"/>
    </row>
    <row r="34" spans="1:13" ht="12.75" customHeight="1" x14ac:dyDescent="0.2">
      <c r="A34" s="138"/>
      <c r="B34" s="326" t="s">
        <v>133</v>
      </c>
      <c r="C34" s="381">
        <v>44680</v>
      </c>
      <c r="D34" s="381">
        <v>35494</v>
      </c>
      <c r="E34" s="381">
        <v>80174</v>
      </c>
      <c r="F34" s="381">
        <v>7907679526</v>
      </c>
      <c r="G34" s="381">
        <v>7388586978</v>
      </c>
      <c r="H34" s="381">
        <v>15296266504</v>
      </c>
      <c r="I34" s="146">
        <v>5</v>
      </c>
      <c r="J34" s="133"/>
    </row>
    <row r="35" spans="1:13" ht="12.75" customHeight="1" x14ac:dyDescent="0.2">
      <c r="A35" s="138"/>
      <c r="B35" s="326" t="s">
        <v>61</v>
      </c>
      <c r="C35" s="381">
        <v>87030</v>
      </c>
      <c r="D35" s="381">
        <v>74745</v>
      </c>
      <c r="E35" s="381">
        <v>161775</v>
      </c>
      <c r="F35" s="381">
        <v>7035224842</v>
      </c>
      <c r="G35" s="381">
        <v>7328354650</v>
      </c>
      <c r="H35" s="381">
        <v>14363579491</v>
      </c>
      <c r="I35" s="146">
        <v>5</v>
      </c>
      <c r="J35" s="133"/>
    </row>
    <row r="36" spans="1:13" ht="12.75" customHeight="1" x14ac:dyDescent="0.2">
      <c r="A36" s="138"/>
      <c r="B36" s="382" t="s">
        <v>254</v>
      </c>
      <c r="C36" s="383">
        <v>42442</v>
      </c>
      <c r="D36" s="383">
        <v>35242</v>
      </c>
      <c r="E36" s="383">
        <v>77684</v>
      </c>
      <c r="F36" s="383">
        <v>6372778621</v>
      </c>
      <c r="G36" s="383">
        <v>6206942042</v>
      </c>
      <c r="H36" s="383">
        <v>12579720663</v>
      </c>
      <c r="I36" s="146">
        <v>5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2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2017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105</v>
      </c>
      <c r="J40" s="153"/>
    </row>
    <row r="41" spans="1:13" ht="12.75" customHeight="1" x14ac:dyDescent="0.2">
      <c r="A41" s="138"/>
      <c r="B41" s="327" t="s">
        <v>780</v>
      </c>
      <c r="C41" s="381">
        <v>-1</v>
      </c>
      <c r="D41" s="381">
        <v>0</v>
      </c>
      <c r="E41" s="381">
        <v>5</v>
      </c>
      <c r="F41" s="381">
        <v>35</v>
      </c>
      <c r="G41" s="381">
        <v>72</v>
      </c>
      <c r="H41" s="381">
        <v>239</v>
      </c>
      <c r="I41" s="146">
        <v>27.6</v>
      </c>
      <c r="J41" s="133"/>
    </row>
    <row r="42" spans="1:13" ht="12.75" customHeight="1" x14ac:dyDescent="0.2">
      <c r="A42" s="138"/>
      <c r="B42" s="327" t="s">
        <v>1055</v>
      </c>
      <c r="C42" s="381">
        <v>16</v>
      </c>
      <c r="D42" s="381">
        <v>7</v>
      </c>
      <c r="E42" s="381">
        <v>18</v>
      </c>
      <c r="F42" s="381">
        <v>36</v>
      </c>
      <c r="G42" s="381">
        <v>110</v>
      </c>
      <c r="H42" s="381">
        <v>218</v>
      </c>
      <c r="I42" s="146">
        <v>26.1</v>
      </c>
      <c r="J42" s="133"/>
    </row>
    <row r="43" spans="1:13" ht="12.75" customHeight="1" x14ac:dyDescent="0.2">
      <c r="A43" s="138"/>
      <c r="B43" s="327" t="s">
        <v>1092</v>
      </c>
      <c r="C43" s="381">
        <v>15</v>
      </c>
      <c r="D43" s="381">
        <v>10</v>
      </c>
      <c r="E43" s="381">
        <v>21</v>
      </c>
      <c r="F43" s="381">
        <v>28</v>
      </c>
      <c r="G43" s="381">
        <v>93</v>
      </c>
      <c r="H43" s="381">
        <v>218</v>
      </c>
      <c r="I43" s="146">
        <v>26</v>
      </c>
      <c r="J43" s="154"/>
    </row>
    <row r="44" spans="1:13" ht="12.75" customHeight="1" x14ac:dyDescent="0.2">
      <c r="A44" s="138"/>
      <c r="B44" s="327" t="s">
        <v>411</v>
      </c>
      <c r="C44" s="381">
        <v>11</v>
      </c>
      <c r="D44" s="381">
        <v>8</v>
      </c>
      <c r="E44" s="381">
        <v>15</v>
      </c>
      <c r="F44" s="381">
        <v>20</v>
      </c>
      <c r="G44" s="381">
        <v>71</v>
      </c>
      <c r="H44" s="381">
        <v>218</v>
      </c>
      <c r="I44" s="146">
        <v>26</v>
      </c>
      <c r="J44" s="147"/>
      <c r="K44" s="141"/>
    </row>
    <row r="45" spans="1:13" ht="12.75" customHeight="1" x14ac:dyDescent="0.2">
      <c r="A45" s="138"/>
      <c r="B45" s="327" t="s">
        <v>401</v>
      </c>
      <c r="C45" s="381">
        <v>10</v>
      </c>
      <c r="D45" s="381">
        <v>5</v>
      </c>
      <c r="E45" s="381">
        <v>13</v>
      </c>
      <c r="F45" s="381">
        <v>16</v>
      </c>
      <c r="G45" s="381">
        <v>73</v>
      </c>
      <c r="H45" s="381">
        <v>212</v>
      </c>
      <c r="I45" s="146">
        <v>25.6</v>
      </c>
      <c r="J45" s="136"/>
      <c r="K45" s="139"/>
      <c r="M45" s="139"/>
    </row>
    <row r="46" spans="1:13" ht="12.75" customHeight="1" x14ac:dyDescent="0.2">
      <c r="A46" s="138"/>
      <c r="B46" s="327" t="s">
        <v>933</v>
      </c>
      <c r="C46" s="381">
        <v>13</v>
      </c>
      <c r="D46" s="381">
        <v>7</v>
      </c>
      <c r="E46" s="381">
        <v>17</v>
      </c>
      <c r="F46" s="381">
        <v>22</v>
      </c>
      <c r="G46" s="381">
        <v>78</v>
      </c>
      <c r="H46" s="381">
        <v>210</v>
      </c>
      <c r="I46" s="146">
        <v>25.400000000000002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450</v>
      </c>
      <c r="C47" s="381">
        <v>16</v>
      </c>
      <c r="D47" s="381">
        <v>7</v>
      </c>
      <c r="E47" s="381">
        <v>16</v>
      </c>
      <c r="F47" s="381">
        <v>38</v>
      </c>
      <c r="G47" s="381">
        <v>110</v>
      </c>
      <c r="H47" s="381">
        <v>209</v>
      </c>
      <c r="I47" s="146">
        <v>25.3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529</v>
      </c>
      <c r="C48" s="381">
        <v>19</v>
      </c>
      <c r="D48" s="381">
        <v>10</v>
      </c>
      <c r="E48" s="381">
        <v>26</v>
      </c>
      <c r="F48" s="381">
        <v>31</v>
      </c>
      <c r="G48" s="381">
        <v>73</v>
      </c>
      <c r="H48" s="381">
        <v>205</v>
      </c>
      <c r="I48" s="146">
        <v>25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386</v>
      </c>
      <c r="C49" s="381">
        <v>13</v>
      </c>
      <c r="D49" s="381">
        <v>9</v>
      </c>
      <c r="E49" s="381">
        <v>17</v>
      </c>
      <c r="F49" s="381">
        <v>24</v>
      </c>
      <c r="G49" s="381">
        <v>74</v>
      </c>
      <c r="H49" s="381">
        <v>204</v>
      </c>
      <c r="I49" s="146">
        <v>24.900000000000002</v>
      </c>
      <c r="J49" s="136"/>
      <c r="K49" s="142"/>
      <c r="L49" s="139"/>
      <c r="M49" s="139"/>
    </row>
    <row r="50" spans="1:14" x14ac:dyDescent="0.2">
      <c r="A50" s="138"/>
      <c r="B50" s="327" t="s">
        <v>101</v>
      </c>
      <c r="C50" s="381">
        <v>13</v>
      </c>
      <c r="D50" s="381">
        <v>10</v>
      </c>
      <c r="E50" s="381">
        <v>17</v>
      </c>
      <c r="F50" s="381">
        <v>24</v>
      </c>
      <c r="G50" s="381">
        <v>77</v>
      </c>
      <c r="H50" s="381">
        <v>198</v>
      </c>
      <c r="I50" s="146">
        <v>24.400000000000002</v>
      </c>
      <c r="J50" s="136"/>
      <c r="K50" s="142"/>
      <c r="L50" s="139"/>
      <c r="M50" s="139"/>
    </row>
    <row r="51" spans="1:14" x14ac:dyDescent="0.2">
      <c r="B51" s="327"/>
      <c r="C51" s="381"/>
      <c r="D51" s="381"/>
      <c r="E51" s="381"/>
      <c r="F51" s="381"/>
      <c r="G51" s="381"/>
      <c r="H51" s="381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7" sqref="A17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1161</v>
      </c>
      <c r="B5" s="22" t="s">
        <v>1160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130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8"/>
      <c r="R18" s="338"/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1" t="s">
        <v>80</v>
      </c>
      <c r="C20" s="432"/>
      <c r="D20" s="432"/>
      <c r="E20" s="432"/>
      <c r="F20" s="432"/>
      <c r="G20" s="432"/>
      <c r="H20" s="433"/>
      <c r="I20" s="431" t="s">
        <v>95</v>
      </c>
      <c r="J20" s="432"/>
      <c r="K20" s="95"/>
      <c r="L20" s="96" t="s">
        <v>81</v>
      </c>
      <c r="M20" s="97" t="s">
        <v>84</v>
      </c>
      <c r="N20" s="97"/>
      <c r="O20" s="97" t="s">
        <v>94</v>
      </c>
      <c r="P20" s="98"/>
      <c r="Q20" s="99"/>
      <c r="R20" s="99"/>
      <c r="S20" s="99"/>
    </row>
    <row r="21" spans="1:19" s="1" customFormat="1" x14ac:dyDescent="0.2">
      <c r="A21" s="384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105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127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816</v>
      </c>
      <c r="B22" s="332">
        <v>9</v>
      </c>
      <c r="C22" s="332">
        <v>4</v>
      </c>
      <c r="D22" s="332">
        <v>8</v>
      </c>
      <c r="E22" s="332">
        <v>23</v>
      </c>
      <c r="F22" s="332">
        <v>67</v>
      </c>
      <c r="G22" s="332">
        <v>116</v>
      </c>
      <c r="H22" s="332">
        <v>16.600000000000001</v>
      </c>
      <c r="I22" s="333">
        <v>0.62</v>
      </c>
      <c r="J22" s="333">
        <v>1.81</v>
      </c>
      <c r="K22" s="332">
        <v>14.4</v>
      </c>
      <c r="L22" s="332">
        <v>1.3</v>
      </c>
      <c r="M22" s="332" t="s">
        <v>352</v>
      </c>
      <c r="N22" s="332">
        <v>2004</v>
      </c>
      <c r="O22" s="332" t="s">
        <v>69</v>
      </c>
      <c r="P22" s="332">
        <v>159442</v>
      </c>
      <c r="Q22" s="335" t="s">
        <v>556</v>
      </c>
      <c r="R22" s="335" t="s">
        <v>205</v>
      </c>
      <c r="S22" s="335"/>
    </row>
    <row r="23" spans="1:19" x14ac:dyDescent="0.2">
      <c r="A23" s="335" t="s">
        <v>817</v>
      </c>
      <c r="B23" s="332">
        <v>1</v>
      </c>
      <c r="C23" s="332">
        <v>-2</v>
      </c>
      <c r="D23" s="332">
        <v>2</v>
      </c>
      <c r="E23" s="332">
        <v>20</v>
      </c>
      <c r="F23" s="332">
        <v>33</v>
      </c>
      <c r="G23" s="332">
        <v>94</v>
      </c>
      <c r="H23" s="332">
        <v>14.200000000000001</v>
      </c>
      <c r="I23" s="333">
        <v>0.63</v>
      </c>
      <c r="J23" s="333">
        <v>1.83</v>
      </c>
      <c r="K23" s="332">
        <v>14.3</v>
      </c>
      <c r="L23" s="332">
        <v>0.8</v>
      </c>
      <c r="M23" s="332" t="s">
        <v>352</v>
      </c>
      <c r="N23" s="332">
        <v>2004</v>
      </c>
      <c r="O23" s="332" t="s">
        <v>69</v>
      </c>
      <c r="P23" s="332">
        <v>195271</v>
      </c>
      <c r="Q23" s="335" t="s">
        <v>556</v>
      </c>
      <c r="R23" s="335" t="s">
        <v>185</v>
      </c>
      <c r="S23" s="335"/>
    </row>
    <row r="24" spans="1:19" x14ac:dyDescent="0.2">
      <c r="A24" s="335" t="s">
        <v>900</v>
      </c>
      <c r="B24" s="332">
        <v>14</v>
      </c>
      <c r="C24" s="332">
        <v>8</v>
      </c>
      <c r="D24" s="332">
        <v>19</v>
      </c>
      <c r="E24" s="332">
        <v>22</v>
      </c>
      <c r="F24" s="332"/>
      <c r="G24" s="332"/>
      <c r="H24" s="332"/>
      <c r="I24" s="333">
        <v>0.68</v>
      </c>
      <c r="J24" s="333">
        <v>1.67</v>
      </c>
      <c r="K24" s="332"/>
      <c r="L24" s="332"/>
      <c r="M24" s="332" t="s">
        <v>157</v>
      </c>
      <c r="N24" s="332">
        <v>2015</v>
      </c>
      <c r="O24" s="332" t="s">
        <v>158</v>
      </c>
      <c r="P24" s="332">
        <v>589101</v>
      </c>
      <c r="Q24" s="335" t="s">
        <v>241</v>
      </c>
      <c r="R24" s="335" t="s">
        <v>264</v>
      </c>
      <c r="S24" s="335" t="s">
        <v>166</v>
      </c>
    </row>
    <row r="25" spans="1:19" x14ac:dyDescent="0.2">
      <c r="A25" s="335" t="s">
        <v>786</v>
      </c>
      <c r="B25" s="332">
        <v>14</v>
      </c>
      <c r="C25" s="332">
        <v>6</v>
      </c>
      <c r="D25" s="332">
        <v>12</v>
      </c>
      <c r="E25" s="332">
        <v>39</v>
      </c>
      <c r="F25" s="332">
        <v>45</v>
      </c>
      <c r="G25" s="332"/>
      <c r="H25" s="332"/>
      <c r="I25" s="333">
        <v>0.32</v>
      </c>
      <c r="J25" s="333">
        <v>0.95000000000000007</v>
      </c>
      <c r="K25" s="332">
        <v>16.3</v>
      </c>
      <c r="L25" s="332">
        <v>0.8</v>
      </c>
      <c r="M25" s="332" t="s">
        <v>157</v>
      </c>
      <c r="N25" s="332">
        <v>2012</v>
      </c>
      <c r="O25" s="332" t="s">
        <v>158</v>
      </c>
      <c r="P25" s="332">
        <v>295857</v>
      </c>
      <c r="Q25" s="335" t="s">
        <v>170</v>
      </c>
      <c r="R25" s="335" t="s">
        <v>302</v>
      </c>
      <c r="S25" s="335" t="s">
        <v>166</v>
      </c>
    </row>
    <row r="26" spans="1:19" x14ac:dyDescent="0.2">
      <c r="A26" s="335" t="s">
        <v>871</v>
      </c>
      <c r="B26" s="332">
        <v>6</v>
      </c>
      <c r="C26" s="332">
        <v>2</v>
      </c>
      <c r="D26" s="332">
        <v>7</v>
      </c>
      <c r="E26" s="332">
        <v>18</v>
      </c>
      <c r="F26" s="332">
        <v>55</v>
      </c>
      <c r="G26" s="332"/>
      <c r="H26" s="332"/>
      <c r="I26" s="333">
        <v>0.65</v>
      </c>
      <c r="J26" s="333">
        <v>1.8800000000000001</v>
      </c>
      <c r="K26" s="332">
        <v>11.700000000000001</v>
      </c>
      <c r="L26" s="332">
        <v>1.3</v>
      </c>
      <c r="M26" s="332" t="s">
        <v>352</v>
      </c>
      <c r="N26" s="332">
        <v>2013</v>
      </c>
      <c r="O26" s="332" t="s">
        <v>69</v>
      </c>
      <c r="P26" s="332">
        <v>728824</v>
      </c>
      <c r="Q26" s="335" t="s">
        <v>775</v>
      </c>
      <c r="R26" s="335" t="s">
        <v>185</v>
      </c>
      <c r="S26" s="335"/>
    </row>
    <row r="27" spans="1:19" x14ac:dyDescent="0.2">
      <c r="A27" s="335" t="s">
        <v>846</v>
      </c>
      <c r="B27" s="332">
        <v>3</v>
      </c>
      <c r="C27" s="332">
        <v>2</v>
      </c>
      <c r="D27" s="332">
        <v>3</v>
      </c>
      <c r="E27" s="332">
        <v>11</v>
      </c>
      <c r="F27" s="332"/>
      <c r="G27" s="332"/>
      <c r="H27" s="332"/>
      <c r="I27" s="333">
        <v>0.82000000000000006</v>
      </c>
      <c r="J27" s="333">
        <v>2.25</v>
      </c>
      <c r="K27" s="332"/>
      <c r="L27" s="332"/>
      <c r="M27" s="332" t="s">
        <v>157</v>
      </c>
      <c r="N27" s="332">
        <v>2015</v>
      </c>
      <c r="O27" s="332" t="s">
        <v>158</v>
      </c>
      <c r="P27" s="332">
        <v>778589</v>
      </c>
      <c r="Q27" s="335" t="s">
        <v>781</v>
      </c>
      <c r="R27" s="335" t="s">
        <v>185</v>
      </c>
      <c r="S27" s="335"/>
    </row>
    <row r="28" spans="1:19" x14ac:dyDescent="0.2">
      <c r="A28" s="335" t="s">
        <v>888</v>
      </c>
      <c r="B28" s="332">
        <v>13</v>
      </c>
      <c r="C28" s="332">
        <v>9</v>
      </c>
      <c r="D28" s="332">
        <v>16</v>
      </c>
      <c r="E28" s="332">
        <v>23</v>
      </c>
      <c r="F28" s="332">
        <v>44</v>
      </c>
      <c r="G28" s="332">
        <v>128</v>
      </c>
      <c r="H28" s="332">
        <v>17.900000000000002</v>
      </c>
      <c r="I28" s="333">
        <v>0.35000000000000003</v>
      </c>
      <c r="J28" s="333">
        <v>1.55</v>
      </c>
      <c r="K28" s="332">
        <v>11.4</v>
      </c>
      <c r="L28" s="332">
        <v>1.1000000000000001</v>
      </c>
      <c r="M28" s="332" t="s">
        <v>157</v>
      </c>
      <c r="N28" s="332">
        <v>2000</v>
      </c>
      <c r="O28" s="332" t="s">
        <v>158</v>
      </c>
      <c r="P28" s="332">
        <v>811117</v>
      </c>
      <c r="Q28" s="335" t="s">
        <v>198</v>
      </c>
      <c r="R28" s="335" t="s">
        <v>325</v>
      </c>
      <c r="S28" s="335"/>
    </row>
    <row r="29" spans="1:19" x14ac:dyDescent="0.2">
      <c r="A29" s="335" t="s">
        <v>623</v>
      </c>
      <c r="B29" s="332">
        <v>3</v>
      </c>
      <c r="C29" s="332">
        <v>0</v>
      </c>
      <c r="D29" s="332">
        <v>5</v>
      </c>
      <c r="E29" s="332">
        <v>22</v>
      </c>
      <c r="F29" s="332">
        <v>36</v>
      </c>
      <c r="G29" s="332">
        <v>91</v>
      </c>
      <c r="H29" s="332">
        <v>13.8</v>
      </c>
      <c r="I29" s="333">
        <v>0.74</v>
      </c>
      <c r="J29" s="333">
        <v>1.84</v>
      </c>
      <c r="K29" s="332">
        <v>12.9</v>
      </c>
      <c r="L29" s="332">
        <v>0.9</v>
      </c>
      <c r="M29" s="332" t="s">
        <v>352</v>
      </c>
      <c r="N29" s="332">
        <v>2006</v>
      </c>
      <c r="O29" s="332" t="s">
        <v>69</v>
      </c>
      <c r="P29" s="332">
        <v>717496</v>
      </c>
      <c r="Q29" s="335" t="s">
        <v>545</v>
      </c>
      <c r="R29" s="335" t="s">
        <v>185</v>
      </c>
      <c r="S29" s="335"/>
    </row>
    <row r="30" spans="1:19" x14ac:dyDescent="0.2">
      <c r="A30" s="335" t="s">
        <v>526</v>
      </c>
      <c r="B30" s="332">
        <v>2</v>
      </c>
      <c r="C30" s="332">
        <v>2</v>
      </c>
      <c r="D30" s="332">
        <v>2</v>
      </c>
      <c r="E30" s="332">
        <v>13</v>
      </c>
      <c r="F30" s="332">
        <v>-12</v>
      </c>
      <c r="G30" s="332">
        <v>2</v>
      </c>
      <c r="H30" s="332">
        <v>0.3</v>
      </c>
      <c r="I30" s="333">
        <v>0.48</v>
      </c>
      <c r="J30" s="333">
        <v>2.5300000000000002</v>
      </c>
      <c r="K30" s="332">
        <v>14.9</v>
      </c>
      <c r="L30" s="332">
        <v>-0.2</v>
      </c>
      <c r="M30" s="332" t="s">
        <v>157</v>
      </c>
      <c r="N30" s="332">
        <v>2006</v>
      </c>
      <c r="O30" s="332" t="s">
        <v>158</v>
      </c>
      <c r="P30" s="332">
        <v>184291</v>
      </c>
      <c r="Q30" s="335" t="s">
        <v>192</v>
      </c>
      <c r="R30" s="335" t="s">
        <v>302</v>
      </c>
      <c r="S30" s="335"/>
    </row>
    <row r="31" spans="1:19" x14ac:dyDescent="0.2">
      <c r="A31" s="335" t="s">
        <v>427</v>
      </c>
      <c r="B31" s="332">
        <v>18</v>
      </c>
      <c r="C31" s="332">
        <v>6</v>
      </c>
      <c r="D31" s="332">
        <v>11</v>
      </c>
      <c r="E31" s="332">
        <v>37</v>
      </c>
      <c r="F31" s="332"/>
      <c r="G31" s="332"/>
      <c r="H31" s="332"/>
      <c r="I31" s="333">
        <v>0.4</v>
      </c>
      <c r="J31" s="333">
        <v>1.9000000000000001</v>
      </c>
      <c r="K31" s="332"/>
      <c r="L31" s="332"/>
      <c r="M31" s="332" t="s">
        <v>157</v>
      </c>
      <c r="N31" s="332">
        <v>2014</v>
      </c>
      <c r="O31" s="332" t="s">
        <v>158</v>
      </c>
      <c r="P31" s="332">
        <v>617670</v>
      </c>
      <c r="Q31" s="335" t="s">
        <v>198</v>
      </c>
      <c r="R31" s="335" t="s">
        <v>350</v>
      </c>
      <c r="S31" s="335"/>
    </row>
    <row r="32" spans="1:19" x14ac:dyDescent="0.2">
      <c r="A32" s="335" t="s">
        <v>386</v>
      </c>
      <c r="B32" s="332">
        <v>13</v>
      </c>
      <c r="C32" s="332">
        <v>9</v>
      </c>
      <c r="D32" s="332">
        <v>17</v>
      </c>
      <c r="E32" s="332">
        <v>24</v>
      </c>
      <c r="F32" s="332">
        <v>74</v>
      </c>
      <c r="G32" s="332">
        <v>204</v>
      </c>
      <c r="H32" s="332">
        <v>24.900000000000002</v>
      </c>
      <c r="I32" s="333">
        <v>0.35000000000000003</v>
      </c>
      <c r="J32" s="333">
        <v>1.55</v>
      </c>
      <c r="K32" s="332">
        <v>15</v>
      </c>
      <c r="L32" s="332">
        <v>1.3</v>
      </c>
      <c r="M32" s="332" t="s">
        <v>157</v>
      </c>
      <c r="N32" s="332">
        <v>2000</v>
      </c>
      <c r="O32" s="332" t="s">
        <v>158</v>
      </c>
      <c r="P32" s="332">
        <v>952010</v>
      </c>
      <c r="Q32" s="335" t="s">
        <v>198</v>
      </c>
      <c r="R32" s="335" t="s">
        <v>264</v>
      </c>
      <c r="S32" s="335"/>
    </row>
    <row r="33" spans="1:19" x14ac:dyDescent="0.2">
      <c r="A33" s="335" t="s">
        <v>132</v>
      </c>
      <c r="B33" s="332">
        <v>14</v>
      </c>
      <c r="C33" s="332">
        <v>7</v>
      </c>
      <c r="D33" s="332">
        <v>17</v>
      </c>
      <c r="E33" s="332">
        <v>16</v>
      </c>
      <c r="F33" s="332">
        <v>58</v>
      </c>
      <c r="G33" s="332">
        <v>175</v>
      </c>
      <c r="H33" s="332">
        <v>22.5</v>
      </c>
      <c r="I33" s="333">
        <v>0.57999999999999996</v>
      </c>
      <c r="J33" s="333">
        <v>1.6</v>
      </c>
      <c r="K33" s="332">
        <v>15.200000000000001</v>
      </c>
      <c r="L33" s="332">
        <v>1.1000000000000001</v>
      </c>
      <c r="M33" s="332" t="s">
        <v>157</v>
      </c>
      <c r="N33" s="332">
        <v>2008</v>
      </c>
      <c r="O33" s="332" t="s">
        <v>69</v>
      </c>
      <c r="P33" s="332">
        <v>420463</v>
      </c>
      <c r="Q33" s="335" t="s">
        <v>202</v>
      </c>
      <c r="R33" s="335" t="s">
        <v>264</v>
      </c>
      <c r="S33" s="335"/>
    </row>
    <row r="34" spans="1:19" x14ac:dyDescent="0.2">
      <c r="A34" s="335" t="s">
        <v>510</v>
      </c>
      <c r="B34" s="332">
        <v>-7</v>
      </c>
      <c r="C34" s="332">
        <v>-6</v>
      </c>
      <c r="D34" s="332">
        <v>0</v>
      </c>
      <c r="E34" s="332">
        <v>22</v>
      </c>
      <c r="F34" s="332">
        <v>21</v>
      </c>
      <c r="G34" s="332">
        <v>26</v>
      </c>
      <c r="H34" s="332">
        <v>4.8</v>
      </c>
      <c r="I34" s="333">
        <v>0.48</v>
      </c>
      <c r="J34" s="333">
        <v>2.54</v>
      </c>
      <c r="K34" s="332">
        <v>22.1</v>
      </c>
      <c r="L34" s="332">
        <v>0.4</v>
      </c>
      <c r="M34" s="332" t="s">
        <v>157</v>
      </c>
      <c r="N34" s="332">
        <v>2000</v>
      </c>
      <c r="O34" s="332" t="s">
        <v>158</v>
      </c>
      <c r="P34" s="332">
        <v>249995</v>
      </c>
      <c r="Q34" s="335" t="s">
        <v>192</v>
      </c>
      <c r="R34" s="335" t="s">
        <v>381</v>
      </c>
      <c r="S34" s="335"/>
    </row>
    <row r="35" spans="1:19" x14ac:dyDescent="0.2">
      <c r="A35" s="335" t="s">
        <v>297</v>
      </c>
      <c r="B35" s="332">
        <v>5</v>
      </c>
      <c r="C35" s="332">
        <v>1</v>
      </c>
      <c r="D35" s="332">
        <v>6</v>
      </c>
      <c r="E35" s="332">
        <v>20</v>
      </c>
      <c r="F35" s="332">
        <v>52</v>
      </c>
      <c r="G35" s="332">
        <v>110</v>
      </c>
      <c r="H35" s="332">
        <v>16</v>
      </c>
      <c r="I35" s="333">
        <v>0.24</v>
      </c>
      <c r="J35" s="333">
        <v>0.47000000000000003</v>
      </c>
      <c r="K35" s="332">
        <v>12.200000000000001</v>
      </c>
      <c r="L35" s="332">
        <v>1.2</v>
      </c>
      <c r="M35" s="332" t="s">
        <v>157</v>
      </c>
      <c r="N35" s="332">
        <v>2000</v>
      </c>
      <c r="O35" s="332" t="s">
        <v>158</v>
      </c>
      <c r="P35" s="332">
        <v>252411</v>
      </c>
      <c r="Q35" s="335" t="s">
        <v>211</v>
      </c>
      <c r="R35" s="335" t="s">
        <v>185</v>
      </c>
      <c r="S35" s="335"/>
    </row>
    <row r="36" spans="1:19" x14ac:dyDescent="0.2">
      <c r="A36" s="335" t="s">
        <v>732</v>
      </c>
      <c r="B36" s="332">
        <v>10</v>
      </c>
      <c r="C36" s="332">
        <v>4</v>
      </c>
      <c r="D36" s="332">
        <v>10</v>
      </c>
      <c r="E36" s="332">
        <v>21</v>
      </c>
      <c r="F36" s="332">
        <v>49</v>
      </c>
      <c r="G36" s="332">
        <v>101</v>
      </c>
      <c r="H36" s="332">
        <v>15</v>
      </c>
      <c r="I36" s="333">
        <v>0.81</v>
      </c>
      <c r="J36" s="333">
        <v>2.92</v>
      </c>
      <c r="K36" s="332">
        <v>13.4</v>
      </c>
      <c r="L36" s="332">
        <v>1.1000000000000001</v>
      </c>
      <c r="M36" s="332" t="s">
        <v>352</v>
      </c>
      <c r="N36" s="332">
        <v>2009</v>
      </c>
      <c r="O36" s="332" t="s">
        <v>69</v>
      </c>
      <c r="P36" s="332">
        <v>690693</v>
      </c>
      <c r="Q36" s="335" t="s">
        <v>1013</v>
      </c>
      <c r="R36" s="335" t="s">
        <v>185</v>
      </c>
      <c r="S36" s="335"/>
    </row>
    <row r="37" spans="1:19" x14ac:dyDescent="0.2">
      <c r="A37" s="335" t="s">
        <v>730</v>
      </c>
      <c r="B37" s="332">
        <v>-11</v>
      </c>
      <c r="C37" s="332">
        <v>-7</v>
      </c>
      <c r="D37" s="332">
        <v>-1</v>
      </c>
      <c r="E37" s="332">
        <v>37</v>
      </c>
      <c r="F37" s="332">
        <v>27</v>
      </c>
      <c r="G37" s="332">
        <v>30</v>
      </c>
      <c r="H37" s="332">
        <v>5.5</v>
      </c>
      <c r="I37" s="333">
        <v>0.81</v>
      </c>
      <c r="J37" s="333">
        <v>2.62</v>
      </c>
      <c r="K37" s="332">
        <v>26.8</v>
      </c>
      <c r="L37" s="332">
        <v>0.4</v>
      </c>
      <c r="M37" s="332" t="s">
        <v>352</v>
      </c>
      <c r="N37" s="332">
        <v>2009</v>
      </c>
      <c r="O37" s="332" t="s">
        <v>69</v>
      </c>
      <c r="P37" s="332">
        <v>925099</v>
      </c>
      <c r="Q37" s="335" t="s">
        <v>1013</v>
      </c>
      <c r="R37" s="335" t="s">
        <v>381</v>
      </c>
      <c r="S37" s="335"/>
    </row>
    <row r="38" spans="1:19" x14ac:dyDescent="0.2">
      <c r="A38" s="335" t="s">
        <v>232</v>
      </c>
      <c r="B38" s="332">
        <v>5</v>
      </c>
      <c r="C38" s="332">
        <v>1</v>
      </c>
      <c r="D38" s="332">
        <v>5</v>
      </c>
      <c r="E38" s="332">
        <v>17</v>
      </c>
      <c r="F38" s="332">
        <v>45</v>
      </c>
      <c r="G38" s="332">
        <v>96</v>
      </c>
      <c r="H38" s="332">
        <v>14.4</v>
      </c>
      <c r="I38" s="333">
        <v>0.18</v>
      </c>
      <c r="J38" s="333">
        <v>0.43</v>
      </c>
      <c r="K38" s="332">
        <v>12.6</v>
      </c>
      <c r="L38" s="332">
        <v>1.1000000000000001</v>
      </c>
      <c r="M38" s="332" t="s">
        <v>157</v>
      </c>
      <c r="N38" s="332">
        <v>2000</v>
      </c>
      <c r="O38" s="332" t="s">
        <v>158</v>
      </c>
      <c r="P38" s="332">
        <v>941096</v>
      </c>
      <c r="Q38" s="335" t="s">
        <v>175</v>
      </c>
      <c r="R38" s="335" t="s">
        <v>185</v>
      </c>
      <c r="S38" s="335" t="s">
        <v>166</v>
      </c>
    </row>
    <row r="39" spans="1:19" x14ac:dyDescent="0.2">
      <c r="A39" s="335" t="s">
        <v>882</v>
      </c>
      <c r="B39" s="332">
        <v>2</v>
      </c>
      <c r="C39" s="332">
        <v>-1</v>
      </c>
      <c r="D39" s="332">
        <v>5</v>
      </c>
      <c r="E39" s="332">
        <v>21</v>
      </c>
      <c r="F39" s="332">
        <v>52</v>
      </c>
      <c r="G39" s="332">
        <v>120</v>
      </c>
      <c r="H39" s="332">
        <v>17</v>
      </c>
      <c r="I39" s="333">
        <v>0.67</v>
      </c>
      <c r="J39" s="333">
        <v>1.6300000000000001</v>
      </c>
      <c r="K39" s="332">
        <v>13.4</v>
      </c>
      <c r="L39" s="332">
        <v>1.1000000000000001</v>
      </c>
      <c r="M39" s="332" t="s">
        <v>352</v>
      </c>
      <c r="N39" s="332">
        <v>2015</v>
      </c>
      <c r="O39" s="332" t="s">
        <v>69</v>
      </c>
      <c r="P39" s="332">
        <v>317040</v>
      </c>
      <c r="Q39" s="335" t="s">
        <v>506</v>
      </c>
      <c r="R39" s="335" t="s">
        <v>185</v>
      </c>
      <c r="S39" s="335"/>
    </row>
    <row r="40" spans="1:19" x14ac:dyDescent="0.2">
      <c r="A40" s="335" t="s">
        <v>437</v>
      </c>
      <c r="B40" s="332">
        <v>13</v>
      </c>
      <c r="C40" s="332">
        <v>7</v>
      </c>
      <c r="D40" s="332">
        <v>16</v>
      </c>
      <c r="E40" s="332">
        <v>20</v>
      </c>
      <c r="F40" s="332">
        <v>43</v>
      </c>
      <c r="G40" s="332">
        <v>123</v>
      </c>
      <c r="H40" s="332">
        <v>17.3</v>
      </c>
      <c r="I40" s="333">
        <v>0.42</v>
      </c>
      <c r="J40" s="333">
        <v>1.41</v>
      </c>
      <c r="K40" s="332">
        <v>11.6</v>
      </c>
      <c r="L40" s="332">
        <v>1.1000000000000001</v>
      </c>
      <c r="M40" s="332" t="s">
        <v>157</v>
      </c>
      <c r="N40" s="332">
        <v>2012</v>
      </c>
      <c r="O40" s="332" t="s">
        <v>158</v>
      </c>
      <c r="P40" s="332">
        <v>611657</v>
      </c>
      <c r="Q40" s="335" t="s">
        <v>230</v>
      </c>
      <c r="R40" s="335" t="s">
        <v>325</v>
      </c>
      <c r="S40" s="335" t="s">
        <v>166</v>
      </c>
    </row>
    <row r="41" spans="1:19" x14ac:dyDescent="0.2">
      <c r="A41" s="335" t="s">
        <v>446</v>
      </c>
      <c r="B41" s="332">
        <v>12</v>
      </c>
      <c r="C41" s="332">
        <v>8</v>
      </c>
      <c r="D41" s="332">
        <v>17</v>
      </c>
      <c r="E41" s="332">
        <v>20</v>
      </c>
      <c r="F41" s="332">
        <v>56</v>
      </c>
      <c r="G41" s="332">
        <v>155</v>
      </c>
      <c r="H41" s="332">
        <v>20.6</v>
      </c>
      <c r="I41" s="333">
        <v>0.42</v>
      </c>
      <c r="J41" s="333">
        <v>1.41</v>
      </c>
      <c r="K41" s="332">
        <v>14.1</v>
      </c>
      <c r="L41" s="332">
        <v>1.1000000000000001</v>
      </c>
      <c r="M41" s="332" t="s">
        <v>157</v>
      </c>
      <c r="N41" s="332">
        <v>2002</v>
      </c>
      <c r="O41" s="332" t="s">
        <v>158</v>
      </c>
      <c r="P41" s="332">
        <v>103606</v>
      </c>
      <c r="Q41" s="335" t="s">
        <v>230</v>
      </c>
      <c r="R41" s="335" t="s">
        <v>264</v>
      </c>
      <c r="S41" s="335" t="s">
        <v>166</v>
      </c>
    </row>
    <row r="42" spans="1:19" x14ac:dyDescent="0.2">
      <c r="A42" s="335" t="s">
        <v>483</v>
      </c>
      <c r="B42" s="332">
        <v>13</v>
      </c>
      <c r="C42" s="332">
        <v>5</v>
      </c>
      <c r="D42" s="332">
        <v>12</v>
      </c>
      <c r="E42" s="332">
        <v>30</v>
      </c>
      <c r="F42" s="332">
        <v>32</v>
      </c>
      <c r="G42" s="332"/>
      <c r="H42" s="332"/>
      <c r="I42" s="333">
        <v>0.54</v>
      </c>
      <c r="J42" s="333">
        <v>1.98</v>
      </c>
      <c r="K42" s="332">
        <v>13.8</v>
      </c>
      <c r="L42" s="332">
        <v>0.8</v>
      </c>
      <c r="M42" s="332" t="s">
        <v>157</v>
      </c>
      <c r="N42" s="332">
        <v>2014</v>
      </c>
      <c r="O42" s="332" t="s">
        <v>158</v>
      </c>
      <c r="P42" s="332">
        <v>802900</v>
      </c>
      <c r="Q42" s="335" t="s">
        <v>230</v>
      </c>
      <c r="R42" s="335" t="s">
        <v>302</v>
      </c>
      <c r="S42" s="335" t="s">
        <v>166</v>
      </c>
    </row>
    <row r="43" spans="1:19" x14ac:dyDescent="0.2">
      <c r="A43" s="335" t="s">
        <v>450</v>
      </c>
      <c r="B43" s="332">
        <v>16</v>
      </c>
      <c r="C43" s="332">
        <v>7</v>
      </c>
      <c r="D43" s="332">
        <v>16</v>
      </c>
      <c r="E43" s="332">
        <v>38</v>
      </c>
      <c r="F43" s="332">
        <v>110</v>
      </c>
      <c r="G43" s="332">
        <v>209</v>
      </c>
      <c r="H43" s="332">
        <v>25.3</v>
      </c>
      <c r="I43" s="333">
        <v>0.42</v>
      </c>
      <c r="J43" s="333">
        <v>1.43</v>
      </c>
      <c r="K43" s="332">
        <v>16.899999999999999</v>
      </c>
      <c r="L43" s="332">
        <v>1.6</v>
      </c>
      <c r="M43" s="332" t="s">
        <v>157</v>
      </c>
      <c r="N43" s="332">
        <v>2000</v>
      </c>
      <c r="O43" s="332" t="s">
        <v>158</v>
      </c>
      <c r="P43" s="332">
        <v>439471</v>
      </c>
      <c r="Q43" s="335" t="s">
        <v>230</v>
      </c>
      <c r="R43" s="335" t="s">
        <v>259</v>
      </c>
      <c r="S43" s="335" t="s">
        <v>166</v>
      </c>
    </row>
    <row r="44" spans="1:19" x14ac:dyDescent="0.2">
      <c r="A44" s="335" t="s">
        <v>449</v>
      </c>
      <c r="B44" s="332">
        <v>9</v>
      </c>
      <c r="C44" s="332">
        <v>3</v>
      </c>
      <c r="D44" s="332">
        <v>8</v>
      </c>
      <c r="E44" s="332">
        <v>19</v>
      </c>
      <c r="F44" s="332">
        <v>44</v>
      </c>
      <c r="G44" s="332">
        <v>83</v>
      </c>
      <c r="H44" s="332">
        <v>12.8</v>
      </c>
      <c r="I44" s="333">
        <v>0.42</v>
      </c>
      <c r="J44" s="333">
        <v>1.43</v>
      </c>
      <c r="K44" s="332">
        <v>12.700000000000001</v>
      </c>
      <c r="L44" s="332">
        <v>1</v>
      </c>
      <c r="M44" s="332" t="s">
        <v>157</v>
      </c>
      <c r="N44" s="332">
        <v>2000</v>
      </c>
      <c r="O44" s="332" t="s">
        <v>158</v>
      </c>
      <c r="P44" s="332">
        <v>475301</v>
      </c>
      <c r="Q44" s="335" t="s">
        <v>230</v>
      </c>
      <c r="R44" s="335" t="s">
        <v>185</v>
      </c>
      <c r="S44" s="335" t="s">
        <v>166</v>
      </c>
    </row>
    <row r="45" spans="1:19" x14ac:dyDescent="0.2">
      <c r="A45" s="335" t="s">
        <v>720</v>
      </c>
      <c r="B45" s="332">
        <v>15</v>
      </c>
      <c r="C45" s="332">
        <v>6</v>
      </c>
      <c r="D45" s="332">
        <v>10</v>
      </c>
      <c r="E45" s="332">
        <v>31</v>
      </c>
      <c r="F45" s="332">
        <v>55</v>
      </c>
      <c r="G45" s="332">
        <v>70</v>
      </c>
      <c r="H45" s="332">
        <v>11.200000000000001</v>
      </c>
      <c r="I45" s="333">
        <v>0.81</v>
      </c>
      <c r="J45" s="333">
        <v>2.5100000000000002</v>
      </c>
      <c r="K45" s="332">
        <v>16.8</v>
      </c>
      <c r="L45" s="332">
        <v>1</v>
      </c>
      <c r="M45" s="332" t="s">
        <v>352</v>
      </c>
      <c r="N45" s="332">
        <v>2003</v>
      </c>
      <c r="O45" s="332" t="s">
        <v>69</v>
      </c>
      <c r="P45" s="332">
        <v>882126</v>
      </c>
      <c r="Q45" s="335" t="s">
        <v>1013</v>
      </c>
      <c r="R45" s="335" t="s">
        <v>350</v>
      </c>
      <c r="S45" s="335"/>
    </row>
    <row r="46" spans="1:19" x14ac:dyDescent="0.2">
      <c r="A46" s="335" t="s">
        <v>682</v>
      </c>
      <c r="B46" s="332">
        <v>4</v>
      </c>
      <c r="C46" s="332">
        <v>2</v>
      </c>
      <c r="D46" s="332">
        <v>5</v>
      </c>
      <c r="E46" s="332">
        <v>14</v>
      </c>
      <c r="F46" s="332">
        <v>26</v>
      </c>
      <c r="G46" s="332">
        <v>43</v>
      </c>
      <c r="H46" s="332">
        <v>7.4</v>
      </c>
      <c r="I46" s="333">
        <v>0.76</v>
      </c>
      <c r="J46" s="333">
        <v>2.2600000000000002</v>
      </c>
      <c r="K46" s="332">
        <v>12.4</v>
      </c>
      <c r="L46" s="332">
        <v>0.70000000000000007</v>
      </c>
      <c r="M46" s="332" t="s">
        <v>157</v>
      </c>
      <c r="N46" s="332">
        <v>2011</v>
      </c>
      <c r="O46" s="332" t="s">
        <v>158</v>
      </c>
      <c r="P46" s="332">
        <v>691220</v>
      </c>
      <c r="Q46" s="335" t="s">
        <v>903</v>
      </c>
      <c r="R46" s="335" t="s">
        <v>302</v>
      </c>
      <c r="S46" s="335"/>
    </row>
    <row r="47" spans="1:19" x14ac:dyDescent="0.2">
      <c r="A47" s="335" t="s">
        <v>507</v>
      </c>
      <c r="B47" s="332">
        <v>13</v>
      </c>
      <c r="C47" s="332">
        <v>6</v>
      </c>
      <c r="D47" s="332">
        <v>12</v>
      </c>
      <c r="E47" s="332">
        <v>26</v>
      </c>
      <c r="F47" s="332">
        <v>30</v>
      </c>
      <c r="G47" s="332">
        <v>43</v>
      </c>
      <c r="H47" s="332">
        <v>7.3</v>
      </c>
      <c r="I47" s="333">
        <v>0.89</v>
      </c>
      <c r="J47" s="333">
        <v>2.95</v>
      </c>
      <c r="K47" s="332">
        <v>13.4</v>
      </c>
      <c r="L47" s="332">
        <v>0.70000000000000007</v>
      </c>
      <c r="M47" s="332" t="s">
        <v>352</v>
      </c>
      <c r="N47" s="332">
        <v>2001</v>
      </c>
      <c r="O47" s="332" t="s">
        <v>69</v>
      </c>
      <c r="P47" s="332">
        <v>317990</v>
      </c>
      <c r="Q47" s="335" t="s">
        <v>465</v>
      </c>
      <c r="R47" s="335" t="s">
        <v>302</v>
      </c>
      <c r="S47" s="335"/>
    </row>
    <row r="48" spans="1:19" x14ac:dyDescent="0.2">
      <c r="A48" s="335" t="s">
        <v>509</v>
      </c>
      <c r="B48" s="332">
        <v>6</v>
      </c>
      <c r="C48" s="332">
        <v>-2</v>
      </c>
      <c r="D48" s="332">
        <v>6</v>
      </c>
      <c r="E48" s="332">
        <v>28</v>
      </c>
      <c r="F48" s="332">
        <v>2</v>
      </c>
      <c r="G48" s="332">
        <v>-1</v>
      </c>
      <c r="H48" s="332">
        <v>-0.2</v>
      </c>
      <c r="I48" s="333">
        <v>0.89</v>
      </c>
      <c r="J48" s="333">
        <v>2.95</v>
      </c>
      <c r="K48" s="332">
        <v>21.6</v>
      </c>
      <c r="L48" s="332">
        <v>0.1</v>
      </c>
      <c r="M48" s="332" t="s">
        <v>352</v>
      </c>
      <c r="N48" s="332">
        <v>2001</v>
      </c>
      <c r="O48" s="332" t="s">
        <v>69</v>
      </c>
      <c r="P48" s="332">
        <v>174672</v>
      </c>
      <c r="Q48" s="335" t="s">
        <v>465</v>
      </c>
      <c r="R48" s="335" t="s">
        <v>369</v>
      </c>
      <c r="S48" s="335"/>
    </row>
    <row r="49" spans="1:19" x14ac:dyDescent="0.2">
      <c r="A49" s="335" t="s">
        <v>263</v>
      </c>
      <c r="B49" s="332">
        <v>15</v>
      </c>
      <c r="C49" s="332">
        <v>9</v>
      </c>
      <c r="D49" s="332">
        <v>18</v>
      </c>
      <c r="E49" s="332">
        <v>26</v>
      </c>
      <c r="F49" s="332">
        <v>71</v>
      </c>
      <c r="G49" s="332">
        <v>186</v>
      </c>
      <c r="H49" s="332">
        <v>23.400000000000002</v>
      </c>
      <c r="I49" s="333">
        <v>0.21</v>
      </c>
      <c r="J49" s="333">
        <v>0.61</v>
      </c>
      <c r="K49" s="332">
        <v>15.1</v>
      </c>
      <c r="L49" s="332">
        <v>1.3</v>
      </c>
      <c r="M49" s="332" t="s">
        <v>157</v>
      </c>
      <c r="N49" s="332">
        <v>2004</v>
      </c>
      <c r="O49" s="332" t="s">
        <v>158</v>
      </c>
      <c r="P49" s="332">
        <v>269357</v>
      </c>
      <c r="Q49" s="335" t="s">
        <v>172</v>
      </c>
      <c r="R49" s="335" t="s">
        <v>264</v>
      </c>
      <c r="S49" s="335" t="s">
        <v>166</v>
      </c>
    </row>
    <row r="50" spans="1:19" x14ac:dyDescent="0.2">
      <c r="A50" s="335" t="s">
        <v>763</v>
      </c>
      <c r="B50" s="332">
        <v>5</v>
      </c>
      <c r="C50" s="332">
        <v>2</v>
      </c>
      <c r="D50" s="332">
        <v>6</v>
      </c>
      <c r="E50" s="332">
        <v>17</v>
      </c>
      <c r="F50" s="332">
        <v>44</v>
      </c>
      <c r="G50" s="332"/>
      <c r="H50" s="332"/>
      <c r="I50" s="333">
        <v>0.84</v>
      </c>
      <c r="J50" s="333">
        <v>2.1</v>
      </c>
      <c r="K50" s="332">
        <v>14.5</v>
      </c>
      <c r="L50" s="332">
        <v>0.9</v>
      </c>
      <c r="M50" s="332" t="s">
        <v>352</v>
      </c>
      <c r="N50" s="332">
        <v>2014</v>
      </c>
      <c r="O50" s="332" t="s">
        <v>69</v>
      </c>
      <c r="P50" s="332">
        <v>179218</v>
      </c>
      <c r="Q50" s="335" t="s">
        <v>768</v>
      </c>
      <c r="R50" s="335" t="s">
        <v>185</v>
      </c>
      <c r="S50" s="335"/>
    </row>
    <row r="51" spans="1:19" x14ac:dyDescent="0.2">
      <c r="A51" s="335" t="s">
        <v>632</v>
      </c>
      <c r="B51" s="332">
        <v>16</v>
      </c>
      <c r="C51" s="332">
        <v>7</v>
      </c>
      <c r="D51" s="332">
        <v>11</v>
      </c>
      <c r="E51" s="332">
        <v>35</v>
      </c>
      <c r="F51" s="332">
        <v>90</v>
      </c>
      <c r="G51" s="332">
        <v>132</v>
      </c>
      <c r="H51" s="332">
        <v>18.3</v>
      </c>
      <c r="I51" s="333">
        <v>0.72</v>
      </c>
      <c r="J51" s="333">
        <v>2.39</v>
      </c>
      <c r="K51" s="332">
        <v>19.8</v>
      </c>
      <c r="L51" s="332">
        <v>1.2</v>
      </c>
      <c r="M51" s="332" t="s">
        <v>352</v>
      </c>
      <c r="N51" s="332">
        <v>2005</v>
      </c>
      <c r="O51" s="332" t="s">
        <v>69</v>
      </c>
      <c r="P51" s="332">
        <v>908806</v>
      </c>
      <c r="Q51" s="335" t="s">
        <v>777</v>
      </c>
      <c r="R51" s="335" t="s">
        <v>350</v>
      </c>
      <c r="S51" s="335"/>
    </row>
    <row r="52" spans="1:19" x14ac:dyDescent="0.2">
      <c r="A52" s="335" t="s">
        <v>288</v>
      </c>
      <c r="B52" s="332">
        <v>8</v>
      </c>
      <c r="C52" s="332">
        <v>2</v>
      </c>
      <c r="D52" s="332">
        <v>8</v>
      </c>
      <c r="E52" s="332">
        <v>23</v>
      </c>
      <c r="F52" s="332">
        <v>51</v>
      </c>
      <c r="G52" s="332">
        <v>110</v>
      </c>
      <c r="H52" s="332">
        <v>16</v>
      </c>
      <c r="I52" s="333">
        <v>0.23</v>
      </c>
      <c r="J52" s="333">
        <v>0.70000000000000007</v>
      </c>
      <c r="K52" s="332">
        <v>12.6</v>
      </c>
      <c r="L52" s="332">
        <v>1.2</v>
      </c>
      <c r="M52" s="332" t="s">
        <v>157</v>
      </c>
      <c r="N52" s="332">
        <v>2013</v>
      </c>
      <c r="O52" s="332" t="s">
        <v>69</v>
      </c>
      <c r="P52" s="332">
        <v>785907</v>
      </c>
      <c r="Q52" s="335" t="s">
        <v>162</v>
      </c>
      <c r="R52" s="335" t="s">
        <v>185</v>
      </c>
      <c r="S52" s="335" t="s">
        <v>166</v>
      </c>
    </row>
    <row r="53" spans="1:19" x14ac:dyDescent="0.2">
      <c r="A53" s="335" t="s">
        <v>312</v>
      </c>
      <c r="B53" s="332">
        <v>13</v>
      </c>
      <c r="C53" s="332">
        <v>4</v>
      </c>
      <c r="D53" s="332">
        <v>10</v>
      </c>
      <c r="E53" s="332">
        <v>31</v>
      </c>
      <c r="F53" s="332">
        <v>33</v>
      </c>
      <c r="G53" s="332"/>
      <c r="H53" s="332"/>
      <c r="I53" s="333">
        <v>0.25</v>
      </c>
      <c r="J53" s="333">
        <v>0.85</v>
      </c>
      <c r="K53" s="332">
        <v>14.700000000000001</v>
      </c>
      <c r="L53" s="332">
        <v>0.70000000000000007</v>
      </c>
      <c r="M53" s="332" t="s">
        <v>157</v>
      </c>
      <c r="N53" s="332">
        <v>2013</v>
      </c>
      <c r="O53" s="332" t="s">
        <v>69</v>
      </c>
      <c r="P53" s="332">
        <v>750075</v>
      </c>
      <c r="Q53" s="335" t="s">
        <v>162</v>
      </c>
      <c r="R53" s="335" t="s">
        <v>302</v>
      </c>
      <c r="S53" s="335"/>
    </row>
    <row r="54" spans="1:19" x14ac:dyDescent="0.2">
      <c r="A54" s="335" t="s">
        <v>665</v>
      </c>
      <c r="B54" s="332">
        <v>3</v>
      </c>
      <c r="C54" s="332">
        <v>1</v>
      </c>
      <c r="D54" s="332">
        <v>4</v>
      </c>
      <c r="E54" s="332">
        <v>9</v>
      </c>
      <c r="F54" s="332">
        <v>31</v>
      </c>
      <c r="G54" s="332">
        <v>72</v>
      </c>
      <c r="H54" s="332">
        <v>11.4</v>
      </c>
      <c r="I54" s="333">
        <v>0.76</v>
      </c>
      <c r="J54" s="333">
        <v>2.25</v>
      </c>
      <c r="K54" s="332">
        <v>11</v>
      </c>
      <c r="L54" s="332">
        <v>0.9</v>
      </c>
      <c r="M54" s="332" t="s">
        <v>157</v>
      </c>
      <c r="N54" s="332">
        <v>2011</v>
      </c>
      <c r="O54" s="332" t="s">
        <v>158</v>
      </c>
      <c r="P54" s="332">
        <v>727057</v>
      </c>
      <c r="Q54" s="335" t="s">
        <v>903</v>
      </c>
      <c r="R54" s="335" t="s">
        <v>185</v>
      </c>
      <c r="S54" s="335"/>
    </row>
    <row r="55" spans="1:19" x14ac:dyDescent="0.2">
      <c r="A55" s="335" t="s">
        <v>377</v>
      </c>
      <c r="B55" s="332">
        <v>9</v>
      </c>
      <c r="C55" s="332">
        <v>-1</v>
      </c>
      <c r="D55" s="332">
        <v>1</v>
      </c>
      <c r="E55" s="332">
        <v>31</v>
      </c>
      <c r="F55" s="332">
        <v>14</v>
      </c>
      <c r="G55" s="332"/>
      <c r="H55" s="332"/>
      <c r="I55" s="333">
        <v>0.38</v>
      </c>
      <c r="J55" s="333">
        <v>0.85</v>
      </c>
      <c r="K55" s="332">
        <v>22.3</v>
      </c>
      <c r="L55" s="332">
        <v>0.3</v>
      </c>
      <c r="M55" s="332" t="s">
        <v>157</v>
      </c>
      <c r="N55" s="332">
        <v>2013</v>
      </c>
      <c r="O55" s="332" t="s">
        <v>158</v>
      </c>
      <c r="P55" s="332">
        <v>579425</v>
      </c>
      <c r="Q55" s="335" t="s">
        <v>291</v>
      </c>
      <c r="R55" s="335" t="s">
        <v>350</v>
      </c>
      <c r="S55" s="335"/>
    </row>
    <row r="56" spans="1:19" x14ac:dyDescent="0.2">
      <c r="A56" s="335" t="s">
        <v>317</v>
      </c>
      <c r="B56" s="332">
        <v>6</v>
      </c>
      <c r="C56" s="332">
        <v>1</v>
      </c>
      <c r="D56" s="332">
        <v>7</v>
      </c>
      <c r="E56" s="332">
        <v>22</v>
      </c>
      <c r="F56" s="332">
        <v>52</v>
      </c>
      <c r="G56" s="332">
        <v>111</v>
      </c>
      <c r="H56" s="332">
        <v>16.100000000000001</v>
      </c>
      <c r="I56" s="333">
        <v>0.26</v>
      </c>
      <c r="J56" s="333">
        <v>0.53</v>
      </c>
      <c r="K56" s="332">
        <v>12.3</v>
      </c>
      <c r="L56" s="332">
        <v>1.2</v>
      </c>
      <c r="M56" s="332" t="s">
        <v>157</v>
      </c>
      <c r="N56" s="332">
        <v>2002</v>
      </c>
      <c r="O56" s="332" t="s">
        <v>158</v>
      </c>
      <c r="P56" s="332">
        <v>613729</v>
      </c>
      <c r="Q56" s="335" t="s">
        <v>211</v>
      </c>
      <c r="R56" s="335" t="s">
        <v>185</v>
      </c>
      <c r="S56" s="335" t="s">
        <v>166</v>
      </c>
    </row>
    <row r="57" spans="1:19" x14ac:dyDescent="0.2">
      <c r="A57" s="335" t="s">
        <v>101</v>
      </c>
      <c r="B57" s="332">
        <v>13</v>
      </c>
      <c r="C57" s="332">
        <v>10</v>
      </c>
      <c r="D57" s="332">
        <v>17</v>
      </c>
      <c r="E57" s="332">
        <v>24</v>
      </c>
      <c r="F57" s="332">
        <v>77</v>
      </c>
      <c r="G57" s="332">
        <v>198</v>
      </c>
      <c r="H57" s="332">
        <v>24.400000000000002</v>
      </c>
      <c r="I57" s="333">
        <v>0.32</v>
      </c>
      <c r="J57" s="333">
        <v>1.4000000000000001</v>
      </c>
      <c r="K57" s="332">
        <v>12.3</v>
      </c>
      <c r="L57" s="332">
        <v>1.6</v>
      </c>
      <c r="M57" s="332" t="s">
        <v>157</v>
      </c>
      <c r="N57" s="332">
        <v>2009</v>
      </c>
      <c r="O57" s="332" t="s">
        <v>158</v>
      </c>
      <c r="P57" s="332">
        <v>140491</v>
      </c>
      <c r="Q57" s="335" t="s">
        <v>347</v>
      </c>
      <c r="R57" s="335" t="s">
        <v>325</v>
      </c>
      <c r="S57" s="335"/>
    </row>
    <row r="58" spans="1:19" x14ac:dyDescent="0.2">
      <c r="A58" s="335" t="s">
        <v>860</v>
      </c>
      <c r="B58" s="332">
        <v>5</v>
      </c>
      <c r="C58" s="332">
        <v>1</v>
      </c>
      <c r="D58" s="332">
        <v>6</v>
      </c>
      <c r="E58" s="332">
        <v>20</v>
      </c>
      <c r="F58" s="332">
        <v>48</v>
      </c>
      <c r="G58" s="332">
        <v>109</v>
      </c>
      <c r="H58" s="332">
        <v>15.9</v>
      </c>
      <c r="I58" s="333">
        <v>0.61</v>
      </c>
      <c r="J58" s="333">
        <v>1.47</v>
      </c>
      <c r="K58" s="332">
        <v>12.5</v>
      </c>
      <c r="L58" s="332">
        <v>1.1000000000000001</v>
      </c>
      <c r="M58" s="332" t="s">
        <v>352</v>
      </c>
      <c r="N58" s="332">
        <v>2000</v>
      </c>
      <c r="O58" s="332" t="s">
        <v>69</v>
      </c>
      <c r="P58" s="332">
        <v>294322</v>
      </c>
      <c r="Q58" s="335" t="s">
        <v>506</v>
      </c>
      <c r="R58" s="335" t="s">
        <v>185</v>
      </c>
      <c r="S58" s="335"/>
    </row>
    <row r="59" spans="1:19" x14ac:dyDescent="0.2">
      <c r="A59" s="335" t="s">
        <v>674</v>
      </c>
      <c r="B59" s="332">
        <v>11</v>
      </c>
      <c r="C59" s="332">
        <v>3</v>
      </c>
      <c r="D59" s="332">
        <v>11</v>
      </c>
      <c r="E59" s="332">
        <v>29</v>
      </c>
      <c r="F59" s="332">
        <v>35</v>
      </c>
      <c r="G59" s="332">
        <v>44</v>
      </c>
      <c r="H59" s="332">
        <v>7.6000000000000005</v>
      </c>
      <c r="I59" s="333">
        <v>0.76</v>
      </c>
      <c r="J59" s="333">
        <v>2.38</v>
      </c>
      <c r="K59" s="332">
        <v>14</v>
      </c>
      <c r="L59" s="332">
        <v>0.8</v>
      </c>
      <c r="M59" s="332" t="s">
        <v>352</v>
      </c>
      <c r="N59" s="332">
        <v>2011</v>
      </c>
      <c r="O59" s="332" t="s">
        <v>69</v>
      </c>
      <c r="P59" s="332">
        <v>161687</v>
      </c>
      <c r="Q59" s="335" t="s">
        <v>775</v>
      </c>
      <c r="R59" s="335" t="s">
        <v>302</v>
      </c>
      <c r="S59" s="335"/>
    </row>
    <row r="60" spans="1:19" x14ac:dyDescent="0.2">
      <c r="A60" s="335" t="s">
        <v>920</v>
      </c>
      <c r="B60" s="332">
        <v>9</v>
      </c>
      <c r="C60" s="332">
        <v>3</v>
      </c>
      <c r="D60" s="332">
        <v>10</v>
      </c>
      <c r="E60" s="332">
        <v>24</v>
      </c>
      <c r="F60" s="332"/>
      <c r="G60" s="332"/>
      <c r="H60" s="332"/>
      <c r="I60" s="333">
        <v>0.72</v>
      </c>
      <c r="J60" s="333">
        <v>1.78</v>
      </c>
      <c r="K60" s="332"/>
      <c r="L60" s="332"/>
      <c r="M60" s="332" t="s">
        <v>157</v>
      </c>
      <c r="N60" s="332">
        <v>2015</v>
      </c>
      <c r="O60" s="332" t="s">
        <v>69</v>
      </c>
      <c r="P60" s="332">
        <v>422709</v>
      </c>
      <c r="Q60" s="335" t="s">
        <v>919</v>
      </c>
      <c r="R60" s="335" t="s">
        <v>185</v>
      </c>
      <c r="S60" s="335" t="s">
        <v>166</v>
      </c>
    </row>
    <row r="61" spans="1:19" x14ac:dyDescent="0.2">
      <c r="A61" s="335" t="s">
        <v>862</v>
      </c>
      <c r="B61" s="332">
        <v>7</v>
      </c>
      <c r="C61" s="332">
        <v>2</v>
      </c>
      <c r="D61" s="332">
        <v>9</v>
      </c>
      <c r="E61" s="332">
        <v>22</v>
      </c>
      <c r="F61" s="332">
        <v>50</v>
      </c>
      <c r="G61" s="332"/>
      <c r="H61" s="332"/>
      <c r="I61" s="333">
        <v>0.64</v>
      </c>
      <c r="J61" s="333">
        <v>1.84</v>
      </c>
      <c r="K61" s="332">
        <v>14.1</v>
      </c>
      <c r="L61" s="332">
        <v>1.1000000000000001</v>
      </c>
      <c r="M61" s="332" t="s">
        <v>352</v>
      </c>
      <c r="N61" s="332">
        <v>2015</v>
      </c>
      <c r="O61" s="332" t="s">
        <v>69</v>
      </c>
      <c r="P61" s="332">
        <v>704502</v>
      </c>
      <c r="Q61" s="335" t="s">
        <v>775</v>
      </c>
      <c r="R61" s="335" t="s">
        <v>185</v>
      </c>
      <c r="S61" s="335"/>
    </row>
    <row r="62" spans="1:19" x14ac:dyDescent="0.2">
      <c r="A62" s="335" t="s">
        <v>589</v>
      </c>
      <c r="B62" s="332">
        <v>13</v>
      </c>
      <c r="C62" s="332">
        <v>9</v>
      </c>
      <c r="D62" s="332">
        <v>17</v>
      </c>
      <c r="E62" s="332">
        <v>21</v>
      </c>
      <c r="F62" s="332">
        <v>44</v>
      </c>
      <c r="G62" s="332">
        <v>168</v>
      </c>
      <c r="H62" s="332">
        <v>21.8</v>
      </c>
      <c r="I62" s="333">
        <v>0.68</v>
      </c>
      <c r="J62" s="333">
        <v>1.7</v>
      </c>
      <c r="K62" s="332">
        <v>13.9</v>
      </c>
      <c r="L62" s="332">
        <v>1</v>
      </c>
      <c r="M62" s="332" t="s">
        <v>157</v>
      </c>
      <c r="N62" s="332">
        <v>2011</v>
      </c>
      <c r="O62" s="332" t="s">
        <v>158</v>
      </c>
      <c r="P62" s="332">
        <v>656637</v>
      </c>
      <c r="Q62" s="335" t="s">
        <v>491</v>
      </c>
      <c r="R62" s="335" t="s">
        <v>264</v>
      </c>
      <c r="S62" s="335"/>
    </row>
    <row r="63" spans="1:19" x14ac:dyDescent="0.2">
      <c r="A63" s="335" t="s">
        <v>854</v>
      </c>
      <c r="B63" s="332">
        <v>5</v>
      </c>
      <c r="C63" s="332">
        <v>2</v>
      </c>
      <c r="D63" s="332">
        <v>6</v>
      </c>
      <c r="E63" s="332">
        <v>22</v>
      </c>
      <c r="F63" s="332"/>
      <c r="G63" s="332"/>
      <c r="H63" s="332"/>
      <c r="I63" s="333">
        <v>0.84</v>
      </c>
      <c r="J63" s="333">
        <v>2.33</v>
      </c>
      <c r="K63" s="332"/>
      <c r="L63" s="332"/>
      <c r="M63" s="332" t="s">
        <v>157</v>
      </c>
      <c r="N63" s="332">
        <v>2015</v>
      </c>
      <c r="O63" s="332" t="s">
        <v>158</v>
      </c>
      <c r="P63" s="332">
        <v>738500</v>
      </c>
      <c r="Q63" s="335" t="s">
        <v>291</v>
      </c>
      <c r="R63" s="335" t="s">
        <v>185</v>
      </c>
      <c r="S63" s="335" t="s">
        <v>166</v>
      </c>
    </row>
    <row r="64" spans="1:19" x14ac:dyDescent="0.2">
      <c r="A64" s="335" t="s">
        <v>629</v>
      </c>
      <c r="B64" s="332">
        <v>12</v>
      </c>
      <c r="C64" s="332">
        <v>5</v>
      </c>
      <c r="D64" s="332">
        <v>12</v>
      </c>
      <c r="E64" s="332">
        <v>27</v>
      </c>
      <c r="F64" s="332">
        <v>56</v>
      </c>
      <c r="G64" s="332">
        <v>94</v>
      </c>
      <c r="H64" s="332">
        <v>14.200000000000001</v>
      </c>
      <c r="I64" s="333">
        <v>0.71</v>
      </c>
      <c r="J64" s="333">
        <v>1.95</v>
      </c>
      <c r="K64" s="332">
        <v>14.9</v>
      </c>
      <c r="L64" s="332">
        <v>1.1000000000000001</v>
      </c>
      <c r="M64" s="332" t="s">
        <v>352</v>
      </c>
      <c r="N64" s="332">
        <v>2006</v>
      </c>
      <c r="O64" s="332" t="s">
        <v>69</v>
      </c>
      <c r="P64" s="332">
        <v>848069</v>
      </c>
      <c r="Q64" s="335" t="s">
        <v>418</v>
      </c>
      <c r="R64" s="335" t="s">
        <v>259</v>
      </c>
      <c r="S64" s="335"/>
    </row>
    <row r="65" spans="1:19" x14ac:dyDescent="0.2">
      <c r="A65" s="335" t="s">
        <v>691</v>
      </c>
      <c r="B65" s="332">
        <v>10</v>
      </c>
      <c r="C65" s="332">
        <v>3</v>
      </c>
      <c r="D65" s="332">
        <v>5</v>
      </c>
      <c r="E65" s="332">
        <v>28</v>
      </c>
      <c r="F65" s="332">
        <v>65</v>
      </c>
      <c r="G65" s="332">
        <v>79</v>
      </c>
      <c r="H65" s="332">
        <v>12.3</v>
      </c>
      <c r="I65" s="333">
        <v>0.89</v>
      </c>
      <c r="J65" s="333">
        <v>2.3000000000000003</v>
      </c>
      <c r="K65" s="332">
        <v>19.900000000000002</v>
      </c>
      <c r="L65" s="332">
        <v>1</v>
      </c>
      <c r="M65" s="332" t="s">
        <v>352</v>
      </c>
      <c r="N65" s="332">
        <v>2013</v>
      </c>
      <c r="O65" s="332" t="s">
        <v>69</v>
      </c>
      <c r="P65" s="332">
        <v>753731</v>
      </c>
      <c r="Q65" s="335" t="s">
        <v>768</v>
      </c>
      <c r="R65" s="335" t="s">
        <v>350</v>
      </c>
      <c r="S65" s="335"/>
    </row>
    <row r="66" spans="1:19" x14ac:dyDescent="0.2">
      <c r="A66" s="335" t="s">
        <v>815</v>
      </c>
      <c r="B66" s="332">
        <v>16</v>
      </c>
      <c r="C66" s="332">
        <v>6</v>
      </c>
      <c r="D66" s="332">
        <v>13</v>
      </c>
      <c r="E66" s="332">
        <v>31</v>
      </c>
      <c r="F66" s="332">
        <v>33</v>
      </c>
      <c r="G66" s="332">
        <v>43</v>
      </c>
      <c r="H66" s="332">
        <v>7.5</v>
      </c>
      <c r="I66" s="333">
        <v>0.63</v>
      </c>
      <c r="J66" s="333">
        <v>1.85</v>
      </c>
      <c r="K66" s="332">
        <v>14.9</v>
      </c>
      <c r="L66" s="332">
        <v>0.70000000000000007</v>
      </c>
      <c r="M66" s="332" t="s">
        <v>352</v>
      </c>
      <c r="N66" s="332">
        <v>2004</v>
      </c>
      <c r="O66" s="332" t="s">
        <v>69</v>
      </c>
      <c r="P66" s="332">
        <v>231100</v>
      </c>
      <c r="Q66" s="335" t="s">
        <v>556</v>
      </c>
      <c r="R66" s="335" t="s">
        <v>302</v>
      </c>
      <c r="S66" s="335"/>
    </row>
    <row r="67" spans="1:19" x14ac:dyDescent="0.2">
      <c r="A67" s="335" t="s">
        <v>825</v>
      </c>
      <c r="B67" s="332">
        <v>6</v>
      </c>
      <c r="C67" s="332">
        <v>1</v>
      </c>
      <c r="D67" s="332">
        <v>5</v>
      </c>
      <c r="E67" s="332">
        <v>21</v>
      </c>
      <c r="F67" s="332">
        <v>53</v>
      </c>
      <c r="G67" s="332">
        <v>94</v>
      </c>
      <c r="H67" s="332">
        <v>14.200000000000001</v>
      </c>
      <c r="I67" s="333">
        <v>0.62</v>
      </c>
      <c r="J67" s="333">
        <v>1.81</v>
      </c>
      <c r="K67" s="332">
        <v>15.200000000000001</v>
      </c>
      <c r="L67" s="332">
        <v>1</v>
      </c>
      <c r="M67" s="332" t="s">
        <v>352</v>
      </c>
      <c r="N67" s="332">
        <v>2005</v>
      </c>
      <c r="O67" s="332" t="s">
        <v>69</v>
      </c>
      <c r="P67" s="332">
        <v>299693</v>
      </c>
      <c r="Q67" s="335" t="s">
        <v>556</v>
      </c>
      <c r="R67" s="335" t="s">
        <v>205</v>
      </c>
      <c r="S67" s="335"/>
    </row>
    <row r="68" spans="1:19" x14ac:dyDescent="0.2">
      <c r="A68" s="335" t="s">
        <v>274</v>
      </c>
      <c r="B68" s="332">
        <v>4</v>
      </c>
      <c r="C68" s="332">
        <v>0</v>
      </c>
      <c r="D68" s="332">
        <v>3</v>
      </c>
      <c r="E68" s="332">
        <v>20</v>
      </c>
      <c r="F68" s="332">
        <v>58</v>
      </c>
      <c r="G68" s="332">
        <v>85</v>
      </c>
      <c r="H68" s="332">
        <v>13.1</v>
      </c>
      <c r="I68" s="333">
        <v>0.21</v>
      </c>
      <c r="J68" s="333">
        <v>0.41000000000000003</v>
      </c>
      <c r="K68" s="332">
        <v>14.9</v>
      </c>
      <c r="L68" s="332">
        <v>1.1000000000000001</v>
      </c>
      <c r="M68" s="332" t="s">
        <v>157</v>
      </c>
      <c r="N68" s="332">
        <v>2000</v>
      </c>
      <c r="O68" s="332" t="s">
        <v>158</v>
      </c>
      <c r="P68" s="332">
        <v>582791</v>
      </c>
      <c r="Q68" s="335" t="s">
        <v>230</v>
      </c>
      <c r="R68" s="335" t="s">
        <v>205</v>
      </c>
      <c r="S68" s="335" t="s">
        <v>166</v>
      </c>
    </row>
    <row r="69" spans="1:19" x14ac:dyDescent="0.2">
      <c r="A69" s="335" t="s">
        <v>735</v>
      </c>
      <c r="B69" s="332">
        <v>10</v>
      </c>
      <c r="C69" s="332">
        <v>2</v>
      </c>
      <c r="D69" s="332">
        <v>10</v>
      </c>
      <c r="E69" s="332">
        <v>33</v>
      </c>
      <c r="F69" s="332">
        <v>34</v>
      </c>
      <c r="G69" s="332">
        <v>41</v>
      </c>
      <c r="H69" s="332">
        <v>7.1000000000000005</v>
      </c>
      <c r="I69" s="333">
        <v>0.81</v>
      </c>
      <c r="J69" s="333">
        <v>2.56</v>
      </c>
      <c r="K69" s="332">
        <v>15.3</v>
      </c>
      <c r="L69" s="332">
        <v>0.70000000000000007</v>
      </c>
      <c r="M69" s="332" t="s">
        <v>352</v>
      </c>
      <c r="N69" s="332">
        <v>2000</v>
      </c>
      <c r="O69" s="332" t="s">
        <v>69</v>
      </c>
      <c r="P69" s="332">
        <v>404236</v>
      </c>
      <c r="Q69" s="335" t="s">
        <v>1013</v>
      </c>
      <c r="R69" s="335" t="s">
        <v>302</v>
      </c>
      <c r="S69" s="335"/>
    </row>
    <row r="70" spans="1:19" x14ac:dyDescent="0.2">
      <c r="A70" s="335" t="s">
        <v>486</v>
      </c>
      <c r="B70" s="332">
        <v>-4</v>
      </c>
      <c r="C70" s="332">
        <v>-4</v>
      </c>
      <c r="D70" s="332">
        <v>4</v>
      </c>
      <c r="E70" s="332">
        <v>42</v>
      </c>
      <c r="F70" s="332">
        <v>32</v>
      </c>
      <c r="G70" s="332">
        <v>33</v>
      </c>
      <c r="H70" s="332">
        <v>5.9</v>
      </c>
      <c r="I70" s="333">
        <v>0.45</v>
      </c>
      <c r="J70" s="333">
        <v>2.4900000000000002</v>
      </c>
      <c r="K70" s="332">
        <v>24.6</v>
      </c>
      <c r="L70" s="332">
        <v>0.5</v>
      </c>
      <c r="M70" s="332" t="s">
        <v>157</v>
      </c>
      <c r="N70" s="332">
        <v>2009</v>
      </c>
      <c r="O70" s="332" t="s">
        <v>69</v>
      </c>
      <c r="P70" s="332">
        <v>390062</v>
      </c>
      <c r="Q70" s="335" t="s">
        <v>162</v>
      </c>
      <c r="R70" s="335" t="s">
        <v>381</v>
      </c>
      <c r="S70" s="335"/>
    </row>
    <row r="71" spans="1:19" x14ac:dyDescent="0.2">
      <c r="A71" s="335" t="s">
        <v>634</v>
      </c>
      <c r="B71" s="332">
        <v>-10</v>
      </c>
      <c r="C71" s="332">
        <v>-6</v>
      </c>
      <c r="D71" s="332">
        <v>0</v>
      </c>
      <c r="E71" s="332">
        <v>27</v>
      </c>
      <c r="F71" s="332">
        <v>25</v>
      </c>
      <c r="G71" s="332">
        <v>26</v>
      </c>
      <c r="H71" s="332">
        <v>4.8</v>
      </c>
      <c r="I71" s="333">
        <v>0.72</v>
      </c>
      <c r="J71" s="333">
        <v>2.39</v>
      </c>
      <c r="K71" s="332">
        <v>23.2</v>
      </c>
      <c r="L71" s="332">
        <v>0.4</v>
      </c>
      <c r="M71" s="332" t="s">
        <v>352</v>
      </c>
      <c r="N71" s="332">
        <v>2008</v>
      </c>
      <c r="O71" s="332" t="s">
        <v>69</v>
      </c>
      <c r="P71" s="332">
        <v>770263</v>
      </c>
      <c r="Q71" s="335" t="s">
        <v>777</v>
      </c>
      <c r="R71" s="335" t="s">
        <v>381</v>
      </c>
      <c r="S71" s="335"/>
    </row>
    <row r="72" spans="1:19" x14ac:dyDescent="0.2">
      <c r="A72" s="335" t="s">
        <v>385</v>
      </c>
      <c r="B72" s="332">
        <v>10</v>
      </c>
      <c r="C72" s="332">
        <v>3</v>
      </c>
      <c r="D72" s="332">
        <v>8</v>
      </c>
      <c r="E72" s="332">
        <v>19</v>
      </c>
      <c r="F72" s="332">
        <v>55</v>
      </c>
      <c r="G72" s="332">
        <v>110</v>
      </c>
      <c r="H72" s="332">
        <v>16</v>
      </c>
      <c r="I72" s="333">
        <v>0.35000000000000003</v>
      </c>
      <c r="J72" s="333">
        <v>1.6300000000000001</v>
      </c>
      <c r="K72" s="332">
        <v>11.8</v>
      </c>
      <c r="L72" s="332">
        <v>1.3</v>
      </c>
      <c r="M72" s="332" t="s">
        <v>157</v>
      </c>
      <c r="N72" s="332">
        <v>2011</v>
      </c>
      <c r="O72" s="332" t="s">
        <v>158</v>
      </c>
      <c r="P72" s="332">
        <v>541235</v>
      </c>
      <c r="Q72" s="335" t="s">
        <v>347</v>
      </c>
      <c r="R72" s="335" t="s">
        <v>185</v>
      </c>
      <c r="S72" s="335"/>
    </row>
    <row r="73" spans="1:19" x14ac:dyDescent="0.2">
      <c r="A73" s="335" t="s">
        <v>451</v>
      </c>
      <c r="B73" s="332">
        <v>12</v>
      </c>
      <c r="C73" s="332">
        <v>7</v>
      </c>
      <c r="D73" s="332">
        <v>16</v>
      </c>
      <c r="E73" s="332">
        <v>20</v>
      </c>
      <c r="F73" s="332">
        <v>43</v>
      </c>
      <c r="G73" s="332">
        <v>117</v>
      </c>
      <c r="H73" s="332">
        <v>16.8</v>
      </c>
      <c r="I73" s="333">
        <v>0.5</v>
      </c>
      <c r="J73" s="333">
        <v>1.33</v>
      </c>
      <c r="K73" s="332">
        <v>11.6</v>
      </c>
      <c r="L73" s="332">
        <v>1.1000000000000001</v>
      </c>
      <c r="M73" s="332" t="s">
        <v>157</v>
      </c>
      <c r="N73" s="332">
        <v>2010</v>
      </c>
      <c r="O73" s="332" t="s">
        <v>69</v>
      </c>
      <c r="P73" s="332">
        <v>242495</v>
      </c>
      <c r="Q73" s="335" t="s">
        <v>228</v>
      </c>
      <c r="R73" s="335" t="s">
        <v>325</v>
      </c>
      <c r="S73" s="335"/>
    </row>
    <row r="74" spans="1:19" x14ac:dyDescent="0.2">
      <c r="A74" s="335" t="s">
        <v>436</v>
      </c>
      <c r="B74" s="332">
        <v>5</v>
      </c>
      <c r="C74" s="332">
        <v>2</v>
      </c>
      <c r="D74" s="332">
        <v>8</v>
      </c>
      <c r="E74" s="332">
        <v>23</v>
      </c>
      <c r="F74" s="332">
        <v>42</v>
      </c>
      <c r="G74" s="332">
        <v>100</v>
      </c>
      <c r="H74" s="332">
        <v>14.9</v>
      </c>
      <c r="I74" s="333">
        <v>0.49</v>
      </c>
      <c r="J74" s="333">
        <v>1.33</v>
      </c>
      <c r="K74" s="332">
        <v>14.8</v>
      </c>
      <c r="L74" s="332">
        <v>0.9</v>
      </c>
      <c r="M74" s="332" t="s">
        <v>157</v>
      </c>
      <c r="N74" s="332">
        <v>2011</v>
      </c>
      <c r="O74" s="332" t="s">
        <v>69</v>
      </c>
      <c r="P74" s="332">
        <v>503573</v>
      </c>
      <c r="Q74" s="335" t="s">
        <v>228</v>
      </c>
      <c r="R74" s="335" t="s">
        <v>185</v>
      </c>
      <c r="S74" s="335" t="s">
        <v>166</v>
      </c>
    </row>
    <row r="75" spans="1:19" x14ac:dyDescent="0.2">
      <c r="A75" s="335" t="s">
        <v>340</v>
      </c>
      <c r="B75" s="332">
        <v>4</v>
      </c>
      <c r="C75" s="332">
        <v>0</v>
      </c>
      <c r="D75" s="332">
        <v>3</v>
      </c>
      <c r="E75" s="332">
        <v>19</v>
      </c>
      <c r="F75" s="332">
        <v>57</v>
      </c>
      <c r="G75" s="332">
        <v>88</v>
      </c>
      <c r="H75" s="332">
        <v>13.5</v>
      </c>
      <c r="I75" s="333">
        <v>0.27</v>
      </c>
      <c r="J75" s="333">
        <v>0.71</v>
      </c>
      <c r="K75" s="332">
        <v>15</v>
      </c>
      <c r="L75" s="332">
        <v>1.1000000000000001</v>
      </c>
      <c r="M75" s="332" t="s">
        <v>157</v>
      </c>
      <c r="N75" s="332">
        <v>2000</v>
      </c>
      <c r="O75" s="332" t="s">
        <v>158</v>
      </c>
      <c r="P75" s="332">
        <v>606467</v>
      </c>
      <c r="Q75" s="335" t="s">
        <v>170</v>
      </c>
      <c r="R75" s="335" t="s">
        <v>205</v>
      </c>
      <c r="S75" s="335" t="s">
        <v>166</v>
      </c>
    </row>
    <row r="76" spans="1:19" x14ac:dyDescent="0.2">
      <c r="A76" s="335" t="s">
        <v>538</v>
      </c>
      <c r="B76" s="332">
        <v>17</v>
      </c>
      <c r="C76" s="332">
        <v>7</v>
      </c>
      <c r="D76" s="332">
        <v>17</v>
      </c>
      <c r="E76" s="332">
        <v>32</v>
      </c>
      <c r="F76" s="332">
        <v>101</v>
      </c>
      <c r="G76" s="332">
        <v>174</v>
      </c>
      <c r="H76" s="332">
        <v>22.400000000000002</v>
      </c>
      <c r="I76" s="333">
        <v>0.52</v>
      </c>
      <c r="J76" s="333">
        <v>1.86</v>
      </c>
      <c r="K76" s="332">
        <v>13.1</v>
      </c>
      <c r="L76" s="332">
        <v>1.9000000000000001</v>
      </c>
      <c r="M76" s="332" t="s">
        <v>157</v>
      </c>
      <c r="N76" s="332">
        <v>2000</v>
      </c>
      <c r="O76" s="332" t="s">
        <v>158</v>
      </c>
      <c r="P76" s="332">
        <v>785618</v>
      </c>
      <c r="Q76" s="335" t="s">
        <v>170</v>
      </c>
      <c r="R76" s="335" t="s">
        <v>259</v>
      </c>
      <c r="S76" s="335"/>
    </row>
    <row r="77" spans="1:19" x14ac:dyDescent="0.2">
      <c r="A77" s="335" t="s">
        <v>947</v>
      </c>
      <c r="B77" s="332">
        <v>9</v>
      </c>
      <c r="C77" s="332">
        <v>3</v>
      </c>
      <c r="D77" s="332">
        <v>10</v>
      </c>
      <c r="E77" s="332">
        <v>21</v>
      </c>
      <c r="F77" s="332"/>
      <c r="G77" s="332"/>
      <c r="H77" s="332"/>
      <c r="I77" s="333">
        <v>0.67</v>
      </c>
      <c r="J77" s="333">
        <v>1.62</v>
      </c>
      <c r="K77" s="332"/>
      <c r="L77" s="332"/>
      <c r="M77" s="332" t="s">
        <v>157</v>
      </c>
      <c r="N77" s="332">
        <v>2015</v>
      </c>
      <c r="O77" s="332" t="s">
        <v>69</v>
      </c>
      <c r="P77" s="332">
        <v>167643</v>
      </c>
      <c r="Q77" s="335" t="s">
        <v>953</v>
      </c>
      <c r="R77" s="335" t="s">
        <v>185</v>
      </c>
      <c r="S77" s="335" t="s">
        <v>166</v>
      </c>
    </row>
    <row r="78" spans="1:19" x14ac:dyDescent="0.2">
      <c r="A78" s="335" t="s">
        <v>644</v>
      </c>
      <c r="B78" s="332">
        <v>1</v>
      </c>
      <c r="C78" s="332">
        <v>-2</v>
      </c>
      <c r="D78" s="332">
        <v>7</v>
      </c>
      <c r="E78" s="332">
        <v>29</v>
      </c>
      <c r="F78" s="332">
        <v>14</v>
      </c>
      <c r="G78" s="332">
        <v>29</v>
      </c>
      <c r="H78" s="332">
        <v>5.3</v>
      </c>
      <c r="I78" s="333">
        <v>0.8</v>
      </c>
      <c r="J78" s="333">
        <v>2</v>
      </c>
      <c r="K78" s="332">
        <v>17.3</v>
      </c>
      <c r="L78" s="332">
        <v>0.4</v>
      </c>
      <c r="M78" s="332" t="s">
        <v>207</v>
      </c>
      <c r="N78" s="332">
        <v>2011</v>
      </c>
      <c r="O78" s="332" t="s">
        <v>69</v>
      </c>
      <c r="P78" s="332">
        <v>949941</v>
      </c>
      <c r="Q78" s="335" t="s">
        <v>532</v>
      </c>
      <c r="R78" s="335" t="s">
        <v>328</v>
      </c>
      <c r="S78" s="335" t="s">
        <v>166</v>
      </c>
    </row>
    <row r="79" spans="1:19" x14ac:dyDescent="0.2">
      <c r="A79" s="335" t="s">
        <v>706</v>
      </c>
      <c r="B79" s="332">
        <v>8</v>
      </c>
      <c r="C79" s="332">
        <v>4</v>
      </c>
      <c r="D79" s="332">
        <v>7</v>
      </c>
      <c r="E79" s="332">
        <v>27</v>
      </c>
      <c r="F79" s="332">
        <v>30</v>
      </c>
      <c r="G79" s="332"/>
      <c r="H79" s="332"/>
      <c r="I79" s="333">
        <v>0.89</v>
      </c>
      <c r="J79" s="333">
        <v>2.58</v>
      </c>
      <c r="K79" s="332">
        <v>10.8</v>
      </c>
      <c r="L79" s="332">
        <v>0.9</v>
      </c>
      <c r="M79" s="332" t="s">
        <v>157</v>
      </c>
      <c r="N79" s="332">
        <v>2013</v>
      </c>
      <c r="O79" s="332" t="s">
        <v>158</v>
      </c>
      <c r="P79" s="332">
        <v>861229</v>
      </c>
      <c r="Q79" s="335" t="s">
        <v>707</v>
      </c>
      <c r="R79" s="335" t="s">
        <v>302</v>
      </c>
      <c r="S79" s="335"/>
    </row>
    <row r="80" spans="1:19" x14ac:dyDescent="0.2">
      <c r="A80" s="335" t="s">
        <v>396</v>
      </c>
      <c r="B80" s="332">
        <v>8</v>
      </c>
      <c r="C80" s="332">
        <v>3</v>
      </c>
      <c r="D80" s="332">
        <v>9</v>
      </c>
      <c r="E80" s="332">
        <v>30</v>
      </c>
      <c r="F80" s="332">
        <v>50</v>
      </c>
      <c r="G80" s="332">
        <v>109</v>
      </c>
      <c r="H80" s="332">
        <v>15.9</v>
      </c>
      <c r="I80" s="333">
        <v>0.35000000000000003</v>
      </c>
      <c r="J80" s="333">
        <v>1.56</v>
      </c>
      <c r="K80" s="332">
        <v>15</v>
      </c>
      <c r="L80" s="332">
        <v>1</v>
      </c>
      <c r="M80" s="332" t="s">
        <v>157</v>
      </c>
      <c r="N80" s="332">
        <v>2004</v>
      </c>
      <c r="O80" s="332" t="s">
        <v>158</v>
      </c>
      <c r="P80" s="332">
        <v>522581</v>
      </c>
      <c r="Q80" s="335" t="s">
        <v>177</v>
      </c>
      <c r="R80" s="335" t="s">
        <v>185</v>
      </c>
      <c r="S80" s="335" t="s">
        <v>166</v>
      </c>
    </row>
    <row r="81" spans="1:19" x14ac:dyDescent="0.2">
      <c r="A81" s="335" t="s">
        <v>397</v>
      </c>
      <c r="B81" s="332">
        <v>12</v>
      </c>
      <c r="C81" s="332">
        <v>9</v>
      </c>
      <c r="D81" s="332">
        <v>16</v>
      </c>
      <c r="E81" s="332">
        <v>20</v>
      </c>
      <c r="F81" s="332">
        <v>63</v>
      </c>
      <c r="G81" s="332">
        <v>170</v>
      </c>
      <c r="H81" s="332">
        <v>22</v>
      </c>
      <c r="I81" s="333">
        <v>0.37</v>
      </c>
      <c r="J81" s="333">
        <v>1.6600000000000001</v>
      </c>
      <c r="K81" s="332">
        <v>15</v>
      </c>
      <c r="L81" s="332">
        <v>1.2</v>
      </c>
      <c r="M81" s="332" t="s">
        <v>157</v>
      </c>
      <c r="N81" s="332">
        <v>2013</v>
      </c>
      <c r="O81" s="332" t="s">
        <v>158</v>
      </c>
      <c r="P81" s="332">
        <v>515676</v>
      </c>
      <c r="Q81" s="335" t="s">
        <v>177</v>
      </c>
      <c r="R81" s="335" t="s">
        <v>264</v>
      </c>
      <c r="S81" s="335" t="s">
        <v>166</v>
      </c>
    </row>
    <row r="82" spans="1:19" x14ac:dyDescent="0.2">
      <c r="A82" s="335" t="s">
        <v>419</v>
      </c>
      <c r="B82" s="332">
        <v>13</v>
      </c>
      <c r="C82" s="332">
        <v>5</v>
      </c>
      <c r="D82" s="332">
        <v>10</v>
      </c>
      <c r="E82" s="332">
        <v>34</v>
      </c>
      <c r="F82" s="332">
        <v>31</v>
      </c>
      <c r="G82" s="332">
        <v>39</v>
      </c>
      <c r="H82" s="332">
        <v>6.8</v>
      </c>
      <c r="I82" s="333">
        <v>0.39</v>
      </c>
      <c r="J82" s="333">
        <v>1.83</v>
      </c>
      <c r="K82" s="332">
        <v>15.200000000000001</v>
      </c>
      <c r="L82" s="332">
        <v>0.70000000000000007</v>
      </c>
      <c r="M82" s="332" t="s">
        <v>157</v>
      </c>
      <c r="N82" s="332">
        <v>2001</v>
      </c>
      <c r="O82" s="332" t="s">
        <v>158</v>
      </c>
      <c r="P82" s="332">
        <v>206250</v>
      </c>
      <c r="Q82" s="335" t="s">
        <v>177</v>
      </c>
      <c r="R82" s="335" t="s">
        <v>302</v>
      </c>
      <c r="S82" s="335" t="s">
        <v>166</v>
      </c>
    </row>
    <row r="83" spans="1:19" x14ac:dyDescent="0.2">
      <c r="A83" s="335" t="s">
        <v>585</v>
      </c>
      <c r="B83" s="332">
        <v>24</v>
      </c>
      <c r="C83" s="332">
        <v>12</v>
      </c>
      <c r="D83" s="332">
        <v>25</v>
      </c>
      <c r="E83" s="332">
        <v>47</v>
      </c>
      <c r="F83" s="332">
        <v>104</v>
      </c>
      <c r="G83" s="332">
        <v>141</v>
      </c>
      <c r="H83" s="332">
        <v>19.3</v>
      </c>
      <c r="I83" s="333">
        <v>0.68</v>
      </c>
      <c r="J83" s="333">
        <v>2.09</v>
      </c>
      <c r="K83" s="332">
        <v>16.2</v>
      </c>
      <c r="L83" s="332">
        <v>1.6</v>
      </c>
      <c r="M83" s="332" t="s">
        <v>352</v>
      </c>
      <c r="N83" s="332">
        <v>2000</v>
      </c>
      <c r="O83" s="332" t="s">
        <v>69</v>
      </c>
      <c r="P83" s="332">
        <v>614966</v>
      </c>
      <c r="Q83" s="335" t="s">
        <v>777</v>
      </c>
      <c r="R83" s="335" t="s">
        <v>259</v>
      </c>
      <c r="S83" s="335"/>
    </row>
    <row r="84" spans="1:19" x14ac:dyDescent="0.2">
      <c r="A84" s="335" t="s">
        <v>663</v>
      </c>
      <c r="B84" s="332">
        <v>10</v>
      </c>
      <c r="C84" s="332">
        <v>2</v>
      </c>
      <c r="D84" s="332">
        <v>5</v>
      </c>
      <c r="E84" s="332">
        <v>27</v>
      </c>
      <c r="F84" s="332">
        <v>49</v>
      </c>
      <c r="G84" s="332">
        <v>85</v>
      </c>
      <c r="H84" s="332">
        <v>13.1</v>
      </c>
      <c r="I84" s="333">
        <v>0.76</v>
      </c>
      <c r="J84" s="333">
        <v>2.31</v>
      </c>
      <c r="K84" s="332">
        <v>16.8</v>
      </c>
      <c r="L84" s="332">
        <v>0.9</v>
      </c>
      <c r="M84" s="332" t="s">
        <v>352</v>
      </c>
      <c r="N84" s="332">
        <v>2006</v>
      </c>
      <c r="O84" s="332" t="s">
        <v>69</v>
      </c>
      <c r="P84" s="332">
        <v>197632</v>
      </c>
      <c r="Q84" s="335" t="s">
        <v>775</v>
      </c>
      <c r="R84" s="335" t="s">
        <v>350</v>
      </c>
      <c r="S84" s="335"/>
    </row>
    <row r="85" spans="1:19" x14ac:dyDescent="0.2">
      <c r="A85" s="335" t="s">
        <v>666</v>
      </c>
      <c r="B85" s="332">
        <v>4</v>
      </c>
      <c r="C85" s="332">
        <v>-8</v>
      </c>
      <c r="D85" s="332">
        <v>4</v>
      </c>
      <c r="E85" s="332">
        <v>30</v>
      </c>
      <c r="F85" s="332">
        <v>-3</v>
      </c>
      <c r="G85" s="332">
        <v>-11</v>
      </c>
      <c r="H85" s="332">
        <v>-2.3000000000000003</v>
      </c>
      <c r="I85" s="333">
        <v>0.76</v>
      </c>
      <c r="J85" s="333">
        <v>2.37</v>
      </c>
      <c r="K85" s="332">
        <v>22.400000000000002</v>
      </c>
      <c r="L85" s="332">
        <v>0.1</v>
      </c>
      <c r="M85" s="332" t="s">
        <v>352</v>
      </c>
      <c r="N85" s="332">
        <v>2008</v>
      </c>
      <c r="O85" s="332" t="s">
        <v>69</v>
      </c>
      <c r="P85" s="332">
        <v>204891</v>
      </c>
      <c r="Q85" s="335" t="s">
        <v>775</v>
      </c>
      <c r="R85" s="335" t="s">
        <v>369</v>
      </c>
      <c r="S85" s="335"/>
    </row>
    <row r="86" spans="1:19" x14ac:dyDescent="0.2">
      <c r="A86" s="335" t="s">
        <v>653</v>
      </c>
      <c r="B86" s="332">
        <v>10</v>
      </c>
      <c r="C86" s="332">
        <v>3</v>
      </c>
      <c r="D86" s="332">
        <v>9</v>
      </c>
      <c r="E86" s="332">
        <v>19</v>
      </c>
      <c r="F86" s="332">
        <v>35</v>
      </c>
      <c r="G86" s="332"/>
      <c r="H86" s="332"/>
      <c r="I86" s="333">
        <v>0.81</v>
      </c>
      <c r="J86" s="333">
        <v>2.0300000000000002</v>
      </c>
      <c r="K86" s="332">
        <v>12</v>
      </c>
      <c r="L86" s="332">
        <v>0.9</v>
      </c>
      <c r="M86" s="332" t="s">
        <v>157</v>
      </c>
      <c r="N86" s="332">
        <v>2012</v>
      </c>
      <c r="O86" s="332" t="s">
        <v>158</v>
      </c>
      <c r="P86" s="332">
        <v>333518</v>
      </c>
      <c r="Q86" s="335" t="s">
        <v>409</v>
      </c>
      <c r="R86" s="335" t="s">
        <v>185</v>
      </c>
      <c r="S86" s="335"/>
    </row>
    <row r="87" spans="1:19" x14ac:dyDescent="0.2">
      <c r="A87" s="335" t="s">
        <v>273</v>
      </c>
      <c r="B87" s="332">
        <v>5</v>
      </c>
      <c r="C87" s="332">
        <v>1</v>
      </c>
      <c r="D87" s="332">
        <v>6</v>
      </c>
      <c r="E87" s="332">
        <v>21</v>
      </c>
      <c r="F87" s="332">
        <v>52</v>
      </c>
      <c r="G87" s="332"/>
      <c r="H87" s="332"/>
      <c r="I87" s="333">
        <v>0.21</v>
      </c>
      <c r="J87" s="333">
        <v>0.42</v>
      </c>
      <c r="K87" s="332">
        <v>12.8</v>
      </c>
      <c r="L87" s="332">
        <v>1.2</v>
      </c>
      <c r="M87" s="332" t="s">
        <v>157</v>
      </c>
      <c r="N87" s="332">
        <v>2013</v>
      </c>
      <c r="O87" s="332" t="s">
        <v>158</v>
      </c>
      <c r="P87" s="332">
        <v>545426</v>
      </c>
      <c r="Q87" s="335" t="s">
        <v>230</v>
      </c>
      <c r="R87" s="335" t="s">
        <v>185</v>
      </c>
      <c r="S87" s="335" t="s">
        <v>166</v>
      </c>
    </row>
    <row r="88" spans="1:19" x14ac:dyDescent="0.2">
      <c r="A88" s="335" t="s">
        <v>393</v>
      </c>
      <c r="B88" s="332">
        <v>5</v>
      </c>
      <c r="C88" s="332">
        <v>2</v>
      </c>
      <c r="D88" s="332">
        <v>6</v>
      </c>
      <c r="E88" s="332">
        <v>18</v>
      </c>
      <c r="F88" s="332">
        <v>42</v>
      </c>
      <c r="G88" s="332">
        <v>98</v>
      </c>
      <c r="H88" s="332">
        <v>14.700000000000001</v>
      </c>
      <c r="I88" s="333">
        <v>0.35000000000000003</v>
      </c>
      <c r="J88" s="333">
        <v>1.4000000000000001</v>
      </c>
      <c r="K88" s="332">
        <v>10.3</v>
      </c>
      <c r="L88" s="332">
        <v>1.2</v>
      </c>
      <c r="M88" s="332" t="s">
        <v>157</v>
      </c>
      <c r="N88" s="332">
        <v>2002</v>
      </c>
      <c r="O88" s="332" t="s">
        <v>158</v>
      </c>
      <c r="P88" s="332">
        <v>301580</v>
      </c>
      <c r="Q88" s="335" t="s">
        <v>213</v>
      </c>
      <c r="R88" s="335" t="s">
        <v>185</v>
      </c>
      <c r="S88" s="335" t="s">
        <v>166</v>
      </c>
    </row>
    <row r="89" spans="1:19" x14ac:dyDescent="0.2">
      <c r="A89" s="335" t="s">
        <v>407</v>
      </c>
      <c r="B89" s="332">
        <v>11</v>
      </c>
      <c r="C89" s="332">
        <v>3</v>
      </c>
      <c r="D89" s="332">
        <v>9</v>
      </c>
      <c r="E89" s="332">
        <v>31</v>
      </c>
      <c r="F89" s="332">
        <v>76</v>
      </c>
      <c r="G89" s="332">
        <v>121</v>
      </c>
      <c r="H89" s="332">
        <v>17.2</v>
      </c>
      <c r="I89" s="333">
        <v>0.36</v>
      </c>
      <c r="J89" s="333">
        <v>1.5</v>
      </c>
      <c r="K89" s="332">
        <v>15.200000000000001</v>
      </c>
      <c r="L89" s="332">
        <v>1.3</v>
      </c>
      <c r="M89" s="332" t="s">
        <v>157</v>
      </c>
      <c r="N89" s="332">
        <v>2002</v>
      </c>
      <c r="O89" s="332" t="s">
        <v>158</v>
      </c>
      <c r="P89" s="332">
        <v>194092</v>
      </c>
      <c r="Q89" s="335" t="s">
        <v>213</v>
      </c>
      <c r="R89" s="335" t="s">
        <v>259</v>
      </c>
      <c r="S89" s="335" t="s">
        <v>166</v>
      </c>
    </row>
    <row r="90" spans="1:19" x14ac:dyDescent="0.2">
      <c r="A90" s="335" t="s">
        <v>751</v>
      </c>
      <c r="B90" s="332">
        <v>6</v>
      </c>
      <c r="C90" s="332">
        <v>2</v>
      </c>
      <c r="D90" s="332">
        <v>7</v>
      </c>
      <c r="E90" s="332">
        <v>23</v>
      </c>
      <c r="F90" s="332">
        <v>53</v>
      </c>
      <c r="G90" s="332">
        <v>123</v>
      </c>
      <c r="H90" s="332">
        <v>17.400000000000002</v>
      </c>
      <c r="I90" s="333">
        <v>0.32</v>
      </c>
      <c r="J90" s="333">
        <v>1.25</v>
      </c>
      <c r="K90" s="332">
        <v>12.6</v>
      </c>
      <c r="L90" s="332">
        <v>1.2</v>
      </c>
      <c r="M90" s="332" t="s">
        <v>157</v>
      </c>
      <c r="N90" s="332">
        <v>2005</v>
      </c>
      <c r="O90" s="332" t="s">
        <v>158</v>
      </c>
      <c r="P90" s="332">
        <v>520759</v>
      </c>
      <c r="Q90" s="335" t="s">
        <v>213</v>
      </c>
      <c r="R90" s="335" t="s">
        <v>185</v>
      </c>
      <c r="S90" s="335" t="s">
        <v>166</v>
      </c>
    </row>
    <row r="91" spans="1:19" x14ac:dyDescent="0.2">
      <c r="A91" s="335" t="s">
        <v>911</v>
      </c>
      <c r="B91" s="332">
        <v>6</v>
      </c>
      <c r="C91" s="332">
        <v>1</v>
      </c>
      <c r="D91" s="332">
        <v>6</v>
      </c>
      <c r="E91" s="332">
        <v>21</v>
      </c>
      <c r="F91" s="332"/>
      <c r="G91" s="332"/>
      <c r="H91" s="332"/>
      <c r="I91" s="333">
        <v>0.16</v>
      </c>
      <c r="J91" s="333">
        <v>0.2</v>
      </c>
      <c r="K91" s="332"/>
      <c r="L91" s="332"/>
      <c r="M91" s="332" t="s">
        <v>157</v>
      </c>
      <c r="N91" s="332">
        <v>2015</v>
      </c>
      <c r="O91" s="332" t="s">
        <v>158</v>
      </c>
      <c r="P91" s="332">
        <v>114819</v>
      </c>
      <c r="Q91" s="335" t="s">
        <v>175</v>
      </c>
      <c r="R91" s="335" t="s">
        <v>185</v>
      </c>
      <c r="S91" s="335"/>
    </row>
    <row r="92" spans="1:19" x14ac:dyDescent="0.2">
      <c r="A92" s="335" t="s">
        <v>536</v>
      </c>
      <c r="B92" s="332">
        <v>0</v>
      </c>
      <c r="C92" s="332">
        <v>0</v>
      </c>
      <c r="D92" s="332">
        <v>8</v>
      </c>
      <c r="E92" s="332">
        <v>26</v>
      </c>
      <c r="F92" s="332">
        <v>0</v>
      </c>
      <c r="G92" s="332">
        <v>15</v>
      </c>
      <c r="H92" s="332">
        <v>2.9</v>
      </c>
      <c r="I92" s="333">
        <v>0.62</v>
      </c>
      <c r="J92" s="333">
        <v>1.48</v>
      </c>
      <c r="K92" s="332">
        <v>18.2</v>
      </c>
      <c r="L92" s="332">
        <v>0.1</v>
      </c>
      <c r="M92" s="332" t="s">
        <v>352</v>
      </c>
      <c r="N92" s="332">
        <v>2000</v>
      </c>
      <c r="O92" s="332" t="s">
        <v>69</v>
      </c>
      <c r="P92" s="332">
        <v>376319</v>
      </c>
      <c r="Q92" s="335" t="s">
        <v>383</v>
      </c>
      <c r="R92" s="335" t="s">
        <v>328</v>
      </c>
      <c r="S92" s="335"/>
    </row>
    <row r="93" spans="1:19" x14ac:dyDescent="0.2">
      <c r="A93" s="335" t="s">
        <v>700</v>
      </c>
      <c r="B93" s="332">
        <v>13</v>
      </c>
      <c r="C93" s="332">
        <v>3</v>
      </c>
      <c r="D93" s="332">
        <v>7</v>
      </c>
      <c r="E93" s="332">
        <v>29</v>
      </c>
      <c r="F93" s="332">
        <v>32</v>
      </c>
      <c r="G93" s="332">
        <v>60</v>
      </c>
      <c r="H93" s="332">
        <v>9.8000000000000007</v>
      </c>
      <c r="I93" s="333">
        <v>0.86</v>
      </c>
      <c r="J93" s="333">
        <v>2.16</v>
      </c>
      <c r="K93" s="332">
        <v>16.3</v>
      </c>
      <c r="L93" s="332">
        <v>0.70000000000000007</v>
      </c>
      <c r="M93" s="332" t="s">
        <v>352</v>
      </c>
      <c r="N93" s="332">
        <v>2005</v>
      </c>
      <c r="O93" s="332" t="s">
        <v>69</v>
      </c>
      <c r="P93" s="332">
        <v>246868</v>
      </c>
      <c r="Q93" s="335" t="s">
        <v>383</v>
      </c>
      <c r="R93" s="335" t="s">
        <v>350</v>
      </c>
      <c r="S93" s="335"/>
    </row>
    <row r="94" spans="1:19" x14ac:dyDescent="0.2">
      <c r="A94" s="335" t="s">
        <v>642</v>
      </c>
      <c r="B94" s="332">
        <v>6</v>
      </c>
      <c r="C94" s="332">
        <v>2</v>
      </c>
      <c r="D94" s="332">
        <v>6</v>
      </c>
      <c r="E94" s="332">
        <v>11</v>
      </c>
      <c r="F94" s="332">
        <v>46</v>
      </c>
      <c r="G94" s="332">
        <v>77</v>
      </c>
      <c r="H94" s="332">
        <v>12.1</v>
      </c>
      <c r="I94" s="333">
        <v>0.78</v>
      </c>
      <c r="J94" s="333">
        <v>2.2000000000000002</v>
      </c>
      <c r="K94" s="332">
        <v>12.6</v>
      </c>
      <c r="L94" s="332">
        <v>1.1000000000000001</v>
      </c>
      <c r="M94" s="332" t="s">
        <v>157</v>
      </c>
      <c r="N94" s="332">
        <v>2011</v>
      </c>
      <c r="O94" s="332" t="s">
        <v>158</v>
      </c>
      <c r="P94" s="332">
        <v>208439</v>
      </c>
      <c r="Q94" s="335" t="s">
        <v>159</v>
      </c>
      <c r="R94" s="335" t="s">
        <v>185</v>
      </c>
      <c r="S94" s="335"/>
    </row>
    <row r="95" spans="1:19" x14ac:dyDescent="0.2">
      <c r="A95" s="335" t="s">
        <v>375</v>
      </c>
      <c r="B95" s="332">
        <v>13</v>
      </c>
      <c r="C95" s="332">
        <v>4</v>
      </c>
      <c r="D95" s="332">
        <v>10</v>
      </c>
      <c r="E95" s="332">
        <v>32</v>
      </c>
      <c r="F95" s="332">
        <v>5</v>
      </c>
      <c r="G95" s="332"/>
      <c r="H95" s="332"/>
      <c r="I95" s="333">
        <v>0.38</v>
      </c>
      <c r="J95" s="333">
        <v>0.84</v>
      </c>
      <c r="K95" s="332">
        <v>15.1</v>
      </c>
      <c r="L95" s="332">
        <v>0.2</v>
      </c>
      <c r="M95" s="332" t="s">
        <v>157</v>
      </c>
      <c r="N95" s="332">
        <v>2013</v>
      </c>
      <c r="O95" s="332" t="s">
        <v>158</v>
      </c>
      <c r="P95" s="332">
        <v>543595</v>
      </c>
      <c r="Q95" s="335" t="s">
        <v>291</v>
      </c>
      <c r="R95" s="335" t="s">
        <v>302</v>
      </c>
      <c r="S95" s="335"/>
    </row>
    <row r="96" spans="1:19" x14ac:dyDescent="0.2">
      <c r="A96" s="335" t="s">
        <v>1037</v>
      </c>
      <c r="B96" s="332">
        <v>14</v>
      </c>
      <c r="C96" s="332">
        <v>7</v>
      </c>
      <c r="D96" s="332">
        <v>14</v>
      </c>
      <c r="E96" s="332"/>
      <c r="F96" s="332"/>
      <c r="G96" s="332"/>
      <c r="H96" s="332"/>
      <c r="I96" s="333">
        <v>0.89</v>
      </c>
      <c r="J96" s="333">
        <v>3.25</v>
      </c>
      <c r="K96" s="332"/>
      <c r="L96" s="332"/>
      <c r="M96" s="332" t="s">
        <v>157</v>
      </c>
      <c r="N96" s="332">
        <v>2016</v>
      </c>
      <c r="O96" s="332" t="s">
        <v>158</v>
      </c>
      <c r="P96" s="332">
        <v>157909</v>
      </c>
      <c r="Q96" s="335" t="s">
        <v>859</v>
      </c>
      <c r="R96" s="335" t="s">
        <v>185</v>
      </c>
      <c r="S96" s="335"/>
    </row>
    <row r="97" spans="1:19" x14ac:dyDescent="0.2">
      <c r="A97" s="335" t="s">
        <v>576</v>
      </c>
      <c r="B97" s="332">
        <v>13</v>
      </c>
      <c r="C97" s="332">
        <v>5</v>
      </c>
      <c r="D97" s="332">
        <v>13</v>
      </c>
      <c r="E97" s="332">
        <v>33</v>
      </c>
      <c r="F97" s="332">
        <v>29</v>
      </c>
      <c r="G97" s="332">
        <v>44</v>
      </c>
      <c r="H97" s="332">
        <v>7.6000000000000005</v>
      </c>
      <c r="I97" s="333">
        <v>0.6</v>
      </c>
      <c r="J97" s="333">
        <v>1.42</v>
      </c>
      <c r="K97" s="332">
        <v>14.4</v>
      </c>
      <c r="L97" s="332">
        <v>0.70000000000000007</v>
      </c>
      <c r="M97" s="332" t="s">
        <v>352</v>
      </c>
      <c r="N97" s="332">
        <v>2000</v>
      </c>
      <c r="O97" s="332" t="s">
        <v>69</v>
      </c>
      <c r="P97" s="332">
        <v>232991</v>
      </c>
      <c r="Q97" s="335" t="s">
        <v>383</v>
      </c>
      <c r="R97" s="335" t="s">
        <v>302</v>
      </c>
      <c r="S97" s="335"/>
    </row>
    <row r="98" spans="1:19" x14ac:dyDescent="0.2">
      <c r="A98" s="335" t="s">
        <v>481</v>
      </c>
      <c r="B98" s="332">
        <v>10</v>
      </c>
      <c r="C98" s="332">
        <v>4</v>
      </c>
      <c r="D98" s="332">
        <v>11</v>
      </c>
      <c r="E98" s="332">
        <v>25</v>
      </c>
      <c r="F98" s="332">
        <v>63</v>
      </c>
      <c r="G98" s="332">
        <v>112</v>
      </c>
      <c r="H98" s="332">
        <v>16.2</v>
      </c>
      <c r="I98" s="333">
        <v>0.52</v>
      </c>
      <c r="J98" s="333">
        <v>1.21</v>
      </c>
      <c r="K98" s="332">
        <v>12.8</v>
      </c>
      <c r="L98" s="332">
        <v>1.4000000000000001</v>
      </c>
      <c r="M98" s="332" t="s">
        <v>352</v>
      </c>
      <c r="N98" s="332">
        <v>2000</v>
      </c>
      <c r="O98" s="332" t="s">
        <v>69</v>
      </c>
      <c r="P98" s="332">
        <v>555466</v>
      </c>
      <c r="Q98" s="335" t="s">
        <v>383</v>
      </c>
      <c r="R98" s="335" t="s">
        <v>185</v>
      </c>
      <c r="S98" s="335"/>
    </row>
    <row r="99" spans="1:19" x14ac:dyDescent="0.2">
      <c r="A99" s="335" t="s">
        <v>693</v>
      </c>
      <c r="B99" s="332">
        <v>8</v>
      </c>
      <c r="C99" s="332">
        <v>3</v>
      </c>
      <c r="D99" s="332">
        <v>6</v>
      </c>
      <c r="E99" s="332">
        <v>19</v>
      </c>
      <c r="F99" s="332">
        <v>51</v>
      </c>
      <c r="G99" s="332">
        <v>68</v>
      </c>
      <c r="H99" s="332">
        <v>11</v>
      </c>
      <c r="I99" s="333">
        <v>0.85</v>
      </c>
      <c r="J99" s="333">
        <v>2.15</v>
      </c>
      <c r="K99" s="332">
        <v>14.4</v>
      </c>
      <c r="L99" s="332">
        <v>1</v>
      </c>
      <c r="M99" s="332" t="s">
        <v>352</v>
      </c>
      <c r="N99" s="332">
        <v>2005</v>
      </c>
      <c r="O99" s="332" t="s">
        <v>69</v>
      </c>
      <c r="P99" s="332">
        <v>282699</v>
      </c>
      <c r="Q99" s="335" t="s">
        <v>383</v>
      </c>
      <c r="R99" s="335" t="s">
        <v>205</v>
      </c>
      <c r="S99" s="335"/>
    </row>
    <row r="100" spans="1:19" x14ac:dyDescent="0.2">
      <c r="A100" s="335" t="s">
        <v>1068</v>
      </c>
      <c r="B100" s="332">
        <v>11</v>
      </c>
      <c r="C100" s="332">
        <v>7</v>
      </c>
      <c r="D100" s="332">
        <v>15</v>
      </c>
      <c r="E100" s="332">
        <v>28</v>
      </c>
      <c r="F100" s="332">
        <v>66</v>
      </c>
      <c r="G100" s="332">
        <v>183</v>
      </c>
      <c r="H100" s="332">
        <v>23.1</v>
      </c>
      <c r="I100" s="333">
        <v>0.36</v>
      </c>
      <c r="J100" s="333">
        <v>1.6500000000000001</v>
      </c>
      <c r="K100" s="332">
        <v>12.700000000000001</v>
      </c>
      <c r="L100" s="332">
        <v>1.4000000000000001</v>
      </c>
      <c r="M100" s="332" t="s">
        <v>157</v>
      </c>
      <c r="N100" s="332">
        <v>2006</v>
      </c>
      <c r="O100" s="332" t="s">
        <v>158</v>
      </c>
      <c r="P100" s="332">
        <v>751495</v>
      </c>
      <c r="Q100" s="335" t="s">
        <v>198</v>
      </c>
      <c r="R100" s="335" t="s">
        <v>325</v>
      </c>
      <c r="S100" s="335"/>
    </row>
    <row r="101" spans="1:19" x14ac:dyDescent="0.2">
      <c r="A101" s="335" t="s">
        <v>1028</v>
      </c>
      <c r="B101" s="332">
        <v>17</v>
      </c>
      <c r="C101" s="332">
        <v>9</v>
      </c>
      <c r="D101" s="332">
        <v>16</v>
      </c>
      <c r="E101" s="332">
        <v>35</v>
      </c>
      <c r="F101" s="332">
        <v>94</v>
      </c>
      <c r="G101" s="332">
        <v>164</v>
      </c>
      <c r="H101" s="332">
        <v>21.5</v>
      </c>
      <c r="I101" s="333">
        <v>0.81</v>
      </c>
      <c r="J101" s="333">
        <v>2.71</v>
      </c>
      <c r="K101" s="332">
        <v>14.700000000000001</v>
      </c>
      <c r="L101" s="332">
        <v>1.6</v>
      </c>
      <c r="M101" s="332" t="s">
        <v>352</v>
      </c>
      <c r="N101" s="332">
        <v>2000</v>
      </c>
      <c r="O101" s="332" t="s">
        <v>69</v>
      </c>
      <c r="P101" s="332">
        <v>296749</v>
      </c>
      <c r="Q101" s="335" t="s">
        <v>1013</v>
      </c>
      <c r="R101" s="335" t="s">
        <v>259</v>
      </c>
      <c r="S101" s="335"/>
    </row>
    <row r="102" spans="1:19" x14ac:dyDescent="0.2">
      <c r="A102" s="335" t="s">
        <v>848</v>
      </c>
      <c r="B102" s="332">
        <v>9</v>
      </c>
      <c r="C102" s="332">
        <v>5</v>
      </c>
      <c r="D102" s="332">
        <v>11</v>
      </c>
      <c r="E102" s="332">
        <v>27</v>
      </c>
      <c r="F102" s="332">
        <v>27</v>
      </c>
      <c r="G102" s="332"/>
      <c r="H102" s="332"/>
      <c r="I102" s="333">
        <v>0.43</v>
      </c>
      <c r="J102" s="333">
        <v>0.95000000000000007</v>
      </c>
      <c r="K102" s="332">
        <v>11.9</v>
      </c>
      <c r="L102" s="332">
        <v>0.70000000000000007</v>
      </c>
      <c r="M102" s="332" t="s">
        <v>157</v>
      </c>
      <c r="N102" s="332">
        <v>2014</v>
      </c>
      <c r="O102" s="332" t="s">
        <v>158</v>
      </c>
      <c r="P102" s="332">
        <v>269704</v>
      </c>
      <c r="Q102" s="335" t="s">
        <v>422</v>
      </c>
      <c r="R102" s="335" t="s">
        <v>185</v>
      </c>
      <c r="S102" s="335" t="s">
        <v>166</v>
      </c>
    </row>
    <row r="103" spans="1:19" x14ac:dyDescent="0.2">
      <c r="A103" s="335" t="s">
        <v>543</v>
      </c>
      <c r="B103" s="332">
        <v>-6</v>
      </c>
      <c r="C103" s="332">
        <v>-4</v>
      </c>
      <c r="D103" s="332">
        <v>3</v>
      </c>
      <c r="E103" s="332">
        <v>33</v>
      </c>
      <c r="F103" s="332">
        <v>28</v>
      </c>
      <c r="G103" s="332">
        <v>20</v>
      </c>
      <c r="H103" s="332">
        <v>3.6</v>
      </c>
      <c r="I103" s="333">
        <v>0.46</v>
      </c>
      <c r="J103" s="333">
        <v>2.12</v>
      </c>
      <c r="K103" s="332">
        <v>25</v>
      </c>
      <c r="L103" s="332">
        <v>0.5</v>
      </c>
      <c r="M103" s="332" t="s">
        <v>157</v>
      </c>
      <c r="N103" s="332">
        <v>2011</v>
      </c>
      <c r="O103" s="332" t="s">
        <v>69</v>
      </c>
      <c r="P103" s="332">
        <v>473231</v>
      </c>
      <c r="Q103" s="335" t="s">
        <v>213</v>
      </c>
      <c r="R103" s="335" t="s">
        <v>381</v>
      </c>
      <c r="S103" s="335"/>
    </row>
    <row r="104" spans="1:19" x14ac:dyDescent="0.2">
      <c r="A104" s="335" t="s">
        <v>421</v>
      </c>
      <c r="B104" s="332">
        <v>7</v>
      </c>
      <c r="C104" s="332">
        <v>2</v>
      </c>
      <c r="D104" s="332">
        <v>7</v>
      </c>
      <c r="E104" s="332">
        <v>19</v>
      </c>
      <c r="F104" s="332">
        <v>33</v>
      </c>
      <c r="G104" s="332">
        <v>70</v>
      </c>
      <c r="H104" s="332">
        <v>11.1</v>
      </c>
      <c r="I104" s="333">
        <v>0.4</v>
      </c>
      <c r="J104" s="333">
        <v>1.71</v>
      </c>
      <c r="K104" s="332">
        <v>11</v>
      </c>
      <c r="L104" s="332">
        <v>0.9</v>
      </c>
      <c r="M104" s="332" t="s">
        <v>157</v>
      </c>
      <c r="N104" s="332">
        <v>2011</v>
      </c>
      <c r="O104" s="332" t="s">
        <v>69</v>
      </c>
      <c r="P104" s="332">
        <v>762880</v>
      </c>
      <c r="Q104" s="335" t="s">
        <v>997</v>
      </c>
      <c r="R104" s="335" t="s">
        <v>302</v>
      </c>
      <c r="S104" s="335"/>
    </row>
    <row r="105" spans="1:19" x14ac:dyDescent="0.2">
      <c r="A105" s="335" t="s">
        <v>184</v>
      </c>
      <c r="B105" s="332">
        <v>9</v>
      </c>
      <c r="C105" s="332">
        <v>2</v>
      </c>
      <c r="D105" s="332">
        <v>9</v>
      </c>
      <c r="E105" s="332">
        <v>27</v>
      </c>
      <c r="F105" s="332">
        <v>60</v>
      </c>
      <c r="G105" s="332">
        <v>164</v>
      </c>
      <c r="H105" s="332">
        <v>21.400000000000002</v>
      </c>
      <c r="I105" s="333">
        <v>0.11</v>
      </c>
      <c r="J105" s="333">
        <v>0.11</v>
      </c>
      <c r="K105" s="332">
        <v>14.700000000000001</v>
      </c>
      <c r="L105" s="332">
        <v>1.2</v>
      </c>
      <c r="M105" s="332" t="s">
        <v>157</v>
      </c>
      <c r="N105" s="332">
        <v>2010</v>
      </c>
      <c r="O105" s="332" t="s">
        <v>158</v>
      </c>
      <c r="P105" s="332">
        <v>581371</v>
      </c>
      <c r="Q105" s="335" t="s">
        <v>165</v>
      </c>
      <c r="R105" s="335" t="s">
        <v>185</v>
      </c>
      <c r="S105" s="335" t="s">
        <v>166</v>
      </c>
    </row>
    <row r="106" spans="1:19" x14ac:dyDescent="0.2">
      <c r="A106" s="335" t="s">
        <v>842</v>
      </c>
      <c r="B106" s="332">
        <v>12</v>
      </c>
      <c r="C106" s="332">
        <v>5</v>
      </c>
      <c r="D106" s="332">
        <v>10</v>
      </c>
      <c r="E106" s="332">
        <v>20</v>
      </c>
      <c r="F106" s="332">
        <v>51</v>
      </c>
      <c r="G106" s="332">
        <v>98</v>
      </c>
      <c r="H106" s="332">
        <v>14.6</v>
      </c>
      <c r="I106" s="333">
        <v>0.33</v>
      </c>
      <c r="J106" s="333">
        <v>1.45</v>
      </c>
      <c r="K106" s="332">
        <v>12.200000000000001</v>
      </c>
      <c r="L106" s="332">
        <v>1.2</v>
      </c>
      <c r="M106" s="332" t="s">
        <v>157</v>
      </c>
      <c r="N106" s="332">
        <v>2000</v>
      </c>
      <c r="O106" s="332" t="s">
        <v>158</v>
      </c>
      <c r="P106" s="332">
        <v>123679</v>
      </c>
      <c r="Q106" s="335" t="s">
        <v>198</v>
      </c>
      <c r="R106" s="335" t="s">
        <v>185</v>
      </c>
      <c r="S106" s="335" t="s">
        <v>166</v>
      </c>
    </row>
    <row r="107" spans="1:19" x14ac:dyDescent="0.2">
      <c r="A107" s="335" t="s">
        <v>1085</v>
      </c>
      <c r="B107" s="332">
        <v>19</v>
      </c>
      <c r="C107" s="332">
        <v>9</v>
      </c>
      <c r="D107" s="332">
        <v>24</v>
      </c>
      <c r="E107" s="332">
        <v>31</v>
      </c>
      <c r="F107" s="332">
        <v>32</v>
      </c>
      <c r="G107" s="332">
        <v>79</v>
      </c>
      <c r="H107" s="332">
        <v>12.3</v>
      </c>
      <c r="I107" s="333">
        <v>0.65</v>
      </c>
      <c r="J107" s="333">
        <v>1.95</v>
      </c>
      <c r="K107" s="332">
        <v>13.1</v>
      </c>
      <c r="L107" s="332">
        <v>0.8</v>
      </c>
      <c r="M107" s="332" t="s">
        <v>157</v>
      </c>
      <c r="N107" s="332">
        <v>2005</v>
      </c>
      <c r="O107" s="332" t="s">
        <v>69</v>
      </c>
      <c r="P107" s="332">
        <v>539585</v>
      </c>
      <c r="Q107" s="335" t="s">
        <v>389</v>
      </c>
      <c r="R107" s="335" t="s">
        <v>328</v>
      </c>
      <c r="S107" s="335"/>
    </row>
    <row r="108" spans="1:19" x14ac:dyDescent="0.2">
      <c r="A108" s="335" t="s">
        <v>1086</v>
      </c>
      <c r="B108" s="332">
        <v>3</v>
      </c>
      <c r="C108" s="332">
        <v>0</v>
      </c>
      <c r="D108" s="332">
        <v>3</v>
      </c>
      <c r="E108" s="332">
        <v>17</v>
      </c>
      <c r="F108" s="332">
        <v>43</v>
      </c>
      <c r="G108" s="332">
        <v>84</v>
      </c>
      <c r="H108" s="332">
        <v>13</v>
      </c>
      <c r="I108" s="333">
        <v>0.63</v>
      </c>
      <c r="J108" s="333">
        <v>1.87</v>
      </c>
      <c r="K108" s="332">
        <v>13.5</v>
      </c>
      <c r="L108" s="332">
        <v>1</v>
      </c>
      <c r="M108" s="332" t="s">
        <v>157</v>
      </c>
      <c r="N108" s="332">
        <v>2005</v>
      </c>
      <c r="O108" s="332" t="s">
        <v>69</v>
      </c>
      <c r="P108" s="332">
        <v>432096</v>
      </c>
      <c r="Q108" s="335" t="s">
        <v>389</v>
      </c>
      <c r="R108" s="335" t="s">
        <v>185</v>
      </c>
      <c r="S108" s="335"/>
    </row>
    <row r="109" spans="1:19" x14ac:dyDescent="0.2">
      <c r="A109" s="335" t="s">
        <v>952</v>
      </c>
      <c r="B109" s="332">
        <v>14</v>
      </c>
      <c r="C109" s="332">
        <v>5</v>
      </c>
      <c r="D109" s="332">
        <v>12</v>
      </c>
      <c r="E109" s="332">
        <v>30</v>
      </c>
      <c r="F109" s="332">
        <v>37</v>
      </c>
      <c r="G109" s="332">
        <v>62</v>
      </c>
      <c r="H109" s="332">
        <v>10.200000000000001</v>
      </c>
      <c r="I109" s="333">
        <v>0.36</v>
      </c>
      <c r="J109" s="333">
        <v>1.6500000000000001</v>
      </c>
      <c r="K109" s="332">
        <v>13.8</v>
      </c>
      <c r="L109" s="332">
        <v>0.8</v>
      </c>
      <c r="M109" s="332" t="s">
        <v>157</v>
      </c>
      <c r="N109" s="332">
        <v>2000</v>
      </c>
      <c r="O109" s="332" t="s">
        <v>158</v>
      </c>
      <c r="P109" s="332">
        <v>987842</v>
      </c>
      <c r="Q109" s="335" t="s">
        <v>198</v>
      </c>
      <c r="R109" s="335" t="s">
        <v>302</v>
      </c>
      <c r="S109" s="335" t="s">
        <v>166</v>
      </c>
    </row>
    <row r="110" spans="1:19" x14ac:dyDescent="0.2">
      <c r="A110" s="335" t="s">
        <v>266</v>
      </c>
      <c r="B110" s="332">
        <v>6</v>
      </c>
      <c r="C110" s="332">
        <v>3</v>
      </c>
      <c r="D110" s="332">
        <v>8</v>
      </c>
      <c r="E110" s="332">
        <v>20</v>
      </c>
      <c r="F110" s="332">
        <v>46</v>
      </c>
      <c r="G110" s="332">
        <v>102</v>
      </c>
      <c r="H110" s="332">
        <v>15.200000000000001</v>
      </c>
      <c r="I110" s="333">
        <v>0.21</v>
      </c>
      <c r="J110" s="333">
        <v>0.5</v>
      </c>
      <c r="K110" s="332">
        <v>10.4</v>
      </c>
      <c r="L110" s="332">
        <v>1.3</v>
      </c>
      <c r="M110" s="332" t="s">
        <v>157</v>
      </c>
      <c r="N110" s="332">
        <v>2000</v>
      </c>
      <c r="O110" s="332" t="s">
        <v>158</v>
      </c>
      <c r="P110" s="332">
        <v>829358</v>
      </c>
      <c r="Q110" s="335" t="s">
        <v>213</v>
      </c>
      <c r="R110" s="335" t="s">
        <v>1087</v>
      </c>
      <c r="S110" s="335" t="s">
        <v>166</v>
      </c>
    </row>
    <row r="111" spans="1:19" x14ac:dyDescent="0.2">
      <c r="A111" s="335" t="s">
        <v>282</v>
      </c>
      <c r="B111" s="332">
        <v>9</v>
      </c>
      <c r="C111" s="332">
        <v>4</v>
      </c>
      <c r="D111" s="332">
        <v>9</v>
      </c>
      <c r="E111" s="332">
        <v>22</v>
      </c>
      <c r="F111" s="332">
        <v>44</v>
      </c>
      <c r="G111" s="332">
        <v>98</v>
      </c>
      <c r="H111" s="332">
        <v>14.6</v>
      </c>
      <c r="I111" s="333">
        <v>0.2</v>
      </c>
      <c r="J111" s="333">
        <v>0.52</v>
      </c>
      <c r="K111" s="332">
        <v>12.200000000000001</v>
      </c>
      <c r="L111" s="332">
        <v>1.1000000000000001</v>
      </c>
      <c r="M111" s="332" t="s">
        <v>157</v>
      </c>
      <c r="N111" s="332">
        <v>2001</v>
      </c>
      <c r="O111" s="332" t="s">
        <v>158</v>
      </c>
      <c r="P111" s="332">
        <v>832360</v>
      </c>
      <c r="Q111" s="335" t="s">
        <v>177</v>
      </c>
      <c r="R111" s="335" t="s">
        <v>1087</v>
      </c>
      <c r="S111" s="335" t="s">
        <v>166</v>
      </c>
    </row>
    <row r="112" spans="1:19" x14ac:dyDescent="0.2">
      <c r="A112" s="335" t="s">
        <v>975</v>
      </c>
      <c r="B112" s="332">
        <v>3</v>
      </c>
      <c r="C112" s="332">
        <v>-6</v>
      </c>
      <c r="D112" s="332">
        <v>3</v>
      </c>
      <c r="E112" s="332">
        <v>28</v>
      </c>
      <c r="F112" s="332">
        <v>4</v>
      </c>
      <c r="G112" s="332">
        <v>-8</v>
      </c>
      <c r="H112" s="332">
        <v>-1.6</v>
      </c>
      <c r="I112" s="333">
        <v>0.77</v>
      </c>
      <c r="J112" s="333">
        <v>1.9000000000000001</v>
      </c>
      <c r="K112" s="332">
        <v>22.3</v>
      </c>
      <c r="L112" s="332">
        <v>0.2</v>
      </c>
      <c r="M112" s="332" t="s">
        <v>352</v>
      </c>
      <c r="N112" s="332">
        <v>2000</v>
      </c>
      <c r="O112" s="332" t="s">
        <v>69</v>
      </c>
      <c r="P112" s="332">
        <v>956268</v>
      </c>
      <c r="Q112" s="335" t="s">
        <v>800</v>
      </c>
      <c r="R112" s="335" t="s">
        <v>369</v>
      </c>
      <c r="S112" s="335"/>
    </row>
    <row r="113" spans="1:19" x14ac:dyDescent="0.2">
      <c r="A113" s="335" t="s">
        <v>1034</v>
      </c>
      <c r="B113" s="332">
        <v>10</v>
      </c>
      <c r="C113" s="332">
        <v>6</v>
      </c>
      <c r="D113" s="332">
        <v>12</v>
      </c>
      <c r="E113" s="332">
        <v>18</v>
      </c>
      <c r="F113" s="332"/>
      <c r="G113" s="332"/>
      <c r="H113" s="332"/>
      <c r="I113" s="333">
        <v>0.63</v>
      </c>
      <c r="J113" s="333">
        <v>1.92</v>
      </c>
      <c r="K113" s="332"/>
      <c r="L113" s="332"/>
      <c r="M113" s="332" t="s">
        <v>157</v>
      </c>
      <c r="N113" s="332">
        <v>2016</v>
      </c>
      <c r="O113" s="332" t="s">
        <v>69</v>
      </c>
      <c r="P113" s="332">
        <v>507707</v>
      </c>
      <c r="Q113" s="335" t="s">
        <v>838</v>
      </c>
      <c r="R113" s="335" t="s">
        <v>1088</v>
      </c>
      <c r="S113" s="335"/>
    </row>
    <row r="114" spans="1:19" x14ac:dyDescent="0.2">
      <c r="A114" s="335" t="s">
        <v>482</v>
      </c>
      <c r="B114" s="332">
        <v>7</v>
      </c>
      <c r="C114" s="332">
        <v>4</v>
      </c>
      <c r="D114" s="332">
        <v>9</v>
      </c>
      <c r="E114" s="332">
        <v>16</v>
      </c>
      <c r="F114" s="332">
        <v>28</v>
      </c>
      <c r="G114" s="332"/>
      <c r="H114" s="332"/>
      <c r="I114" s="333">
        <v>0.53</v>
      </c>
      <c r="J114" s="333">
        <v>1.58</v>
      </c>
      <c r="K114" s="332">
        <v>9.6</v>
      </c>
      <c r="L114" s="332">
        <v>0.9</v>
      </c>
      <c r="M114" s="332" t="s">
        <v>157</v>
      </c>
      <c r="N114" s="332">
        <v>2013</v>
      </c>
      <c r="O114" s="332" t="s">
        <v>158</v>
      </c>
      <c r="P114" s="332">
        <v>696658</v>
      </c>
      <c r="Q114" s="335" t="s">
        <v>211</v>
      </c>
      <c r="R114" s="335" t="s">
        <v>1088</v>
      </c>
      <c r="S114" s="335"/>
    </row>
    <row r="115" spans="1:19" x14ac:dyDescent="0.2">
      <c r="A115" s="335" t="s">
        <v>485</v>
      </c>
      <c r="B115" s="332">
        <v>5</v>
      </c>
      <c r="C115" s="332">
        <v>1</v>
      </c>
      <c r="D115" s="332">
        <v>5</v>
      </c>
      <c r="E115" s="332">
        <v>14</v>
      </c>
      <c r="F115" s="332">
        <v>26</v>
      </c>
      <c r="G115" s="332">
        <v>53</v>
      </c>
      <c r="H115" s="332">
        <v>8.9</v>
      </c>
      <c r="I115" s="333">
        <v>0.37</v>
      </c>
      <c r="J115" s="333">
        <v>2.42</v>
      </c>
      <c r="K115" s="332">
        <v>8.6</v>
      </c>
      <c r="L115" s="332">
        <v>1</v>
      </c>
      <c r="M115" s="332" t="s">
        <v>157</v>
      </c>
      <c r="N115" s="332">
        <v>2011</v>
      </c>
      <c r="O115" s="332" t="s">
        <v>69</v>
      </c>
      <c r="P115" s="332">
        <v>912287</v>
      </c>
      <c r="Q115" s="335" t="s">
        <v>997</v>
      </c>
      <c r="R115" s="335" t="s">
        <v>1088</v>
      </c>
      <c r="S115" s="335"/>
    </row>
    <row r="116" spans="1:19" x14ac:dyDescent="0.2">
      <c r="A116" s="335" t="s">
        <v>235</v>
      </c>
      <c r="B116" s="332">
        <v>7</v>
      </c>
      <c r="C116" s="332">
        <v>3</v>
      </c>
      <c r="D116" s="332">
        <v>8</v>
      </c>
      <c r="E116" s="332">
        <v>21</v>
      </c>
      <c r="F116" s="332">
        <v>43</v>
      </c>
      <c r="G116" s="332">
        <v>100</v>
      </c>
      <c r="H116" s="332">
        <v>14.8</v>
      </c>
      <c r="I116" s="333">
        <v>0.18</v>
      </c>
      <c r="J116" s="333">
        <v>0.41000000000000003</v>
      </c>
      <c r="K116" s="332">
        <v>11.4</v>
      </c>
      <c r="L116" s="332">
        <v>1.1000000000000001</v>
      </c>
      <c r="M116" s="332" t="s">
        <v>157</v>
      </c>
      <c r="N116" s="332">
        <v>2000</v>
      </c>
      <c r="O116" s="332" t="s">
        <v>158</v>
      </c>
      <c r="P116" s="332">
        <v>844522</v>
      </c>
      <c r="Q116" s="335" t="s">
        <v>182</v>
      </c>
      <c r="R116" s="335" t="s">
        <v>1087</v>
      </c>
      <c r="S116" s="335" t="s">
        <v>166</v>
      </c>
    </row>
    <row r="117" spans="1:19" x14ac:dyDescent="0.2">
      <c r="A117" s="335" t="s">
        <v>265</v>
      </c>
      <c r="B117" s="332">
        <v>6</v>
      </c>
      <c r="C117" s="332">
        <v>3</v>
      </c>
      <c r="D117" s="332">
        <v>7</v>
      </c>
      <c r="E117" s="332">
        <v>19</v>
      </c>
      <c r="F117" s="332">
        <v>45</v>
      </c>
      <c r="G117" s="332">
        <v>101</v>
      </c>
      <c r="H117" s="332">
        <v>15</v>
      </c>
      <c r="I117" s="333">
        <v>0.21</v>
      </c>
      <c r="J117" s="333">
        <v>0.5</v>
      </c>
      <c r="K117" s="332">
        <v>10.3</v>
      </c>
      <c r="L117" s="332">
        <v>1.3</v>
      </c>
      <c r="M117" s="332" t="s">
        <v>157</v>
      </c>
      <c r="N117" s="332">
        <v>2000</v>
      </c>
      <c r="O117" s="332" t="s">
        <v>158</v>
      </c>
      <c r="P117" s="332">
        <v>901017</v>
      </c>
      <c r="Q117" s="335" t="s">
        <v>213</v>
      </c>
      <c r="R117" s="335" t="s">
        <v>1087</v>
      </c>
      <c r="S117" s="335" t="s">
        <v>166</v>
      </c>
    </row>
    <row r="118" spans="1:19" x14ac:dyDescent="0.2">
      <c r="A118" s="335" t="s">
        <v>1056</v>
      </c>
      <c r="B118" s="332">
        <v>8</v>
      </c>
      <c r="C118" s="332">
        <v>3</v>
      </c>
      <c r="D118" s="332">
        <v>8</v>
      </c>
      <c r="E118" s="332">
        <v>19</v>
      </c>
      <c r="F118" s="332"/>
      <c r="G118" s="332"/>
      <c r="H118" s="332"/>
      <c r="I118" s="333">
        <v>0.2</v>
      </c>
      <c r="J118" s="333">
        <v>0.52</v>
      </c>
      <c r="K118" s="332"/>
      <c r="L118" s="332"/>
      <c r="M118" s="332" t="s">
        <v>157</v>
      </c>
      <c r="N118" s="332">
        <v>2016</v>
      </c>
      <c r="O118" s="332" t="s">
        <v>158</v>
      </c>
      <c r="P118" s="332">
        <v>969246</v>
      </c>
      <c r="Q118" s="335" t="s">
        <v>177</v>
      </c>
      <c r="R118" s="335" t="s">
        <v>1087</v>
      </c>
      <c r="S118" s="335" t="s">
        <v>166</v>
      </c>
    </row>
    <row r="119" spans="1:19" x14ac:dyDescent="0.2">
      <c r="A119" s="335" t="s">
        <v>540</v>
      </c>
      <c r="B119" s="332">
        <v>12</v>
      </c>
      <c r="C119" s="332">
        <v>8</v>
      </c>
      <c r="D119" s="332">
        <v>16</v>
      </c>
      <c r="E119" s="332">
        <v>28</v>
      </c>
      <c r="F119" s="332">
        <v>56</v>
      </c>
      <c r="G119" s="332">
        <v>130</v>
      </c>
      <c r="H119" s="332">
        <v>18.100000000000001</v>
      </c>
      <c r="I119" s="333">
        <v>0.53</v>
      </c>
      <c r="J119" s="333">
        <v>1.51</v>
      </c>
      <c r="K119" s="332">
        <v>14.3</v>
      </c>
      <c r="L119" s="332">
        <v>1.1000000000000001</v>
      </c>
      <c r="M119" s="332" t="s">
        <v>157</v>
      </c>
      <c r="N119" s="332">
        <v>2007</v>
      </c>
      <c r="O119" s="332" t="s">
        <v>158</v>
      </c>
      <c r="P119" s="332">
        <v>119891</v>
      </c>
      <c r="Q119" s="335" t="s">
        <v>168</v>
      </c>
      <c r="R119" s="335" t="s">
        <v>223</v>
      </c>
      <c r="S119" s="335"/>
    </row>
    <row r="120" spans="1:19" x14ac:dyDescent="0.2">
      <c r="A120" s="335" t="s">
        <v>525</v>
      </c>
      <c r="B120" s="332">
        <v>13</v>
      </c>
      <c r="C120" s="332">
        <v>7</v>
      </c>
      <c r="D120" s="332">
        <v>19</v>
      </c>
      <c r="E120" s="332">
        <v>22</v>
      </c>
      <c r="F120" s="332">
        <v>62</v>
      </c>
      <c r="G120" s="332">
        <v>158</v>
      </c>
      <c r="H120" s="332">
        <v>20.900000000000002</v>
      </c>
      <c r="I120" s="333">
        <v>0.54</v>
      </c>
      <c r="J120" s="333">
        <v>1.53</v>
      </c>
      <c r="K120" s="332">
        <v>16.3</v>
      </c>
      <c r="L120" s="332">
        <v>1.1000000000000001</v>
      </c>
      <c r="M120" s="332" t="s">
        <v>157</v>
      </c>
      <c r="N120" s="332">
        <v>2003</v>
      </c>
      <c r="O120" s="332" t="s">
        <v>158</v>
      </c>
      <c r="P120" s="332">
        <v>152181</v>
      </c>
      <c r="Q120" s="335" t="s">
        <v>168</v>
      </c>
      <c r="R120" s="335" t="s">
        <v>223</v>
      </c>
      <c r="S120" s="335"/>
    </row>
    <row r="121" spans="1:19" x14ac:dyDescent="0.2">
      <c r="A121" s="335" t="s">
        <v>954</v>
      </c>
      <c r="B121" s="332">
        <v>12</v>
      </c>
      <c r="C121" s="332">
        <v>9</v>
      </c>
      <c r="D121" s="332">
        <v>16</v>
      </c>
      <c r="E121" s="332">
        <v>22</v>
      </c>
      <c r="F121" s="332">
        <v>37</v>
      </c>
      <c r="G121" s="332">
        <v>113</v>
      </c>
      <c r="H121" s="332">
        <v>16.3</v>
      </c>
      <c r="I121" s="333">
        <v>0.33</v>
      </c>
      <c r="J121" s="333">
        <v>1.26</v>
      </c>
      <c r="K121" s="332">
        <v>12</v>
      </c>
      <c r="L121" s="332">
        <v>1</v>
      </c>
      <c r="M121" s="332" t="s">
        <v>157</v>
      </c>
      <c r="N121" s="332">
        <v>2002</v>
      </c>
      <c r="O121" s="332" t="s">
        <v>158</v>
      </c>
      <c r="P121" s="332">
        <v>158261</v>
      </c>
      <c r="Q121" s="335" t="s">
        <v>213</v>
      </c>
      <c r="R121" s="335" t="s">
        <v>223</v>
      </c>
      <c r="S121" s="335" t="s">
        <v>166</v>
      </c>
    </row>
    <row r="122" spans="1:19" x14ac:dyDescent="0.2">
      <c r="A122" s="335" t="s">
        <v>591</v>
      </c>
      <c r="B122" s="332">
        <v>13</v>
      </c>
      <c r="C122" s="332">
        <v>8</v>
      </c>
      <c r="D122" s="332">
        <v>17</v>
      </c>
      <c r="E122" s="332">
        <v>21</v>
      </c>
      <c r="F122" s="332">
        <v>44</v>
      </c>
      <c r="G122" s="332">
        <v>113</v>
      </c>
      <c r="H122" s="332">
        <v>16.3</v>
      </c>
      <c r="I122" s="333">
        <v>0.73</v>
      </c>
      <c r="J122" s="333">
        <v>1.79</v>
      </c>
      <c r="K122" s="332">
        <v>13.4</v>
      </c>
      <c r="L122" s="332">
        <v>1</v>
      </c>
      <c r="M122" s="332" t="s">
        <v>157</v>
      </c>
      <c r="N122" s="332">
        <v>2001</v>
      </c>
      <c r="O122" s="332" t="s">
        <v>158</v>
      </c>
      <c r="P122" s="332">
        <v>170423</v>
      </c>
      <c r="Q122" s="335" t="s">
        <v>241</v>
      </c>
      <c r="R122" s="335" t="s">
        <v>223</v>
      </c>
      <c r="S122" s="335" t="s">
        <v>166</v>
      </c>
    </row>
    <row r="123" spans="1:19" x14ac:dyDescent="0.2">
      <c r="A123" s="335" t="s">
        <v>220</v>
      </c>
      <c r="B123" s="332">
        <v>6</v>
      </c>
      <c r="C123" s="332">
        <v>1</v>
      </c>
      <c r="D123" s="332">
        <v>6</v>
      </c>
      <c r="E123" s="332">
        <v>21</v>
      </c>
      <c r="F123" s="332">
        <v>52</v>
      </c>
      <c r="G123" s="332">
        <v>109</v>
      </c>
      <c r="H123" s="332">
        <v>15.9</v>
      </c>
      <c r="I123" s="333">
        <v>0.19</v>
      </c>
      <c r="J123" s="333">
        <v>0.45</v>
      </c>
      <c r="K123" s="332">
        <v>12</v>
      </c>
      <c r="L123" s="332">
        <v>1.2</v>
      </c>
      <c r="M123" s="332" t="s">
        <v>157</v>
      </c>
      <c r="N123" s="332">
        <v>2001</v>
      </c>
      <c r="O123" s="332" t="s">
        <v>158</v>
      </c>
      <c r="P123" s="332">
        <v>908277</v>
      </c>
      <c r="Q123" s="335" t="s">
        <v>172</v>
      </c>
      <c r="R123" s="335" t="s">
        <v>185</v>
      </c>
      <c r="S123" s="335" t="s">
        <v>166</v>
      </c>
    </row>
    <row r="124" spans="1:19" x14ac:dyDescent="0.2">
      <c r="A124" s="335" t="s">
        <v>314</v>
      </c>
      <c r="B124" s="332">
        <v>7</v>
      </c>
      <c r="C124" s="332">
        <v>4</v>
      </c>
      <c r="D124" s="332">
        <v>8</v>
      </c>
      <c r="E124" s="332">
        <v>17</v>
      </c>
      <c r="F124" s="332">
        <v>29</v>
      </c>
      <c r="G124" s="332">
        <v>71</v>
      </c>
      <c r="H124" s="332">
        <v>11.3</v>
      </c>
      <c r="I124" s="333">
        <v>0.25</v>
      </c>
      <c r="J124" s="333">
        <v>0.61</v>
      </c>
      <c r="K124" s="332">
        <v>9.3000000000000007</v>
      </c>
      <c r="L124" s="332">
        <v>1</v>
      </c>
      <c r="M124" s="332" t="s">
        <v>157</v>
      </c>
      <c r="N124" s="332">
        <v>2000</v>
      </c>
      <c r="O124" s="332" t="s">
        <v>158</v>
      </c>
      <c r="P124" s="332">
        <v>117002</v>
      </c>
      <c r="Q124" s="335" t="s">
        <v>170</v>
      </c>
      <c r="R124" s="335" t="s">
        <v>1089</v>
      </c>
      <c r="S124" s="335" t="s">
        <v>166</v>
      </c>
    </row>
    <row r="125" spans="1:19" x14ac:dyDescent="0.2">
      <c r="A125" s="335" t="s">
        <v>703</v>
      </c>
      <c r="B125" s="332">
        <v>6</v>
      </c>
      <c r="C125" s="332">
        <v>4</v>
      </c>
      <c r="D125" s="332">
        <v>7</v>
      </c>
      <c r="E125" s="332">
        <v>9</v>
      </c>
      <c r="F125" s="332">
        <v>-3</v>
      </c>
      <c r="G125" s="332"/>
      <c r="H125" s="332"/>
      <c r="I125" s="333">
        <v>0.61</v>
      </c>
      <c r="J125" s="333">
        <v>2.5</v>
      </c>
      <c r="K125" s="332">
        <v>6.2</v>
      </c>
      <c r="L125" s="332">
        <v>-0.1</v>
      </c>
      <c r="M125" s="332" t="s">
        <v>157</v>
      </c>
      <c r="N125" s="332">
        <v>2012</v>
      </c>
      <c r="O125" s="332" t="s">
        <v>158</v>
      </c>
      <c r="P125" s="332">
        <v>156315</v>
      </c>
      <c r="Q125" s="335" t="s">
        <v>491</v>
      </c>
      <c r="R125" s="335" t="s">
        <v>1089</v>
      </c>
      <c r="S125" s="335"/>
    </row>
    <row r="126" spans="1:19" x14ac:dyDescent="0.2">
      <c r="A126" s="335" t="s">
        <v>1048</v>
      </c>
      <c r="B126" s="332">
        <v>5</v>
      </c>
      <c r="C126" s="332">
        <v>2</v>
      </c>
      <c r="D126" s="332">
        <v>5</v>
      </c>
      <c r="E126" s="332">
        <v>15</v>
      </c>
      <c r="F126" s="332"/>
      <c r="G126" s="332"/>
      <c r="H126" s="332"/>
      <c r="I126" s="333">
        <v>0.63</v>
      </c>
      <c r="J126" s="333">
        <v>2.75</v>
      </c>
      <c r="K126" s="332"/>
      <c r="L126" s="332"/>
      <c r="M126" s="332" t="s">
        <v>157</v>
      </c>
      <c r="N126" s="332">
        <v>2016</v>
      </c>
      <c r="O126" s="332" t="s">
        <v>158</v>
      </c>
      <c r="P126" s="332">
        <v>174904</v>
      </c>
      <c r="Q126" s="335" t="s">
        <v>859</v>
      </c>
      <c r="R126" s="335" t="s">
        <v>1089</v>
      </c>
      <c r="S126" s="335"/>
    </row>
    <row r="127" spans="1:19" x14ac:dyDescent="0.2">
      <c r="A127" s="335" t="s">
        <v>664</v>
      </c>
      <c r="B127" s="332">
        <v>2</v>
      </c>
      <c r="C127" s="332">
        <v>1</v>
      </c>
      <c r="D127" s="332">
        <v>2</v>
      </c>
      <c r="E127" s="332">
        <v>6</v>
      </c>
      <c r="F127" s="332">
        <v>5</v>
      </c>
      <c r="G127" s="332">
        <v>17</v>
      </c>
      <c r="H127" s="332">
        <v>3.2</v>
      </c>
      <c r="I127" s="333">
        <v>0.59</v>
      </c>
      <c r="J127" s="333">
        <v>1.96</v>
      </c>
      <c r="K127" s="332">
        <v>4.4000000000000004</v>
      </c>
      <c r="L127" s="332">
        <v>0.5</v>
      </c>
      <c r="M127" s="332" t="s">
        <v>157</v>
      </c>
      <c r="N127" s="332">
        <v>2012</v>
      </c>
      <c r="O127" s="332" t="s">
        <v>158</v>
      </c>
      <c r="P127" s="332">
        <v>187898</v>
      </c>
      <c r="Q127" s="335" t="s">
        <v>291</v>
      </c>
      <c r="R127" s="335" t="s">
        <v>1089</v>
      </c>
      <c r="S127" s="335"/>
    </row>
    <row r="128" spans="1:19" x14ac:dyDescent="0.2">
      <c r="A128" s="335" t="s">
        <v>850</v>
      </c>
      <c r="B128" s="332">
        <v>17</v>
      </c>
      <c r="C128" s="332">
        <v>7</v>
      </c>
      <c r="D128" s="332">
        <v>10</v>
      </c>
      <c r="E128" s="332">
        <v>31</v>
      </c>
      <c r="F128" s="332">
        <v>63</v>
      </c>
      <c r="G128" s="332">
        <v>74</v>
      </c>
      <c r="H128" s="332">
        <v>11.700000000000001</v>
      </c>
      <c r="I128" s="333">
        <v>0.70000000000000007</v>
      </c>
      <c r="J128" s="333">
        <v>1.8</v>
      </c>
      <c r="K128" s="332">
        <v>20.900000000000002</v>
      </c>
      <c r="L128" s="332">
        <v>0.9</v>
      </c>
      <c r="M128" s="332" t="s">
        <v>352</v>
      </c>
      <c r="N128" s="332">
        <v>2000</v>
      </c>
      <c r="O128" s="332" t="s">
        <v>69</v>
      </c>
      <c r="P128" s="332">
        <v>233585</v>
      </c>
      <c r="Q128" s="335" t="s">
        <v>579</v>
      </c>
      <c r="R128" s="335" t="s">
        <v>350</v>
      </c>
      <c r="S128" s="335"/>
    </row>
    <row r="129" spans="1:19" x14ac:dyDescent="0.2">
      <c r="A129" s="335" t="s">
        <v>214</v>
      </c>
      <c r="B129" s="332">
        <v>14</v>
      </c>
      <c r="C129" s="332">
        <v>9</v>
      </c>
      <c r="D129" s="332">
        <v>17</v>
      </c>
      <c r="E129" s="332">
        <v>24</v>
      </c>
      <c r="F129" s="332">
        <v>39</v>
      </c>
      <c r="G129" s="332">
        <v>121</v>
      </c>
      <c r="H129" s="332">
        <v>17.2</v>
      </c>
      <c r="I129" s="333">
        <v>0.16</v>
      </c>
      <c r="J129" s="333">
        <v>0.21</v>
      </c>
      <c r="K129" s="332">
        <v>12.9</v>
      </c>
      <c r="L129" s="332">
        <v>0.9</v>
      </c>
      <c r="M129" s="332" t="s">
        <v>157</v>
      </c>
      <c r="N129" s="332">
        <v>2000</v>
      </c>
      <c r="O129" s="332" t="s">
        <v>158</v>
      </c>
      <c r="P129" s="332">
        <v>212332</v>
      </c>
      <c r="Q129" s="335" t="s">
        <v>182</v>
      </c>
      <c r="R129" s="335" t="s">
        <v>223</v>
      </c>
      <c r="S129" s="335" t="s">
        <v>166</v>
      </c>
    </row>
    <row r="130" spans="1:19" x14ac:dyDescent="0.2">
      <c r="A130" s="335" t="s">
        <v>886</v>
      </c>
      <c r="B130" s="332">
        <v>18</v>
      </c>
      <c r="C130" s="332">
        <v>12</v>
      </c>
      <c r="D130" s="332">
        <v>22</v>
      </c>
      <c r="E130" s="332">
        <v>37</v>
      </c>
      <c r="F130" s="332"/>
      <c r="G130" s="332"/>
      <c r="H130" s="332"/>
      <c r="I130" s="333">
        <v>0.4</v>
      </c>
      <c r="J130" s="333">
        <v>0.95000000000000007</v>
      </c>
      <c r="K130" s="332"/>
      <c r="L130" s="332"/>
      <c r="M130" s="332" t="s">
        <v>157</v>
      </c>
      <c r="N130" s="332">
        <v>2015</v>
      </c>
      <c r="O130" s="332" t="s">
        <v>158</v>
      </c>
      <c r="P130" s="332">
        <v>222307</v>
      </c>
      <c r="Q130" s="335" t="s">
        <v>233</v>
      </c>
      <c r="R130" s="335" t="s">
        <v>223</v>
      </c>
      <c r="S130" s="335"/>
    </row>
    <row r="131" spans="1:19" x14ac:dyDescent="0.2">
      <c r="A131" s="335" t="s">
        <v>529</v>
      </c>
      <c r="B131" s="332">
        <v>19</v>
      </c>
      <c r="C131" s="332">
        <v>10</v>
      </c>
      <c r="D131" s="332">
        <v>26</v>
      </c>
      <c r="E131" s="332">
        <v>31</v>
      </c>
      <c r="F131" s="332">
        <v>73</v>
      </c>
      <c r="G131" s="332">
        <v>205</v>
      </c>
      <c r="H131" s="332">
        <v>25</v>
      </c>
      <c r="I131" s="333">
        <v>0.53</v>
      </c>
      <c r="J131" s="333">
        <v>1.51</v>
      </c>
      <c r="K131" s="332">
        <v>16</v>
      </c>
      <c r="L131" s="332">
        <v>1.2</v>
      </c>
      <c r="M131" s="332" t="s">
        <v>157</v>
      </c>
      <c r="N131" s="332">
        <v>2008</v>
      </c>
      <c r="O131" s="332" t="s">
        <v>158</v>
      </c>
      <c r="P131" s="332">
        <v>272898</v>
      </c>
      <c r="Q131" s="335" t="s">
        <v>168</v>
      </c>
      <c r="R131" s="335" t="s">
        <v>223</v>
      </c>
      <c r="S131" s="335"/>
    </row>
    <row r="132" spans="1:19" x14ac:dyDescent="0.2">
      <c r="A132" s="335" t="s">
        <v>248</v>
      </c>
      <c r="B132" s="332">
        <v>11</v>
      </c>
      <c r="C132" s="332">
        <v>8</v>
      </c>
      <c r="D132" s="332">
        <v>14</v>
      </c>
      <c r="E132" s="332">
        <v>24</v>
      </c>
      <c r="F132" s="332">
        <v>29</v>
      </c>
      <c r="G132" s="332">
        <v>99</v>
      </c>
      <c r="H132" s="332">
        <v>14.8</v>
      </c>
      <c r="I132" s="333">
        <v>0.2</v>
      </c>
      <c r="J132" s="333">
        <v>0.31</v>
      </c>
      <c r="K132" s="332">
        <v>12.5</v>
      </c>
      <c r="L132" s="332">
        <v>0.8</v>
      </c>
      <c r="M132" s="332" t="s">
        <v>157</v>
      </c>
      <c r="N132" s="332">
        <v>2000</v>
      </c>
      <c r="O132" s="332" t="s">
        <v>158</v>
      </c>
      <c r="P132" s="332">
        <v>290072</v>
      </c>
      <c r="Q132" s="335" t="s">
        <v>249</v>
      </c>
      <c r="R132" s="335" t="s">
        <v>223</v>
      </c>
      <c r="S132" s="335"/>
    </row>
    <row r="133" spans="1:19" x14ac:dyDescent="0.2">
      <c r="A133" s="335" t="s">
        <v>981</v>
      </c>
      <c r="B133" s="332">
        <v>19</v>
      </c>
      <c r="C133" s="332">
        <v>13</v>
      </c>
      <c r="D133" s="332">
        <v>23</v>
      </c>
      <c r="E133" s="332">
        <v>28</v>
      </c>
      <c r="F133" s="332"/>
      <c r="G133" s="332"/>
      <c r="H133" s="332"/>
      <c r="I133" s="333">
        <v>0.4</v>
      </c>
      <c r="J133" s="333">
        <v>0.89</v>
      </c>
      <c r="K133" s="332"/>
      <c r="L133" s="332"/>
      <c r="M133" s="332" t="s">
        <v>157</v>
      </c>
      <c r="N133" s="332">
        <v>2016</v>
      </c>
      <c r="O133" s="332" t="s">
        <v>158</v>
      </c>
      <c r="P133" s="332">
        <v>290304</v>
      </c>
      <c r="Q133" s="335" t="s">
        <v>188</v>
      </c>
      <c r="R133" s="335" t="s">
        <v>223</v>
      </c>
      <c r="S133" s="335" t="s">
        <v>166</v>
      </c>
    </row>
    <row r="134" spans="1:19" x14ac:dyDescent="0.2">
      <c r="A134" s="335" t="s">
        <v>98</v>
      </c>
      <c r="B134" s="332">
        <v>12</v>
      </c>
      <c r="C134" s="332">
        <v>9</v>
      </c>
      <c r="D134" s="332">
        <v>16</v>
      </c>
      <c r="E134" s="332">
        <v>26</v>
      </c>
      <c r="F134" s="332">
        <v>45</v>
      </c>
      <c r="G134" s="332">
        <v>145</v>
      </c>
      <c r="H134" s="332">
        <v>19.600000000000001</v>
      </c>
      <c r="I134" s="333">
        <v>0.3</v>
      </c>
      <c r="J134" s="333">
        <v>1.23</v>
      </c>
      <c r="K134" s="332">
        <v>13.200000000000001</v>
      </c>
      <c r="L134" s="332">
        <v>1</v>
      </c>
      <c r="M134" s="332" t="s">
        <v>157</v>
      </c>
      <c r="N134" s="332">
        <v>2000</v>
      </c>
      <c r="O134" s="332" t="s">
        <v>158</v>
      </c>
      <c r="P134" s="332">
        <v>291906</v>
      </c>
      <c r="Q134" s="335" t="s">
        <v>347</v>
      </c>
      <c r="R134" s="335" t="s">
        <v>223</v>
      </c>
      <c r="S134" s="335"/>
    </row>
    <row r="135" spans="1:19" x14ac:dyDescent="0.2">
      <c r="A135" s="335" t="s">
        <v>262</v>
      </c>
      <c r="B135" s="332">
        <v>14</v>
      </c>
      <c r="C135" s="332">
        <v>9</v>
      </c>
      <c r="D135" s="332">
        <v>17</v>
      </c>
      <c r="E135" s="332">
        <v>24</v>
      </c>
      <c r="F135" s="332">
        <v>36</v>
      </c>
      <c r="G135" s="332"/>
      <c r="H135" s="332"/>
      <c r="I135" s="333">
        <v>0.2</v>
      </c>
      <c r="J135" s="333">
        <v>0.4</v>
      </c>
      <c r="K135" s="332">
        <v>12.9</v>
      </c>
      <c r="L135" s="332">
        <v>0.9</v>
      </c>
      <c r="M135" s="332" t="s">
        <v>157</v>
      </c>
      <c r="N135" s="332">
        <v>2013</v>
      </c>
      <c r="O135" s="332" t="s">
        <v>158</v>
      </c>
      <c r="P135" s="332">
        <v>292193</v>
      </c>
      <c r="Q135" s="335" t="s">
        <v>230</v>
      </c>
      <c r="R135" s="335" t="s">
        <v>223</v>
      </c>
      <c r="S135" s="335" t="s">
        <v>166</v>
      </c>
    </row>
    <row r="136" spans="1:19" x14ac:dyDescent="0.2">
      <c r="A136" s="335" t="s">
        <v>423</v>
      </c>
      <c r="B136" s="332">
        <v>14</v>
      </c>
      <c r="C136" s="332">
        <v>10</v>
      </c>
      <c r="D136" s="332">
        <v>18</v>
      </c>
      <c r="E136" s="332">
        <v>30</v>
      </c>
      <c r="F136" s="332">
        <v>52</v>
      </c>
      <c r="G136" s="332"/>
      <c r="H136" s="332"/>
      <c r="I136" s="333">
        <v>0.52</v>
      </c>
      <c r="J136" s="333">
        <v>1.2</v>
      </c>
      <c r="K136" s="332">
        <v>12.4</v>
      </c>
      <c r="L136" s="332">
        <v>1.2</v>
      </c>
      <c r="M136" s="332" t="s">
        <v>157</v>
      </c>
      <c r="N136" s="332">
        <v>2013</v>
      </c>
      <c r="O136" s="332" t="s">
        <v>158</v>
      </c>
      <c r="P136" s="332">
        <v>328021</v>
      </c>
      <c r="Q136" s="335" t="s">
        <v>424</v>
      </c>
      <c r="R136" s="335" t="s">
        <v>223</v>
      </c>
      <c r="S136" s="335"/>
    </row>
    <row r="137" spans="1:19" x14ac:dyDescent="0.2">
      <c r="A137" s="335" t="s">
        <v>697</v>
      </c>
      <c r="B137" s="332">
        <v>8</v>
      </c>
      <c r="C137" s="332">
        <v>2</v>
      </c>
      <c r="D137" s="332">
        <v>8</v>
      </c>
      <c r="E137" s="332">
        <v>19</v>
      </c>
      <c r="F137" s="332">
        <v>31</v>
      </c>
      <c r="G137" s="332">
        <v>66</v>
      </c>
      <c r="H137" s="332">
        <v>10.6</v>
      </c>
      <c r="I137" s="333">
        <v>0.37</v>
      </c>
      <c r="J137" s="333">
        <v>1.84</v>
      </c>
      <c r="K137" s="332">
        <v>13.700000000000001</v>
      </c>
      <c r="L137" s="332">
        <v>0.70000000000000007</v>
      </c>
      <c r="M137" s="332" t="s">
        <v>157</v>
      </c>
      <c r="N137" s="332">
        <v>2010</v>
      </c>
      <c r="O137" s="332" t="s">
        <v>69</v>
      </c>
      <c r="P137" s="332">
        <v>240663</v>
      </c>
      <c r="Q137" s="335" t="s">
        <v>684</v>
      </c>
      <c r="R137" s="335" t="s">
        <v>1089</v>
      </c>
      <c r="S137" s="335"/>
    </row>
    <row r="138" spans="1:19" x14ac:dyDescent="0.2">
      <c r="A138" s="335" t="s">
        <v>683</v>
      </c>
      <c r="B138" s="332">
        <v>7</v>
      </c>
      <c r="C138" s="332">
        <v>2</v>
      </c>
      <c r="D138" s="332">
        <v>7</v>
      </c>
      <c r="E138" s="332">
        <v>18</v>
      </c>
      <c r="F138" s="332">
        <v>30</v>
      </c>
      <c r="G138" s="332">
        <v>65</v>
      </c>
      <c r="H138" s="332">
        <v>10.6</v>
      </c>
      <c r="I138" s="333">
        <v>0.37</v>
      </c>
      <c r="J138" s="333">
        <v>1.74</v>
      </c>
      <c r="K138" s="332">
        <v>12.9</v>
      </c>
      <c r="L138" s="332">
        <v>0.70000000000000007</v>
      </c>
      <c r="M138" s="332" t="s">
        <v>157</v>
      </c>
      <c r="N138" s="332">
        <v>2010</v>
      </c>
      <c r="O138" s="332" t="s">
        <v>69</v>
      </c>
      <c r="P138" s="332">
        <v>276493</v>
      </c>
      <c r="Q138" s="335" t="s">
        <v>684</v>
      </c>
      <c r="R138" s="335" t="s">
        <v>1089</v>
      </c>
      <c r="S138" s="335"/>
    </row>
    <row r="139" spans="1:19" x14ac:dyDescent="0.2">
      <c r="A139" s="335" t="s">
        <v>528</v>
      </c>
      <c r="B139" s="332">
        <v>-14</v>
      </c>
      <c r="C139" s="332">
        <v>-9</v>
      </c>
      <c r="D139" s="332">
        <v>-15</v>
      </c>
      <c r="E139" s="332">
        <v>-8</v>
      </c>
      <c r="F139" s="332">
        <v>14</v>
      </c>
      <c r="G139" s="332">
        <v>-17</v>
      </c>
      <c r="H139" s="332">
        <v>-3.7</v>
      </c>
      <c r="I139" s="333">
        <v>0.54</v>
      </c>
      <c r="J139" s="333">
        <v>1.62</v>
      </c>
      <c r="K139" s="332">
        <v>11.8</v>
      </c>
      <c r="L139" s="332">
        <v>0.4</v>
      </c>
      <c r="M139" s="332" t="s">
        <v>352</v>
      </c>
      <c r="N139" s="332">
        <v>2009</v>
      </c>
      <c r="O139" s="332" t="s">
        <v>69</v>
      </c>
      <c r="P139" s="332">
        <v>303230</v>
      </c>
      <c r="Q139" s="335" t="s">
        <v>775</v>
      </c>
      <c r="R139" s="335" t="s">
        <v>1089</v>
      </c>
      <c r="S139" s="335"/>
    </row>
    <row r="140" spans="1:19" x14ac:dyDescent="0.2">
      <c r="A140" s="335" t="s">
        <v>765</v>
      </c>
      <c r="B140" s="332">
        <v>15</v>
      </c>
      <c r="C140" s="332">
        <v>9</v>
      </c>
      <c r="D140" s="332">
        <v>16</v>
      </c>
      <c r="E140" s="332">
        <v>10</v>
      </c>
      <c r="F140" s="332">
        <v>40</v>
      </c>
      <c r="G140" s="332">
        <v>110</v>
      </c>
      <c r="H140" s="332">
        <v>16</v>
      </c>
      <c r="I140" s="333">
        <v>0.54</v>
      </c>
      <c r="J140" s="333">
        <v>1.27</v>
      </c>
      <c r="K140" s="332">
        <v>10.3</v>
      </c>
      <c r="L140" s="332">
        <v>1.2</v>
      </c>
      <c r="M140" s="332" t="s">
        <v>157</v>
      </c>
      <c r="N140" s="332">
        <v>2014</v>
      </c>
      <c r="O140" s="332" t="s">
        <v>158</v>
      </c>
      <c r="P140" s="332">
        <v>303701</v>
      </c>
      <c r="Q140" s="335" t="s">
        <v>766</v>
      </c>
      <c r="R140" s="335" t="s">
        <v>1089</v>
      </c>
      <c r="S140" s="335"/>
    </row>
    <row r="141" spans="1:19" x14ac:dyDescent="0.2">
      <c r="A141" s="335" t="s">
        <v>641</v>
      </c>
      <c r="B141" s="332">
        <v>17</v>
      </c>
      <c r="C141" s="332">
        <v>13</v>
      </c>
      <c r="D141" s="332">
        <v>20</v>
      </c>
      <c r="E141" s="332">
        <v>20</v>
      </c>
      <c r="F141" s="332">
        <v>6</v>
      </c>
      <c r="G141" s="332">
        <v>28</v>
      </c>
      <c r="H141" s="332">
        <v>5.1000000000000005</v>
      </c>
      <c r="I141" s="333">
        <v>0.49</v>
      </c>
      <c r="J141" s="333">
        <v>1.1000000000000001</v>
      </c>
      <c r="K141" s="332">
        <v>13.8</v>
      </c>
      <c r="L141" s="332">
        <v>0.2</v>
      </c>
      <c r="M141" s="332" t="s">
        <v>157</v>
      </c>
      <c r="N141" s="332">
        <v>2014</v>
      </c>
      <c r="O141" s="332" t="s">
        <v>158</v>
      </c>
      <c r="P141" s="332">
        <v>305532</v>
      </c>
      <c r="Q141" s="335" t="s">
        <v>422</v>
      </c>
      <c r="R141" s="335" t="s">
        <v>1089</v>
      </c>
      <c r="S141" s="335" t="s">
        <v>166</v>
      </c>
    </row>
    <row r="142" spans="1:19" x14ac:dyDescent="0.2">
      <c r="A142" s="335" t="s">
        <v>1012</v>
      </c>
      <c r="B142" s="332">
        <v>0</v>
      </c>
      <c r="C142" s="332">
        <v>-1</v>
      </c>
      <c r="D142" s="332">
        <v>0</v>
      </c>
      <c r="E142" s="332"/>
      <c r="F142" s="332"/>
      <c r="G142" s="332"/>
      <c r="H142" s="332"/>
      <c r="I142" s="333">
        <v>0.39</v>
      </c>
      <c r="J142" s="333">
        <v>1.59</v>
      </c>
      <c r="K142" s="332"/>
      <c r="L142" s="332"/>
      <c r="M142" s="332" t="s">
        <v>157</v>
      </c>
      <c r="N142" s="332">
        <v>2016</v>
      </c>
      <c r="O142" s="332" t="s">
        <v>158</v>
      </c>
      <c r="P142" s="332">
        <v>307306</v>
      </c>
      <c r="Q142" s="335" t="s">
        <v>1007</v>
      </c>
      <c r="R142" s="335" t="s">
        <v>1089</v>
      </c>
      <c r="S142" s="335"/>
    </row>
    <row r="143" spans="1:19" x14ac:dyDescent="0.2">
      <c r="A143" s="335" t="s">
        <v>524</v>
      </c>
      <c r="B143" s="332">
        <v>11</v>
      </c>
      <c r="C143" s="332">
        <v>8</v>
      </c>
      <c r="D143" s="332">
        <v>15</v>
      </c>
      <c r="E143" s="332">
        <v>18</v>
      </c>
      <c r="F143" s="332">
        <v>58</v>
      </c>
      <c r="G143" s="332">
        <v>140</v>
      </c>
      <c r="H143" s="332">
        <v>19.100000000000001</v>
      </c>
      <c r="I143" s="333">
        <v>0.53</v>
      </c>
      <c r="J143" s="333">
        <v>1.52</v>
      </c>
      <c r="K143" s="332">
        <v>11.5</v>
      </c>
      <c r="L143" s="332">
        <v>1.4000000000000001</v>
      </c>
      <c r="M143" s="332" t="s">
        <v>157</v>
      </c>
      <c r="N143" s="332">
        <v>2004</v>
      </c>
      <c r="O143" s="332" t="s">
        <v>158</v>
      </c>
      <c r="P143" s="332">
        <v>339184</v>
      </c>
      <c r="Q143" s="335" t="s">
        <v>168</v>
      </c>
      <c r="R143" s="335" t="s">
        <v>223</v>
      </c>
      <c r="S143" s="335"/>
    </row>
    <row r="144" spans="1:19" x14ac:dyDescent="0.2">
      <c r="A144" s="335" t="s">
        <v>522</v>
      </c>
      <c r="B144" s="332">
        <v>13</v>
      </c>
      <c r="C144" s="332">
        <v>9</v>
      </c>
      <c r="D144" s="332">
        <v>18</v>
      </c>
      <c r="E144" s="332">
        <v>29</v>
      </c>
      <c r="F144" s="332">
        <v>45</v>
      </c>
      <c r="G144" s="332">
        <v>136</v>
      </c>
      <c r="H144" s="332">
        <v>18.7</v>
      </c>
      <c r="I144" s="333">
        <v>0.6</v>
      </c>
      <c r="J144" s="333">
        <v>1.43</v>
      </c>
      <c r="K144" s="332">
        <v>12.8</v>
      </c>
      <c r="L144" s="332">
        <v>1</v>
      </c>
      <c r="M144" s="332" t="s">
        <v>157</v>
      </c>
      <c r="N144" s="332">
        <v>2000</v>
      </c>
      <c r="O144" s="332" t="s">
        <v>158</v>
      </c>
      <c r="P144" s="332">
        <v>344739</v>
      </c>
      <c r="Q144" s="335" t="s">
        <v>320</v>
      </c>
      <c r="R144" s="335" t="s">
        <v>223</v>
      </c>
      <c r="S144" s="335" t="s">
        <v>166</v>
      </c>
    </row>
    <row r="145" spans="1:19" x14ac:dyDescent="0.2">
      <c r="A145" s="335" t="s">
        <v>918</v>
      </c>
      <c r="B145" s="332">
        <v>5</v>
      </c>
      <c r="C145" s="332">
        <v>5</v>
      </c>
      <c r="D145" s="332">
        <v>8</v>
      </c>
      <c r="E145" s="332">
        <v>12</v>
      </c>
      <c r="F145" s="332"/>
      <c r="G145" s="332"/>
      <c r="H145" s="332"/>
      <c r="I145" s="333">
        <v>0.8</v>
      </c>
      <c r="J145" s="333">
        <v>2</v>
      </c>
      <c r="K145" s="332"/>
      <c r="L145" s="332"/>
      <c r="M145" s="332" t="s">
        <v>157</v>
      </c>
      <c r="N145" s="332">
        <v>2015</v>
      </c>
      <c r="O145" s="332" t="s">
        <v>69</v>
      </c>
      <c r="P145" s="332">
        <v>351049</v>
      </c>
      <c r="Q145" s="335" t="s">
        <v>919</v>
      </c>
      <c r="R145" s="335" t="s">
        <v>223</v>
      </c>
      <c r="S145" s="335" t="s">
        <v>166</v>
      </c>
    </row>
    <row r="146" spans="1:19" x14ac:dyDescent="0.2">
      <c r="A146" s="335" t="s">
        <v>901</v>
      </c>
      <c r="B146" s="332">
        <v>22</v>
      </c>
      <c r="C146" s="332">
        <v>13</v>
      </c>
      <c r="D146" s="332">
        <v>24</v>
      </c>
      <c r="E146" s="332">
        <v>24</v>
      </c>
      <c r="F146" s="332"/>
      <c r="G146" s="332"/>
      <c r="H146" s="332"/>
      <c r="I146" s="333">
        <v>0.89</v>
      </c>
      <c r="J146" s="333">
        <v>2.25</v>
      </c>
      <c r="K146" s="332"/>
      <c r="L146" s="332"/>
      <c r="M146" s="332" t="s">
        <v>157</v>
      </c>
      <c r="N146" s="332">
        <v>2015</v>
      </c>
      <c r="O146" s="332" t="s">
        <v>158</v>
      </c>
      <c r="P146" s="332">
        <v>354704</v>
      </c>
      <c r="Q146" s="335" t="s">
        <v>859</v>
      </c>
      <c r="R146" s="335" t="s">
        <v>223</v>
      </c>
      <c r="S146" s="335"/>
    </row>
    <row r="147" spans="1:19" x14ac:dyDescent="0.2">
      <c r="A147" s="335" t="s">
        <v>374</v>
      </c>
      <c r="B147" s="332">
        <v>14</v>
      </c>
      <c r="C147" s="332">
        <v>10</v>
      </c>
      <c r="D147" s="332">
        <v>18</v>
      </c>
      <c r="E147" s="332">
        <v>26</v>
      </c>
      <c r="F147" s="332">
        <v>47</v>
      </c>
      <c r="G147" s="332">
        <v>147</v>
      </c>
      <c r="H147" s="332">
        <v>19.900000000000002</v>
      </c>
      <c r="I147" s="333">
        <v>0.35000000000000003</v>
      </c>
      <c r="J147" s="333">
        <v>1.44</v>
      </c>
      <c r="K147" s="332">
        <v>12.9</v>
      </c>
      <c r="L147" s="332">
        <v>1.1000000000000001</v>
      </c>
      <c r="M147" s="332" t="s">
        <v>157</v>
      </c>
      <c r="N147" s="332">
        <v>2000</v>
      </c>
      <c r="O147" s="332" t="s">
        <v>158</v>
      </c>
      <c r="P147" s="332">
        <v>393314</v>
      </c>
      <c r="Q147" s="335" t="s">
        <v>192</v>
      </c>
      <c r="R147" s="335" t="s">
        <v>223</v>
      </c>
      <c r="S147" s="335"/>
    </row>
    <row r="148" spans="1:19" x14ac:dyDescent="0.2">
      <c r="A148" s="335" t="s">
        <v>240</v>
      </c>
      <c r="B148" s="332">
        <v>14</v>
      </c>
      <c r="C148" s="332">
        <v>9</v>
      </c>
      <c r="D148" s="332">
        <v>17</v>
      </c>
      <c r="E148" s="332">
        <v>24</v>
      </c>
      <c r="F148" s="332">
        <v>36</v>
      </c>
      <c r="G148" s="332">
        <v>110</v>
      </c>
      <c r="H148" s="332">
        <v>16</v>
      </c>
      <c r="I148" s="333">
        <v>0.19</v>
      </c>
      <c r="J148" s="333">
        <v>0.4</v>
      </c>
      <c r="K148" s="332">
        <v>12.8</v>
      </c>
      <c r="L148" s="332">
        <v>0.9</v>
      </c>
      <c r="M148" s="332" t="s">
        <v>157</v>
      </c>
      <c r="N148" s="332">
        <v>2012</v>
      </c>
      <c r="O148" s="332" t="s">
        <v>158</v>
      </c>
      <c r="P148" s="332">
        <v>465914</v>
      </c>
      <c r="Q148" s="335" t="s">
        <v>930</v>
      </c>
      <c r="R148" s="335" t="s">
        <v>223</v>
      </c>
      <c r="S148" s="335"/>
    </row>
    <row r="149" spans="1:19" x14ac:dyDescent="0.2">
      <c r="A149" s="335" t="s">
        <v>408</v>
      </c>
      <c r="B149" s="332">
        <v>16</v>
      </c>
      <c r="C149" s="332">
        <v>10</v>
      </c>
      <c r="D149" s="332">
        <v>20</v>
      </c>
      <c r="E149" s="332">
        <v>23</v>
      </c>
      <c r="F149" s="332">
        <v>44</v>
      </c>
      <c r="G149" s="332">
        <v>127</v>
      </c>
      <c r="H149" s="332">
        <v>17.8</v>
      </c>
      <c r="I149" s="333">
        <v>0.42</v>
      </c>
      <c r="J149" s="333">
        <v>0.92</v>
      </c>
      <c r="K149" s="332">
        <v>15.200000000000001</v>
      </c>
      <c r="L149" s="332">
        <v>0.9</v>
      </c>
      <c r="M149" s="332" t="s">
        <v>157</v>
      </c>
      <c r="N149" s="332">
        <v>2010</v>
      </c>
      <c r="O149" s="332" t="s">
        <v>158</v>
      </c>
      <c r="P149" s="332">
        <v>476895</v>
      </c>
      <c r="Q149" s="335" t="s">
        <v>409</v>
      </c>
      <c r="R149" s="335" t="s">
        <v>223</v>
      </c>
      <c r="S149" s="335"/>
    </row>
    <row r="150" spans="1:19" x14ac:dyDescent="0.2">
      <c r="A150" s="335" t="s">
        <v>876</v>
      </c>
      <c r="B150" s="332">
        <v>14</v>
      </c>
      <c r="C150" s="332">
        <v>10</v>
      </c>
      <c r="D150" s="332">
        <v>20</v>
      </c>
      <c r="E150" s="332">
        <v>26</v>
      </c>
      <c r="F150" s="332">
        <v>53</v>
      </c>
      <c r="G150" s="332">
        <v>165</v>
      </c>
      <c r="H150" s="332">
        <v>21.5</v>
      </c>
      <c r="I150" s="333">
        <v>0.4</v>
      </c>
      <c r="J150" s="333">
        <v>1.26</v>
      </c>
      <c r="K150" s="332">
        <v>13.4</v>
      </c>
      <c r="L150" s="332">
        <v>1.1000000000000001</v>
      </c>
      <c r="M150" s="332" t="s">
        <v>157</v>
      </c>
      <c r="N150" s="332">
        <v>2008</v>
      </c>
      <c r="O150" s="332" t="s">
        <v>158</v>
      </c>
      <c r="P150" s="332">
        <v>490292</v>
      </c>
      <c r="Q150" s="335" t="s">
        <v>200</v>
      </c>
      <c r="R150" s="335" t="s">
        <v>223</v>
      </c>
      <c r="S150" s="335" t="s">
        <v>166</v>
      </c>
    </row>
    <row r="151" spans="1:19" x14ac:dyDescent="0.2">
      <c r="A151" s="335" t="s">
        <v>709</v>
      </c>
      <c r="B151" s="332">
        <v>19</v>
      </c>
      <c r="C151" s="332">
        <v>10</v>
      </c>
      <c r="D151" s="332">
        <v>19</v>
      </c>
      <c r="E151" s="332">
        <v>24</v>
      </c>
      <c r="F151" s="332">
        <v>2</v>
      </c>
      <c r="G151" s="332">
        <v>43</v>
      </c>
      <c r="H151" s="332">
        <v>7.4</v>
      </c>
      <c r="I151" s="333">
        <v>0.8</v>
      </c>
      <c r="J151" s="333">
        <v>2.5500000000000003</v>
      </c>
      <c r="K151" s="332">
        <v>13.3</v>
      </c>
      <c r="L151" s="332">
        <v>0.1</v>
      </c>
      <c r="M151" s="332" t="s">
        <v>157</v>
      </c>
      <c r="N151" s="332">
        <v>2003</v>
      </c>
      <c r="O151" s="332" t="s">
        <v>158</v>
      </c>
      <c r="P151" s="332">
        <v>534156</v>
      </c>
      <c r="Q151" s="335" t="s">
        <v>859</v>
      </c>
      <c r="R151" s="335" t="s">
        <v>328</v>
      </c>
      <c r="S151" s="335"/>
    </row>
    <row r="152" spans="1:19" x14ac:dyDescent="0.2">
      <c r="A152" s="335" t="s">
        <v>388</v>
      </c>
      <c r="B152" s="332">
        <v>9</v>
      </c>
      <c r="C152" s="332">
        <v>7</v>
      </c>
      <c r="D152" s="332">
        <v>13</v>
      </c>
      <c r="E152" s="332">
        <v>19</v>
      </c>
      <c r="F152" s="332">
        <v>34</v>
      </c>
      <c r="G152" s="332">
        <v>96</v>
      </c>
      <c r="H152" s="332">
        <v>14.4</v>
      </c>
      <c r="I152" s="333">
        <v>0.36</v>
      </c>
      <c r="J152" s="333">
        <v>1.54</v>
      </c>
      <c r="K152" s="332">
        <v>8</v>
      </c>
      <c r="L152" s="332">
        <v>1.3</v>
      </c>
      <c r="M152" s="332" t="s">
        <v>157</v>
      </c>
      <c r="N152" s="332">
        <v>2000</v>
      </c>
      <c r="O152" s="332" t="s">
        <v>158</v>
      </c>
      <c r="P152" s="332">
        <v>357483</v>
      </c>
      <c r="Q152" s="335" t="s">
        <v>192</v>
      </c>
      <c r="R152" s="335" t="s">
        <v>1089</v>
      </c>
      <c r="S152" s="335"/>
    </row>
    <row r="153" spans="1:19" x14ac:dyDescent="0.2">
      <c r="A153" s="335" t="s">
        <v>439</v>
      </c>
      <c r="B153" s="332">
        <v>9</v>
      </c>
      <c r="C153" s="332">
        <v>4</v>
      </c>
      <c r="D153" s="332">
        <v>10</v>
      </c>
      <c r="E153" s="332">
        <v>23</v>
      </c>
      <c r="F153" s="332">
        <v>41</v>
      </c>
      <c r="G153" s="332">
        <v>98</v>
      </c>
      <c r="H153" s="332">
        <v>14.700000000000001</v>
      </c>
      <c r="I153" s="333">
        <v>0.42</v>
      </c>
      <c r="J153" s="333">
        <v>1.41</v>
      </c>
      <c r="K153" s="332">
        <v>12.9</v>
      </c>
      <c r="L153" s="332">
        <v>1</v>
      </c>
      <c r="M153" s="332" t="s">
        <v>157</v>
      </c>
      <c r="N153" s="332">
        <v>2000</v>
      </c>
      <c r="O153" s="332" t="s">
        <v>158</v>
      </c>
      <c r="P153" s="332">
        <v>367813</v>
      </c>
      <c r="Q153" s="335" t="s">
        <v>230</v>
      </c>
      <c r="R153" s="335" t="s">
        <v>1089</v>
      </c>
      <c r="S153" s="335" t="s">
        <v>166</v>
      </c>
    </row>
    <row r="154" spans="1:19" x14ac:dyDescent="0.2">
      <c r="A154" s="335" t="s">
        <v>844</v>
      </c>
      <c r="B154" s="332">
        <v>8</v>
      </c>
      <c r="C154" s="332">
        <v>4</v>
      </c>
      <c r="D154" s="332">
        <v>8</v>
      </c>
      <c r="E154" s="332">
        <v>10</v>
      </c>
      <c r="F154" s="332">
        <v>22</v>
      </c>
      <c r="G154" s="332">
        <v>35</v>
      </c>
      <c r="H154" s="332">
        <v>6.1000000000000005</v>
      </c>
      <c r="I154" s="333">
        <v>0.56000000000000005</v>
      </c>
      <c r="J154" s="333">
        <v>2.64</v>
      </c>
      <c r="K154" s="332">
        <v>8.7000000000000011</v>
      </c>
      <c r="L154" s="332">
        <v>0.8</v>
      </c>
      <c r="M154" s="332" t="s">
        <v>157</v>
      </c>
      <c r="N154" s="332">
        <v>2015</v>
      </c>
      <c r="O154" s="332" t="s">
        <v>158</v>
      </c>
      <c r="P154" s="332">
        <v>371708</v>
      </c>
      <c r="Q154" s="335" t="s">
        <v>159</v>
      </c>
      <c r="R154" s="335" t="s">
        <v>1089</v>
      </c>
      <c r="S154" s="335"/>
    </row>
    <row r="155" spans="1:19" x14ac:dyDescent="0.2">
      <c r="A155" s="335" t="s">
        <v>969</v>
      </c>
      <c r="B155" s="332">
        <v>0</v>
      </c>
      <c r="C155" s="332">
        <v>0</v>
      </c>
      <c r="D155" s="332">
        <v>-2</v>
      </c>
      <c r="E155" s="332">
        <v>-2</v>
      </c>
      <c r="F155" s="332"/>
      <c r="G155" s="332"/>
      <c r="H155" s="332"/>
      <c r="I155" s="333"/>
      <c r="J155" s="333"/>
      <c r="K155" s="332"/>
      <c r="L155" s="332"/>
      <c r="M155" s="332" t="s">
        <v>157</v>
      </c>
      <c r="N155" s="332">
        <v>2016</v>
      </c>
      <c r="O155" s="332" t="s">
        <v>69</v>
      </c>
      <c r="P155" s="332">
        <v>456707</v>
      </c>
      <c r="Q155" s="335" t="s">
        <v>970</v>
      </c>
      <c r="R155" s="335" t="s">
        <v>1089</v>
      </c>
      <c r="S155" s="335"/>
    </row>
    <row r="156" spans="1:19" x14ac:dyDescent="0.2">
      <c r="A156" s="335" t="s">
        <v>1001</v>
      </c>
      <c r="B156" s="332">
        <v>6</v>
      </c>
      <c r="C156" s="332">
        <v>5</v>
      </c>
      <c r="D156" s="332">
        <v>8</v>
      </c>
      <c r="E156" s="332">
        <v>10</v>
      </c>
      <c r="F156" s="332">
        <v>26</v>
      </c>
      <c r="G156" s="332"/>
      <c r="H156" s="332"/>
      <c r="I156" s="333">
        <v>0.62</v>
      </c>
      <c r="J156" s="333">
        <v>1.48</v>
      </c>
      <c r="K156" s="332">
        <v>6.6000000000000005</v>
      </c>
      <c r="L156" s="332">
        <v>1.2</v>
      </c>
      <c r="M156" s="332" t="s">
        <v>157</v>
      </c>
      <c r="N156" s="332">
        <v>2016</v>
      </c>
      <c r="O156" s="332" t="s">
        <v>158</v>
      </c>
      <c r="P156" s="332">
        <v>490706</v>
      </c>
      <c r="Q156" s="335" t="s">
        <v>241</v>
      </c>
      <c r="R156" s="335" t="s">
        <v>1089</v>
      </c>
      <c r="S156" s="335" t="s">
        <v>166</v>
      </c>
    </row>
    <row r="157" spans="1:19" x14ac:dyDescent="0.2">
      <c r="A157" s="335" t="s">
        <v>131</v>
      </c>
      <c r="B157" s="332">
        <v>20</v>
      </c>
      <c r="C157" s="332">
        <v>8</v>
      </c>
      <c r="D157" s="332">
        <v>17</v>
      </c>
      <c r="E157" s="332">
        <v>41</v>
      </c>
      <c r="F157" s="332">
        <v>97</v>
      </c>
      <c r="G157" s="332">
        <v>158</v>
      </c>
      <c r="H157" s="332">
        <v>20.900000000000002</v>
      </c>
      <c r="I157" s="333">
        <v>0.27</v>
      </c>
      <c r="J157" s="333">
        <v>1.28</v>
      </c>
      <c r="K157" s="332">
        <v>16.600000000000001</v>
      </c>
      <c r="L157" s="332">
        <v>1.5</v>
      </c>
      <c r="M157" s="332" t="s">
        <v>157</v>
      </c>
      <c r="N157" s="332">
        <v>2000</v>
      </c>
      <c r="O157" s="332" t="s">
        <v>158</v>
      </c>
      <c r="P157" s="332">
        <v>283408</v>
      </c>
      <c r="Q157" s="335" t="s">
        <v>175</v>
      </c>
      <c r="R157" s="335" t="s">
        <v>259</v>
      </c>
      <c r="S157" s="335" t="s">
        <v>166</v>
      </c>
    </row>
    <row r="158" spans="1:19" x14ac:dyDescent="0.2">
      <c r="A158" s="335" t="s">
        <v>355</v>
      </c>
      <c r="B158" s="332">
        <v>14</v>
      </c>
      <c r="C158" s="332">
        <v>11</v>
      </c>
      <c r="D158" s="332">
        <v>19</v>
      </c>
      <c r="E158" s="332">
        <v>24</v>
      </c>
      <c r="F158" s="332">
        <v>52</v>
      </c>
      <c r="G158" s="332">
        <v>120</v>
      </c>
      <c r="H158" s="332">
        <v>17.100000000000001</v>
      </c>
      <c r="I158" s="333">
        <v>0.33</v>
      </c>
      <c r="J158" s="333">
        <v>1.37</v>
      </c>
      <c r="K158" s="332">
        <v>13.5</v>
      </c>
      <c r="L158" s="332">
        <v>1.1000000000000001</v>
      </c>
      <c r="M158" s="332" t="s">
        <v>157</v>
      </c>
      <c r="N158" s="332">
        <v>2000</v>
      </c>
      <c r="O158" s="332" t="s">
        <v>158</v>
      </c>
      <c r="P158" s="332">
        <v>528133</v>
      </c>
      <c r="Q158" s="335" t="s">
        <v>177</v>
      </c>
      <c r="R158" s="335" t="s">
        <v>223</v>
      </c>
      <c r="S158" s="335" t="s">
        <v>166</v>
      </c>
    </row>
    <row r="159" spans="1:19" x14ac:dyDescent="0.2">
      <c r="A159" s="335" t="s">
        <v>546</v>
      </c>
      <c r="B159" s="332">
        <v>12</v>
      </c>
      <c r="C159" s="332">
        <v>8</v>
      </c>
      <c r="D159" s="332">
        <v>17</v>
      </c>
      <c r="E159" s="332">
        <v>27</v>
      </c>
      <c r="F159" s="332">
        <v>45</v>
      </c>
      <c r="G159" s="332">
        <v>132</v>
      </c>
      <c r="H159" s="332">
        <v>18.3</v>
      </c>
      <c r="I159" s="333">
        <v>0.59</v>
      </c>
      <c r="J159" s="333">
        <v>1.57</v>
      </c>
      <c r="K159" s="332">
        <v>13.3</v>
      </c>
      <c r="L159" s="332">
        <v>1</v>
      </c>
      <c r="M159" s="332" t="s">
        <v>157</v>
      </c>
      <c r="N159" s="332">
        <v>2003</v>
      </c>
      <c r="O159" s="332" t="s">
        <v>158</v>
      </c>
      <c r="P159" s="332">
        <v>569988</v>
      </c>
      <c r="Q159" s="335" t="s">
        <v>859</v>
      </c>
      <c r="R159" s="335" t="s">
        <v>223</v>
      </c>
      <c r="S159" s="335"/>
    </row>
    <row r="160" spans="1:19" x14ac:dyDescent="0.2">
      <c r="A160" s="335" t="s">
        <v>292</v>
      </c>
      <c r="B160" s="332">
        <v>13</v>
      </c>
      <c r="C160" s="332">
        <v>8</v>
      </c>
      <c r="D160" s="332">
        <v>16</v>
      </c>
      <c r="E160" s="332">
        <v>24</v>
      </c>
      <c r="F160" s="332">
        <v>35</v>
      </c>
      <c r="G160" s="332">
        <v>111</v>
      </c>
      <c r="H160" s="332">
        <v>16.100000000000001</v>
      </c>
      <c r="I160" s="333">
        <v>0.23</v>
      </c>
      <c r="J160" s="333">
        <v>0.5</v>
      </c>
      <c r="K160" s="332">
        <v>12.8</v>
      </c>
      <c r="L160" s="332">
        <v>0.9</v>
      </c>
      <c r="M160" s="332" t="s">
        <v>157</v>
      </c>
      <c r="N160" s="332">
        <v>2005</v>
      </c>
      <c r="O160" s="332" t="s">
        <v>158</v>
      </c>
      <c r="P160" s="332">
        <v>577833</v>
      </c>
      <c r="Q160" s="335" t="s">
        <v>170</v>
      </c>
      <c r="R160" s="335" t="s">
        <v>223</v>
      </c>
      <c r="S160" s="335" t="s">
        <v>166</v>
      </c>
    </row>
    <row r="161" spans="1:19" x14ac:dyDescent="0.2">
      <c r="A161" s="335" t="s">
        <v>344</v>
      </c>
      <c r="B161" s="332">
        <v>12</v>
      </c>
      <c r="C161" s="332">
        <v>8</v>
      </c>
      <c r="D161" s="332">
        <v>17</v>
      </c>
      <c r="E161" s="332">
        <v>25</v>
      </c>
      <c r="F161" s="332">
        <v>46</v>
      </c>
      <c r="G161" s="332">
        <v>127</v>
      </c>
      <c r="H161" s="332">
        <v>17.900000000000002</v>
      </c>
      <c r="I161" s="333">
        <v>0.3</v>
      </c>
      <c r="J161" s="333">
        <v>1.07</v>
      </c>
      <c r="K161" s="332">
        <v>12.700000000000001</v>
      </c>
      <c r="L161" s="332">
        <v>1.1000000000000001</v>
      </c>
      <c r="M161" s="332" t="s">
        <v>157</v>
      </c>
      <c r="N161" s="332">
        <v>2000</v>
      </c>
      <c r="O161" s="332" t="s">
        <v>69</v>
      </c>
      <c r="P161" s="332">
        <v>585216</v>
      </c>
      <c r="Q161" s="335" t="s">
        <v>997</v>
      </c>
      <c r="R161" s="335" t="s">
        <v>223</v>
      </c>
      <c r="S161" s="335"/>
    </row>
    <row r="162" spans="1:19" x14ac:dyDescent="0.2">
      <c r="A162" s="335" t="s">
        <v>1003</v>
      </c>
      <c r="B162" s="332">
        <v>14</v>
      </c>
      <c r="C162" s="332">
        <v>9</v>
      </c>
      <c r="D162" s="332">
        <v>17</v>
      </c>
      <c r="E162" s="332">
        <v>24</v>
      </c>
      <c r="F162" s="332">
        <v>36</v>
      </c>
      <c r="G162" s="332">
        <v>110</v>
      </c>
      <c r="H162" s="332">
        <v>16</v>
      </c>
      <c r="I162" s="333">
        <v>0.16</v>
      </c>
      <c r="J162" s="333">
        <v>0.2</v>
      </c>
      <c r="K162" s="332">
        <v>12.8</v>
      </c>
      <c r="L162" s="332">
        <v>0.9</v>
      </c>
      <c r="M162" s="332" t="s">
        <v>157</v>
      </c>
      <c r="N162" s="332">
        <v>2013</v>
      </c>
      <c r="O162" s="332" t="s">
        <v>158</v>
      </c>
      <c r="P162" s="332">
        <v>587337</v>
      </c>
      <c r="Q162" s="335" t="s">
        <v>177</v>
      </c>
      <c r="R162" s="335" t="s">
        <v>223</v>
      </c>
      <c r="S162" s="335" t="s">
        <v>166</v>
      </c>
    </row>
    <row r="163" spans="1:19" x14ac:dyDescent="0.2">
      <c r="A163" s="335" t="s">
        <v>398</v>
      </c>
      <c r="B163" s="332">
        <v>11</v>
      </c>
      <c r="C163" s="332">
        <v>8</v>
      </c>
      <c r="D163" s="332">
        <v>15</v>
      </c>
      <c r="E163" s="332">
        <v>20</v>
      </c>
      <c r="F163" s="332">
        <v>41</v>
      </c>
      <c r="G163" s="332">
        <v>113</v>
      </c>
      <c r="H163" s="332">
        <v>16.3</v>
      </c>
      <c r="I163" s="333">
        <v>0.37</v>
      </c>
      <c r="J163" s="333">
        <v>1.53</v>
      </c>
      <c r="K163" s="332">
        <v>13.3</v>
      </c>
      <c r="L163" s="332">
        <v>0.9</v>
      </c>
      <c r="M163" s="332" t="s">
        <v>157</v>
      </c>
      <c r="N163" s="332">
        <v>2010</v>
      </c>
      <c r="O163" s="332" t="s">
        <v>158</v>
      </c>
      <c r="P163" s="332">
        <v>605634</v>
      </c>
      <c r="Q163" s="335" t="s">
        <v>253</v>
      </c>
      <c r="R163" s="335" t="s">
        <v>223</v>
      </c>
      <c r="S163" s="335"/>
    </row>
    <row r="164" spans="1:19" x14ac:dyDescent="0.2">
      <c r="A164" s="335" t="s">
        <v>298</v>
      </c>
      <c r="B164" s="332">
        <v>12</v>
      </c>
      <c r="C164" s="332">
        <v>8</v>
      </c>
      <c r="D164" s="332">
        <v>14</v>
      </c>
      <c r="E164" s="332">
        <v>23</v>
      </c>
      <c r="F164" s="332">
        <v>29</v>
      </c>
      <c r="G164" s="332"/>
      <c r="H164" s="332"/>
      <c r="I164" s="333">
        <v>0.25</v>
      </c>
      <c r="J164" s="333">
        <v>0.5</v>
      </c>
      <c r="K164" s="332">
        <v>12.6</v>
      </c>
      <c r="L164" s="332">
        <v>0.8</v>
      </c>
      <c r="M164" s="332" t="s">
        <v>157</v>
      </c>
      <c r="N164" s="332">
        <v>2013</v>
      </c>
      <c r="O164" s="332" t="s">
        <v>69</v>
      </c>
      <c r="P164" s="332">
        <v>610410</v>
      </c>
      <c r="Q164" s="335" t="s">
        <v>202</v>
      </c>
      <c r="R164" s="335" t="s">
        <v>223</v>
      </c>
      <c r="S164" s="335"/>
    </row>
    <row r="165" spans="1:19" x14ac:dyDescent="0.2">
      <c r="A165" s="335" t="s">
        <v>466</v>
      </c>
      <c r="B165" s="332">
        <v>14</v>
      </c>
      <c r="C165" s="332">
        <v>9</v>
      </c>
      <c r="D165" s="332">
        <v>17</v>
      </c>
      <c r="E165" s="332">
        <v>20</v>
      </c>
      <c r="F165" s="332">
        <v>44</v>
      </c>
      <c r="G165" s="332"/>
      <c r="H165" s="332"/>
      <c r="I165" s="333">
        <v>0.52</v>
      </c>
      <c r="J165" s="333">
        <v>1.4000000000000001</v>
      </c>
      <c r="K165" s="332">
        <v>12.9</v>
      </c>
      <c r="L165" s="332">
        <v>1</v>
      </c>
      <c r="M165" s="332" t="s">
        <v>157</v>
      </c>
      <c r="N165" s="332">
        <v>2013</v>
      </c>
      <c r="O165" s="332" t="s">
        <v>69</v>
      </c>
      <c r="P165" s="332">
        <v>646240</v>
      </c>
      <c r="Q165" s="335" t="s">
        <v>202</v>
      </c>
      <c r="R165" s="335" t="s">
        <v>223</v>
      </c>
      <c r="S165" s="335"/>
    </row>
    <row r="166" spans="1:19" x14ac:dyDescent="0.2">
      <c r="A166" s="335" t="s">
        <v>561</v>
      </c>
      <c r="B166" s="332">
        <v>9</v>
      </c>
      <c r="C166" s="332">
        <v>8</v>
      </c>
      <c r="D166" s="332">
        <v>13</v>
      </c>
      <c r="E166" s="332">
        <v>22</v>
      </c>
      <c r="F166" s="332">
        <v>49</v>
      </c>
      <c r="G166" s="332">
        <v>122</v>
      </c>
      <c r="H166" s="332">
        <v>17.3</v>
      </c>
      <c r="I166" s="333">
        <v>0.54</v>
      </c>
      <c r="J166" s="333">
        <v>1.41</v>
      </c>
      <c r="K166" s="332">
        <v>12.4</v>
      </c>
      <c r="L166" s="332">
        <v>1.2</v>
      </c>
      <c r="M166" s="332" t="s">
        <v>157</v>
      </c>
      <c r="N166" s="332">
        <v>2012</v>
      </c>
      <c r="O166" s="332" t="s">
        <v>158</v>
      </c>
      <c r="P166" s="332">
        <v>647487</v>
      </c>
      <c r="Q166" s="335" t="s">
        <v>233</v>
      </c>
      <c r="R166" s="335" t="s">
        <v>223</v>
      </c>
      <c r="S166" s="335"/>
    </row>
    <row r="167" spans="1:19" x14ac:dyDescent="0.2">
      <c r="A167" s="335" t="s">
        <v>787</v>
      </c>
      <c r="B167" s="332">
        <v>3</v>
      </c>
      <c r="C167" s="332">
        <v>1</v>
      </c>
      <c r="D167" s="332">
        <v>4</v>
      </c>
      <c r="E167" s="332">
        <v>5</v>
      </c>
      <c r="F167" s="332">
        <v>12</v>
      </c>
      <c r="G167" s="332">
        <v>23</v>
      </c>
      <c r="H167" s="332">
        <v>4.2</v>
      </c>
      <c r="I167" s="333">
        <v>0.56000000000000005</v>
      </c>
      <c r="J167" s="333">
        <v>1.82</v>
      </c>
      <c r="K167" s="332">
        <v>4.3</v>
      </c>
      <c r="L167" s="332">
        <v>1</v>
      </c>
      <c r="M167" s="332" t="s">
        <v>157</v>
      </c>
      <c r="N167" s="332">
        <v>2010</v>
      </c>
      <c r="O167" s="332" t="s">
        <v>158</v>
      </c>
      <c r="P167" s="332">
        <v>590463</v>
      </c>
      <c r="Q167" s="335" t="s">
        <v>159</v>
      </c>
      <c r="R167" s="335" t="s">
        <v>1089</v>
      </c>
      <c r="S167" s="335"/>
    </row>
    <row r="168" spans="1:19" x14ac:dyDescent="0.2">
      <c r="A168" s="335" t="s">
        <v>1070</v>
      </c>
      <c r="B168" s="332">
        <v>-6</v>
      </c>
      <c r="C168" s="332">
        <v>-4</v>
      </c>
      <c r="D168" s="332">
        <v>3</v>
      </c>
      <c r="E168" s="332">
        <v>37</v>
      </c>
      <c r="F168" s="332">
        <v>8</v>
      </c>
      <c r="G168" s="332">
        <v>7</v>
      </c>
      <c r="H168" s="332">
        <v>1.4000000000000001</v>
      </c>
      <c r="I168" s="333">
        <v>0.75</v>
      </c>
      <c r="J168" s="333">
        <v>2.5</v>
      </c>
      <c r="K168" s="332">
        <v>27.400000000000002</v>
      </c>
      <c r="L168" s="332">
        <v>0.2</v>
      </c>
      <c r="M168" s="332" t="s">
        <v>157</v>
      </c>
      <c r="N168" s="332">
        <v>2002</v>
      </c>
      <c r="O168" s="332" t="s">
        <v>158</v>
      </c>
      <c r="P168" s="332">
        <v>834788</v>
      </c>
      <c r="Q168" s="335" t="s">
        <v>624</v>
      </c>
      <c r="R168" s="335" t="s">
        <v>381</v>
      </c>
      <c r="S168" s="335"/>
    </row>
    <row r="169" spans="1:19" x14ac:dyDescent="0.2">
      <c r="A169" s="335" t="s">
        <v>990</v>
      </c>
      <c r="B169" s="332">
        <v>11</v>
      </c>
      <c r="C169" s="332">
        <v>7</v>
      </c>
      <c r="D169" s="332">
        <v>14</v>
      </c>
      <c r="E169" s="332">
        <v>23</v>
      </c>
      <c r="F169" s="332"/>
      <c r="G169" s="332"/>
      <c r="H169" s="332"/>
      <c r="I169" s="333">
        <v>0.54</v>
      </c>
      <c r="J169" s="333">
        <v>1.4000000000000001</v>
      </c>
      <c r="K169" s="332"/>
      <c r="L169" s="332"/>
      <c r="M169" s="332" t="s">
        <v>157</v>
      </c>
      <c r="N169" s="332">
        <v>2016</v>
      </c>
      <c r="O169" s="332" t="s">
        <v>158</v>
      </c>
      <c r="P169" s="332">
        <v>657106</v>
      </c>
      <c r="Q169" s="335" t="s">
        <v>233</v>
      </c>
      <c r="R169" s="335" t="s">
        <v>223</v>
      </c>
      <c r="S169" s="335" t="s">
        <v>166</v>
      </c>
    </row>
    <row r="170" spans="1:19" x14ac:dyDescent="0.2">
      <c r="A170" s="335" t="s">
        <v>109</v>
      </c>
      <c r="B170" s="332">
        <v>13</v>
      </c>
      <c r="C170" s="332">
        <v>9</v>
      </c>
      <c r="D170" s="332">
        <v>16</v>
      </c>
      <c r="E170" s="332">
        <v>23</v>
      </c>
      <c r="F170" s="332">
        <v>39</v>
      </c>
      <c r="G170" s="332">
        <v>119</v>
      </c>
      <c r="H170" s="332">
        <v>17</v>
      </c>
      <c r="I170" s="333">
        <v>0.18</v>
      </c>
      <c r="J170" s="333">
        <v>0.42</v>
      </c>
      <c r="K170" s="332">
        <v>12.9</v>
      </c>
      <c r="L170" s="332">
        <v>0.9</v>
      </c>
      <c r="M170" s="332" t="s">
        <v>157</v>
      </c>
      <c r="N170" s="332">
        <v>2000</v>
      </c>
      <c r="O170" s="332" t="s">
        <v>158</v>
      </c>
      <c r="P170" s="332">
        <v>681783</v>
      </c>
      <c r="Q170" s="335" t="s">
        <v>172</v>
      </c>
      <c r="R170" s="335" t="s">
        <v>223</v>
      </c>
      <c r="S170" s="335" t="s">
        <v>166</v>
      </c>
    </row>
    <row r="171" spans="1:19" x14ac:dyDescent="0.2">
      <c r="A171" s="335" t="s">
        <v>441</v>
      </c>
      <c r="B171" s="332">
        <v>10</v>
      </c>
      <c r="C171" s="332">
        <v>8</v>
      </c>
      <c r="D171" s="332">
        <v>13</v>
      </c>
      <c r="E171" s="332">
        <v>14</v>
      </c>
      <c r="F171" s="332">
        <v>33</v>
      </c>
      <c r="G171" s="332">
        <v>105</v>
      </c>
      <c r="H171" s="332">
        <v>15.4</v>
      </c>
      <c r="I171" s="333">
        <v>0.43</v>
      </c>
      <c r="J171" s="333">
        <v>1.46</v>
      </c>
      <c r="K171" s="332">
        <v>12.200000000000001</v>
      </c>
      <c r="L171" s="332">
        <v>0.9</v>
      </c>
      <c r="M171" s="332" t="s">
        <v>157</v>
      </c>
      <c r="N171" s="332">
        <v>2000</v>
      </c>
      <c r="O171" s="332" t="s">
        <v>158</v>
      </c>
      <c r="P171" s="332">
        <v>690289</v>
      </c>
      <c r="Q171" s="335" t="s">
        <v>230</v>
      </c>
      <c r="R171" s="335" t="s">
        <v>223</v>
      </c>
      <c r="S171" s="335" t="s">
        <v>166</v>
      </c>
    </row>
    <row r="172" spans="1:19" x14ac:dyDescent="0.2">
      <c r="A172" s="335" t="s">
        <v>160</v>
      </c>
      <c r="B172" s="332">
        <v>11</v>
      </c>
      <c r="C172" s="332">
        <v>8</v>
      </c>
      <c r="D172" s="332">
        <v>14</v>
      </c>
      <c r="E172" s="332">
        <v>24</v>
      </c>
      <c r="F172" s="332">
        <v>30</v>
      </c>
      <c r="G172" s="332">
        <v>102</v>
      </c>
      <c r="H172" s="332">
        <v>15.1</v>
      </c>
      <c r="I172" s="333">
        <v>0</v>
      </c>
      <c r="J172" s="333">
        <v>0</v>
      </c>
      <c r="K172" s="332">
        <v>12.5</v>
      </c>
      <c r="L172" s="332">
        <v>0.8</v>
      </c>
      <c r="M172" s="332" t="s">
        <v>157</v>
      </c>
      <c r="N172" s="332">
        <v>2006</v>
      </c>
      <c r="O172" s="332" t="s">
        <v>158</v>
      </c>
      <c r="P172" s="332">
        <v>734491</v>
      </c>
      <c r="Q172" s="335" t="s">
        <v>161</v>
      </c>
      <c r="R172" s="335" t="s">
        <v>223</v>
      </c>
      <c r="S172" s="335"/>
    </row>
    <row r="173" spans="1:19" x14ac:dyDescent="0.2">
      <c r="A173" s="335" t="s">
        <v>856</v>
      </c>
      <c r="B173" s="332">
        <v>9</v>
      </c>
      <c r="C173" s="332">
        <v>-1</v>
      </c>
      <c r="D173" s="332">
        <v>8</v>
      </c>
      <c r="E173" s="332">
        <v>26</v>
      </c>
      <c r="F173" s="332">
        <v>3</v>
      </c>
      <c r="G173" s="332">
        <v>1</v>
      </c>
      <c r="H173" s="332">
        <v>0.2</v>
      </c>
      <c r="I173" s="333">
        <v>0.85</v>
      </c>
      <c r="J173" s="333">
        <v>2.8000000000000003</v>
      </c>
      <c r="K173" s="332">
        <v>20.7</v>
      </c>
      <c r="L173" s="332">
        <v>0.2</v>
      </c>
      <c r="M173" s="332" t="s">
        <v>352</v>
      </c>
      <c r="N173" s="332">
        <v>2008</v>
      </c>
      <c r="O173" s="332" t="s">
        <v>69</v>
      </c>
      <c r="P173" s="332">
        <v>369462</v>
      </c>
      <c r="Q173" s="335" t="s">
        <v>579</v>
      </c>
      <c r="R173" s="335" t="s">
        <v>369</v>
      </c>
      <c r="S173" s="335"/>
    </row>
    <row r="174" spans="1:19" x14ac:dyDescent="0.2">
      <c r="A174" s="335" t="s">
        <v>1016</v>
      </c>
      <c r="B174" s="332">
        <v>6</v>
      </c>
      <c r="C174" s="332">
        <v>2</v>
      </c>
      <c r="D174" s="332">
        <v>6</v>
      </c>
      <c r="E174" s="332">
        <v>20</v>
      </c>
      <c r="F174" s="332">
        <v>36</v>
      </c>
      <c r="G174" s="332">
        <v>87</v>
      </c>
      <c r="H174" s="332">
        <v>13.3</v>
      </c>
      <c r="I174" s="333">
        <v>0.34</v>
      </c>
      <c r="J174" s="333">
        <v>1.46</v>
      </c>
      <c r="K174" s="332">
        <v>12.200000000000001</v>
      </c>
      <c r="L174" s="332">
        <v>0.9</v>
      </c>
      <c r="M174" s="332" t="s">
        <v>157</v>
      </c>
      <c r="N174" s="332">
        <v>2000</v>
      </c>
      <c r="O174" s="332" t="s">
        <v>158</v>
      </c>
      <c r="P174" s="332">
        <v>563965</v>
      </c>
      <c r="Q174" s="335" t="s">
        <v>177</v>
      </c>
      <c r="R174" s="335" t="s">
        <v>185</v>
      </c>
      <c r="S174" s="335" t="s">
        <v>166</v>
      </c>
    </row>
    <row r="175" spans="1:19" x14ac:dyDescent="0.2">
      <c r="A175" s="335" t="s">
        <v>107</v>
      </c>
      <c r="B175" s="332">
        <v>7</v>
      </c>
      <c r="C175" s="332">
        <v>4</v>
      </c>
      <c r="D175" s="332">
        <v>8</v>
      </c>
      <c r="E175" s="332">
        <v>14</v>
      </c>
      <c r="F175" s="332">
        <v>31</v>
      </c>
      <c r="G175" s="332">
        <v>70</v>
      </c>
      <c r="H175" s="332">
        <v>11.200000000000001</v>
      </c>
      <c r="I175" s="333">
        <v>0.18</v>
      </c>
      <c r="J175" s="333">
        <v>0.42</v>
      </c>
      <c r="K175" s="332">
        <v>7.7</v>
      </c>
      <c r="L175" s="332">
        <v>1.2</v>
      </c>
      <c r="M175" s="332" t="s">
        <v>157</v>
      </c>
      <c r="N175" s="332">
        <v>2000</v>
      </c>
      <c r="O175" s="332" t="s">
        <v>158</v>
      </c>
      <c r="P175" s="332">
        <v>610121</v>
      </c>
      <c r="Q175" s="335" t="s">
        <v>172</v>
      </c>
      <c r="R175" s="335" t="s">
        <v>1089</v>
      </c>
      <c r="S175" s="335" t="s">
        <v>166</v>
      </c>
    </row>
    <row r="176" spans="1:19" x14ac:dyDescent="0.2">
      <c r="A176" s="335" t="s">
        <v>654</v>
      </c>
      <c r="B176" s="332">
        <v>3</v>
      </c>
      <c r="C176" s="332">
        <v>1</v>
      </c>
      <c r="D176" s="332">
        <v>4</v>
      </c>
      <c r="E176" s="332">
        <v>8</v>
      </c>
      <c r="F176" s="332">
        <v>20</v>
      </c>
      <c r="G176" s="332">
        <v>44</v>
      </c>
      <c r="H176" s="332">
        <v>7.5</v>
      </c>
      <c r="I176" s="333">
        <v>0.54</v>
      </c>
      <c r="J176" s="333">
        <v>2.25</v>
      </c>
      <c r="K176" s="332">
        <v>8.1999999999999993</v>
      </c>
      <c r="L176" s="332">
        <v>0.8</v>
      </c>
      <c r="M176" s="332" t="s">
        <v>157</v>
      </c>
      <c r="N176" s="332">
        <v>2011</v>
      </c>
      <c r="O176" s="332" t="s">
        <v>158</v>
      </c>
      <c r="P176" s="332">
        <v>615310</v>
      </c>
      <c r="Q176" s="335" t="s">
        <v>903</v>
      </c>
      <c r="R176" s="335" t="s">
        <v>1089</v>
      </c>
      <c r="S176" s="335"/>
    </row>
    <row r="177" spans="1:19" x14ac:dyDescent="0.2">
      <c r="A177" s="335" t="s">
        <v>1040</v>
      </c>
      <c r="B177" s="332">
        <v>4</v>
      </c>
      <c r="C177" s="332">
        <v>2</v>
      </c>
      <c r="D177" s="332">
        <v>4</v>
      </c>
      <c r="E177" s="332">
        <v>8</v>
      </c>
      <c r="F177" s="332">
        <v>13</v>
      </c>
      <c r="G177" s="332">
        <v>24</v>
      </c>
      <c r="H177" s="332">
        <v>4.4000000000000004</v>
      </c>
      <c r="I177" s="333">
        <v>0.22</v>
      </c>
      <c r="J177" s="333">
        <v>0.82000000000000006</v>
      </c>
      <c r="K177" s="332">
        <v>2.9</v>
      </c>
      <c r="L177" s="332">
        <v>1.5</v>
      </c>
      <c r="M177" s="332" t="s">
        <v>157</v>
      </c>
      <c r="N177" s="332">
        <v>2016</v>
      </c>
      <c r="O177" s="332" t="s">
        <v>158</v>
      </c>
      <c r="P177" s="332">
        <v>619445</v>
      </c>
      <c r="Q177" s="335" t="s">
        <v>175</v>
      </c>
      <c r="R177" s="335" t="s">
        <v>1089</v>
      </c>
      <c r="S177" s="335"/>
    </row>
    <row r="178" spans="1:19" x14ac:dyDescent="0.2">
      <c r="A178" s="335" t="s">
        <v>448</v>
      </c>
      <c r="B178" s="332">
        <v>16</v>
      </c>
      <c r="C178" s="332">
        <v>5</v>
      </c>
      <c r="D178" s="332">
        <v>20</v>
      </c>
      <c r="E178" s="332">
        <v>18</v>
      </c>
      <c r="F178" s="332">
        <v>47</v>
      </c>
      <c r="G178" s="332">
        <v>105</v>
      </c>
      <c r="H178" s="332">
        <v>15.5</v>
      </c>
      <c r="I178" s="333">
        <v>0.47000000000000003</v>
      </c>
      <c r="J178" s="333">
        <v>1.21</v>
      </c>
      <c r="K178" s="332">
        <v>12.9</v>
      </c>
      <c r="L178" s="332">
        <v>1.1000000000000001</v>
      </c>
      <c r="M178" s="332" t="s">
        <v>157</v>
      </c>
      <c r="N178" s="332">
        <v>2010</v>
      </c>
      <c r="O178" s="332" t="s">
        <v>158</v>
      </c>
      <c r="P178" s="332">
        <v>626291</v>
      </c>
      <c r="Q178" s="335" t="s">
        <v>159</v>
      </c>
      <c r="R178" s="335" t="s">
        <v>1089</v>
      </c>
      <c r="S178" s="335"/>
    </row>
    <row r="179" spans="1:19" x14ac:dyDescent="0.2">
      <c r="A179" s="335" t="s">
        <v>360</v>
      </c>
      <c r="B179" s="332">
        <v>0</v>
      </c>
      <c r="C179" s="332">
        <v>0</v>
      </c>
      <c r="D179" s="332">
        <v>1</v>
      </c>
      <c r="E179" s="332">
        <v>5</v>
      </c>
      <c r="F179" s="332">
        <v>16</v>
      </c>
      <c r="G179" s="332">
        <v>24</v>
      </c>
      <c r="H179" s="332">
        <v>4.4000000000000004</v>
      </c>
      <c r="I179" s="333">
        <v>0.31</v>
      </c>
      <c r="J179" s="333">
        <v>1.1500000000000001</v>
      </c>
      <c r="K179" s="332">
        <v>8.8000000000000007</v>
      </c>
      <c r="L179" s="332">
        <v>0.6</v>
      </c>
      <c r="M179" s="332" t="s">
        <v>157</v>
      </c>
      <c r="N179" s="332">
        <v>2011</v>
      </c>
      <c r="O179" s="332" t="s">
        <v>69</v>
      </c>
      <c r="P179" s="332">
        <v>639633</v>
      </c>
      <c r="Q179" s="335" t="s">
        <v>213</v>
      </c>
      <c r="R179" s="335" t="s">
        <v>1089</v>
      </c>
      <c r="S179" s="335"/>
    </row>
    <row r="180" spans="1:19" x14ac:dyDescent="0.2">
      <c r="A180" s="335" t="s">
        <v>1033</v>
      </c>
      <c r="B180" s="332">
        <v>7</v>
      </c>
      <c r="C180" s="332">
        <v>3</v>
      </c>
      <c r="D180" s="332">
        <v>7</v>
      </c>
      <c r="E180" s="332">
        <v>13</v>
      </c>
      <c r="F180" s="332">
        <v>23</v>
      </c>
      <c r="G180" s="332">
        <v>44</v>
      </c>
      <c r="H180" s="332">
        <v>7.6000000000000005</v>
      </c>
      <c r="I180" s="333">
        <v>0.25</v>
      </c>
      <c r="J180" s="333">
        <v>1.03</v>
      </c>
      <c r="K180" s="332">
        <v>5.6000000000000005</v>
      </c>
      <c r="L180" s="332">
        <v>1.3</v>
      </c>
      <c r="M180" s="332" t="s">
        <v>157</v>
      </c>
      <c r="N180" s="332">
        <v>2016</v>
      </c>
      <c r="O180" s="332" t="s">
        <v>158</v>
      </c>
      <c r="P180" s="332">
        <v>655274</v>
      </c>
      <c r="Q180" s="335" t="s">
        <v>175</v>
      </c>
      <c r="R180" s="335" t="s">
        <v>1089</v>
      </c>
      <c r="S180" s="335"/>
    </row>
    <row r="181" spans="1:19" x14ac:dyDescent="0.2">
      <c r="A181" s="335" t="s">
        <v>1067</v>
      </c>
      <c r="B181" s="332">
        <v>19</v>
      </c>
      <c r="C181" s="332">
        <v>9</v>
      </c>
      <c r="D181" s="332">
        <v>17</v>
      </c>
      <c r="E181" s="332">
        <v>24</v>
      </c>
      <c r="F181" s="332">
        <v>23</v>
      </c>
      <c r="G181" s="332">
        <v>86</v>
      </c>
      <c r="H181" s="332">
        <v>13.3</v>
      </c>
      <c r="I181" s="333">
        <v>0.75</v>
      </c>
      <c r="J181" s="333">
        <v>2.69</v>
      </c>
      <c r="K181" s="332">
        <v>11.8</v>
      </c>
      <c r="L181" s="332">
        <v>0.70000000000000007</v>
      </c>
      <c r="M181" s="332" t="s">
        <v>157</v>
      </c>
      <c r="N181" s="332">
        <v>2004</v>
      </c>
      <c r="O181" s="332" t="s">
        <v>158</v>
      </c>
      <c r="P181" s="332">
        <v>872382</v>
      </c>
      <c r="Q181" s="335" t="s">
        <v>624</v>
      </c>
      <c r="R181" s="335" t="s">
        <v>328</v>
      </c>
      <c r="S181" s="335"/>
    </row>
    <row r="182" spans="1:19" x14ac:dyDescent="0.2">
      <c r="A182" s="335" t="s">
        <v>474</v>
      </c>
      <c r="B182" s="332">
        <v>13</v>
      </c>
      <c r="C182" s="332">
        <v>10</v>
      </c>
      <c r="D182" s="332">
        <v>19</v>
      </c>
      <c r="E182" s="332">
        <v>22</v>
      </c>
      <c r="F182" s="332">
        <v>47</v>
      </c>
      <c r="G182" s="332">
        <v>141</v>
      </c>
      <c r="H182" s="332">
        <v>19.2</v>
      </c>
      <c r="I182" s="333">
        <v>0.49</v>
      </c>
      <c r="J182" s="333">
        <v>1.69</v>
      </c>
      <c r="K182" s="332">
        <v>13.4</v>
      </c>
      <c r="L182" s="332">
        <v>1</v>
      </c>
      <c r="M182" s="332" t="s">
        <v>157</v>
      </c>
      <c r="N182" s="332">
        <v>2000</v>
      </c>
      <c r="O182" s="332" t="s">
        <v>158</v>
      </c>
      <c r="P182" s="332">
        <v>806869</v>
      </c>
      <c r="Q182" s="335" t="s">
        <v>200</v>
      </c>
      <c r="R182" s="335" t="s">
        <v>223</v>
      </c>
      <c r="S182" s="335" t="s">
        <v>166</v>
      </c>
    </row>
    <row r="183" spans="1:19" x14ac:dyDescent="0.2">
      <c r="A183" s="335" t="s">
        <v>487</v>
      </c>
      <c r="B183" s="332">
        <v>17</v>
      </c>
      <c r="C183" s="332">
        <v>11</v>
      </c>
      <c r="D183" s="332">
        <v>21</v>
      </c>
      <c r="E183" s="332">
        <v>26</v>
      </c>
      <c r="F183" s="332">
        <v>28</v>
      </c>
      <c r="G183" s="332">
        <v>111</v>
      </c>
      <c r="H183" s="332">
        <v>16.2</v>
      </c>
      <c r="I183" s="333">
        <v>0.53</v>
      </c>
      <c r="J183" s="333">
        <v>1.52</v>
      </c>
      <c r="K183" s="332">
        <v>15.1</v>
      </c>
      <c r="L183" s="332">
        <v>0.6</v>
      </c>
      <c r="M183" s="332" t="s">
        <v>157</v>
      </c>
      <c r="N183" s="332">
        <v>2005</v>
      </c>
      <c r="O183" s="332" t="s">
        <v>158</v>
      </c>
      <c r="P183" s="332">
        <v>832899</v>
      </c>
      <c r="Q183" s="335" t="s">
        <v>211</v>
      </c>
      <c r="R183" s="335" t="s">
        <v>223</v>
      </c>
      <c r="S183" s="335"/>
    </row>
    <row r="184" spans="1:19" x14ac:dyDescent="0.2">
      <c r="A184" s="335" t="s">
        <v>335</v>
      </c>
      <c r="B184" s="332">
        <v>13</v>
      </c>
      <c r="C184" s="332">
        <v>8</v>
      </c>
      <c r="D184" s="332">
        <v>16</v>
      </c>
      <c r="E184" s="332">
        <v>24</v>
      </c>
      <c r="F184" s="332">
        <v>41</v>
      </c>
      <c r="G184" s="332">
        <v>122</v>
      </c>
      <c r="H184" s="332">
        <v>17.3</v>
      </c>
      <c r="I184" s="333">
        <v>0.28999999999999998</v>
      </c>
      <c r="J184" s="333">
        <v>0.62</v>
      </c>
      <c r="K184" s="332">
        <v>12.5</v>
      </c>
      <c r="L184" s="332">
        <v>1</v>
      </c>
      <c r="M184" s="332" t="s">
        <v>157</v>
      </c>
      <c r="N184" s="332">
        <v>2000</v>
      </c>
      <c r="O184" s="332" t="s">
        <v>158</v>
      </c>
      <c r="P184" s="332">
        <v>838441</v>
      </c>
      <c r="Q184" s="335" t="s">
        <v>334</v>
      </c>
      <c r="R184" s="335" t="s">
        <v>223</v>
      </c>
      <c r="S184" s="335"/>
    </row>
    <row r="185" spans="1:19" x14ac:dyDescent="0.2">
      <c r="A185" s="335" t="s">
        <v>1030</v>
      </c>
      <c r="B185" s="332">
        <v>13</v>
      </c>
      <c r="C185" s="332">
        <v>7</v>
      </c>
      <c r="D185" s="332">
        <v>16</v>
      </c>
      <c r="E185" s="332"/>
      <c r="F185" s="332"/>
      <c r="G185" s="332"/>
      <c r="H185" s="332"/>
      <c r="I185" s="333">
        <v>0.2</v>
      </c>
      <c r="J185" s="333">
        <v>0.3</v>
      </c>
      <c r="K185" s="332"/>
      <c r="L185" s="332"/>
      <c r="M185" s="332" t="s">
        <v>157</v>
      </c>
      <c r="N185" s="332">
        <v>2016</v>
      </c>
      <c r="O185" s="332" t="s">
        <v>158</v>
      </c>
      <c r="P185" s="332">
        <v>874503</v>
      </c>
      <c r="Q185" s="335" t="s">
        <v>249</v>
      </c>
      <c r="R185" s="335" t="s">
        <v>223</v>
      </c>
      <c r="S185" s="335"/>
    </row>
    <row r="186" spans="1:19" x14ac:dyDescent="0.2">
      <c r="A186" s="335" t="s">
        <v>277</v>
      </c>
      <c r="B186" s="332">
        <v>12</v>
      </c>
      <c r="C186" s="332">
        <v>8</v>
      </c>
      <c r="D186" s="332">
        <v>14</v>
      </c>
      <c r="E186" s="332">
        <v>21</v>
      </c>
      <c r="F186" s="332">
        <v>38</v>
      </c>
      <c r="G186" s="332">
        <v>121</v>
      </c>
      <c r="H186" s="332">
        <v>17.2</v>
      </c>
      <c r="I186" s="333">
        <v>0.22</v>
      </c>
      <c r="J186" s="333">
        <v>0.65</v>
      </c>
      <c r="K186" s="332">
        <v>12.700000000000001</v>
      </c>
      <c r="L186" s="332">
        <v>0.9</v>
      </c>
      <c r="M186" s="332" t="s">
        <v>157</v>
      </c>
      <c r="N186" s="332">
        <v>2013</v>
      </c>
      <c r="O186" s="332" t="s">
        <v>158</v>
      </c>
      <c r="P186" s="332">
        <v>893396</v>
      </c>
      <c r="Q186" s="335" t="s">
        <v>930</v>
      </c>
      <c r="R186" s="335" t="s">
        <v>223</v>
      </c>
      <c r="S186" s="335" t="s">
        <v>166</v>
      </c>
    </row>
    <row r="187" spans="1:19" x14ac:dyDescent="0.2">
      <c r="A187" s="335" t="s">
        <v>934</v>
      </c>
      <c r="B187" s="332">
        <v>11</v>
      </c>
      <c r="C187" s="332">
        <v>6</v>
      </c>
      <c r="D187" s="332">
        <v>13</v>
      </c>
      <c r="E187" s="332">
        <v>20</v>
      </c>
      <c r="F187" s="332">
        <v>28</v>
      </c>
      <c r="G187" s="332"/>
      <c r="H187" s="332"/>
      <c r="I187" s="333">
        <v>0.46</v>
      </c>
      <c r="J187" s="333">
        <v>1.58</v>
      </c>
      <c r="K187" s="332">
        <v>12.6</v>
      </c>
      <c r="L187" s="332">
        <v>0.70000000000000007</v>
      </c>
      <c r="M187" s="332" t="s">
        <v>157</v>
      </c>
      <c r="N187" s="332">
        <v>2015</v>
      </c>
      <c r="O187" s="332" t="s">
        <v>158</v>
      </c>
      <c r="P187" s="332">
        <v>904904</v>
      </c>
      <c r="Q187" s="335" t="s">
        <v>170</v>
      </c>
      <c r="R187" s="335" t="s">
        <v>223</v>
      </c>
      <c r="S187" s="335" t="s">
        <v>166</v>
      </c>
    </row>
    <row r="188" spans="1:19" x14ac:dyDescent="0.2">
      <c r="A188" s="335" t="s">
        <v>1039</v>
      </c>
      <c r="B188" s="332">
        <v>9</v>
      </c>
      <c r="C188" s="332">
        <v>4</v>
      </c>
      <c r="D188" s="332">
        <v>9</v>
      </c>
      <c r="E188" s="332">
        <v>18</v>
      </c>
      <c r="F188" s="332">
        <v>33</v>
      </c>
      <c r="G188" s="332">
        <v>68</v>
      </c>
      <c r="H188" s="332">
        <v>11</v>
      </c>
      <c r="I188" s="333">
        <v>0.27</v>
      </c>
      <c r="J188" s="333">
        <v>1.24</v>
      </c>
      <c r="K188" s="332">
        <v>8.4</v>
      </c>
      <c r="L188" s="332">
        <v>1.2</v>
      </c>
      <c r="M188" s="332" t="s">
        <v>157</v>
      </c>
      <c r="N188" s="332">
        <v>2016</v>
      </c>
      <c r="O188" s="332" t="s">
        <v>158</v>
      </c>
      <c r="P188" s="332">
        <v>691105</v>
      </c>
      <c r="Q188" s="335" t="s">
        <v>175</v>
      </c>
      <c r="R188" s="335" t="s">
        <v>1089</v>
      </c>
      <c r="S188" s="335"/>
    </row>
    <row r="189" spans="1:19" x14ac:dyDescent="0.2">
      <c r="A189" s="335" t="s">
        <v>992</v>
      </c>
      <c r="B189" s="332">
        <v>4</v>
      </c>
      <c r="C189" s="332">
        <v>-1</v>
      </c>
      <c r="D189" s="332">
        <v>3</v>
      </c>
      <c r="E189" s="332">
        <v>5</v>
      </c>
      <c r="F189" s="332"/>
      <c r="G189" s="332"/>
      <c r="H189" s="332"/>
      <c r="I189" s="333">
        <v>0.56000000000000005</v>
      </c>
      <c r="J189" s="333">
        <v>1.32</v>
      </c>
      <c r="K189" s="332"/>
      <c r="L189" s="332"/>
      <c r="M189" s="332" t="s">
        <v>157</v>
      </c>
      <c r="N189" s="332">
        <v>2016</v>
      </c>
      <c r="O189" s="332" t="s">
        <v>158</v>
      </c>
      <c r="P189" s="332">
        <v>733014</v>
      </c>
      <c r="Q189" s="335" t="s">
        <v>859</v>
      </c>
      <c r="R189" s="335" t="s">
        <v>1089</v>
      </c>
      <c r="S189" s="335"/>
    </row>
    <row r="190" spans="1:19" x14ac:dyDescent="0.2">
      <c r="A190" s="335" t="s">
        <v>1065</v>
      </c>
      <c r="B190" s="332">
        <v>5</v>
      </c>
      <c r="C190" s="332">
        <v>4</v>
      </c>
      <c r="D190" s="332">
        <v>12</v>
      </c>
      <c r="E190" s="332">
        <v>31</v>
      </c>
      <c r="F190" s="332">
        <v>16</v>
      </c>
      <c r="G190" s="332">
        <v>28</v>
      </c>
      <c r="H190" s="332">
        <v>5.1000000000000005</v>
      </c>
      <c r="I190" s="333">
        <v>0.75</v>
      </c>
      <c r="J190" s="333">
        <v>2.5500000000000003</v>
      </c>
      <c r="K190" s="332">
        <v>17.100000000000001</v>
      </c>
      <c r="L190" s="332">
        <v>0.4</v>
      </c>
      <c r="M190" s="332" t="s">
        <v>157</v>
      </c>
      <c r="N190" s="332">
        <v>2002</v>
      </c>
      <c r="O190" s="332" t="s">
        <v>158</v>
      </c>
      <c r="P190" s="332">
        <v>442483</v>
      </c>
      <c r="Q190" s="335" t="s">
        <v>624</v>
      </c>
      <c r="R190" s="335" t="s">
        <v>328</v>
      </c>
      <c r="S190" s="335"/>
    </row>
    <row r="191" spans="1:19" x14ac:dyDescent="0.2">
      <c r="A191" s="335" t="s">
        <v>1061</v>
      </c>
      <c r="B191" s="332">
        <v>2</v>
      </c>
      <c r="C191" s="332">
        <v>1</v>
      </c>
      <c r="D191" s="332">
        <v>9</v>
      </c>
      <c r="E191" s="332">
        <v>26</v>
      </c>
      <c r="F191" s="332">
        <v>11</v>
      </c>
      <c r="G191" s="332">
        <v>24</v>
      </c>
      <c r="H191" s="332">
        <v>4.4000000000000004</v>
      </c>
      <c r="I191" s="333">
        <v>0.36</v>
      </c>
      <c r="J191" s="333">
        <v>1.6500000000000001</v>
      </c>
      <c r="K191" s="332">
        <v>15.700000000000001</v>
      </c>
      <c r="L191" s="332">
        <v>0.3</v>
      </c>
      <c r="M191" s="332" t="s">
        <v>157</v>
      </c>
      <c r="N191" s="332">
        <v>2006</v>
      </c>
      <c r="O191" s="332" t="s">
        <v>158</v>
      </c>
      <c r="P191" s="332">
        <v>715664</v>
      </c>
      <c r="Q191" s="335" t="s">
        <v>198</v>
      </c>
      <c r="R191" s="335" t="s">
        <v>328</v>
      </c>
      <c r="S191" s="335"/>
    </row>
    <row r="192" spans="1:19" x14ac:dyDescent="0.2">
      <c r="A192" s="335" t="s">
        <v>227</v>
      </c>
      <c r="B192" s="332">
        <v>14</v>
      </c>
      <c r="C192" s="332">
        <v>9</v>
      </c>
      <c r="D192" s="332">
        <v>17</v>
      </c>
      <c r="E192" s="332">
        <v>24</v>
      </c>
      <c r="F192" s="332">
        <v>44</v>
      </c>
      <c r="G192" s="332">
        <v>125</v>
      </c>
      <c r="H192" s="332">
        <v>17.600000000000001</v>
      </c>
      <c r="I192" s="333">
        <v>0.18</v>
      </c>
      <c r="J192" s="333">
        <v>0.44</v>
      </c>
      <c r="K192" s="332">
        <v>12.9</v>
      </c>
      <c r="L192" s="332">
        <v>1</v>
      </c>
      <c r="M192" s="332" t="s">
        <v>157</v>
      </c>
      <c r="N192" s="332">
        <v>2000</v>
      </c>
      <c r="O192" s="332" t="s">
        <v>158</v>
      </c>
      <c r="P192" s="332">
        <v>905265</v>
      </c>
      <c r="Q192" s="335" t="s">
        <v>175</v>
      </c>
      <c r="R192" s="335" t="s">
        <v>223</v>
      </c>
      <c r="S192" s="335" t="s">
        <v>166</v>
      </c>
    </row>
    <row r="193" spans="1:19" x14ac:dyDescent="0.2">
      <c r="A193" s="335" t="s">
        <v>370</v>
      </c>
      <c r="B193" s="332">
        <v>11</v>
      </c>
      <c r="C193" s="332">
        <v>8</v>
      </c>
      <c r="D193" s="332">
        <v>13</v>
      </c>
      <c r="E193" s="332">
        <v>19</v>
      </c>
      <c r="F193" s="332">
        <v>35</v>
      </c>
      <c r="G193" s="332">
        <v>113</v>
      </c>
      <c r="H193" s="332">
        <v>16.3</v>
      </c>
      <c r="I193" s="333">
        <v>0.28000000000000003</v>
      </c>
      <c r="J193" s="333">
        <v>1.05</v>
      </c>
      <c r="K193" s="332">
        <v>12.9</v>
      </c>
      <c r="L193" s="332">
        <v>0.9</v>
      </c>
      <c r="M193" s="332" t="s">
        <v>157</v>
      </c>
      <c r="N193" s="332">
        <v>2000</v>
      </c>
      <c r="O193" s="332" t="s">
        <v>158</v>
      </c>
      <c r="P193" s="332">
        <v>916189</v>
      </c>
      <c r="Q193" s="335" t="s">
        <v>198</v>
      </c>
      <c r="R193" s="335" t="s">
        <v>223</v>
      </c>
      <c r="S193" s="335" t="s">
        <v>166</v>
      </c>
    </row>
    <row r="194" spans="1:19" x14ac:dyDescent="0.2">
      <c r="A194" s="335" t="s">
        <v>922</v>
      </c>
      <c r="B194" s="332">
        <v>11</v>
      </c>
      <c r="C194" s="332">
        <v>8</v>
      </c>
      <c r="D194" s="332">
        <v>14</v>
      </c>
      <c r="E194" s="332">
        <v>18</v>
      </c>
      <c r="F194" s="332">
        <v>38</v>
      </c>
      <c r="G194" s="332">
        <v>104</v>
      </c>
      <c r="H194" s="332">
        <v>15.3</v>
      </c>
      <c r="I194" s="333">
        <v>0.51</v>
      </c>
      <c r="J194" s="333">
        <v>1.24</v>
      </c>
      <c r="K194" s="332">
        <v>11.1</v>
      </c>
      <c r="L194" s="332">
        <v>1</v>
      </c>
      <c r="M194" s="332" t="s">
        <v>157</v>
      </c>
      <c r="N194" s="332">
        <v>2015</v>
      </c>
      <c r="O194" s="332" t="s">
        <v>158</v>
      </c>
      <c r="P194" s="332">
        <v>972901</v>
      </c>
      <c r="Q194" s="335" t="s">
        <v>291</v>
      </c>
      <c r="R194" s="335" t="s">
        <v>223</v>
      </c>
      <c r="S194" s="335" t="s">
        <v>166</v>
      </c>
    </row>
    <row r="195" spans="1:19" x14ac:dyDescent="0.2">
      <c r="A195" s="335" t="s">
        <v>454</v>
      </c>
      <c r="B195" s="332">
        <v>13</v>
      </c>
      <c r="C195" s="332">
        <v>9</v>
      </c>
      <c r="D195" s="332">
        <v>17</v>
      </c>
      <c r="E195" s="332">
        <v>23</v>
      </c>
      <c r="F195" s="332">
        <v>25</v>
      </c>
      <c r="G195" s="332">
        <v>93</v>
      </c>
      <c r="H195" s="332">
        <v>14.1</v>
      </c>
      <c r="I195" s="333">
        <v>0.48</v>
      </c>
      <c r="J195" s="333">
        <v>1.32</v>
      </c>
      <c r="K195" s="332">
        <v>13</v>
      </c>
      <c r="L195" s="332">
        <v>0.6</v>
      </c>
      <c r="M195" s="332" t="s">
        <v>157</v>
      </c>
      <c r="N195" s="332">
        <v>2000</v>
      </c>
      <c r="O195" s="332" t="s">
        <v>158</v>
      </c>
      <c r="P195" s="332">
        <v>973263</v>
      </c>
      <c r="Q195" s="335" t="s">
        <v>211</v>
      </c>
      <c r="R195" s="335" t="s">
        <v>223</v>
      </c>
      <c r="S195" s="335"/>
    </row>
    <row r="196" spans="1:19" x14ac:dyDescent="0.2">
      <c r="A196" s="335" t="s">
        <v>231</v>
      </c>
      <c r="B196" s="332">
        <v>14</v>
      </c>
      <c r="C196" s="332">
        <v>9</v>
      </c>
      <c r="D196" s="332">
        <v>17</v>
      </c>
      <c r="E196" s="332">
        <v>25</v>
      </c>
      <c r="F196" s="332">
        <v>43</v>
      </c>
      <c r="G196" s="332">
        <v>124</v>
      </c>
      <c r="H196" s="332">
        <v>17.5</v>
      </c>
      <c r="I196" s="333">
        <v>0.18</v>
      </c>
      <c r="J196" s="333">
        <v>0.44</v>
      </c>
      <c r="K196" s="332">
        <v>12.9</v>
      </c>
      <c r="L196" s="332">
        <v>1</v>
      </c>
      <c r="M196" s="332" t="s">
        <v>157</v>
      </c>
      <c r="N196" s="332">
        <v>2000</v>
      </c>
      <c r="O196" s="332" t="s">
        <v>158</v>
      </c>
      <c r="P196" s="332">
        <v>976928</v>
      </c>
      <c r="Q196" s="335" t="s">
        <v>175</v>
      </c>
      <c r="R196" s="335" t="s">
        <v>223</v>
      </c>
      <c r="S196" s="335" t="s">
        <v>166</v>
      </c>
    </row>
    <row r="197" spans="1:19" x14ac:dyDescent="0.2">
      <c r="A197" s="335" t="s">
        <v>313</v>
      </c>
      <c r="B197" s="332">
        <v>10</v>
      </c>
      <c r="C197" s="332">
        <v>5</v>
      </c>
      <c r="D197" s="332">
        <v>12</v>
      </c>
      <c r="E197" s="332">
        <v>23</v>
      </c>
      <c r="F197" s="332">
        <v>40</v>
      </c>
      <c r="G197" s="332">
        <v>105</v>
      </c>
      <c r="H197" s="332">
        <v>15.5</v>
      </c>
      <c r="I197" s="333">
        <v>0.25</v>
      </c>
      <c r="J197" s="333">
        <v>0.61</v>
      </c>
      <c r="K197" s="332">
        <v>12.5</v>
      </c>
      <c r="L197" s="332">
        <v>1</v>
      </c>
      <c r="M197" s="332" t="s">
        <v>157</v>
      </c>
      <c r="N197" s="332">
        <v>2000</v>
      </c>
      <c r="O197" s="332" t="s">
        <v>158</v>
      </c>
      <c r="P197" s="332">
        <v>152835</v>
      </c>
      <c r="Q197" s="335" t="s">
        <v>170</v>
      </c>
      <c r="R197" s="335" t="s">
        <v>1091</v>
      </c>
      <c r="S197" s="335" t="s">
        <v>166</v>
      </c>
    </row>
    <row r="198" spans="1:19" x14ac:dyDescent="0.2">
      <c r="A198" s="335" t="s">
        <v>289</v>
      </c>
      <c r="B198" s="332">
        <v>11</v>
      </c>
      <c r="C198" s="332">
        <v>5</v>
      </c>
      <c r="D198" s="332">
        <v>12</v>
      </c>
      <c r="E198" s="332">
        <v>24</v>
      </c>
      <c r="F198" s="332">
        <v>39</v>
      </c>
      <c r="G198" s="332">
        <v>98</v>
      </c>
      <c r="H198" s="332">
        <v>14.6</v>
      </c>
      <c r="I198" s="333">
        <v>0.24</v>
      </c>
      <c r="J198" s="333">
        <v>0.88</v>
      </c>
      <c r="K198" s="332">
        <v>12</v>
      </c>
      <c r="L198" s="332">
        <v>1</v>
      </c>
      <c r="M198" s="332" t="s">
        <v>157</v>
      </c>
      <c r="N198" s="332">
        <v>2012</v>
      </c>
      <c r="O198" s="332" t="s">
        <v>158</v>
      </c>
      <c r="P198" s="332">
        <v>201111</v>
      </c>
      <c r="Q198" s="335" t="s">
        <v>182</v>
      </c>
      <c r="R198" s="335" t="s">
        <v>1091</v>
      </c>
      <c r="S198" s="335" t="s">
        <v>166</v>
      </c>
    </row>
    <row r="199" spans="1:19" x14ac:dyDescent="0.2">
      <c r="A199" s="335" t="s">
        <v>1006</v>
      </c>
      <c r="B199" s="332">
        <v>9</v>
      </c>
      <c r="C199" s="332">
        <v>6</v>
      </c>
      <c r="D199" s="332">
        <v>11</v>
      </c>
      <c r="E199" s="332"/>
      <c r="F199" s="332"/>
      <c r="G199" s="332"/>
      <c r="H199" s="332"/>
      <c r="I199" s="333">
        <v>0.53</v>
      </c>
      <c r="J199" s="333">
        <v>2.31</v>
      </c>
      <c r="K199" s="332"/>
      <c r="L199" s="332"/>
      <c r="M199" s="332" t="s">
        <v>157</v>
      </c>
      <c r="N199" s="332">
        <v>2016</v>
      </c>
      <c r="O199" s="332" t="s">
        <v>158</v>
      </c>
      <c r="P199" s="332">
        <v>271478</v>
      </c>
      <c r="Q199" s="335" t="s">
        <v>1007</v>
      </c>
      <c r="R199" s="335" t="s">
        <v>1091</v>
      </c>
      <c r="S199" s="335"/>
    </row>
    <row r="200" spans="1:19" x14ac:dyDescent="0.2">
      <c r="A200" s="335" t="s">
        <v>425</v>
      </c>
      <c r="B200" s="332">
        <v>9</v>
      </c>
      <c r="C200" s="332">
        <v>7</v>
      </c>
      <c r="D200" s="332">
        <v>12</v>
      </c>
      <c r="E200" s="332">
        <v>20</v>
      </c>
      <c r="F200" s="332">
        <v>34</v>
      </c>
      <c r="G200" s="332">
        <v>103</v>
      </c>
      <c r="H200" s="332">
        <v>15.200000000000001</v>
      </c>
      <c r="I200" s="333">
        <v>0.33</v>
      </c>
      <c r="J200" s="333">
        <v>1.33</v>
      </c>
      <c r="K200" s="332">
        <v>7.9</v>
      </c>
      <c r="L200" s="332">
        <v>1.3</v>
      </c>
      <c r="M200" s="332" t="s">
        <v>157</v>
      </c>
      <c r="N200" s="332">
        <v>2013</v>
      </c>
      <c r="O200" s="332" t="s">
        <v>69</v>
      </c>
      <c r="P200" s="332">
        <v>768317</v>
      </c>
      <c r="Q200" s="335" t="s">
        <v>294</v>
      </c>
      <c r="R200" s="335" t="s">
        <v>1089</v>
      </c>
      <c r="S200" s="335"/>
    </row>
    <row r="201" spans="1:19" x14ac:dyDescent="0.2">
      <c r="A201" s="335" t="s">
        <v>931</v>
      </c>
      <c r="B201" s="332">
        <v>11</v>
      </c>
      <c r="C201" s="332">
        <v>11</v>
      </c>
      <c r="D201" s="332">
        <v>20</v>
      </c>
      <c r="E201" s="332">
        <v>20</v>
      </c>
      <c r="F201" s="332"/>
      <c r="G201" s="332"/>
      <c r="H201" s="332"/>
      <c r="I201" s="333">
        <v>0.63</v>
      </c>
      <c r="J201" s="333">
        <v>1.5</v>
      </c>
      <c r="K201" s="332"/>
      <c r="L201" s="332"/>
      <c r="M201" s="332" t="s">
        <v>157</v>
      </c>
      <c r="N201" s="332">
        <v>2015</v>
      </c>
      <c r="O201" s="332" t="s">
        <v>158</v>
      </c>
      <c r="P201" s="332">
        <v>789503</v>
      </c>
      <c r="Q201" s="335" t="s">
        <v>932</v>
      </c>
      <c r="R201" s="335" t="s">
        <v>1089</v>
      </c>
      <c r="S201" s="335"/>
    </row>
    <row r="202" spans="1:19" x14ac:dyDescent="0.2">
      <c r="A202" s="335" t="s">
        <v>753</v>
      </c>
      <c r="B202" s="332">
        <v>9</v>
      </c>
      <c r="C202" s="332">
        <v>8</v>
      </c>
      <c r="D202" s="332">
        <v>11</v>
      </c>
      <c r="E202" s="332">
        <v>26</v>
      </c>
      <c r="F202" s="332">
        <v>64</v>
      </c>
      <c r="G202" s="332"/>
      <c r="H202" s="332"/>
      <c r="I202" s="333">
        <v>0.66</v>
      </c>
      <c r="J202" s="333">
        <v>1.6</v>
      </c>
      <c r="K202" s="332">
        <v>11.1</v>
      </c>
      <c r="L202" s="332">
        <v>1.6</v>
      </c>
      <c r="M202" s="332" t="s">
        <v>157</v>
      </c>
      <c r="N202" s="332">
        <v>2014</v>
      </c>
      <c r="O202" s="332" t="s">
        <v>158</v>
      </c>
      <c r="P202" s="332">
        <v>487108</v>
      </c>
      <c r="Q202" s="335" t="s">
        <v>424</v>
      </c>
      <c r="R202" s="335" t="s">
        <v>1091</v>
      </c>
      <c r="S202" s="335"/>
    </row>
    <row r="203" spans="1:19" x14ac:dyDescent="0.2">
      <c r="A203" s="335" t="s">
        <v>108</v>
      </c>
      <c r="B203" s="332">
        <v>10</v>
      </c>
      <c r="C203" s="332">
        <v>6</v>
      </c>
      <c r="D203" s="332">
        <v>12</v>
      </c>
      <c r="E203" s="332">
        <v>22</v>
      </c>
      <c r="F203" s="332">
        <v>46</v>
      </c>
      <c r="G203" s="332">
        <v>115</v>
      </c>
      <c r="H203" s="332">
        <v>16.5</v>
      </c>
      <c r="I203" s="333">
        <v>0.18</v>
      </c>
      <c r="J203" s="333">
        <v>0.42</v>
      </c>
      <c r="K203" s="332">
        <v>12.200000000000001</v>
      </c>
      <c r="L203" s="332">
        <v>1.1000000000000001</v>
      </c>
      <c r="M203" s="332" t="s">
        <v>157</v>
      </c>
      <c r="N203" s="332">
        <v>2000</v>
      </c>
      <c r="O203" s="332" t="s">
        <v>158</v>
      </c>
      <c r="P203" s="332">
        <v>645952</v>
      </c>
      <c r="Q203" s="335" t="s">
        <v>172</v>
      </c>
      <c r="R203" s="335" t="s">
        <v>1091</v>
      </c>
      <c r="S203" s="335" t="s">
        <v>166</v>
      </c>
    </row>
    <row r="204" spans="1:19" x14ac:dyDescent="0.2">
      <c r="A204" s="335" t="s">
        <v>520</v>
      </c>
      <c r="B204" s="332">
        <v>8</v>
      </c>
      <c r="C204" s="332">
        <v>5</v>
      </c>
      <c r="D204" s="332">
        <v>11</v>
      </c>
      <c r="E204" s="332">
        <v>21</v>
      </c>
      <c r="F204" s="332">
        <v>37</v>
      </c>
      <c r="G204" s="332">
        <v>90</v>
      </c>
      <c r="H204" s="332">
        <v>13.700000000000001</v>
      </c>
      <c r="I204" s="333">
        <v>0.6</v>
      </c>
      <c r="J204" s="333">
        <v>1.76</v>
      </c>
      <c r="K204" s="332">
        <v>12</v>
      </c>
      <c r="L204" s="332">
        <v>0.9</v>
      </c>
      <c r="M204" s="332" t="s">
        <v>157</v>
      </c>
      <c r="N204" s="332">
        <v>2005</v>
      </c>
      <c r="O204" s="332" t="s">
        <v>158</v>
      </c>
      <c r="P204" s="332">
        <v>891804</v>
      </c>
      <c r="Q204" s="335" t="s">
        <v>211</v>
      </c>
      <c r="R204" s="335" t="s">
        <v>1091</v>
      </c>
      <c r="S204" s="335"/>
    </row>
    <row r="205" spans="1:19" x14ac:dyDescent="0.2">
      <c r="A205" s="335" t="s">
        <v>394</v>
      </c>
      <c r="B205" s="332">
        <v>15</v>
      </c>
      <c r="C205" s="332">
        <v>10</v>
      </c>
      <c r="D205" s="332">
        <v>18</v>
      </c>
      <c r="E205" s="332">
        <v>22</v>
      </c>
      <c r="F205" s="332">
        <v>42</v>
      </c>
      <c r="G205" s="332">
        <v>90</v>
      </c>
      <c r="H205" s="332">
        <v>13.700000000000001</v>
      </c>
      <c r="I205" s="333">
        <v>0.35000000000000003</v>
      </c>
      <c r="J205" s="333">
        <v>1.42</v>
      </c>
      <c r="K205" s="332">
        <v>12</v>
      </c>
      <c r="L205" s="332">
        <v>1</v>
      </c>
      <c r="M205" s="332" t="s">
        <v>157</v>
      </c>
      <c r="N205" s="332">
        <v>2002</v>
      </c>
      <c r="O205" s="332" t="s">
        <v>158</v>
      </c>
      <c r="P205" s="332">
        <v>122432</v>
      </c>
      <c r="Q205" s="335" t="s">
        <v>213</v>
      </c>
      <c r="R205" s="335" t="s">
        <v>219</v>
      </c>
      <c r="S205" s="335" t="s">
        <v>166</v>
      </c>
    </row>
    <row r="206" spans="1:19" x14ac:dyDescent="0.2">
      <c r="A206" s="335" t="s">
        <v>652</v>
      </c>
      <c r="B206" s="332">
        <v>4</v>
      </c>
      <c r="C206" s="332">
        <v>2</v>
      </c>
      <c r="D206" s="332">
        <v>4</v>
      </c>
      <c r="E206" s="332">
        <v>9</v>
      </c>
      <c r="F206" s="332"/>
      <c r="G206" s="332"/>
      <c r="H206" s="332"/>
      <c r="I206" s="333">
        <v>0.61</v>
      </c>
      <c r="J206" s="333">
        <v>2</v>
      </c>
      <c r="K206" s="332"/>
      <c r="L206" s="332"/>
      <c r="M206" s="332" t="s">
        <v>157</v>
      </c>
      <c r="N206" s="332">
        <v>2014</v>
      </c>
      <c r="O206" s="332" t="s">
        <v>158</v>
      </c>
      <c r="P206" s="332">
        <v>836908</v>
      </c>
      <c r="Q206" s="335" t="s">
        <v>491</v>
      </c>
      <c r="R206" s="335" t="s">
        <v>1089</v>
      </c>
      <c r="S206" s="335"/>
    </row>
    <row r="207" spans="1:19" x14ac:dyDescent="0.2">
      <c r="A207" s="335" t="s">
        <v>575</v>
      </c>
      <c r="B207" s="332">
        <v>4</v>
      </c>
      <c r="C207" s="332">
        <v>2</v>
      </c>
      <c r="D207" s="332">
        <v>5</v>
      </c>
      <c r="E207" s="332">
        <v>14</v>
      </c>
      <c r="F207" s="332">
        <v>11</v>
      </c>
      <c r="G207" s="332">
        <v>35</v>
      </c>
      <c r="H207" s="332">
        <v>6.2</v>
      </c>
      <c r="I207" s="333">
        <v>0.59</v>
      </c>
      <c r="J207" s="333">
        <v>1.56</v>
      </c>
      <c r="K207" s="332">
        <v>8.5</v>
      </c>
      <c r="L207" s="332">
        <v>0.5</v>
      </c>
      <c r="M207" s="332" t="s">
        <v>157</v>
      </c>
      <c r="N207" s="332">
        <v>2005</v>
      </c>
      <c r="O207" s="332" t="s">
        <v>158</v>
      </c>
      <c r="P207" s="332">
        <v>855973</v>
      </c>
      <c r="Q207" s="335" t="s">
        <v>291</v>
      </c>
      <c r="R207" s="335" t="s">
        <v>1089</v>
      </c>
      <c r="S207" s="335"/>
    </row>
    <row r="208" spans="1:19" x14ac:dyDescent="0.2">
      <c r="A208" s="335" t="s">
        <v>472</v>
      </c>
      <c r="B208" s="332">
        <v>6</v>
      </c>
      <c r="C208" s="332">
        <v>4</v>
      </c>
      <c r="D208" s="332">
        <v>9</v>
      </c>
      <c r="E208" s="332">
        <v>11</v>
      </c>
      <c r="F208" s="332">
        <v>33</v>
      </c>
      <c r="G208" s="332">
        <v>71</v>
      </c>
      <c r="H208" s="332">
        <v>11.3</v>
      </c>
      <c r="I208" s="333">
        <v>0.45</v>
      </c>
      <c r="J208" s="333">
        <v>1.6600000000000001</v>
      </c>
      <c r="K208" s="332">
        <v>8.3000000000000007</v>
      </c>
      <c r="L208" s="332">
        <v>1.2</v>
      </c>
      <c r="M208" s="332" t="s">
        <v>157</v>
      </c>
      <c r="N208" s="332">
        <v>2000</v>
      </c>
      <c r="O208" s="332" t="s">
        <v>158</v>
      </c>
      <c r="P208" s="332">
        <v>878520</v>
      </c>
      <c r="Q208" s="335" t="s">
        <v>200</v>
      </c>
      <c r="R208" s="335" t="s">
        <v>1089</v>
      </c>
      <c r="S208" s="335" t="s">
        <v>166</v>
      </c>
    </row>
    <row r="209" spans="1:19" x14ac:dyDescent="0.2">
      <c r="A209" s="335" t="s">
        <v>431</v>
      </c>
      <c r="B209" s="332">
        <v>15</v>
      </c>
      <c r="C209" s="332">
        <v>5</v>
      </c>
      <c r="D209" s="332">
        <v>14</v>
      </c>
      <c r="E209" s="332">
        <v>39</v>
      </c>
      <c r="F209" s="332">
        <v>39</v>
      </c>
      <c r="G209" s="332">
        <v>45</v>
      </c>
      <c r="H209" s="332">
        <v>7.7</v>
      </c>
      <c r="I209" s="333">
        <v>0.4</v>
      </c>
      <c r="J209" s="333">
        <v>1.76</v>
      </c>
      <c r="K209" s="332">
        <v>15.3</v>
      </c>
      <c r="L209" s="332">
        <v>0.8</v>
      </c>
      <c r="M209" s="332" t="s">
        <v>157</v>
      </c>
      <c r="N209" s="332">
        <v>2002</v>
      </c>
      <c r="O209" s="332" t="s">
        <v>158</v>
      </c>
      <c r="P209" s="332">
        <v>950774</v>
      </c>
      <c r="Q209" s="335" t="s">
        <v>213</v>
      </c>
      <c r="R209" s="335" t="s">
        <v>302</v>
      </c>
      <c r="S209" s="335" t="s">
        <v>166</v>
      </c>
    </row>
    <row r="210" spans="1:19" x14ac:dyDescent="0.2">
      <c r="A210" s="335" t="s">
        <v>433</v>
      </c>
      <c r="B210" s="332">
        <v>3</v>
      </c>
      <c r="C210" s="332">
        <v>2</v>
      </c>
      <c r="D210" s="332">
        <v>10</v>
      </c>
      <c r="E210" s="332">
        <v>29</v>
      </c>
      <c r="F210" s="332">
        <v>13</v>
      </c>
      <c r="G210" s="332">
        <v>26</v>
      </c>
      <c r="H210" s="332">
        <v>4.8</v>
      </c>
      <c r="I210" s="333">
        <v>0.42</v>
      </c>
      <c r="J210" s="333">
        <v>1.84</v>
      </c>
      <c r="K210" s="332">
        <v>16.8</v>
      </c>
      <c r="L210" s="332">
        <v>0.3</v>
      </c>
      <c r="M210" s="332" t="s">
        <v>157</v>
      </c>
      <c r="N210" s="332">
        <v>2005</v>
      </c>
      <c r="O210" s="332" t="s">
        <v>158</v>
      </c>
      <c r="P210" s="332">
        <v>449090</v>
      </c>
      <c r="Q210" s="335" t="s">
        <v>213</v>
      </c>
      <c r="R210" s="335" t="s">
        <v>328</v>
      </c>
      <c r="S210" s="335" t="s">
        <v>166</v>
      </c>
    </row>
    <row r="211" spans="1:19" x14ac:dyDescent="0.2">
      <c r="A211" s="335" t="s">
        <v>376</v>
      </c>
      <c r="B211" s="332">
        <v>12</v>
      </c>
      <c r="C211" s="332">
        <v>9</v>
      </c>
      <c r="D211" s="332">
        <v>16</v>
      </c>
      <c r="E211" s="332">
        <v>23</v>
      </c>
      <c r="F211" s="332">
        <v>44</v>
      </c>
      <c r="G211" s="332">
        <v>132</v>
      </c>
      <c r="H211" s="332">
        <v>18.3</v>
      </c>
      <c r="I211" s="333">
        <v>0.34</v>
      </c>
      <c r="J211" s="333">
        <v>1.36</v>
      </c>
      <c r="K211" s="332">
        <v>12.200000000000001</v>
      </c>
      <c r="L211" s="332">
        <v>1.1000000000000001</v>
      </c>
      <c r="M211" s="332" t="s">
        <v>157</v>
      </c>
      <c r="N211" s="332">
        <v>2005</v>
      </c>
      <c r="O211" s="332" t="s">
        <v>158</v>
      </c>
      <c r="P211" s="332">
        <v>484923</v>
      </c>
      <c r="Q211" s="335" t="s">
        <v>213</v>
      </c>
      <c r="R211" s="335" t="s">
        <v>325</v>
      </c>
      <c r="S211" s="335" t="s">
        <v>166</v>
      </c>
    </row>
    <row r="212" spans="1:19" x14ac:dyDescent="0.2">
      <c r="A212" s="335" t="s">
        <v>203</v>
      </c>
      <c r="B212" s="332">
        <v>12</v>
      </c>
      <c r="C212" s="332">
        <v>9</v>
      </c>
      <c r="D212" s="332">
        <v>16</v>
      </c>
      <c r="E212" s="332">
        <v>21</v>
      </c>
      <c r="F212" s="332">
        <v>29</v>
      </c>
      <c r="G212" s="332">
        <v>95</v>
      </c>
      <c r="H212" s="332">
        <v>14.3</v>
      </c>
      <c r="I212" s="333">
        <v>0.16</v>
      </c>
      <c r="J212" s="333">
        <v>0.21</v>
      </c>
      <c r="K212" s="332">
        <v>12.9</v>
      </c>
      <c r="L212" s="332">
        <v>0.70000000000000007</v>
      </c>
      <c r="M212" s="332" t="s">
        <v>157</v>
      </c>
      <c r="N212" s="332">
        <v>2000</v>
      </c>
      <c r="O212" s="332" t="s">
        <v>158</v>
      </c>
      <c r="P212" s="332">
        <v>140673</v>
      </c>
      <c r="Q212" s="335" t="s">
        <v>182</v>
      </c>
      <c r="R212" s="335" t="s">
        <v>219</v>
      </c>
      <c r="S212" s="335" t="s">
        <v>166</v>
      </c>
    </row>
    <row r="213" spans="1:19" x14ac:dyDescent="0.2">
      <c r="A213" s="335" t="s">
        <v>501</v>
      </c>
      <c r="B213" s="332">
        <v>9</v>
      </c>
      <c r="C213" s="332">
        <v>8</v>
      </c>
      <c r="D213" s="332">
        <v>12</v>
      </c>
      <c r="E213" s="332">
        <v>14</v>
      </c>
      <c r="F213" s="332">
        <v>29</v>
      </c>
      <c r="G213" s="332">
        <v>82</v>
      </c>
      <c r="H213" s="332">
        <v>12.700000000000001</v>
      </c>
      <c r="I213" s="333">
        <v>0.54</v>
      </c>
      <c r="J213" s="333">
        <v>1.53</v>
      </c>
      <c r="K213" s="332">
        <v>12.4</v>
      </c>
      <c r="L213" s="332">
        <v>0.8</v>
      </c>
      <c r="M213" s="332" t="s">
        <v>157</v>
      </c>
      <c r="N213" s="332">
        <v>2000</v>
      </c>
      <c r="O213" s="332" t="s">
        <v>158</v>
      </c>
      <c r="P213" s="332">
        <v>144923</v>
      </c>
      <c r="Q213" s="335" t="s">
        <v>211</v>
      </c>
      <c r="R213" s="335" t="s">
        <v>219</v>
      </c>
      <c r="S213" s="335"/>
    </row>
    <row r="214" spans="1:19" x14ac:dyDescent="0.2">
      <c r="A214" s="335" t="s">
        <v>568</v>
      </c>
      <c r="B214" s="332">
        <v>12</v>
      </c>
      <c r="C214" s="332">
        <v>10</v>
      </c>
      <c r="D214" s="332">
        <v>16</v>
      </c>
      <c r="E214" s="332">
        <v>20</v>
      </c>
      <c r="F214" s="332">
        <v>33</v>
      </c>
      <c r="G214" s="332">
        <v>99</v>
      </c>
      <c r="H214" s="332">
        <v>14.700000000000001</v>
      </c>
      <c r="I214" s="333">
        <v>0.64</v>
      </c>
      <c r="J214" s="333">
        <v>1.85</v>
      </c>
      <c r="K214" s="332">
        <v>13.5</v>
      </c>
      <c r="L214" s="332">
        <v>0.8</v>
      </c>
      <c r="M214" s="332" t="s">
        <v>352</v>
      </c>
      <c r="N214" s="332">
        <v>2000</v>
      </c>
      <c r="O214" s="332" t="s">
        <v>69</v>
      </c>
      <c r="P214" s="332">
        <v>155259</v>
      </c>
      <c r="Q214" s="335" t="s">
        <v>435</v>
      </c>
      <c r="R214" s="335" t="s">
        <v>219</v>
      </c>
      <c r="S214" s="335"/>
    </row>
    <row r="215" spans="1:19" x14ac:dyDescent="0.2">
      <c r="A215" s="335" t="s">
        <v>849</v>
      </c>
      <c r="B215" s="332">
        <v>12</v>
      </c>
      <c r="C215" s="332">
        <v>9</v>
      </c>
      <c r="D215" s="332">
        <v>13</v>
      </c>
      <c r="E215" s="332">
        <v>11</v>
      </c>
      <c r="F215" s="332"/>
      <c r="G215" s="332"/>
      <c r="H215" s="332"/>
      <c r="I215" s="333">
        <v>0.67</v>
      </c>
      <c r="J215" s="333">
        <v>1.71</v>
      </c>
      <c r="K215" s="332"/>
      <c r="L215" s="332"/>
      <c r="M215" s="332" t="s">
        <v>157</v>
      </c>
      <c r="N215" s="332">
        <v>2015</v>
      </c>
      <c r="O215" s="332" t="s">
        <v>158</v>
      </c>
      <c r="P215" s="332">
        <v>188300</v>
      </c>
      <c r="Q215" s="335" t="s">
        <v>188</v>
      </c>
      <c r="R215" s="335" t="s">
        <v>219</v>
      </c>
      <c r="S215" s="335" t="s">
        <v>166</v>
      </c>
    </row>
    <row r="216" spans="1:19" x14ac:dyDescent="0.2">
      <c r="A216" s="335" t="s">
        <v>926</v>
      </c>
      <c r="B216" s="332">
        <v>7</v>
      </c>
      <c r="C216" s="332">
        <v>5</v>
      </c>
      <c r="D216" s="332">
        <v>8</v>
      </c>
      <c r="E216" s="332">
        <v>15</v>
      </c>
      <c r="F216" s="332">
        <v>31</v>
      </c>
      <c r="G216" s="332">
        <v>79</v>
      </c>
      <c r="H216" s="332">
        <v>12.4</v>
      </c>
      <c r="I216" s="333">
        <v>0.63</v>
      </c>
      <c r="J216" s="333">
        <v>1.84</v>
      </c>
      <c r="K216" s="332">
        <v>8.9</v>
      </c>
      <c r="L216" s="332">
        <v>1.1000000000000001</v>
      </c>
      <c r="M216" s="332" t="s">
        <v>157</v>
      </c>
      <c r="N216" s="332">
        <v>2015</v>
      </c>
      <c r="O216" s="332" t="s">
        <v>158</v>
      </c>
      <c r="P216" s="332">
        <v>920074</v>
      </c>
      <c r="Q216" s="335" t="s">
        <v>927</v>
      </c>
      <c r="R216" s="335" t="s">
        <v>1089</v>
      </c>
      <c r="S216" s="335" t="s">
        <v>166</v>
      </c>
    </row>
    <row r="217" spans="1:19" x14ac:dyDescent="0.2">
      <c r="A217" s="335" t="s">
        <v>1075</v>
      </c>
      <c r="B217" s="332">
        <v>3</v>
      </c>
      <c r="C217" s="332">
        <v>1</v>
      </c>
      <c r="D217" s="332">
        <v>4</v>
      </c>
      <c r="E217" s="332"/>
      <c r="F217" s="332"/>
      <c r="G217" s="332"/>
      <c r="H217" s="332"/>
      <c r="I217" s="333">
        <v>0.63</v>
      </c>
      <c r="J217" s="333">
        <v>3.61</v>
      </c>
      <c r="K217" s="332"/>
      <c r="L217" s="332"/>
      <c r="M217" s="332" t="s">
        <v>157</v>
      </c>
      <c r="N217" s="332">
        <v>2017</v>
      </c>
      <c r="O217" s="332" t="s">
        <v>69</v>
      </c>
      <c r="P217" s="332">
        <v>925503</v>
      </c>
      <c r="Q217" s="335" t="s">
        <v>838</v>
      </c>
      <c r="R217" s="335" t="s">
        <v>1089</v>
      </c>
      <c r="S217" s="335"/>
    </row>
    <row r="218" spans="1:19" x14ac:dyDescent="0.2">
      <c r="A218" s="335" t="s">
        <v>675</v>
      </c>
      <c r="B218" s="332">
        <v>8</v>
      </c>
      <c r="C218" s="332">
        <v>3</v>
      </c>
      <c r="D218" s="332">
        <v>9</v>
      </c>
      <c r="E218" s="332">
        <v>18</v>
      </c>
      <c r="F218" s="332">
        <v>30</v>
      </c>
      <c r="G218" s="332">
        <v>70</v>
      </c>
      <c r="H218" s="332">
        <v>11.200000000000001</v>
      </c>
      <c r="I218" s="333">
        <v>0.5</v>
      </c>
      <c r="J218" s="333">
        <v>1.68</v>
      </c>
      <c r="K218" s="332">
        <v>10.5</v>
      </c>
      <c r="L218" s="332">
        <v>0.9</v>
      </c>
      <c r="M218" s="332" t="s">
        <v>157</v>
      </c>
      <c r="N218" s="332">
        <v>2012</v>
      </c>
      <c r="O218" s="332" t="s">
        <v>69</v>
      </c>
      <c r="P218" s="332">
        <v>946285</v>
      </c>
      <c r="Q218" s="335" t="s">
        <v>676</v>
      </c>
      <c r="R218" s="335" t="s">
        <v>1089</v>
      </c>
      <c r="S218" s="335"/>
    </row>
    <row r="219" spans="1:19" x14ac:dyDescent="0.2">
      <c r="A219" s="335" t="s">
        <v>315</v>
      </c>
      <c r="B219" s="332">
        <v>3</v>
      </c>
      <c r="C219" s="332">
        <v>2</v>
      </c>
      <c r="D219" s="332">
        <v>4</v>
      </c>
      <c r="E219" s="332">
        <v>7</v>
      </c>
      <c r="F219" s="332">
        <v>12</v>
      </c>
      <c r="G219" s="332">
        <v>30</v>
      </c>
      <c r="H219" s="332">
        <v>5.3</v>
      </c>
      <c r="I219" s="333">
        <v>0.25</v>
      </c>
      <c r="J219" s="333">
        <v>0.6</v>
      </c>
      <c r="K219" s="332">
        <v>4.3</v>
      </c>
      <c r="L219" s="332">
        <v>0.9</v>
      </c>
      <c r="M219" s="332" t="s">
        <v>157</v>
      </c>
      <c r="N219" s="332">
        <v>2000</v>
      </c>
      <c r="O219" s="332" t="s">
        <v>158</v>
      </c>
      <c r="P219" s="332">
        <v>981175</v>
      </c>
      <c r="Q219" s="335" t="s">
        <v>170</v>
      </c>
      <c r="R219" s="335" t="s">
        <v>1089</v>
      </c>
      <c r="S219" s="335" t="s">
        <v>166</v>
      </c>
    </row>
    <row r="220" spans="1:19" x14ac:dyDescent="0.2">
      <c r="A220" s="335" t="s">
        <v>677</v>
      </c>
      <c r="B220" s="332">
        <v>7</v>
      </c>
      <c r="C220" s="332">
        <v>3</v>
      </c>
      <c r="D220" s="332">
        <v>8</v>
      </c>
      <c r="E220" s="332">
        <v>14</v>
      </c>
      <c r="F220" s="332">
        <v>24</v>
      </c>
      <c r="G220" s="332">
        <v>54</v>
      </c>
      <c r="H220" s="332">
        <v>9</v>
      </c>
      <c r="I220" s="333">
        <v>0.5</v>
      </c>
      <c r="J220" s="333">
        <v>1.6500000000000001</v>
      </c>
      <c r="K220" s="332">
        <v>8.4</v>
      </c>
      <c r="L220" s="332">
        <v>0.9</v>
      </c>
      <c r="M220" s="332" t="s">
        <v>157</v>
      </c>
      <c r="N220" s="332">
        <v>2012</v>
      </c>
      <c r="O220" s="332" t="s">
        <v>69</v>
      </c>
      <c r="P220" s="332">
        <v>982116</v>
      </c>
      <c r="Q220" s="335" t="s">
        <v>676</v>
      </c>
      <c r="R220" s="335" t="s">
        <v>1089</v>
      </c>
      <c r="S220" s="335"/>
    </row>
    <row r="221" spans="1:19" x14ac:dyDescent="0.2">
      <c r="A221" s="335" t="s">
        <v>460</v>
      </c>
      <c r="B221" s="332">
        <v>7</v>
      </c>
      <c r="C221" s="332">
        <v>4</v>
      </c>
      <c r="D221" s="332">
        <v>8</v>
      </c>
      <c r="E221" s="332">
        <v>14</v>
      </c>
      <c r="F221" s="332">
        <v>21</v>
      </c>
      <c r="G221" s="332">
        <v>53</v>
      </c>
      <c r="H221" s="332">
        <v>8.8000000000000007</v>
      </c>
      <c r="I221" s="333">
        <v>0.37</v>
      </c>
      <c r="J221" s="333">
        <v>2.17</v>
      </c>
      <c r="K221" s="332">
        <v>8.5</v>
      </c>
      <c r="L221" s="332">
        <v>0.8</v>
      </c>
      <c r="M221" s="332" t="s">
        <v>157</v>
      </c>
      <c r="N221" s="332">
        <v>2011</v>
      </c>
      <c r="O221" s="332" t="s">
        <v>69</v>
      </c>
      <c r="P221" s="332">
        <v>983940</v>
      </c>
      <c r="Q221" s="335" t="s">
        <v>997</v>
      </c>
      <c r="R221" s="335" t="s">
        <v>1089</v>
      </c>
      <c r="S221" s="335"/>
    </row>
    <row r="222" spans="1:19" x14ac:dyDescent="0.2">
      <c r="A222" s="335" t="s">
        <v>440</v>
      </c>
      <c r="B222" s="332">
        <v>7</v>
      </c>
      <c r="C222" s="332">
        <v>-3</v>
      </c>
      <c r="D222" s="332">
        <v>8</v>
      </c>
      <c r="E222" s="332">
        <v>28</v>
      </c>
      <c r="F222" s="332">
        <v>5</v>
      </c>
      <c r="G222" s="332">
        <v>-5</v>
      </c>
      <c r="H222" s="332">
        <v>-1</v>
      </c>
      <c r="I222" s="333">
        <v>0.4</v>
      </c>
      <c r="J222" s="333">
        <v>1.76</v>
      </c>
      <c r="K222" s="332">
        <v>21</v>
      </c>
      <c r="L222" s="332">
        <v>0.2</v>
      </c>
      <c r="M222" s="332" t="s">
        <v>157</v>
      </c>
      <c r="N222" s="332">
        <v>2011</v>
      </c>
      <c r="O222" s="332" t="s">
        <v>158</v>
      </c>
      <c r="P222" s="332">
        <v>823039</v>
      </c>
      <c r="Q222" s="335" t="s">
        <v>213</v>
      </c>
      <c r="R222" s="335" t="s">
        <v>369</v>
      </c>
      <c r="S222" s="335" t="s">
        <v>166</v>
      </c>
    </row>
    <row r="223" spans="1:19" x14ac:dyDescent="0.2">
      <c r="A223" s="335" t="s">
        <v>415</v>
      </c>
      <c r="B223" s="332">
        <v>2</v>
      </c>
      <c r="C223" s="332">
        <v>-2</v>
      </c>
      <c r="D223" s="332">
        <v>1</v>
      </c>
      <c r="E223" s="332">
        <v>20</v>
      </c>
      <c r="F223" s="332">
        <v>62</v>
      </c>
      <c r="G223" s="332">
        <v>100</v>
      </c>
      <c r="H223" s="332">
        <v>14.9</v>
      </c>
      <c r="I223" s="333">
        <v>0.36</v>
      </c>
      <c r="J223" s="333">
        <v>1.5</v>
      </c>
      <c r="K223" s="332">
        <v>14.6</v>
      </c>
      <c r="L223" s="332">
        <v>1.2</v>
      </c>
      <c r="M223" s="332" t="s">
        <v>157</v>
      </c>
      <c r="N223" s="332">
        <v>2005</v>
      </c>
      <c r="O223" s="332" t="s">
        <v>158</v>
      </c>
      <c r="P223" s="332">
        <v>377432</v>
      </c>
      <c r="Q223" s="335" t="s">
        <v>213</v>
      </c>
      <c r="R223" s="335" t="s">
        <v>205</v>
      </c>
      <c r="S223" s="335" t="s">
        <v>166</v>
      </c>
    </row>
    <row r="224" spans="1:19" x14ac:dyDescent="0.2">
      <c r="A224" s="335" t="s">
        <v>267</v>
      </c>
      <c r="B224" s="332">
        <v>3</v>
      </c>
      <c r="C224" s="332">
        <v>2</v>
      </c>
      <c r="D224" s="332">
        <v>4</v>
      </c>
      <c r="E224" s="332">
        <v>10</v>
      </c>
      <c r="F224" s="332">
        <v>25</v>
      </c>
      <c r="G224" s="332">
        <v>55</v>
      </c>
      <c r="H224" s="332">
        <v>9.1</v>
      </c>
      <c r="I224" s="333">
        <v>0.21</v>
      </c>
      <c r="J224" s="333">
        <v>0.5</v>
      </c>
      <c r="K224" s="332">
        <v>5.7</v>
      </c>
      <c r="L224" s="332">
        <v>1.4000000000000001</v>
      </c>
      <c r="M224" s="332" t="s">
        <v>157</v>
      </c>
      <c r="N224" s="332">
        <v>2000</v>
      </c>
      <c r="O224" s="332" t="s">
        <v>158</v>
      </c>
      <c r="P224" s="332">
        <v>972679</v>
      </c>
      <c r="Q224" s="335" t="s">
        <v>213</v>
      </c>
      <c r="R224" s="335" t="s">
        <v>163</v>
      </c>
      <c r="S224" s="335" t="s">
        <v>166</v>
      </c>
    </row>
    <row r="225" spans="1:19" x14ac:dyDescent="0.2">
      <c r="A225" s="335" t="s">
        <v>534</v>
      </c>
      <c r="B225" s="332">
        <v>11</v>
      </c>
      <c r="C225" s="332">
        <v>9</v>
      </c>
      <c r="D225" s="332">
        <v>16</v>
      </c>
      <c r="E225" s="332">
        <v>21</v>
      </c>
      <c r="F225" s="332">
        <v>20</v>
      </c>
      <c r="G225" s="332">
        <v>78</v>
      </c>
      <c r="H225" s="332">
        <v>12.200000000000001</v>
      </c>
      <c r="I225" s="333">
        <v>0.61</v>
      </c>
      <c r="J225" s="333">
        <v>1.45</v>
      </c>
      <c r="K225" s="332">
        <v>11.700000000000001</v>
      </c>
      <c r="L225" s="332">
        <v>0.6</v>
      </c>
      <c r="M225" s="332" t="s">
        <v>157</v>
      </c>
      <c r="N225" s="332">
        <v>2000</v>
      </c>
      <c r="O225" s="332" t="s">
        <v>158</v>
      </c>
      <c r="P225" s="332">
        <v>273078</v>
      </c>
      <c r="Q225" s="335" t="s">
        <v>320</v>
      </c>
      <c r="R225" s="335" t="s">
        <v>219</v>
      </c>
      <c r="S225" s="335" t="s">
        <v>166</v>
      </c>
    </row>
    <row r="226" spans="1:19" x14ac:dyDescent="0.2">
      <c r="A226" s="335" t="s">
        <v>963</v>
      </c>
      <c r="B226" s="332">
        <v>18</v>
      </c>
      <c r="C226" s="332">
        <v>9</v>
      </c>
      <c r="D226" s="332">
        <v>15</v>
      </c>
      <c r="E226" s="332">
        <v>28</v>
      </c>
      <c r="F226" s="332">
        <v>38</v>
      </c>
      <c r="G226" s="332">
        <v>45</v>
      </c>
      <c r="H226" s="332">
        <v>7.7</v>
      </c>
      <c r="I226" s="333">
        <v>0.75</v>
      </c>
      <c r="J226" s="333">
        <v>1.84</v>
      </c>
      <c r="K226" s="332">
        <v>14.5</v>
      </c>
      <c r="L226" s="332">
        <v>0.8</v>
      </c>
      <c r="M226" s="332" t="s">
        <v>352</v>
      </c>
      <c r="N226" s="332">
        <v>2008</v>
      </c>
      <c r="O226" s="332" t="s">
        <v>69</v>
      </c>
      <c r="P226" s="332">
        <v>295972</v>
      </c>
      <c r="Q226" s="335" t="s">
        <v>476</v>
      </c>
      <c r="R226" s="335" t="s">
        <v>302</v>
      </c>
      <c r="S226" s="335"/>
    </row>
    <row r="227" spans="1:19" x14ac:dyDescent="0.2">
      <c r="A227" s="335" t="s">
        <v>933</v>
      </c>
      <c r="B227" s="332">
        <v>13</v>
      </c>
      <c r="C227" s="332">
        <v>7</v>
      </c>
      <c r="D227" s="332">
        <v>17</v>
      </c>
      <c r="E227" s="332">
        <v>22</v>
      </c>
      <c r="F227" s="332">
        <v>78</v>
      </c>
      <c r="G227" s="332">
        <v>210</v>
      </c>
      <c r="H227" s="332">
        <v>25.400000000000002</v>
      </c>
      <c r="I227" s="333">
        <v>0.45</v>
      </c>
      <c r="J227" s="333">
        <v>1.55</v>
      </c>
      <c r="K227" s="332">
        <v>14</v>
      </c>
      <c r="L227" s="332">
        <v>1.5</v>
      </c>
      <c r="M227" s="332" t="s">
        <v>157</v>
      </c>
      <c r="N227" s="332">
        <v>2006</v>
      </c>
      <c r="O227" s="332" t="s">
        <v>158</v>
      </c>
      <c r="P227" s="332">
        <v>416867</v>
      </c>
      <c r="Q227" s="335" t="s">
        <v>170</v>
      </c>
      <c r="R227" s="335" t="s">
        <v>264</v>
      </c>
      <c r="S227" s="335" t="s">
        <v>166</v>
      </c>
    </row>
    <row r="228" spans="1:19" x14ac:dyDescent="0.2">
      <c r="A228" s="335" t="s">
        <v>610</v>
      </c>
      <c r="B228" s="332">
        <v>3</v>
      </c>
      <c r="C228" s="332">
        <v>0</v>
      </c>
      <c r="D228" s="332">
        <v>3</v>
      </c>
      <c r="E228" s="332">
        <v>11</v>
      </c>
      <c r="F228" s="332">
        <v>28</v>
      </c>
      <c r="G228" s="332">
        <v>46</v>
      </c>
      <c r="H228" s="332">
        <v>7.9</v>
      </c>
      <c r="I228" s="333">
        <v>0.63</v>
      </c>
      <c r="J228" s="333">
        <v>1.76</v>
      </c>
      <c r="K228" s="332">
        <v>8.6</v>
      </c>
      <c r="L228" s="332">
        <v>1</v>
      </c>
      <c r="M228" s="332" t="s">
        <v>352</v>
      </c>
      <c r="N228" s="332">
        <v>2002</v>
      </c>
      <c r="O228" s="332" t="s">
        <v>69</v>
      </c>
      <c r="P228" s="332">
        <v>999359</v>
      </c>
      <c r="Q228" s="335" t="s">
        <v>517</v>
      </c>
      <c r="R228" s="335" t="s">
        <v>1089</v>
      </c>
      <c r="S228" s="335"/>
    </row>
    <row r="229" spans="1:19" x14ac:dyDescent="0.2">
      <c r="A229" s="335" t="s">
        <v>1058</v>
      </c>
      <c r="B229" s="332">
        <v>8</v>
      </c>
      <c r="C229" s="332">
        <v>3</v>
      </c>
      <c r="D229" s="332">
        <v>9</v>
      </c>
      <c r="E229" s="332">
        <v>21</v>
      </c>
      <c r="F229" s="332"/>
      <c r="G229" s="332"/>
      <c r="H229" s="332"/>
      <c r="I229" s="333">
        <v>0.2</v>
      </c>
      <c r="J229" s="333">
        <v>0.52</v>
      </c>
      <c r="K229" s="332"/>
      <c r="L229" s="332"/>
      <c r="M229" s="332" t="s">
        <v>157</v>
      </c>
      <c r="N229" s="332">
        <v>2016</v>
      </c>
      <c r="O229" s="332" t="s">
        <v>158</v>
      </c>
      <c r="P229" s="332">
        <v>105072</v>
      </c>
      <c r="Q229" s="335" t="s">
        <v>177</v>
      </c>
      <c r="R229" s="335" t="s">
        <v>1087</v>
      </c>
      <c r="S229" s="335" t="s">
        <v>166</v>
      </c>
    </row>
    <row r="230" spans="1:19" x14ac:dyDescent="0.2">
      <c r="A230" s="335" t="s">
        <v>1057</v>
      </c>
      <c r="B230" s="332">
        <v>8</v>
      </c>
      <c r="C230" s="332">
        <v>3</v>
      </c>
      <c r="D230" s="332">
        <v>9</v>
      </c>
      <c r="E230" s="332">
        <v>21</v>
      </c>
      <c r="F230" s="332"/>
      <c r="G230" s="332"/>
      <c r="H230" s="332"/>
      <c r="I230" s="333">
        <v>0.2</v>
      </c>
      <c r="J230" s="333">
        <v>0.52</v>
      </c>
      <c r="K230" s="332"/>
      <c r="L230" s="332"/>
      <c r="M230" s="332" t="s">
        <v>157</v>
      </c>
      <c r="N230" s="332">
        <v>2016</v>
      </c>
      <c r="O230" s="332" t="s">
        <v>158</v>
      </c>
      <c r="P230" s="332">
        <v>140905</v>
      </c>
      <c r="Q230" s="335" t="s">
        <v>177</v>
      </c>
      <c r="R230" s="335" t="s">
        <v>1087</v>
      </c>
      <c r="S230" s="335" t="s">
        <v>166</v>
      </c>
    </row>
    <row r="231" spans="1:19" x14ac:dyDescent="0.2">
      <c r="A231" s="335" t="s">
        <v>1024</v>
      </c>
      <c r="B231" s="332">
        <v>1</v>
      </c>
      <c r="C231" s="332">
        <v>-2</v>
      </c>
      <c r="D231" s="332">
        <v>1</v>
      </c>
      <c r="E231" s="332"/>
      <c r="F231" s="332"/>
      <c r="G231" s="332"/>
      <c r="H231" s="332"/>
      <c r="I231" s="333">
        <v>0.48</v>
      </c>
      <c r="J231" s="333">
        <v>1.1000000000000001</v>
      </c>
      <c r="K231" s="332"/>
      <c r="L231" s="332"/>
      <c r="M231" s="332" t="s">
        <v>157</v>
      </c>
      <c r="N231" s="332">
        <v>2016</v>
      </c>
      <c r="O231" s="332" t="s">
        <v>158</v>
      </c>
      <c r="P231" s="332">
        <v>216812</v>
      </c>
      <c r="Q231" s="335" t="s">
        <v>1035</v>
      </c>
      <c r="R231" s="335" t="s">
        <v>1087</v>
      </c>
      <c r="S231" s="335"/>
    </row>
    <row r="232" spans="1:19" x14ac:dyDescent="0.2">
      <c r="A232" s="335" t="s">
        <v>1023</v>
      </c>
      <c r="B232" s="332">
        <v>4</v>
      </c>
      <c r="C232" s="332">
        <v>6</v>
      </c>
      <c r="D232" s="332">
        <v>6</v>
      </c>
      <c r="E232" s="332"/>
      <c r="F232" s="332"/>
      <c r="G232" s="332"/>
      <c r="H232" s="332"/>
      <c r="I232" s="333">
        <v>0.45</v>
      </c>
      <c r="J232" s="333">
        <v>1</v>
      </c>
      <c r="K232" s="332"/>
      <c r="L232" s="332"/>
      <c r="M232" s="332" t="s">
        <v>157</v>
      </c>
      <c r="N232" s="332">
        <v>2016</v>
      </c>
      <c r="O232" s="332" t="s">
        <v>158</v>
      </c>
      <c r="P232" s="332">
        <v>252643</v>
      </c>
      <c r="Q232" s="335" t="s">
        <v>1035</v>
      </c>
      <c r="R232" s="335" t="s">
        <v>1087</v>
      </c>
      <c r="S232" s="335"/>
    </row>
    <row r="233" spans="1:19" x14ac:dyDescent="0.2">
      <c r="A233" s="335" t="s">
        <v>1022</v>
      </c>
      <c r="B233" s="332">
        <v>8</v>
      </c>
      <c r="C233" s="332">
        <v>6</v>
      </c>
      <c r="D233" s="332">
        <v>11</v>
      </c>
      <c r="E233" s="332"/>
      <c r="F233" s="332"/>
      <c r="G233" s="332"/>
      <c r="H233" s="332"/>
      <c r="I233" s="333">
        <v>0.44</v>
      </c>
      <c r="J233" s="333">
        <v>0.98</v>
      </c>
      <c r="K233" s="332"/>
      <c r="L233" s="332"/>
      <c r="M233" s="332" t="s">
        <v>157</v>
      </c>
      <c r="N233" s="332">
        <v>2016</v>
      </c>
      <c r="O233" s="332" t="s">
        <v>158</v>
      </c>
      <c r="P233" s="332">
        <v>288472</v>
      </c>
      <c r="Q233" s="335" t="s">
        <v>1035</v>
      </c>
      <c r="R233" s="335" t="s">
        <v>1087</v>
      </c>
      <c r="S233" s="335"/>
    </row>
    <row r="234" spans="1:19" x14ac:dyDescent="0.2">
      <c r="A234" s="335" t="s">
        <v>311</v>
      </c>
      <c r="B234" s="332">
        <v>7</v>
      </c>
      <c r="C234" s="332">
        <v>3</v>
      </c>
      <c r="D234" s="332">
        <v>8</v>
      </c>
      <c r="E234" s="332">
        <v>19</v>
      </c>
      <c r="F234" s="332">
        <v>32</v>
      </c>
      <c r="G234" s="332">
        <v>82</v>
      </c>
      <c r="H234" s="332">
        <v>12.700000000000001</v>
      </c>
      <c r="I234" s="333">
        <v>0.19</v>
      </c>
      <c r="J234" s="333">
        <v>0.52</v>
      </c>
      <c r="K234" s="332">
        <v>9.1</v>
      </c>
      <c r="L234" s="332">
        <v>1.1000000000000001</v>
      </c>
      <c r="M234" s="332" t="s">
        <v>157</v>
      </c>
      <c r="N234" s="332">
        <v>2012</v>
      </c>
      <c r="O234" s="332" t="s">
        <v>158</v>
      </c>
      <c r="P234" s="332">
        <v>320762</v>
      </c>
      <c r="Q234" s="335" t="s">
        <v>175</v>
      </c>
      <c r="R234" s="335" t="s">
        <v>1087</v>
      </c>
      <c r="S234" s="335"/>
    </row>
    <row r="235" spans="1:19" x14ac:dyDescent="0.2">
      <c r="A235" s="335" t="s">
        <v>999</v>
      </c>
      <c r="B235" s="332">
        <v>7</v>
      </c>
      <c r="C235" s="332">
        <v>1</v>
      </c>
      <c r="D235" s="332">
        <v>7</v>
      </c>
      <c r="E235" s="332">
        <v>22</v>
      </c>
      <c r="F235" s="332"/>
      <c r="G235" s="332"/>
      <c r="H235" s="332"/>
      <c r="I235" s="333">
        <v>0.18</v>
      </c>
      <c r="J235" s="333">
        <v>0.42</v>
      </c>
      <c r="K235" s="332"/>
      <c r="L235" s="332"/>
      <c r="M235" s="332" t="s">
        <v>157</v>
      </c>
      <c r="N235" s="332">
        <v>2016</v>
      </c>
      <c r="O235" s="332" t="s">
        <v>158</v>
      </c>
      <c r="P235" s="332">
        <v>473702</v>
      </c>
      <c r="Q235" s="335" t="s">
        <v>182</v>
      </c>
      <c r="R235" s="335" t="s">
        <v>185</v>
      </c>
      <c r="S235" s="335" t="s">
        <v>166</v>
      </c>
    </row>
    <row r="236" spans="1:19" x14ac:dyDescent="0.2">
      <c r="A236" s="335" t="s">
        <v>1000</v>
      </c>
      <c r="B236" s="332">
        <v>13</v>
      </c>
      <c r="C236" s="332">
        <v>4</v>
      </c>
      <c r="D236" s="332">
        <v>11</v>
      </c>
      <c r="E236" s="332"/>
      <c r="F236" s="332"/>
      <c r="G236" s="332"/>
      <c r="H236" s="332"/>
      <c r="I236" s="333">
        <v>0.23</v>
      </c>
      <c r="J236" s="333">
        <v>0.81</v>
      </c>
      <c r="K236" s="332"/>
      <c r="L236" s="332"/>
      <c r="M236" s="332" t="s">
        <v>157</v>
      </c>
      <c r="N236" s="332">
        <v>2016</v>
      </c>
      <c r="O236" s="332" t="s">
        <v>158</v>
      </c>
      <c r="P236" s="332">
        <v>971077</v>
      </c>
      <c r="Q236" s="335" t="s">
        <v>182</v>
      </c>
      <c r="R236" s="335" t="s">
        <v>302</v>
      </c>
      <c r="S236" s="335" t="s">
        <v>166</v>
      </c>
    </row>
    <row r="237" spans="1:19" x14ac:dyDescent="0.2">
      <c r="A237" s="335" t="s">
        <v>951</v>
      </c>
      <c r="B237" s="332">
        <v>14</v>
      </c>
      <c r="C237" s="332">
        <v>13</v>
      </c>
      <c r="D237" s="332">
        <v>17</v>
      </c>
      <c r="E237" s="332">
        <v>18</v>
      </c>
      <c r="F237" s="332">
        <v>30</v>
      </c>
      <c r="G237" s="332">
        <v>91</v>
      </c>
      <c r="H237" s="332">
        <v>13.8</v>
      </c>
      <c r="I237" s="333">
        <v>0.36</v>
      </c>
      <c r="J237" s="333">
        <v>1.6600000000000001</v>
      </c>
      <c r="K237" s="332">
        <v>13.3</v>
      </c>
      <c r="L237" s="332">
        <v>0.70000000000000007</v>
      </c>
      <c r="M237" s="332" t="s">
        <v>157</v>
      </c>
      <c r="N237" s="332">
        <v>2013</v>
      </c>
      <c r="O237" s="332" t="s">
        <v>158</v>
      </c>
      <c r="P237" s="332">
        <v>362020</v>
      </c>
      <c r="Q237" s="335" t="s">
        <v>198</v>
      </c>
      <c r="R237" s="335" t="s">
        <v>219</v>
      </c>
      <c r="S237" s="335" t="s">
        <v>166</v>
      </c>
    </row>
    <row r="238" spans="1:19" x14ac:dyDescent="0.2">
      <c r="A238" s="335" t="s">
        <v>960</v>
      </c>
      <c r="B238" s="332">
        <v>11</v>
      </c>
      <c r="C238" s="332">
        <v>6</v>
      </c>
      <c r="D238" s="332">
        <v>12</v>
      </c>
      <c r="E238" s="332">
        <v>23</v>
      </c>
      <c r="F238" s="332"/>
      <c r="G238" s="332"/>
      <c r="H238" s="332"/>
      <c r="I238" s="333">
        <v>0.01</v>
      </c>
      <c r="J238" s="333">
        <v>0.01</v>
      </c>
      <c r="K238" s="332"/>
      <c r="L238" s="332"/>
      <c r="M238" s="332" t="s">
        <v>157</v>
      </c>
      <c r="N238" s="332">
        <v>2015</v>
      </c>
      <c r="O238" s="332" t="s">
        <v>69</v>
      </c>
      <c r="P238" s="332">
        <v>337709</v>
      </c>
      <c r="Q238" s="335" t="s">
        <v>162</v>
      </c>
      <c r="R238" s="335" t="s">
        <v>1087</v>
      </c>
      <c r="S238" s="335"/>
    </row>
    <row r="239" spans="1:19" x14ac:dyDescent="0.2">
      <c r="A239" s="335" t="s">
        <v>245</v>
      </c>
      <c r="B239" s="332">
        <v>7</v>
      </c>
      <c r="C239" s="332">
        <v>3</v>
      </c>
      <c r="D239" s="332">
        <v>8</v>
      </c>
      <c r="E239" s="332">
        <v>20</v>
      </c>
      <c r="F239" s="332">
        <v>41</v>
      </c>
      <c r="G239" s="332">
        <v>95</v>
      </c>
      <c r="H239" s="332">
        <v>14.3</v>
      </c>
      <c r="I239" s="333">
        <v>0.18</v>
      </c>
      <c r="J239" s="333">
        <v>0.41000000000000003</v>
      </c>
      <c r="K239" s="332">
        <v>10.8</v>
      </c>
      <c r="L239" s="332">
        <v>1.1000000000000001</v>
      </c>
      <c r="M239" s="332" t="s">
        <v>157</v>
      </c>
      <c r="N239" s="332">
        <v>2000</v>
      </c>
      <c r="O239" s="332" t="s">
        <v>158</v>
      </c>
      <c r="P239" s="332">
        <v>463141</v>
      </c>
      <c r="Q239" s="335" t="s">
        <v>182</v>
      </c>
      <c r="R239" s="335" t="s">
        <v>1087</v>
      </c>
      <c r="S239" s="335" t="s">
        <v>166</v>
      </c>
    </row>
    <row r="240" spans="1:19" x14ac:dyDescent="0.2">
      <c r="A240" s="335" t="s">
        <v>246</v>
      </c>
      <c r="B240" s="332">
        <v>8</v>
      </c>
      <c r="C240" s="332">
        <v>3</v>
      </c>
      <c r="D240" s="332">
        <v>8</v>
      </c>
      <c r="E240" s="332">
        <v>22</v>
      </c>
      <c r="F240" s="332">
        <v>43</v>
      </c>
      <c r="G240" s="332">
        <v>99</v>
      </c>
      <c r="H240" s="332">
        <v>14.8</v>
      </c>
      <c r="I240" s="333">
        <v>0.18</v>
      </c>
      <c r="J240" s="333">
        <v>0.41000000000000003</v>
      </c>
      <c r="K240" s="332">
        <v>11.4</v>
      </c>
      <c r="L240" s="332">
        <v>1.1000000000000001</v>
      </c>
      <c r="M240" s="332" t="s">
        <v>157</v>
      </c>
      <c r="N240" s="332">
        <v>2000</v>
      </c>
      <c r="O240" s="332" t="s">
        <v>158</v>
      </c>
      <c r="P240" s="332">
        <v>498972</v>
      </c>
      <c r="Q240" s="335" t="s">
        <v>182</v>
      </c>
      <c r="R240" s="335" t="s">
        <v>1087</v>
      </c>
      <c r="S240" s="335" t="s">
        <v>166</v>
      </c>
    </row>
    <row r="241" spans="1:19" x14ac:dyDescent="0.2">
      <c r="A241" s="335" t="s">
        <v>276</v>
      </c>
      <c r="B241" s="332">
        <v>8</v>
      </c>
      <c r="C241" s="332">
        <v>4</v>
      </c>
      <c r="D241" s="332">
        <v>9</v>
      </c>
      <c r="E241" s="332">
        <v>21</v>
      </c>
      <c r="F241" s="332">
        <v>44</v>
      </c>
      <c r="G241" s="332">
        <v>99</v>
      </c>
      <c r="H241" s="332">
        <v>14.8</v>
      </c>
      <c r="I241" s="333">
        <v>0.23</v>
      </c>
      <c r="J241" s="333">
        <v>0.63</v>
      </c>
      <c r="K241" s="332">
        <v>11.3</v>
      </c>
      <c r="L241" s="332">
        <v>1.1000000000000001</v>
      </c>
      <c r="M241" s="332" t="s">
        <v>157</v>
      </c>
      <c r="N241" s="332">
        <v>2007</v>
      </c>
      <c r="O241" s="332" t="s">
        <v>69</v>
      </c>
      <c r="P241" s="332">
        <v>537696</v>
      </c>
      <c r="Q241" s="335" t="s">
        <v>213</v>
      </c>
      <c r="R241" s="335" t="s">
        <v>1087</v>
      </c>
      <c r="S241" s="335"/>
    </row>
    <row r="242" spans="1:19" x14ac:dyDescent="0.2">
      <c r="A242" s="335" t="s">
        <v>281</v>
      </c>
      <c r="B242" s="332">
        <v>8</v>
      </c>
      <c r="C242" s="332">
        <v>4</v>
      </c>
      <c r="D242" s="332">
        <v>9</v>
      </c>
      <c r="E242" s="332">
        <v>22</v>
      </c>
      <c r="F242" s="332">
        <v>44</v>
      </c>
      <c r="G242" s="332">
        <v>98</v>
      </c>
      <c r="H242" s="332">
        <v>14.700000000000001</v>
      </c>
      <c r="I242" s="333">
        <v>0.2</v>
      </c>
      <c r="J242" s="333">
        <v>0.52</v>
      </c>
      <c r="K242" s="332">
        <v>12.200000000000001</v>
      </c>
      <c r="L242" s="332">
        <v>1.1000000000000001</v>
      </c>
      <c r="M242" s="332" t="s">
        <v>157</v>
      </c>
      <c r="N242" s="332">
        <v>2000</v>
      </c>
      <c r="O242" s="332" t="s">
        <v>158</v>
      </c>
      <c r="P242" s="332">
        <v>635623</v>
      </c>
      <c r="Q242" s="335" t="s">
        <v>177</v>
      </c>
      <c r="R242" s="335" t="s">
        <v>1087</v>
      </c>
      <c r="S242" s="335" t="s">
        <v>166</v>
      </c>
    </row>
    <row r="243" spans="1:19" x14ac:dyDescent="0.2">
      <c r="A243" s="335" t="s">
        <v>287</v>
      </c>
      <c r="B243" s="332">
        <v>8</v>
      </c>
      <c r="C243" s="332">
        <v>3</v>
      </c>
      <c r="D243" s="332">
        <v>9</v>
      </c>
      <c r="E243" s="332">
        <v>22</v>
      </c>
      <c r="F243" s="332">
        <v>44</v>
      </c>
      <c r="G243" s="332">
        <v>98</v>
      </c>
      <c r="H243" s="332">
        <v>14.6</v>
      </c>
      <c r="I243" s="333">
        <v>0.2</v>
      </c>
      <c r="J243" s="333">
        <v>0.53</v>
      </c>
      <c r="K243" s="332">
        <v>12.200000000000001</v>
      </c>
      <c r="L243" s="332">
        <v>1.1000000000000001</v>
      </c>
      <c r="M243" s="332" t="s">
        <v>157</v>
      </c>
      <c r="N243" s="332">
        <v>2000</v>
      </c>
      <c r="O243" s="332" t="s">
        <v>158</v>
      </c>
      <c r="P243" s="332">
        <v>671453</v>
      </c>
      <c r="Q243" s="335" t="s">
        <v>177</v>
      </c>
      <c r="R243" s="335" t="s">
        <v>1087</v>
      </c>
      <c r="S243" s="335" t="s">
        <v>166</v>
      </c>
    </row>
    <row r="244" spans="1:19" x14ac:dyDescent="0.2">
      <c r="A244" s="335" t="s">
        <v>279</v>
      </c>
      <c r="B244" s="332">
        <v>8</v>
      </c>
      <c r="C244" s="332">
        <v>3</v>
      </c>
      <c r="D244" s="332">
        <v>8</v>
      </c>
      <c r="E244" s="332">
        <v>21</v>
      </c>
      <c r="F244" s="332">
        <v>43</v>
      </c>
      <c r="G244" s="332">
        <v>97</v>
      </c>
      <c r="H244" s="332">
        <v>14.5</v>
      </c>
      <c r="I244" s="333">
        <v>0.2</v>
      </c>
      <c r="J244" s="333">
        <v>0.53</v>
      </c>
      <c r="K244" s="332">
        <v>12.200000000000001</v>
      </c>
      <c r="L244" s="332">
        <v>1.1000000000000001</v>
      </c>
      <c r="M244" s="332" t="s">
        <v>157</v>
      </c>
      <c r="N244" s="332">
        <v>2000</v>
      </c>
      <c r="O244" s="332" t="s">
        <v>158</v>
      </c>
      <c r="P244" s="332">
        <v>707281</v>
      </c>
      <c r="Q244" s="335" t="s">
        <v>177</v>
      </c>
      <c r="R244" s="335" t="s">
        <v>1087</v>
      </c>
      <c r="S244" s="335" t="s">
        <v>166</v>
      </c>
    </row>
    <row r="245" spans="1:19" x14ac:dyDescent="0.2">
      <c r="A245" s="335" t="s">
        <v>278</v>
      </c>
      <c r="B245" s="332">
        <v>7</v>
      </c>
      <c r="C245" s="332">
        <v>3</v>
      </c>
      <c r="D245" s="332">
        <v>7</v>
      </c>
      <c r="E245" s="332">
        <v>19</v>
      </c>
      <c r="F245" s="332">
        <v>41</v>
      </c>
      <c r="G245" s="332">
        <v>94</v>
      </c>
      <c r="H245" s="332">
        <v>14.200000000000001</v>
      </c>
      <c r="I245" s="333">
        <v>0.2</v>
      </c>
      <c r="J245" s="333">
        <v>0.53</v>
      </c>
      <c r="K245" s="332">
        <v>12</v>
      </c>
      <c r="L245" s="332">
        <v>1</v>
      </c>
      <c r="M245" s="332" t="s">
        <v>157</v>
      </c>
      <c r="N245" s="332">
        <v>2000</v>
      </c>
      <c r="O245" s="332" t="s">
        <v>158</v>
      </c>
      <c r="P245" s="332">
        <v>743112</v>
      </c>
      <c r="Q245" s="335" t="s">
        <v>177</v>
      </c>
      <c r="R245" s="335" t="s">
        <v>1087</v>
      </c>
      <c r="S245" s="335" t="s">
        <v>166</v>
      </c>
    </row>
    <row r="246" spans="1:19" x14ac:dyDescent="0.2">
      <c r="A246" s="335" t="s">
        <v>1076</v>
      </c>
      <c r="B246" s="332">
        <v>12</v>
      </c>
      <c r="C246" s="332">
        <v>4</v>
      </c>
      <c r="D246" s="332">
        <v>9</v>
      </c>
      <c r="E246" s="332">
        <v>24</v>
      </c>
      <c r="F246" s="332">
        <v>22</v>
      </c>
      <c r="G246" s="332">
        <v>27</v>
      </c>
      <c r="H246" s="332">
        <v>4.9000000000000004</v>
      </c>
      <c r="I246" s="333">
        <v>0.49</v>
      </c>
      <c r="J246" s="333">
        <v>2.7800000000000002</v>
      </c>
      <c r="K246" s="332">
        <v>10.200000000000001</v>
      </c>
      <c r="L246" s="332">
        <v>0.70000000000000007</v>
      </c>
      <c r="M246" s="332" t="s">
        <v>157</v>
      </c>
      <c r="N246" s="332">
        <v>2011</v>
      </c>
      <c r="O246" s="332" t="s">
        <v>69</v>
      </c>
      <c r="P246" s="332">
        <v>948117</v>
      </c>
      <c r="Q246" s="335" t="s">
        <v>997</v>
      </c>
      <c r="R246" s="335" t="s">
        <v>302</v>
      </c>
      <c r="S246" s="335"/>
    </row>
    <row r="247" spans="1:19" x14ac:dyDescent="0.2">
      <c r="A247" s="335" t="s">
        <v>925</v>
      </c>
      <c r="B247" s="332">
        <v>13</v>
      </c>
      <c r="C247" s="332">
        <v>7</v>
      </c>
      <c r="D247" s="332">
        <v>17</v>
      </c>
      <c r="E247" s="332">
        <v>23</v>
      </c>
      <c r="F247" s="332">
        <v>61</v>
      </c>
      <c r="G247" s="332">
        <v>163</v>
      </c>
      <c r="H247" s="332">
        <v>21.400000000000002</v>
      </c>
      <c r="I247" s="333">
        <v>0.45</v>
      </c>
      <c r="J247" s="333">
        <v>1.56</v>
      </c>
      <c r="K247" s="332">
        <v>13.700000000000001</v>
      </c>
      <c r="L247" s="332">
        <v>1.2</v>
      </c>
      <c r="M247" s="332" t="s">
        <v>157</v>
      </c>
      <c r="N247" s="332">
        <v>2000</v>
      </c>
      <c r="O247" s="332" t="s">
        <v>158</v>
      </c>
      <c r="P247" s="332">
        <v>694539</v>
      </c>
      <c r="Q247" s="335" t="s">
        <v>170</v>
      </c>
      <c r="R247" s="335" t="s">
        <v>264</v>
      </c>
      <c r="S247" s="335" t="s">
        <v>166</v>
      </c>
    </row>
    <row r="248" spans="1:19" x14ac:dyDescent="0.2">
      <c r="A248" s="335" t="s">
        <v>578</v>
      </c>
      <c r="B248" s="332">
        <v>8</v>
      </c>
      <c r="C248" s="332">
        <v>2</v>
      </c>
      <c r="D248" s="332">
        <v>7</v>
      </c>
      <c r="E248" s="332">
        <v>22</v>
      </c>
      <c r="F248" s="332">
        <v>32</v>
      </c>
      <c r="G248" s="332">
        <v>55</v>
      </c>
      <c r="H248" s="332">
        <v>9.2000000000000011</v>
      </c>
      <c r="I248" s="333">
        <v>0.68</v>
      </c>
      <c r="J248" s="333">
        <v>2.09</v>
      </c>
      <c r="K248" s="332">
        <v>13.8</v>
      </c>
      <c r="L248" s="332">
        <v>0.70000000000000007</v>
      </c>
      <c r="M248" s="332" t="s">
        <v>352</v>
      </c>
      <c r="N248" s="332">
        <v>2010</v>
      </c>
      <c r="O248" s="332" t="s">
        <v>69</v>
      </c>
      <c r="P248" s="332">
        <v>807867</v>
      </c>
      <c r="Q248" s="335" t="s">
        <v>777</v>
      </c>
      <c r="R248" s="335" t="s">
        <v>302</v>
      </c>
      <c r="S248" s="335" t="s">
        <v>166</v>
      </c>
    </row>
    <row r="249" spans="1:19" x14ac:dyDescent="0.2">
      <c r="A249" s="335" t="s">
        <v>680</v>
      </c>
      <c r="B249" s="332">
        <v>14</v>
      </c>
      <c r="C249" s="332">
        <v>6</v>
      </c>
      <c r="D249" s="332">
        <v>13</v>
      </c>
      <c r="E249" s="332">
        <v>31</v>
      </c>
      <c r="F249" s="332">
        <v>51</v>
      </c>
      <c r="G249" s="332">
        <v>134</v>
      </c>
      <c r="H249" s="332">
        <v>18.5</v>
      </c>
      <c r="I249" s="333">
        <v>0.63</v>
      </c>
      <c r="J249" s="333">
        <v>1.5</v>
      </c>
      <c r="K249" s="332">
        <v>13.200000000000001</v>
      </c>
      <c r="L249" s="332">
        <v>1.1000000000000001</v>
      </c>
      <c r="M249" s="332" t="s">
        <v>157</v>
      </c>
      <c r="N249" s="332">
        <v>2014</v>
      </c>
      <c r="O249" s="332" t="s">
        <v>158</v>
      </c>
      <c r="P249" s="332">
        <v>341362</v>
      </c>
      <c r="Q249" s="335" t="s">
        <v>681</v>
      </c>
      <c r="R249" s="335" t="s">
        <v>185</v>
      </c>
      <c r="S249" s="335" t="s">
        <v>166</v>
      </c>
    </row>
    <row r="250" spans="1:19" x14ac:dyDescent="0.2">
      <c r="A250" s="335" t="s">
        <v>1066</v>
      </c>
      <c r="B250" s="332">
        <v>1</v>
      </c>
      <c r="C250" s="332">
        <v>1</v>
      </c>
      <c r="D250" s="332">
        <v>1</v>
      </c>
      <c r="E250" s="332">
        <v>1</v>
      </c>
      <c r="F250" s="332">
        <v>1</v>
      </c>
      <c r="G250" s="332">
        <v>4</v>
      </c>
      <c r="H250" s="332">
        <v>0.8</v>
      </c>
      <c r="I250" s="333">
        <v>0.13</v>
      </c>
      <c r="J250" s="333">
        <v>0.19</v>
      </c>
      <c r="K250" s="332">
        <v>0.3</v>
      </c>
      <c r="L250" s="332">
        <v>2.1</v>
      </c>
      <c r="M250" s="332" t="s">
        <v>157</v>
      </c>
      <c r="N250" s="332">
        <v>2001</v>
      </c>
      <c r="O250" s="332" t="s">
        <v>158</v>
      </c>
      <c r="P250" s="332">
        <v>134593</v>
      </c>
      <c r="Q250" s="335" t="s">
        <v>241</v>
      </c>
      <c r="R250" s="335" t="s">
        <v>1096</v>
      </c>
      <c r="S250" s="335" t="s">
        <v>166</v>
      </c>
    </row>
    <row r="251" spans="1:19" x14ac:dyDescent="0.2">
      <c r="A251" s="335" t="s">
        <v>191</v>
      </c>
      <c r="B251" s="332">
        <v>0</v>
      </c>
      <c r="C251" s="332">
        <v>0</v>
      </c>
      <c r="D251" s="332">
        <v>0</v>
      </c>
      <c r="E251" s="332">
        <v>0</v>
      </c>
      <c r="F251" s="332">
        <v>1</v>
      </c>
      <c r="G251" s="332">
        <v>6</v>
      </c>
      <c r="H251" s="332">
        <v>1.2</v>
      </c>
      <c r="I251" s="333">
        <v>0.13</v>
      </c>
      <c r="J251" s="333">
        <v>0.3</v>
      </c>
      <c r="K251" s="332">
        <v>0.3</v>
      </c>
      <c r="L251" s="332">
        <v>1.9000000000000001</v>
      </c>
      <c r="M251" s="332" t="s">
        <v>157</v>
      </c>
      <c r="N251" s="332">
        <v>2000</v>
      </c>
      <c r="O251" s="332" t="s">
        <v>158</v>
      </c>
      <c r="P251" s="332">
        <v>214163</v>
      </c>
      <c r="Q251" s="335" t="s">
        <v>192</v>
      </c>
      <c r="R251" s="335" t="s">
        <v>1096</v>
      </c>
      <c r="S251" s="335"/>
    </row>
    <row r="252" spans="1:19" x14ac:dyDescent="0.2">
      <c r="A252" s="335" t="s">
        <v>171</v>
      </c>
      <c r="B252" s="332">
        <v>0</v>
      </c>
      <c r="C252" s="332">
        <v>0</v>
      </c>
      <c r="D252" s="332">
        <v>0</v>
      </c>
      <c r="E252" s="332">
        <v>0</v>
      </c>
      <c r="F252" s="332">
        <v>0</v>
      </c>
      <c r="G252" s="332">
        <v>5</v>
      </c>
      <c r="H252" s="332">
        <v>1</v>
      </c>
      <c r="I252" s="333">
        <v>0.1</v>
      </c>
      <c r="J252" s="333">
        <v>0.1</v>
      </c>
      <c r="K252" s="332">
        <v>0.3</v>
      </c>
      <c r="L252" s="332">
        <v>1.1000000000000001</v>
      </c>
      <c r="M252" s="332" t="s">
        <v>157</v>
      </c>
      <c r="N252" s="332">
        <v>2004</v>
      </c>
      <c r="O252" s="332" t="s">
        <v>158</v>
      </c>
      <c r="P252" s="332">
        <v>305185</v>
      </c>
      <c r="Q252" s="335" t="s">
        <v>172</v>
      </c>
      <c r="R252" s="335" t="s">
        <v>1096</v>
      </c>
      <c r="S252" s="335"/>
    </row>
    <row r="253" spans="1:19" x14ac:dyDescent="0.2">
      <c r="A253" s="335" t="s">
        <v>319</v>
      </c>
      <c r="B253" s="332">
        <v>0</v>
      </c>
      <c r="C253" s="332">
        <v>0</v>
      </c>
      <c r="D253" s="332">
        <v>0</v>
      </c>
      <c r="E253" s="332">
        <v>1</v>
      </c>
      <c r="F253" s="332">
        <v>1</v>
      </c>
      <c r="G253" s="332">
        <v>8</v>
      </c>
      <c r="H253" s="332">
        <v>1.6</v>
      </c>
      <c r="I253" s="333">
        <v>0.28000000000000003</v>
      </c>
      <c r="J253" s="333">
        <v>0.6</v>
      </c>
      <c r="K253" s="332">
        <v>0.4</v>
      </c>
      <c r="L253" s="332">
        <v>1.6</v>
      </c>
      <c r="M253" s="332" t="s">
        <v>157</v>
      </c>
      <c r="N253" s="332">
        <v>2000</v>
      </c>
      <c r="O253" s="332" t="s">
        <v>158</v>
      </c>
      <c r="P253" s="332">
        <v>308908</v>
      </c>
      <c r="Q253" s="335" t="s">
        <v>320</v>
      </c>
      <c r="R253" s="335" t="s">
        <v>1096</v>
      </c>
      <c r="S253" s="335" t="s">
        <v>166</v>
      </c>
    </row>
    <row r="254" spans="1:19" x14ac:dyDescent="0.2">
      <c r="A254" s="335" t="s">
        <v>229</v>
      </c>
      <c r="B254" s="332">
        <v>0</v>
      </c>
      <c r="C254" s="332">
        <v>0</v>
      </c>
      <c r="D254" s="332">
        <v>0</v>
      </c>
      <c r="E254" s="332">
        <v>0</v>
      </c>
      <c r="F254" s="332">
        <v>0</v>
      </c>
      <c r="G254" s="332">
        <v>2</v>
      </c>
      <c r="H254" s="332">
        <v>0.5</v>
      </c>
      <c r="I254" s="333">
        <v>0.14000000000000001</v>
      </c>
      <c r="J254" s="333">
        <v>0.3</v>
      </c>
      <c r="K254" s="332">
        <v>0.2</v>
      </c>
      <c r="L254" s="332">
        <v>1</v>
      </c>
      <c r="M254" s="332" t="s">
        <v>157</v>
      </c>
      <c r="N254" s="332">
        <v>2000</v>
      </c>
      <c r="O254" s="332" t="s">
        <v>158</v>
      </c>
      <c r="P254" s="332">
        <v>331983</v>
      </c>
      <c r="Q254" s="335" t="s">
        <v>230</v>
      </c>
      <c r="R254" s="335" t="s">
        <v>1096</v>
      </c>
      <c r="S254" s="335" t="s">
        <v>166</v>
      </c>
    </row>
    <row r="255" spans="1:19" x14ac:dyDescent="0.2">
      <c r="A255" s="335" t="s">
        <v>1019</v>
      </c>
      <c r="B255" s="332">
        <v>0</v>
      </c>
      <c r="C255" s="332">
        <v>0</v>
      </c>
      <c r="D255" s="332">
        <v>0</v>
      </c>
      <c r="E255" s="332">
        <v>-1</v>
      </c>
      <c r="F255" s="332">
        <v>-1</v>
      </c>
      <c r="G255" s="332">
        <v>1</v>
      </c>
      <c r="H255" s="332">
        <v>0.2</v>
      </c>
      <c r="I255" s="333">
        <v>0.18</v>
      </c>
      <c r="J255" s="333">
        <v>0.35000000000000003</v>
      </c>
      <c r="K255" s="332">
        <v>0.2</v>
      </c>
      <c r="L255" s="332">
        <v>-1.3</v>
      </c>
      <c r="M255" s="332" t="s">
        <v>157</v>
      </c>
      <c r="N255" s="332">
        <v>2000</v>
      </c>
      <c r="O255" s="332" t="s">
        <v>158</v>
      </c>
      <c r="P255" s="332">
        <v>361733</v>
      </c>
      <c r="Q255" s="335" t="s">
        <v>233</v>
      </c>
      <c r="R255" s="335" t="s">
        <v>1096</v>
      </c>
      <c r="S255" s="335" t="s">
        <v>166</v>
      </c>
    </row>
    <row r="256" spans="1:19" x14ac:dyDescent="0.2">
      <c r="A256" s="335" t="s">
        <v>986</v>
      </c>
      <c r="B256" s="332">
        <v>13</v>
      </c>
      <c r="C256" s="332">
        <v>4</v>
      </c>
      <c r="D256" s="332">
        <v>6</v>
      </c>
      <c r="E256" s="332">
        <v>29</v>
      </c>
      <c r="F256" s="332">
        <v>64</v>
      </c>
      <c r="G256" s="332">
        <v>93</v>
      </c>
      <c r="H256" s="332">
        <v>14.1</v>
      </c>
      <c r="I256" s="333">
        <v>0.77</v>
      </c>
      <c r="J256" s="333">
        <v>1.9000000000000001</v>
      </c>
      <c r="K256" s="332">
        <v>17.5</v>
      </c>
      <c r="L256" s="332">
        <v>1</v>
      </c>
      <c r="M256" s="332" t="s">
        <v>352</v>
      </c>
      <c r="N256" s="332">
        <v>2010</v>
      </c>
      <c r="O256" s="332" t="s">
        <v>69</v>
      </c>
      <c r="P256" s="332">
        <v>666370</v>
      </c>
      <c r="Q256" s="335" t="s">
        <v>800</v>
      </c>
      <c r="R256" s="335" t="s">
        <v>350</v>
      </c>
      <c r="S256" s="335"/>
    </row>
    <row r="257" spans="1:19" x14ac:dyDescent="0.2">
      <c r="A257" s="335" t="s">
        <v>176</v>
      </c>
      <c r="B257" s="332">
        <v>0</v>
      </c>
      <c r="C257" s="332">
        <v>0</v>
      </c>
      <c r="D257" s="332">
        <v>0</v>
      </c>
      <c r="E257" s="332">
        <v>0</v>
      </c>
      <c r="F257" s="332">
        <v>0</v>
      </c>
      <c r="G257" s="332">
        <v>3</v>
      </c>
      <c r="H257" s="332">
        <v>0.5</v>
      </c>
      <c r="I257" s="333">
        <v>0.12</v>
      </c>
      <c r="J257" s="333">
        <v>0.21</v>
      </c>
      <c r="K257" s="332">
        <v>0.2</v>
      </c>
      <c r="L257" s="332">
        <v>1.2</v>
      </c>
      <c r="M257" s="332" t="s">
        <v>157</v>
      </c>
      <c r="N257" s="332">
        <v>2000</v>
      </c>
      <c r="O257" s="332" t="s">
        <v>158</v>
      </c>
      <c r="P257" s="332">
        <v>420646</v>
      </c>
      <c r="Q257" s="335" t="s">
        <v>177</v>
      </c>
      <c r="R257" s="335" t="s">
        <v>1096</v>
      </c>
      <c r="S257" s="335" t="s">
        <v>166</v>
      </c>
    </row>
    <row r="258" spans="1:19" x14ac:dyDescent="0.2">
      <c r="A258" s="335" t="s">
        <v>183</v>
      </c>
      <c r="B258" s="332">
        <v>0</v>
      </c>
      <c r="C258" s="332">
        <v>0</v>
      </c>
      <c r="D258" s="332">
        <v>0</v>
      </c>
      <c r="E258" s="332">
        <v>0</v>
      </c>
      <c r="F258" s="332">
        <v>0</v>
      </c>
      <c r="G258" s="332">
        <v>4</v>
      </c>
      <c r="H258" s="332">
        <v>0.70000000000000007</v>
      </c>
      <c r="I258" s="333">
        <v>0.11</v>
      </c>
      <c r="J258" s="333">
        <v>0.21</v>
      </c>
      <c r="K258" s="332">
        <v>0.2</v>
      </c>
      <c r="L258" s="332">
        <v>1.4000000000000001</v>
      </c>
      <c r="M258" s="332" t="s">
        <v>157</v>
      </c>
      <c r="N258" s="332">
        <v>2010</v>
      </c>
      <c r="O258" s="332" t="s">
        <v>158</v>
      </c>
      <c r="P258" s="332">
        <v>442897</v>
      </c>
      <c r="Q258" s="335" t="s">
        <v>182</v>
      </c>
      <c r="R258" s="335" t="s">
        <v>1096</v>
      </c>
      <c r="S258" s="335" t="s">
        <v>166</v>
      </c>
    </row>
    <row r="259" spans="1:19" x14ac:dyDescent="0.2">
      <c r="A259" s="335" t="s">
        <v>199</v>
      </c>
      <c r="B259" s="332">
        <v>0</v>
      </c>
      <c r="C259" s="332">
        <v>0</v>
      </c>
      <c r="D259" s="332">
        <v>1</v>
      </c>
      <c r="E259" s="332">
        <v>1</v>
      </c>
      <c r="F259" s="332">
        <v>2</v>
      </c>
      <c r="G259" s="332">
        <v>8</v>
      </c>
      <c r="H259" s="332">
        <v>1.5</v>
      </c>
      <c r="I259" s="333">
        <v>0.12</v>
      </c>
      <c r="J259" s="333">
        <v>0.2</v>
      </c>
      <c r="K259" s="332">
        <v>0.3</v>
      </c>
      <c r="L259" s="332">
        <v>2.6</v>
      </c>
      <c r="M259" s="332" t="s">
        <v>157</v>
      </c>
      <c r="N259" s="332">
        <v>2001</v>
      </c>
      <c r="O259" s="332" t="s">
        <v>158</v>
      </c>
      <c r="P259" s="332">
        <v>478313</v>
      </c>
      <c r="Q259" s="335" t="s">
        <v>200</v>
      </c>
      <c r="R259" s="335" t="s">
        <v>1096</v>
      </c>
      <c r="S259" s="335" t="s">
        <v>166</v>
      </c>
    </row>
    <row r="260" spans="1:19" x14ac:dyDescent="0.2">
      <c r="A260" s="335" t="s">
        <v>942</v>
      </c>
      <c r="B260" s="332">
        <v>1</v>
      </c>
      <c r="C260" s="332">
        <v>1</v>
      </c>
      <c r="D260" s="332">
        <v>1</v>
      </c>
      <c r="E260" s="332">
        <v>2</v>
      </c>
      <c r="F260" s="332">
        <v>3</v>
      </c>
      <c r="G260" s="332"/>
      <c r="H260" s="332"/>
      <c r="I260" s="333">
        <v>0.21</v>
      </c>
      <c r="J260" s="333">
        <v>0.62</v>
      </c>
      <c r="K260" s="332">
        <v>0.8</v>
      </c>
      <c r="L260" s="332">
        <v>1.4000000000000001</v>
      </c>
      <c r="M260" s="332" t="s">
        <v>157</v>
      </c>
      <c r="N260" s="332">
        <v>2013</v>
      </c>
      <c r="O260" s="332" t="s">
        <v>158</v>
      </c>
      <c r="P260" s="332">
        <v>660829</v>
      </c>
      <c r="Q260" s="335" t="s">
        <v>170</v>
      </c>
      <c r="R260" s="335" t="s">
        <v>1096</v>
      </c>
      <c r="S260" s="335" t="s">
        <v>166</v>
      </c>
    </row>
    <row r="261" spans="1:19" x14ac:dyDescent="0.2">
      <c r="A261" s="335" t="s">
        <v>964</v>
      </c>
      <c r="B261" s="332">
        <v>0</v>
      </c>
      <c r="C261" s="332">
        <v>0</v>
      </c>
      <c r="D261" s="332">
        <v>0</v>
      </c>
      <c r="E261" s="332">
        <v>0</v>
      </c>
      <c r="F261" s="332">
        <v>1</v>
      </c>
      <c r="G261" s="332">
        <v>4</v>
      </c>
      <c r="H261" s="332">
        <v>0.70000000000000007</v>
      </c>
      <c r="I261" s="333">
        <v>0.11</v>
      </c>
      <c r="J261" s="333">
        <v>0.16</v>
      </c>
      <c r="K261" s="332">
        <v>0.2</v>
      </c>
      <c r="L261" s="332">
        <v>2.7</v>
      </c>
      <c r="M261" s="332" t="s">
        <v>157</v>
      </c>
      <c r="N261" s="332">
        <v>2000</v>
      </c>
      <c r="O261" s="332" t="s">
        <v>69</v>
      </c>
      <c r="P261" s="332">
        <v>718205</v>
      </c>
      <c r="Q261" s="335" t="s">
        <v>162</v>
      </c>
      <c r="R261" s="335" t="s">
        <v>1096</v>
      </c>
      <c r="S261" s="335"/>
    </row>
    <row r="262" spans="1:19" x14ac:dyDescent="0.2">
      <c r="A262" s="335" t="s">
        <v>643</v>
      </c>
      <c r="B262" s="332">
        <v>1</v>
      </c>
      <c r="C262" s="332">
        <v>-3</v>
      </c>
      <c r="D262" s="332">
        <v>3</v>
      </c>
      <c r="E262" s="332">
        <v>14</v>
      </c>
      <c r="F262" s="332">
        <v>11</v>
      </c>
      <c r="G262" s="332">
        <v>28</v>
      </c>
      <c r="H262" s="332">
        <v>5.1000000000000005</v>
      </c>
      <c r="I262" s="333">
        <v>0.76</v>
      </c>
      <c r="J262" s="333">
        <v>1.98</v>
      </c>
      <c r="K262" s="332">
        <v>15.700000000000001</v>
      </c>
      <c r="L262" s="332">
        <v>0.3</v>
      </c>
      <c r="M262" s="332" t="s">
        <v>157</v>
      </c>
      <c r="N262" s="332">
        <v>2006</v>
      </c>
      <c r="O262" s="332" t="s">
        <v>158</v>
      </c>
      <c r="P262" s="332">
        <v>534099</v>
      </c>
      <c r="Q262" s="335" t="s">
        <v>188</v>
      </c>
      <c r="R262" s="335" t="s">
        <v>302</v>
      </c>
      <c r="S262" s="335" t="s">
        <v>166</v>
      </c>
    </row>
    <row r="263" spans="1:19" x14ac:dyDescent="0.2">
      <c r="A263" s="335" t="s">
        <v>993</v>
      </c>
      <c r="B263" s="332">
        <v>19</v>
      </c>
      <c r="C263" s="332">
        <v>7</v>
      </c>
      <c r="D263" s="332">
        <v>18</v>
      </c>
      <c r="E263" s="332">
        <v>34</v>
      </c>
      <c r="F263" s="332"/>
      <c r="G263" s="332"/>
      <c r="H263" s="332"/>
      <c r="I263" s="333">
        <v>0.54</v>
      </c>
      <c r="J263" s="333">
        <v>1.25</v>
      </c>
      <c r="K263" s="332"/>
      <c r="L263" s="332"/>
      <c r="M263" s="332" t="s">
        <v>157</v>
      </c>
      <c r="N263" s="332">
        <v>2016</v>
      </c>
      <c r="O263" s="332" t="s">
        <v>158</v>
      </c>
      <c r="P263" s="332">
        <v>804674</v>
      </c>
      <c r="Q263" s="335" t="s">
        <v>859</v>
      </c>
      <c r="R263" s="335" t="s">
        <v>302</v>
      </c>
      <c r="S263" s="335"/>
    </row>
    <row r="264" spans="1:19" x14ac:dyDescent="0.2">
      <c r="A264" s="335" t="s">
        <v>994</v>
      </c>
      <c r="B264" s="332">
        <v>9</v>
      </c>
      <c r="C264" s="332">
        <v>3</v>
      </c>
      <c r="D264" s="332">
        <v>11</v>
      </c>
      <c r="E264" s="332">
        <v>18</v>
      </c>
      <c r="F264" s="332"/>
      <c r="G264" s="332"/>
      <c r="H264" s="332"/>
      <c r="I264" s="333">
        <v>0.45</v>
      </c>
      <c r="J264" s="333">
        <v>1</v>
      </c>
      <c r="K264" s="332"/>
      <c r="L264" s="332"/>
      <c r="M264" s="332" t="s">
        <v>157</v>
      </c>
      <c r="N264" s="332">
        <v>2016</v>
      </c>
      <c r="O264" s="332" t="s">
        <v>158</v>
      </c>
      <c r="P264" s="332">
        <v>768846</v>
      </c>
      <c r="Q264" s="335" t="s">
        <v>859</v>
      </c>
      <c r="R264" s="335" t="s">
        <v>185</v>
      </c>
      <c r="S264" s="335"/>
    </row>
    <row r="265" spans="1:19" x14ac:dyDescent="0.2">
      <c r="A265" s="335" t="s">
        <v>943</v>
      </c>
      <c r="B265" s="332">
        <v>13</v>
      </c>
      <c r="C265" s="332">
        <v>7</v>
      </c>
      <c r="D265" s="332">
        <v>12</v>
      </c>
      <c r="E265" s="332">
        <v>22</v>
      </c>
      <c r="F265" s="332">
        <v>52</v>
      </c>
      <c r="G265" s="332">
        <v>81</v>
      </c>
      <c r="H265" s="332">
        <v>12.6</v>
      </c>
      <c r="I265" s="333">
        <v>0.74</v>
      </c>
      <c r="J265" s="333">
        <v>2.2000000000000002</v>
      </c>
      <c r="K265" s="332">
        <v>13.8</v>
      </c>
      <c r="L265" s="332">
        <v>1.1000000000000001</v>
      </c>
      <c r="M265" s="332" t="s">
        <v>352</v>
      </c>
      <c r="N265" s="332">
        <v>2002</v>
      </c>
      <c r="O265" s="332" t="s">
        <v>69</v>
      </c>
      <c r="P265" s="332">
        <v>872440</v>
      </c>
      <c r="Q265" s="335" t="s">
        <v>435</v>
      </c>
      <c r="R265" s="335" t="s">
        <v>185</v>
      </c>
      <c r="S265" s="335"/>
    </row>
    <row r="266" spans="1:19" x14ac:dyDescent="0.2">
      <c r="A266" s="335" t="s">
        <v>550</v>
      </c>
      <c r="B266" s="332">
        <v>16</v>
      </c>
      <c r="C266" s="332">
        <v>5</v>
      </c>
      <c r="D266" s="332">
        <v>10</v>
      </c>
      <c r="E266" s="332">
        <v>30</v>
      </c>
      <c r="F266" s="332">
        <v>62</v>
      </c>
      <c r="G266" s="332">
        <v>69</v>
      </c>
      <c r="H266" s="332">
        <v>11.1</v>
      </c>
      <c r="I266" s="333">
        <v>0.61</v>
      </c>
      <c r="J266" s="333">
        <v>1.77</v>
      </c>
      <c r="K266" s="332">
        <v>20</v>
      </c>
      <c r="L266" s="332">
        <v>0.9</v>
      </c>
      <c r="M266" s="332" t="s">
        <v>352</v>
      </c>
      <c r="N266" s="332">
        <v>2000</v>
      </c>
      <c r="O266" s="332" t="s">
        <v>69</v>
      </c>
      <c r="P266" s="332">
        <v>334409</v>
      </c>
      <c r="Q266" s="335" t="s">
        <v>435</v>
      </c>
      <c r="R266" s="335" t="s">
        <v>350</v>
      </c>
      <c r="S266" s="335"/>
    </row>
    <row r="267" spans="1:19" x14ac:dyDescent="0.2">
      <c r="A267" s="335" t="s">
        <v>581</v>
      </c>
      <c r="B267" s="332">
        <v>2</v>
      </c>
      <c r="C267" s="332">
        <v>-6</v>
      </c>
      <c r="D267" s="332">
        <v>2</v>
      </c>
      <c r="E267" s="332">
        <v>20</v>
      </c>
      <c r="F267" s="332">
        <v>0</v>
      </c>
      <c r="G267" s="332">
        <v>-3</v>
      </c>
      <c r="H267" s="332">
        <v>-0.5</v>
      </c>
      <c r="I267" s="333">
        <v>0.67</v>
      </c>
      <c r="J267" s="333">
        <v>1.95</v>
      </c>
      <c r="K267" s="332">
        <v>20</v>
      </c>
      <c r="L267" s="332">
        <v>0.1</v>
      </c>
      <c r="M267" s="332" t="s">
        <v>352</v>
      </c>
      <c r="N267" s="332">
        <v>2006</v>
      </c>
      <c r="O267" s="332" t="s">
        <v>69</v>
      </c>
      <c r="P267" s="332">
        <v>235291</v>
      </c>
      <c r="Q267" s="335" t="s">
        <v>435</v>
      </c>
      <c r="R267" s="335" t="s">
        <v>369</v>
      </c>
      <c r="S267" s="335"/>
    </row>
    <row r="268" spans="1:19" x14ac:dyDescent="0.2">
      <c r="A268" s="335" t="s">
        <v>189</v>
      </c>
      <c r="B268" s="332">
        <v>0</v>
      </c>
      <c r="C268" s="332">
        <v>0</v>
      </c>
      <c r="D268" s="332">
        <v>0</v>
      </c>
      <c r="E268" s="332">
        <v>0</v>
      </c>
      <c r="F268" s="332">
        <v>1</v>
      </c>
      <c r="G268" s="332"/>
      <c r="H268" s="332"/>
      <c r="I268" s="333">
        <v>0.13</v>
      </c>
      <c r="J268" s="333">
        <v>0.3</v>
      </c>
      <c r="K268" s="332">
        <v>0.3</v>
      </c>
      <c r="L268" s="332">
        <v>1.6</v>
      </c>
      <c r="M268" s="332" t="s">
        <v>157</v>
      </c>
      <c r="N268" s="332">
        <v>2014</v>
      </c>
      <c r="O268" s="332" t="s">
        <v>158</v>
      </c>
      <c r="P268" s="332">
        <v>838730</v>
      </c>
      <c r="Q268" s="335" t="s">
        <v>177</v>
      </c>
      <c r="R268" s="335" t="s">
        <v>1096</v>
      </c>
      <c r="S268" s="335" t="s">
        <v>166</v>
      </c>
    </row>
    <row r="269" spans="1:19" x14ac:dyDescent="0.2">
      <c r="A269" s="335" t="s">
        <v>212</v>
      </c>
      <c r="B269" s="332">
        <v>0</v>
      </c>
      <c r="C269" s="332">
        <v>0</v>
      </c>
      <c r="D269" s="332">
        <v>0</v>
      </c>
      <c r="E269" s="332">
        <v>0</v>
      </c>
      <c r="F269" s="332">
        <v>0</v>
      </c>
      <c r="G269" s="332">
        <v>2</v>
      </c>
      <c r="H269" s="332">
        <v>0.4</v>
      </c>
      <c r="I269" s="333">
        <v>0.12</v>
      </c>
      <c r="J269" s="333">
        <v>0.2</v>
      </c>
      <c r="K269" s="332">
        <v>0.2</v>
      </c>
      <c r="L269" s="332">
        <v>0.3</v>
      </c>
      <c r="M269" s="332" t="s">
        <v>157</v>
      </c>
      <c r="N269" s="332">
        <v>2002</v>
      </c>
      <c r="O269" s="332" t="s">
        <v>158</v>
      </c>
      <c r="P269" s="332">
        <v>843284</v>
      </c>
      <c r="Q269" s="335" t="s">
        <v>213</v>
      </c>
      <c r="R269" s="335" t="s">
        <v>1096</v>
      </c>
      <c r="S269" s="335" t="s">
        <v>166</v>
      </c>
    </row>
    <row r="270" spans="1:19" x14ac:dyDescent="0.2">
      <c r="A270" s="335" t="s">
        <v>210</v>
      </c>
      <c r="B270" s="332">
        <v>0</v>
      </c>
      <c r="C270" s="332">
        <v>0</v>
      </c>
      <c r="D270" s="332">
        <v>0</v>
      </c>
      <c r="E270" s="332">
        <v>0</v>
      </c>
      <c r="F270" s="332">
        <v>1</v>
      </c>
      <c r="G270" s="332">
        <v>6</v>
      </c>
      <c r="H270" s="332">
        <v>1.2</v>
      </c>
      <c r="I270" s="333">
        <v>0.13</v>
      </c>
      <c r="J270" s="333">
        <v>0.2</v>
      </c>
      <c r="K270" s="332">
        <v>0.3</v>
      </c>
      <c r="L270" s="332">
        <v>1.8</v>
      </c>
      <c r="M270" s="332" t="s">
        <v>157</v>
      </c>
      <c r="N270" s="332">
        <v>2000</v>
      </c>
      <c r="O270" s="332" t="s">
        <v>158</v>
      </c>
      <c r="P270" s="332">
        <v>865774</v>
      </c>
      <c r="Q270" s="335" t="s">
        <v>211</v>
      </c>
      <c r="R270" s="335" t="s">
        <v>1096</v>
      </c>
      <c r="S270" s="335"/>
    </row>
    <row r="271" spans="1:19" x14ac:dyDescent="0.2">
      <c r="A271" s="335" t="s">
        <v>179</v>
      </c>
      <c r="B271" s="332">
        <v>0</v>
      </c>
      <c r="C271" s="332">
        <v>0</v>
      </c>
      <c r="D271" s="332">
        <v>0</v>
      </c>
      <c r="E271" s="332">
        <v>0</v>
      </c>
      <c r="F271" s="332">
        <v>1</v>
      </c>
      <c r="G271" s="332">
        <v>6</v>
      </c>
      <c r="H271" s="332">
        <v>1.2</v>
      </c>
      <c r="I271" s="333">
        <v>0.12</v>
      </c>
      <c r="J271" s="333">
        <v>0.2</v>
      </c>
      <c r="K271" s="332">
        <v>0.1</v>
      </c>
      <c r="L271" s="332">
        <v>5</v>
      </c>
      <c r="M271" s="332" t="s">
        <v>157</v>
      </c>
      <c r="N271" s="332">
        <v>2007</v>
      </c>
      <c r="O271" s="332" t="s">
        <v>69</v>
      </c>
      <c r="P271" s="332">
        <v>870493</v>
      </c>
      <c r="Q271" s="335" t="s">
        <v>180</v>
      </c>
      <c r="R271" s="335" t="s">
        <v>1096</v>
      </c>
      <c r="S271" s="335"/>
    </row>
    <row r="272" spans="1:19" x14ac:dyDescent="0.2">
      <c r="A272" s="335" t="s">
        <v>167</v>
      </c>
      <c r="B272" s="332">
        <v>1</v>
      </c>
      <c r="C272" s="332">
        <v>0</v>
      </c>
      <c r="D272" s="332">
        <v>1</v>
      </c>
      <c r="E272" s="332">
        <v>2</v>
      </c>
      <c r="F272" s="332">
        <v>5</v>
      </c>
      <c r="G272" s="332">
        <v>12</v>
      </c>
      <c r="H272" s="332">
        <v>2.3000000000000003</v>
      </c>
      <c r="I272" s="333">
        <v>0.1</v>
      </c>
      <c r="J272" s="333">
        <v>0.1</v>
      </c>
      <c r="K272" s="332">
        <v>0.6</v>
      </c>
      <c r="L272" s="332">
        <v>3.2</v>
      </c>
      <c r="M272" s="332" t="s">
        <v>157</v>
      </c>
      <c r="N272" s="332">
        <v>2008</v>
      </c>
      <c r="O272" s="332" t="s">
        <v>158</v>
      </c>
      <c r="P272" s="332">
        <v>972497</v>
      </c>
      <c r="Q272" s="335" t="s">
        <v>168</v>
      </c>
      <c r="R272" s="335" t="s">
        <v>1096</v>
      </c>
      <c r="S272" s="335"/>
    </row>
    <row r="273" spans="1:19" x14ac:dyDescent="0.2">
      <c r="A273" s="335" t="s">
        <v>468</v>
      </c>
      <c r="B273" s="332">
        <v>2</v>
      </c>
      <c r="C273" s="332">
        <v>-1</v>
      </c>
      <c r="D273" s="332">
        <v>3</v>
      </c>
      <c r="E273" s="332">
        <v>14</v>
      </c>
      <c r="F273" s="332">
        <v>37</v>
      </c>
      <c r="G273" s="332">
        <v>38</v>
      </c>
      <c r="H273" s="332">
        <v>6.7</v>
      </c>
      <c r="I273" s="333">
        <v>0.42</v>
      </c>
      <c r="J273" s="333">
        <v>2.7</v>
      </c>
      <c r="K273" s="332">
        <v>9.9</v>
      </c>
      <c r="L273" s="332">
        <v>1.1000000000000001</v>
      </c>
      <c r="M273" s="332" t="s">
        <v>352</v>
      </c>
      <c r="N273" s="332">
        <v>2001</v>
      </c>
      <c r="O273" s="332" t="s">
        <v>69</v>
      </c>
      <c r="P273" s="332">
        <v>103010</v>
      </c>
      <c r="Q273" s="335" t="s">
        <v>465</v>
      </c>
      <c r="R273" s="335" t="s">
        <v>1099</v>
      </c>
      <c r="S273" s="335"/>
    </row>
    <row r="274" spans="1:19" x14ac:dyDescent="0.2">
      <c r="A274" s="335" t="s">
        <v>967</v>
      </c>
      <c r="B274" s="332">
        <v>2</v>
      </c>
      <c r="C274" s="332">
        <v>1</v>
      </c>
      <c r="D274" s="332">
        <v>2</v>
      </c>
      <c r="E274" s="332">
        <v>2</v>
      </c>
      <c r="F274" s="332"/>
      <c r="G274" s="332"/>
      <c r="H274" s="332"/>
      <c r="I274" s="333">
        <v>0.24</v>
      </c>
      <c r="J274" s="333">
        <v>1.25</v>
      </c>
      <c r="K274" s="332"/>
      <c r="L274" s="332"/>
      <c r="M274" s="332" t="s">
        <v>157</v>
      </c>
      <c r="N274" s="332">
        <v>2016</v>
      </c>
      <c r="O274" s="332" t="s">
        <v>69</v>
      </c>
      <c r="P274" s="332">
        <v>106906</v>
      </c>
      <c r="Q274" s="335" t="s">
        <v>968</v>
      </c>
      <c r="R274" s="335" t="s">
        <v>1099</v>
      </c>
      <c r="S274" s="335"/>
    </row>
    <row r="275" spans="1:19" x14ac:dyDescent="0.2">
      <c r="A275" s="335" t="s">
        <v>608</v>
      </c>
      <c r="B275" s="332">
        <v>-1</v>
      </c>
      <c r="C275" s="332">
        <v>-2</v>
      </c>
      <c r="D275" s="332">
        <v>1</v>
      </c>
      <c r="E275" s="332">
        <v>11</v>
      </c>
      <c r="F275" s="332">
        <v>45</v>
      </c>
      <c r="G275" s="332">
        <v>48</v>
      </c>
      <c r="H275" s="332">
        <v>8.1999999999999993</v>
      </c>
      <c r="I275" s="333">
        <v>0.38</v>
      </c>
      <c r="J275" s="333">
        <v>1.9100000000000001</v>
      </c>
      <c r="K275" s="332">
        <v>10.3</v>
      </c>
      <c r="L275" s="332">
        <v>1.3</v>
      </c>
      <c r="M275" s="332" t="s">
        <v>352</v>
      </c>
      <c r="N275" s="332">
        <v>2003</v>
      </c>
      <c r="O275" s="332" t="s">
        <v>69</v>
      </c>
      <c r="P275" s="332">
        <v>173435</v>
      </c>
      <c r="Q275" s="335" t="s">
        <v>1013</v>
      </c>
      <c r="R275" s="335" t="s">
        <v>1099</v>
      </c>
      <c r="S275" s="335"/>
    </row>
    <row r="276" spans="1:19" x14ac:dyDescent="0.2">
      <c r="A276" s="335" t="s">
        <v>660</v>
      </c>
      <c r="B276" s="332">
        <v>12</v>
      </c>
      <c r="C276" s="332">
        <v>4</v>
      </c>
      <c r="D276" s="332">
        <v>6</v>
      </c>
      <c r="E276" s="332">
        <v>23</v>
      </c>
      <c r="F276" s="332">
        <v>59</v>
      </c>
      <c r="G276" s="332">
        <v>71</v>
      </c>
      <c r="H276" s="332">
        <v>11.4</v>
      </c>
      <c r="I276" s="333">
        <v>0.78</v>
      </c>
      <c r="J276" s="333">
        <v>2.04</v>
      </c>
      <c r="K276" s="332">
        <v>13.9</v>
      </c>
      <c r="L276" s="332">
        <v>1.2</v>
      </c>
      <c r="M276" s="332" t="s">
        <v>157</v>
      </c>
      <c r="N276" s="332">
        <v>2010</v>
      </c>
      <c r="O276" s="332" t="s">
        <v>158</v>
      </c>
      <c r="P276" s="332">
        <v>660290</v>
      </c>
      <c r="Q276" s="335" t="s">
        <v>188</v>
      </c>
      <c r="R276" s="335" t="s">
        <v>350</v>
      </c>
      <c r="S276" s="335" t="s">
        <v>166</v>
      </c>
    </row>
    <row r="277" spans="1:19" x14ac:dyDescent="0.2">
      <c r="A277" s="335" t="s">
        <v>570</v>
      </c>
      <c r="B277" s="332">
        <v>14</v>
      </c>
      <c r="C277" s="332">
        <v>11</v>
      </c>
      <c r="D277" s="332">
        <v>16</v>
      </c>
      <c r="E277" s="332">
        <v>20</v>
      </c>
      <c r="F277" s="332">
        <v>54</v>
      </c>
      <c r="G277" s="332">
        <v>155</v>
      </c>
      <c r="H277" s="332">
        <v>20.6</v>
      </c>
      <c r="I277" s="333">
        <v>0.64</v>
      </c>
      <c r="J277" s="333">
        <v>1.62</v>
      </c>
      <c r="K277" s="332">
        <v>10.700000000000001</v>
      </c>
      <c r="L277" s="332">
        <v>1.4000000000000001</v>
      </c>
      <c r="M277" s="332" t="s">
        <v>157</v>
      </c>
      <c r="N277" s="332">
        <v>2002</v>
      </c>
      <c r="O277" s="332" t="s">
        <v>158</v>
      </c>
      <c r="P277" s="332">
        <v>484980</v>
      </c>
      <c r="Q277" s="335" t="s">
        <v>188</v>
      </c>
      <c r="R277" s="335" t="s">
        <v>325</v>
      </c>
      <c r="S277" s="335" t="s">
        <v>166</v>
      </c>
    </row>
    <row r="278" spans="1:19" x14ac:dyDescent="0.2">
      <c r="A278" s="335" t="s">
        <v>333</v>
      </c>
      <c r="B278" s="332">
        <v>1</v>
      </c>
      <c r="C278" s="332">
        <v>0</v>
      </c>
      <c r="D278" s="332">
        <v>1</v>
      </c>
      <c r="E278" s="332">
        <v>1</v>
      </c>
      <c r="F278" s="332">
        <v>2</v>
      </c>
      <c r="G278" s="332">
        <v>10</v>
      </c>
      <c r="H278" s="332">
        <v>1.9000000000000001</v>
      </c>
      <c r="I278" s="333">
        <v>0.28000000000000003</v>
      </c>
      <c r="J278" s="333">
        <v>0.72</v>
      </c>
      <c r="K278" s="332">
        <v>1</v>
      </c>
      <c r="L278" s="332">
        <v>0.9</v>
      </c>
      <c r="M278" s="332" t="s">
        <v>157</v>
      </c>
      <c r="N278" s="332">
        <v>2000</v>
      </c>
      <c r="O278" s="332" t="s">
        <v>158</v>
      </c>
      <c r="P278" s="332">
        <v>112755</v>
      </c>
      <c r="Q278" s="335" t="s">
        <v>334</v>
      </c>
      <c r="R278" s="335" t="s">
        <v>1098</v>
      </c>
      <c r="S278" s="335"/>
    </row>
    <row r="279" spans="1:19" x14ac:dyDescent="0.2">
      <c r="A279" s="335" t="s">
        <v>973</v>
      </c>
      <c r="B279" s="332">
        <v>15</v>
      </c>
      <c r="C279" s="332">
        <v>6</v>
      </c>
      <c r="D279" s="332">
        <v>16</v>
      </c>
      <c r="E279" s="332">
        <v>39</v>
      </c>
      <c r="F279" s="332">
        <v>100</v>
      </c>
      <c r="G279" s="332">
        <v>140</v>
      </c>
      <c r="H279" s="332">
        <v>19.2</v>
      </c>
      <c r="I279" s="333">
        <v>0.75</v>
      </c>
      <c r="J279" s="333">
        <v>1.84</v>
      </c>
      <c r="K279" s="332">
        <v>15.9</v>
      </c>
      <c r="L279" s="332">
        <v>1.6</v>
      </c>
      <c r="M279" s="332" t="s">
        <v>352</v>
      </c>
      <c r="N279" s="332">
        <v>2006</v>
      </c>
      <c r="O279" s="332" t="s">
        <v>69</v>
      </c>
      <c r="P279" s="332">
        <v>401695</v>
      </c>
      <c r="Q279" s="335" t="s">
        <v>800</v>
      </c>
      <c r="R279" s="335" t="s">
        <v>259</v>
      </c>
      <c r="S279" s="335"/>
    </row>
    <row r="280" spans="1:19" x14ac:dyDescent="0.2">
      <c r="A280" s="335" t="s">
        <v>261</v>
      </c>
      <c r="B280" s="332">
        <v>4</v>
      </c>
      <c r="C280" s="332">
        <v>2</v>
      </c>
      <c r="D280" s="332">
        <v>5</v>
      </c>
      <c r="E280" s="332">
        <v>11</v>
      </c>
      <c r="F280" s="332">
        <v>26</v>
      </c>
      <c r="G280" s="332">
        <v>50</v>
      </c>
      <c r="H280" s="332">
        <v>8.5</v>
      </c>
      <c r="I280" s="333">
        <v>0.21</v>
      </c>
      <c r="J280" s="333">
        <v>0.53</v>
      </c>
      <c r="K280" s="332">
        <v>6.7</v>
      </c>
      <c r="L280" s="332">
        <v>1.2</v>
      </c>
      <c r="M280" s="332" t="s">
        <v>157</v>
      </c>
      <c r="N280" s="332">
        <v>2000</v>
      </c>
      <c r="O280" s="332" t="s">
        <v>158</v>
      </c>
      <c r="P280" s="332">
        <v>850602</v>
      </c>
      <c r="Q280" s="335" t="s">
        <v>177</v>
      </c>
      <c r="R280" s="335" t="s">
        <v>163</v>
      </c>
      <c r="S280" s="335" t="s">
        <v>166</v>
      </c>
    </row>
    <row r="281" spans="1:19" x14ac:dyDescent="0.2">
      <c r="A281" s="335" t="s">
        <v>269</v>
      </c>
      <c r="B281" s="332">
        <v>4</v>
      </c>
      <c r="C281" s="332">
        <v>2</v>
      </c>
      <c r="D281" s="332">
        <v>5</v>
      </c>
      <c r="E281" s="332">
        <v>11</v>
      </c>
      <c r="F281" s="332">
        <v>26</v>
      </c>
      <c r="G281" s="332">
        <v>54</v>
      </c>
      <c r="H281" s="332">
        <v>9.1</v>
      </c>
      <c r="I281" s="333">
        <v>0.21</v>
      </c>
      <c r="J281" s="333">
        <v>0.53</v>
      </c>
      <c r="K281" s="332">
        <v>6.7</v>
      </c>
      <c r="L281" s="332">
        <v>1.2</v>
      </c>
      <c r="M281" s="332" t="s">
        <v>157</v>
      </c>
      <c r="N281" s="332">
        <v>2000</v>
      </c>
      <c r="O281" s="332" t="s">
        <v>158</v>
      </c>
      <c r="P281" s="332">
        <v>814772</v>
      </c>
      <c r="Q281" s="335" t="s">
        <v>177</v>
      </c>
      <c r="R281" s="335" t="s">
        <v>163</v>
      </c>
      <c r="S281" s="335" t="s">
        <v>166</v>
      </c>
    </row>
    <row r="282" spans="1:19" x14ac:dyDescent="0.2">
      <c r="A282" s="335" t="s">
        <v>270</v>
      </c>
      <c r="B282" s="332">
        <v>5</v>
      </c>
      <c r="C282" s="332">
        <v>2</v>
      </c>
      <c r="D282" s="332">
        <v>6</v>
      </c>
      <c r="E282" s="332">
        <v>14</v>
      </c>
      <c r="F282" s="332">
        <v>33</v>
      </c>
      <c r="G282" s="332">
        <v>76</v>
      </c>
      <c r="H282" s="332">
        <v>11.9</v>
      </c>
      <c r="I282" s="333">
        <v>0.21</v>
      </c>
      <c r="J282" s="333">
        <v>0.53</v>
      </c>
      <c r="K282" s="332">
        <v>9.2000000000000011</v>
      </c>
      <c r="L282" s="332">
        <v>1.1000000000000001</v>
      </c>
      <c r="M282" s="332" t="s">
        <v>157</v>
      </c>
      <c r="N282" s="332">
        <v>2000</v>
      </c>
      <c r="O282" s="332" t="s">
        <v>158</v>
      </c>
      <c r="P282" s="332">
        <v>778944</v>
      </c>
      <c r="Q282" s="335" t="s">
        <v>177</v>
      </c>
      <c r="R282" s="335" t="s">
        <v>163</v>
      </c>
      <c r="S282" s="335" t="s">
        <v>166</v>
      </c>
    </row>
    <row r="283" spans="1:19" x14ac:dyDescent="0.2">
      <c r="A283" s="335" t="s">
        <v>698</v>
      </c>
      <c r="B283" s="332">
        <v>-7</v>
      </c>
      <c r="C283" s="332">
        <v>-5</v>
      </c>
      <c r="D283" s="332">
        <v>3</v>
      </c>
      <c r="E283" s="332">
        <v>32</v>
      </c>
      <c r="F283" s="332">
        <v>26</v>
      </c>
      <c r="G283" s="332">
        <v>29</v>
      </c>
      <c r="H283" s="332">
        <v>5.3</v>
      </c>
      <c r="I283" s="333">
        <v>0.8</v>
      </c>
      <c r="J283" s="333">
        <v>2.58</v>
      </c>
      <c r="K283" s="332">
        <v>23.7</v>
      </c>
      <c r="L283" s="332">
        <v>0.4</v>
      </c>
      <c r="M283" s="332" t="s">
        <v>157</v>
      </c>
      <c r="N283" s="332">
        <v>2004</v>
      </c>
      <c r="O283" s="332" t="s">
        <v>158</v>
      </c>
      <c r="P283" s="332">
        <v>671982</v>
      </c>
      <c r="Q283" s="335" t="s">
        <v>233</v>
      </c>
      <c r="R283" s="335" t="s">
        <v>381</v>
      </c>
      <c r="S283" s="335"/>
    </row>
    <row r="284" spans="1:19" x14ac:dyDescent="0.2">
      <c r="A284" s="335" t="s">
        <v>390</v>
      </c>
      <c r="B284" s="332">
        <v>3</v>
      </c>
      <c r="C284" s="332">
        <v>1</v>
      </c>
      <c r="D284" s="332">
        <v>3</v>
      </c>
      <c r="E284" s="332">
        <v>5</v>
      </c>
      <c r="F284" s="332">
        <v>11</v>
      </c>
      <c r="G284" s="332">
        <v>23</v>
      </c>
      <c r="H284" s="332">
        <v>4.2</v>
      </c>
      <c r="I284" s="333">
        <v>0.35000000000000003</v>
      </c>
      <c r="J284" s="333">
        <v>1.3800000000000001</v>
      </c>
      <c r="K284" s="332">
        <v>3.1</v>
      </c>
      <c r="L284" s="332">
        <v>1.1000000000000001</v>
      </c>
      <c r="M284" s="332" t="s">
        <v>157</v>
      </c>
      <c r="N284" s="332">
        <v>2011</v>
      </c>
      <c r="O284" s="332" t="s">
        <v>69</v>
      </c>
      <c r="P284" s="332">
        <v>155606</v>
      </c>
      <c r="Q284" s="335" t="s">
        <v>997</v>
      </c>
      <c r="R284" s="335" t="s">
        <v>1100</v>
      </c>
      <c r="S284" s="335"/>
    </row>
    <row r="285" spans="1:19" x14ac:dyDescent="0.2">
      <c r="A285" s="335" t="s">
        <v>551</v>
      </c>
      <c r="B285" s="332">
        <v>14</v>
      </c>
      <c r="C285" s="332">
        <v>5</v>
      </c>
      <c r="D285" s="332">
        <v>12</v>
      </c>
      <c r="E285" s="332">
        <v>32</v>
      </c>
      <c r="F285" s="332">
        <v>32</v>
      </c>
      <c r="G285" s="332">
        <v>47</v>
      </c>
      <c r="H285" s="332">
        <v>8</v>
      </c>
      <c r="I285" s="333">
        <v>0.69000000000000006</v>
      </c>
      <c r="J285" s="333">
        <v>1.99</v>
      </c>
      <c r="K285" s="332">
        <v>15.3</v>
      </c>
      <c r="L285" s="332">
        <v>0.70000000000000007</v>
      </c>
      <c r="M285" s="332" t="s">
        <v>157</v>
      </c>
      <c r="N285" s="332">
        <v>2000</v>
      </c>
      <c r="O285" s="332" t="s">
        <v>69</v>
      </c>
      <c r="P285" s="332">
        <v>819029</v>
      </c>
      <c r="Q285" s="335" t="s">
        <v>228</v>
      </c>
      <c r="R285" s="335" t="s">
        <v>302</v>
      </c>
      <c r="S285" s="335" t="s">
        <v>166</v>
      </c>
    </row>
    <row r="286" spans="1:19" x14ac:dyDescent="0.2">
      <c r="A286" s="335" t="s">
        <v>458</v>
      </c>
      <c r="B286" s="332">
        <v>1</v>
      </c>
      <c r="C286" s="332">
        <v>-1</v>
      </c>
      <c r="D286" s="332">
        <v>-1</v>
      </c>
      <c r="E286" s="332">
        <v>8</v>
      </c>
      <c r="F286" s="332">
        <v>26</v>
      </c>
      <c r="G286" s="332">
        <v>20</v>
      </c>
      <c r="H286" s="332">
        <v>3.8000000000000003</v>
      </c>
      <c r="I286" s="333">
        <v>0.38</v>
      </c>
      <c r="J286" s="333">
        <v>1.31</v>
      </c>
      <c r="K286" s="332">
        <v>8.1999999999999993</v>
      </c>
      <c r="L286" s="332">
        <v>1</v>
      </c>
      <c r="M286" s="332" t="s">
        <v>352</v>
      </c>
      <c r="N286" s="332">
        <v>2006</v>
      </c>
      <c r="O286" s="332" t="s">
        <v>69</v>
      </c>
      <c r="P286" s="332">
        <v>336115</v>
      </c>
      <c r="Q286" s="335" t="s">
        <v>418</v>
      </c>
      <c r="R286" s="335" t="s">
        <v>1099</v>
      </c>
      <c r="S286" s="335"/>
    </row>
    <row r="287" spans="1:19" x14ac:dyDescent="0.2">
      <c r="A287" s="335" t="s">
        <v>552</v>
      </c>
      <c r="B287" s="332">
        <v>3</v>
      </c>
      <c r="C287" s="332">
        <v>0</v>
      </c>
      <c r="D287" s="332">
        <v>4</v>
      </c>
      <c r="E287" s="332">
        <v>18</v>
      </c>
      <c r="F287" s="332">
        <v>44</v>
      </c>
      <c r="G287" s="332">
        <v>53</v>
      </c>
      <c r="H287" s="332">
        <v>8.9</v>
      </c>
      <c r="I287" s="333">
        <v>0.38</v>
      </c>
      <c r="J287" s="333">
        <v>1.71</v>
      </c>
      <c r="K287" s="332">
        <v>10.200000000000001</v>
      </c>
      <c r="L287" s="332">
        <v>1.3</v>
      </c>
      <c r="M287" s="332" t="s">
        <v>352</v>
      </c>
      <c r="N287" s="332">
        <v>2006</v>
      </c>
      <c r="O287" s="332" t="s">
        <v>69</v>
      </c>
      <c r="P287" s="332">
        <v>721746</v>
      </c>
      <c r="Q287" s="335" t="s">
        <v>418</v>
      </c>
      <c r="R287" s="335" t="s">
        <v>1099</v>
      </c>
      <c r="S287" s="335"/>
    </row>
    <row r="288" spans="1:19" x14ac:dyDescent="0.2">
      <c r="A288" s="335" t="s">
        <v>318</v>
      </c>
      <c r="B288" s="332">
        <v>6</v>
      </c>
      <c r="C288" s="332">
        <v>2</v>
      </c>
      <c r="D288" s="332">
        <v>6</v>
      </c>
      <c r="E288" s="332">
        <v>15</v>
      </c>
      <c r="F288" s="332">
        <v>15</v>
      </c>
      <c r="G288" s="332"/>
      <c r="H288" s="332"/>
      <c r="I288" s="333">
        <v>0.23</v>
      </c>
      <c r="J288" s="333">
        <v>1.1500000000000001</v>
      </c>
      <c r="K288" s="332">
        <v>9.6</v>
      </c>
      <c r="L288" s="332">
        <v>0.6</v>
      </c>
      <c r="M288" s="332" t="s">
        <v>157</v>
      </c>
      <c r="N288" s="332">
        <v>2013</v>
      </c>
      <c r="O288" s="332" t="s">
        <v>69</v>
      </c>
      <c r="P288" s="332">
        <v>857565</v>
      </c>
      <c r="Q288" s="335" t="s">
        <v>162</v>
      </c>
      <c r="R288" s="335" t="s">
        <v>1099</v>
      </c>
      <c r="S288" s="335"/>
    </row>
    <row r="289" spans="1:19" x14ac:dyDescent="0.2">
      <c r="A289" s="335" t="s">
        <v>469</v>
      </c>
      <c r="B289" s="332">
        <v>4</v>
      </c>
      <c r="C289" s="332">
        <v>1</v>
      </c>
      <c r="D289" s="332">
        <v>6</v>
      </c>
      <c r="E289" s="332">
        <v>14</v>
      </c>
      <c r="F289" s="332">
        <v>10</v>
      </c>
      <c r="G289" s="332">
        <v>3</v>
      </c>
      <c r="H289" s="332">
        <v>0.5</v>
      </c>
      <c r="I289" s="333">
        <v>0.42</v>
      </c>
      <c r="J289" s="333">
        <v>2.69</v>
      </c>
      <c r="K289" s="332">
        <v>11.4</v>
      </c>
      <c r="L289" s="332">
        <v>0.4</v>
      </c>
      <c r="M289" s="332" t="s">
        <v>352</v>
      </c>
      <c r="N289" s="332">
        <v>2009</v>
      </c>
      <c r="O289" s="332" t="s">
        <v>69</v>
      </c>
      <c r="P289" s="332">
        <v>874099</v>
      </c>
      <c r="Q289" s="335" t="s">
        <v>465</v>
      </c>
      <c r="R289" s="335" t="s">
        <v>1099</v>
      </c>
      <c r="S289" s="335"/>
    </row>
    <row r="290" spans="1:19" x14ac:dyDescent="0.2">
      <c r="A290" s="335" t="s">
        <v>755</v>
      </c>
      <c r="B290" s="332">
        <v>1</v>
      </c>
      <c r="C290" s="332">
        <v>-1</v>
      </c>
      <c r="D290" s="332">
        <v>2</v>
      </c>
      <c r="E290" s="332">
        <v>14</v>
      </c>
      <c r="F290" s="332">
        <v>45</v>
      </c>
      <c r="G290" s="332">
        <v>52</v>
      </c>
      <c r="H290" s="332">
        <v>8.8000000000000007</v>
      </c>
      <c r="I290" s="333">
        <v>0.42</v>
      </c>
      <c r="J290" s="333">
        <v>1.56</v>
      </c>
      <c r="K290" s="332">
        <v>9.6</v>
      </c>
      <c r="L290" s="332">
        <v>1.4000000000000001</v>
      </c>
      <c r="M290" s="332" t="s">
        <v>352</v>
      </c>
      <c r="N290" s="332">
        <v>2008</v>
      </c>
      <c r="O290" s="332" t="s">
        <v>69</v>
      </c>
      <c r="P290" s="332">
        <v>909333</v>
      </c>
      <c r="Q290" s="335" t="s">
        <v>476</v>
      </c>
      <c r="R290" s="335" t="s">
        <v>1099</v>
      </c>
      <c r="S290" s="335"/>
    </row>
    <row r="291" spans="1:19" x14ac:dyDescent="0.2">
      <c r="A291" s="335" t="s">
        <v>293</v>
      </c>
      <c r="B291" s="332">
        <v>2</v>
      </c>
      <c r="C291" s="332">
        <v>1</v>
      </c>
      <c r="D291" s="332">
        <v>2</v>
      </c>
      <c r="E291" s="332">
        <v>5</v>
      </c>
      <c r="F291" s="332">
        <v>4</v>
      </c>
      <c r="G291" s="332">
        <v>14</v>
      </c>
      <c r="H291" s="332">
        <v>2.7</v>
      </c>
      <c r="I291" s="333">
        <v>0.25</v>
      </c>
      <c r="J291" s="333">
        <v>1.02</v>
      </c>
      <c r="K291" s="332">
        <v>2</v>
      </c>
      <c r="L291" s="332">
        <v>0.8</v>
      </c>
      <c r="M291" s="332" t="s">
        <v>157</v>
      </c>
      <c r="N291" s="332">
        <v>2011</v>
      </c>
      <c r="O291" s="332" t="s">
        <v>69</v>
      </c>
      <c r="P291" s="332">
        <v>191437</v>
      </c>
      <c r="Q291" s="335" t="s">
        <v>997</v>
      </c>
      <c r="R291" s="335" t="s">
        <v>1103</v>
      </c>
      <c r="S291" s="335"/>
    </row>
    <row r="292" spans="1:19" x14ac:dyDescent="0.2">
      <c r="A292" s="335" t="s">
        <v>784</v>
      </c>
      <c r="B292" s="332">
        <v>1</v>
      </c>
      <c r="C292" s="332">
        <v>0</v>
      </c>
      <c r="D292" s="332">
        <v>1</v>
      </c>
      <c r="E292" s="332">
        <v>3</v>
      </c>
      <c r="F292" s="332">
        <v>1</v>
      </c>
      <c r="G292" s="332">
        <v>-1</v>
      </c>
      <c r="H292" s="332">
        <v>-0.2</v>
      </c>
      <c r="I292" s="333">
        <v>0.23</v>
      </c>
      <c r="J292" s="333">
        <v>1.17</v>
      </c>
      <c r="K292" s="332">
        <v>1.5</v>
      </c>
      <c r="L292" s="332">
        <v>0.3</v>
      </c>
      <c r="M292" s="332" t="s">
        <v>157</v>
      </c>
      <c r="N292" s="332">
        <v>2013</v>
      </c>
      <c r="O292" s="332" t="s">
        <v>158</v>
      </c>
      <c r="P292" s="332">
        <v>212621</v>
      </c>
      <c r="Q292" s="335" t="s">
        <v>177</v>
      </c>
      <c r="R292" s="335" t="s">
        <v>1103</v>
      </c>
      <c r="S292" s="335"/>
    </row>
    <row r="293" spans="1:19" x14ac:dyDescent="0.2">
      <c r="A293" s="335" t="s">
        <v>1021</v>
      </c>
      <c r="B293" s="332">
        <v>9</v>
      </c>
      <c r="C293" s="332">
        <v>7</v>
      </c>
      <c r="D293" s="332">
        <v>10</v>
      </c>
      <c r="E293" s="332"/>
      <c r="F293" s="332"/>
      <c r="G293" s="332"/>
      <c r="H293" s="332"/>
      <c r="I293" s="333">
        <v>0.47000000000000003</v>
      </c>
      <c r="J293" s="333">
        <v>1.06</v>
      </c>
      <c r="K293" s="332"/>
      <c r="L293" s="332"/>
      <c r="M293" s="332" t="s">
        <v>157</v>
      </c>
      <c r="N293" s="332">
        <v>2016</v>
      </c>
      <c r="O293" s="332" t="s">
        <v>158</v>
      </c>
      <c r="P293" s="332">
        <v>324301</v>
      </c>
      <c r="Q293" s="335" t="s">
        <v>1035</v>
      </c>
      <c r="R293" s="335" t="s">
        <v>163</v>
      </c>
      <c r="S293" s="335"/>
    </row>
    <row r="294" spans="1:19" x14ac:dyDescent="0.2">
      <c r="A294" s="335" t="s">
        <v>1104</v>
      </c>
      <c r="B294" s="332">
        <v>8</v>
      </c>
      <c r="C294" s="332">
        <v>3</v>
      </c>
      <c r="D294" s="332">
        <v>5</v>
      </c>
      <c r="E294" s="332">
        <v>17</v>
      </c>
      <c r="F294" s="332">
        <v>57</v>
      </c>
      <c r="G294" s="332">
        <v>88</v>
      </c>
      <c r="H294" s="332">
        <v>13.5</v>
      </c>
      <c r="I294" s="333">
        <v>0.36</v>
      </c>
      <c r="J294" s="333">
        <v>1.6600000000000001</v>
      </c>
      <c r="K294" s="332">
        <v>14.4</v>
      </c>
      <c r="L294" s="332">
        <v>1.1000000000000001</v>
      </c>
      <c r="M294" s="332" t="s">
        <v>157</v>
      </c>
      <c r="N294" s="332">
        <v>2003</v>
      </c>
      <c r="O294" s="332" t="s">
        <v>158</v>
      </c>
      <c r="P294" s="332">
        <v>203182</v>
      </c>
      <c r="Q294" s="335" t="s">
        <v>198</v>
      </c>
      <c r="R294" s="335" t="s">
        <v>205</v>
      </c>
      <c r="S294" s="335" t="s">
        <v>166</v>
      </c>
    </row>
    <row r="295" spans="1:19" x14ac:dyDescent="0.2">
      <c r="A295" s="335" t="s">
        <v>530</v>
      </c>
      <c r="B295" s="332">
        <v>11</v>
      </c>
      <c r="C295" s="332">
        <v>6</v>
      </c>
      <c r="D295" s="332">
        <v>12</v>
      </c>
      <c r="E295" s="332">
        <v>26</v>
      </c>
      <c r="F295" s="332">
        <v>52</v>
      </c>
      <c r="G295" s="332">
        <v>142</v>
      </c>
      <c r="H295" s="332">
        <v>19.3</v>
      </c>
      <c r="I295" s="333">
        <v>0.64</v>
      </c>
      <c r="J295" s="333">
        <v>1.82</v>
      </c>
      <c r="K295" s="332">
        <v>14.9</v>
      </c>
      <c r="L295" s="332">
        <v>1</v>
      </c>
      <c r="M295" s="332" t="s">
        <v>157</v>
      </c>
      <c r="N295" s="332">
        <v>2013</v>
      </c>
      <c r="O295" s="332" t="s">
        <v>69</v>
      </c>
      <c r="P295" s="332">
        <v>445841</v>
      </c>
      <c r="Q295" s="335" t="s">
        <v>228</v>
      </c>
      <c r="R295" s="335" t="s">
        <v>185</v>
      </c>
      <c r="S295" s="335"/>
    </row>
    <row r="296" spans="1:19" x14ac:dyDescent="0.2">
      <c r="A296" s="335" t="s">
        <v>475</v>
      </c>
      <c r="B296" s="332">
        <v>14</v>
      </c>
      <c r="C296" s="332">
        <v>6</v>
      </c>
      <c r="D296" s="332">
        <v>14</v>
      </c>
      <c r="E296" s="332">
        <v>25</v>
      </c>
      <c r="F296" s="332">
        <v>112</v>
      </c>
      <c r="G296" s="332">
        <v>187</v>
      </c>
      <c r="H296" s="332">
        <v>23.5</v>
      </c>
      <c r="I296" s="333">
        <v>0.47000000000000003</v>
      </c>
      <c r="J296" s="333">
        <v>1.61</v>
      </c>
      <c r="K296" s="332">
        <v>14.5</v>
      </c>
      <c r="L296" s="332">
        <v>1.8</v>
      </c>
      <c r="M296" s="332" t="s">
        <v>157</v>
      </c>
      <c r="N296" s="332">
        <v>2000</v>
      </c>
      <c r="O296" s="332" t="s">
        <v>158</v>
      </c>
      <c r="P296" s="332">
        <v>771030</v>
      </c>
      <c r="Q296" s="335" t="s">
        <v>200</v>
      </c>
      <c r="R296" s="335" t="s">
        <v>185</v>
      </c>
      <c r="S296" s="335" t="s">
        <v>166</v>
      </c>
    </row>
    <row r="297" spans="1:19" x14ac:dyDescent="0.2">
      <c r="A297" s="335" t="s">
        <v>196</v>
      </c>
      <c r="B297" s="332">
        <v>0</v>
      </c>
      <c r="C297" s="332">
        <v>0</v>
      </c>
      <c r="D297" s="332">
        <v>0</v>
      </c>
      <c r="E297" s="332">
        <v>0</v>
      </c>
      <c r="F297" s="332">
        <v>6</v>
      </c>
      <c r="G297" s="332">
        <v>9</v>
      </c>
      <c r="H297" s="332">
        <v>1.8</v>
      </c>
      <c r="I297" s="333">
        <v>0.15</v>
      </c>
      <c r="J297" s="333">
        <v>0.4</v>
      </c>
      <c r="K297" s="332">
        <v>1.8</v>
      </c>
      <c r="L297" s="332">
        <v>1.2</v>
      </c>
      <c r="M297" s="332" t="s">
        <v>157</v>
      </c>
      <c r="N297" s="332">
        <v>2000</v>
      </c>
      <c r="O297" s="332" t="s">
        <v>158</v>
      </c>
      <c r="P297" s="332">
        <v>178335</v>
      </c>
      <c r="Q297" s="335" t="s">
        <v>192</v>
      </c>
      <c r="R297" s="335" t="s">
        <v>1105</v>
      </c>
      <c r="S297" s="335"/>
    </row>
    <row r="298" spans="1:19" x14ac:dyDescent="0.2">
      <c r="A298" s="335" t="s">
        <v>343</v>
      </c>
      <c r="B298" s="332">
        <v>2</v>
      </c>
      <c r="C298" s="332">
        <v>1</v>
      </c>
      <c r="D298" s="332">
        <v>2</v>
      </c>
      <c r="E298" s="332">
        <v>3</v>
      </c>
      <c r="F298" s="332">
        <v>3</v>
      </c>
      <c r="G298" s="332">
        <v>0</v>
      </c>
      <c r="H298" s="332">
        <v>0</v>
      </c>
      <c r="I298" s="333">
        <v>0.38</v>
      </c>
      <c r="J298" s="333">
        <v>1.86</v>
      </c>
      <c r="K298" s="332">
        <v>1.3</v>
      </c>
      <c r="L298" s="332">
        <v>0.9</v>
      </c>
      <c r="M298" s="332" t="s">
        <v>157</v>
      </c>
      <c r="N298" s="332">
        <v>2000</v>
      </c>
      <c r="O298" s="332" t="s">
        <v>158</v>
      </c>
      <c r="P298" s="332">
        <v>325902</v>
      </c>
      <c r="Q298" s="335" t="s">
        <v>233</v>
      </c>
      <c r="R298" s="335" t="s">
        <v>1098</v>
      </c>
      <c r="S298" s="335"/>
    </row>
    <row r="299" spans="1:19" x14ac:dyDescent="0.2">
      <c r="A299" s="335" t="s">
        <v>890</v>
      </c>
      <c r="B299" s="332">
        <v>9</v>
      </c>
      <c r="C299" s="332">
        <v>5</v>
      </c>
      <c r="D299" s="332">
        <v>13</v>
      </c>
      <c r="E299" s="332">
        <v>21</v>
      </c>
      <c r="F299" s="332">
        <v>72</v>
      </c>
      <c r="G299" s="332">
        <v>179</v>
      </c>
      <c r="H299" s="332">
        <v>22.8</v>
      </c>
      <c r="I299" s="333">
        <v>0.56000000000000005</v>
      </c>
      <c r="J299" s="333">
        <v>1.56</v>
      </c>
      <c r="K299" s="332">
        <v>15.9</v>
      </c>
      <c r="L299" s="332">
        <v>1.2</v>
      </c>
      <c r="M299" s="332" t="s">
        <v>157</v>
      </c>
      <c r="N299" s="332">
        <v>2000</v>
      </c>
      <c r="O299" s="332" t="s">
        <v>158</v>
      </c>
      <c r="P299" s="332">
        <v>184416</v>
      </c>
      <c r="Q299" s="335" t="s">
        <v>334</v>
      </c>
      <c r="R299" s="335" t="s">
        <v>264</v>
      </c>
      <c r="S299" s="335"/>
    </row>
    <row r="300" spans="1:19" x14ac:dyDescent="0.2">
      <c r="A300" s="335" t="s">
        <v>215</v>
      </c>
      <c r="B300" s="332">
        <v>1</v>
      </c>
      <c r="C300" s="332">
        <v>0</v>
      </c>
      <c r="D300" s="332">
        <v>0</v>
      </c>
      <c r="E300" s="332">
        <v>1</v>
      </c>
      <c r="F300" s="332">
        <v>7</v>
      </c>
      <c r="G300" s="332">
        <v>11</v>
      </c>
      <c r="H300" s="332">
        <v>2.1</v>
      </c>
      <c r="I300" s="333">
        <v>0.16</v>
      </c>
      <c r="J300" s="333">
        <v>0.5</v>
      </c>
      <c r="K300" s="332">
        <v>2.2000000000000002</v>
      </c>
      <c r="L300" s="332">
        <v>1.1000000000000001</v>
      </c>
      <c r="M300" s="332" t="s">
        <v>157</v>
      </c>
      <c r="N300" s="332">
        <v>2001</v>
      </c>
      <c r="O300" s="332" t="s">
        <v>158</v>
      </c>
      <c r="P300" s="332">
        <v>242081</v>
      </c>
      <c r="Q300" s="335" t="s">
        <v>177</v>
      </c>
      <c r="R300" s="335" t="s">
        <v>1105</v>
      </c>
      <c r="S300" s="335" t="s">
        <v>166</v>
      </c>
    </row>
    <row r="301" spans="1:19" x14ac:dyDescent="0.2">
      <c r="A301" s="335" t="s">
        <v>186</v>
      </c>
      <c r="B301" s="332">
        <v>1</v>
      </c>
      <c r="C301" s="332">
        <v>0</v>
      </c>
      <c r="D301" s="332">
        <v>1</v>
      </c>
      <c r="E301" s="332">
        <v>1</v>
      </c>
      <c r="F301" s="332">
        <v>9</v>
      </c>
      <c r="G301" s="332">
        <v>14</v>
      </c>
      <c r="H301" s="332">
        <v>2.7</v>
      </c>
      <c r="I301" s="333">
        <v>0.12</v>
      </c>
      <c r="J301" s="333">
        <v>0.3</v>
      </c>
      <c r="K301" s="332">
        <v>2.6</v>
      </c>
      <c r="L301" s="332">
        <v>1.2</v>
      </c>
      <c r="M301" s="332" t="s">
        <v>157</v>
      </c>
      <c r="N301" s="332">
        <v>2012</v>
      </c>
      <c r="O301" s="332" t="s">
        <v>158</v>
      </c>
      <c r="P301" s="332">
        <v>265512</v>
      </c>
      <c r="Q301" s="335" t="s">
        <v>172</v>
      </c>
      <c r="R301" s="335" t="s">
        <v>1105</v>
      </c>
      <c r="S301" s="335"/>
    </row>
    <row r="302" spans="1:19" x14ac:dyDescent="0.2">
      <c r="A302" s="335" t="s">
        <v>173</v>
      </c>
      <c r="B302" s="332">
        <v>1</v>
      </c>
      <c r="C302" s="332">
        <v>0</v>
      </c>
      <c r="D302" s="332">
        <v>0</v>
      </c>
      <c r="E302" s="332">
        <v>1</v>
      </c>
      <c r="F302" s="332">
        <v>7</v>
      </c>
      <c r="G302" s="332">
        <v>12</v>
      </c>
      <c r="H302" s="332">
        <v>2.2000000000000002</v>
      </c>
      <c r="I302" s="333">
        <v>0.11</v>
      </c>
      <c r="J302" s="333">
        <v>0.13</v>
      </c>
      <c r="K302" s="332">
        <v>2</v>
      </c>
      <c r="L302" s="332">
        <v>1.2</v>
      </c>
      <c r="M302" s="332" t="s">
        <v>157</v>
      </c>
      <c r="N302" s="332">
        <v>2001</v>
      </c>
      <c r="O302" s="332" t="s">
        <v>158</v>
      </c>
      <c r="P302" s="332">
        <v>330746</v>
      </c>
      <c r="Q302" s="335" t="s">
        <v>170</v>
      </c>
      <c r="R302" s="335" t="s">
        <v>1105</v>
      </c>
      <c r="S302" s="335"/>
    </row>
    <row r="303" spans="1:19" x14ac:dyDescent="0.2">
      <c r="A303" s="335" t="s">
        <v>290</v>
      </c>
      <c r="B303" s="332">
        <v>1</v>
      </c>
      <c r="C303" s="332">
        <v>1</v>
      </c>
      <c r="D303" s="332">
        <v>1</v>
      </c>
      <c r="E303" s="332">
        <v>3</v>
      </c>
      <c r="F303" s="332">
        <v>3</v>
      </c>
      <c r="G303" s="332">
        <v>14</v>
      </c>
      <c r="H303" s="332">
        <v>2.7</v>
      </c>
      <c r="I303" s="333">
        <v>0.24</v>
      </c>
      <c r="J303" s="333">
        <v>0.52</v>
      </c>
      <c r="K303" s="332">
        <v>0.8</v>
      </c>
      <c r="L303" s="332">
        <v>1.5</v>
      </c>
      <c r="M303" s="332" t="s">
        <v>157</v>
      </c>
      <c r="N303" s="332">
        <v>2003</v>
      </c>
      <c r="O303" s="332" t="s">
        <v>158</v>
      </c>
      <c r="P303" s="332">
        <v>384750</v>
      </c>
      <c r="Q303" s="335" t="s">
        <v>291</v>
      </c>
      <c r="R303" s="335" t="s">
        <v>1105</v>
      </c>
      <c r="S303" s="335" t="s">
        <v>166</v>
      </c>
    </row>
    <row r="304" spans="1:19" x14ac:dyDescent="0.2">
      <c r="A304" s="335" t="s">
        <v>187</v>
      </c>
      <c r="B304" s="332">
        <v>0</v>
      </c>
      <c r="C304" s="332">
        <v>0</v>
      </c>
      <c r="D304" s="332">
        <v>0</v>
      </c>
      <c r="E304" s="332">
        <v>1</v>
      </c>
      <c r="F304" s="332">
        <v>2</v>
      </c>
      <c r="G304" s="332">
        <v>6</v>
      </c>
      <c r="H304" s="332">
        <v>1.1000000000000001</v>
      </c>
      <c r="I304" s="333">
        <v>0.12</v>
      </c>
      <c r="J304" s="333">
        <v>0.17</v>
      </c>
      <c r="K304" s="332">
        <v>0.2</v>
      </c>
      <c r="L304" s="332">
        <v>4.0999999999999996</v>
      </c>
      <c r="M304" s="332" t="s">
        <v>157</v>
      </c>
      <c r="N304" s="332">
        <v>2006</v>
      </c>
      <c r="O304" s="332" t="s">
        <v>158</v>
      </c>
      <c r="P304" s="332">
        <v>418699</v>
      </c>
      <c r="Q304" s="335" t="s">
        <v>188</v>
      </c>
      <c r="R304" s="335" t="s">
        <v>1105</v>
      </c>
      <c r="S304" s="335" t="s">
        <v>166</v>
      </c>
    </row>
    <row r="305" spans="1:19" x14ac:dyDescent="0.2">
      <c r="A305" s="335" t="s">
        <v>1053</v>
      </c>
      <c r="B305" s="332">
        <v>0</v>
      </c>
      <c r="C305" s="332">
        <v>0</v>
      </c>
      <c r="D305" s="332">
        <v>0</v>
      </c>
      <c r="E305" s="332"/>
      <c r="F305" s="332"/>
      <c r="G305" s="332"/>
      <c r="H305" s="332"/>
      <c r="I305" s="333">
        <v>0.23</v>
      </c>
      <c r="J305" s="333">
        <v>0.72</v>
      </c>
      <c r="K305" s="332"/>
      <c r="L305" s="332"/>
      <c r="M305" s="332" t="s">
        <v>157</v>
      </c>
      <c r="N305" s="332">
        <v>2016</v>
      </c>
      <c r="O305" s="332" t="s">
        <v>158</v>
      </c>
      <c r="P305" s="332">
        <v>439703</v>
      </c>
      <c r="Q305" s="335" t="s">
        <v>170</v>
      </c>
      <c r="R305" s="335" t="s">
        <v>1105</v>
      </c>
      <c r="S305" s="335" t="s">
        <v>166</v>
      </c>
    </row>
    <row r="306" spans="1:19" x14ac:dyDescent="0.2">
      <c r="A306" s="335" t="s">
        <v>285</v>
      </c>
      <c r="B306" s="332">
        <v>1</v>
      </c>
      <c r="C306" s="332">
        <v>0</v>
      </c>
      <c r="D306" s="332">
        <v>1</v>
      </c>
      <c r="E306" s="332">
        <v>3</v>
      </c>
      <c r="F306" s="332">
        <v>13</v>
      </c>
      <c r="G306" s="332">
        <v>10</v>
      </c>
      <c r="H306" s="332">
        <v>1.9000000000000001</v>
      </c>
      <c r="I306" s="333">
        <v>0.21</v>
      </c>
      <c r="J306" s="333">
        <v>0.6</v>
      </c>
      <c r="K306" s="332">
        <v>4.8</v>
      </c>
      <c r="L306" s="332">
        <v>0.9</v>
      </c>
      <c r="M306" s="332" t="s">
        <v>157</v>
      </c>
      <c r="N306" s="332">
        <v>2001</v>
      </c>
      <c r="O306" s="332" t="s">
        <v>158</v>
      </c>
      <c r="P306" s="332">
        <v>469817</v>
      </c>
      <c r="Q306" s="335" t="s">
        <v>230</v>
      </c>
      <c r="R306" s="335" t="s">
        <v>1105</v>
      </c>
      <c r="S306" s="335" t="s">
        <v>166</v>
      </c>
    </row>
    <row r="307" spans="1:19" x14ac:dyDescent="0.2">
      <c r="A307" s="335" t="s">
        <v>239</v>
      </c>
      <c r="B307" s="332">
        <v>0</v>
      </c>
      <c r="C307" s="332">
        <v>0</v>
      </c>
      <c r="D307" s="332">
        <v>1</v>
      </c>
      <c r="E307" s="332">
        <v>2</v>
      </c>
      <c r="F307" s="332">
        <v>12</v>
      </c>
      <c r="G307" s="332">
        <v>9</v>
      </c>
      <c r="H307" s="332">
        <v>1.7</v>
      </c>
      <c r="I307" s="333">
        <v>0.17</v>
      </c>
      <c r="J307" s="333">
        <v>0.55000000000000004</v>
      </c>
      <c r="K307" s="332">
        <v>4.7</v>
      </c>
      <c r="L307" s="332">
        <v>0.8</v>
      </c>
      <c r="M307" s="332" t="s">
        <v>157</v>
      </c>
      <c r="N307" s="332">
        <v>2003</v>
      </c>
      <c r="O307" s="332" t="s">
        <v>69</v>
      </c>
      <c r="P307" s="332">
        <v>496497</v>
      </c>
      <c r="Q307" s="335" t="s">
        <v>213</v>
      </c>
      <c r="R307" s="335" t="s">
        <v>1105</v>
      </c>
      <c r="S307" s="335"/>
    </row>
    <row r="308" spans="1:19" x14ac:dyDescent="0.2">
      <c r="A308" s="335" t="s">
        <v>181</v>
      </c>
      <c r="B308" s="332">
        <v>1</v>
      </c>
      <c r="C308" s="332">
        <v>1</v>
      </c>
      <c r="D308" s="332">
        <v>1</v>
      </c>
      <c r="E308" s="332">
        <v>2</v>
      </c>
      <c r="F308" s="332">
        <v>9</v>
      </c>
      <c r="G308" s="332">
        <v>15</v>
      </c>
      <c r="H308" s="332">
        <v>2.9</v>
      </c>
      <c r="I308" s="333">
        <v>0.11</v>
      </c>
      <c r="J308" s="333">
        <v>0.21</v>
      </c>
      <c r="K308" s="332">
        <v>2.4</v>
      </c>
      <c r="L308" s="332">
        <v>1.3</v>
      </c>
      <c r="M308" s="332" t="s">
        <v>157</v>
      </c>
      <c r="N308" s="332">
        <v>2000</v>
      </c>
      <c r="O308" s="332" t="s">
        <v>158</v>
      </c>
      <c r="P308" s="332">
        <v>534800</v>
      </c>
      <c r="Q308" s="335" t="s">
        <v>182</v>
      </c>
      <c r="R308" s="335" t="s">
        <v>1105</v>
      </c>
      <c r="S308" s="335" t="s">
        <v>166</v>
      </c>
    </row>
    <row r="309" spans="1:19" x14ac:dyDescent="0.2">
      <c r="A309" s="335" t="s">
        <v>473</v>
      </c>
      <c r="B309" s="332">
        <v>13</v>
      </c>
      <c r="C309" s="332">
        <v>9</v>
      </c>
      <c r="D309" s="332">
        <v>18</v>
      </c>
      <c r="E309" s="332">
        <v>20</v>
      </c>
      <c r="F309" s="332">
        <v>72</v>
      </c>
      <c r="G309" s="332">
        <v>193</v>
      </c>
      <c r="H309" s="332">
        <v>24</v>
      </c>
      <c r="I309" s="333">
        <v>0.48</v>
      </c>
      <c r="J309" s="333">
        <v>1.62</v>
      </c>
      <c r="K309" s="332">
        <v>13.200000000000001</v>
      </c>
      <c r="L309" s="332">
        <v>1.5</v>
      </c>
      <c r="M309" s="332" t="s">
        <v>157</v>
      </c>
      <c r="N309" s="332">
        <v>2000</v>
      </c>
      <c r="O309" s="332" t="s">
        <v>158</v>
      </c>
      <c r="P309" s="332">
        <v>842690</v>
      </c>
      <c r="Q309" s="335" t="s">
        <v>200</v>
      </c>
      <c r="R309" s="335" t="s">
        <v>264</v>
      </c>
      <c r="S309" s="335" t="s">
        <v>166</v>
      </c>
    </row>
    <row r="310" spans="1:19" x14ac:dyDescent="0.2">
      <c r="A310" s="335" t="s">
        <v>875</v>
      </c>
      <c r="B310" s="332">
        <v>6</v>
      </c>
      <c r="C310" s="332">
        <v>1</v>
      </c>
      <c r="D310" s="332">
        <v>6</v>
      </c>
      <c r="E310" s="332">
        <v>14</v>
      </c>
      <c r="F310" s="332"/>
      <c r="G310" s="332"/>
      <c r="H310" s="332"/>
      <c r="I310" s="333">
        <v>0.8</v>
      </c>
      <c r="J310" s="333">
        <v>2.4300000000000002</v>
      </c>
      <c r="K310" s="332"/>
      <c r="L310" s="332"/>
      <c r="M310" s="332" t="s">
        <v>157</v>
      </c>
      <c r="N310" s="332">
        <v>2015</v>
      </c>
      <c r="O310" s="332" t="s">
        <v>158</v>
      </c>
      <c r="P310" s="332">
        <v>572107</v>
      </c>
      <c r="Q310" s="335" t="s">
        <v>859</v>
      </c>
      <c r="R310" s="335" t="s">
        <v>185</v>
      </c>
      <c r="S310" s="335"/>
    </row>
    <row r="311" spans="1:19" x14ac:dyDescent="0.2">
      <c r="A311" s="335" t="s">
        <v>358</v>
      </c>
      <c r="B311" s="332">
        <v>2</v>
      </c>
      <c r="C311" s="332">
        <v>1</v>
      </c>
      <c r="D311" s="332">
        <v>2</v>
      </c>
      <c r="E311" s="332">
        <v>4</v>
      </c>
      <c r="F311" s="332">
        <v>9</v>
      </c>
      <c r="G311" s="332">
        <v>19</v>
      </c>
      <c r="H311" s="332">
        <v>3.6</v>
      </c>
      <c r="I311" s="333">
        <v>0.31</v>
      </c>
      <c r="J311" s="333">
        <v>0.9</v>
      </c>
      <c r="K311" s="332">
        <v>2.6</v>
      </c>
      <c r="L311" s="332">
        <v>1.2</v>
      </c>
      <c r="M311" s="332" t="s">
        <v>157</v>
      </c>
      <c r="N311" s="332">
        <v>2000</v>
      </c>
      <c r="O311" s="332" t="s">
        <v>158</v>
      </c>
      <c r="P311" s="332">
        <v>403642</v>
      </c>
      <c r="Q311" s="335" t="s">
        <v>230</v>
      </c>
      <c r="R311" s="335" t="s">
        <v>1100</v>
      </c>
      <c r="S311" s="335" t="s">
        <v>166</v>
      </c>
    </row>
    <row r="312" spans="1:19" x14ac:dyDescent="0.2">
      <c r="A312" s="335" t="s">
        <v>500</v>
      </c>
      <c r="B312" s="332">
        <v>3</v>
      </c>
      <c r="C312" s="332">
        <v>1</v>
      </c>
      <c r="D312" s="332">
        <v>4</v>
      </c>
      <c r="E312" s="332">
        <v>8</v>
      </c>
      <c r="F312" s="332">
        <v>10</v>
      </c>
      <c r="G312" s="332">
        <v>23</v>
      </c>
      <c r="H312" s="332">
        <v>4.3</v>
      </c>
      <c r="I312" s="333">
        <v>0.54</v>
      </c>
      <c r="J312" s="333">
        <v>1.52</v>
      </c>
      <c r="K312" s="332">
        <v>4.3</v>
      </c>
      <c r="L312" s="332">
        <v>0.8</v>
      </c>
      <c r="M312" s="332" t="s">
        <v>157</v>
      </c>
      <c r="N312" s="332">
        <v>2012</v>
      </c>
      <c r="O312" s="332" t="s">
        <v>158</v>
      </c>
      <c r="P312" s="332">
        <v>447086</v>
      </c>
      <c r="Q312" s="335" t="s">
        <v>903</v>
      </c>
      <c r="R312" s="335" t="s">
        <v>1100</v>
      </c>
      <c r="S312" s="335"/>
    </row>
    <row r="313" spans="1:19" x14ac:dyDescent="0.2">
      <c r="A313" s="335" t="s">
        <v>747</v>
      </c>
      <c r="B313" s="332">
        <v>3</v>
      </c>
      <c r="C313" s="332">
        <v>0</v>
      </c>
      <c r="D313" s="332">
        <v>3</v>
      </c>
      <c r="E313" s="332">
        <v>8</v>
      </c>
      <c r="F313" s="332">
        <v>7</v>
      </c>
      <c r="G313" s="332"/>
      <c r="H313" s="332"/>
      <c r="I313" s="333">
        <v>0.63</v>
      </c>
      <c r="J313" s="333">
        <v>1.5</v>
      </c>
      <c r="K313" s="332">
        <v>4.0999999999999996</v>
      </c>
      <c r="L313" s="332">
        <v>0.6</v>
      </c>
      <c r="M313" s="332" t="s">
        <v>157</v>
      </c>
      <c r="N313" s="332">
        <v>2012</v>
      </c>
      <c r="O313" s="332" t="s">
        <v>158</v>
      </c>
      <c r="P313" s="332">
        <v>515080</v>
      </c>
      <c r="Q313" s="335" t="s">
        <v>744</v>
      </c>
      <c r="R313" s="335" t="s">
        <v>1100</v>
      </c>
      <c r="S313" s="335"/>
    </row>
    <row r="314" spans="1:19" x14ac:dyDescent="0.2">
      <c r="A314" s="335" t="s">
        <v>743</v>
      </c>
      <c r="B314" s="332">
        <v>2</v>
      </c>
      <c r="C314" s="332">
        <v>0</v>
      </c>
      <c r="D314" s="332">
        <v>3</v>
      </c>
      <c r="E314" s="332">
        <v>8</v>
      </c>
      <c r="F314" s="332">
        <v>12</v>
      </c>
      <c r="G314" s="332"/>
      <c r="H314" s="332"/>
      <c r="I314" s="333">
        <v>0.63</v>
      </c>
      <c r="J314" s="333">
        <v>1.5</v>
      </c>
      <c r="K314" s="332">
        <v>4.6000000000000005</v>
      </c>
      <c r="L314" s="332">
        <v>0.9</v>
      </c>
      <c r="M314" s="332" t="s">
        <v>157</v>
      </c>
      <c r="N314" s="332">
        <v>2012</v>
      </c>
      <c r="O314" s="332" t="s">
        <v>158</v>
      </c>
      <c r="P314" s="332">
        <v>550913</v>
      </c>
      <c r="Q314" s="335" t="s">
        <v>744</v>
      </c>
      <c r="R314" s="335" t="s">
        <v>1100</v>
      </c>
      <c r="S314" s="335"/>
    </row>
    <row r="315" spans="1:19" x14ac:dyDescent="0.2">
      <c r="A315" s="335" t="s">
        <v>412</v>
      </c>
      <c r="B315" s="332">
        <v>4</v>
      </c>
      <c r="C315" s="332">
        <v>2</v>
      </c>
      <c r="D315" s="332">
        <v>4</v>
      </c>
      <c r="E315" s="332">
        <v>8</v>
      </c>
      <c r="F315" s="332">
        <v>15</v>
      </c>
      <c r="G315" s="332">
        <v>36</v>
      </c>
      <c r="H315" s="332">
        <v>6.4</v>
      </c>
      <c r="I315" s="333">
        <v>0.42</v>
      </c>
      <c r="J315" s="333">
        <v>1.1000000000000001</v>
      </c>
      <c r="K315" s="332">
        <v>5</v>
      </c>
      <c r="L315" s="332">
        <v>1</v>
      </c>
      <c r="M315" s="332" t="s">
        <v>157</v>
      </c>
      <c r="N315" s="332">
        <v>2005</v>
      </c>
      <c r="O315" s="332" t="s">
        <v>158</v>
      </c>
      <c r="P315" s="332">
        <v>963462</v>
      </c>
      <c r="Q315" s="335" t="s">
        <v>211</v>
      </c>
      <c r="R315" s="335" t="s">
        <v>1100</v>
      </c>
      <c r="S315" s="335"/>
    </row>
    <row r="316" spans="1:19" x14ac:dyDescent="0.2">
      <c r="A316" s="335" t="s">
        <v>420</v>
      </c>
      <c r="B316" s="332">
        <v>4</v>
      </c>
      <c r="C316" s="332">
        <v>1</v>
      </c>
      <c r="D316" s="332">
        <v>4</v>
      </c>
      <c r="E316" s="332">
        <v>10</v>
      </c>
      <c r="F316" s="332">
        <v>19</v>
      </c>
      <c r="G316" s="332">
        <v>40</v>
      </c>
      <c r="H316" s="332">
        <v>6.9</v>
      </c>
      <c r="I316" s="333">
        <v>0.37</v>
      </c>
      <c r="J316" s="333">
        <v>1.77</v>
      </c>
      <c r="K316" s="332">
        <v>5.9</v>
      </c>
      <c r="L316" s="332">
        <v>1</v>
      </c>
      <c r="M316" s="332" t="s">
        <v>157</v>
      </c>
      <c r="N316" s="332">
        <v>2011</v>
      </c>
      <c r="O316" s="332" t="s">
        <v>69</v>
      </c>
      <c r="P316" s="332">
        <v>119776</v>
      </c>
      <c r="Q316" s="335" t="s">
        <v>997</v>
      </c>
      <c r="R316" s="335" t="s">
        <v>1106</v>
      </c>
      <c r="S316" s="335"/>
    </row>
    <row r="317" spans="1:19" x14ac:dyDescent="0.2">
      <c r="A317" s="335" t="s">
        <v>164</v>
      </c>
      <c r="B317" s="332">
        <v>0</v>
      </c>
      <c r="C317" s="332">
        <v>0</v>
      </c>
      <c r="D317" s="332">
        <v>0</v>
      </c>
      <c r="E317" s="332">
        <v>0</v>
      </c>
      <c r="F317" s="332">
        <v>3</v>
      </c>
      <c r="G317" s="332">
        <v>8</v>
      </c>
      <c r="H317" s="332">
        <v>1.5</v>
      </c>
      <c r="I317" s="333">
        <v>0.04</v>
      </c>
      <c r="J317" s="333">
        <v>0.04</v>
      </c>
      <c r="K317" s="332">
        <v>0.6</v>
      </c>
      <c r="L317" s="332">
        <v>2</v>
      </c>
      <c r="M317" s="332" t="s">
        <v>157</v>
      </c>
      <c r="N317" s="332">
        <v>2010</v>
      </c>
      <c r="O317" s="332" t="s">
        <v>158</v>
      </c>
      <c r="P317" s="332">
        <v>545541</v>
      </c>
      <c r="Q317" s="335" t="s">
        <v>165</v>
      </c>
      <c r="R317" s="335" t="s">
        <v>1105</v>
      </c>
      <c r="S317" s="335" t="s">
        <v>166</v>
      </c>
    </row>
    <row r="318" spans="1:19" x14ac:dyDescent="0.2">
      <c r="A318" s="335" t="s">
        <v>1018</v>
      </c>
      <c r="B318" s="332">
        <v>1</v>
      </c>
      <c r="C318" s="332">
        <v>1</v>
      </c>
      <c r="D318" s="332">
        <v>0</v>
      </c>
      <c r="E318" s="332">
        <v>2</v>
      </c>
      <c r="F318" s="332">
        <v>11</v>
      </c>
      <c r="G318" s="332">
        <v>11</v>
      </c>
      <c r="H318" s="332">
        <v>2.1</v>
      </c>
      <c r="I318" s="333">
        <v>0.22</v>
      </c>
      <c r="J318" s="333">
        <v>0.5</v>
      </c>
      <c r="K318" s="332">
        <v>3.9</v>
      </c>
      <c r="L318" s="332">
        <v>1</v>
      </c>
      <c r="M318" s="332" t="s">
        <v>157</v>
      </c>
      <c r="N318" s="332">
        <v>2007</v>
      </c>
      <c r="O318" s="332" t="s">
        <v>158</v>
      </c>
      <c r="P318" s="332">
        <v>554691</v>
      </c>
      <c r="Q318" s="335" t="s">
        <v>233</v>
      </c>
      <c r="R318" s="335" t="s">
        <v>1105</v>
      </c>
      <c r="S318" s="335" t="s">
        <v>166</v>
      </c>
    </row>
    <row r="319" spans="1:19" x14ac:dyDescent="0.2">
      <c r="A319" s="335" t="s">
        <v>174</v>
      </c>
      <c r="B319" s="332">
        <v>1</v>
      </c>
      <c r="C319" s="332">
        <v>1</v>
      </c>
      <c r="D319" s="332">
        <v>1</v>
      </c>
      <c r="E319" s="332">
        <v>2</v>
      </c>
      <c r="F319" s="332">
        <v>9</v>
      </c>
      <c r="G319" s="332">
        <v>15</v>
      </c>
      <c r="H319" s="332">
        <v>2.8000000000000003</v>
      </c>
      <c r="I319" s="333">
        <v>0.1</v>
      </c>
      <c r="J319" s="333">
        <v>0.1</v>
      </c>
      <c r="K319" s="332">
        <v>2.2000000000000002</v>
      </c>
      <c r="L319" s="332">
        <v>1.5</v>
      </c>
      <c r="M319" s="332" t="s">
        <v>157</v>
      </c>
      <c r="N319" s="332">
        <v>2000</v>
      </c>
      <c r="O319" s="332" t="s">
        <v>158</v>
      </c>
      <c r="P319" s="332">
        <v>574293</v>
      </c>
      <c r="Q319" s="335" t="s">
        <v>172</v>
      </c>
      <c r="R319" s="335" t="s">
        <v>1105</v>
      </c>
      <c r="S319" s="335"/>
    </row>
    <row r="320" spans="1:19" x14ac:dyDescent="0.2">
      <c r="A320" s="335" t="s">
        <v>1060</v>
      </c>
      <c r="B320" s="332">
        <v>1</v>
      </c>
      <c r="C320" s="332">
        <v>1</v>
      </c>
      <c r="D320" s="332">
        <v>1</v>
      </c>
      <c r="E320" s="332">
        <v>2</v>
      </c>
      <c r="F320" s="332">
        <v>6</v>
      </c>
      <c r="G320" s="332">
        <v>15</v>
      </c>
      <c r="H320" s="332">
        <v>2.9</v>
      </c>
      <c r="I320" s="333">
        <v>0.21</v>
      </c>
      <c r="J320" s="333">
        <v>0.62</v>
      </c>
      <c r="K320" s="332">
        <v>1.4000000000000001</v>
      </c>
      <c r="L320" s="332">
        <v>1.5</v>
      </c>
      <c r="M320" s="332" t="s">
        <v>157</v>
      </c>
      <c r="N320" s="332">
        <v>2013</v>
      </c>
      <c r="O320" s="332" t="s">
        <v>158</v>
      </c>
      <c r="P320" s="332">
        <v>624999</v>
      </c>
      <c r="Q320" s="335" t="s">
        <v>170</v>
      </c>
      <c r="R320" s="335" t="s">
        <v>1105</v>
      </c>
      <c r="S320" s="335" t="s">
        <v>166</v>
      </c>
    </row>
    <row r="321" spans="1:19" x14ac:dyDescent="0.2">
      <c r="A321" s="335" t="s">
        <v>284</v>
      </c>
      <c r="B321" s="332">
        <v>0</v>
      </c>
      <c r="C321" s="332">
        <v>0</v>
      </c>
      <c r="D321" s="332">
        <v>0</v>
      </c>
      <c r="E321" s="332">
        <v>1</v>
      </c>
      <c r="F321" s="332">
        <v>7</v>
      </c>
      <c r="G321" s="332">
        <v>10</v>
      </c>
      <c r="H321" s="332">
        <v>2</v>
      </c>
      <c r="I321" s="333">
        <v>0.21</v>
      </c>
      <c r="J321" s="333">
        <v>0.6</v>
      </c>
      <c r="K321" s="332">
        <v>2.1</v>
      </c>
      <c r="L321" s="332">
        <v>1.2</v>
      </c>
      <c r="M321" s="332" t="s">
        <v>157</v>
      </c>
      <c r="N321" s="332">
        <v>2000</v>
      </c>
      <c r="O321" s="332" t="s">
        <v>158</v>
      </c>
      <c r="P321" s="332">
        <v>726117</v>
      </c>
      <c r="Q321" s="335" t="s">
        <v>230</v>
      </c>
      <c r="R321" s="335" t="s">
        <v>1105</v>
      </c>
      <c r="S321" s="335" t="s">
        <v>166</v>
      </c>
    </row>
    <row r="322" spans="1:19" x14ac:dyDescent="0.2">
      <c r="A322" s="335" t="s">
        <v>996</v>
      </c>
      <c r="B322" s="332">
        <v>2</v>
      </c>
      <c r="C322" s="332">
        <v>-5</v>
      </c>
      <c r="D322" s="332">
        <v>-5</v>
      </c>
      <c r="E322" s="332">
        <v>19</v>
      </c>
      <c r="F322" s="332">
        <v>22</v>
      </c>
      <c r="G322" s="332">
        <v>18</v>
      </c>
      <c r="H322" s="332">
        <v>3.3000000000000003</v>
      </c>
      <c r="I322" s="333">
        <v>0.61</v>
      </c>
      <c r="J322" s="333">
        <v>1.5</v>
      </c>
      <c r="K322" s="332">
        <v>24.2</v>
      </c>
      <c r="L322" s="332">
        <v>0.4</v>
      </c>
      <c r="M322" s="332" t="s">
        <v>157</v>
      </c>
      <c r="N322" s="332">
        <v>2011</v>
      </c>
      <c r="O322" s="332" t="s">
        <v>158</v>
      </c>
      <c r="P322" s="332">
        <v>620807</v>
      </c>
      <c r="Q322" s="335" t="s">
        <v>491</v>
      </c>
      <c r="R322" s="335" t="s">
        <v>350</v>
      </c>
      <c r="S322" s="335"/>
    </row>
    <row r="323" spans="1:19" x14ac:dyDescent="0.2">
      <c r="A323" s="335" t="s">
        <v>586</v>
      </c>
      <c r="B323" s="332">
        <v>7</v>
      </c>
      <c r="C323" s="332">
        <v>3</v>
      </c>
      <c r="D323" s="332">
        <v>9</v>
      </c>
      <c r="E323" s="332">
        <v>26</v>
      </c>
      <c r="F323" s="332"/>
      <c r="G323" s="332"/>
      <c r="H323" s="332"/>
      <c r="I323" s="333">
        <v>0.68</v>
      </c>
      <c r="J323" s="333">
        <v>2.09</v>
      </c>
      <c r="K323" s="332"/>
      <c r="L323" s="332"/>
      <c r="M323" s="332" t="s">
        <v>352</v>
      </c>
      <c r="N323" s="332">
        <v>2014</v>
      </c>
      <c r="O323" s="332" t="s">
        <v>69</v>
      </c>
      <c r="P323" s="332">
        <v>488932</v>
      </c>
      <c r="Q323" s="335" t="s">
        <v>777</v>
      </c>
      <c r="R323" s="335" t="s">
        <v>185</v>
      </c>
      <c r="S323" s="335" t="s">
        <v>166</v>
      </c>
    </row>
    <row r="324" spans="1:19" x14ac:dyDescent="0.2">
      <c r="A324" s="335" t="s">
        <v>596</v>
      </c>
      <c r="B324" s="332">
        <v>1</v>
      </c>
      <c r="C324" s="332">
        <v>1</v>
      </c>
      <c r="D324" s="332">
        <v>8</v>
      </c>
      <c r="E324" s="332">
        <v>27</v>
      </c>
      <c r="F324" s="332">
        <v>14</v>
      </c>
      <c r="G324" s="332">
        <v>25</v>
      </c>
      <c r="H324" s="332">
        <v>4.5</v>
      </c>
      <c r="I324" s="333">
        <v>0.71</v>
      </c>
      <c r="J324" s="333">
        <v>2.09</v>
      </c>
      <c r="K324" s="332">
        <v>17.7</v>
      </c>
      <c r="L324" s="332">
        <v>0.3</v>
      </c>
      <c r="M324" s="332" t="s">
        <v>352</v>
      </c>
      <c r="N324" s="332">
        <v>2000</v>
      </c>
      <c r="O324" s="332" t="s">
        <v>69</v>
      </c>
      <c r="P324" s="332">
        <v>983593</v>
      </c>
      <c r="Q324" s="335" t="s">
        <v>435</v>
      </c>
      <c r="R324" s="335" t="s">
        <v>328</v>
      </c>
      <c r="S324" s="335"/>
    </row>
    <row r="325" spans="1:19" x14ac:dyDescent="0.2">
      <c r="A325" s="335" t="s">
        <v>599</v>
      </c>
      <c r="B325" s="332">
        <v>16</v>
      </c>
      <c r="C325" s="332">
        <v>6</v>
      </c>
      <c r="D325" s="332">
        <v>14</v>
      </c>
      <c r="E325" s="332">
        <v>32</v>
      </c>
      <c r="F325" s="332">
        <v>43</v>
      </c>
      <c r="G325" s="332">
        <v>47</v>
      </c>
      <c r="H325" s="332">
        <v>8.1</v>
      </c>
      <c r="I325" s="333">
        <v>0.71</v>
      </c>
      <c r="J325" s="333">
        <v>2.09</v>
      </c>
      <c r="K325" s="332">
        <v>15.6</v>
      </c>
      <c r="L325" s="332">
        <v>0.9</v>
      </c>
      <c r="M325" s="332" t="s">
        <v>352</v>
      </c>
      <c r="N325" s="332">
        <v>2000</v>
      </c>
      <c r="O325" s="332" t="s">
        <v>69</v>
      </c>
      <c r="P325" s="332">
        <v>191080</v>
      </c>
      <c r="Q325" s="335" t="s">
        <v>435</v>
      </c>
      <c r="R325" s="335" t="s">
        <v>302</v>
      </c>
      <c r="S325" s="335"/>
    </row>
    <row r="326" spans="1:19" x14ac:dyDescent="0.2">
      <c r="A326" s="335" t="s">
        <v>354</v>
      </c>
      <c r="B326" s="332">
        <v>0</v>
      </c>
      <c r="C326" s="332">
        <v>0</v>
      </c>
      <c r="D326" s="332">
        <v>0</v>
      </c>
      <c r="E326" s="332">
        <v>4</v>
      </c>
      <c r="F326" s="332">
        <v>28</v>
      </c>
      <c r="G326" s="332">
        <v>18</v>
      </c>
      <c r="H326" s="332">
        <v>3.3000000000000003</v>
      </c>
      <c r="I326" s="333">
        <v>0.38</v>
      </c>
      <c r="J326" s="333">
        <v>1.24</v>
      </c>
      <c r="K326" s="332">
        <v>8.7000000000000011</v>
      </c>
      <c r="L326" s="332">
        <v>1</v>
      </c>
      <c r="M326" s="332" t="s">
        <v>352</v>
      </c>
      <c r="N326" s="332">
        <v>2003</v>
      </c>
      <c r="O326" s="332" t="s">
        <v>69</v>
      </c>
      <c r="P326" s="332">
        <v>316752</v>
      </c>
      <c r="Q326" s="335" t="s">
        <v>1013</v>
      </c>
      <c r="R326" s="335" t="s">
        <v>1103</v>
      </c>
      <c r="S326" s="335"/>
    </row>
    <row r="327" spans="1:19" x14ac:dyDescent="0.2">
      <c r="A327" s="335" t="s">
        <v>889</v>
      </c>
      <c r="B327" s="332">
        <v>0</v>
      </c>
      <c r="C327" s="332">
        <v>0</v>
      </c>
      <c r="D327" s="332">
        <v>0</v>
      </c>
      <c r="E327" s="332">
        <v>0</v>
      </c>
      <c r="F327" s="332">
        <v>23</v>
      </c>
      <c r="G327" s="332">
        <v>10</v>
      </c>
      <c r="H327" s="332">
        <v>1.9000000000000001</v>
      </c>
      <c r="I327" s="333">
        <v>0.16</v>
      </c>
      <c r="J327" s="333">
        <v>0.47000000000000003</v>
      </c>
      <c r="K327" s="332">
        <v>5.5</v>
      </c>
      <c r="L327" s="332">
        <v>1.3</v>
      </c>
      <c r="M327" s="332" t="s">
        <v>157</v>
      </c>
      <c r="N327" s="332">
        <v>2015</v>
      </c>
      <c r="O327" s="332" t="s">
        <v>69</v>
      </c>
      <c r="P327" s="332">
        <v>405704</v>
      </c>
      <c r="Q327" s="335" t="s">
        <v>213</v>
      </c>
      <c r="R327" s="335" t="s">
        <v>1103</v>
      </c>
      <c r="S327" s="335" t="s">
        <v>166</v>
      </c>
    </row>
    <row r="328" spans="1:19" x14ac:dyDescent="0.2">
      <c r="A328" s="335" t="s">
        <v>1107</v>
      </c>
      <c r="B328" s="332">
        <v>1</v>
      </c>
      <c r="C328" s="332">
        <v>1</v>
      </c>
      <c r="D328" s="332">
        <v>2</v>
      </c>
      <c r="E328" s="332">
        <v>3</v>
      </c>
      <c r="F328" s="332">
        <v>9</v>
      </c>
      <c r="G328" s="332">
        <v>33</v>
      </c>
      <c r="H328" s="332">
        <v>5.9</v>
      </c>
      <c r="I328" s="333">
        <v>0.35000000000000003</v>
      </c>
      <c r="J328" s="333">
        <v>1.07</v>
      </c>
      <c r="K328" s="332">
        <v>3.3000000000000003</v>
      </c>
      <c r="L328" s="332">
        <v>0.9</v>
      </c>
      <c r="M328" s="332" t="s">
        <v>157</v>
      </c>
      <c r="N328" s="332">
        <v>2009</v>
      </c>
      <c r="O328" s="332" t="s">
        <v>69</v>
      </c>
      <c r="P328" s="332">
        <v>408898</v>
      </c>
      <c r="Q328" s="335" t="s">
        <v>389</v>
      </c>
      <c r="R328" s="335" t="s">
        <v>1103</v>
      </c>
      <c r="S328" s="335"/>
    </row>
    <row r="329" spans="1:19" x14ac:dyDescent="0.2">
      <c r="A329" s="335" t="s">
        <v>382</v>
      </c>
      <c r="B329" s="332">
        <v>-2</v>
      </c>
      <c r="C329" s="332">
        <v>-2</v>
      </c>
      <c r="D329" s="332">
        <v>-3</v>
      </c>
      <c r="E329" s="332">
        <v>8</v>
      </c>
      <c r="F329" s="332">
        <v>33</v>
      </c>
      <c r="G329" s="332">
        <v>23</v>
      </c>
      <c r="H329" s="332">
        <v>4.2</v>
      </c>
      <c r="I329" s="333">
        <v>0.38</v>
      </c>
      <c r="J329" s="333">
        <v>0.9</v>
      </c>
      <c r="K329" s="332">
        <v>10.3</v>
      </c>
      <c r="L329" s="332">
        <v>1</v>
      </c>
      <c r="M329" s="332" t="s">
        <v>352</v>
      </c>
      <c r="N329" s="332">
        <v>2000</v>
      </c>
      <c r="O329" s="332" t="s">
        <v>69</v>
      </c>
      <c r="P329" s="332">
        <v>483800</v>
      </c>
      <c r="Q329" s="335" t="s">
        <v>383</v>
      </c>
      <c r="R329" s="335" t="s">
        <v>1103</v>
      </c>
      <c r="S329" s="335"/>
    </row>
    <row r="330" spans="1:19" x14ac:dyDescent="0.2">
      <c r="A330" s="335" t="s">
        <v>321</v>
      </c>
      <c r="B330" s="332">
        <v>1</v>
      </c>
      <c r="C330" s="332">
        <v>1</v>
      </c>
      <c r="D330" s="332">
        <v>2</v>
      </c>
      <c r="E330" s="332">
        <v>3</v>
      </c>
      <c r="F330" s="332">
        <v>5</v>
      </c>
      <c r="G330" s="332">
        <v>14</v>
      </c>
      <c r="H330" s="332">
        <v>2.6</v>
      </c>
      <c r="I330" s="333">
        <v>0.31</v>
      </c>
      <c r="J330" s="333">
        <v>0.84</v>
      </c>
      <c r="K330" s="332">
        <v>2.1</v>
      </c>
      <c r="L330" s="332">
        <v>0.9</v>
      </c>
      <c r="M330" s="332" t="s">
        <v>157</v>
      </c>
      <c r="N330" s="332">
        <v>2013</v>
      </c>
      <c r="O330" s="332" t="s">
        <v>158</v>
      </c>
      <c r="P330" s="332">
        <v>732487</v>
      </c>
      <c r="Q330" s="335" t="s">
        <v>211</v>
      </c>
      <c r="R330" s="335" t="s">
        <v>1103</v>
      </c>
      <c r="S330" s="335"/>
    </row>
    <row r="331" spans="1:19" x14ac:dyDescent="0.2">
      <c r="A331" s="335" t="s">
        <v>853</v>
      </c>
      <c r="B331" s="332">
        <v>1</v>
      </c>
      <c r="C331" s="332">
        <v>0</v>
      </c>
      <c r="D331" s="332">
        <v>2</v>
      </c>
      <c r="E331" s="332">
        <v>5</v>
      </c>
      <c r="F331" s="332"/>
      <c r="G331" s="332"/>
      <c r="H331" s="332"/>
      <c r="I331" s="333">
        <v>0.26</v>
      </c>
      <c r="J331" s="333">
        <v>0.8</v>
      </c>
      <c r="K331" s="332"/>
      <c r="L331" s="332"/>
      <c r="M331" s="332" t="s">
        <v>157</v>
      </c>
      <c r="N331" s="332">
        <v>2015</v>
      </c>
      <c r="O331" s="332" t="s">
        <v>69</v>
      </c>
      <c r="P331" s="332">
        <v>921908</v>
      </c>
      <c r="Q331" s="335" t="s">
        <v>180</v>
      </c>
      <c r="R331" s="335" t="s">
        <v>1103</v>
      </c>
      <c r="S331" s="335"/>
    </row>
    <row r="332" spans="1:19" x14ac:dyDescent="0.2">
      <c r="A332" s="335" t="s">
        <v>410</v>
      </c>
      <c r="B332" s="332">
        <v>3</v>
      </c>
      <c r="C332" s="332">
        <v>1</v>
      </c>
      <c r="D332" s="332">
        <v>3</v>
      </c>
      <c r="E332" s="332">
        <v>6</v>
      </c>
      <c r="F332" s="332">
        <v>10</v>
      </c>
      <c r="G332" s="332"/>
      <c r="H332" s="332"/>
      <c r="I332" s="333">
        <v>0.38</v>
      </c>
      <c r="J332" s="333">
        <v>0.93</v>
      </c>
      <c r="K332" s="332">
        <v>2</v>
      </c>
      <c r="L332" s="332">
        <v>1.6</v>
      </c>
      <c r="M332" s="332" t="s">
        <v>157</v>
      </c>
      <c r="N332" s="332">
        <v>2012</v>
      </c>
      <c r="O332" s="332" t="s">
        <v>158</v>
      </c>
      <c r="P332" s="332">
        <v>934711</v>
      </c>
      <c r="Q332" s="335" t="s">
        <v>188</v>
      </c>
      <c r="R332" s="335" t="s">
        <v>1103</v>
      </c>
      <c r="S332" s="335" t="s">
        <v>166</v>
      </c>
    </row>
    <row r="333" spans="1:19" x14ac:dyDescent="0.2">
      <c r="A333" s="335" t="s">
        <v>197</v>
      </c>
      <c r="B333" s="332">
        <v>1</v>
      </c>
      <c r="C333" s="332">
        <v>0</v>
      </c>
      <c r="D333" s="332">
        <v>1</v>
      </c>
      <c r="E333" s="332">
        <v>3</v>
      </c>
      <c r="F333" s="332">
        <v>13</v>
      </c>
      <c r="G333" s="332">
        <v>10</v>
      </c>
      <c r="H333" s="332">
        <v>2</v>
      </c>
      <c r="I333" s="333">
        <v>0.14000000000000001</v>
      </c>
      <c r="J333" s="333">
        <v>0.26</v>
      </c>
      <c r="K333" s="332">
        <v>4.8</v>
      </c>
      <c r="L333" s="332">
        <v>0.9</v>
      </c>
      <c r="M333" s="332" t="s">
        <v>157</v>
      </c>
      <c r="N333" s="332">
        <v>2003</v>
      </c>
      <c r="O333" s="332" t="s">
        <v>158</v>
      </c>
      <c r="P333" s="332">
        <v>787382</v>
      </c>
      <c r="Q333" s="335" t="s">
        <v>170</v>
      </c>
      <c r="R333" s="335" t="s">
        <v>1105</v>
      </c>
      <c r="S333" s="335" t="s">
        <v>166</v>
      </c>
    </row>
    <row r="334" spans="1:19" x14ac:dyDescent="0.2">
      <c r="A334" s="335" t="s">
        <v>178</v>
      </c>
      <c r="B334" s="332">
        <v>1</v>
      </c>
      <c r="C334" s="332">
        <v>0</v>
      </c>
      <c r="D334" s="332">
        <v>0</v>
      </c>
      <c r="E334" s="332">
        <v>1</v>
      </c>
      <c r="F334" s="332">
        <v>7</v>
      </c>
      <c r="G334" s="332">
        <v>11</v>
      </c>
      <c r="H334" s="332">
        <v>2.1</v>
      </c>
      <c r="I334" s="333">
        <v>0.12</v>
      </c>
      <c r="J334" s="333">
        <v>0.3</v>
      </c>
      <c r="K334" s="332">
        <v>2.1</v>
      </c>
      <c r="L334" s="332">
        <v>1.2</v>
      </c>
      <c r="M334" s="332" t="s">
        <v>157</v>
      </c>
      <c r="N334" s="332">
        <v>2000</v>
      </c>
      <c r="O334" s="332" t="s">
        <v>158</v>
      </c>
      <c r="P334" s="332">
        <v>869438</v>
      </c>
      <c r="Q334" s="335" t="s">
        <v>175</v>
      </c>
      <c r="R334" s="335" t="s">
        <v>1105</v>
      </c>
      <c r="S334" s="335" t="s">
        <v>166</v>
      </c>
    </row>
    <row r="335" spans="1:19" x14ac:dyDescent="0.2">
      <c r="A335" s="335" t="s">
        <v>769</v>
      </c>
      <c r="B335" s="332">
        <v>0</v>
      </c>
      <c r="C335" s="332">
        <v>0</v>
      </c>
      <c r="D335" s="332">
        <v>0</v>
      </c>
      <c r="E335" s="332">
        <v>1</v>
      </c>
      <c r="F335" s="332">
        <v>10</v>
      </c>
      <c r="G335" s="332">
        <v>11</v>
      </c>
      <c r="H335" s="332">
        <v>2.1</v>
      </c>
      <c r="I335" s="333">
        <v>0.24</v>
      </c>
      <c r="J335" s="333">
        <v>0.61</v>
      </c>
      <c r="K335" s="332">
        <v>2.6</v>
      </c>
      <c r="L335" s="332">
        <v>1.3</v>
      </c>
      <c r="M335" s="332" t="s">
        <v>157</v>
      </c>
      <c r="N335" s="332">
        <v>2000</v>
      </c>
      <c r="O335" s="332" t="s">
        <v>158</v>
      </c>
      <c r="P335" s="332">
        <v>901603</v>
      </c>
      <c r="Q335" s="335" t="s">
        <v>211</v>
      </c>
      <c r="R335" s="335" t="s">
        <v>1105</v>
      </c>
      <c r="S335" s="335"/>
    </row>
    <row r="336" spans="1:19" x14ac:dyDescent="0.2">
      <c r="A336" s="335" t="s">
        <v>1009</v>
      </c>
      <c r="B336" s="332">
        <v>6</v>
      </c>
      <c r="C336" s="332">
        <v>1</v>
      </c>
      <c r="D336" s="332">
        <v>6</v>
      </c>
      <c r="E336" s="332">
        <v>21</v>
      </c>
      <c r="F336" s="332">
        <v>53</v>
      </c>
      <c r="G336" s="332"/>
      <c r="H336" s="332"/>
      <c r="I336" s="333">
        <v>0.16</v>
      </c>
      <c r="J336" s="333">
        <v>0.2</v>
      </c>
      <c r="K336" s="332">
        <v>12.4</v>
      </c>
      <c r="L336" s="332">
        <v>1.2</v>
      </c>
      <c r="M336" s="332" t="s">
        <v>157</v>
      </c>
      <c r="N336" s="332">
        <v>2013</v>
      </c>
      <c r="O336" s="332" t="s">
        <v>158</v>
      </c>
      <c r="P336" s="332">
        <v>658997</v>
      </c>
      <c r="Q336" s="335" t="s">
        <v>177</v>
      </c>
      <c r="R336" s="335" t="s">
        <v>185</v>
      </c>
      <c r="S336" s="335" t="s">
        <v>166</v>
      </c>
    </row>
    <row r="337" spans="1:19" x14ac:dyDescent="0.2">
      <c r="A337" s="335" t="s">
        <v>1010</v>
      </c>
      <c r="B337" s="332">
        <v>13</v>
      </c>
      <c r="C337" s="332">
        <v>4</v>
      </c>
      <c r="D337" s="332">
        <v>10</v>
      </c>
      <c r="E337" s="332">
        <v>33</v>
      </c>
      <c r="F337" s="332"/>
      <c r="G337" s="332"/>
      <c r="H337" s="332"/>
      <c r="I337" s="333">
        <v>0.2</v>
      </c>
      <c r="J337" s="333">
        <v>0.47000000000000003</v>
      </c>
      <c r="K337" s="332"/>
      <c r="L337" s="332"/>
      <c r="M337" s="332" t="s">
        <v>157</v>
      </c>
      <c r="N337" s="332">
        <v>2014</v>
      </c>
      <c r="O337" s="332" t="s">
        <v>158</v>
      </c>
      <c r="P337" s="332">
        <v>434274</v>
      </c>
      <c r="Q337" s="335" t="s">
        <v>177</v>
      </c>
      <c r="R337" s="335" t="s">
        <v>302</v>
      </c>
      <c r="S337" s="335" t="s">
        <v>166</v>
      </c>
    </row>
    <row r="338" spans="1:19" x14ac:dyDescent="0.2">
      <c r="A338" s="335" t="s">
        <v>504</v>
      </c>
      <c r="B338" s="332">
        <v>-1</v>
      </c>
      <c r="C338" s="332">
        <v>-2</v>
      </c>
      <c r="D338" s="332">
        <v>0</v>
      </c>
      <c r="E338" s="332">
        <v>18</v>
      </c>
      <c r="F338" s="332">
        <v>35</v>
      </c>
      <c r="G338" s="332">
        <v>48</v>
      </c>
      <c r="H338" s="332">
        <v>8.1</v>
      </c>
      <c r="I338" s="333">
        <v>0.42</v>
      </c>
      <c r="J338" s="333">
        <v>1.42</v>
      </c>
      <c r="K338" s="332">
        <v>10.200000000000001</v>
      </c>
      <c r="L338" s="332">
        <v>1.1000000000000001</v>
      </c>
      <c r="M338" s="332" t="s">
        <v>352</v>
      </c>
      <c r="N338" s="332">
        <v>2013</v>
      </c>
      <c r="O338" s="332" t="s">
        <v>69</v>
      </c>
      <c r="P338" s="332">
        <v>467092</v>
      </c>
      <c r="Q338" s="335" t="s">
        <v>768</v>
      </c>
      <c r="R338" s="335" t="s">
        <v>1098</v>
      </c>
      <c r="S338" s="335"/>
    </row>
    <row r="339" spans="1:19" x14ac:dyDescent="0.2">
      <c r="A339" s="335" t="s">
        <v>351</v>
      </c>
      <c r="B339" s="332">
        <v>-2</v>
      </c>
      <c r="C339" s="332">
        <v>-2</v>
      </c>
      <c r="D339" s="332">
        <v>-3</v>
      </c>
      <c r="E339" s="332">
        <v>4</v>
      </c>
      <c r="F339" s="332">
        <v>36</v>
      </c>
      <c r="G339" s="332">
        <v>27</v>
      </c>
      <c r="H339" s="332">
        <v>5</v>
      </c>
      <c r="I339" s="333">
        <v>0.33</v>
      </c>
      <c r="J339" s="333">
        <v>0.86</v>
      </c>
      <c r="K339" s="332">
        <v>10.8</v>
      </c>
      <c r="L339" s="332">
        <v>1</v>
      </c>
      <c r="M339" s="332" t="s">
        <v>352</v>
      </c>
      <c r="N339" s="332">
        <v>2000</v>
      </c>
      <c r="O339" s="332" t="s">
        <v>69</v>
      </c>
      <c r="P339" s="332">
        <v>551804</v>
      </c>
      <c r="Q339" s="335" t="s">
        <v>338</v>
      </c>
      <c r="R339" s="335" t="s">
        <v>1098</v>
      </c>
      <c r="S339" s="335"/>
    </row>
    <row r="340" spans="1:19" x14ac:dyDescent="0.2">
      <c r="A340" s="335" t="s">
        <v>738</v>
      </c>
      <c r="B340" s="332">
        <v>1</v>
      </c>
      <c r="C340" s="332">
        <v>1</v>
      </c>
      <c r="D340" s="332">
        <v>2</v>
      </c>
      <c r="E340" s="332">
        <v>7</v>
      </c>
      <c r="F340" s="332">
        <v>7</v>
      </c>
      <c r="G340" s="332">
        <v>31</v>
      </c>
      <c r="H340" s="332">
        <v>5.5</v>
      </c>
      <c r="I340" s="333">
        <v>0.63</v>
      </c>
      <c r="J340" s="333">
        <v>2.2400000000000002</v>
      </c>
      <c r="K340" s="332">
        <v>4.2</v>
      </c>
      <c r="L340" s="332">
        <v>0.6</v>
      </c>
      <c r="M340" s="332" t="s">
        <v>157</v>
      </c>
      <c r="N340" s="332">
        <v>2012</v>
      </c>
      <c r="O340" s="332" t="s">
        <v>69</v>
      </c>
      <c r="P340" s="332">
        <v>133116</v>
      </c>
      <c r="Q340" s="335" t="s">
        <v>294</v>
      </c>
      <c r="R340" s="335" t="s">
        <v>1106</v>
      </c>
      <c r="S340" s="335"/>
    </row>
    <row r="341" spans="1:19" x14ac:dyDescent="0.2">
      <c r="A341" s="335" t="s">
        <v>1074</v>
      </c>
      <c r="B341" s="332">
        <v>3</v>
      </c>
      <c r="C341" s="332">
        <v>1</v>
      </c>
      <c r="D341" s="332">
        <v>4</v>
      </c>
      <c r="E341" s="332">
        <v>11</v>
      </c>
      <c r="F341" s="332">
        <v>15</v>
      </c>
      <c r="G341" s="332">
        <v>36</v>
      </c>
      <c r="H341" s="332">
        <v>6.3</v>
      </c>
      <c r="I341" s="333">
        <v>0.55000000000000004</v>
      </c>
      <c r="J341" s="333">
        <v>1.59</v>
      </c>
      <c r="K341" s="332">
        <v>7.5</v>
      </c>
      <c r="L341" s="332">
        <v>0.70000000000000007</v>
      </c>
      <c r="M341" s="332" t="s">
        <v>157</v>
      </c>
      <c r="N341" s="332">
        <v>2011</v>
      </c>
      <c r="O341" s="332" t="s">
        <v>158</v>
      </c>
      <c r="P341" s="332">
        <v>172601</v>
      </c>
      <c r="Q341" s="335" t="s">
        <v>631</v>
      </c>
      <c r="R341" s="335" t="s">
        <v>1106</v>
      </c>
      <c r="S341" s="335"/>
    </row>
    <row r="342" spans="1:19" x14ac:dyDescent="0.2">
      <c r="A342" s="335" t="s">
        <v>438</v>
      </c>
      <c r="B342" s="332">
        <v>5</v>
      </c>
      <c r="C342" s="332">
        <v>3</v>
      </c>
      <c r="D342" s="332">
        <v>6</v>
      </c>
      <c r="E342" s="332">
        <v>13</v>
      </c>
      <c r="F342" s="332">
        <v>23</v>
      </c>
      <c r="G342" s="332">
        <v>48</v>
      </c>
      <c r="H342" s="332">
        <v>8.1999999999999993</v>
      </c>
      <c r="I342" s="333">
        <v>0.42</v>
      </c>
      <c r="J342" s="333">
        <v>1.4000000000000001</v>
      </c>
      <c r="K342" s="332">
        <v>6.7</v>
      </c>
      <c r="L342" s="332">
        <v>1.1000000000000001</v>
      </c>
      <c r="M342" s="332" t="s">
        <v>157</v>
      </c>
      <c r="N342" s="332">
        <v>2000</v>
      </c>
      <c r="O342" s="332" t="s">
        <v>158</v>
      </c>
      <c r="P342" s="332">
        <v>546960</v>
      </c>
      <c r="Q342" s="335" t="s">
        <v>230</v>
      </c>
      <c r="R342" s="335" t="s">
        <v>1106</v>
      </c>
      <c r="S342" s="335" t="s">
        <v>166</v>
      </c>
    </row>
    <row r="343" spans="1:19" x14ac:dyDescent="0.2">
      <c r="A343" s="335" t="s">
        <v>391</v>
      </c>
      <c r="B343" s="332">
        <v>6</v>
      </c>
      <c r="C343" s="332">
        <v>3</v>
      </c>
      <c r="D343" s="332">
        <v>7</v>
      </c>
      <c r="E343" s="332">
        <v>13</v>
      </c>
      <c r="F343" s="332">
        <v>20</v>
      </c>
      <c r="G343" s="332">
        <v>49</v>
      </c>
      <c r="H343" s="332">
        <v>8.3000000000000007</v>
      </c>
      <c r="I343" s="333">
        <v>0.35000000000000003</v>
      </c>
      <c r="J343" s="333">
        <v>1.57</v>
      </c>
      <c r="K343" s="332">
        <v>7.1000000000000005</v>
      </c>
      <c r="L343" s="332">
        <v>0.9</v>
      </c>
      <c r="M343" s="332" t="s">
        <v>157</v>
      </c>
      <c r="N343" s="332">
        <v>2000</v>
      </c>
      <c r="O343" s="332" t="s">
        <v>158</v>
      </c>
      <c r="P343" s="332">
        <v>599795</v>
      </c>
      <c r="Q343" s="335" t="s">
        <v>177</v>
      </c>
      <c r="R343" s="335" t="s">
        <v>1106</v>
      </c>
      <c r="S343" s="335" t="s">
        <v>166</v>
      </c>
    </row>
    <row r="344" spans="1:19" x14ac:dyDescent="0.2">
      <c r="A344" s="335" t="s">
        <v>444</v>
      </c>
      <c r="B344" s="332">
        <v>7</v>
      </c>
      <c r="C344" s="332">
        <v>5</v>
      </c>
      <c r="D344" s="332">
        <v>9</v>
      </c>
      <c r="E344" s="332">
        <v>12</v>
      </c>
      <c r="F344" s="332">
        <v>17</v>
      </c>
      <c r="G344" s="332">
        <v>54</v>
      </c>
      <c r="H344" s="332">
        <v>9</v>
      </c>
      <c r="I344" s="333">
        <v>0.46</v>
      </c>
      <c r="J344" s="333">
        <v>1.27</v>
      </c>
      <c r="K344" s="332">
        <v>7.1000000000000005</v>
      </c>
      <c r="L344" s="332">
        <v>0.8</v>
      </c>
      <c r="M344" s="332" t="s">
        <v>157</v>
      </c>
      <c r="N344" s="332">
        <v>2000</v>
      </c>
      <c r="O344" s="332" t="s">
        <v>158</v>
      </c>
      <c r="P344" s="332">
        <v>829945</v>
      </c>
      <c r="Q344" s="335" t="s">
        <v>211</v>
      </c>
      <c r="R344" s="335" t="s">
        <v>1106</v>
      </c>
      <c r="S344" s="335"/>
    </row>
    <row r="345" spans="1:19" x14ac:dyDescent="0.2">
      <c r="A345" s="335" t="s">
        <v>445</v>
      </c>
      <c r="B345" s="332">
        <v>5</v>
      </c>
      <c r="C345" s="332">
        <v>3</v>
      </c>
      <c r="D345" s="332">
        <v>7</v>
      </c>
      <c r="E345" s="332">
        <v>12</v>
      </c>
      <c r="F345" s="332">
        <v>22</v>
      </c>
      <c r="G345" s="332">
        <v>54</v>
      </c>
      <c r="H345" s="332">
        <v>9</v>
      </c>
      <c r="I345" s="333">
        <v>0.48</v>
      </c>
      <c r="J345" s="333">
        <v>1.34</v>
      </c>
      <c r="K345" s="332">
        <v>7.3</v>
      </c>
      <c r="L345" s="332">
        <v>1</v>
      </c>
      <c r="M345" s="332" t="s">
        <v>157</v>
      </c>
      <c r="N345" s="332">
        <v>2005</v>
      </c>
      <c r="O345" s="332" t="s">
        <v>158</v>
      </c>
      <c r="P345" s="332">
        <v>927632</v>
      </c>
      <c r="Q345" s="335" t="s">
        <v>211</v>
      </c>
      <c r="R345" s="335" t="s">
        <v>1106</v>
      </c>
      <c r="S345" s="335"/>
    </row>
    <row r="346" spans="1:19" x14ac:dyDescent="0.2">
      <c r="A346" s="335" t="s">
        <v>611</v>
      </c>
      <c r="B346" s="332">
        <v>3</v>
      </c>
      <c r="C346" s="332">
        <v>1</v>
      </c>
      <c r="D346" s="332">
        <v>4</v>
      </c>
      <c r="E346" s="332">
        <v>8</v>
      </c>
      <c r="F346" s="332">
        <v>4</v>
      </c>
      <c r="G346" s="332"/>
      <c r="H346" s="332"/>
      <c r="I346" s="333">
        <v>0.63</v>
      </c>
      <c r="J346" s="333">
        <v>1.8</v>
      </c>
      <c r="K346" s="332">
        <v>4.9000000000000004</v>
      </c>
      <c r="L346" s="332">
        <v>0.3</v>
      </c>
      <c r="M346" s="332" t="s">
        <v>157</v>
      </c>
      <c r="N346" s="332">
        <v>2012</v>
      </c>
      <c r="O346" s="332" t="s">
        <v>69</v>
      </c>
      <c r="P346" s="332">
        <v>961573</v>
      </c>
      <c r="Q346" s="335" t="s">
        <v>612</v>
      </c>
      <c r="R346" s="335" t="s">
        <v>1106</v>
      </c>
      <c r="S346" s="335"/>
    </row>
    <row r="347" spans="1:19" x14ac:dyDescent="0.2">
      <c r="A347" s="335" t="s">
        <v>1059</v>
      </c>
      <c r="B347" s="332">
        <v>18</v>
      </c>
      <c r="C347" s="332">
        <v>11</v>
      </c>
      <c r="D347" s="332">
        <v>22</v>
      </c>
      <c r="E347" s="332"/>
      <c r="F347" s="332"/>
      <c r="G347" s="332"/>
      <c r="H347" s="332"/>
      <c r="I347" s="333">
        <v>0.39</v>
      </c>
      <c r="J347" s="333">
        <v>0.88</v>
      </c>
      <c r="K347" s="332"/>
      <c r="L347" s="332"/>
      <c r="M347" s="332" t="s">
        <v>157</v>
      </c>
      <c r="N347" s="332">
        <v>2016</v>
      </c>
      <c r="O347" s="332" t="s">
        <v>158</v>
      </c>
      <c r="P347" s="332">
        <v>908509</v>
      </c>
      <c r="Q347" s="335" t="s">
        <v>188</v>
      </c>
      <c r="R347" s="335" t="s">
        <v>264</v>
      </c>
      <c r="S347" s="335"/>
    </row>
    <row r="348" spans="1:19" x14ac:dyDescent="0.2">
      <c r="A348" s="335" t="s">
        <v>912</v>
      </c>
      <c r="B348" s="332">
        <v>4</v>
      </c>
      <c r="C348" s="332">
        <v>0</v>
      </c>
      <c r="D348" s="332">
        <v>3</v>
      </c>
      <c r="E348" s="332">
        <v>20</v>
      </c>
      <c r="F348" s="332"/>
      <c r="G348" s="332"/>
      <c r="H348" s="332"/>
      <c r="I348" s="333">
        <v>0.16</v>
      </c>
      <c r="J348" s="333">
        <v>0.2</v>
      </c>
      <c r="K348" s="332"/>
      <c r="L348" s="332"/>
      <c r="M348" s="332" t="s">
        <v>157</v>
      </c>
      <c r="N348" s="332">
        <v>2015</v>
      </c>
      <c r="O348" s="332" t="s">
        <v>158</v>
      </c>
      <c r="P348" s="332">
        <v>943159</v>
      </c>
      <c r="Q348" s="335" t="s">
        <v>175</v>
      </c>
      <c r="R348" s="335" t="s">
        <v>205</v>
      </c>
      <c r="S348" s="335"/>
    </row>
    <row r="349" spans="1:19" x14ac:dyDescent="0.2">
      <c r="A349" s="335" t="s">
        <v>690</v>
      </c>
      <c r="B349" s="332">
        <v>7</v>
      </c>
      <c r="C349" s="332">
        <v>3</v>
      </c>
      <c r="D349" s="332">
        <v>9</v>
      </c>
      <c r="E349" s="332">
        <v>19</v>
      </c>
      <c r="F349" s="332">
        <v>20</v>
      </c>
      <c r="G349" s="332"/>
      <c r="H349" s="332"/>
      <c r="I349" s="333">
        <v>0.89</v>
      </c>
      <c r="J349" s="333">
        <v>2.25</v>
      </c>
      <c r="K349" s="332">
        <v>11.700000000000001</v>
      </c>
      <c r="L349" s="332">
        <v>0.6</v>
      </c>
      <c r="M349" s="332" t="s">
        <v>157</v>
      </c>
      <c r="N349" s="332">
        <v>2012</v>
      </c>
      <c r="O349" s="332" t="s">
        <v>69</v>
      </c>
      <c r="P349" s="332">
        <v>451393</v>
      </c>
      <c r="Q349" s="335" t="s">
        <v>612</v>
      </c>
      <c r="R349" s="335" t="s">
        <v>185</v>
      </c>
      <c r="S349" s="335"/>
    </row>
    <row r="350" spans="1:19" x14ac:dyDescent="0.2">
      <c r="A350" s="335" t="s">
        <v>372</v>
      </c>
      <c r="B350" s="332">
        <v>2</v>
      </c>
      <c r="C350" s="332">
        <v>1</v>
      </c>
      <c r="D350" s="332">
        <v>2</v>
      </c>
      <c r="E350" s="332">
        <v>3</v>
      </c>
      <c r="F350" s="332">
        <v>6</v>
      </c>
      <c r="G350" s="332">
        <v>30</v>
      </c>
      <c r="H350" s="332">
        <v>5.5</v>
      </c>
      <c r="I350" s="333">
        <v>0.28999999999999998</v>
      </c>
      <c r="J350" s="333">
        <v>1.02</v>
      </c>
      <c r="K350" s="332">
        <v>1.7</v>
      </c>
      <c r="L350" s="332">
        <v>1.2</v>
      </c>
      <c r="M350" s="332" t="s">
        <v>157</v>
      </c>
      <c r="N350" s="332">
        <v>2004</v>
      </c>
      <c r="O350" s="332" t="s">
        <v>158</v>
      </c>
      <c r="P350" s="332">
        <v>104786</v>
      </c>
      <c r="Q350" s="335" t="s">
        <v>170</v>
      </c>
      <c r="R350" s="335" t="s">
        <v>1109</v>
      </c>
      <c r="S350" s="335"/>
    </row>
    <row r="351" spans="1:19" x14ac:dyDescent="0.2">
      <c r="A351" s="335" t="s">
        <v>1017</v>
      </c>
      <c r="B351" s="332">
        <v>1</v>
      </c>
      <c r="C351" s="332">
        <v>1</v>
      </c>
      <c r="D351" s="332">
        <v>1</v>
      </c>
      <c r="E351" s="332">
        <v>2</v>
      </c>
      <c r="F351" s="332">
        <v>2</v>
      </c>
      <c r="G351" s="332">
        <v>4</v>
      </c>
      <c r="H351" s="332">
        <v>0.9</v>
      </c>
      <c r="I351" s="333">
        <v>0.28999999999999998</v>
      </c>
      <c r="J351" s="333">
        <v>0.70000000000000007</v>
      </c>
      <c r="K351" s="332">
        <v>0.70000000000000007</v>
      </c>
      <c r="L351" s="332">
        <v>1.2</v>
      </c>
      <c r="M351" s="332" t="s">
        <v>157</v>
      </c>
      <c r="N351" s="332">
        <v>2014</v>
      </c>
      <c r="O351" s="332" t="s">
        <v>158</v>
      </c>
      <c r="P351" s="332">
        <v>120303</v>
      </c>
      <c r="Q351" s="335" t="s">
        <v>233</v>
      </c>
      <c r="R351" s="335" t="s">
        <v>1109</v>
      </c>
      <c r="S351" s="335" t="s">
        <v>166</v>
      </c>
    </row>
    <row r="352" spans="1:19" x14ac:dyDescent="0.2">
      <c r="A352" s="335" t="s">
        <v>921</v>
      </c>
      <c r="B352" s="332">
        <v>2</v>
      </c>
      <c r="C352" s="332">
        <v>1</v>
      </c>
      <c r="D352" s="332">
        <v>3</v>
      </c>
      <c r="E352" s="332">
        <v>6</v>
      </c>
      <c r="F352" s="332"/>
      <c r="G352" s="332"/>
      <c r="H352" s="332"/>
      <c r="I352" s="333">
        <v>0.42</v>
      </c>
      <c r="J352" s="333">
        <v>1.5</v>
      </c>
      <c r="K352" s="332"/>
      <c r="L352" s="332"/>
      <c r="M352" s="332" t="s">
        <v>157</v>
      </c>
      <c r="N352" s="332">
        <v>2015</v>
      </c>
      <c r="O352" s="332" t="s">
        <v>69</v>
      </c>
      <c r="P352" s="332">
        <v>386870</v>
      </c>
      <c r="Q352" s="335" t="s">
        <v>919</v>
      </c>
      <c r="R352" s="335" t="s">
        <v>1109</v>
      </c>
      <c r="S352" s="335" t="s">
        <v>166</v>
      </c>
    </row>
    <row r="353" spans="1:19" x14ac:dyDescent="0.2">
      <c r="A353" s="335" t="s">
        <v>785</v>
      </c>
      <c r="B353" s="332">
        <v>2</v>
      </c>
      <c r="C353" s="332">
        <v>1</v>
      </c>
      <c r="D353" s="332">
        <v>3</v>
      </c>
      <c r="E353" s="332">
        <v>5</v>
      </c>
      <c r="F353" s="332">
        <v>9</v>
      </c>
      <c r="G353" s="332">
        <v>14</v>
      </c>
      <c r="H353" s="332">
        <v>2.6</v>
      </c>
      <c r="I353" s="333">
        <v>0.26</v>
      </c>
      <c r="J353" s="333">
        <v>0.61</v>
      </c>
      <c r="K353" s="332">
        <v>0.9</v>
      </c>
      <c r="L353" s="332">
        <v>3.3000000000000003</v>
      </c>
      <c r="M353" s="332" t="s">
        <v>157</v>
      </c>
      <c r="N353" s="332">
        <v>2014</v>
      </c>
      <c r="O353" s="332" t="s">
        <v>158</v>
      </c>
      <c r="P353" s="332">
        <v>453100</v>
      </c>
      <c r="Q353" s="335" t="s">
        <v>159</v>
      </c>
      <c r="R353" s="335" t="s">
        <v>1109</v>
      </c>
      <c r="S353" s="335"/>
    </row>
    <row r="354" spans="1:19" x14ac:dyDescent="0.2">
      <c r="A354" s="335" t="s">
        <v>332</v>
      </c>
      <c r="B354" s="332">
        <v>3</v>
      </c>
      <c r="C354" s="332">
        <v>1</v>
      </c>
      <c r="D354" s="332">
        <v>3</v>
      </c>
      <c r="E354" s="332">
        <v>6</v>
      </c>
      <c r="F354" s="332">
        <v>7</v>
      </c>
      <c r="G354" s="332">
        <v>24</v>
      </c>
      <c r="H354" s="332">
        <v>4.4000000000000004</v>
      </c>
      <c r="I354" s="333">
        <v>0.24</v>
      </c>
      <c r="J354" s="333">
        <v>1.1200000000000001</v>
      </c>
      <c r="K354" s="332">
        <v>2</v>
      </c>
      <c r="L354" s="332">
        <v>1.3</v>
      </c>
      <c r="M354" s="332" t="s">
        <v>157</v>
      </c>
      <c r="N354" s="332">
        <v>2010</v>
      </c>
      <c r="O354" s="332" t="s">
        <v>69</v>
      </c>
      <c r="P354" s="332">
        <v>537639</v>
      </c>
      <c r="Q354" s="335" t="s">
        <v>192</v>
      </c>
      <c r="R354" s="335" t="s">
        <v>1109</v>
      </c>
      <c r="S354" s="335"/>
    </row>
    <row r="355" spans="1:19" x14ac:dyDescent="0.2">
      <c r="A355" s="335" t="s">
        <v>345</v>
      </c>
      <c r="B355" s="332">
        <v>3</v>
      </c>
      <c r="C355" s="332">
        <v>2</v>
      </c>
      <c r="D355" s="332">
        <v>3</v>
      </c>
      <c r="E355" s="332">
        <v>8</v>
      </c>
      <c r="F355" s="332">
        <v>8</v>
      </c>
      <c r="G355" s="332"/>
      <c r="H355" s="332"/>
      <c r="I355" s="333">
        <v>0.28000000000000003</v>
      </c>
      <c r="J355" s="333">
        <v>0.75</v>
      </c>
      <c r="K355" s="332">
        <v>3.2</v>
      </c>
      <c r="L355" s="332">
        <v>0.8</v>
      </c>
      <c r="M355" s="332" t="s">
        <v>157</v>
      </c>
      <c r="N355" s="332">
        <v>2014</v>
      </c>
      <c r="O355" s="332" t="s">
        <v>158</v>
      </c>
      <c r="P355" s="332">
        <v>560599</v>
      </c>
      <c r="Q355" s="335" t="s">
        <v>168</v>
      </c>
      <c r="R355" s="335" t="s">
        <v>1109</v>
      </c>
      <c r="S355" s="335"/>
    </row>
    <row r="356" spans="1:19" x14ac:dyDescent="0.2">
      <c r="A356" s="335" t="s">
        <v>201</v>
      </c>
      <c r="B356" s="332">
        <v>0</v>
      </c>
      <c r="C356" s="332">
        <v>0</v>
      </c>
      <c r="D356" s="332">
        <v>0</v>
      </c>
      <c r="E356" s="332">
        <v>0</v>
      </c>
      <c r="F356" s="332">
        <v>2</v>
      </c>
      <c r="G356" s="332"/>
      <c r="H356" s="332"/>
      <c r="I356" s="333">
        <v>0.16</v>
      </c>
      <c r="J356" s="333">
        <v>0.3</v>
      </c>
      <c r="K356" s="332">
        <v>0.2</v>
      </c>
      <c r="L356" s="332">
        <v>4.0999999999999996</v>
      </c>
      <c r="M356" s="332" t="s">
        <v>157</v>
      </c>
      <c r="N356" s="332">
        <v>2013</v>
      </c>
      <c r="O356" s="332" t="s">
        <v>69</v>
      </c>
      <c r="P356" s="332">
        <v>574582</v>
      </c>
      <c r="Q356" s="335" t="s">
        <v>202</v>
      </c>
      <c r="R356" s="335" t="s">
        <v>1109</v>
      </c>
      <c r="S356" s="335"/>
    </row>
    <row r="357" spans="1:19" x14ac:dyDescent="0.2">
      <c r="A357" s="335" t="s">
        <v>748</v>
      </c>
      <c r="B357" s="332">
        <v>1</v>
      </c>
      <c r="C357" s="332">
        <v>0</v>
      </c>
      <c r="D357" s="332">
        <v>1</v>
      </c>
      <c r="E357" s="332">
        <v>2</v>
      </c>
      <c r="F357" s="332"/>
      <c r="G357" s="332"/>
      <c r="H357" s="332"/>
      <c r="I357" s="333">
        <v>0.23</v>
      </c>
      <c r="J357" s="333">
        <v>0.9</v>
      </c>
      <c r="K357" s="332"/>
      <c r="L357" s="332"/>
      <c r="M357" s="332" t="s">
        <v>157</v>
      </c>
      <c r="N357" s="332">
        <v>2014</v>
      </c>
      <c r="O357" s="332" t="s">
        <v>69</v>
      </c>
      <c r="P357" s="332">
        <v>651679</v>
      </c>
      <c r="Q357" s="335" t="s">
        <v>213</v>
      </c>
      <c r="R357" s="335" t="s">
        <v>1109</v>
      </c>
      <c r="S357" s="335"/>
    </row>
    <row r="358" spans="1:19" x14ac:dyDescent="0.2">
      <c r="A358" s="335" t="s">
        <v>749</v>
      </c>
      <c r="B358" s="332">
        <v>3</v>
      </c>
      <c r="C358" s="332">
        <v>2</v>
      </c>
      <c r="D358" s="332">
        <v>3</v>
      </c>
      <c r="E358" s="332">
        <v>6</v>
      </c>
      <c r="F358" s="332">
        <v>7</v>
      </c>
      <c r="G358" s="332"/>
      <c r="H358" s="332"/>
      <c r="I358" s="333">
        <v>0.38</v>
      </c>
      <c r="J358" s="333">
        <v>0.94000000000000006</v>
      </c>
      <c r="K358" s="332">
        <v>1.6</v>
      </c>
      <c r="L358" s="332">
        <v>1.5</v>
      </c>
      <c r="M358" s="332" t="s">
        <v>157</v>
      </c>
      <c r="N358" s="332">
        <v>2014</v>
      </c>
      <c r="O358" s="332" t="s">
        <v>158</v>
      </c>
      <c r="P358" s="332">
        <v>670505</v>
      </c>
      <c r="Q358" s="335" t="s">
        <v>291</v>
      </c>
      <c r="R358" s="335" t="s">
        <v>1109</v>
      </c>
      <c r="S358" s="335"/>
    </row>
    <row r="359" spans="1:19" x14ac:dyDescent="0.2">
      <c r="A359" s="335" t="s">
        <v>365</v>
      </c>
      <c r="B359" s="332">
        <v>2</v>
      </c>
      <c r="C359" s="332">
        <v>1</v>
      </c>
      <c r="D359" s="332">
        <v>3</v>
      </c>
      <c r="E359" s="332">
        <v>5</v>
      </c>
      <c r="F359" s="332">
        <v>7</v>
      </c>
      <c r="G359" s="332">
        <v>22</v>
      </c>
      <c r="H359" s="332">
        <v>4.0999999999999996</v>
      </c>
      <c r="I359" s="333">
        <v>0.34</v>
      </c>
      <c r="J359" s="333">
        <v>0.82000000000000006</v>
      </c>
      <c r="K359" s="332">
        <v>1.6</v>
      </c>
      <c r="L359" s="332">
        <v>1.4000000000000001</v>
      </c>
      <c r="M359" s="332" t="s">
        <v>157</v>
      </c>
      <c r="N359" s="332">
        <v>2012</v>
      </c>
      <c r="O359" s="332" t="s">
        <v>158</v>
      </c>
      <c r="P359" s="332">
        <v>832717</v>
      </c>
      <c r="Q359" s="335" t="s">
        <v>188</v>
      </c>
      <c r="R359" s="335" t="s">
        <v>1109</v>
      </c>
      <c r="S359" s="335" t="s">
        <v>166</v>
      </c>
    </row>
    <row r="360" spans="1:19" x14ac:dyDescent="0.2">
      <c r="A360" s="335" t="s">
        <v>268</v>
      </c>
      <c r="B360" s="332">
        <v>2</v>
      </c>
      <c r="C360" s="332">
        <v>1</v>
      </c>
      <c r="D360" s="332">
        <v>2</v>
      </c>
      <c r="E360" s="332">
        <v>4</v>
      </c>
      <c r="F360" s="332">
        <v>4</v>
      </c>
      <c r="G360" s="332"/>
      <c r="H360" s="332"/>
      <c r="I360" s="333">
        <v>0.2</v>
      </c>
      <c r="J360" s="333">
        <v>0.81</v>
      </c>
      <c r="K360" s="332">
        <v>2.6</v>
      </c>
      <c r="L360" s="332">
        <v>0.6</v>
      </c>
      <c r="M360" s="332" t="s">
        <v>157</v>
      </c>
      <c r="N360" s="332">
        <v>2014</v>
      </c>
      <c r="O360" s="332" t="s">
        <v>158</v>
      </c>
      <c r="P360" s="332">
        <v>874560</v>
      </c>
      <c r="Q360" s="335" t="s">
        <v>177</v>
      </c>
      <c r="R360" s="335" t="s">
        <v>1109</v>
      </c>
      <c r="S360" s="335" t="s">
        <v>166</v>
      </c>
    </row>
    <row r="361" spans="1:19" x14ac:dyDescent="0.2">
      <c r="A361" s="335" t="s">
        <v>928</v>
      </c>
      <c r="B361" s="332">
        <v>0</v>
      </c>
      <c r="C361" s="332">
        <v>0</v>
      </c>
      <c r="D361" s="332">
        <v>0</v>
      </c>
      <c r="E361" s="332">
        <v>1</v>
      </c>
      <c r="F361" s="332">
        <v>2</v>
      </c>
      <c r="G361" s="332">
        <v>9</v>
      </c>
      <c r="H361" s="332">
        <v>1.8</v>
      </c>
      <c r="I361" s="333">
        <v>0.21</v>
      </c>
      <c r="J361" s="333">
        <v>0.4</v>
      </c>
      <c r="K361" s="332">
        <v>0.4</v>
      </c>
      <c r="L361" s="332">
        <v>2.4</v>
      </c>
      <c r="M361" s="332" t="s">
        <v>157</v>
      </c>
      <c r="N361" s="332">
        <v>2015</v>
      </c>
      <c r="O361" s="332" t="s">
        <v>158</v>
      </c>
      <c r="P361" s="332">
        <v>955906</v>
      </c>
      <c r="Q361" s="335" t="s">
        <v>927</v>
      </c>
      <c r="R361" s="335" t="s">
        <v>1109</v>
      </c>
      <c r="S361" s="335" t="s">
        <v>166</v>
      </c>
    </row>
    <row r="362" spans="1:19" x14ac:dyDescent="0.2">
      <c r="A362" s="335" t="s">
        <v>286</v>
      </c>
      <c r="B362" s="332">
        <v>3</v>
      </c>
      <c r="C362" s="332">
        <v>-1</v>
      </c>
      <c r="D362" s="332">
        <v>2</v>
      </c>
      <c r="E362" s="332">
        <v>15</v>
      </c>
      <c r="F362" s="332">
        <v>48</v>
      </c>
      <c r="G362" s="332"/>
      <c r="H362" s="332"/>
      <c r="I362" s="333">
        <v>0.22</v>
      </c>
      <c r="J362" s="333">
        <v>0.71</v>
      </c>
      <c r="K362" s="332">
        <v>10.9</v>
      </c>
      <c r="L362" s="332">
        <v>1.3</v>
      </c>
      <c r="M362" s="332" t="s">
        <v>157</v>
      </c>
      <c r="N362" s="332">
        <v>2013</v>
      </c>
      <c r="O362" s="332" t="s">
        <v>158</v>
      </c>
      <c r="P362" s="332">
        <v>912220</v>
      </c>
      <c r="Q362" s="335" t="s">
        <v>182</v>
      </c>
      <c r="R362" s="335" t="s">
        <v>185</v>
      </c>
      <c r="S362" s="335" t="s">
        <v>166</v>
      </c>
    </row>
    <row r="363" spans="1:19" x14ac:dyDescent="0.2">
      <c r="A363" s="335" t="s">
        <v>280</v>
      </c>
      <c r="B363" s="332">
        <v>11</v>
      </c>
      <c r="C363" s="332">
        <v>5</v>
      </c>
      <c r="D363" s="332">
        <v>12</v>
      </c>
      <c r="E363" s="332">
        <v>29</v>
      </c>
      <c r="F363" s="332">
        <v>54</v>
      </c>
      <c r="G363" s="332"/>
      <c r="H363" s="332"/>
      <c r="I363" s="333">
        <v>0.23</v>
      </c>
      <c r="J363" s="333">
        <v>0.77</v>
      </c>
      <c r="K363" s="332">
        <v>12.200000000000001</v>
      </c>
      <c r="L363" s="332">
        <v>1.3</v>
      </c>
      <c r="M363" s="332" t="s">
        <v>157</v>
      </c>
      <c r="N363" s="332">
        <v>2012</v>
      </c>
      <c r="O363" s="332" t="s">
        <v>158</v>
      </c>
      <c r="P363" s="332">
        <v>184119</v>
      </c>
      <c r="Q363" s="335" t="s">
        <v>182</v>
      </c>
      <c r="R363" s="335" t="s">
        <v>185</v>
      </c>
      <c r="S363" s="335" t="s">
        <v>166</v>
      </c>
    </row>
    <row r="364" spans="1:19" x14ac:dyDescent="0.2">
      <c r="A364" s="335" t="s">
        <v>243</v>
      </c>
      <c r="B364" s="332">
        <v>2</v>
      </c>
      <c r="C364" s="332">
        <v>1</v>
      </c>
      <c r="D364" s="332">
        <v>2</v>
      </c>
      <c r="E364" s="332">
        <v>7</v>
      </c>
      <c r="F364" s="332">
        <v>16</v>
      </c>
      <c r="G364" s="332">
        <v>35</v>
      </c>
      <c r="H364" s="332">
        <v>6.1000000000000005</v>
      </c>
      <c r="I364" s="333">
        <v>0.18</v>
      </c>
      <c r="J364" s="333">
        <v>0.41000000000000003</v>
      </c>
      <c r="K364" s="332">
        <v>3.9</v>
      </c>
      <c r="L364" s="332">
        <v>1.4000000000000001</v>
      </c>
      <c r="M364" s="332" t="s">
        <v>157</v>
      </c>
      <c r="N364" s="332">
        <v>2000</v>
      </c>
      <c r="O364" s="332" t="s">
        <v>158</v>
      </c>
      <c r="P364" s="332">
        <v>391482</v>
      </c>
      <c r="Q364" s="335" t="s">
        <v>182</v>
      </c>
      <c r="R364" s="335" t="s">
        <v>163</v>
      </c>
      <c r="S364" s="335" t="s">
        <v>166</v>
      </c>
    </row>
    <row r="365" spans="1:19" x14ac:dyDescent="0.2">
      <c r="A365" s="335" t="s">
        <v>949</v>
      </c>
      <c r="B365" s="332">
        <v>1</v>
      </c>
      <c r="C365" s="332">
        <v>1</v>
      </c>
      <c r="D365" s="332">
        <v>1</v>
      </c>
      <c r="E365" s="332">
        <v>2</v>
      </c>
      <c r="F365" s="332"/>
      <c r="G365" s="332"/>
      <c r="H365" s="332"/>
      <c r="I365" s="333">
        <v>0.22</v>
      </c>
      <c r="J365" s="333">
        <v>0.95000000000000007</v>
      </c>
      <c r="K365" s="332"/>
      <c r="L365" s="332"/>
      <c r="M365" s="332" t="s">
        <v>157</v>
      </c>
      <c r="N365" s="332">
        <v>2014</v>
      </c>
      <c r="O365" s="332" t="s">
        <v>158</v>
      </c>
      <c r="P365" s="332">
        <v>653501</v>
      </c>
      <c r="Q365" s="335" t="s">
        <v>198</v>
      </c>
      <c r="R365" s="335" t="s">
        <v>1098</v>
      </c>
      <c r="S365" s="335"/>
    </row>
    <row r="366" spans="1:19" x14ac:dyDescent="0.2">
      <c r="A366" s="335" t="s">
        <v>204</v>
      </c>
      <c r="B366" s="332">
        <v>4</v>
      </c>
      <c r="C366" s="332">
        <v>0</v>
      </c>
      <c r="D366" s="332">
        <v>3</v>
      </c>
      <c r="E366" s="332">
        <v>21</v>
      </c>
      <c r="F366" s="332">
        <v>59</v>
      </c>
      <c r="G366" s="332">
        <v>94</v>
      </c>
      <c r="H366" s="332">
        <v>14.1</v>
      </c>
      <c r="I366" s="333">
        <v>0.16</v>
      </c>
      <c r="J366" s="333">
        <v>0.22</v>
      </c>
      <c r="K366" s="332">
        <v>14.9</v>
      </c>
      <c r="L366" s="332">
        <v>1.1000000000000001</v>
      </c>
      <c r="M366" s="332" t="s">
        <v>157</v>
      </c>
      <c r="N366" s="332">
        <v>2000</v>
      </c>
      <c r="O366" s="332" t="s">
        <v>158</v>
      </c>
      <c r="P366" s="332">
        <v>176503</v>
      </c>
      <c r="Q366" s="335" t="s">
        <v>182</v>
      </c>
      <c r="R366" s="335" t="s">
        <v>205</v>
      </c>
      <c r="S366" s="335" t="s">
        <v>166</v>
      </c>
    </row>
    <row r="367" spans="1:19" x14ac:dyDescent="0.2">
      <c r="A367" s="335" t="s">
        <v>216</v>
      </c>
      <c r="B367" s="332">
        <v>6</v>
      </c>
      <c r="C367" s="332">
        <v>1</v>
      </c>
      <c r="D367" s="332">
        <v>6</v>
      </c>
      <c r="E367" s="332">
        <v>22</v>
      </c>
      <c r="F367" s="332">
        <v>50</v>
      </c>
      <c r="G367" s="332">
        <v>109</v>
      </c>
      <c r="H367" s="332">
        <v>15.9</v>
      </c>
      <c r="I367" s="333">
        <v>0.17</v>
      </c>
      <c r="J367" s="333">
        <v>0.32</v>
      </c>
      <c r="K367" s="332">
        <v>12.3</v>
      </c>
      <c r="L367" s="332">
        <v>1.2</v>
      </c>
      <c r="M367" s="332" t="s">
        <v>157</v>
      </c>
      <c r="N367" s="332">
        <v>2010</v>
      </c>
      <c r="O367" s="332" t="s">
        <v>158</v>
      </c>
      <c r="P367" s="332">
        <v>407064</v>
      </c>
      <c r="Q367" s="335" t="s">
        <v>182</v>
      </c>
      <c r="R367" s="335" t="s">
        <v>185</v>
      </c>
      <c r="S367" s="335" t="s">
        <v>166</v>
      </c>
    </row>
    <row r="368" spans="1:19" x14ac:dyDescent="0.2">
      <c r="A368" s="335" t="s">
        <v>316</v>
      </c>
      <c r="B368" s="332">
        <v>13</v>
      </c>
      <c r="C368" s="332">
        <v>4</v>
      </c>
      <c r="D368" s="332">
        <v>11</v>
      </c>
      <c r="E368" s="332">
        <v>33</v>
      </c>
      <c r="F368" s="332">
        <v>34</v>
      </c>
      <c r="G368" s="332">
        <v>44</v>
      </c>
      <c r="H368" s="332">
        <v>7.6000000000000005</v>
      </c>
      <c r="I368" s="333">
        <v>0.24</v>
      </c>
      <c r="J368" s="333">
        <v>0.85</v>
      </c>
      <c r="K368" s="332">
        <v>14.9</v>
      </c>
      <c r="L368" s="332">
        <v>0.70000000000000007</v>
      </c>
      <c r="M368" s="332" t="s">
        <v>157</v>
      </c>
      <c r="N368" s="332">
        <v>2011</v>
      </c>
      <c r="O368" s="332" t="s">
        <v>158</v>
      </c>
      <c r="P368" s="332">
        <v>459891</v>
      </c>
      <c r="Q368" s="335" t="s">
        <v>182</v>
      </c>
      <c r="R368" s="335" t="s">
        <v>302</v>
      </c>
      <c r="S368" s="335" t="s">
        <v>166</v>
      </c>
    </row>
    <row r="369" spans="1:19" x14ac:dyDescent="0.2">
      <c r="A369" s="335" t="s">
        <v>244</v>
      </c>
      <c r="B369" s="332">
        <v>4</v>
      </c>
      <c r="C369" s="332">
        <v>2</v>
      </c>
      <c r="D369" s="332">
        <v>5</v>
      </c>
      <c r="E369" s="332">
        <v>12</v>
      </c>
      <c r="F369" s="332">
        <v>27</v>
      </c>
      <c r="G369" s="332">
        <v>65</v>
      </c>
      <c r="H369" s="332">
        <v>10.5</v>
      </c>
      <c r="I369" s="333">
        <v>0.18</v>
      </c>
      <c r="J369" s="333">
        <v>0.41000000000000003</v>
      </c>
      <c r="K369" s="332">
        <v>7.2</v>
      </c>
      <c r="L369" s="332">
        <v>1.2</v>
      </c>
      <c r="M369" s="332" t="s">
        <v>157</v>
      </c>
      <c r="N369" s="332">
        <v>2000</v>
      </c>
      <c r="O369" s="332" t="s">
        <v>158</v>
      </c>
      <c r="P369" s="332">
        <v>427310</v>
      </c>
      <c r="Q369" s="335" t="s">
        <v>182</v>
      </c>
      <c r="R369" s="335" t="s">
        <v>163</v>
      </c>
      <c r="S369" s="335" t="s">
        <v>166</v>
      </c>
    </row>
    <row r="370" spans="1:19" x14ac:dyDescent="0.2">
      <c r="A370" s="335" t="s">
        <v>348</v>
      </c>
      <c r="B370" s="332">
        <v>3</v>
      </c>
      <c r="C370" s="332">
        <v>2</v>
      </c>
      <c r="D370" s="332">
        <v>3</v>
      </c>
      <c r="E370" s="332">
        <v>6</v>
      </c>
      <c r="F370" s="332">
        <v>10</v>
      </c>
      <c r="G370" s="332"/>
      <c r="H370" s="332"/>
      <c r="I370" s="333">
        <v>0.32</v>
      </c>
      <c r="J370" s="333">
        <v>0.85</v>
      </c>
      <c r="K370" s="332">
        <v>2.8000000000000003</v>
      </c>
      <c r="L370" s="332">
        <v>1.2</v>
      </c>
      <c r="M370" s="332" t="s">
        <v>157</v>
      </c>
      <c r="N370" s="332">
        <v>2012</v>
      </c>
      <c r="O370" s="332" t="s">
        <v>69</v>
      </c>
      <c r="P370" s="332">
        <v>664482</v>
      </c>
      <c r="Q370" s="335" t="s">
        <v>202</v>
      </c>
      <c r="R370" s="335" t="s">
        <v>1108</v>
      </c>
      <c r="S370" s="335"/>
    </row>
    <row r="371" spans="1:19" x14ac:dyDescent="0.2">
      <c r="A371" s="335" t="s">
        <v>364</v>
      </c>
      <c r="B371" s="332">
        <v>5</v>
      </c>
      <c r="C371" s="332">
        <v>3</v>
      </c>
      <c r="D371" s="332">
        <v>6</v>
      </c>
      <c r="E371" s="332">
        <v>10</v>
      </c>
      <c r="F371" s="332">
        <v>17</v>
      </c>
      <c r="G371" s="332"/>
      <c r="H371" s="332"/>
      <c r="I371" s="333">
        <v>0.35000000000000003</v>
      </c>
      <c r="J371" s="333">
        <v>0.95000000000000007</v>
      </c>
      <c r="K371" s="332">
        <v>4.0999999999999996</v>
      </c>
      <c r="L371" s="332">
        <v>1.3</v>
      </c>
      <c r="M371" s="332" t="s">
        <v>157</v>
      </c>
      <c r="N371" s="332">
        <v>2012</v>
      </c>
      <c r="O371" s="332" t="s">
        <v>69</v>
      </c>
      <c r="P371" s="332">
        <v>700310</v>
      </c>
      <c r="Q371" s="335" t="s">
        <v>202</v>
      </c>
      <c r="R371" s="335" t="s">
        <v>1108</v>
      </c>
      <c r="S371" s="335"/>
    </row>
    <row r="372" spans="1:19" x14ac:dyDescent="0.2">
      <c r="A372" s="335" t="s">
        <v>1069</v>
      </c>
      <c r="B372" s="332">
        <v>6</v>
      </c>
      <c r="C372" s="332">
        <v>-4</v>
      </c>
      <c r="D372" s="332">
        <v>5</v>
      </c>
      <c r="E372" s="332">
        <v>27</v>
      </c>
      <c r="F372" s="332">
        <v>9</v>
      </c>
      <c r="G372" s="332">
        <v>8</v>
      </c>
      <c r="H372" s="332">
        <v>1.5</v>
      </c>
      <c r="I372" s="333">
        <v>0.36</v>
      </c>
      <c r="J372" s="333">
        <v>1.6500000000000001</v>
      </c>
      <c r="K372" s="332">
        <v>20</v>
      </c>
      <c r="L372" s="332">
        <v>0.2</v>
      </c>
      <c r="M372" s="332" t="s">
        <v>157</v>
      </c>
      <c r="N372" s="332">
        <v>2006</v>
      </c>
      <c r="O372" s="332" t="s">
        <v>158</v>
      </c>
      <c r="P372" s="332">
        <v>679837</v>
      </c>
      <c r="Q372" s="335" t="s">
        <v>198</v>
      </c>
      <c r="R372" s="335" t="s">
        <v>369</v>
      </c>
      <c r="S372" s="335"/>
    </row>
    <row r="373" spans="1:19" x14ac:dyDescent="0.2">
      <c r="A373" s="335" t="s">
        <v>1042</v>
      </c>
      <c r="B373" s="332">
        <v>4</v>
      </c>
      <c r="C373" s="332">
        <v>0</v>
      </c>
      <c r="D373" s="332">
        <v>6</v>
      </c>
      <c r="E373" s="332"/>
      <c r="F373" s="332"/>
      <c r="G373" s="332"/>
      <c r="H373" s="332"/>
      <c r="I373" s="333">
        <v>0.25</v>
      </c>
      <c r="J373" s="333">
        <v>0.5</v>
      </c>
      <c r="K373" s="332"/>
      <c r="L373" s="332"/>
      <c r="M373" s="332" t="s">
        <v>157</v>
      </c>
      <c r="N373" s="332">
        <v>2016</v>
      </c>
      <c r="O373" s="332" t="s">
        <v>158</v>
      </c>
      <c r="P373" s="332">
        <v>358309</v>
      </c>
      <c r="Q373" s="335" t="s">
        <v>168</v>
      </c>
      <c r="R373" s="335" t="s">
        <v>185</v>
      </c>
      <c r="S373" s="335"/>
    </row>
    <row r="374" spans="1:19" x14ac:dyDescent="0.2">
      <c r="A374" s="335" t="s">
        <v>731</v>
      </c>
      <c r="B374" s="332">
        <v>7</v>
      </c>
      <c r="C374" s="332">
        <v>3</v>
      </c>
      <c r="D374" s="332">
        <v>12</v>
      </c>
      <c r="E374" s="332">
        <v>22</v>
      </c>
      <c r="F374" s="332">
        <v>23</v>
      </c>
      <c r="G374" s="332">
        <v>42</v>
      </c>
      <c r="H374" s="332">
        <v>7.3</v>
      </c>
      <c r="I374" s="333">
        <v>0.89</v>
      </c>
      <c r="J374" s="333">
        <v>2.72</v>
      </c>
      <c r="K374" s="332">
        <v>14.9</v>
      </c>
      <c r="L374" s="332">
        <v>0.5</v>
      </c>
      <c r="M374" s="332" t="s">
        <v>207</v>
      </c>
      <c r="N374" s="332">
        <v>2012</v>
      </c>
      <c r="O374" s="332" t="s">
        <v>69</v>
      </c>
      <c r="P374" s="332">
        <v>114280</v>
      </c>
      <c r="Q374" s="335" t="s">
        <v>554</v>
      </c>
      <c r="R374" s="335" t="s">
        <v>302</v>
      </c>
      <c r="S374" s="335"/>
    </row>
    <row r="375" spans="1:19" x14ac:dyDescent="0.2">
      <c r="A375" s="335" t="s">
        <v>728</v>
      </c>
      <c r="B375" s="332">
        <v>15</v>
      </c>
      <c r="C375" s="332">
        <v>8</v>
      </c>
      <c r="D375" s="332">
        <v>12</v>
      </c>
      <c r="E375" s="332">
        <v>22</v>
      </c>
      <c r="F375" s="332">
        <v>39</v>
      </c>
      <c r="G375" s="332">
        <v>59</v>
      </c>
      <c r="H375" s="332">
        <v>9.7000000000000011</v>
      </c>
      <c r="I375" s="333">
        <v>0.89</v>
      </c>
      <c r="J375" s="333">
        <v>2.68</v>
      </c>
      <c r="K375" s="332">
        <v>13.6</v>
      </c>
      <c r="L375" s="332">
        <v>0.9</v>
      </c>
      <c r="M375" s="332" t="s">
        <v>207</v>
      </c>
      <c r="N375" s="332">
        <v>2012</v>
      </c>
      <c r="O375" s="332" t="s">
        <v>69</v>
      </c>
      <c r="P375" s="332">
        <v>978452</v>
      </c>
      <c r="Q375" s="335" t="s">
        <v>554</v>
      </c>
      <c r="R375" s="335" t="s">
        <v>302</v>
      </c>
      <c r="S375" s="335"/>
    </row>
    <row r="376" spans="1:19" x14ac:dyDescent="0.2">
      <c r="A376" s="335" t="s">
        <v>726</v>
      </c>
      <c r="B376" s="332">
        <v>17</v>
      </c>
      <c r="C376" s="332">
        <v>13</v>
      </c>
      <c r="D376" s="332">
        <v>18</v>
      </c>
      <c r="E376" s="332">
        <v>20</v>
      </c>
      <c r="F376" s="332">
        <v>52</v>
      </c>
      <c r="G376" s="332">
        <v>113</v>
      </c>
      <c r="H376" s="332">
        <v>16.399999999999999</v>
      </c>
      <c r="I376" s="333">
        <v>0.89</v>
      </c>
      <c r="J376" s="333">
        <v>2.66</v>
      </c>
      <c r="K376" s="332">
        <v>13.5</v>
      </c>
      <c r="L376" s="332">
        <v>1.1000000000000001</v>
      </c>
      <c r="M376" s="332" t="s">
        <v>207</v>
      </c>
      <c r="N376" s="332">
        <v>2012</v>
      </c>
      <c r="O376" s="332" t="s">
        <v>69</v>
      </c>
      <c r="P376" s="332">
        <v>942623</v>
      </c>
      <c r="Q376" s="335" t="s">
        <v>554</v>
      </c>
      <c r="R376" s="335" t="s">
        <v>219</v>
      </c>
      <c r="S376" s="335"/>
    </row>
    <row r="377" spans="1:19" x14ac:dyDescent="0.2">
      <c r="A377" s="335" t="s">
        <v>553</v>
      </c>
      <c r="B377" s="332">
        <v>6</v>
      </c>
      <c r="C377" s="332">
        <v>4</v>
      </c>
      <c r="D377" s="332">
        <v>6</v>
      </c>
      <c r="E377" s="332">
        <v>14</v>
      </c>
      <c r="F377" s="332">
        <v>18</v>
      </c>
      <c r="G377" s="332">
        <v>56</v>
      </c>
      <c r="H377" s="332">
        <v>9.3000000000000007</v>
      </c>
      <c r="I377" s="333">
        <v>0.42</v>
      </c>
      <c r="J377" s="333">
        <v>1.6400000000000001</v>
      </c>
      <c r="K377" s="332">
        <v>5.9</v>
      </c>
      <c r="L377" s="332">
        <v>1</v>
      </c>
      <c r="M377" s="332" t="s">
        <v>207</v>
      </c>
      <c r="N377" s="332">
        <v>2012</v>
      </c>
      <c r="O377" s="332" t="s">
        <v>69</v>
      </c>
      <c r="P377" s="332">
        <v>830885</v>
      </c>
      <c r="Q377" s="335" t="s">
        <v>554</v>
      </c>
      <c r="R377" s="335" t="s">
        <v>1108</v>
      </c>
      <c r="S377" s="335"/>
    </row>
    <row r="378" spans="1:19" x14ac:dyDescent="0.2">
      <c r="A378" s="335" t="s">
        <v>658</v>
      </c>
      <c r="B378" s="332">
        <v>0</v>
      </c>
      <c r="C378" s="332">
        <v>-2</v>
      </c>
      <c r="D378" s="332">
        <v>0</v>
      </c>
      <c r="E378" s="332">
        <v>16</v>
      </c>
      <c r="F378" s="332">
        <v>45</v>
      </c>
      <c r="G378" s="332">
        <v>61</v>
      </c>
      <c r="H378" s="332">
        <v>10</v>
      </c>
      <c r="I378" s="333">
        <v>0.42</v>
      </c>
      <c r="J378" s="333">
        <v>1.82</v>
      </c>
      <c r="K378" s="332">
        <v>9</v>
      </c>
      <c r="L378" s="332">
        <v>1.4000000000000001</v>
      </c>
      <c r="M378" s="332" t="s">
        <v>207</v>
      </c>
      <c r="N378" s="332">
        <v>2012</v>
      </c>
      <c r="O378" s="332" t="s">
        <v>69</v>
      </c>
      <c r="P378" s="332">
        <v>906792</v>
      </c>
      <c r="Q378" s="335" t="s">
        <v>554</v>
      </c>
      <c r="R378" s="335" t="s">
        <v>1103</v>
      </c>
      <c r="S378" s="335"/>
    </row>
    <row r="379" spans="1:19" x14ac:dyDescent="0.2">
      <c r="A379" s="335" t="s">
        <v>725</v>
      </c>
      <c r="B379" s="332">
        <v>5</v>
      </c>
      <c r="C379" s="332">
        <v>0</v>
      </c>
      <c r="D379" s="332">
        <v>4</v>
      </c>
      <c r="E379" s="332">
        <v>17</v>
      </c>
      <c r="F379" s="332">
        <v>36</v>
      </c>
      <c r="G379" s="332">
        <v>74</v>
      </c>
      <c r="H379" s="332">
        <v>11.700000000000001</v>
      </c>
      <c r="I379" s="333">
        <v>0.89</v>
      </c>
      <c r="J379" s="333">
        <v>2.67</v>
      </c>
      <c r="K379" s="332">
        <v>12.3</v>
      </c>
      <c r="L379" s="332">
        <v>0.9</v>
      </c>
      <c r="M379" s="332" t="s">
        <v>207</v>
      </c>
      <c r="N379" s="332">
        <v>2012</v>
      </c>
      <c r="O379" s="332" t="s">
        <v>69</v>
      </c>
      <c r="P379" s="332">
        <v>870964</v>
      </c>
      <c r="Q379" s="335" t="s">
        <v>554</v>
      </c>
      <c r="R379" s="335" t="s">
        <v>185</v>
      </c>
      <c r="S379" s="335"/>
    </row>
    <row r="380" spans="1:19" x14ac:dyDescent="0.2">
      <c r="A380" s="335" t="s">
        <v>936</v>
      </c>
      <c r="B380" s="332">
        <v>-7</v>
      </c>
      <c r="C380" s="332">
        <v>-6</v>
      </c>
      <c r="D380" s="332">
        <v>-3</v>
      </c>
      <c r="E380" s="332">
        <v>11</v>
      </c>
      <c r="F380" s="332">
        <v>-43</v>
      </c>
      <c r="G380" s="332">
        <v>-30</v>
      </c>
      <c r="H380" s="332">
        <v>-6.9</v>
      </c>
      <c r="I380" s="333">
        <v>0.70000000000000007</v>
      </c>
      <c r="J380" s="333">
        <v>2</v>
      </c>
      <c r="K380" s="332">
        <v>18.900000000000002</v>
      </c>
      <c r="L380" s="332">
        <v>-0.9</v>
      </c>
      <c r="M380" s="332" t="s">
        <v>300</v>
      </c>
      <c r="N380" s="332">
        <v>2013</v>
      </c>
      <c r="O380" s="332" t="s">
        <v>69</v>
      </c>
      <c r="P380" s="332">
        <v>526590</v>
      </c>
      <c r="Q380" s="335" t="s">
        <v>600</v>
      </c>
      <c r="R380" s="335" t="s">
        <v>1110</v>
      </c>
      <c r="S380" s="335"/>
    </row>
    <row r="381" spans="1:19" x14ac:dyDescent="0.2">
      <c r="A381" s="335" t="s">
        <v>1130</v>
      </c>
      <c r="B381" s="332">
        <v>12</v>
      </c>
      <c r="C381" s="332">
        <v>9</v>
      </c>
      <c r="D381" s="332">
        <v>16</v>
      </c>
      <c r="E381" s="332">
        <v>20</v>
      </c>
      <c r="F381" s="332">
        <v>35</v>
      </c>
      <c r="G381" s="332">
        <v>100</v>
      </c>
      <c r="H381" s="332">
        <v>14.9</v>
      </c>
      <c r="I381" s="333">
        <v>0.67</v>
      </c>
      <c r="J381" s="333">
        <v>1.6400000000000001</v>
      </c>
      <c r="K381" s="332">
        <v>12.6</v>
      </c>
      <c r="L381" s="332">
        <v>0.9</v>
      </c>
      <c r="M381" s="332" t="s">
        <v>207</v>
      </c>
      <c r="N381" s="332">
        <v>2001</v>
      </c>
      <c r="O381" s="332" t="s">
        <v>69</v>
      </c>
      <c r="P381" s="332">
        <v>899773</v>
      </c>
      <c r="Q381" s="335" t="s">
        <v>800</v>
      </c>
      <c r="R381" s="335" t="s">
        <v>219</v>
      </c>
      <c r="S381" s="335"/>
    </row>
    <row r="382" spans="1:19" x14ac:dyDescent="0.2">
      <c r="A382" s="335" t="s">
        <v>306</v>
      </c>
      <c r="B382" s="332">
        <v>1</v>
      </c>
      <c r="C382" s="332">
        <v>2</v>
      </c>
      <c r="D382" s="332">
        <v>0</v>
      </c>
      <c r="E382" s="332">
        <v>4</v>
      </c>
      <c r="F382" s="332">
        <v>16</v>
      </c>
      <c r="G382" s="332">
        <v>29</v>
      </c>
      <c r="H382" s="332">
        <v>5.2</v>
      </c>
      <c r="I382" s="333">
        <v>0.26</v>
      </c>
      <c r="J382" s="333">
        <v>0.65</v>
      </c>
      <c r="K382" s="332">
        <v>6.5</v>
      </c>
      <c r="L382" s="332">
        <v>0.8</v>
      </c>
      <c r="M382" s="332" t="s">
        <v>207</v>
      </c>
      <c r="N382" s="332">
        <v>2000</v>
      </c>
      <c r="O382" s="332" t="s">
        <v>69</v>
      </c>
      <c r="P382" s="332">
        <v>426726</v>
      </c>
      <c r="Q382" s="335" t="s">
        <v>202</v>
      </c>
      <c r="R382" s="335" t="s">
        <v>1108</v>
      </c>
      <c r="S382" s="335"/>
    </row>
    <row r="383" spans="1:19" x14ac:dyDescent="0.2">
      <c r="A383" s="335" t="s">
        <v>757</v>
      </c>
      <c r="B383" s="332">
        <v>13</v>
      </c>
      <c r="C383" s="332">
        <v>10</v>
      </c>
      <c r="D383" s="332">
        <v>16</v>
      </c>
      <c r="E383" s="332">
        <v>20</v>
      </c>
      <c r="F383" s="332">
        <v>34</v>
      </c>
      <c r="G383" s="332">
        <v>109</v>
      </c>
      <c r="H383" s="332">
        <v>15.9</v>
      </c>
      <c r="I383" s="333">
        <v>0.70000000000000007</v>
      </c>
      <c r="J383" s="333">
        <v>1.7</v>
      </c>
      <c r="K383" s="332">
        <v>13.200000000000001</v>
      </c>
      <c r="L383" s="332">
        <v>0.8</v>
      </c>
      <c r="M383" s="332" t="s">
        <v>207</v>
      </c>
      <c r="N383" s="332">
        <v>2008</v>
      </c>
      <c r="O383" s="332" t="s">
        <v>69</v>
      </c>
      <c r="P383" s="332">
        <v>188482</v>
      </c>
      <c r="Q383" s="335" t="s">
        <v>476</v>
      </c>
      <c r="R383" s="335" t="s">
        <v>219</v>
      </c>
      <c r="S383" s="335"/>
    </row>
    <row r="384" spans="1:19" x14ac:dyDescent="0.2">
      <c r="A384" s="335" t="s">
        <v>754</v>
      </c>
      <c r="B384" s="332">
        <v>5</v>
      </c>
      <c r="C384" s="332">
        <v>4</v>
      </c>
      <c r="D384" s="332">
        <v>5</v>
      </c>
      <c r="E384" s="332">
        <v>13</v>
      </c>
      <c r="F384" s="332">
        <v>24</v>
      </c>
      <c r="G384" s="332">
        <v>60</v>
      </c>
      <c r="H384" s="332">
        <v>9.9</v>
      </c>
      <c r="I384" s="333">
        <v>0.42</v>
      </c>
      <c r="J384" s="333">
        <v>1.58</v>
      </c>
      <c r="K384" s="332">
        <v>6</v>
      </c>
      <c r="L384" s="332">
        <v>1.2</v>
      </c>
      <c r="M384" s="332" t="s">
        <v>207</v>
      </c>
      <c r="N384" s="332">
        <v>2008</v>
      </c>
      <c r="O384" s="332" t="s">
        <v>69</v>
      </c>
      <c r="P384" s="332">
        <v>873505</v>
      </c>
      <c r="Q384" s="335" t="s">
        <v>476</v>
      </c>
      <c r="R384" s="335" t="s">
        <v>1108</v>
      </c>
      <c r="S384" s="335"/>
    </row>
    <row r="385" spans="1:19" x14ac:dyDescent="0.2">
      <c r="A385" s="335" t="s">
        <v>760</v>
      </c>
      <c r="B385" s="332">
        <v>17</v>
      </c>
      <c r="C385" s="332">
        <v>12</v>
      </c>
      <c r="D385" s="332">
        <v>20</v>
      </c>
      <c r="E385" s="332">
        <v>14</v>
      </c>
      <c r="F385" s="332">
        <v>39</v>
      </c>
      <c r="G385" s="332">
        <v>134</v>
      </c>
      <c r="H385" s="332">
        <v>18.5</v>
      </c>
      <c r="I385" s="333">
        <v>0.75</v>
      </c>
      <c r="J385" s="333">
        <v>1.84</v>
      </c>
      <c r="K385" s="332">
        <v>14.5</v>
      </c>
      <c r="L385" s="332">
        <v>0.8</v>
      </c>
      <c r="M385" s="332" t="s">
        <v>207</v>
      </c>
      <c r="N385" s="332">
        <v>2008</v>
      </c>
      <c r="O385" s="332" t="s">
        <v>69</v>
      </c>
      <c r="P385" s="332">
        <v>152652</v>
      </c>
      <c r="Q385" s="335" t="s">
        <v>476</v>
      </c>
      <c r="R385" s="335" t="s">
        <v>1111</v>
      </c>
      <c r="S385" s="335"/>
    </row>
    <row r="386" spans="1:19" x14ac:dyDescent="0.2">
      <c r="A386" s="335" t="s">
        <v>625</v>
      </c>
      <c r="B386" s="332">
        <v>8</v>
      </c>
      <c r="C386" s="332">
        <v>3</v>
      </c>
      <c r="D386" s="332">
        <v>8</v>
      </c>
      <c r="E386" s="332">
        <v>19</v>
      </c>
      <c r="F386" s="332">
        <v>56</v>
      </c>
      <c r="G386" s="332">
        <v>103</v>
      </c>
      <c r="H386" s="332">
        <v>15.200000000000001</v>
      </c>
      <c r="I386" s="333">
        <v>0.72</v>
      </c>
      <c r="J386" s="333">
        <v>1.78</v>
      </c>
      <c r="K386" s="332">
        <v>12.3</v>
      </c>
      <c r="L386" s="332">
        <v>1.3</v>
      </c>
      <c r="M386" s="332" t="s">
        <v>207</v>
      </c>
      <c r="N386" s="332">
        <v>2008</v>
      </c>
      <c r="O386" s="332" t="s">
        <v>69</v>
      </c>
      <c r="P386" s="332">
        <v>224311</v>
      </c>
      <c r="Q386" s="335" t="s">
        <v>476</v>
      </c>
      <c r="R386" s="335" t="s">
        <v>185</v>
      </c>
      <c r="S386" s="335" t="s">
        <v>166</v>
      </c>
    </row>
    <row r="387" spans="1:19" x14ac:dyDescent="0.2">
      <c r="A387" s="335" t="s">
        <v>752</v>
      </c>
      <c r="B387" s="332">
        <v>3</v>
      </c>
      <c r="C387" s="332">
        <v>1</v>
      </c>
      <c r="D387" s="332">
        <v>2</v>
      </c>
      <c r="E387" s="332">
        <v>11</v>
      </c>
      <c r="F387" s="332">
        <v>27</v>
      </c>
      <c r="G387" s="332">
        <v>55</v>
      </c>
      <c r="H387" s="332">
        <v>9.2000000000000011</v>
      </c>
      <c r="I387" s="333">
        <v>0.42</v>
      </c>
      <c r="J387" s="333">
        <v>1.24</v>
      </c>
      <c r="K387" s="332">
        <v>8</v>
      </c>
      <c r="L387" s="332">
        <v>1.1000000000000001</v>
      </c>
      <c r="M387" s="332" t="s">
        <v>207</v>
      </c>
      <c r="N387" s="332">
        <v>2008</v>
      </c>
      <c r="O387" s="332" t="s">
        <v>69</v>
      </c>
      <c r="P387" s="332">
        <v>945162</v>
      </c>
      <c r="Q387" s="335" t="s">
        <v>476</v>
      </c>
      <c r="R387" s="335" t="s">
        <v>1103</v>
      </c>
      <c r="S387" s="335"/>
    </row>
    <row r="388" spans="1:19" x14ac:dyDescent="0.2">
      <c r="A388" s="335" t="s">
        <v>758</v>
      </c>
      <c r="B388" s="332">
        <v>3</v>
      </c>
      <c r="C388" s="332">
        <v>-2</v>
      </c>
      <c r="D388" s="332">
        <v>3</v>
      </c>
      <c r="E388" s="332">
        <v>17</v>
      </c>
      <c r="F388" s="332">
        <v>61</v>
      </c>
      <c r="G388" s="332">
        <v>90</v>
      </c>
      <c r="H388" s="332">
        <v>13.700000000000001</v>
      </c>
      <c r="I388" s="333">
        <v>0.79</v>
      </c>
      <c r="J388" s="333">
        <v>1.96</v>
      </c>
      <c r="K388" s="332">
        <v>15.4</v>
      </c>
      <c r="L388" s="332">
        <v>1.1000000000000001</v>
      </c>
      <c r="M388" s="332" t="s">
        <v>207</v>
      </c>
      <c r="N388" s="332">
        <v>2008</v>
      </c>
      <c r="O388" s="332" t="s">
        <v>69</v>
      </c>
      <c r="P388" s="332">
        <v>367631</v>
      </c>
      <c r="Q388" s="335" t="s">
        <v>476</v>
      </c>
      <c r="R388" s="335" t="s">
        <v>205</v>
      </c>
      <c r="S388" s="335"/>
    </row>
    <row r="389" spans="1:19" x14ac:dyDescent="0.2">
      <c r="A389" s="335" t="s">
        <v>715</v>
      </c>
      <c r="B389" s="332">
        <v>-3</v>
      </c>
      <c r="C389" s="332">
        <v>-5</v>
      </c>
      <c r="D389" s="332">
        <v>-3</v>
      </c>
      <c r="E389" s="332">
        <v>13</v>
      </c>
      <c r="F389" s="332">
        <v>59</v>
      </c>
      <c r="G389" s="332">
        <v>130</v>
      </c>
      <c r="H389" s="332">
        <v>18.100000000000001</v>
      </c>
      <c r="I389" s="333">
        <v>0.89</v>
      </c>
      <c r="J389" s="333">
        <v>2.63</v>
      </c>
      <c r="K389" s="332">
        <v>14.4</v>
      </c>
      <c r="L389" s="332">
        <v>1.2</v>
      </c>
      <c r="M389" s="332" t="s">
        <v>207</v>
      </c>
      <c r="N389" s="332">
        <v>2012</v>
      </c>
      <c r="O389" s="332" t="s">
        <v>69</v>
      </c>
      <c r="P389" s="332">
        <v>866715</v>
      </c>
      <c r="Q389" s="335" t="s">
        <v>554</v>
      </c>
      <c r="R389" s="335" t="s">
        <v>1112</v>
      </c>
      <c r="S389" s="335"/>
    </row>
    <row r="390" spans="1:19" x14ac:dyDescent="0.2">
      <c r="A390" s="335" t="s">
        <v>723</v>
      </c>
      <c r="B390" s="332">
        <v>16</v>
      </c>
      <c r="C390" s="332">
        <v>7</v>
      </c>
      <c r="D390" s="332">
        <v>11</v>
      </c>
      <c r="E390" s="332">
        <v>32</v>
      </c>
      <c r="F390" s="332">
        <v>62</v>
      </c>
      <c r="G390" s="332">
        <v>89</v>
      </c>
      <c r="H390" s="332">
        <v>13.5</v>
      </c>
      <c r="I390" s="333">
        <v>0.89</v>
      </c>
      <c r="J390" s="333">
        <v>2.69</v>
      </c>
      <c r="K390" s="332">
        <v>14</v>
      </c>
      <c r="L390" s="332">
        <v>1.2</v>
      </c>
      <c r="M390" s="332" t="s">
        <v>207</v>
      </c>
      <c r="N390" s="332">
        <v>2012</v>
      </c>
      <c r="O390" s="332" t="s">
        <v>69</v>
      </c>
      <c r="P390" s="332">
        <v>795054</v>
      </c>
      <c r="Q390" s="335" t="s">
        <v>554</v>
      </c>
      <c r="R390" s="335" t="s">
        <v>1113</v>
      </c>
      <c r="S390" s="335"/>
    </row>
    <row r="391" spans="1:19" x14ac:dyDescent="0.2">
      <c r="A391" s="335" t="s">
        <v>651</v>
      </c>
      <c r="B391" s="332">
        <v>12</v>
      </c>
      <c r="C391" s="332">
        <v>8</v>
      </c>
      <c r="D391" s="332">
        <v>17</v>
      </c>
      <c r="E391" s="332">
        <v>26</v>
      </c>
      <c r="F391" s="332">
        <v>46</v>
      </c>
      <c r="G391" s="332">
        <v>121</v>
      </c>
      <c r="H391" s="332">
        <v>17.2</v>
      </c>
      <c r="I391" s="333">
        <v>0.8</v>
      </c>
      <c r="J391" s="333">
        <v>2</v>
      </c>
      <c r="K391" s="332">
        <v>14.1</v>
      </c>
      <c r="L391" s="332">
        <v>1</v>
      </c>
      <c r="M391" s="332" t="s">
        <v>207</v>
      </c>
      <c r="N391" s="332">
        <v>2001</v>
      </c>
      <c r="O391" s="332" t="s">
        <v>69</v>
      </c>
      <c r="P391" s="332">
        <v>237834</v>
      </c>
      <c r="Q391" s="335" t="s">
        <v>646</v>
      </c>
      <c r="R391" s="335" t="s">
        <v>325</v>
      </c>
      <c r="S391" s="335"/>
    </row>
    <row r="392" spans="1:19" x14ac:dyDescent="0.2">
      <c r="A392" s="335" t="s">
        <v>944</v>
      </c>
      <c r="B392" s="332">
        <v>15</v>
      </c>
      <c r="C392" s="332">
        <v>13</v>
      </c>
      <c r="D392" s="332">
        <v>13</v>
      </c>
      <c r="E392" s="332">
        <v>36</v>
      </c>
      <c r="F392" s="332">
        <v>56</v>
      </c>
      <c r="G392" s="332">
        <v>67</v>
      </c>
      <c r="H392" s="332">
        <v>10.9</v>
      </c>
      <c r="I392" s="333">
        <v>0.89</v>
      </c>
      <c r="J392" s="333">
        <v>2.27</v>
      </c>
      <c r="K392" s="332">
        <v>8.9</v>
      </c>
      <c r="L392" s="332">
        <v>1.7</v>
      </c>
      <c r="M392" s="332" t="s">
        <v>207</v>
      </c>
      <c r="N392" s="332">
        <v>2010</v>
      </c>
      <c r="O392" s="332" t="s">
        <v>69</v>
      </c>
      <c r="P392" s="332">
        <v>772038</v>
      </c>
      <c r="Q392" s="335" t="s">
        <v>915</v>
      </c>
      <c r="R392" s="335" t="s">
        <v>328</v>
      </c>
      <c r="S392" s="335"/>
    </row>
    <row r="393" spans="1:19" x14ac:dyDescent="0.2">
      <c r="A393" s="335" t="s">
        <v>961</v>
      </c>
      <c r="B393" s="332">
        <v>19</v>
      </c>
      <c r="C393" s="332">
        <v>11</v>
      </c>
      <c r="D393" s="332">
        <v>21</v>
      </c>
      <c r="E393" s="332">
        <v>30</v>
      </c>
      <c r="F393" s="332">
        <v>24</v>
      </c>
      <c r="G393" s="332">
        <v>72</v>
      </c>
      <c r="H393" s="332">
        <v>11.5</v>
      </c>
      <c r="I393" s="333">
        <v>0.85</v>
      </c>
      <c r="J393" s="333">
        <v>2.13</v>
      </c>
      <c r="K393" s="332">
        <v>11.9</v>
      </c>
      <c r="L393" s="332">
        <v>0.70000000000000007</v>
      </c>
      <c r="M393" s="332" t="s">
        <v>207</v>
      </c>
      <c r="N393" s="332">
        <v>2013</v>
      </c>
      <c r="O393" s="332" t="s">
        <v>69</v>
      </c>
      <c r="P393" s="332">
        <v>161620</v>
      </c>
      <c r="Q393" s="335" t="s">
        <v>915</v>
      </c>
      <c r="R393" s="335" t="s">
        <v>328</v>
      </c>
      <c r="S393" s="335"/>
    </row>
    <row r="394" spans="1:19" x14ac:dyDescent="0.2">
      <c r="A394" s="335" t="s">
        <v>857</v>
      </c>
      <c r="B394" s="332">
        <v>4</v>
      </c>
      <c r="C394" s="332">
        <v>0</v>
      </c>
      <c r="D394" s="332">
        <v>4</v>
      </c>
      <c r="E394" s="332">
        <v>19</v>
      </c>
      <c r="F394" s="332">
        <v>40</v>
      </c>
      <c r="G394" s="332">
        <v>86</v>
      </c>
      <c r="H394" s="332">
        <v>13.3</v>
      </c>
      <c r="I394" s="333">
        <v>0.85</v>
      </c>
      <c r="J394" s="333">
        <v>2.8000000000000003</v>
      </c>
      <c r="K394" s="332">
        <v>12.9</v>
      </c>
      <c r="L394" s="332">
        <v>0.9</v>
      </c>
      <c r="M394" s="332" t="s">
        <v>207</v>
      </c>
      <c r="N394" s="332">
        <v>2008</v>
      </c>
      <c r="O394" s="332" t="s">
        <v>69</v>
      </c>
      <c r="P394" s="332">
        <v>405290</v>
      </c>
      <c r="Q394" s="335" t="s">
        <v>579</v>
      </c>
      <c r="R394" s="335" t="s">
        <v>185</v>
      </c>
      <c r="S394" s="335"/>
    </row>
    <row r="395" spans="1:19" x14ac:dyDescent="0.2">
      <c r="A395" s="335" t="s">
        <v>845</v>
      </c>
      <c r="B395" s="332">
        <v>6</v>
      </c>
      <c r="C395" s="332">
        <v>5</v>
      </c>
      <c r="D395" s="332">
        <v>5</v>
      </c>
      <c r="E395" s="332">
        <v>11</v>
      </c>
      <c r="F395" s="332">
        <v>22</v>
      </c>
      <c r="G395" s="332">
        <v>46</v>
      </c>
      <c r="H395" s="332">
        <v>7.9</v>
      </c>
      <c r="I395" s="333">
        <v>0.6</v>
      </c>
      <c r="J395" s="333">
        <v>1.6500000000000001</v>
      </c>
      <c r="K395" s="332">
        <v>7.2</v>
      </c>
      <c r="L395" s="332">
        <v>1</v>
      </c>
      <c r="M395" s="332" t="s">
        <v>207</v>
      </c>
      <c r="N395" s="332">
        <v>2000</v>
      </c>
      <c r="O395" s="332" t="s">
        <v>69</v>
      </c>
      <c r="P395" s="332">
        <v>996348</v>
      </c>
      <c r="Q395" s="335" t="s">
        <v>579</v>
      </c>
      <c r="R395" s="335" t="s">
        <v>1089</v>
      </c>
      <c r="S395" s="335"/>
    </row>
    <row r="396" spans="1:19" x14ac:dyDescent="0.2">
      <c r="A396" s="335" t="s">
        <v>464</v>
      </c>
      <c r="B396" s="332">
        <v>4</v>
      </c>
      <c r="C396" s="332">
        <v>3</v>
      </c>
      <c r="D396" s="332">
        <v>3</v>
      </c>
      <c r="E396" s="332">
        <v>9</v>
      </c>
      <c r="F396" s="332">
        <v>14</v>
      </c>
      <c r="G396" s="332">
        <v>38</v>
      </c>
      <c r="H396" s="332">
        <v>6.7</v>
      </c>
      <c r="I396" s="333">
        <v>0.42</v>
      </c>
      <c r="J396" s="333">
        <v>2.1</v>
      </c>
      <c r="K396" s="332">
        <v>5.7</v>
      </c>
      <c r="L396" s="332">
        <v>0.8</v>
      </c>
      <c r="M396" s="332" t="s">
        <v>207</v>
      </c>
      <c r="N396" s="332">
        <v>2009</v>
      </c>
      <c r="O396" s="332" t="s">
        <v>69</v>
      </c>
      <c r="P396" s="332">
        <v>838268</v>
      </c>
      <c r="Q396" s="335" t="s">
        <v>465</v>
      </c>
      <c r="R396" s="335" t="s">
        <v>1108</v>
      </c>
      <c r="S396" s="335"/>
    </row>
    <row r="397" spans="1:19" x14ac:dyDescent="0.2">
      <c r="A397" s="335" t="s">
        <v>471</v>
      </c>
      <c r="B397" s="332">
        <v>5</v>
      </c>
      <c r="C397" s="332">
        <v>4</v>
      </c>
      <c r="D397" s="332">
        <v>5</v>
      </c>
      <c r="E397" s="332">
        <v>14</v>
      </c>
      <c r="F397" s="332">
        <v>19</v>
      </c>
      <c r="G397" s="332">
        <v>56</v>
      </c>
      <c r="H397" s="332">
        <v>9.3000000000000007</v>
      </c>
      <c r="I397" s="333">
        <v>0.42</v>
      </c>
      <c r="J397" s="333">
        <v>2.15</v>
      </c>
      <c r="K397" s="332">
        <v>6.4</v>
      </c>
      <c r="L397" s="332">
        <v>1</v>
      </c>
      <c r="M397" s="332" t="s">
        <v>207</v>
      </c>
      <c r="N397" s="332">
        <v>2000</v>
      </c>
      <c r="O397" s="332" t="s">
        <v>69</v>
      </c>
      <c r="P397" s="332">
        <v>930768</v>
      </c>
      <c r="Q397" s="335" t="s">
        <v>465</v>
      </c>
      <c r="R397" s="335" t="s">
        <v>1108</v>
      </c>
      <c r="S397" s="335"/>
    </row>
    <row r="398" spans="1:19" x14ac:dyDescent="0.2">
      <c r="A398" s="335" t="s">
        <v>521</v>
      </c>
      <c r="B398" s="332">
        <v>7</v>
      </c>
      <c r="C398" s="332">
        <v>7</v>
      </c>
      <c r="D398" s="332">
        <v>12</v>
      </c>
      <c r="E398" s="332">
        <v>2</v>
      </c>
      <c r="F398" s="332">
        <v>31</v>
      </c>
      <c r="G398" s="332">
        <v>91</v>
      </c>
      <c r="H398" s="332">
        <v>13.8</v>
      </c>
      <c r="I398" s="333">
        <v>0.89</v>
      </c>
      <c r="J398" s="333">
        <v>2.7</v>
      </c>
      <c r="K398" s="332">
        <v>16</v>
      </c>
      <c r="L398" s="332">
        <v>0.70000000000000007</v>
      </c>
      <c r="M398" s="332" t="s">
        <v>207</v>
      </c>
      <c r="N398" s="332">
        <v>2000</v>
      </c>
      <c r="O398" s="332" t="s">
        <v>69</v>
      </c>
      <c r="P398" s="332">
        <v>353235</v>
      </c>
      <c r="Q398" s="335" t="s">
        <v>465</v>
      </c>
      <c r="R398" s="335" t="s">
        <v>1114</v>
      </c>
      <c r="S398" s="335"/>
    </row>
    <row r="399" spans="1:19" x14ac:dyDescent="0.2">
      <c r="A399" s="335" t="s">
        <v>494</v>
      </c>
      <c r="B399" s="332">
        <v>21</v>
      </c>
      <c r="C399" s="332">
        <v>9</v>
      </c>
      <c r="D399" s="332">
        <v>16</v>
      </c>
      <c r="E399" s="332">
        <v>33</v>
      </c>
      <c r="F399" s="332">
        <v>85</v>
      </c>
      <c r="G399" s="332">
        <v>156</v>
      </c>
      <c r="H399" s="332">
        <v>20.6</v>
      </c>
      <c r="I399" s="333">
        <v>0.89</v>
      </c>
      <c r="J399" s="333">
        <v>2.7</v>
      </c>
      <c r="K399" s="332">
        <v>16.3</v>
      </c>
      <c r="L399" s="332">
        <v>1.4000000000000001</v>
      </c>
      <c r="M399" s="332" t="s">
        <v>207</v>
      </c>
      <c r="N399" s="332">
        <v>2000</v>
      </c>
      <c r="O399" s="332" t="s">
        <v>69</v>
      </c>
      <c r="P399" s="332">
        <v>174086</v>
      </c>
      <c r="Q399" s="335" t="s">
        <v>465</v>
      </c>
      <c r="R399" s="335" t="s">
        <v>1112</v>
      </c>
      <c r="S399" s="335"/>
    </row>
    <row r="400" spans="1:19" x14ac:dyDescent="0.2">
      <c r="A400" s="335" t="s">
        <v>982</v>
      </c>
      <c r="B400" s="332">
        <v>-2</v>
      </c>
      <c r="C400" s="332">
        <v>-2</v>
      </c>
      <c r="D400" s="332">
        <v>-2</v>
      </c>
      <c r="E400" s="332">
        <v>9</v>
      </c>
      <c r="F400" s="332">
        <v>35</v>
      </c>
      <c r="G400" s="332">
        <v>34</v>
      </c>
      <c r="H400" s="332">
        <v>6.1000000000000005</v>
      </c>
      <c r="I400" s="333">
        <v>0.57000000000000006</v>
      </c>
      <c r="J400" s="333">
        <v>1.35</v>
      </c>
      <c r="K400" s="332">
        <v>10.1</v>
      </c>
      <c r="L400" s="332">
        <v>1.1000000000000001</v>
      </c>
      <c r="M400" s="332" t="s">
        <v>207</v>
      </c>
      <c r="N400" s="332">
        <v>2010</v>
      </c>
      <c r="O400" s="332" t="s">
        <v>69</v>
      </c>
      <c r="P400" s="332">
        <v>809699</v>
      </c>
      <c r="Q400" s="335" t="s">
        <v>800</v>
      </c>
      <c r="R400" s="335" t="s">
        <v>1089</v>
      </c>
      <c r="S400" s="335"/>
    </row>
    <row r="401" spans="1:19" x14ac:dyDescent="0.2">
      <c r="A401" s="335" t="s">
        <v>559</v>
      </c>
      <c r="B401" s="332">
        <v>12</v>
      </c>
      <c r="C401" s="332">
        <v>10</v>
      </c>
      <c r="D401" s="332">
        <v>15</v>
      </c>
      <c r="E401" s="332">
        <v>16</v>
      </c>
      <c r="F401" s="332">
        <v>36</v>
      </c>
      <c r="G401" s="332">
        <v>99</v>
      </c>
      <c r="H401" s="332">
        <v>14.8</v>
      </c>
      <c r="I401" s="333">
        <v>0.62</v>
      </c>
      <c r="J401" s="333">
        <v>1.6500000000000001</v>
      </c>
      <c r="K401" s="332">
        <v>11.9</v>
      </c>
      <c r="L401" s="332">
        <v>0.9</v>
      </c>
      <c r="M401" s="332" t="s">
        <v>207</v>
      </c>
      <c r="N401" s="332">
        <v>2003</v>
      </c>
      <c r="O401" s="332" t="s">
        <v>69</v>
      </c>
      <c r="P401" s="332">
        <v>810465</v>
      </c>
      <c r="Q401" s="335" t="s">
        <v>1013</v>
      </c>
      <c r="R401" s="335" t="s">
        <v>219</v>
      </c>
      <c r="S401" s="335" t="s">
        <v>166</v>
      </c>
    </row>
    <row r="402" spans="1:19" x14ac:dyDescent="0.2">
      <c r="A402" s="335" t="s">
        <v>299</v>
      </c>
      <c r="B402" s="332">
        <v>0</v>
      </c>
      <c r="C402" s="332">
        <v>-3</v>
      </c>
      <c r="D402" s="332">
        <v>-2</v>
      </c>
      <c r="E402" s="332">
        <v>7</v>
      </c>
      <c r="F402" s="332">
        <v>0</v>
      </c>
      <c r="G402" s="332">
        <v>6</v>
      </c>
      <c r="H402" s="332">
        <v>1.1000000000000001</v>
      </c>
      <c r="I402" s="333">
        <v>0.26</v>
      </c>
      <c r="J402" s="333">
        <v>0.6</v>
      </c>
      <c r="K402" s="332">
        <v>7.8</v>
      </c>
      <c r="L402" s="332">
        <v>0.1</v>
      </c>
      <c r="M402" s="332" t="s">
        <v>300</v>
      </c>
      <c r="N402" s="332">
        <v>2001</v>
      </c>
      <c r="O402" s="332" t="s">
        <v>69</v>
      </c>
      <c r="P402" s="332">
        <v>111518</v>
      </c>
      <c r="Q402" s="335" t="s">
        <v>301</v>
      </c>
      <c r="R402" s="335" t="s">
        <v>1109</v>
      </c>
      <c r="S402" s="335"/>
    </row>
    <row r="403" spans="1:19" x14ac:dyDescent="0.2">
      <c r="A403" s="335" t="s">
        <v>1142</v>
      </c>
      <c r="B403" s="332">
        <v>1</v>
      </c>
      <c r="C403" s="332">
        <v>-1</v>
      </c>
      <c r="D403" s="332">
        <v>3</v>
      </c>
      <c r="E403" s="332">
        <v>19</v>
      </c>
      <c r="F403" s="332">
        <v>36</v>
      </c>
      <c r="G403" s="332">
        <v>98</v>
      </c>
      <c r="H403" s="332">
        <v>14.6</v>
      </c>
      <c r="I403" s="333">
        <v>0.81</v>
      </c>
      <c r="J403" s="333">
        <v>2.02</v>
      </c>
      <c r="K403" s="332">
        <v>12.6</v>
      </c>
      <c r="L403" s="332">
        <v>0.9</v>
      </c>
      <c r="M403" s="332" t="s">
        <v>207</v>
      </c>
      <c r="N403" s="332">
        <v>2006</v>
      </c>
      <c r="O403" s="332" t="s">
        <v>69</v>
      </c>
      <c r="P403" s="332">
        <v>882068</v>
      </c>
      <c r="Q403" s="335" t="s">
        <v>387</v>
      </c>
      <c r="R403" s="335" t="s">
        <v>185</v>
      </c>
      <c r="S403" s="335" t="s">
        <v>166</v>
      </c>
    </row>
    <row r="404" spans="1:19" x14ac:dyDescent="0.2">
      <c r="A404" s="335" t="s">
        <v>713</v>
      </c>
      <c r="B404" s="332">
        <v>9</v>
      </c>
      <c r="C404" s="332">
        <v>3</v>
      </c>
      <c r="D404" s="332">
        <v>8</v>
      </c>
      <c r="E404" s="332">
        <v>17</v>
      </c>
      <c r="F404" s="332">
        <v>48</v>
      </c>
      <c r="G404" s="332">
        <v>88</v>
      </c>
      <c r="H404" s="332">
        <v>13.4</v>
      </c>
      <c r="I404" s="333">
        <v>0.81</v>
      </c>
      <c r="J404" s="333">
        <v>2.72</v>
      </c>
      <c r="K404" s="332">
        <v>11.200000000000001</v>
      </c>
      <c r="L404" s="332">
        <v>1.2</v>
      </c>
      <c r="M404" s="332" t="s">
        <v>207</v>
      </c>
      <c r="N404" s="332">
        <v>2000</v>
      </c>
      <c r="O404" s="332" t="s">
        <v>69</v>
      </c>
      <c r="P404" s="332">
        <v>189258</v>
      </c>
      <c r="Q404" s="335" t="s">
        <v>1013</v>
      </c>
      <c r="R404" s="335" t="s">
        <v>1110</v>
      </c>
      <c r="S404" s="335" t="s">
        <v>166</v>
      </c>
    </row>
    <row r="405" spans="1:19" x14ac:dyDescent="0.2">
      <c r="A405" s="335" t="s">
        <v>594</v>
      </c>
      <c r="B405" s="332">
        <v>13</v>
      </c>
      <c r="C405" s="332">
        <v>11</v>
      </c>
      <c r="D405" s="332">
        <v>15</v>
      </c>
      <c r="E405" s="332">
        <v>20</v>
      </c>
      <c r="F405" s="332">
        <v>40</v>
      </c>
      <c r="G405" s="332">
        <v>97</v>
      </c>
      <c r="H405" s="332">
        <v>14.6</v>
      </c>
      <c r="I405" s="333">
        <v>0.89</v>
      </c>
      <c r="J405" s="333">
        <v>6.2700000000000005</v>
      </c>
      <c r="K405" s="332">
        <v>11.1</v>
      </c>
      <c r="L405" s="332">
        <v>1.1000000000000001</v>
      </c>
      <c r="M405" s="332" t="s">
        <v>207</v>
      </c>
      <c r="N405" s="332">
        <v>2009</v>
      </c>
      <c r="O405" s="332" t="s">
        <v>69</v>
      </c>
      <c r="P405" s="332">
        <v>942094</v>
      </c>
      <c r="Q405" s="335" t="s">
        <v>595</v>
      </c>
      <c r="R405" s="335" t="s">
        <v>296</v>
      </c>
      <c r="S405" s="335"/>
    </row>
    <row r="406" spans="1:19" x14ac:dyDescent="0.2">
      <c r="A406" s="335" t="s">
        <v>837</v>
      </c>
      <c r="B406" s="332">
        <v>2</v>
      </c>
      <c r="C406" s="332">
        <v>4</v>
      </c>
      <c r="D406" s="332">
        <v>7</v>
      </c>
      <c r="E406" s="332">
        <v>10</v>
      </c>
      <c r="F406" s="332">
        <v>-18</v>
      </c>
      <c r="G406" s="332">
        <v>63</v>
      </c>
      <c r="H406" s="332">
        <v>10.200000000000001</v>
      </c>
      <c r="I406" s="333">
        <v>0.89</v>
      </c>
      <c r="J406" s="333">
        <v>2.74</v>
      </c>
      <c r="K406" s="332">
        <v>16.3</v>
      </c>
      <c r="L406" s="332">
        <v>-0.3</v>
      </c>
      <c r="M406" s="332" t="s">
        <v>207</v>
      </c>
      <c r="N406" s="332">
        <v>2014</v>
      </c>
      <c r="O406" s="332" t="s">
        <v>69</v>
      </c>
      <c r="P406" s="332">
        <v>266049</v>
      </c>
      <c r="Q406" s="335" t="s">
        <v>838</v>
      </c>
      <c r="R406" s="335" t="s">
        <v>302</v>
      </c>
      <c r="S406" s="335"/>
    </row>
    <row r="407" spans="1:19" x14ac:dyDescent="0.2">
      <c r="A407" s="335" t="s">
        <v>711</v>
      </c>
      <c r="B407" s="332">
        <v>5</v>
      </c>
      <c r="C407" s="332">
        <v>1</v>
      </c>
      <c r="D407" s="332">
        <v>6</v>
      </c>
      <c r="E407" s="332">
        <v>16</v>
      </c>
      <c r="F407" s="332">
        <v>31</v>
      </c>
      <c r="G407" s="332">
        <v>68</v>
      </c>
      <c r="H407" s="332">
        <v>10.9</v>
      </c>
      <c r="I407" s="333">
        <v>0.8</v>
      </c>
      <c r="J407" s="333">
        <v>2.59</v>
      </c>
      <c r="K407" s="332">
        <v>13.200000000000001</v>
      </c>
      <c r="L407" s="332">
        <v>0.8</v>
      </c>
      <c r="M407" s="332" t="s">
        <v>157</v>
      </c>
      <c r="N407" s="332">
        <v>2010</v>
      </c>
      <c r="O407" s="332" t="s">
        <v>158</v>
      </c>
      <c r="P407" s="332">
        <v>993097</v>
      </c>
      <c r="Q407" s="335" t="s">
        <v>859</v>
      </c>
      <c r="R407" s="335" t="s">
        <v>185</v>
      </c>
      <c r="S407" s="335"/>
    </row>
    <row r="408" spans="1:19" x14ac:dyDescent="0.2">
      <c r="A408" s="335" t="s">
        <v>688</v>
      </c>
      <c r="B408" s="332">
        <v>-5</v>
      </c>
      <c r="C408" s="332">
        <v>-3</v>
      </c>
      <c r="D408" s="332">
        <v>3</v>
      </c>
      <c r="E408" s="332">
        <v>31</v>
      </c>
      <c r="F408" s="332">
        <v>23</v>
      </c>
      <c r="G408" s="332">
        <v>15</v>
      </c>
      <c r="H408" s="332">
        <v>2.8000000000000003</v>
      </c>
      <c r="I408" s="333">
        <v>0.78</v>
      </c>
      <c r="J408" s="333">
        <v>2.19</v>
      </c>
      <c r="K408" s="332">
        <v>23.2</v>
      </c>
      <c r="L408" s="332">
        <v>0.4</v>
      </c>
      <c r="M408" s="332" t="s">
        <v>157</v>
      </c>
      <c r="N408" s="332">
        <v>2005</v>
      </c>
      <c r="O408" s="332" t="s">
        <v>158</v>
      </c>
      <c r="P408" s="332">
        <v>649491</v>
      </c>
      <c r="Q408" s="335" t="s">
        <v>859</v>
      </c>
      <c r="R408" s="335" t="s">
        <v>381</v>
      </c>
      <c r="S408" s="335"/>
    </row>
    <row r="409" spans="1:19" x14ac:dyDescent="0.2">
      <c r="A409" s="335" t="s">
        <v>962</v>
      </c>
      <c r="B409" s="332">
        <v>1</v>
      </c>
      <c r="C409" s="332">
        <v>1</v>
      </c>
      <c r="D409" s="332">
        <v>1</v>
      </c>
      <c r="E409" s="332">
        <v>2</v>
      </c>
      <c r="F409" s="332">
        <v>6</v>
      </c>
      <c r="G409" s="332">
        <v>12</v>
      </c>
      <c r="H409" s="332">
        <v>2.2000000000000002</v>
      </c>
      <c r="I409" s="333">
        <v>0.19</v>
      </c>
      <c r="J409" s="333">
        <v>0.75</v>
      </c>
      <c r="K409" s="332">
        <v>2.8000000000000003</v>
      </c>
      <c r="L409" s="332">
        <v>0.8</v>
      </c>
      <c r="M409" s="332" t="s">
        <v>157</v>
      </c>
      <c r="N409" s="332">
        <v>2016</v>
      </c>
      <c r="O409" s="332" t="s">
        <v>158</v>
      </c>
      <c r="P409" s="332">
        <v>524702</v>
      </c>
      <c r="Q409" s="335" t="s">
        <v>198</v>
      </c>
      <c r="R409" s="335" t="s">
        <v>1105</v>
      </c>
      <c r="S409" s="335" t="s">
        <v>166</v>
      </c>
    </row>
    <row r="410" spans="1:19" x14ac:dyDescent="0.2">
      <c r="A410" s="335" t="s">
        <v>892</v>
      </c>
      <c r="B410" s="332">
        <v>14</v>
      </c>
      <c r="C410" s="332">
        <v>9</v>
      </c>
      <c r="D410" s="332">
        <v>17</v>
      </c>
      <c r="E410" s="332">
        <v>24</v>
      </c>
      <c r="F410" s="332"/>
      <c r="G410" s="332"/>
      <c r="H410" s="332"/>
      <c r="I410" s="333">
        <v>0.16</v>
      </c>
      <c r="J410" s="333">
        <v>0.2</v>
      </c>
      <c r="K410" s="332"/>
      <c r="L410" s="332"/>
      <c r="M410" s="332" t="s">
        <v>157</v>
      </c>
      <c r="N410" s="332">
        <v>2015</v>
      </c>
      <c r="O410" s="332" t="s">
        <v>158</v>
      </c>
      <c r="P410" s="332">
        <v>719674</v>
      </c>
      <c r="Q410" s="335" t="s">
        <v>175</v>
      </c>
      <c r="R410" s="335" t="s">
        <v>223</v>
      </c>
      <c r="S410" s="335"/>
    </row>
    <row r="411" spans="1:19" x14ac:dyDescent="0.2">
      <c r="A411" s="335" t="s">
        <v>914</v>
      </c>
      <c r="B411" s="332">
        <v>7</v>
      </c>
      <c r="C411" s="332">
        <v>1</v>
      </c>
      <c r="D411" s="332">
        <v>7</v>
      </c>
      <c r="E411" s="332">
        <v>19</v>
      </c>
      <c r="F411" s="332">
        <v>37</v>
      </c>
      <c r="G411" s="332">
        <v>83</v>
      </c>
      <c r="H411" s="332">
        <v>12.9</v>
      </c>
      <c r="I411" s="333">
        <v>0.49</v>
      </c>
      <c r="J411" s="333">
        <v>2.2400000000000002</v>
      </c>
      <c r="K411" s="332">
        <v>13.700000000000001</v>
      </c>
      <c r="L411" s="332">
        <v>0.8</v>
      </c>
      <c r="M411" s="332" t="s">
        <v>157</v>
      </c>
      <c r="N411" s="332">
        <v>2012</v>
      </c>
      <c r="O411" s="332" t="s">
        <v>158</v>
      </c>
      <c r="P411" s="332">
        <v>428250</v>
      </c>
      <c r="Q411" s="335" t="s">
        <v>253</v>
      </c>
      <c r="R411" s="335" t="s">
        <v>185</v>
      </c>
      <c r="S411" s="335"/>
    </row>
    <row r="412" spans="1:19" x14ac:dyDescent="0.2">
      <c r="A412" s="335" t="s">
        <v>258</v>
      </c>
      <c r="B412" s="332">
        <v>7</v>
      </c>
      <c r="C412" s="332">
        <v>1</v>
      </c>
      <c r="D412" s="332">
        <v>8</v>
      </c>
      <c r="E412" s="332">
        <v>20</v>
      </c>
      <c r="F412" s="332">
        <v>46</v>
      </c>
      <c r="G412" s="332">
        <v>100</v>
      </c>
      <c r="H412" s="332">
        <v>14.8</v>
      </c>
      <c r="I412" s="333">
        <v>0.2</v>
      </c>
      <c r="J412" s="333">
        <v>0.45</v>
      </c>
      <c r="K412" s="332">
        <v>12.5</v>
      </c>
      <c r="L412" s="332">
        <v>1.1000000000000001</v>
      </c>
      <c r="M412" s="332" t="s">
        <v>157</v>
      </c>
      <c r="N412" s="332">
        <v>2011</v>
      </c>
      <c r="O412" s="332" t="s">
        <v>158</v>
      </c>
      <c r="P412" s="332">
        <v>889204</v>
      </c>
      <c r="Q412" s="335" t="s">
        <v>253</v>
      </c>
      <c r="R412" s="335" t="s">
        <v>1089</v>
      </c>
      <c r="S412" s="335"/>
    </row>
    <row r="413" spans="1:19" x14ac:dyDescent="0.2">
      <c r="A413" s="335" t="s">
        <v>913</v>
      </c>
      <c r="B413" s="332">
        <v>2</v>
      </c>
      <c r="C413" s="332">
        <v>0</v>
      </c>
      <c r="D413" s="332">
        <v>2</v>
      </c>
      <c r="E413" s="332">
        <v>6</v>
      </c>
      <c r="F413" s="332">
        <v>11</v>
      </c>
      <c r="G413" s="332">
        <v>28</v>
      </c>
      <c r="H413" s="332">
        <v>5</v>
      </c>
      <c r="I413" s="333">
        <v>0.37</v>
      </c>
      <c r="J413" s="333">
        <v>1.6300000000000001</v>
      </c>
      <c r="K413" s="332">
        <v>6.3</v>
      </c>
      <c r="L413" s="332">
        <v>0.6</v>
      </c>
      <c r="M413" s="332" t="s">
        <v>157</v>
      </c>
      <c r="N413" s="332">
        <v>2012</v>
      </c>
      <c r="O413" s="332" t="s">
        <v>158</v>
      </c>
      <c r="P413" s="332">
        <v>499913</v>
      </c>
      <c r="Q413" s="335" t="s">
        <v>253</v>
      </c>
      <c r="R413" s="335" t="s">
        <v>1089</v>
      </c>
      <c r="S413" s="335"/>
    </row>
    <row r="414" spans="1:19" x14ac:dyDescent="0.2">
      <c r="A414" s="335" t="s">
        <v>910</v>
      </c>
      <c r="B414" s="332">
        <v>9</v>
      </c>
      <c r="C414" s="332">
        <v>1</v>
      </c>
      <c r="D414" s="332">
        <v>9</v>
      </c>
      <c r="E414" s="332">
        <v>25</v>
      </c>
      <c r="F414" s="332">
        <v>49</v>
      </c>
      <c r="G414" s="332">
        <v>117</v>
      </c>
      <c r="H414" s="332">
        <v>16.7</v>
      </c>
      <c r="I414" s="333">
        <v>0.49</v>
      </c>
      <c r="J414" s="333">
        <v>2.23</v>
      </c>
      <c r="K414" s="332">
        <v>17.5</v>
      </c>
      <c r="L414" s="332">
        <v>0.9</v>
      </c>
      <c r="M414" s="332" t="s">
        <v>157</v>
      </c>
      <c r="N414" s="332">
        <v>2012</v>
      </c>
      <c r="O414" s="332" t="s">
        <v>158</v>
      </c>
      <c r="P414" s="332">
        <v>392423</v>
      </c>
      <c r="Q414" s="335" t="s">
        <v>253</v>
      </c>
      <c r="R414" s="335" t="s">
        <v>185</v>
      </c>
      <c r="S414" s="335"/>
    </row>
    <row r="415" spans="1:19" x14ac:dyDescent="0.2">
      <c r="A415" s="335" t="s">
        <v>909</v>
      </c>
      <c r="B415" s="332">
        <v>4</v>
      </c>
      <c r="C415" s="332">
        <v>0</v>
      </c>
      <c r="D415" s="332">
        <v>4</v>
      </c>
      <c r="E415" s="332">
        <v>16</v>
      </c>
      <c r="F415" s="332">
        <v>41</v>
      </c>
      <c r="G415" s="332">
        <v>91</v>
      </c>
      <c r="H415" s="332">
        <v>13.8</v>
      </c>
      <c r="I415" s="333">
        <v>0.49</v>
      </c>
      <c r="J415" s="333">
        <v>2.23</v>
      </c>
      <c r="K415" s="332">
        <v>12.700000000000001</v>
      </c>
      <c r="L415" s="332">
        <v>1</v>
      </c>
      <c r="M415" s="332" t="s">
        <v>157</v>
      </c>
      <c r="N415" s="332">
        <v>2012</v>
      </c>
      <c r="O415" s="332" t="s">
        <v>158</v>
      </c>
      <c r="P415" s="332">
        <v>356592</v>
      </c>
      <c r="Q415" s="335" t="s">
        <v>253</v>
      </c>
      <c r="R415" s="335" t="s">
        <v>185</v>
      </c>
      <c r="S415" s="335"/>
    </row>
    <row r="416" spans="1:19" x14ac:dyDescent="0.2">
      <c r="A416" s="335" t="s">
        <v>252</v>
      </c>
      <c r="B416" s="332">
        <v>5</v>
      </c>
      <c r="C416" s="332">
        <v>1</v>
      </c>
      <c r="D416" s="332">
        <v>6</v>
      </c>
      <c r="E416" s="332">
        <v>15</v>
      </c>
      <c r="F416" s="332">
        <v>34</v>
      </c>
      <c r="G416" s="332">
        <v>68</v>
      </c>
      <c r="H416" s="332">
        <v>10.9</v>
      </c>
      <c r="I416" s="333">
        <v>0.2</v>
      </c>
      <c r="J416" s="333">
        <v>0.46</v>
      </c>
      <c r="K416" s="332">
        <v>9.1</v>
      </c>
      <c r="L416" s="332">
        <v>1.1000000000000001</v>
      </c>
      <c r="M416" s="332" t="s">
        <v>157</v>
      </c>
      <c r="N416" s="332">
        <v>2011</v>
      </c>
      <c r="O416" s="332" t="s">
        <v>158</v>
      </c>
      <c r="P416" s="332">
        <v>853374</v>
      </c>
      <c r="Q416" s="335" t="s">
        <v>253</v>
      </c>
      <c r="R416" s="335" t="s">
        <v>1089</v>
      </c>
      <c r="S416" s="335"/>
    </row>
    <row r="417" spans="1:19" x14ac:dyDescent="0.2">
      <c r="A417" s="335" t="s">
        <v>908</v>
      </c>
      <c r="B417" s="332">
        <v>4</v>
      </c>
      <c r="C417" s="332">
        <v>0</v>
      </c>
      <c r="D417" s="332">
        <v>4</v>
      </c>
      <c r="E417" s="332">
        <v>12</v>
      </c>
      <c r="F417" s="332">
        <v>23</v>
      </c>
      <c r="G417" s="332">
        <v>50</v>
      </c>
      <c r="H417" s="332">
        <v>8.5</v>
      </c>
      <c r="I417" s="333">
        <v>0.37</v>
      </c>
      <c r="J417" s="333">
        <v>1.92</v>
      </c>
      <c r="K417" s="332">
        <v>9.8000000000000007</v>
      </c>
      <c r="L417" s="332">
        <v>0.8</v>
      </c>
      <c r="M417" s="332" t="s">
        <v>157</v>
      </c>
      <c r="N417" s="332">
        <v>2012</v>
      </c>
      <c r="O417" s="332" t="s">
        <v>158</v>
      </c>
      <c r="P417" s="332">
        <v>464081</v>
      </c>
      <c r="Q417" s="335" t="s">
        <v>253</v>
      </c>
      <c r="R417" s="335" t="s">
        <v>1089</v>
      </c>
      <c r="S417" s="335"/>
    </row>
    <row r="418" spans="1:19" x14ac:dyDescent="0.2">
      <c r="A418" s="335" t="s">
        <v>1115</v>
      </c>
      <c r="B418" s="332">
        <v>2</v>
      </c>
      <c r="C418" s="332">
        <v>3</v>
      </c>
      <c r="D418" s="332">
        <v>1</v>
      </c>
      <c r="E418" s="332">
        <v>5</v>
      </c>
      <c r="F418" s="332">
        <v>19</v>
      </c>
      <c r="G418" s="332">
        <v>37</v>
      </c>
      <c r="H418" s="332">
        <v>6.4</v>
      </c>
      <c r="I418" s="333">
        <v>0.24</v>
      </c>
      <c r="J418" s="333">
        <v>0.5</v>
      </c>
      <c r="K418" s="332">
        <v>7.1000000000000005</v>
      </c>
      <c r="L418" s="332">
        <v>0.9</v>
      </c>
      <c r="M418" s="332" t="s">
        <v>207</v>
      </c>
      <c r="N418" s="332">
        <v>2016</v>
      </c>
      <c r="O418" s="332" t="s">
        <v>69</v>
      </c>
      <c r="P418" s="332">
        <v>191908</v>
      </c>
      <c r="Q418" s="335" t="s">
        <v>558</v>
      </c>
      <c r="R418" s="335" t="s">
        <v>1108</v>
      </c>
      <c r="S418" s="335" t="s">
        <v>166</v>
      </c>
    </row>
    <row r="419" spans="1:19" x14ac:dyDescent="0.2">
      <c r="A419" s="335" t="s">
        <v>567</v>
      </c>
      <c r="B419" s="332">
        <v>12</v>
      </c>
      <c r="C419" s="332">
        <v>12</v>
      </c>
      <c r="D419" s="332">
        <v>16</v>
      </c>
      <c r="E419" s="332">
        <v>23</v>
      </c>
      <c r="F419" s="332">
        <v>42</v>
      </c>
      <c r="G419" s="332">
        <v>148</v>
      </c>
      <c r="H419" s="332">
        <v>19.900000000000002</v>
      </c>
      <c r="I419" s="333">
        <v>0.65</v>
      </c>
      <c r="J419" s="333">
        <v>1.6</v>
      </c>
      <c r="K419" s="332">
        <v>12.6</v>
      </c>
      <c r="L419" s="332">
        <v>1</v>
      </c>
      <c r="M419" s="332" t="s">
        <v>207</v>
      </c>
      <c r="N419" s="332">
        <v>2002</v>
      </c>
      <c r="O419" s="332" t="s">
        <v>69</v>
      </c>
      <c r="P419" s="332">
        <v>324665</v>
      </c>
      <c r="Q419" s="335" t="s">
        <v>558</v>
      </c>
      <c r="R419" s="335" t="s">
        <v>305</v>
      </c>
      <c r="S419" s="335" t="s">
        <v>166</v>
      </c>
    </row>
    <row r="420" spans="1:19" x14ac:dyDescent="0.2">
      <c r="A420" s="335" t="s">
        <v>614</v>
      </c>
      <c r="B420" s="332">
        <v>9</v>
      </c>
      <c r="C420" s="332">
        <v>6</v>
      </c>
      <c r="D420" s="332">
        <v>13</v>
      </c>
      <c r="E420" s="332">
        <v>18</v>
      </c>
      <c r="F420" s="332">
        <v>18</v>
      </c>
      <c r="G420" s="332">
        <v>86</v>
      </c>
      <c r="H420" s="332">
        <v>13.200000000000001</v>
      </c>
      <c r="I420" s="333">
        <v>0.74</v>
      </c>
      <c r="J420" s="333">
        <v>1.84</v>
      </c>
      <c r="K420" s="332">
        <v>12.4</v>
      </c>
      <c r="L420" s="332">
        <v>0.5</v>
      </c>
      <c r="M420" s="332" t="s">
        <v>207</v>
      </c>
      <c r="N420" s="332">
        <v>2005</v>
      </c>
      <c r="O420" s="332" t="s">
        <v>69</v>
      </c>
      <c r="P420" s="332">
        <v>666495</v>
      </c>
      <c r="Q420" s="335" t="s">
        <v>545</v>
      </c>
      <c r="R420" s="335" t="s">
        <v>219</v>
      </c>
      <c r="S420" s="335"/>
    </row>
    <row r="421" spans="1:19" x14ac:dyDescent="0.2">
      <c r="A421" s="335" t="s">
        <v>678</v>
      </c>
      <c r="B421" s="332">
        <v>8</v>
      </c>
      <c r="C421" s="332">
        <v>1</v>
      </c>
      <c r="D421" s="332">
        <v>10</v>
      </c>
      <c r="E421" s="332">
        <v>35</v>
      </c>
      <c r="F421" s="332">
        <v>31</v>
      </c>
      <c r="G421" s="332">
        <v>36</v>
      </c>
      <c r="H421" s="332">
        <v>6.4</v>
      </c>
      <c r="I421" s="333">
        <v>0.85</v>
      </c>
      <c r="J421" s="333">
        <v>2.14</v>
      </c>
      <c r="K421" s="332">
        <v>14.8</v>
      </c>
      <c r="L421" s="332">
        <v>0.70000000000000007</v>
      </c>
      <c r="M421" s="332" t="s">
        <v>207</v>
      </c>
      <c r="N421" s="332">
        <v>2012</v>
      </c>
      <c r="O421" s="332" t="s">
        <v>69</v>
      </c>
      <c r="P421" s="332">
        <v>533919</v>
      </c>
      <c r="Q421" s="335" t="s">
        <v>679</v>
      </c>
      <c r="R421" s="335" t="s">
        <v>302</v>
      </c>
      <c r="S421" s="335"/>
    </row>
    <row r="422" spans="1:19" x14ac:dyDescent="0.2">
      <c r="A422" s="335" t="s">
        <v>945</v>
      </c>
      <c r="B422" s="332">
        <v>5</v>
      </c>
      <c r="C422" s="332">
        <v>4</v>
      </c>
      <c r="D422" s="332">
        <v>4</v>
      </c>
      <c r="E422" s="332">
        <v>11</v>
      </c>
      <c r="F422" s="332">
        <v>22</v>
      </c>
      <c r="G422" s="332">
        <v>42</v>
      </c>
      <c r="H422" s="332">
        <v>7.3</v>
      </c>
      <c r="I422" s="333">
        <v>0.42</v>
      </c>
      <c r="J422" s="333">
        <v>1.18</v>
      </c>
      <c r="K422" s="332">
        <v>4.7</v>
      </c>
      <c r="L422" s="332">
        <v>1.5</v>
      </c>
      <c r="M422" s="332" t="s">
        <v>207</v>
      </c>
      <c r="N422" s="332">
        <v>2013</v>
      </c>
      <c r="O422" s="332" t="s">
        <v>69</v>
      </c>
      <c r="P422" s="332">
        <v>989962</v>
      </c>
      <c r="Q422" s="335" t="s">
        <v>915</v>
      </c>
      <c r="R422" s="335" t="s">
        <v>1099</v>
      </c>
      <c r="S422" s="335"/>
    </row>
    <row r="423" spans="1:19" x14ac:dyDescent="0.2">
      <c r="A423" s="335" t="s">
        <v>946</v>
      </c>
      <c r="B423" s="332">
        <v>-8</v>
      </c>
      <c r="C423" s="332">
        <v>-5</v>
      </c>
      <c r="D423" s="332">
        <v>1</v>
      </c>
      <c r="E423" s="332">
        <v>37</v>
      </c>
      <c r="F423" s="332">
        <v>31</v>
      </c>
      <c r="G423" s="332">
        <v>37</v>
      </c>
      <c r="H423" s="332">
        <v>6.4</v>
      </c>
      <c r="I423" s="333">
        <v>0.89</v>
      </c>
      <c r="J423" s="333">
        <v>5.48</v>
      </c>
      <c r="K423" s="332">
        <v>27.7</v>
      </c>
      <c r="L423" s="332">
        <v>0.5</v>
      </c>
      <c r="M423" s="332" t="s">
        <v>207</v>
      </c>
      <c r="N423" s="332">
        <v>2013</v>
      </c>
      <c r="O423" s="332" t="s">
        <v>69</v>
      </c>
      <c r="P423" s="332">
        <v>125799</v>
      </c>
      <c r="Q423" s="335" t="s">
        <v>915</v>
      </c>
      <c r="R423" s="335" t="s">
        <v>381</v>
      </c>
      <c r="S423" s="335"/>
    </row>
    <row r="424" spans="1:19" x14ac:dyDescent="0.2">
      <c r="A424" s="335" t="s">
        <v>858</v>
      </c>
      <c r="B424" s="332">
        <v>-6</v>
      </c>
      <c r="C424" s="332">
        <v>-9</v>
      </c>
      <c r="D424" s="332">
        <v>-5</v>
      </c>
      <c r="E424" s="332">
        <v>26</v>
      </c>
      <c r="F424" s="332">
        <v>-12</v>
      </c>
      <c r="G424" s="332">
        <v>-30</v>
      </c>
      <c r="H424" s="332">
        <v>-6.9</v>
      </c>
      <c r="I424" s="333">
        <v>0.85</v>
      </c>
      <c r="J424" s="333">
        <v>2.8000000000000003</v>
      </c>
      <c r="K424" s="332">
        <v>24.1</v>
      </c>
      <c r="L424" s="332">
        <v>-0.1</v>
      </c>
      <c r="M424" s="332" t="s">
        <v>207</v>
      </c>
      <c r="N424" s="332">
        <v>2008</v>
      </c>
      <c r="O424" s="332" t="s">
        <v>69</v>
      </c>
      <c r="P424" s="332">
        <v>938498</v>
      </c>
      <c r="Q424" s="335" t="s">
        <v>579</v>
      </c>
      <c r="R424" s="335" t="s">
        <v>1110</v>
      </c>
      <c r="S424" s="335"/>
    </row>
    <row r="425" spans="1:19" x14ac:dyDescent="0.2">
      <c r="A425" s="335" t="s">
        <v>527</v>
      </c>
      <c r="B425" s="332">
        <v>9</v>
      </c>
      <c r="C425" s="332">
        <v>5</v>
      </c>
      <c r="D425" s="332">
        <v>11</v>
      </c>
      <c r="E425" s="332">
        <v>22</v>
      </c>
      <c r="F425" s="332">
        <v>23</v>
      </c>
      <c r="G425" s="332">
        <v>53</v>
      </c>
      <c r="H425" s="332">
        <v>8.9</v>
      </c>
      <c r="I425" s="333">
        <v>0.89</v>
      </c>
      <c r="J425" s="333">
        <v>2.95</v>
      </c>
      <c r="K425" s="332">
        <v>13.200000000000001</v>
      </c>
      <c r="L425" s="332">
        <v>0.6</v>
      </c>
      <c r="M425" s="332" t="s">
        <v>207</v>
      </c>
      <c r="N425" s="332">
        <v>2001</v>
      </c>
      <c r="O425" s="332" t="s">
        <v>69</v>
      </c>
      <c r="P425" s="332">
        <v>353821</v>
      </c>
      <c r="Q425" s="335" t="s">
        <v>465</v>
      </c>
      <c r="R425" s="335" t="s">
        <v>302</v>
      </c>
      <c r="S425" s="335"/>
    </row>
    <row r="426" spans="1:19" x14ac:dyDescent="0.2">
      <c r="A426" s="335" t="s">
        <v>61</v>
      </c>
      <c r="B426" s="332">
        <v>10</v>
      </c>
      <c r="C426" s="332">
        <v>4</v>
      </c>
      <c r="D426" s="332">
        <v>11</v>
      </c>
      <c r="E426" s="332">
        <v>22</v>
      </c>
      <c r="F426" s="332">
        <v>43</v>
      </c>
      <c r="G426" s="332">
        <v>95</v>
      </c>
      <c r="H426" s="332">
        <v>14.200000000000001</v>
      </c>
      <c r="I426" s="333">
        <v>0.18</v>
      </c>
      <c r="J426" s="333">
        <v>0.45</v>
      </c>
      <c r="K426" s="332">
        <v>12.6</v>
      </c>
      <c r="L426" s="332">
        <v>1</v>
      </c>
      <c r="M426" s="332" t="s">
        <v>157</v>
      </c>
      <c r="N426" s="332">
        <v>2000</v>
      </c>
      <c r="O426" s="332" t="s">
        <v>158</v>
      </c>
      <c r="P426" s="332">
        <v>785022</v>
      </c>
      <c r="Q426" s="335" t="s">
        <v>175</v>
      </c>
      <c r="R426" s="335" t="s">
        <v>1091</v>
      </c>
      <c r="S426" s="335"/>
    </row>
    <row r="427" spans="1:19" x14ac:dyDescent="0.2">
      <c r="A427" s="335" t="s">
        <v>62</v>
      </c>
      <c r="B427" s="332">
        <v>3</v>
      </c>
      <c r="C427" s="332">
        <v>-2</v>
      </c>
      <c r="D427" s="332">
        <v>2</v>
      </c>
      <c r="E427" s="332">
        <v>7</v>
      </c>
      <c r="F427" s="332">
        <v>44</v>
      </c>
      <c r="G427" s="332">
        <v>118</v>
      </c>
      <c r="H427" s="332">
        <v>16.899999999999999</v>
      </c>
      <c r="I427" s="333">
        <v>0.27</v>
      </c>
      <c r="J427" s="333">
        <v>1.29</v>
      </c>
      <c r="K427" s="332">
        <v>15.700000000000001</v>
      </c>
      <c r="L427" s="332">
        <v>0.9</v>
      </c>
      <c r="M427" s="332" t="s">
        <v>157</v>
      </c>
      <c r="N427" s="332">
        <v>2000</v>
      </c>
      <c r="O427" s="332" t="s">
        <v>158</v>
      </c>
      <c r="P427" s="332">
        <v>928341</v>
      </c>
      <c r="Q427" s="335" t="s">
        <v>175</v>
      </c>
      <c r="R427" s="335" t="s">
        <v>1117</v>
      </c>
      <c r="S427" s="335" t="s">
        <v>166</v>
      </c>
    </row>
    <row r="428" spans="1:19" x14ac:dyDescent="0.2">
      <c r="A428" s="335" t="s">
        <v>217</v>
      </c>
      <c r="B428" s="332">
        <v>5</v>
      </c>
      <c r="C428" s="332">
        <v>3</v>
      </c>
      <c r="D428" s="332">
        <v>5</v>
      </c>
      <c r="E428" s="332">
        <v>13</v>
      </c>
      <c r="F428" s="332">
        <v>29</v>
      </c>
      <c r="G428" s="332">
        <v>57</v>
      </c>
      <c r="H428" s="332">
        <v>9.5</v>
      </c>
      <c r="I428" s="333">
        <v>0.18</v>
      </c>
      <c r="J428" s="333">
        <v>0.43</v>
      </c>
      <c r="K428" s="332">
        <v>6.4</v>
      </c>
      <c r="L428" s="332">
        <v>1.4000000000000001</v>
      </c>
      <c r="M428" s="332" t="s">
        <v>157</v>
      </c>
      <c r="N428" s="332">
        <v>2000</v>
      </c>
      <c r="O428" s="332" t="s">
        <v>158</v>
      </c>
      <c r="P428" s="332">
        <v>749192</v>
      </c>
      <c r="Q428" s="335" t="s">
        <v>175</v>
      </c>
      <c r="R428" s="335" t="s">
        <v>1089</v>
      </c>
      <c r="S428" s="335" t="s">
        <v>166</v>
      </c>
    </row>
    <row r="429" spans="1:19" x14ac:dyDescent="0.2">
      <c r="A429" s="335" t="s">
        <v>327</v>
      </c>
      <c r="B429" s="332">
        <v>3</v>
      </c>
      <c r="C429" s="332">
        <v>2</v>
      </c>
      <c r="D429" s="332">
        <v>9</v>
      </c>
      <c r="E429" s="332">
        <v>27</v>
      </c>
      <c r="F429" s="332">
        <v>12</v>
      </c>
      <c r="G429" s="332">
        <v>26</v>
      </c>
      <c r="H429" s="332">
        <v>4.8</v>
      </c>
      <c r="I429" s="333">
        <v>0.28999999999999998</v>
      </c>
      <c r="J429" s="333">
        <v>1.47</v>
      </c>
      <c r="K429" s="332">
        <v>15.8</v>
      </c>
      <c r="L429" s="332">
        <v>0.3</v>
      </c>
      <c r="M429" s="332" t="s">
        <v>157</v>
      </c>
      <c r="N429" s="332">
        <v>2000</v>
      </c>
      <c r="O429" s="332" t="s">
        <v>158</v>
      </c>
      <c r="P429" s="332">
        <v>825109</v>
      </c>
      <c r="Q429" s="335" t="s">
        <v>175</v>
      </c>
      <c r="R429" s="335" t="s">
        <v>328</v>
      </c>
      <c r="S429" s="335" t="s">
        <v>166</v>
      </c>
    </row>
    <row r="430" spans="1:19" x14ac:dyDescent="0.2">
      <c r="A430" s="335" t="s">
        <v>194</v>
      </c>
      <c r="B430" s="332">
        <v>0</v>
      </c>
      <c r="C430" s="332">
        <v>0</v>
      </c>
      <c r="D430" s="332">
        <v>0</v>
      </c>
      <c r="E430" s="332">
        <v>0</v>
      </c>
      <c r="F430" s="332">
        <v>0</v>
      </c>
      <c r="G430" s="332">
        <v>2</v>
      </c>
      <c r="H430" s="332">
        <v>0.4</v>
      </c>
      <c r="I430" s="333">
        <v>0</v>
      </c>
      <c r="J430" s="333">
        <v>0</v>
      </c>
      <c r="K430" s="332">
        <v>0.1</v>
      </c>
      <c r="L430" s="332">
        <v>1.8</v>
      </c>
      <c r="M430" s="332" t="s">
        <v>157</v>
      </c>
      <c r="N430" s="332">
        <v>2000</v>
      </c>
      <c r="O430" s="332" t="s">
        <v>158</v>
      </c>
      <c r="P430" s="332">
        <v>717611</v>
      </c>
      <c r="Q430" s="335" t="s">
        <v>175</v>
      </c>
      <c r="R430" s="335" t="s">
        <v>1096</v>
      </c>
      <c r="S430" s="335" t="s">
        <v>166</v>
      </c>
    </row>
    <row r="431" spans="1:19" x14ac:dyDescent="0.2">
      <c r="A431" s="335" t="s">
        <v>322</v>
      </c>
      <c r="B431" s="332">
        <v>4</v>
      </c>
      <c r="C431" s="332">
        <v>-1</v>
      </c>
      <c r="D431" s="332">
        <v>3</v>
      </c>
      <c r="E431" s="332">
        <v>9</v>
      </c>
      <c r="F431" s="332">
        <v>53</v>
      </c>
      <c r="G431" s="332">
        <v>101</v>
      </c>
      <c r="H431" s="332">
        <v>14.9</v>
      </c>
      <c r="I431" s="333">
        <v>0.27</v>
      </c>
      <c r="J431" s="333">
        <v>1.29</v>
      </c>
      <c r="K431" s="332">
        <v>14.1</v>
      </c>
      <c r="L431" s="332">
        <v>1.1000000000000001</v>
      </c>
      <c r="M431" s="332" t="s">
        <v>157</v>
      </c>
      <c r="N431" s="332">
        <v>2000</v>
      </c>
      <c r="O431" s="332" t="s">
        <v>158</v>
      </c>
      <c r="P431" s="332">
        <v>968420</v>
      </c>
      <c r="Q431" s="335" t="s">
        <v>175</v>
      </c>
      <c r="R431" s="335" t="s">
        <v>1114</v>
      </c>
      <c r="S431" s="335"/>
    </row>
    <row r="432" spans="1:19" x14ac:dyDescent="0.2">
      <c r="A432" s="335" t="s">
        <v>991</v>
      </c>
      <c r="B432" s="332">
        <v>1</v>
      </c>
      <c r="C432" s="332">
        <v>0</v>
      </c>
      <c r="D432" s="332">
        <v>0</v>
      </c>
      <c r="E432" s="332">
        <v>1</v>
      </c>
      <c r="F432" s="332">
        <v>7</v>
      </c>
      <c r="G432" s="332">
        <v>11</v>
      </c>
      <c r="H432" s="332">
        <v>2.2000000000000002</v>
      </c>
      <c r="I432" s="333">
        <v>0.13</v>
      </c>
      <c r="J432" s="333">
        <v>0.4</v>
      </c>
      <c r="K432" s="332">
        <v>2</v>
      </c>
      <c r="L432" s="332">
        <v>1.2</v>
      </c>
      <c r="M432" s="332" t="s">
        <v>157</v>
      </c>
      <c r="N432" s="332">
        <v>2000</v>
      </c>
      <c r="O432" s="332" t="s">
        <v>158</v>
      </c>
      <c r="P432" s="332">
        <v>677534</v>
      </c>
      <c r="Q432" s="335" t="s">
        <v>175</v>
      </c>
      <c r="R432" s="335" t="s">
        <v>1105</v>
      </c>
      <c r="S432" s="335" t="s">
        <v>166</v>
      </c>
    </row>
    <row r="433" spans="1:19" x14ac:dyDescent="0.2">
      <c r="A433" s="335" t="s">
        <v>400</v>
      </c>
      <c r="B433" s="332">
        <v>-6</v>
      </c>
      <c r="C433" s="332">
        <v>-4</v>
      </c>
      <c r="D433" s="332">
        <v>2</v>
      </c>
      <c r="E433" s="332">
        <v>31</v>
      </c>
      <c r="F433" s="332">
        <v>14</v>
      </c>
      <c r="G433" s="332">
        <v>23</v>
      </c>
      <c r="H433" s="332">
        <v>4.2</v>
      </c>
      <c r="I433" s="333">
        <v>0.38</v>
      </c>
      <c r="J433" s="333">
        <v>2.4700000000000002</v>
      </c>
      <c r="K433" s="332">
        <v>25.1</v>
      </c>
      <c r="L433" s="332">
        <v>0.3</v>
      </c>
      <c r="M433" s="332" t="s">
        <v>157</v>
      </c>
      <c r="N433" s="332">
        <v>2001</v>
      </c>
      <c r="O433" s="332" t="s">
        <v>158</v>
      </c>
      <c r="P433" s="332">
        <v>752204</v>
      </c>
      <c r="Q433" s="335" t="s">
        <v>175</v>
      </c>
      <c r="R433" s="335" t="s">
        <v>381</v>
      </c>
      <c r="S433" s="335"/>
    </row>
    <row r="434" spans="1:19" x14ac:dyDescent="0.2">
      <c r="A434" s="335" t="s">
        <v>234</v>
      </c>
      <c r="B434" s="332">
        <v>15</v>
      </c>
      <c r="C434" s="332">
        <v>10</v>
      </c>
      <c r="D434" s="332">
        <v>19</v>
      </c>
      <c r="E434" s="332">
        <v>28</v>
      </c>
      <c r="F434" s="332">
        <v>45</v>
      </c>
      <c r="G434" s="332">
        <v>130</v>
      </c>
      <c r="H434" s="332">
        <v>18.100000000000001</v>
      </c>
      <c r="I434" s="333">
        <v>0.2</v>
      </c>
      <c r="J434" s="333">
        <v>0.56000000000000005</v>
      </c>
      <c r="K434" s="332">
        <v>13.4</v>
      </c>
      <c r="L434" s="332">
        <v>1</v>
      </c>
      <c r="M434" s="332" t="s">
        <v>157</v>
      </c>
      <c r="N434" s="332">
        <v>2000</v>
      </c>
      <c r="O434" s="332" t="s">
        <v>158</v>
      </c>
      <c r="P434" s="332">
        <v>789271</v>
      </c>
      <c r="Q434" s="335" t="s">
        <v>175</v>
      </c>
      <c r="R434" s="335" t="s">
        <v>223</v>
      </c>
      <c r="S434" s="335" t="s">
        <v>166</v>
      </c>
    </row>
    <row r="435" spans="1:19" x14ac:dyDescent="0.2">
      <c r="A435" s="335" t="s">
        <v>236</v>
      </c>
      <c r="B435" s="332">
        <v>12</v>
      </c>
      <c r="C435" s="332">
        <v>5</v>
      </c>
      <c r="D435" s="332">
        <v>11</v>
      </c>
      <c r="E435" s="332">
        <v>21</v>
      </c>
      <c r="F435" s="332">
        <v>50</v>
      </c>
      <c r="G435" s="332">
        <v>107</v>
      </c>
      <c r="H435" s="332">
        <v>15.6</v>
      </c>
      <c r="I435" s="333">
        <v>0.2</v>
      </c>
      <c r="J435" s="333">
        <v>0.56000000000000005</v>
      </c>
      <c r="K435" s="332">
        <v>12.9</v>
      </c>
      <c r="L435" s="332">
        <v>1.1000000000000001</v>
      </c>
      <c r="M435" s="332" t="s">
        <v>157</v>
      </c>
      <c r="N435" s="332">
        <v>2000</v>
      </c>
      <c r="O435" s="332" t="s">
        <v>158</v>
      </c>
      <c r="P435" s="332">
        <v>753442</v>
      </c>
      <c r="Q435" s="335" t="s">
        <v>175</v>
      </c>
      <c r="R435" s="335" t="s">
        <v>185</v>
      </c>
      <c r="S435" s="335"/>
    </row>
    <row r="436" spans="1:19" x14ac:dyDescent="0.2">
      <c r="A436" s="335" t="s">
        <v>324</v>
      </c>
      <c r="B436" s="332">
        <v>12</v>
      </c>
      <c r="C436" s="332">
        <v>9</v>
      </c>
      <c r="D436" s="332">
        <v>14</v>
      </c>
      <c r="E436" s="332">
        <v>18</v>
      </c>
      <c r="F436" s="332">
        <v>44</v>
      </c>
      <c r="G436" s="332">
        <v>111</v>
      </c>
      <c r="H436" s="332">
        <v>16.100000000000001</v>
      </c>
      <c r="I436" s="333">
        <v>0.27</v>
      </c>
      <c r="J436" s="333">
        <v>1.29</v>
      </c>
      <c r="K436" s="332">
        <v>12.9</v>
      </c>
      <c r="L436" s="332">
        <v>1</v>
      </c>
      <c r="M436" s="332" t="s">
        <v>157</v>
      </c>
      <c r="N436" s="332">
        <v>2000</v>
      </c>
      <c r="O436" s="332" t="s">
        <v>158</v>
      </c>
      <c r="P436" s="332">
        <v>860932</v>
      </c>
      <c r="Q436" s="335" t="s">
        <v>175</v>
      </c>
      <c r="R436" s="335" t="s">
        <v>325</v>
      </c>
      <c r="S436" s="335"/>
    </row>
    <row r="437" spans="1:19" x14ac:dyDescent="0.2">
      <c r="A437" s="335" t="s">
        <v>470</v>
      </c>
      <c r="B437" s="332">
        <v>3</v>
      </c>
      <c r="C437" s="332">
        <v>2</v>
      </c>
      <c r="D437" s="332">
        <v>2</v>
      </c>
      <c r="E437" s="332">
        <v>8</v>
      </c>
      <c r="F437" s="332">
        <v>15</v>
      </c>
      <c r="G437" s="332">
        <v>32</v>
      </c>
      <c r="H437" s="332">
        <v>5.8</v>
      </c>
      <c r="I437" s="333">
        <v>0.42</v>
      </c>
      <c r="J437" s="333">
        <v>2.1</v>
      </c>
      <c r="K437" s="332">
        <v>6.1000000000000005</v>
      </c>
      <c r="L437" s="332">
        <v>0.8</v>
      </c>
      <c r="M437" s="332" t="s">
        <v>207</v>
      </c>
      <c r="N437" s="332">
        <v>2000</v>
      </c>
      <c r="O437" s="332" t="s">
        <v>69</v>
      </c>
      <c r="P437" s="332">
        <v>966598</v>
      </c>
      <c r="Q437" s="335" t="s">
        <v>465</v>
      </c>
      <c r="R437" s="335" t="s">
        <v>1108</v>
      </c>
      <c r="S437" s="335"/>
    </row>
    <row r="438" spans="1:19" x14ac:dyDescent="0.2">
      <c r="A438" s="335" t="s">
        <v>493</v>
      </c>
      <c r="B438" s="332">
        <v>11</v>
      </c>
      <c r="C438" s="332">
        <v>10</v>
      </c>
      <c r="D438" s="332">
        <v>16</v>
      </c>
      <c r="E438" s="332">
        <v>16</v>
      </c>
      <c r="F438" s="332">
        <v>18</v>
      </c>
      <c r="G438" s="332">
        <v>70</v>
      </c>
      <c r="H438" s="332">
        <v>11.1</v>
      </c>
      <c r="I438" s="333">
        <v>0.89</v>
      </c>
      <c r="J438" s="333">
        <v>2.5</v>
      </c>
      <c r="K438" s="332">
        <v>13.200000000000001</v>
      </c>
      <c r="L438" s="332">
        <v>0.5</v>
      </c>
      <c r="M438" s="332" t="s">
        <v>207</v>
      </c>
      <c r="N438" s="332">
        <v>2000</v>
      </c>
      <c r="O438" s="332" t="s">
        <v>69</v>
      </c>
      <c r="P438" s="332">
        <v>317404</v>
      </c>
      <c r="Q438" s="335" t="s">
        <v>465</v>
      </c>
      <c r="R438" s="335" t="s">
        <v>219</v>
      </c>
      <c r="S438" s="335"/>
    </row>
    <row r="439" spans="1:19" x14ac:dyDescent="0.2">
      <c r="A439" s="335" t="s">
        <v>523</v>
      </c>
      <c r="B439" s="332">
        <v>13</v>
      </c>
      <c r="C439" s="332">
        <v>11</v>
      </c>
      <c r="D439" s="332">
        <v>18</v>
      </c>
      <c r="E439" s="332">
        <v>22</v>
      </c>
      <c r="F439" s="332">
        <v>27</v>
      </c>
      <c r="G439" s="332">
        <v>109</v>
      </c>
      <c r="H439" s="332">
        <v>15.8</v>
      </c>
      <c r="I439" s="333">
        <v>0.89</v>
      </c>
      <c r="J439" s="333">
        <v>2.7</v>
      </c>
      <c r="K439" s="332">
        <v>14.3</v>
      </c>
      <c r="L439" s="332">
        <v>0.6</v>
      </c>
      <c r="M439" s="332" t="s">
        <v>207</v>
      </c>
      <c r="N439" s="332">
        <v>2004</v>
      </c>
      <c r="O439" s="332" t="s">
        <v>69</v>
      </c>
      <c r="P439" s="332">
        <v>155788</v>
      </c>
      <c r="Q439" s="335" t="s">
        <v>465</v>
      </c>
      <c r="R439" s="335" t="s">
        <v>219</v>
      </c>
      <c r="S439" s="335"/>
    </row>
    <row r="440" spans="1:19" x14ac:dyDescent="0.2">
      <c r="A440" s="335" t="s">
        <v>977</v>
      </c>
      <c r="B440" s="332">
        <v>8</v>
      </c>
      <c r="C440" s="332">
        <v>5</v>
      </c>
      <c r="D440" s="332">
        <v>8</v>
      </c>
      <c r="E440" s="332">
        <v>15</v>
      </c>
      <c r="F440" s="332">
        <v>19</v>
      </c>
      <c r="G440" s="332">
        <v>44</v>
      </c>
      <c r="H440" s="332">
        <v>7.5</v>
      </c>
      <c r="I440" s="333">
        <v>0.42</v>
      </c>
      <c r="J440" s="333">
        <v>1.55</v>
      </c>
      <c r="K440" s="332">
        <v>7.8</v>
      </c>
      <c r="L440" s="332">
        <v>0.8</v>
      </c>
      <c r="M440" s="332" t="s">
        <v>207</v>
      </c>
      <c r="N440" s="332">
        <v>2011</v>
      </c>
      <c r="O440" s="332" t="s">
        <v>69</v>
      </c>
      <c r="P440" s="332">
        <v>323832</v>
      </c>
      <c r="Q440" s="335" t="s">
        <v>800</v>
      </c>
      <c r="R440" s="335" t="s">
        <v>1099</v>
      </c>
      <c r="S440" s="335"/>
    </row>
    <row r="441" spans="1:19" x14ac:dyDescent="0.2">
      <c r="A441" s="335" t="s">
        <v>988</v>
      </c>
      <c r="B441" s="332">
        <v>6</v>
      </c>
      <c r="C441" s="332">
        <v>2</v>
      </c>
      <c r="D441" s="332">
        <v>5</v>
      </c>
      <c r="E441" s="332">
        <v>11</v>
      </c>
      <c r="F441" s="332">
        <v>5</v>
      </c>
      <c r="G441" s="332">
        <v>8</v>
      </c>
      <c r="H441" s="332">
        <v>1.5</v>
      </c>
      <c r="I441" s="333">
        <v>0.42</v>
      </c>
      <c r="J441" s="333">
        <v>1.34</v>
      </c>
      <c r="K441" s="332">
        <v>6.6000000000000005</v>
      </c>
      <c r="L441" s="332">
        <v>0.3</v>
      </c>
      <c r="M441" s="332" t="s">
        <v>207</v>
      </c>
      <c r="N441" s="332">
        <v>2011</v>
      </c>
      <c r="O441" s="332" t="s">
        <v>69</v>
      </c>
      <c r="P441" s="332">
        <v>140434</v>
      </c>
      <c r="Q441" s="335" t="s">
        <v>800</v>
      </c>
      <c r="R441" s="335" t="s">
        <v>1099</v>
      </c>
      <c r="S441" s="335"/>
    </row>
    <row r="442" spans="1:19" x14ac:dyDescent="0.2">
      <c r="A442" s="335" t="s">
        <v>972</v>
      </c>
      <c r="B442" s="332">
        <v>12</v>
      </c>
      <c r="C442" s="332">
        <v>12</v>
      </c>
      <c r="D442" s="332">
        <v>18</v>
      </c>
      <c r="E442" s="332">
        <v>24</v>
      </c>
      <c r="F442" s="332">
        <v>34</v>
      </c>
      <c r="G442" s="332">
        <v>112</v>
      </c>
      <c r="H442" s="332">
        <v>16.3</v>
      </c>
      <c r="I442" s="333">
        <v>0.67</v>
      </c>
      <c r="J442" s="333">
        <v>1.6400000000000001</v>
      </c>
      <c r="K442" s="332">
        <v>13.700000000000001</v>
      </c>
      <c r="L442" s="332">
        <v>0.8</v>
      </c>
      <c r="M442" s="332" t="s">
        <v>207</v>
      </c>
      <c r="N442" s="332">
        <v>2000</v>
      </c>
      <c r="O442" s="332" t="s">
        <v>69</v>
      </c>
      <c r="P442" s="332">
        <v>848770</v>
      </c>
      <c r="Q442" s="335" t="s">
        <v>800</v>
      </c>
      <c r="R442" s="335" t="s">
        <v>219</v>
      </c>
      <c r="S442" s="335"/>
    </row>
    <row r="443" spans="1:19" x14ac:dyDescent="0.2">
      <c r="A443" s="335" t="s">
        <v>989</v>
      </c>
      <c r="B443" s="332">
        <v>1</v>
      </c>
      <c r="C443" s="332">
        <v>1</v>
      </c>
      <c r="D443" s="332">
        <v>-1</v>
      </c>
      <c r="E443" s="332">
        <v>4</v>
      </c>
      <c r="F443" s="332">
        <v>10</v>
      </c>
      <c r="G443" s="332">
        <v>13</v>
      </c>
      <c r="H443" s="332">
        <v>2.5</v>
      </c>
      <c r="I443" s="333">
        <v>0.36</v>
      </c>
      <c r="J443" s="333">
        <v>0.85</v>
      </c>
      <c r="K443" s="332">
        <v>5</v>
      </c>
      <c r="L443" s="332">
        <v>0.70000000000000007</v>
      </c>
      <c r="M443" s="332" t="s">
        <v>207</v>
      </c>
      <c r="N443" s="332">
        <v>2011</v>
      </c>
      <c r="O443" s="332" t="s">
        <v>69</v>
      </c>
      <c r="P443" s="332">
        <v>288001</v>
      </c>
      <c r="Q443" s="335" t="s">
        <v>800</v>
      </c>
      <c r="R443" s="335" t="s">
        <v>1108</v>
      </c>
      <c r="S443" s="335"/>
    </row>
    <row r="444" spans="1:19" x14ac:dyDescent="0.2">
      <c r="A444" s="335" t="s">
        <v>984</v>
      </c>
      <c r="B444" s="332">
        <v>5</v>
      </c>
      <c r="C444" s="332">
        <v>5</v>
      </c>
      <c r="D444" s="332">
        <v>5</v>
      </c>
      <c r="E444" s="332">
        <v>10</v>
      </c>
      <c r="F444" s="332">
        <v>10</v>
      </c>
      <c r="G444" s="332">
        <v>21</v>
      </c>
      <c r="H444" s="332">
        <v>3.9</v>
      </c>
      <c r="I444" s="333">
        <v>0.44</v>
      </c>
      <c r="J444" s="333">
        <v>0.97</v>
      </c>
      <c r="K444" s="332">
        <v>4.9000000000000004</v>
      </c>
      <c r="L444" s="332">
        <v>0.70000000000000007</v>
      </c>
      <c r="M444" s="332" t="s">
        <v>207</v>
      </c>
      <c r="N444" s="332">
        <v>2011</v>
      </c>
      <c r="O444" s="332" t="s">
        <v>69</v>
      </c>
      <c r="P444" s="332">
        <v>857037</v>
      </c>
      <c r="Q444" s="335" t="s">
        <v>800</v>
      </c>
      <c r="R444" s="335" t="s">
        <v>1089</v>
      </c>
      <c r="S444" s="335"/>
    </row>
    <row r="445" spans="1:19" x14ac:dyDescent="0.2">
      <c r="A445" s="335" t="s">
        <v>985</v>
      </c>
      <c r="B445" s="332">
        <v>0</v>
      </c>
      <c r="C445" s="332">
        <v>-2</v>
      </c>
      <c r="D445" s="332">
        <v>1</v>
      </c>
      <c r="E445" s="332">
        <v>4</v>
      </c>
      <c r="F445" s="332">
        <v>33</v>
      </c>
      <c r="G445" s="332">
        <v>59</v>
      </c>
      <c r="H445" s="332">
        <v>9.8000000000000007</v>
      </c>
      <c r="I445" s="333">
        <v>0.75</v>
      </c>
      <c r="J445" s="333">
        <v>1.84</v>
      </c>
      <c r="K445" s="332">
        <v>14.9</v>
      </c>
      <c r="L445" s="332">
        <v>0.70000000000000007</v>
      </c>
      <c r="M445" s="332" t="s">
        <v>207</v>
      </c>
      <c r="N445" s="332">
        <v>2010</v>
      </c>
      <c r="O445" s="332" t="s">
        <v>69</v>
      </c>
      <c r="P445" s="332">
        <v>558882</v>
      </c>
      <c r="Q445" s="335" t="s">
        <v>800</v>
      </c>
      <c r="R445" s="335" t="s">
        <v>1114</v>
      </c>
      <c r="S445" s="335"/>
    </row>
    <row r="446" spans="1:19" x14ac:dyDescent="0.2">
      <c r="A446" s="335" t="s">
        <v>987</v>
      </c>
      <c r="B446" s="332">
        <v>7</v>
      </c>
      <c r="C446" s="332">
        <v>2</v>
      </c>
      <c r="D446" s="332">
        <v>7</v>
      </c>
      <c r="E446" s="332">
        <v>18</v>
      </c>
      <c r="F446" s="332">
        <v>47</v>
      </c>
      <c r="G446" s="332">
        <v>90</v>
      </c>
      <c r="H446" s="332">
        <v>13.700000000000001</v>
      </c>
      <c r="I446" s="333">
        <v>0.75</v>
      </c>
      <c r="J446" s="333">
        <v>1.84</v>
      </c>
      <c r="K446" s="332">
        <v>12.1</v>
      </c>
      <c r="L446" s="332">
        <v>1.1000000000000001</v>
      </c>
      <c r="M446" s="332" t="s">
        <v>207</v>
      </c>
      <c r="N446" s="332">
        <v>2010</v>
      </c>
      <c r="O446" s="332" t="s">
        <v>69</v>
      </c>
      <c r="P446" s="332">
        <v>594713</v>
      </c>
      <c r="Q446" s="335" t="s">
        <v>800</v>
      </c>
      <c r="R446" s="335" t="s">
        <v>185</v>
      </c>
      <c r="S446" s="335" t="s">
        <v>166</v>
      </c>
    </row>
    <row r="447" spans="1:19" x14ac:dyDescent="0.2">
      <c r="A447" s="335" t="s">
        <v>447</v>
      </c>
      <c r="B447" s="332">
        <v>2</v>
      </c>
      <c r="C447" s="332">
        <v>2</v>
      </c>
      <c r="D447" s="332">
        <v>1</v>
      </c>
      <c r="E447" s="332">
        <v>6</v>
      </c>
      <c r="F447" s="332">
        <v>19</v>
      </c>
      <c r="G447" s="332">
        <v>36</v>
      </c>
      <c r="H447" s="332">
        <v>6.4</v>
      </c>
      <c r="I447" s="333">
        <v>0.38</v>
      </c>
      <c r="J447" s="333">
        <v>1.22</v>
      </c>
      <c r="K447" s="332">
        <v>6.7</v>
      </c>
      <c r="L447" s="332">
        <v>0.9</v>
      </c>
      <c r="M447" s="332" t="s">
        <v>207</v>
      </c>
      <c r="N447" s="332">
        <v>2003</v>
      </c>
      <c r="O447" s="332" t="s">
        <v>69</v>
      </c>
      <c r="P447" s="332">
        <v>280925</v>
      </c>
      <c r="Q447" s="335" t="s">
        <v>1013</v>
      </c>
      <c r="R447" s="335" t="s">
        <v>1108</v>
      </c>
      <c r="S447" s="335"/>
    </row>
    <row r="448" spans="1:19" x14ac:dyDescent="0.2">
      <c r="A448" s="335" t="s">
        <v>852</v>
      </c>
      <c r="B448" s="332">
        <v>15</v>
      </c>
      <c r="C448" s="332">
        <v>7</v>
      </c>
      <c r="D448" s="332">
        <v>15</v>
      </c>
      <c r="E448" s="332">
        <v>35</v>
      </c>
      <c r="F448" s="332">
        <v>40</v>
      </c>
      <c r="G448" s="332">
        <v>52</v>
      </c>
      <c r="H448" s="332">
        <v>8.7000000000000011</v>
      </c>
      <c r="I448" s="333">
        <v>0.70000000000000007</v>
      </c>
      <c r="J448" s="333">
        <v>1.8</v>
      </c>
      <c r="K448" s="332">
        <v>15.4</v>
      </c>
      <c r="L448" s="332">
        <v>0.8</v>
      </c>
      <c r="M448" s="332" t="s">
        <v>352</v>
      </c>
      <c r="N448" s="332">
        <v>2000</v>
      </c>
      <c r="O448" s="332" t="s">
        <v>69</v>
      </c>
      <c r="P448" s="332">
        <v>305243</v>
      </c>
      <c r="Q448" s="335" t="s">
        <v>579</v>
      </c>
      <c r="R448" s="335" t="s">
        <v>302</v>
      </c>
      <c r="S448" s="335"/>
    </row>
    <row r="449" spans="1:19" x14ac:dyDescent="0.2">
      <c r="A449" s="335" t="s">
        <v>841</v>
      </c>
      <c r="B449" s="332">
        <v>1</v>
      </c>
      <c r="C449" s="332">
        <v>0</v>
      </c>
      <c r="D449" s="332">
        <v>0</v>
      </c>
      <c r="E449" s="332">
        <v>1</v>
      </c>
      <c r="F449" s="332"/>
      <c r="G449" s="332"/>
      <c r="H449" s="332"/>
      <c r="I449" s="333">
        <v>0.13</v>
      </c>
      <c r="J449" s="333">
        <v>0.32</v>
      </c>
      <c r="K449" s="332"/>
      <c r="L449" s="332"/>
      <c r="M449" s="332" t="s">
        <v>157</v>
      </c>
      <c r="N449" s="332">
        <v>2015</v>
      </c>
      <c r="O449" s="332" t="s">
        <v>158</v>
      </c>
      <c r="P449" s="332">
        <v>721506</v>
      </c>
      <c r="Q449" s="335" t="s">
        <v>182</v>
      </c>
      <c r="R449" s="335" t="s">
        <v>1098</v>
      </c>
      <c r="S449" s="335" t="s">
        <v>166</v>
      </c>
    </row>
    <row r="450" spans="1:19" x14ac:dyDescent="0.2">
      <c r="A450" s="335" t="s">
        <v>1131</v>
      </c>
      <c r="B450" s="332">
        <v>11</v>
      </c>
      <c r="C450" s="332">
        <v>9</v>
      </c>
      <c r="D450" s="332">
        <v>14</v>
      </c>
      <c r="E450" s="332">
        <v>20</v>
      </c>
      <c r="F450" s="332">
        <v>26</v>
      </c>
      <c r="G450" s="332">
        <v>105</v>
      </c>
      <c r="H450" s="332">
        <v>15.5</v>
      </c>
      <c r="I450" s="333">
        <v>0.59</v>
      </c>
      <c r="J450" s="333">
        <v>1.6400000000000001</v>
      </c>
      <c r="K450" s="332">
        <v>13.5</v>
      </c>
      <c r="L450" s="332">
        <v>0.6</v>
      </c>
      <c r="M450" s="332" t="s">
        <v>157</v>
      </c>
      <c r="N450" s="332">
        <v>2000</v>
      </c>
      <c r="O450" s="332" t="s">
        <v>158</v>
      </c>
      <c r="P450" s="332">
        <v>220244</v>
      </c>
      <c r="Q450" s="335" t="s">
        <v>334</v>
      </c>
      <c r="R450" s="335" t="s">
        <v>223</v>
      </c>
      <c r="S450" s="335"/>
    </row>
    <row r="451" spans="1:19" x14ac:dyDescent="0.2">
      <c r="A451" s="335" t="s">
        <v>1153</v>
      </c>
      <c r="B451" s="332">
        <v>6</v>
      </c>
      <c r="C451" s="332">
        <v>3</v>
      </c>
      <c r="D451" s="332">
        <v>6</v>
      </c>
      <c r="E451" s="332">
        <v>12</v>
      </c>
      <c r="F451" s="332"/>
      <c r="G451" s="332"/>
      <c r="H451" s="332"/>
      <c r="I451" s="333">
        <v>0.89</v>
      </c>
      <c r="J451" s="333">
        <v>2.3000000000000003</v>
      </c>
      <c r="K451" s="332"/>
      <c r="L451" s="332"/>
      <c r="M451" s="332" t="s">
        <v>157</v>
      </c>
      <c r="N451" s="332">
        <v>2015</v>
      </c>
      <c r="O451" s="332" t="s">
        <v>158</v>
      </c>
      <c r="P451" s="332">
        <v>318873</v>
      </c>
      <c r="Q451" s="335" t="s">
        <v>1011</v>
      </c>
      <c r="R451" s="335" t="s">
        <v>185</v>
      </c>
      <c r="S451" s="335"/>
    </row>
    <row r="452" spans="1:19" x14ac:dyDescent="0.2">
      <c r="A452" s="335" t="s">
        <v>237</v>
      </c>
      <c r="B452" s="332">
        <v>1</v>
      </c>
      <c r="C452" s="332">
        <v>0</v>
      </c>
      <c r="D452" s="332">
        <v>0</v>
      </c>
      <c r="E452" s="332">
        <v>2</v>
      </c>
      <c r="F452" s="332">
        <v>10</v>
      </c>
      <c r="G452" s="332">
        <v>11</v>
      </c>
      <c r="H452" s="332">
        <v>2.1</v>
      </c>
      <c r="I452" s="333">
        <v>0.17</v>
      </c>
      <c r="J452" s="333">
        <v>0.65</v>
      </c>
      <c r="K452" s="332">
        <v>4.0999999999999996</v>
      </c>
      <c r="L452" s="332">
        <v>0.9</v>
      </c>
      <c r="M452" s="332" t="s">
        <v>157</v>
      </c>
      <c r="N452" s="332">
        <v>2001</v>
      </c>
      <c r="O452" s="332" t="s">
        <v>158</v>
      </c>
      <c r="P452" s="332">
        <v>648964</v>
      </c>
      <c r="Q452" s="335" t="s">
        <v>195</v>
      </c>
      <c r="R452" s="335" t="s">
        <v>1105</v>
      </c>
      <c r="S452" s="335" t="s">
        <v>166</v>
      </c>
    </row>
    <row r="453" spans="1:19" x14ac:dyDescent="0.2">
      <c r="A453" s="335" t="s">
        <v>1097</v>
      </c>
      <c r="B453" s="332">
        <v>0</v>
      </c>
      <c r="C453" s="332">
        <v>0</v>
      </c>
      <c r="D453" s="332">
        <v>0</v>
      </c>
      <c r="E453" s="332">
        <v>1</v>
      </c>
      <c r="F453" s="332">
        <v>1</v>
      </c>
      <c r="G453" s="332">
        <v>4</v>
      </c>
      <c r="H453" s="332">
        <v>0.8</v>
      </c>
      <c r="I453" s="333">
        <v>0.11</v>
      </c>
      <c r="J453" s="333">
        <v>0.2</v>
      </c>
      <c r="K453" s="332">
        <v>0.2</v>
      </c>
      <c r="L453" s="332">
        <v>2</v>
      </c>
      <c r="M453" s="332" t="s">
        <v>157</v>
      </c>
      <c r="N453" s="332">
        <v>2001</v>
      </c>
      <c r="O453" s="332" t="s">
        <v>158</v>
      </c>
      <c r="P453" s="332">
        <v>613133</v>
      </c>
      <c r="Q453" s="335" t="s">
        <v>195</v>
      </c>
      <c r="R453" s="335" t="s">
        <v>1096</v>
      </c>
      <c r="S453" s="335" t="s">
        <v>166</v>
      </c>
    </row>
    <row r="454" spans="1:19" x14ac:dyDescent="0.2">
      <c r="A454" s="335" t="s">
        <v>260</v>
      </c>
      <c r="B454" s="332">
        <v>2</v>
      </c>
      <c r="C454" s="332">
        <v>1</v>
      </c>
      <c r="D454" s="332">
        <v>2</v>
      </c>
      <c r="E454" s="332">
        <v>3</v>
      </c>
      <c r="F454" s="332">
        <v>10</v>
      </c>
      <c r="G454" s="332">
        <v>23</v>
      </c>
      <c r="H454" s="332">
        <v>4.3</v>
      </c>
      <c r="I454" s="333">
        <v>0.19</v>
      </c>
      <c r="J454" s="333">
        <v>0.5</v>
      </c>
      <c r="K454" s="332">
        <v>2.5</v>
      </c>
      <c r="L454" s="332">
        <v>1.3</v>
      </c>
      <c r="M454" s="332" t="s">
        <v>157</v>
      </c>
      <c r="N454" s="332">
        <v>2000</v>
      </c>
      <c r="O454" s="332" t="s">
        <v>158</v>
      </c>
      <c r="P454" s="332">
        <v>502633</v>
      </c>
      <c r="Q454" s="335" t="s">
        <v>195</v>
      </c>
      <c r="R454" s="335" t="s">
        <v>163</v>
      </c>
      <c r="S454" s="335" t="s">
        <v>166</v>
      </c>
    </row>
    <row r="455" spans="1:19" x14ac:dyDescent="0.2">
      <c r="A455" s="335" t="s">
        <v>353</v>
      </c>
      <c r="B455" s="332">
        <v>17</v>
      </c>
      <c r="C455" s="332">
        <v>10</v>
      </c>
      <c r="D455" s="332">
        <v>22</v>
      </c>
      <c r="E455" s="332">
        <v>28</v>
      </c>
      <c r="F455" s="332">
        <v>42</v>
      </c>
      <c r="G455" s="332">
        <v>113</v>
      </c>
      <c r="H455" s="332">
        <v>16.399999999999999</v>
      </c>
      <c r="I455" s="333">
        <v>0.31</v>
      </c>
      <c r="J455" s="333">
        <v>1.44</v>
      </c>
      <c r="K455" s="332">
        <v>13.4</v>
      </c>
      <c r="L455" s="332">
        <v>1</v>
      </c>
      <c r="M455" s="332" t="s">
        <v>157</v>
      </c>
      <c r="N455" s="332">
        <v>2008</v>
      </c>
      <c r="O455" s="332" t="s">
        <v>158</v>
      </c>
      <c r="P455" s="332">
        <v>203067</v>
      </c>
      <c r="Q455" s="335" t="s">
        <v>195</v>
      </c>
      <c r="R455" s="335" t="s">
        <v>223</v>
      </c>
      <c r="S455" s="335" t="s">
        <v>166</v>
      </c>
    </row>
    <row r="456" spans="1:19" x14ac:dyDescent="0.2">
      <c r="A456" s="335" t="s">
        <v>1015</v>
      </c>
      <c r="B456" s="332">
        <v>2</v>
      </c>
      <c r="C456" s="332">
        <v>-1</v>
      </c>
      <c r="D456" s="332">
        <v>4</v>
      </c>
      <c r="E456" s="332">
        <v>18</v>
      </c>
      <c r="F456" s="332">
        <v>37</v>
      </c>
      <c r="G456" s="332"/>
      <c r="H456" s="332"/>
      <c r="I456" s="333">
        <v>0.75</v>
      </c>
      <c r="J456" s="333">
        <v>2.0499999999999998</v>
      </c>
      <c r="K456" s="332">
        <v>11.5</v>
      </c>
      <c r="L456" s="332">
        <v>1</v>
      </c>
      <c r="M456" s="332" t="s">
        <v>157</v>
      </c>
      <c r="N456" s="332">
        <v>2013</v>
      </c>
      <c r="O456" s="332" t="s">
        <v>158</v>
      </c>
      <c r="P456" s="332">
        <v>123968</v>
      </c>
      <c r="Q456" s="335" t="s">
        <v>781</v>
      </c>
      <c r="R456" s="335" t="s">
        <v>185</v>
      </c>
      <c r="S456" s="335"/>
    </row>
    <row r="457" spans="1:19" x14ac:dyDescent="0.2">
      <c r="A457" s="335" t="s">
        <v>701</v>
      </c>
      <c r="B457" s="332">
        <v>19</v>
      </c>
      <c r="C457" s="332">
        <v>10</v>
      </c>
      <c r="D457" s="332">
        <v>20</v>
      </c>
      <c r="E457" s="332">
        <v>7</v>
      </c>
      <c r="F457" s="332">
        <v>-1</v>
      </c>
      <c r="G457" s="332">
        <v>21</v>
      </c>
      <c r="H457" s="332">
        <v>3.9</v>
      </c>
      <c r="I457" s="333">
        <v>0.89</v>
      </c>
      <c r="J457" s="333">
        <v>2.81</v>
      </c>
      <c r="K457" s="332">
        <v>21.900000000000002</v>
      </c>
      <c r="L457" s="332">
        <v>0.1</v>
      </c>
      <c r="M457" s="332" t="s">
        <v>207</v>
      </c>
      <c r="N457" s="332">
        <v>2013</v>
      </c>
      <c r="O457" s="332" t="s">
        <v>69</v>
      </c>
      <c r="P457" s="332">
        <v>127621</v>
      </c>
      <c r="Q457" s="335" t="s">
        <v>874</v>
      </c>
      <c r="R457" s="335" t="s">
        <v>305</v>
      </c>
      <c r="S457" s="335"/>
    </row>
    <row r="458" spans="1:19" x14ac:dyDescent="0.2">
      <c r="A458" s="335" t="s">
        <v>733</v>
      </c>
      <c r="B458" s="332">
        <v>7</v>
      </c>
      <c r="C458" s="332">
        <v>3</v>
      </c>
      <c r="D458" s="332">
        <v>8</v>
      </c>
      <c r="E458" s="332">
        <v>14</v>
      </c>
      <c r="F458" s="332">
        <v>27</v>
      </c>
      <c r="G458" s="332"/>
      <c r="H458" s="332"/>
      <c r="I458" s="333">
        <v>0.57999999999999996</v>
      </c>
      <c r="J458" s="333">
        <v>1.6300000000000001</v>
      </c>
      <c r="K458" s="332">
        <v>8.6</v>
      </c>
      <c r="L458" s="332">
        <v>1</v>
      </c>
      <c r="M458" s="332" t="s">
        <v>157</v>
      </c>
      <c r="N458" s="332">
        <v>2013</v>
      </c>
      <c r="O458" s="332" t="s">
        <v>158</v>
      </c>
      <c r="P458" s="332">
        <v>159798</v>
      </c>
      <c r="Q458" s="335" t="s">
        <v>781</v>
      </c>
      <c r="R458" s="335" t="s">
        <v>1088</v>
      </c>
      <c r="S458" s="335"/>
    </row>
    <row r="459" spans="1:19" x14ac:dyDescent="0.2">
      <c r="A459" s="335" t="s">
        <v>1132</v>
      </c>
      <c r="B459" s="332">
        <v>6</v>
      </c>
      <c r="C459" s="332">
        <v>0</v>
      </c>
      <c r="D459" s="332">
        <v>4</v>
      </c>
      <c r="E459" s="332">
        <v>25</v>
      </c>
      <c r="F459" s="332"/>
      <c r="G459" s="332"/>
      <c r="H459" s="332"/>
      <c r="I459" s="333">
        <v>0.35000000000000003</v>
      </c>
      <c r="J459" s="333">
        <v>1.56</v>
      </c>
      <c r="K459" s="332"/>
      <c r="L459" s="332"/>
      <c r="M459" s="332" t="s">
        <v>157</v>
      </c>
      <c r="N459" s="332">
        <v>2014</v>
      </c>
      <c r="O459" s="332" t="s">
        <v>158</v>
      </c>
      <c r="P459" s="332">
        <v>470104</v>
      </c>
      <c r="Q459" s="335" t="s">
        <v>177</v>
      </c>
      <c r="R459" s="335" t="s">
        <v>205</v>
      </c>
      <c r="S459" s="335" t="s">
        <v>166</v>
      </c>
    </row>
    <row r="460" spans="1:19" x14ac:dyDescent="0.2">
      <c r="A460" s="335" t="s">
        <v>866</v>
      </c>
      <c r="B460" s="332">
        <v>14</v>
      </c>
      <c r="C460" s="332">
        <v>8</v>
      </c>
      <c r="D460" s="332">
        <v>11</v>
      </c>
      <c r="E460" s="332">
        <v>18</v>
      </c>
      <c r="F460" s="332"/>
      <c r="G460" s="332"/>
      <c r="H460" s="332"/>
      <c r="I460" s="333">
        <v>0.76</v>
      </c>
      <c r="J460" s="333">
        <v>2.44</v>
      </c>
      <c r="K460" s="332"/>
      <c r="L460" s="332"/>
      <c r="M460" s="332" t="s">
        <v>207</v>
      </c>
      <c r="N460" s="332">
        <v>2014</v>
      </c>
      <c r="O460" s="332" t="s">
        <v>69</v>
      </c>
      <c r="P460" s="332">
        <v>819904</v>
      </c>
      <c r="Q460" s="335" t="s">
        <v>775</v>
      </c>
      <c r="R460" s="335" t="s">
        <v>302</v>
      </c>
      <c r="S460" s="335"/>
    </row>
    <row r="461" spans="1:19" x14ac:dyDescent="0.2">
      <c r="A461" s="335" t="s">
        <v>1162</v>
      </c>
      <c r="B461" s="332">
        <v>19</v>
      </c>
      <c r="C461" s="332">
        <v>9</v>
      </c>
      <c r="D461" s="332">
        <v>22</v>
      </c>
      <c r="E461" s="332">
        <v>40</v>
      </c>
      <c r="F461" s="332"/>
      <c r="G461" s="332"/>
      <c r="H461" s="332"/>
      <c r="I461" s="333">
        <v>0.52</v>
      </c>
      <c r="J461" s="333">
        <v>1.2</v>
      </c>
      <c r="K461" s="332"/>
      <c r="L461" s="332"/>
      <c r="M461" s="332" t="s">
        <v>207</v>
      </c>
      <c r="N461" s="332">
        <v>2016</v>
      </c>
      <c r="O461" s="332" t="s">
        <v>69</v>
      </c>
      <c r="P461" s="332">
        <v>156075</v>
      </c>
      <c r="Q461" s="335" t="s">
        <v>532</v>
      </c>
      <c r="R461" s="335" t="s">
        <v>325</v>
      </c>
      <c r="S461" s="335"/>
    </row>
    <row r="462" spans="1:19" x14ac:dyDescent="0.2">
      <c r="A462" s="335" t="s">
        <v>206</v>
      </c>
      <c r="B462" s="332">
        <v>2</v>
      </c>
      <c r="C462" s="332">
        <v>3</v>
      </c>
      <c r="D462" s="332">
        <v>0</v>
      </c>
      <c r="E462" s="332">
        <v>5</v>
      </c>
      <c r="F462" s="332">
        <v>19</v>
      </c>
      <c r="G462" s="332">
        <v>40</v>
      </c>
      <c r="H462" s="332">
        <v>6.9</v>
      </c>
      <c r="I462" s="333">
        <v>0.16</v>
      </c>
      <c r="J462" s="333">
        <v>0.28000000000000003</v>
      </c>
      <c r="K462" s="332">
        <v>6.9</v>
      </c>
      <c r="L462" s="332">
        <v>0.9</v>
      </c>
      <c r="M462" s="332" t="s">
        <v>207</v>
      </c>
      <c r="N462" s="332">
        <v>2000</v>
      </c>
      <c r="O462" s="332" t="s">
        <v>69</v>
      </c>
      <c r="P462" s="332">
        <v>443721</v>
      </c>
      <c r="Q462" s="335" t="s">
        <v>208</v>
      </c>
      <c r="R462" s="335" t="s">
        <v>1108</v>
      </c>
      <c r="S462" s="335"/>
    </row>
    <row r="463" spans="1:19" x14ac:dyDescent="0.2">
      <c r="A463" s="335" t="s">
        <v>18</v>
      </c>
      <c r="B463" s="332">
        <v>4</v>
      </c>
      <c r="C463" s="332">
        <v>-2</v>
      </c>
      <c r="D463" s="332">
        <v>5</v>
      </c>
      <c r="E463" s="332">
        <v>8</v>
      </c>
      <c r="F463" s="332">
        <v>48</v>
      </c>
      <c r="G463" s="332">
        <v>131</v>
      </c>
      <c r="H463" s="332">
        <v>18.2</v>
      </c>
      <c r="I463" s="333">
        <v>0.3</v>
      </c>
      <c r="J463" s="333">
        <v>0.6</v>
      </c>
      <c r="K463" s="332">
        <v>17.5</v>
      </c>
      <c r="L463" s="332">
        <v>0.9</v>
      </c>
      <c r="M463" s="332" t="s">
        <v>207</v>
      </c>
      <c r="N463" s="332">
        <v>2001</v>
      </c>
      <c r="O463" s="332" t="s">
        <v>69</v>
      </c>
      <c r="P463" s="332">
        <v>416982</v>
      </c>
      <c r="Q463" s="335" t="s">
        <v>208</v>
      </c>
      <c r="R463" s="335" t="s">
        <v>1117</v>
      </c>
      <c r="S463" s="335"/>
    </row>
    <row r="464" spans="1:19" x14ac:dyDescent="0.2">
      <c r="A464" s="335" t="s">
        <v>1163</v>
      </c>
      <c r="B464" s="332">
        <v>-2</v>
      </c>
      <c r="C464" s="332">
        <v>-3</v>
      </c>
      <c r="D464" s="332">
        <v>-3</v>
      </c>
      <c r="E464" s="332">
        <v>-1</v>
      </c>
      <c r="F464" s="332"/>
      <c r="G464" s="332"/>
      <c r="H464" s="332"/>
      <c r="I464" s="333">
        <v>0.63</v>
      </c>
      <c r="J464" s="333">
        <v>1.5</v>
      </c>
      <c r="K464" s="332"/>
      <c r="L464" s="332"/>
      <c r="M464" s="332" t="s">
        <v>157</v>
      </c>
      <c r="N464" s="332">
        <v>2017</v>
      </c>
      <c r="O464" s="332" t="s">
        <v>158</v>
      </c>
      <c r="P464" s="332">
        <v>575704</v>
      </c>
      <c r="Q464" s="335" t="s">
        <v>932</v>
      </c>
      <c r="R464" s="335" t="s">
        <v>1106</v>
      </c>
      <c r="S464" s="335"/>
    </row>
    <row r="465" spans="1:19" x14ac:dyDescent="0.2">
      <c r="A465" s="335" t="s">
        <v>221</v>
      </c>
      <c r="B465" s="332">
        <v>8</v>
      </c>
      <c r="C465" s="332">
        <v>4</v>
      </c>
      <c r="D465" s="332">
        <v>10</v>
      </c>
      <c r="E465" s="332">
        <v>19</v>
      </c>
      <c r="F465" s="332">
        <v>40</v>
      </c>
      <c r="G465" s="332">
        <v>102</v>
      </c>
      <c r="H465" s="332">
        <v>15.1</v>
      </c>
      <c r="I465" s="333">
        <v>0.19</v>
      </c>
      <c r="J465" s="333">
        <v>0.45</v>
      </c>
      <c r="K465" s="332">
        <v>11.1</v>
      </c>
      <c r="L465" s="332">
        <v>1.1000000000000001</v>
      </c>
      <c r="M465" s="332" t="s">
        <v>157</v>
      </c>
      <c r="N465" s="332">
        <v>2012</v>
      </c>
      <c r="O465" s="332" t="s">
        <v>158</v>
      </c>
      <c r="P465" s="332">
        <v>229682</v>
      </c>
      <c r="Q465" s="335" t="s">
        <v>172</v>
      </c>
      <c r="R465" s="335" t="s">
        <v>1091</v>
      </c>
      <c r="S465" s="335" t="s">
        <v>166</v>
      </c>
    </row>
    <row r="466" spans="1:19" x14ac:dyDescent="0.2">
      <c r="A466" s="335" t="s">
        <v>1073</v>
      </c>
      <c r="B466" s="332">
        <v>8</v>
      </c>
      <c r="C466" s="332">
        <v>2</v>
      </c>
      <c r="D466" s="332">
        <v>9</v>
      </c>
      <c r="E466" s="332">
        <v>22</v>
      </c>
      <c r="F466" s="332">
        <v>33</v>
      </c>
      <c r="G466" s="332">
        <v>83</v>
      </c>
      <c r="H466" s="332">
        <v>12.9</v>
      </c>
      <c r="I466" s="333">
        <v>0.64</v>
      </c>
      <c r="J466" s="333">
        <v>1.79</v>
      </c>
      <c r="K466" s="332">
        <v>14.1</v>
      </c>
      <c r="L466" s="332">
        <v>0.8</v>
      </c>
      <c r="M466" s="332" t="s">
        <v>157</v>
      </c>
      <c r="N466" s="332">
        <v>2011</v>
      </c>
      <c r="O466" s="332" t="s">
        <v>158</v>
      </c>
      <c r="P466" s="332">
        <v>339002</v>
      </c>
      <c r="Q466" s="335" t="s">
        <v>631</v>
      </c>
      <c r="R466" s="335" t="s">
        <v>1091</v>
      </c>
      <c r="S466" s="335"/>
    </row>
    <row r="467" spans="1:19" x14ac:dyDescent="0.2">
      <c r="A467" s="335" t="s">
        <v>1082</v>
      </c>
      <c r="B467" s="332">
        <v>13</v>
      </c>
      <c r="C467" s="332">
        <v>5</v>
      </c>
      <c r="D467" s="332">
        <v>13</v>
      </c>
      <c r="E467" s="332">
        <v>30</v>
      </c>
      <c r="F467" s="332">
        <v>33</v>
      </c>
      <c r="G467" s="332">
        <v>65</v>
      </c>
      <c r="H467" s="332">
        <v>10.6</v>
      </c>
      <c r="I467" s="333">
        <v>0.70000000000000007</v>
      </c>
      <c r="J467" s="333">
        <v>1.99</v>
      </c>
      <c r="K467" s="332">
        <v>14.4</v>
      </c>
      <c r="L467" s="332">
        <v>0.70000000000000007</v>
      </c>
      <c r="M467" s="332" t="s">
        <v>157</v>
      </c>
      <c r="N467" s="332">
        <v>2011</v>
      </c>
      <c r="O467" s="332" t="s">
        <v>158</v>
      </c>
      <c r="P467" s="332">
        <v>374835</v>
      </c>
      <c r="Q467" s="335" t="s">
        <v>631</v>
      </c>
      <c r="R467" s="335" t="s">
        <v>1091</v>
      </c>
      <c r="S467" s="335"/>
    </row>
    <row r="468" spans="1:19" x14ac:dyDescent="0.2">
      <c r="A468" s="335" t="s">
        <v>719</v>
      </c>
      <c r="B468" s="332">
        <v>14</v>
      </c>
      <c r="C468" s="332">
        <v>8</v>
      </c>
      <c r="D468" s="332">
        <v>12</v>
      </c>
      <c r="E468" s="332">
        <v>19</v>
      </c>
      <c r="F468" s="332">
        <v>17</v>
      </c>
      <c r="G468" s="332">
        <v>51</v>
      </c>
      <c r="H468" s="332">
        <v>8.7000000000000011</v>
      </c>
      <c r="I468" s="333">
        <v>0.81</v>
      </c>
      <c r="J468" s="333">
        <v>2.72</v>
      </c>
      <c r="K468" s="332">
        <v>12.1</v>
      </c>
      <c r="L468" s="332">
        <v>0.5</v>
      </c>
      <c r="M468" s="332" t="s">
        <v>207</v>
      </c>
      <c r="N468" s="332">
        <v>2005</v>
      </c>
      <c r="O468" s="332" t="s">
        <v>69</v>
      </c>
      <c r="P468" s="332">
        <v>923383</v>
      </c>
      <c r="Q468" s="335" t="s">
        <v>1013</v>
      </c>
      <c r="R468" s="335" t="s">
        <v>185</v>
      </c>
      <c r="S468" s="335"/>
    </row>
    <row r="469" spans="1:19" x14ac:dyDescent="0.2">
      <c r="A469" s="335" t="s">
        <v>916</v>
      </c>
      <c r="B469" s="332">
        <v>2</v>
      </c>
      <c r="C469" s="332">
        <v>1</v>
      </c>
      <c r="D469" s="332">
        <v>3</v>
      </c>
      <c r="E469" s="332">
        <v>4</v>
      </c>
      <c r="F469" s="332">
        <v>11</v>
      </c>
      <c r="G469" s="332">
        <v>32</v>
      </c>
      <c r="H469" s="332">
        <v>5.7</v>
      </c>
      <c r="I469" s="333">
        <v>0.52</v>
      </c>
      <c r="J469" s="333">
        <v>1.3</v>
      </c>
      <c r="K469" s="332">
        <v>5</v>
      </c>
      <c r="L469" s="332">
        <v>0.8</v>
      </c>
      <c r="M469" s="332" t="s">
        <v>157</v>
      </c>
      <c r="N469" s="332">
        <v>2015</v>
      </c>
      <c r="O469" s="332" t="s">
        <v>69</v>
      </c>
      <c r="P469" s="332">
        <v>239301</v>
      </c>
      <c r="Q469" s="335" t="s">
        <v>330</v>
      </c>
      <c r="R469" s="335" t="s">
        <v>1100</v>
      </c>
      <c r="S469" s="335"/>
    </row>
    <row r="470" spans="1:19" x14ac:dyDescent="0.2">
      <c r="A470" s="335" t="s">
        <v>1116</v>
      </c>
      <c r="B470" s="332">
        <v>16</v>
      </c>
      <c r="C470" s="332">
        <v>7</v>
      </c>
      <c r="D470" s="332">
        <v>15</v>
      </c>
      <c r="E470" s="332">
        <v>40</v>
      </c>
      <c r="F470" s="332"/>
      <c r="G470" s="332"/>
      <c r="H470" s="332"/>
      <c r="I470" s="333">
        <v>0.81</v>
      </c>
      <c r="J470" s="333">
        <v>2.72</v>
      </c>
      <c r="K470" s="332"/>
      <c r="L470" s="332"/>
      <c r="M470" s="332" t="s">
        <v>352</v>
      </c>
      <c r="N470" s="332">
        <v>2017</v>
      </c>
      <c r="O470" s="332" t="s">
        <v>69</v>
      </c>
      <c r="P470" s="332">
        <v>558700</v>
      </c>
      <c r="Q470" s="335" t="s">
        <v>1013</v>
      </c>
      <c r="R470" s="335" t="s">
        <v>296</v>
      </c>
      <c r="S470" s="335"/>
    </row>
    <row r="471" spans="1:19" x14ac:dyDescent="0.2">
      <c r="A471" s="335" t="s">
        <v>804</v>
      </c>
      <c r="B471" s="332">
        <v>7</v>
      </c>
      <c r="C471" s="332">
        <v>8</v>
      </c>
      <c r="D471" s="332">
        <v>9</v>
      </c>
      <c r="E471" s="332">
        <v>9</v>
      </c>
      <c r="F471" s="332">
        <v>35</v>
      </c>
      <c r="G471" s="332">
        <v>80</v>
      </c>
      <c r="H471" s="332">
        <v>12.5</v>
      </c>
      <c r="I471" s="333">
        <v>0.52</v>
      </c>
      <c r="J471" s="333">
        <v>1.2</v>
      </c>
      <c r="K471" s="332">
        <v>13</v>
      </c>
      <c r="L471" s="332">
        <v>0.9</v>
      </c>
      <c r="M471" s="332" t="s">
        <v>207</v>
      </c>
      <c r="N471" s="332">
        <v>2015</v>
      </c>
      <c r="O471" s="332" t="s">
        <v>69</v>
      </c>
      <c r="P471" s="332">
        <v>852079</v>
      </c>
      <c r="Q471" s="335" t="s">
        <v>805</v>
      </c>
      <c r="R471" s="335" t="s">
        <v>1114</v>
      </c>
      <c r="S471" s="335"/>
    </row>
    <row r="472" spans="1:19" x14ac:dyDescent="0.2">
      <c r="A472" s="335" t="s">
        <v>808</v>
      </c>
      <c r="B472" s="332">
        <v>2</v>
      </c>
      <c r="C472" s="332">
        <v>0</v>
      </c>
      <c r="D472" s="332">
        <v>3</v>
      </c>
      <c r="E472" s="332">
        <v>7</v>
      </c>
      <c r="F472" s="332">
        <v>32</v>
      </c>
      <c r="G472" s="332">
        <v>76</v>
      </c>
      <c r="H472" s="332">
        <v>11.9</v>
      </c>
      <c r="I472" s="333">
        <v>0.59</v>
      </c>
      <c r="J472" s="333">
        <v>1.4000000000000001</v>
      </c>
      <c r="K472" s="332">
        <v>12.700000000000001</v>
      </c>
      <c r="L472" s="332">
        <v>0.8</v>
      </c>
      <c r="M472" s="332" t="s">
        <v>207</v>
      </c>
      <c r="N472" s="332">
        <v>2015</v>
      </c>
      <c r="O472" s="332" t="s">
        <v>69</v>
      </c>
      <c r="P472" s="332">
        <v>887901</v>
      </c>
      <c r="Q472" s="335" t="s">
        <v>805</v>
      </c>
      <c r="R472" s="335" t="s">
        <v>1114</v>
      </c>
      <c r="S472" s="335"/>
    </row>
    <row r="473" spans="1:19" x14ac:dyDescent="0.2">
      <c r="A473" s="335" t="s">
        <v>878</v>
      </c>
      <c r="B473" s="332">
        <v>2</v>
      </c>
      <c r="C473" s="332">
        <v>-1</v>
      </c>
      <c r="D473" s="332">
        <v>3</v>
      </c>
      <c r="E473" s="332">
        <v>6</v>
      </c>
      <c r="F473" s="332"/>
      <c r="G473" s="332"/>
      <c r="H473" s="332"/>
      <c r="I473" s="333">
        <v>0.89</v>
      </c>
      <c r="J473" s="333">
        <v>2.2400000000000002</v>
      </c>
      <c r="K473" s="332"/>
      <c r="L473" s="332"/>
      <c r="M473" s="332" t="s">
        <v>157</v>
      </c>
      <c r="N473" s="332">
        <v>2015</v>
      </c>
      <c r="O473" s="332" t="s">
        <v>158</v>
      </c>
      <c r="P473" s="332">
        <v>205302</v>
      </c>
      <c r="Q473" s="335" t="s">
        <v>879</v>
      </c>
      <c r="R473" s="335" t="s">
        <v>223</v>
      </c>
      <c r="S473" s="335"/>
    </row>
    <row r="474" spans="1:19" x14ac:dyDescent="0.2">
      <c r="A474" s="335" t="s">
        <v>897</v>
      </c>
      <c r="B474" s="332">
        <v>12</v>
      </c>
      <c r="C474" s="332">
        <v>9</v>
      </c>
      <c r="D474" s="332">
        <v>16</v>
      </c>
      <c r="E474" s="332">
        <v>21</v>
      </c>
      <c r="F474" s="332"/>
      <c r="G474" s="332"/>
      <c r="H474" s="332"/>
      <c r="I474" s="333">
        <v>0.16</v>
      </c>
      <c r="J474" s="333">
        <v>0.2</v>
      </c>
      <c r="K474" s="332"/>
      <c r="L474" s="332"/>
      <c r="M474" s="332" t="s">
        <v>157</v>
      </c>
      <c r="N474" s="332">
        <v>2015</v>
      </c>
      <c r="O474" s="332" t="s">
        <v>158</v>
      </c>
      <c r="P474" s="332">
        <v>755504</v>
      </c>
      <c r="Q474" s="335" t="s">
        <v>175</v>
      </c>
      <c r="R474" s="335" t="s">
        <v>219</v>
      </c>
      <c r="S474" s="335"/>
    </row>
    <row r="475" spans="1:19" x14ac:dyDescent="0.2">
      <c r="A475" s="335" t="s">
        <v>247</v>
      </c>
      <c r="B475" s="332">
        <v>14</v>
      </c>
      <c r="C475" s="332">
        <v>11</v>
      </c>
      <c r="D475" s="332">
        <v>16</v>
      </c>
      <c r="E475" s="332">
        <v>17</v>
      </c>
      <c r="F475" s="332">
        <v>34</v>
      </c>
      <c r="G475" s="332">
        <v>96</v>
      </c>
      <c r="H475" s="332">
        <v>14.4</v>
      </c>
      <c r="I475" s="333">
        <v>0.2</v>
      </c>
      <c r="J475" s="333">
        <v>0.56000000000000005</v>
      </c>
      <c r="K475" s="332">
        <v>12.200000000000001</v>
      </c>
      <c r="L475" s="332">
        <v>0.9</v>
      </c>
      <c r="M475" s="332" t="s">
        <v>157</v>
      </c>
      <c r="N475" s="332">
        <v>2000</v>
      </c>
      <c r="O475" s="332" t="s">
        <v>158</v>
      </c>
      <c r="P475" s="332">
        <v>964171</v>
      </c>
      <c r="Q475" s="335" t="s">
        <v>175</v>
      </c>
      <c r="R475" s="335" t="s">
        <v>219</v>
      </c>
      <c r="S475" s="335"/>
    </row>
    <row r="476" spans="1:19" x14ac:dyDescent="0.2">
      <c r="A476" s="335" t="s">
        <v>948</v>
      </c>
      <c r="B476" s="332">
        <v>1</v>
      </c>
      <c r="C476" s="332">
        <v>0</v>
      </c>
      <c r="D476" s="332">
        <v>1</v>
      </c>
      <c r="E476" s="332">
        <v>2</v>
      </c>
      <c r="F476" s="332">
        <v>5</v>
      </c>
      <c r="G476" s="332"/>
      <c r="H476" s="332"/>
      <c r="I476" s="333">
        <v>0.17</v>
      </c>
      <c r="J476" s="333">
        <v>0.71</v>
      </c>
      <c r="K476" s="332">
        <v>1.4000000000000001</v>
      </c>
      <c r="L476" s="332">
        <v>1.3</v>
      </c>
      <c r="M476" s="332" t="s">
        <v>157</v>
      </c>
      <c r="N476" s="332">
        <v>2016</v>
      </c>
      <c r="O476" s="332" t="s">
        <v>158</v>
      </c>
      <c r="P476" s="332">
        <v>273300</v>
      </c>
      <c r="Q476" s="335" t="s">
        <v>175</v>
      </c>
      <c r="R476" s="335" t="s">
        <v>1098</v>
      </c>
      <c r="S476" s="335" t="s">
        <v>166</v>
      </c>
    </row>
    <row r="477" spans="1:19" x14ac:dyDescent="0.2">
      <c r="A477" s="335" t="s">
        <v>323</v>
      </c>
      <c r="B477" s="332">
        <v>15</v>
      </c>
      <c r="C477" s="332">
        <v>10</v>
      </c>
      <c r="D477" s="332">
        <v>17</v>
      </c>
      <c r="E477" s="332">
        <v>17</v>
      </c>
      <c r="F477" s="332">
        <v>39</v>
      </c>
      <c r="G477" s="332">
        <v>132</v>
      </c>
      <c r="H477" s="332">
        <v>18.400000000000002</v>
      </c>
      <c r="I477" s="333">
        <v>0.27</v>
      </c>
      <c r="J477" s="333">
        <v>1.29</v>
      </c>
      <c r="K477" s="332">
        <v>15.1</v>
      </c>
      <c r="L477" s="332">
        <v>0.8</v>
      </c>
      <c r="M477" s="332" t="s">
        <v>157</v>
      </c>
      <c r="N477" s="332">
        <v>2000</v>
      </c>
      <c r="O477" s="332" t="s">
        <v>158</v>
      </c>
      <c r="P477" s="332">
        <v>896761</v>
      </c>
      <c r="Q477" s="335" t="s">
        <v>175</v>
      </c>
      <c r="R477" s="335" t="s">
        <v>1111</v>
      </c>
      <c r="S477" s="335" t="s">
        <v>166</v>
      </c>
    </row>
    <row r="478" spans="1:19" x14ac:dyDescent="0.2">
      <c r="A478" s="335" t="s">
        <v>326</v>
      </c>
      <c r="B478" s="332">
        <v>13</v>
      </c>
      <c r="C478" s="332">
        <v>9</v>
      </c>
      <c r="D478" s="332">
        <v>17</v>
      </c>
      <c r="E478" s="332">
        <v>20</v>
      </c>
      <c r="F478" s="332">
        <v>66</v>
      </c>
      <c r="G478" s="332">
        <v>173</v>
      </c>
      <c r="H478" s="332">
        <v>22.3</v>
      </c>
      <c r="I478" s="333">
        <v>0.27</v>
      </c>
      <c r="J478" s="333">
        <v>1.29</v>
      </c>
      <c r="K478" s="332">
        <v>14.8</v>
      </c>
      <c r="L478" s="332">
        <v>1.2</v>
      </c>
      <c r="M478" s="332" t="s">
        <v>157</v>
      </c>
      <c r="N478" s="332">
        <v>2000</v>
      </c>
      <c r="O478" s="332" t="s">
        <v>158</v>
      </c>
      <c r="P478" s="332">
        <v>856682</v>
      </c>
      <c r="Q478" s="335" t="s">
        <v>175</v>
      </c>
      <c r="R478" s="335" t="s">
        <v>264</v>
      </c>
      <c r="S478" s="335" t="s">
        <v>166</v>
      </c>
    </row>
    <row r="479" spans="1:19" x14ac:dyDescent="0.2">
      <c r="A479" s="335" t="s">
        <v>336</v>
      </c>
      <c r="B479" s="332">
        <v>7</v>
      </c>
      <c r="C479" s="332">
        <v>6</v>
      </c>
      <c r="D479" s="332">
        <v>10</v>
      </c>
      <c r="E479" s="332">
        <v>9</v>
      </c>
      <c r="F479" s="332">
        <v>25</v>
      </c>
      <c r="G479" s="332">
        <v>77</v>
      </c>
      <c r="H479" s="332">
        <v>12</v>
      </c>
      <c r="I479" s="333">
        <v>0.27</v>
      </c>
      <c r="J479" s="333">
        <v>1.29</v>
      </c>
      <c r="K479" s="332">
        <v>12.3</v>
      </c>
      <c r="L479" s="332">
        <v>0.70000000000000007</v>
      </c>
      <c r="M479" s="332" t="s">
        <v>157</v>
      </c>
      <c r="N479" s="332">
        <v>2000</v>
      </c>
      <c r="O479" s="332" t="s">
        <v>158</v>
      </c>
      <c r="P479" s="332">
        <v>820852</v>
      </c>
      <c r="Q479" s="335" t="s">
        <v>175</v>
      </c>
      <c r="R479" s="335" t="s">
        <v>325</v>
      </c>
      <c r="S479" s="335" t="s">
        <v>166</v>
      </c>
    </row>
    <row r="480" spans="1:19" x14ac:dyDescent="0.2">
      <c r="A480" s="335" t="s">
        <v>1095</v>
      </c>
      <c r="B480" s="332">
        <v>11</v>
      </c>
      <c r="C480" s="332">
        <v>6</v>
      </c>
      <c r="D480" s="332">
        <v>10</v>
      </c>
      <c r="E480" s="332">
        <v>15</v>
      </c>
      <c r="F480" s="332">
        <v>54</v>
      </c>
      <c r="G480" s="332">
        <v>102</v>
      </c>
      <c r="H480" s="332">
        <v>15.1</v>
      </c>
      <c r="I480" s="333">
        <v>0.38</v>
      </c>
      <c r="J480" s="333">
        <v>1.6300000000000001</v>
      </c>
      <c r="K480" s="332">
        <v>13.6</v>
      </c>
      <c r="L480" s="332">
        <v>1.1000000000000001</v>
      </c>
      <c r="M480" s="332" t="s">
        <v>157</v>
      </c>
      <c r="N480" s="332">
        <v>2008</v>
      </c>
      <c r="O480" s="332" t="s">
        <v>69</v>
      </c>
      <c r="P480" s="332">
        <v>106492</v>
      </c>
      <c r="Q480" s="335" t="s">
        <v>1129</v>
      </c>
      <c r="R480" s="335" t="s">
        <v>185</v>
      </c>
      <c r="S480" s="335" t="s">
        <v>166</v>
      </c>
    </row>
    <row r="481" spans="1:19" x14ac:dyDescent="0.2">
      <c r="A481" s="335" t="s">
        <v>790</v>
      </c>
      <c r="B481" s="332">
        <v>18</v>
      </c>
      <c r="C481" s="332">
        <v>10</v>
      </c>
      <c r="D481" s="332">
        <v>13</v>
      </c>
      <c r="E481" s="332">
        <v>6</v>
      </c>
      <c r="F481" s="332">
        <v>-5</v>
      </c>
      <c r="G481" s="332">
        <v>10</v>
      </c>
      <c r="H481" s="332">
        <v>2</v>
      </c>
      <c r="I481" s="333">
        <v>0.79</v>
      </c>
      <c r="J481" s="333">
        <v>2.52</v>
      </c>
      <c r="K481" s="332">
        <v>14.3</v>
      </c>
      <c r="L481" s="332">
        <v>0</v>
      </c>
      <c r="M481" s="332" t="s">
        <v>157</v>
      </c>
      <c r="N481" s="332">
        <v>2011</v>
      </c>
      <c r="O481" s="332" t="s">
        <v>158</v>
      </c>
      <c r="P481" s="332">
        <v>686972</v>
      </c>
      <c r="Q481" s="335" t="s">
        <v>159</v>
      </c>
      <c r="R481" s="335" t="s">
        <v>302</v>
      </c>
      <c r="S481" s="335"/>
    </row>
    <row r="482" spans="1:19" x14ac:dyDescent="0.2">
      <c r="A482" s="335" t="s">
        <v>667</v>
      </c>
      <c r="B482" s="332">
        <v>9</v>
      </c>
      <c r="C482" s="332">
        <v>5</v>
      </c>
      <c r="D482" s="332">
        <v>11</v>
      </c>
      <c r="E482" s="332">
        <v>14</v>
      </c>
      <c r="F482" s="332">
        <v>28</v>
      </c>
      <c r="G482" s="332">
        <v>60</v>
      </c>
      <c r="H482" s="332">
        <v>9.9</v>
      </c>
      <c r="I482" s="333">
        <v>0.72</v>
      </c>
      <c r="J482" s="333">
        <v>2.25</v>
      </c>
      <c r="K482" s="332">
        <v>11.4</v>
      </c>
      <c r="L482" s="332">
        <v>0.8</v>
      </c>
      <c r="M482" s="332" t="s">
        <v>157</v>
      </c>
      <c r="N482" s="332">
        <v>2011</v>
      </c>
      <c r="O482" s="332" t="s">
        <v>158</v>
      </c>
      <c r="P482" s="332">
        <v>874032</v>
      </c>
      <c r="Q482" s="335" t="s">
        <v>668</v>
      </c>
      <c r="R482" s="335" t="s">
        <v>185</v>
      </c>
      <c r="S482" s="335"/>
    </row>
    <row r="483" spans="1:19" x14ac:dyDescent="0.2">
      <c r="A483" s="335" t="s">
        <v>939</v>
      </c>
      <c r="B483" s="332">
        <v>10</v>
      </c>
      <c r="C483" s="332">
        <v>7</v>
      </c>
      <c r="D483" s="332">
        <v>12</v>
      </c>
      <c r="E483" s="332">
        <v>13</v>
      </c>
      <c r="F483" s="332"/>
      <c r="G483" s="332"/>
      <c r="H483" s="332"/>
      <c r="I483" s="333">
        <v>0.45</v>
      </c>
      <c r="J483" s="333">
        <v>1.98</v>
      </c>
      <c r="K483" s="332"/>
      <c r="L483" s="332"/>
      <c r="M483" s="332" t="s">
        <v>157</v>
      </c>
      <c r="N483" s="332">
        <v>2016</v>
      </c>
      <c r="O483" s="332" t="s">
        <v>69</v>
      </c>
      <c r="P483" s="332">
        <v>587279</v>
      </c>
      <c r="Q483" s="335" t="s">
        <v>838</v>
      </c>
      <c r="R483" s="335" t="s">
        <v>223</v>
      </c>
      <c r="S483" s="335"/>
    </row>
    <row r="484" spans="1:19" x14ac:dyDescent="0.2">
      <c r="A484" s="335" t="s">
        <v>976</v>
      </c>
      <c r="B484" s="332">
        <v>6</v>
      </c>
      <c r="C484" s="332">
        <v>2</v>
      </c>
      <c r="D484" s="332">
        <v>7</v>
      </c>
      <c r="E484" s="332">
        <v>18</v>
      </c>
      <c r="F484" s="332"/>
      <c r="G484" s="332"/>
      <c r="H484" s="332"/>
      <c r="I484" s="333">
        <v>0.67</v>
      </c>
      <c r="J484" s="333">
        <v>1.6400000000000001</v>
      </c>
      <c r="K484" s="332"/>
      <c r="L484" s="332"/>
      <c r="M484" s="332" t="s">
        <v>207</v>
      </c>
      <c r="N484" s="332">
        <v>2002</v>
      </c>
      <c r="O484" s="332" t="s">
        <v>69</v>
      </c>
      <c r="P484" s="332">
        <v>526897</v>
      </c>
      <c r="Q484" s="335" t="s">
        <v>800</v>
      </c>
      <c r="R484" s="335" t="s">
        <v>185</v>
      </c>
      <c r="S484" s="335"/>
    </row>
    <row r="485" spans="1:19" x14ac:dyDescent="0.2">
      <c r="A485" s="335" t="s">
        <v>1026</v>
      </c>
      <c r="B485" s="332">
        <v>5</v>
      </c>
      <c r="C485" s="332">
        <v>2</v>
      </c>
      <c r="D485" s="332">
        <v>7</v>
      </c>
      <c r="E485" s="332">
        <v>12</v>
      </c>
      <c r="F485" s="332"/>
      <c r="G485" s="332"/>
      <c r="H485" s="332"/>
      <c r="I485" s="333">
        <v>0.57999999999999996</v>
      </c>
      <c r="J485" s="333">
        <v>1.7</v>
      </c>
      <c r="K485" s="332"/>
      <c r="L485" s="332"/>
      <c r="M485" s="332" t="s">
        <v>157</v>
      </c>
      <c r="N485" s="332">
        <v>2016</v>
      </c>
      <c r="O485" s="332" t="s">
        <v>69</v>
      </c>
      <c r="P485" s="332">
        <v>988071</v>
      </c>
      <c r="Q485" s="335" t="s">
        <v>330</v>
      </c>
      <c r="R485" s="335" t="s">
        <v>1088</v>
      </c>
      <c r="S485" s="335"/>
    </row>
    <row r="486" spans="1:19" x14ac:dyDescent="0.2">
      <c r="A486" s="335" t="s">
        <v>788</v>
      </c>
      <c r="B486" s="332">
        <v>15</v>
      </c>
      <c r="C486" s="332">
        <v>6</v>
      </c>
      <c r="D486" s="332">
        <v>15</v>
      </c>
      <c r="E486" s="332">
        <v>9</v>
      </c>
      <c r="F486" s="332">
        <v>15</v>
      </c>
      <c r="G486" s="332">
        <v>25</v>
      </c>
      <c r="H486" s="332">
        <v>4.6000000000000005</v>
      </c>
      <c r="I486" s="333">
        <v>0.79</v>
      </c>
      <c r="J486" s="333">
        <v>2.3199999999999998</v>
      </c>
      <c r="K486" s="332">
        <v>11.8</v>
      </c>
      <c r="L486" s="332">
        <v>0.5</v>
      </c>
      <c r="M486" s="332" t="s">
        <v>157</v>
      </c>
      <c r="N486" s="332">
        <v>2011</v>
      </c>
      <c r="O486" s="332" t="s">
        <v>158</v>
      </c>
      <c r="P486" s="332">
        <v>651141</v>
      </c>
      <c r="Q486" s="335" t="s">
        <v>159</v>
      </c>
      <c r="R486" s="335" t="s">
        <v>305</v>
      </c>
      <c r="S486" s="335"/>
    </row>
    <row r="487" spans="1:19" x14ac:dyDescent="0.2">
      <c r="A487" s="335" t="s">
        <v>905</v>
      </c>
      <c r="B487" s="332">
        <v>4</v>
      </c>
      <c r="C487" s="332">
        <v>-1</v>
      </c>
      <c r="D487" s="332">
        <v>4</v>
      </c>
      <c r="E487" s="332">
        <v>13</v>
      </c>
      <c r="F487" s="332">
        <v>23</v>
      </c>
      <c r="G487" s="332">
        <v>50</v>
      </c>
      <c r="H487" s="332">
        <v>8.4</v>
      </c>
      <c r="I487" s="333">
        <v>0.54</v>
      </c>
      <c r="J487" s="333">
        <v>2.31</v>
      </c>
      <c r="K487" s="332">
        <v>12.1</v>
      </c>
      <c r="L487" s="332">
        <v>0.6</v>
      </c>
      <c r="M487" s="332" t="s">
        <v>157</v>
      </c>
      <c r="N487" s="332">
        <v>2011</v>
      </c>
      <c r="O487" s="332" t="s">
        <v>69</v>
      </c>
      <c r="P487" s="332">
        <v>286179</v>
      </c>
      <c r="Q487" s="335" t="s">
        <v>863</v>
      </c>
      <c r="R487" s="335" t="s">
        <v>185</v>
      </c>
      <c r="S487" s="335" t="s">
        <v>166</v>
      </c>
    </row>
    <row r="488" spans="1:19" x14ac:dyDescent="0.2">
      <c r="A488" s="335" t="s">
        <v>904</v>
      </c>
      <c r="B488" s="332">
        <v>3</v>
      </c>
      <c r="C488" s="332">
        <v>1</v>
      </c>
      <c r="D488" s="332">
        <v>3</v>
      </c>
      <c r="E488" s="332">
        <v>7</v>
      </c>
      <c r="F488" s="332">
        <v>9</v>
      </c>
      <c r="G488" s="332">
        <v>20</v>
      </c>
      <c r="H488" s="332">
        <v>3.7</v>
      </c>
      <c r="I488" s="333">
        <v>0.4</v>
      </c>
      <c r="J488" s="333">
        <v>1.6</v>
      </c>
      <c r="K488" s="332">
        <v>4.8</v>
      </c>
      <c r="L488" s="332">
        <v>0.6</v>
      </c>
      <c r="M488" s="332" t="s">
        <v>157</v>
      </c>
      <c r="N488" s="332">
        <v>2011</v>
      </c>
      <c r="O488" s="332" t="s">
        <v>69</v>
      </c>
      <c r="P488" s="332">
        <v>322008</v>
      </c>
      <c r="Q488" s="335" t="s">
        <v>863</v>
      </c>
      <c r="R488" s="335" t="s">
        <v>1106</v>
      </c>
      <c r="S488" s="335" t="s">
        <v>166</v>
      </c>
    </row>
    <row r="489" spans="1:19" x14ac:dyDescent="0.2">
      <c r="A489" s="335" t="s">
        <v>193</v>
      </c>
      <c r="B489" s="332">
        <v>1</v>
      </c>
      <c r="C489" s="332">
        <v>1</v>
      </c>
      <c r="D489" s="332">
        <v>1</v>
      </c>
      <c r="E489" s="332">
        <v>3</v>
      </c>
      <c r="F489" s="332">
        <v>3</v>
      </c>
      <c r="G489" s="332"/>
      <c r="H489" s="332"/>
      <c r="I489" s="333">
        <v>0.14000000000000001</v>
      </c>
      <c r="J489" s="333">
        <v>0.41000000000000003</v>
      </c>
      <c r="K489" s="332">
        <v>0.9</v>
      </c>
      <c r="L489" s="332">
        <v>1.3</v>
      </c>
      <c r="M489" s="332" t="s">
        <v>157</v>
      </c>
      <c r="N489" s="332">
        <v>2012</v>
      </c>
      <c r="O489" s="332" t="s">
        <v>158</v>
      </c>
      <c r="P489" s="332">
        <v>331686</v>
      </c>
      <c r="Q489" s="335" t="s">
        <v>182</v>
      </c>
      <c r="R489" s="335" t="s">
        <v>1109</v>
      </c>
      <c r="S489" s="335" t="s">
        <v>166</v>
      </c>
    </row>
    <row r="490" spans="1:19" x14ac:dyDescent="0.2">
      <c r="A490" s="335" t="s">
        <v>1031</v>
      </c>
      <c r="B490" s="332">
        <v>2</v>
      </c>
      <c r="C490" s="332">
        <v>0</v>
      </c>
      <c r="D490" s="332">
        <v>3</v>
      </c>
      <c r="E490" s="332"/>
      <c r="F490" s="332"/>
      <c r="G490" s="332"/>
      <c r="H490" s="332"/>
      <c r="I490" s="333">
        <v>0.35000000000000003</v>
      </c>
      <c r="J490" s="333">
        <v>1.6300000000000001</v>
      </c>
      <c r="K490" s="332"/>
      <c r="L490" s="332"/>
      <c r="M490" s="332" t="s">
        <v>157</v>
      </c>
      <c r="N490" s="332">
        <v>2016</v>
      </c>
      <c r="O490" s="332" t="s">
        <v>158</v>
      </c>
      <c r="P490" s="332">
        <v>341305</v>
      </c>
      <c r="Q490" s="335" t="s">
        <v>347</v>
      </c>
      <c r="R490" s="335" t="s">
        <v>1112</v>
      </c>
      <c r="S490" s="335"/>
    </row>
    <row r="491" spans="1:19" x14ac:dyDescent="0.2">
      <c r="A491" s="335" t="s">
        <v>958</v>
      </c>
      <c r="B491" s="332">
        <v>10</v>
      </c>
      <c r="C491" s="332">
        <v>5</v>
      </c>
      <c r="D491" s="332">
        <v>11</v>
      </c>
      <c r="E491" s="332">
        <v>22</v>
      </c>
      <c r="F491" s="332">
        <v>41</v>
      </c>
      <c r="G491" s="332"/>
      <c r="H491" s="332"/>
      <c r="I491" s="333">
        <v>0.01</v>
      </c>
      <c r="J491" s="333">
        <v>0.01</v>
      </c>
      <c r="K491" s="332">
        <v>11.700000000000001</v>
      </c>
      <c r="L491" s="332">
        <v>1.1000000000000001</v>
      </c>
      <c r="M491" s="332" t="s">
        <v>157</v>
      </c>
      <c r="N491" s="332">
        <v>2012</v>
      </c>
      <c r="O491" s="332" t="s">
        <v>69</v>
      </c>
      <c r="P491" s="332">
        <v>350512</v>
      </c>
      <c r="Q491" s="335" t="s">
        <v>162</v>
      </c>
      <c r="R491" s="335" t="s">
        <v>1087</v>
      </c>
      <c r="S491" s="335"/>
    </row>
    <row r="492" spans="1:19" x14ac:dyDescent="0.2">
      <c r="A492" s="335" t="s">
        <v>495</v>
      </c>
      <c r="B492" s="332">
        <v>3</v>
      </c>
      <c r="C492" s="332">
        <v>2</v>
      </c>
      <c r="D492" s="332">
        <v>2</v>
      </c>
      <c r="E492" s="332">
        <v>7</v>
      </c>
      <c r="F492" s="332">
        <v>14</v>
      </c>
      <c r="G492" s="332">
        <v>30</v>
      </c>
      <c r="H492" s="332">
        <v>5.4</v>
      </c>
      <c r="I492" s="333">
        <v>0.38</v>
      </c>
      <c r="J492" s="333">
        <v>1.4000000000000001</v>
      </c>
      <c r="K492" s="332">
        <v>5.8</v>
      </c>
      <c r="L492" s="332">
        <v>0.8</v>
      </c>
      <c r="M492" s="332" t="s">
        <v>207</v>
      </c>
      <c r="N492" s="332">
        <v>2003</v>
      </c>
      <c r="O492" s="332" t="s">
        <v>69</v>
      </c>
      <c r="P492" s="332">
        <v>352583</v>
      </c>
      <c r="Q492" s="335" t="s">
        <v>1013</v>
      </c>
      <c r="R492" s="335" t="s">
        <v>1098</v>
      </c>
      <c r="S492" s="335"/>
    </row>
    <row r="493" spans="1:19" x14ac:dyDescent="0.2">
      <c r="A493" s="335" t="s">
        <v>648</v>
      </c>
      <c r="B493" s="332">
        <v>23</v>
      </c>
      <c r="C493" s="332">
        <v>14</v>
      </c>
      <c r="D493" s="332">
        <v>29</v>
      </c>
      <c r="E493" s="332">
        <v>33</v>
      </c>
      <c r="F493" s="332">
        <v>53</v>
      </c>
      <c r="G493" s="332">
        <v>138</v>
      </c>
      <c r="H493" s="332">
        <v>18.900000000000002</v>
      </c>
      <c r="I493" s="333">
        <v>0.8</v>
      </c>
      <c r="J493" s="333">
        <v>2</v>
      </c>
      <c r="K493" s="332">
        <v>13.3</v>
      </c>
      <c r="L493" s="332">
        <v>1.1000000000000001</v>
      </c>
      <c r="M493" s="332" t="s">
        <v>207</v>
      </c>
      <c r="N493" s="332">
        <v>2009</v>
      </c>
      <c r="O493" s="332" t="s">
        <v>69</v>
      </c>
      <c r="P493" s="332">
        <v>356063</v>
      </c>
      <c r="Q493" s="335" t="s">
        <v>646</v>
      </c>
      <c r="R493" s="335" t="s">
        <v>1111</v>
      </c>
      <c r="S493" s="335"/>
    </row>
    <row r="494" spans="1:19" x14ac:dyDescent="0.2">
      <c r="A494" s="335" t="s">
        <v>1102</v>
      </c>
      <c r="B494" s="332">
        <v>12</v>
      </c>
      <c r="C494" s="332">
        <v>6</v>
      </c>
      <c r="D494" s="332">
        <v>12</v>
      </c>
      <c r="E494" s="332">
        <v>17</v>
      </c>
      <c r="F494" s="332">
        <v>56</v>
      </c>
      <c r="G494" s="332">
        <v>103</v>
      </c>
      <c r="H494" s="332">
        <v>15.200000000000001</v>
      </c>
      <c r="I494" s="333">
        <v>0.38</v>
      </c>
      <c r="J494" s="333">
        <v>1.62</v>
      </c>
      <c r="K494" s="332">
        <v>13.5</v>
      </c>
      <c r="L494" s="332">
        <v>1.2</v>
      </c>
      <c r="M494" s="332" t="s">
        <v>157</v>
      </c>
      <c r="N494" s="332">
        <v>2000</v>
      </c>
      <c r="O494" s="332" t="s">
        <v>69</v>
      </c>
      <c r="P494" s="332">
        <v>384818</v>
      </c>
      <c r="Q494" s="335" t="s">
        <v>1129</v>
      </c>
      <c r="R494" s="335" t="s">
        <v>185</v>
      </c>
      <c r="S494" s="335"/>
    </row>
    <row r="495" spans="1:19" x14ac:dyDescent="0.2">
      <c r="A495" s="335" t="s">
        <v>547</v>
      </c>
      <c r="B495" s="332">
        <v>14</v>
      </c>
      <c r="C495" s="332">
        <v>10</v>
      </c>
      <c r="D495" s="332">
        <v>18</v>
      </c>
      <c r="E495" s="332">
        <v>27</v>
      </c>
      <c r="F495" s="332">
        <v>46</v>
      </c>
      <c r="G495" s="332">
        <v>111</v>
      </c>
      <c r="H495" s="332">
        <v>16.100000000000001</v>
      </c>
      <c r="I495" s="333">
        <v>0.63</v>
      </c>
      <c r="J495" s="333">
        <v>1.5</v>
      </c>
      <c r="K495" s="332">
        <v>12.4</v>
      </c>
      <c r="L495" s="332">
        <v>1.1000000000000001</v>
      </c>
      <c r="M495" s="332" t="s">
        <v>300</v>
      </c>
      <c r="N495" s="332">
        <v>2007</v>
      </c>
      <c r="O495" s="332" t="s">
        <v>69</v>
      </c>
      <c r="P495" s="332">
        <v>354290</v>
      </c>
      <c r="Q495" s="335" t="s">
        <v>362</v>
      </c>
      <c r="R495" s="335" t="s">
        <v>325</v>
      </c>
      <c r="S495" s="335"/>
    </row>
    <row r="496" spans="1:19" x14ac:dyDescent="0.2">
      <c r="A496" s="335" t="s">
        <v>1054</v>
      </c>
      <c r="B496" s="332">
        <v>0</v>
      </c>
      <c r="C496" s="332">
        <v>0</v>
      </c>
      <c r="D496" s="332">
        <v>0</v>
      </c>
      <c r="E496" s="332"/>
      <c r="F496" s="332"/>
      <c r="G496" s="332"/>
      <c r="H496" s="332"/>
      <c r="I496" s="333">
        <v>0.16</v>
      </c>
      <c r="J496" s="333">
        <v>0.37</v>
      </c>
      <c r="K496" s="332"/>
      <c r="L496" s="332"/>
      <c r="M496" s="332" t="s">
        <v>157</v>
      </c>
      <c r="N496" s="332">
        <v>2016</v>
      </c>
      <c r="O496" s="332" t="s">
        <v>158</v>
      </c>
      <c r="P496" s="332">
        <v>403873</v>
      </c>
      <c r="Q496" s="335" t="s">
        <v>170</v>
      </c>
      <c r="R496" s="335" t="s">
        <v>1096</v>
      </c>
      <c r="S496" s="335"/>
    </row>
    <row r="497" spans="1:19" x14ac:dyDescent="0.2">
      <c r="A497" s="335" t="s">
        <v>810</v>
      </c>
      <c r="B497" s="332">
        <v>-4</v>
      </c>
      <c r="C497" s="332">
        <v>-2</v>
      </c>
      <c r="D497" s="332">
        <v>-2</v>
      </c>
      <c r="E497" s="332">
        <v>10</v>
      </c>
      <c r="F497" s="332">
        <v>-8</v>
      </c>
      <c r="G497" s="332">
        <v>1</v>
      </c>
      <c r="H497" s="332">
        <v>0.2</v>
      </c>
      <c r="I497" s="333">
        <v>0.63</v>
      </c>
      <c r="J497" s="333">
        <v>2.4300000000000002</v>
      </c>
      <c r="K497" s="332">
        <v>8.5</v>
      </c>
      <c r="L497" s="332">
        <v>-0.3</v>
      </c>
      <c r="M497" s="332" t="s">
        <v>157</v>
      </c>
      <c r="N497" s="332">
        <v>2010</v>
      </c>
      <c r="O497" s="332" t="s">
        <v>69</v>
      </c>
      <c r="P497" s="332">
        <v>237008</v>
      </c>
      <c r="Q497" s="335" t="s">
        <v>746</v>
      </c>
      <c r="R497" s="335" t="s">
        <v>1088</v>
      </c>
      <c r="S497" s="335"/>
    </row>
    <row r="498" spans="1:19" x14ac:dyDescent="0.2">
      <c r="A498" s="335" t="s">
        <v>309</v>
      </c>
      <c r="B498" s="332">
        <v>2</v>
      </c>
      <c r="C498" s="332">
        <v>1</v>
      </c>
      <c r="D498" s="332">
        <v>2</v>
      </c>
      <c r="E498" s="332">
        <v>5</v>
      </c>
      <c r="F498" s="332">
        <v>10</v>
      </c>
      <c r="G498" s="332">
        <v>23</v>
      </c>
      <c r="H498" s="332">
        <v>4.2</v>
      </c>
      <c r="I498" s="333">
        <v>0.19</v>
      </c>
      <c r="J498" s="333">
        <v>0.51</v>
      </c>
      <c r="K498" s="332">
        <v>2.5</v>
      </c>
      <c r="L498" s="332">
        <v>1.4000000000000001</v>
      </c>
      <c r="M498" s="332" t="s">
        <v>157</v>
      </c>
      <c r="N498" s="332">
        <v>2004</v>
      </c>
      <c r="O498" s="332" t="s">
        <v>158</v>
      </c>
      <c r="P498" s="332">
        <v>855387</v>
      </c>
      <c r="Q498" s="335" t="s">
        <v>175</v>
      </c>
      <c r="R498" s="335" t="s">
        <v>163</v>
      </c>
      <c r="S498" s="335"/>
    </row>
    <row r="499" spans="1:19" x14ac:dyDescent="0.2">
      <c r="A499" s="335" t="s">
        <v>310</v>
      </c>
      <c r="B499" s="332">
        <v>3</v>
      </c>
      <c r="C499" s="332">
        <v>2</v>
      </c>
      <c r="D499" s="332">
        <v>3</v>
      </c>
      <c r="E499" s="332">
        <v>8</v>
      </c>
      <c r="F499" s="332">
        <v>14</v>
      </c>
      <c r="G499" s="332">
        <v>33</v>
      </c>
      <c r="H499" s="332">
        <v>5.9</v>
      </c>
      <c r="I499" s="333">
        <v>0.19</v>
      </c>
      <c r="J499" s="333">
        <v>0.51</v>
      </c>
      <c r="K499" s="332">
        <v>3.6</v>
      </c>
      <c r="L499" s="332">
        <v>1.2</v>
      </c>
      <c r="M499" s="332" t="s">
        <v>157</v>
      </c>
      <c r="N499" s="332">
        <v>2004</v>
      </c>
      <c r="O499" s="332" t="s">
        <v>158</v>
      </c>
      <c r="P499" s="332">
        <v>819557</v>
      </c>
      <c r="Q499" s="335" t="s">
        <v>175</v>
      </c>
      <c r="R499" s="335" t="s">
        <v>1087</v>
      </c>
      <c r="S499" s="335"/>
    </row>
    <row r="500" spans="1:19" x14ac:dyDescent="0.2">
      <c r="A500" s="335" t="s">
        <v>60</v>
      </c>
      <c r="B500" s="332">
        <v>5</v>
      </c>
      <c r="C500" s="332">
        <v>2</v>
      </c>
      <c r="D500" s="332">
        <v>6</v>
      </c>
      <c r="E500" s="332">
        <v>14</v>
      </c>
      <c r="F500" s="332">
        <v>23</v>
      </c>
      <c r="G500" s="332">
        <v>59</v>
      </c>
      <c r="H500" s="332">
        <v>9.7000000000000011</v>
      </c>
      <c r="I500" s="333">
        <v>0.19</v>
      </c>
      <c r="J500" s="333">
        <v>0.51</v>
      </c>
      <c r="K500" s="332">
        <v>6.6000000000000005</v>
      </c>
      <c r="L500" s="332">
        <v>1.1000000000000001</v>
      </c>
      <c r="M500" s="332" t="s">
        <v>157</v>
      </c>
      <c r="N500" s="332">
        <v>2004</v>
      </c>
      <c r="O500" s="332" t="s">
        <v>158</v>
      </c>
      <c r="P500" s="332">
        <v>783720</v>
      </c>
      <c r="Q500" s="335" t="s">
        <v>175</v>
      </c>
      <c r="R500" s="335" t="s">
        <v>1087</v>
      </c>
      <c r="S500" s="335"/>
    </row>
    <row r="501" spans="1:19" x14ac:dyDescent="0.2">
      <c r="A501" s="335" t="s">
        <v>535</v>
      </c>
      <c r="B501" s="332">
        <v>6</v>
      </c>
      <c r="C501" s="332">
        <v>1</v>
      </c>
      <c r="D501" s="332">
        <v>6</v>
      </c>
      <c r="E501" s="332">
        <v>17</v>
      </c>
      <c r="F501" s="332">
        <v>47</v>
      </c>
      <c r="G501" s="332">
        <v>86</v>
      </c>
      <c r="H501" s="332">
        <v>13.200000000000001</v>
      </c>
      <c r="I501" s="333">
        <v>0.6</v>
      </c>
      <c r="J501" s="333">
        <v>1.6</v>
      </c>
      <c r="K501" s="332">
        <v>11.4</v>
      </c>
      <c r="L501" s="332">
        <v>1.2</v>
      </c>
      <c r="M501" s="332" t="s">
        <v>300</v>
      </c>
      <c r="N501" s="332">
        <v>2001</v>
      </c>
      <c r="O501" s="332" t="s">
        <v>69</v>
      </c>
      <c r="P501" s="332">
        <v>290668</v>
      </c>
      <c r="Q501" s="335" t="s">
        <v>301</v>
      </c>
      <c r="R501" s="335" t="s">
        <v>185</v>
      </c>
      <c r="S501" s="335"/>
    </row>
    <row r="502" spans="1:19" x14ac:dyDescent="0.2">
      <c r="A502" s="335" t="s">
        <v>169</v>
      </c>
      <c r="B502" s="332">
        <v>0</v>
      </c>
      <c r="C502" s="332">
        <v>0</v>
      </c>
      <c r="D502" s="332">
        <v>0</v>
      </c>
      <c r="E502" s="332">
        <v>-1</v>
      </c>
      <c r="F502" s="332">
        <v>-1</v>
      </c>
      <c r="G502" s="332">
        <v>0</v>
      </c>
      <c r="H502" s="332">
        <v>0.1</v>
      </c>
      <c r="I502" s="333">
        <v>0.1</v>
      </c>
      <c r="J502" s="333">
        <v>0.11</v>
      </c>
      <c r="K502" s="332">
        <v>0.1</v>
      </c>
      <c r="L502" s="332">
        <v>-2.9</v>
      </c>
      <c r="M502" s="332" t="s">
        <v>157</v>
      </c>
      <c r="N502" s="332">
        <v>2001</v>
      </c>
      <c r="O502" s="332" t="s">
        <v>158</v>
      </c>
      <c r="P502" s="332">
        <v>294918</v>
      </c>
      <c r="Q502" s="335" t="s">
        <v>170</v>
      </c>
      <c r="R502" s="335" t="s">
        <v>1096</v>
      </c>
      <c r="S502" s="335" t="s">
        <v>166</v>
      </c>
    </row>
    <row r="503" spans="1:19" x14ac:dyDescent="0.2">
      <c r="A503" s="335" t="s">
        <v>1151</v>
      </c>
      <c r="B503" s="332">
        <v>5</v>
      </c>
      <c r="C503" s="332">
        <v>5</v>
      </c>
      <c r="D503" s="332">
        <v>5</v>
      </c>
      <c r="E503" s="332">
        <v>-18</v>
      </c>
      <c r="F503" s="332">
        <v>-42</v>
      </c>
      <c r="G503" s="332"/>
      <c r="H503" s="332"/>
      <c r="I503" s="333">
        <v>0.89</v>
      </c>
      <c r="J503" s="333">
        <v>2.79</v>
      </c>
      <c r="K503" s="332">
        <v>18.100000000000001</v>
      </c>
      <c r="L503" s="332">
        <v>-0.9</v>
      </c>
      <c r="M503" s="332" t="s">
        <v>157</v>
      </c>
      <c r="N503" s="332">
        <v>2013</v>
      </c>
      <c r="O503" s="332" t="s">
        <v>158</v>
      </c>
      <c r="P503" s="332">
        <v>878223</v>
      </c>
      <c r="Q503" s="335" t="s">
        <v>707</v>
      </c>
      <c r="R503" s="335" t="s">
        <v>302</v>
      </c>
      <c r="S503" s="335"/>
    </row>
    <row r="504" spans="1:19" x14ac:dyDescent="0.2">
      <c r="A504" s="335" t="s">
        <v>741</v>
      </c>
      <c r="B504" s="332"/>
      <c r="C504" s="332">
        <v>0</v>
      </c>
      <c r="D504" s="332">
        <v>0</v>
      </c>
      <c r="E504" s="332">
        <v>-59</v>
      </c>
      <c r="F504" s="332"/>
      <c r="G504" s="332"/>
      <c r="H504" s="332"/>
      <c r="I504" s="333"/>
      <c r="J504" s="333"/>
      <c r="K504" s="332"/>
      <c r="L504" s="332"/>
      <c r="M504" s="332" t="s">
        <v>157</v>
      </c>
      <c r="N504" s="332">
        <v>2014</v>
      </c>
      <c r="O504" s="332" t="s">
        <v>69</v>
      </c>
      <c r="P504" s="332">
        <v>600676</v>
      </c>
      <c r="Q504" s="335" t="s">
        <v>740</v>
      </c>
      <c r="R504" s="335" t="s">
        <v>1089</v>
      </c>
      <c r="S504" s="335"/>
    </row>
    <row r="505" spans="1:19" x14ac:dyDescent="0.2">
      <c r="A505" s="335" t="s">
        <v>742</v>
      </c>
      <c r="B505" s="332"/>
      <c r="C505" s="332">
        <v>0</v>
      </c>
      <c r="D505" s="332">
        <v>0</v>
      </c>
      <c r="E505" s="332">
        <v>-33</v>
      </c>
      <c r="F505" s="332"/>
      <c r="G505" s="332"/>
      <c r="H505" s="332"/>
      <c r="I505" s="333"/>
      <c r="J505" s="333"/>
      <c r="K505" s="332"/>
      <c r="L505" s="332"/>
      <c r="M505" s="332" t="s">
        <v>157</v>
      </c>
      <c r="N505" s="332">
        <v>2014</v>
      </c>
      <c r="O505" s="332" t="s">
        <v>69</v>
      </c>
      <c r="P505" s="332">
        <v>636506</v>
      </c>
      <c r="Q505" s="335" t="s">
        <v>740</v>
      </c>
      <c r="R505" s="335" t="s">
        <v>1089</v>
      </c>
      <c r="S505" s="335"/>
    </row>
    <row r="506" spans="1:19" x14ac:dyDescent="0.2">
      <c r="A506" s="335" t="s">
        <v>513</v>
      </c>
      <c r="B506" s="332">
        <v>20</v>
      </c>
      <c r="C506" s="332">
        <v>14</v>
      </c>
      <c r="D506" s="332">
        <v>24</v>
      </c>
      <c r="E506" s="332">
        <v>22</v>
      </c>
      <c r="F506" s="332">
        <v>55</v>
      </c>
      <c r="G506" s="332">
        <v>145</v>
      </c>
      <c r="H506" s="332">
        <v>19.7</v>
      </c>
      <c r="I506" s="333">
        <v>0.54</v>
      </c>
      <c r="J506" s="333">
        <v>1.25</v>
      </c>
      <c r="K506" s="332">
        <v>15.700000000000001</v>
      </c>
      <c r="L506" s="332">
        <v>1</v>
      </c>
      <c r="M506" s="332" t="s">
        <v>207</v>
      </c>
      <c r="N506" s="332">
        <v>2011</v>
      </c>
      <c r="O506" s="332" t="s">
        <v>69</v>
      </c>
      <c r="P506" s="332">
        <v>891036</v>
      </c>
      <c r="Q506" s="335" t="s">
        <v>383</v>
      </c>
      <c r="R506" s="335" t="s">
        <v>1111</v>
      </c>
      <c r="S506" s="335"/>
    </row>
    <row r="507" spans="1:19" x14ac:dyDescent="0.2">
      <c r="A507" s="335" t="s">
        <v>803</v>
      </c>
      <c r="B507" s="332">
        <v>2</v>
      </c>
      <c r="C507" s="332">
        <v>0</v>
      </c>
      <c r="D507" s="332">
        <v>2</v>
      </c>
      <c r="E507" s="332">
        <v>4</v>
      </c>
      <c r="F507" s="332">
        <v>2</v>
      </c>
      <c r="G507" s="332"/>
      <c r="H507" s="332"/>
      <c r="I507" s="333">
        <v>0.4</v>
      </c>
      <c r="J507" s="333">
        <v>1.6300000000000001</v>
      </c>
      <c r="K507" s="332">
        <v>2.8000000000000003</v>
      </c>
      <c r="L507" s="332">
        <v>0.3</v>
      </c>
      <c r="M507" s="332" t="s">
        <v>157</v>
      </c>
      <c r="N507" s="332">
        <v>2013</v>
      </c>
      <c r="O507" s="332" t="s">
        <v>69</v>
      </c>
      <c r="P507" s="332">
        <v>895227</v>
      </c>
      <c r="Q507" s="335" t="s">
        <v>863</v>
      </c>
      <c r="R507" s="335" t="s">
        <v>1100</v>
      </c>
      <c r="S507" s="335" t="s">
        <v>166</v>
      </c>
    </row>
    <row r="508" spans="1:19" x14ac:dyDescent="0.2">
      <c r="A508" s="335" t="s">
        <v>584</v>
      </c>
      <c r="B508" s="332">
        <v>13</v>
      </c>
      <c r="C508" s="332">
        <v>11</v>
      </c>
      <c r="D508" s="332">
        <v>18</v>
      </c>
      <c r="E508" s="332">
        <v>21</v>
      </c>
      <c r="F508" s="332"/>
      <c r="G508" s="332"/>
      <c r="H508" s="332"/>
      <c r="I508" s="333">
        <v>0.61</v>
      </c>
      <c r="J508" s="333">
        <v>1.86</v>
      </c>
      <c r="K508" s="332"/>
      <c r="L508" s="332"/>
      <c r="M508" s="332" t="s">
        <v>207</v>
      </c>
      <c r="N508" s="332">
        <v>2014</v>
      </c>
      <c r="O508" s="332" t="s">
        <v>69</v>
      </c>
      <c r="P508" s="332">
        <v>529016</v>
      </c>
      <c r="Q508" s="335" t="s">
        <v>777</v>
      </c>
      <c r="R508" s="335" t="s">
        <v>219</v>
      </c>
      <c r="S508" s="335"/>
    </row>
    <row r="509" spans="1:19" x14ac:dyDescent="0.2">
      <c r="A509" s="335" t="s">
        <v>1133</v>
      </c>
      <c r="B509" s="332">
        <v>3</v>
      </c>
      <c r="C509" s="332">
        <v>3</v>
      </c>
      <c r="D509" s="332">
        <v>1</v>
      </c>
      <c r="E509" s="332">
        <v>5</v>
      </c>
      <c r="F509" s="332">
        <v>15</v>
      </c>
      <c r="G509" s="332">
        <v>22</v>
      </c>
      <c r="H509" s="332">
        <v>4.0999999999999996</v>
      </c>
      <c r="I509" s="333">
        <v>0.34</v>
      </c>
      <c r="J509" s="333">
        <v>1.19</v>
      </c>
      <c r="K509" s="332">
        <v>5.8</v>
      </c>
      <c r="L509" s="332">
        <v>0.9</v>
      </c>
      <c r="M509" s="332" t="s">
        <v>207</v>
      </c>
      <c r="N509" s="332">
        <v>2010</v>
      </c>
      <c r="O509" s="332" t="s">
        <v>69</v>
      </c>
      <c r="P509" s="332">
        <v>259499</v>
      </c>
      <c r="Q509" s="335" t="s">
        <v>777</v>
      </c>
      <c r="R509" s="335" t="s">
        <v>1103</v>
      </c>
      <c r="S509" s="335"/>
    </row>
    <row r="510" spans="1:19" x14ac:dyDescent="0.2">
      <c r="A510" s="335" t="s">
        <v>1146</v>
      </c>
      <c r="B510" s="332">
        <v>9</v>
      </c>
      <c r="C510" s="332">
        <v>0</v>
      </c>
      <c r="D510" s="332">
        <v>8</v>
      </c>
      <c r="E510" s="332">
        <v>15</v>
      </c>
      <c r="F510" s="332">
        <v>60</v>
      </c>
      <c r="G510" s="332">
        <v>99</v>
      </c>
      <c r="H510" s="332">
        <v>14.700000000000001</v>
      </c>
      <c r="I510" s="333">
        <v>0.75</v>
      </c>
      <c r="J510" s="333">
        <v>2.2000000000000002</v>
      </c>
      <c r="K510" s="332">
        <v>16.5</v>
      </c>
      <c r="L510" s="332">
        <v>1.1000000000000001</v>
      </c>
      <c r="M510" s="332" t="s">
        <v>352</v>
      </c>
      <c r="N510" s="332">
        <v>2011</v>
      </c>
      <c r="O510" s="332" t="s">
        <v>69</v>
      </c>
      <c r="P510" s="332">
        <v>882530</v>
      </c>
      <c r="Q510" s="335" t="s">
        <v>775</v>
      </c>
      <c r="R510" s="335" t="s">
        <v>1112</v>
      </c>
      <c r="S510" s="335"/>
    </row>
    <row r="511" spans="1:19" x14ac:dyDescent="0.2">
      <c r="A511" s="335" t="s">
        <v>384</v>
      </c>
      <c r="B511" s="332">
        <v>2</v>
      </c>
      <c r="C511" s="332">
        <v>1</v>
      </c>
      <c r="D511" s="332">
        <v>3</v>
      </c>
      <c r="E511" s="332">
        <v>11</v>
      </c>
      <c r="F511" s="332">
        <v>26</v>
      </c>
      <c r="G511" s="332"/>
      <c r="H511" s="332"/>
      <c r="I511" s="333">
        <v>0.34</v>
      </c>
      <c r="J511" s="333">
        <v>1.3800000000000001</v>
      </c>
      <c r="K511" s="332">
        <v>6.8</v>
      </c>
      <c r="L511" s="332">
        <v>1.2</v>
      </c>
      <c r="M511" s="332" t="s">
        <v>157</v>
      </c>
      <c r="N511" s="332">
        <v>2013</v>
      </c>
      <c r="O511" s="332" t="s">
        <v>69</v>
      </c>
      <c r="P511" s="332">
        <v>997403</v>
      </c>
      <c r="Q511" s="335" t="s">
        <v>213</v>
      </c>
      <c r="R511" s="335" t="s">
        <v>1106</v>
      </c>
      <c r="S511" s="335"/>
    </row>
    <row r="512" spans="1:19" x14ac:dyDescent="0.2">
      <c r="A512" s="335" t="s">
        <v>1147</v>
      </c>
      <c r="B512" s="332">
        <v>8</v>
      </c>
      <c r="C512" s="332">
        <v>4</v>
      </c>
      <c r="D512" s="332">
        <v>9</v>
      </c>
      <c r="E512" s="332">
        <v>27</v>
      </c>
      <c r="F512" s="332">
        <v>58</v>
      </c>
      <c r="G512" s="332">
        <v>102</v>
      </c>
      <c r="H512" s="332">
        <v>15.1</v>
      </c>
      <c r="I512" s="333">
        <v>0.52</v>
      </c>
      <c r="J512" s="333">
        <v>1.8800000000000001</v>
      </c>
      <c r="K512" s="332">
        <v>13.8</v>
      </c>
      <c r="L512" s="332">
        <v>1.2</v>
      </c>
      <c r="M512" s="332" t="s">
        <v>157</v>
      </c>
      <c r="N512" s="332">
        <v>2000</v>
      </c>
      <c r="O512" s="332" t="s">
        <v>158</v>
      </c>
      <c r="P512" s="332">
        <v>964767</v>
      </c>
      <c r="Q512" s="335" t="s">
        <v>170</v>
      </c>
      <c r="R512" s="335" t="s">
        <v>185</v>
      </c>
      <c r="S512" s="335" t="s">
        <v>166</v>
      </c>
    </row>
    <row r="513" spans="1:19" x14ac:dyDescent="0.2">
      <c r="A513" s="335" t="s">
        <v>1144</v>
      </c>
      <c r="B513" s="332">
        <v>1</v>
      </c>
      <c r="C513" s="332">
        <v>-2</v>
      </c>
      <c r="D513" s="332">
        <v>3</v>
      </c>
      <c r="E513" s="332">
        <v>20</v>
      </c>
      <c r="F513" s="332">
        <v>39</v>
      </c>
      <c r="G513" s="332">
        <v>101</v>
      </c>
      <c r="H513" s="332">
        <v>15</v>
      </c>
      <c r="I513" s="333">
        <v>0.81</v>
      </c>
      <c r="J513" s="333">
        <v>2.02</v>
      </c>
      <c r="K513" s="332">
        <v>12.700000000000001</v>
      </c>
      <c r="L513" s="332">
        <v>0.9</v>
      </c>
      <c r="M513" s="332" t="s">
        <v>207</v>
      </c>
      <c r="N513" s="332">
        <v>2008</v>
      </c>
      <c r="O513" s="332" t="s">
        <v>69</v>
      </c>
      <c r="P513" s="332">
        <v>199406</v>
      </c>
      <c r="Q513" s="335" t="s">
        <v>387</v>
      </c>
      <c r="R513" s="335" t="s">
        <v>185</v>
      </c>
      <c r="S513" s="335" t="s">
        <v>166</v>
      </c>
    </row>
    <row r="514" spans="1:19" x14ac:dyDescent="0.2">
      <c r="A514" s="335" t="s">
        <v>1149</v>
      </c>
      <c r="B514" s="332">
        <v>10</v>
      </c>
      <c r="C514" s="332">
        <v>1</v>
      </c>
      <c r="D514" s="332">
        <v>10</v>
      </c>
      <c r="E514" s="332">
        <v>33</v>
      </c>
      <c r="F514" s="332">
        <v>43</v>
      </c>
      <c r="G514" s="332">
        <v>51</v>
      </c>
      <c r="H514" s="332">
        <v>8.6</v>
      </c>
      <c r="I514" s="333">
        <v>0.89</v>
      </c>
      <c r="J514" s="333">
        <v>2.41</v>
      </c>
      <c r="K514" s="332">
        <v>15.200000000000001</v>
      </c>
      <c r="L514" s="332">
        <v>0.9</v>
      </c>
      <c r="M514" s="332" t="s">
        <v>207</v>
      </c>
      <c r="N514" s="332">
        <v>2013</v>
      </c>
      <c r="O514" s="332" t="s">
        <v>69</v>
      </c>
      <c r="P514" s="332">
        <v>401513</v>
      </c>
      <c r="Q514" s="335" t="s">
        <v>387</v>
      </c>
      <c r="R514" s="335" t="s">
        <v>302</v>
      </c>
      <c r="S514" s="335" t="s">
        <v>166</v>
      </c>
    </row>
    <row r="515" spans="1:19" x14ac:dyDescent="0.2">
      <c r="A515" s="335" t="s">
        <v>1140</v>
      </c>
      <c r="B515" s="332">
        <v>6</v>
      </c>
      <c r="C515" s="332">
        <v>4</v>
      </c>
      <c r="D515" s="332">
        <v>5</v>
      </c>
      <c r="E515" s="332">
        <v>10</v>
      </c>
      <c r="F515" s="332">
        <v>-7</v>
      </c>
      <c r="G515" s="332">
        <v>13</v>
      </c>
      <c r="H515" s="332">
        <v>2.6</v>
      </c>
      <c r="I515" s="333">
        <v>0.42</v>
      </c>
      <c r="J515" s="333">
        <v>1.56</v>
      </c>
      <c r="K515" s="332">
        <v>9.5</v>
      </c>
      <c r="L515" s="332">
        <v>-0.2</v>
      </c>
      <c r="M515" s="332" t="s">
        <v>207</v>
      </c>
      <c r="N515" s="332">
        <v>2010</v>
      </c>
      <c r="O515" s="332" t="s">
        <v>69</v>
      </c>
      <c r="P515" s="332">
        <v>550970</v>
      </c>
      <c r="Q515" s="335" t="s">
        <v>387</v>
      </c>
      <c r="R515" s="335" t="s">
        <v>1099</v>
      </c>
      <c r="S515" s="335"/>
    </row>
    <row r="516" spans="1:19" x14ac:dyDescent="0.2">
      <c r="A516" s="335" t="s">
        <v>704</v>
      </c>
      <c r="B516" s="332">
        <v>17</v>
      </c>
      <c r="C516" s="332">
        <v>9</v>
      </c>
      <c r="D516" s="332">
        <v>20</v>
      </c>
      <c r="E516" s="332">
        <v>27</v>
      </c>
      <c r="F516" s="332">
        <v>29</v>
      </c>
      <c r="G516" s="332">
        <v>75</v>
      </c>
      <c r="H516" s="332">
        <v>11.8</v>
      </c>
      <c r="I516" s="333">
        <v>0.88</v>
      </c>
      <c r="J516" s="333">
        <v>2.23</v>
      </c>
      <c r="K516" s="332">
        <v>11.8</v>
      </c>
      <c r="L516" s="332">
        <v>0.8</v>
      </c>
      <c r="M516" s="332" t="s">
        <v>207</v>
      </c>
      <c r="N516" s="332">
        <v>2004</v>
      </c>
      <c r="O516" s="332" t="s">
        <v>69</v>
      </c>
      <c r="P516" s="332">
        <v>288183</v>
      </c>
      <c r="Q516" s="335" t="s">
        <v>517</v>
      </c>
      <c r="R516" s="335" t="s">
        <v>328</v>
      </c>
      <c r="S516" s="335"/>
    </row>
    <row r="517" spans="1:19" x14ac:dyDescent="0.2">
      <c r="A517" s="335" t="s">
        <v>516</v>
      </c>
      <c r="B517" s="332">
        <v>3</v>
      </c>
      <c r="C517" s="332">
        <v>2</v>
      </c>
      <c r="D517" s="332">
        <v>1</v>
      </c>
      <c r="E517" s="332">
        <v>7</v>
      </c>
      <c r="F517" s="332">
        <v>14</v>
      </c>
      <c r="G517" s="332">
        <v>32</v>
      </c>
      <c r="H517" s="332">
        <v>5.7</v>
      </c>
      <c r="I517" s="333">
        <v>0.42</v>
      </c>
      <c r="J517" s="333">
        <v>1.44</v>
      </c>
      <c r="K517" s="332">
        <v>5.4</v>
      </c>
      <c r="L517" s="332">
        <v>0.9</v>
      </c>
      <c r="M517" s="332" t="s">
        <v>207</v>
      </c>
      <c r="N517" s="332">
        <v>2002</v>
      </c>
      <c r="O517" s="332" t="s">
        <v>69</v>
      </c>
      <c r="P517" s="332">
        <v>543892</v>
      </c>
      <c r="Q517" s="335" t="s">
        <v>517</v>
      </c>
      <c r="R517" s="335" t="s">
        <v>1108</v>
      </c>
      <c r="S517" s="335"/>
    </row>
    <row r="518" spans="1:19" x14ac:dyDescent="0.2">
      <c r="A518" s="335" t="s">
        <v>673</v>
      </c>
      <c r="B518" s="332">
        <v>14</v>
      </c>
      <c r="C518" s="332">
        <v>10</v>
      </c>
      <c r="D518" s="332">
        <v>17</v>
      </c>
      <c r="E518" s="332">
        <v>15</v>
      </c>
      <c r="F518" s="332">
        <v>44</v>
      </c>
      <c r="G518" s="332">
        <v>127</v>
      </c>
      <c r="H518" s="332">
        <v>17.8</v>
      </c>
      <c r="I518" s="333">
        <v>0.83000000000000007</v>
      </c>
      <c r="J518" s="333">
        <v>2.09</v>
      </c>
      <c r="K518" s="332">
        <v>12.700000000000001</v>
      </c>
      <c r="L518" s="332">
        <v>1</v>
      </c>
      <c r="M518" s="332" t="s">
        <v>207</v>
      </c>
      <c r="N518" s="332">
        <v>2002</v>
      </c>
      <c r="O518" s="332" t="s">
        <v>69</v>
      </c>
      <c r="P518" s="332">
        <v>579722</v>
      </c>
      <c r="Q518" s="335" t="s">
        <v>517</v>
      </c>
      <c r="R518" s="335" t="s">
        <v>219</v>
      </c>
      <c r="S518" s="335"/>
    </row>
    <row r="519" spans="1:19" x14ac:dyDescent="0.2">
      <c r="A519" s="335" t="s">
        <v>671</v>
      </c>
      <c r="B519" s="332">
        <v>9</v>
      </c>
      <c r="C519" s="332">
        <v>8</v>
      </c>
      <c r="D519" s="332">
        <v>13</v>
      </c>
      <c r="E519" s="332">
        <v>5</v>
      </c>
      <c r="F519" s="332">
        <v>33</v>
      </c>
      <c r="G519" s="332">
        <v>91</v>
      </c>
      <c r="H519" s="332">
        <v>13.9</v>
      </c>
      <c r="I519" s="333">
        <v>0.84</v>
      </c>
      <c r="J519" s="333">
        <v>2.11</v>
      </c>
      <c r="K519" s="332">
        <v>15.1</v>
      </c>
      <c r="L519" s="332">
        <v>0.70000000000000007</v>
      </c>
      <c r="M519" s="332" t="s">
        <v>207</v>
      </c>
      <c r="N519" s="332">
        <v>2004</v>
      </c>
      <c r="O519" s="332" t="s">
        <v>69</v>
      </c>
      <c r="P519" s="332">
        <v>252353</v>
      </c>
      <c r="Q519" s="335" t="s">
        <v>517</v>
      </c>
      <c r="R519" s="335" t="s">
        <v>1114</v>
      </c>
      <c r="S519" s="335"/>
    </row>
    <row r="520" spans="1:19" x14ac:dyDescent="0.2">
      <c r="A520" s="335" t="s">
        <v>870</v>
      </c>
      <c r="B520" s="332">
        <v>13</v>
      </c>
      <c r="C520" s="332">
        <v>11</v>
      </c>
      <c r="D520" s="332">
        <v>18</v>
      </c>
      <c r="E520" s="332">
        <v>26</v>
      </c>
      <c r="F520" s="332">
        <v>33</v>
      </c>
      <c r="G520" s="332">
        <v>127</v>
      </c>
      <c r="H520" s="332">
        <v>17.8</v>
      </c>
      <c r="I520" s="333">
        <v>0.6</v>
      </c>
      <c r="J520" s="333">
        <v>1.44</v>
      </c>
      <c r="K520" s="332">
        <v>15</v>
      </c>
      <c r="L520" s="332">
        <v>0.70000000000000007</v>
      </c>
      <c r="M520" s="332" t="s">
        <v>207</v>
      </c>
      <c r="N520" s="332">
        <v>2000</v>
      </c>
      <c r="O520" s="332" t="s">
        <v>69</v>
      </c>
      <c r="P520" s="332">
        <v>151001</v>
      </c>
      <c r="Q520" s="335" t="s">
        <v>506</v>
      </c>
      <c r="R520" s="335" t="s">
        <v>219</v>
      </c>
      <c r="S520" s="335"/>
    </row>
    <row r="521" spans="1:19" x14ac:dyDescent="0.2">
      <c r="A521" s="335" t="s">
        <v>867</v>
      </c>
      <c r="B521" s="332">
        <v>11</v>
      </c>
      <c r="C521" s="332">
        <v>8</v>
      </c>
      <c r="D521" s="332">
        <v>15</v>
      </c>
      <c r="E521" s="332">
        <v>19</v>
      </c>
      <c r="F521" s="332">
        <v>24</v>
      </c>
      <c r="G521" s="332">
        <v>93</v>
      </c>
      <c r="H521" s="332">
        <v>14.1</v>
      </c>
      <c r="I521" s="333">
        <v>0.62</v>
      </c>
      <c r="J521" s="333">
        <v>1.49</v>
      </c>
      <c r="K521" s="332">
        <v>13.1</v>
      </c>
      <c r="L521" s="332">
        <v>0.6</v>
      </c>
      <c r="M521" s="332" t="s">
        <v>207</v>
      </c>
      <c r="N521" s="332">
        <v>2000</v>
      </c>
      <c r="O521" s="332" t="s">
        <v>69</v>
      </c>
      <c r="P521" s="332">
        <v>473470</v>
      </c>
      <c r="Q521" s="335" t="s">
        <v>506</v>
      </c>
      <c r="R521" s="335" t="s">
        <v>219</v>
      </c>
      <c r="S521" s="335"/>
    </row>
    <row r="522" spans="1:19" x14ac:dyDescent="0.2">
      <c r="A522" s="335" t="s">
        <v>337</v>
      </c>
      <c r="B522" s="332">
        <v>1</v>
      </c>
      <c r="C522" s="332">
        <v>1</v>
      </c>
      <c r="D522" s="332">
        <v>0</v>
      </c>
      <c r="E522" s="332">
        <v>4</v>
      </c>
      <c r="F522" s="332">
        <v>8</v>
      </c>
      <c r="G522" s="332">
        <v>11</v>
      </c>
      <c r="H522" s="332">
        <v>2.1</v>
      </c>
      <c r="I522" s="333">
        <v>0.34</v>
      </c>
      <c r="J522" s="333">
        <v>0.89</v>
      </c>
      <c r="K522" s="332">
        <v>5</v>
      </c>
      <c r="L522" s="332">
        <v>0.6</v>
      </c>
      <c r="M522" s="332" t="s">
        <v>207</v>
      </c>
      <c r="N522" s="332">
        <v>2000</v>
      </c>
      <c r="O522" s="332" t="s">
        <v>69</v>
      </c>
      <c r="P522" s="332">
        <v>587634</v>
      </c>
      <c r="Q522" s="335" t="s">
        <v>338</v>
      </c>
      <c r="R522" s="335" t="s">
        <v>1108</v>
      </c>
      <c r="S522" s="335"/>
    </row>
    <row r="523" spans="1:19" x14ac:dyDescent="0.2">
      <c r="A523" s="335" t="s">
        <v>479</v>
      </c>
      <c r="B523" s="332">
        <v>8</v>
      </c>
      <c r="C523" s="332">
        <v>2</v>
      </c>
      <c r="D523" s="332">
        <v>5</v>
      </c>
      <c r="E523" s="332">
        <v>14</v>
      </c>
      <c r="F523" s="332">
        <v>25</v>
      </c>
      <c r="G523" s="332">
        <v>48</v>
      </c>
      <c r="H523" s="332">
        <v>8.1</v>
      </c>
      <c r="I523" s="333">
        <v>0.56000000000000005</v>
      </c>
      <c r="J523" s="333">
        <v>1.53</v>
      </c>
      <c r="K523" s="332">
        <v>10.4</v>
      </c>
      <c r="L523" s="332">
        <v>0.8</v>
      </c>
      <c r="M523" s="332" t="s">
        <v>207</v>
      </c>
      <c r="N523" s="332">
        <v>2009</v>
      </c>
      <c r="O523" s="332" t="s">
        <v>69</v>
      </c>
      <c r="P523" s="332">
        <v>153833</v>
      </c>
      <c r="Q523" s="335" t="s">
        <v>338</v>
      </c>
      <c r="R523" s="335" t="s">
        <v>1088</v>
      </c>
      <c r="S523" s="335"/>
    </row>
    <row r="524" spans="1:19" x14ac:dyDescent="0.2">
      <c r="A524" s="335" t="s">
        <v>463</v>
      </c>
      <c r="B524" s="332">
        <v>9</v>
      </c>
      <c r="C524" s="332">
        <v>3</v>
      </c>
      <c r="D524" s="332">
        <v>9</v>
      </c>
      <c r="E524" s="332">
        <v>17</v>
      </c>
      <c r="F524" s="332">
        <v>29</v>
      </c>
      <c r="G524" s="332">
        <v>57</v>
      </c>
      <c r="H524" s="332">
        <v>9.5</v>
      </c>
      <c r="I524" s="333">
        <v>0.55000000000000004</v>
      </c>
      <c r="J524" s="333">
        <v>1.48</v>
      </c>
      <c r="K524" s="332">
        <v>10.4</v>
      </c>
      <c r="L524" s="332">
        <v>0.9</v>
      </c>
      <c r="M524" s="332" t="s">
        <v>207</v>
      </c>
      <c r="N524" s="332">
        <v>2009</v>
      </c>
      <c r="O524" s="332" t="s">
        <v>69</v>
      </c>
      <c r="P524" s="332">
        <v>118000</v>
      </c>
      <c r="Q524" s="335" t="s">
        <v>338</v>
      </c>
      <c r="R524" s="335" t="s">
        <v>185</v>
      </c>
      <c r="S524" s="335"/>
    </row>
    <row r="525" spans="1:19" x14ac:dyDescent="0.2">
      <c r="A525" s="335" t="s">
        <v>453</v>
      </c>
      <c r="B525" s="332">
        <v>17</v>
      </c>
      <c r="C525" s="332">
        <v>13</v>
      </c>
      <c r="D525" s="332">
        <v>19</v>
      </c>
      <c r="E525" s="332">
        <v>21</v>
      </c>
      <c r="F525" s="332">
        <v>39</v>
      </c>
      <c r="G525" s="332">
        <v>100</v>
      </c>
      <c r="H525" s="332">
        <v>14.9</v>
      </c>
      <c r="I525" s="333">
        <v>0.55000000000000004</v>
      </c>
      <c r="J525" s="333">
        <v>1.46</v>
      </c>
      <c r="K525" s="332">
        <v>12.700000000000001</v>
      </c>
      <c r="L525" s="332">
        <v>0.9</v>
      </c>
      <c r="M525" s="332" t="s">
        <v>207</v>
      </c>
      <c r="N525" s="332">
        <v>2000</v>
      </c>
      <c r="O525" s="332" t="s">
        <v>69</v>
      </c>
      <c r="P525" s="332">
        <v>336826</v>
      </c>
      <c r="Q525" s="335" t="s">
        <v>338</v>
      </c>
      <c r="R525" s="335" t="s">
        <v>219</v>
      </c>
      <c r="S525" s="335"/>
    </row>
    <row r="526" spans="1:19" x14ac:dyDescent="0.2">
      <c r="A526" s="335" t="s">
        <v>695</v>
      </c>
      <c r="B526" s="332">
        <v>16</v>
      </c>
      <c r="C526" s="332">
        <v>10</v>
      </c>
      <c r="D526" s="332">
        <v>18</v>
      </c>
      <c r="E526" s="332">
        <v>21</v>
      </c>
      <c r="F526" s="332">
        <v>23</v>
      </c>
      <c r="G526" s="332">
        <v>77</v>
      </c>
      <c r="H526" s="332">
        <v>12.1</v>
      </c>
      <c r="I526" s="333">
        <v>0.89</v>
      </c>
      <c r="J526" s="333">
        <v>2.2800000000000002</v>
      </c>
      <c r="K526" s="332">
        <v>9.6</v>
      </c>
      <c r="L526" s="332">
        <v>0.8</v>
      </c>
      <c r="M526" s="332" t="s">
        <v>207</v>
      </c>
      <c r="N526" s="332">
        <v>2012</v>
      </c>
      <c r="O526" s="332" t="s">
        <v>69</v>
      </c>
      <c r="P526" s="332">
        <v>666313</v>
      </c>
      <c r="Q526" s="335" t="s">
        <v>836</v>
      </c>
      <c r="R526" s="335" t="s">
        <v>328</v>
      </c>
      <c r="S526" s="335" t="s">
        <v>166</v>
      </c>
    </row>
    <row r="527" spans="1:19" x14ac:dyDescent="0.2">
      <c r="A527" s="335" t="s">
        <v>1045</v>
      </c>
      <c r="B527" s="332">
        <v>3</v>
      </c>
      <c r="C527" s="332">
        <v>-5</v>
      </c>
      <c r="D527" s="332">
        <v>-5</v>
      </c>
      <c r="E527" s="332">
        <v>12</v>
      </c>
      <c r="F527" s="332">
        <v>39</v>
      </c>
      <c r="G527" s="332">
        <v>49</v>
      </c>
      <c r="H527" s="332">
        <v>8.3000000000000007</v>
      </c>
      <c r="I527" s="333">
        <v>0.75</v>
      </c>
      <c r="J527" s="333">
        <v>2.31</v>
      </c>
      <c r="K527" s="332">
        <v>23.7</v>
      </c>
      <c r="L527" s="332">
        <v>0.6</v>
      </c>
      <c r="M527" s="332" t="s">
        <v>157</v>
      </c>
      <c r="N527" s="332">
        <v>2013</v>
      </c>
      <c r="O527" s="332" t="s">
        <v>69</v>
      </c>
      <c r="P527" s="332">
        <v>673699</v>
      </c>
      <c r="Q527" s="335" t="s">
        <v>624</v>
      </c>
      <c r="R527" s="335" t="s">
        <v>350</v>
      </c>
      <c r="S527" s="335" t="s">
        <v>166</v>
      </c>
    </row>
    <row r="528" spans="1:19" x14ac:dyDescent="0.2">
      <c r="A528" s="335" t="s">
        <v>627</v>
      </c>
      <c r="B528" s="332">
        <v>17</v>
      </c>
      <c r="C528" s="332">
        <v>11</v>
      </c>
      <c r="D528" s="332">
        <v>18</v>
      </c>
      <c r="E528" s="332">
        <v>19</v>
      </c>
      <c r="F528" s="332">
        <v>49</v>
      </c>
      <c r="G528" s="332">
        <v>108</v>
      </c>
      <c r="H528" s="332">
        <v>15.700000000000001</v>
      </c>
      <c r="I528" s="333">
        <v>0.75</v>
      </c>
      <c r="J528" s="333">
        <v>1.85</v>
      </c>
      <c r="K528" s="332">
        <v>13.8</v>
      </c>
      <c r="L528" s="332">
        <v>1</v>
      </c>
      <c r="M528" s="332" t="s">
        <v>207</v>
      </c>
      <c r="N528" s="332">
        <v>2013</v>
      </c>
      <c r="O528" s="332" t="s">
        <v>69</v>
      </c>
      <c r="P528" s="332">
        <v>682070</v>
      </c>
      <c r="Q528" s="335" t="s">
        <v>768</v>
      </c>
      <c r="R528" s="335" t="s">
        <v>219</v>
      </c>
      <c r="S528" s="335"/>
    </row>
    <row r="529" spans="1:19" x14ac:dyDescent="0.2">
      <c r="A529" s="335" t="s">
        <v>864</v>
      </c>
      <c r="B529" s="332">
        <v>10</v>
      </c>
      <c r="C529" s="332">
        <v>9</v>
      </c>
      <c r="D529" s="332">
        <v>15</v>
      </c>
      <c r="E529" s="332">
        <v>16</v>
      </c>
      <c r="F529" s="332">
        <v>26</v>
      </c>
      <c r="G529" s="332">
        <v>89</v>
      </c>
      <c r="H529" s="332">
        <v>13.5</v>
      </c>
      <c r="I529" s="333">
        <v>0.66</v>
      </c>
      <c r="J529" s="333">
        <v>1.9000000000000001</v>
      </c>
      <c r="K529" s="332">
        <v>13.6</v>
      </c>
      <c r="L529" s="332">
        <v>0.6</v>
      </c>
      <c r="M529" s="332" t="s">
        <v>207</v>
      </c>
      <c r="N529" s="332">
        <v>2011</v>
      </c>
      <c r="O529" s="332" t="s">
        <v>69</v>
      </c>
      <c r="P529" s="332">
        <v>707638</v>
      </c>
      <c r="Q529" s="335" t="s">
        <v>775</v>
      </c>
      <c r="R529" s="335" t="s">
        <v>219</v>
      </c>
      <c r="S529" s="335"/>
    </row>
    <row r="530" spans="1:19" x14ac:dyDescent="0.2">
      <c r="A530" s="335" t="s">
        <v>497</v>
      </c>
      <c r="B530" s="332">
        <v>5</v>
      </c>
      <c r="C530" s="332">
        <v>3</v>
      </c>
      <c r="D530" s="332">
        <v>5</v>
      </c>
      <c r="E530" s="332">
        <v>13</v>
      </c>
      <c r="F530" s="332">
        <v>21</v>
      </c>
      <c r="G530" s="332">
        <v>51</v>
      </c>
      <c r="H530" s="332">
        <v>8.6</v>
      </c>
      <c r="I530" s="333">
        <v>0.42</v>
      </c>
      <c r="J530" s="333">
        <v>1.4000000000000001</v>
      </c>
      <c r="K530" s="332">
        <v>6.3</v>
      </c>
      <c r="L530" s="332">
        <v>1.1000000000000001</v>
      </c>
      <c r="M530" s="332" t="s">
        <v>207</v>
      </c>
      <c r="N530" s="332">
        <v>2013</v>
      </c>
      <c r="O530" s="332" t="s">
        <v>69</v>
      </c>
      <c r="P530" s="332">
        <v>717900</v>
      </c>
      <c r="Q530" s="335" t="s">
        <v>768</v>
      </c>
      <c r="R530" s="335" t="s">
        <v>1098</v>
      </c>
      <c r="S530" s="335"/>
    </row>
    <row r="531" spans="1:19" x14ac:dyDescent="0.2">
      <c r="A531" s="335" t="s">
        <v>503</v>
      </c>
      <c r="B531" s="332">
        <v>7</v>
      </c>
      <c r="C531" s="332">
        <v>5</v>
      </c>
      <c r="D531" s="332">
        <v>8</v>
      </c>
      <c r="E531" s="332">
        <v>15</v>
      </c>
      <c r="F531" s="332">
        <v>21</v>
      </c>
      <c r="G531" s="332">
        <v>46</v>
      </c>
      <c r="H531" s="332">
        <v>7.8</v>
      </c>
      <c r="I531" s="333">
        <v>0.52</v>
      </c>
      <c r="J531" s="333">
        <v>1.72</v>
      </c>
      <c r="K531" s="332">
        <v>7.1000000000000005</v>
      </c>
      <c r="L531" s="332">
        <v>1</v>
      </c>
      <c r="M531" s="332" t="s">
        <v>207</v>
      </c>
      <c r="N531" s="332">
        <v>2000</v>
      </c>
      <c r="O531" s="332" t="s">
        <v>69</v>
      </c>
      <c r="P531" s="332">
        <v>722454</v>
      </c>
      <c r="Q531" s="335" t="s">
        <v>777</v>
      </c>
      <c r="R531" s="335" t="s">
        <v>1106</v>
      </c>
      <c r="S531" s="335"/>
    </row>
    <row r="532" spans="1:19" x14ac:dyDescent="0.2">
      <c r="A532" s="335" t="s">
        <v>1052</v>
      </c>
      <c r="B532" s="332">
        <v>13</v>
      </c>
      <c r="C532" s="332">
        <v>9</v>
      </c>
      <c r="D532" s="332">
        <v>18</v>
      </c>
      <c r="E532" s="332"/>
      <c r="F532" s="332"/>
      <c r="G532" s="332"/>
      <c r="H532" s="332"/>
      <c r="I532" s="333">
        <v>0.6</v>
      </c>
      <c r="J532" s="333">
        <v>1.43</v>
      </c>
      <c r="K532" s="332"/>
      <c r="L532" s="332"/>
      <c r="M532" s="332" t="s">
        <v>157</v>
      </c>
      <c r="N532" s="332">
        <v>2016</v>
      </c>
      <c r="O532" s="332" t="s">
        <v>158</v>
      </c>
      <c r="P532" s="332">
        <v>725101</v>
      </c>
      <c r="Q532" s="335" t="s">
        <v>927</v>
      </c>
      <c r="R532" s="335" t="s">
        <v>264</v>
      </c>
      <c r="S532" s="335" t="s">
        <v>166</v>
      </c>
    </row>
    <row r="533" spans="1:19" x14ac:dyDescent="0.2">
      <c r="A533" s="335" t="s">
        <v>1122</v>
      </c>
      <c r="B533" s="332">
        <v>15</v>
      </c>
      <c r="C533" s="332">
        <v>5</v>
      </c>
      <c r="D533" s="332">
        <v>13</v>
      </c>
      <c r="E533" s="332">
        <v>36</v>
      </c>
      <c r="F533" s="332">
        <v>45</v>
      </c>
      <c r="G533" s="332">
        <v>57</v>
      </c>
      <c r="H533" s="332">
        <v>9.4</v>
      </c>
      <c r="I533" s="333">
        <v>0.32</v>
      </c>
      <c r="J533" s="333">
        <v>1.73</v>
      </c>
      <c r="K533" s="332">
        <v>16</v>
      </c>
      <c r="L533" s="332">
        <v>0.9</v>
      </c>
      <c r="M533" s="332" t="s">
        <v>157</v>
      </c>
      <c r="N533" s="332">
        <v>2017</v>
      </c>
      <c r="O533" s="332" t="s">
        <v>158</v>
      </c>
      <c r="P533" s="332">
        <v>742106</v>
      </c>
      <c r="Q533" s="335" t="s">
        <v>175</v>
      </c>
      <c r="R533" s="335" t="s">
        <v>302</v>
      </c>
      <c r="S533" s="335"/>
    </row>
    <row r="534" spans="1:19" x14ac:dyDescent="0.2">
      <c r="A534" s="335" t="s">
        <v>727</v>
      </c>
      <c r="B534" s="332">
        <v>17</v>
      </c>
      <c r="C534" s="332">
        <v>8</v>
      </c>
      <c r="D534" s="332">
        <v>8</v>
      </c>
      <c r="E534" s="332">
        <v>31</v>
      </c>
      <c r="F534" s="332">
        <v>60</v>
      </c>
      <c r="G534" s="332">
        <v>109</v>
      </c>
      <c r="H534" s="332">
        <v>15.9</v>
      </c>
      <c r="I534" s="333">
        <v>0.89</v>
      </c>
      <c r="J534" s="333">
        <v>2.67</v>
      </c>
      <c r="K534" s="332">
        <v>18.600000000000001</v>
      </c>
      <c r="L534" s="332">
        <v>1</v>
      </c>
      <c r="M534" s="332" t="s">
        <v>207</v>
      </c>
      <c r="N534" s="332">
        <v>2012</v>
      </c>
      <c r="O534" s="332" t="s">
        <v>69</v>
      </c>
      <c r="P534" s="332">
        <v>759225</v>
      </c>
      <c r="Q534" s="335" t="s">
        <v>554</v>
      </c>
      <c r="R534" s="335" t="s">
        <v>350</v>
      </c>
      <c r="S534" s="335"/>
    </row>
    <row r="535" spans="1:19" x14ac:dyDescent="0.2">
      <c r="A535" s="335" t="s">
        <v>820</v>
      </c>
      <c r="B535" s="332">
        <v>13</v>
      </c>
      <c r="C535" s="332">
        <v>3</v>
      </c>
      <c r="D535" s="332">
        <v>8</v>
      </c>
      <c r="E535" s="332">
        <v>36</v>
      </c>
      <c r="F535" s="332">
        <v>88</v>
      </c>
      <c r="G535" s="332">
        <v>107</v>
      </c>
      <c r="H535" s="332">
        <v>15.700000000000001</v>
      </c>
      <c r="I535" s="333">
        <v>0.63</v>
      </c>
      <c r="J535" s="333">
        <v>1.84</v>
      </c>
      <c r="K535" s="332">
        <v>20.3</v>
      </c>
      <c r="L535" s="332">
        <v>1.2</v>
      </c>
      <c r="M535" s="332" t="s">
        <v>352</v>
      </c>
      <c r="N535" s="332">
        <v>2009</v>
      </c>
      <c r="O535" s="332" t="s">
        <v>69</v>
      </c>
      <c r="P535" s="332">
        <v>391896</v>
      </c>
      <c r="Q535" s="335" t="s">
        <v>556</v>
      </c>
      <c r="R535" s="335" t="s">
        <v>350</v>
      </c>
      <c r="S535" s="335"/>
    </row>
    <row r="536" spans="1:19" x14ac:dyDescent="0.2">
      <c r="A536" s="335" t="s">
        <v>498</v>
      </c>
      <c r="B536" s="332">
        <v>9</v>
      </c>
      <c r="C536" s="332">
        <v>6</v>
      </c>
      <c r="D536" s="332">
        <v>9</v>
      </c>
      <c r="E536" s="332">
        <v>15</v>
      </c>
      <c r="F536" s="332">
        <v>46</v>
      </c>
      <c r="G536" s="332">
        <v>76</v>
      </c>
      <c r="H536" s="332">
        <v>12</v>
      </c>
      <c r="I536" s="333">
        <v>0.56000000000000005</v>
      </c>
      <c r="J536" s="333">
        <v>1.67</v>
      </c>
      <c r="K536" s="332">
        <v>11.1</v>
      </c>
      <c r="L536" s="332">
        <v>1.2</v>
      </c>
      <c r="M536" s="332" t="s">
        <v>207</v>
      </c>
      <c r="N536" s="332">
        <v>2006</v>
      </c>
      <c r="O536" s="332" t="s">
        <v>69</v>
      </c>
      <c r="P536" s="332">
        <v>985895</v>
      </c>
      <c r="Q536" s="335" t="s">
        <v>338</v>
      </c>
      <c r="R536" s="335" t="s">
        <v>1088</v>
      </c>
      <c r="S536" s="335" t="s">
        <v>166</v>
      </c>
    </row>
    <row r="537" spans="1:19" x14ac:dyDescent="0.2">
      <c r="A537" s="335" t="s">
        <v>457</v>
      </c>
      <c r="B537" s="332">
        <v>3</v>
      </c>
      <c r="C537" s="332">
        <v>1</v>
      </c>
      <c r="D537" s="332">
        <v>1</v>
      </c>
      <c r="E537" s="332">
        <v>6</v>
      </c>
      <c r="F537" s="332">
        <v>19</v>
      </c>
      <c r="G537" s="332">
        <v>18</v>
      </c>
      <c r="H537" s="332">
        <v>3.3000000000000003</v>
      </c>
      <c r="I537" s="333">
        <v>0.55000000000000004</v>
      </c>
      <c r="J537" s="333">
        <v>1.48</v>
      </c>
      <c r="K537" s="332">
        <v>5.9</v>
      </c>
      <c r="L537" s="332">
        <v>1</v>
      </c>
      <c r="M537" s="332" t="s">
        <v>207</v>
      </c>
      <c r="N537" s="332">
        <v>2000</v>
      </c>
      <c r="O537" s="332" t="s">
        <v>69</v>
      </c>
      <c r="P537" s="332">
        <v>480145</v>
      </c>
      <c r="Q537" s="335" t="s">
        <v>338</v>
      </c>
      <c r="R537" s="335" t="s">
        <v>1100</v>
      </c>
      <c r="S537" s="335"/>
    </row>
    <row r="538" spans="1:19" x14ac:dyDescent="0.2">
      <c r="A538" s="335" t="s">
        <v>461</v>
      </c>
      <c r="B538" s="332">
        <v>7</v>
      </c>
      <c r="C538" s="332">
        <v>4</v>
      </c>
      <c r="D538" s="332">
        <v>6</v>
      </c>
      <c r="E538" s="332">
        <v>12</v>
      </c>
      <c r="F538" s="332">
        <v>36</v>
      </c>
      <c r="G538" s="332">
        <v>56</v>
      </c>
      <c r="H538" s="332">
        <v>9.3000000000000007</v>
      </c>
      <c r="I538" s="333">
        <v>0.55000000000000004</v>
      </c>
      <c r="J538" s="333">
        <v>1.48</v>
      </c>
      <c r="K538" s="332">
        <v>8.4</v>
      </c>
      <c r="L538" s="332">
        <v>1.3</v>
      </c>
      <c r="M538" s="332" t="s">
        <v>207</v>
      </c>
      <c r="N538" s="332">
        <v>2000</v>
      </c>
      <c r="O538" s="332" t="s">
        <v>69</v>
      </c>
      <c r="P538" s="332">
        <v>408484</v>
      </c>
      <c r="Q538" s="335" t="s">
        <v>338</v>
      </c>
      <c r="R538" s="335" t="s">
        <v>1088</v>
      </c>
      <c r="S538" s="335"/>
    </row>
    <row r="539" spans="1:19" x14ac:dyDescent="0.2">
      <c r="A539" s="335" t="s">
        <v>339</v>
      </c>
      <c r="B539" s="332">
        <v>2</v>
      </c>
      <c r="C539" s="332">
        <v>2</v>
      </c>
      <c r="D539" s="332">
        <v>1</v>
      </c>
      <c r="E539" s="332">
        <v>6</v>
      </c>
      <c r="F539" s="332">
        <v>13</v>
      </c>
      <c r="G539" s="332">
        <v>17</v>
      </c>
      <c r="H539" s="332">
        <v>3.1</v>
      </c>
      <c r="I539" s="333">
        <v>0.32</v>
      </c>
      <c r="J539" s="333">
        <v>0.84</v>
      </c>
      <c r="K539" s="332">
        <v>4.8</v>
      </c>
      <c r="L539" s="332">
        <v>0.9</v>
      </c>
      <c r="M539" s="332" t="s">
        <v>207</v>
      </c>
      <c r="N539" s="332">
        <v>2000</v>
      </c>
      <c r="O539" s="332" t="s">
        <v>69</v>
      </c>
      <c r="P539" s="332">
        <v>515973</v>
      </c>
      <c r="Q539" s="335" t="s">
        <v>338</v>
      </c>
      <c r="R539" s="335" t="s">
        <v>1103</v>
      </c>
      <c r="S539" s="335"/>
    </row>
    <row r="540" spans="1:19" x14ac:dyDescent="0.2">
      <c r="A540" s="335" t="s">
        <v>462</v>
      </c>
      <c r="B540" s="332">
        <v>10</v>
      </c>
      <c r="C540" s="332">
        <v>5</v>
      </c>
      <c r="D540" s="332">
        <v>9</v>
      </c>
      <c r="E540" s="332">
        <v>16</v>
      </c>
      <c r="F540" s="332">
        <v>45</v>
      </c>
      <c r="G540" s="332">
        <v>82</v>
      </c>
      <c r="H540" s="332">
        <v>12.700000000000001</v>
      </c>
      <c r="I540" s="333">
        <v>0.56000000000000005</v>
      </c>
      <c r="J540" s="333">
        <v>1.49</v>
      </c>
      <c r="K540" s="332">
        <v>10.3</v>
      </c>
      <c r="L540" s="332">
        <v>1.3</v>
      </c>
      <c r="M540" s="332" t="s">
        <v>207</v>
      </c>
      <c r="N540" s="332">
        <v>2004</v>
      </c>
      <c r="O540" s="332" t="s">
        <v>69</v>
      </c>
      <c r="P540" s="332">
        <v>320358</v>
      </c>
      <c r="Q540" s="335" t="s">
        <v>338</v>
      </c>
      <c r="R540" s="335" t="s">
        <v>185</v>
      </c>
      <c r="S540" s="335"/>
    </row>
    <row r="541" spans="1:19" x14ac:dyDescent="0.2">
      <c r="A541" s="335" t="s">
        <v>456</v>
      </c>
      <c r="B541" s="332">
        <v>10</v>
      </c>
      <c r="C541" s="332">
        <v>5</v>
      </c>
      <c r="D541" s="332">
        <v>10</v>
      </c>
      <c r="E541" s="332">
        <v>15</v>
      </c>
      <c r="F541" s="332">
        <v>35</v>
      </c>
      <c r="G541" s="332">
        <v>39</v>
      </c>
      <c r="H541" s="332">
        <v>6.8</v>
      </c>
      <c r="I541" s="333">
        <v>0.54</v>
      </c>
      <c r="J541" s="333">
        <v>1.42</v>
      </c>
      <c r="K541" s="332">
        <v>9.4</v>
      </c>
      <c r="L541" s="332">
        <v>1.1000000000000001</v>
      </c>
      <c r="M541" s="332" t="s">
        <v>207</v>
      </c>
      <c r="N541" s="332">
        <v>2006</v>
      </c>
      <c r="O541" s="332" t="s">
        <v>69</v>
      </c>
      <c r="P541" s="332">
        <v>647669</v>
      </c>
      <c r="Q541" s="335" t="s">
        <v>338</v>
      </c>
      <c r="R541" s="335" t="s">
        <v>1089</v>
      </c>
      <c r="S541" s="335"/>
    </row>
    <row r="542" spans="1:19" x14ac:dyDescent="0.2">
      <c r="A542" s="335" t="s">
        <v>823</v>
      </c>
      <c r="B542" s="332">
        <v>13</v>
      </c>
      <c r="C542" s="332">
        <v>11</v>
      </c>
      <c r="D542" s="332">
        <v>18</v>
      </c>
      <c r="E542" s="332">
        <v>20</v>
      </c>
      <c r="F542" s="332">
        <v>33</v>
      </c>
      <c r="G542" s="332">
        <v>122</v>
      </c>
      <c r="H542" s="332">
        <v>17.2</v>
      </c>
      <c r="I542" s="333">
        <v>0.62</v>
      </c>
      <c r="J542" s="333">
        <v>1.81</v>
      </c>
      <c r="K542" s="332">
        <v>13.1</v>
      </c>
      <c r="L542" s="332">
        <v>0.8</v>
      </c>
      <c r="M542" s="332" t="s">
        <v>207</v>
      </c>
      <c r="N542" s="332">
        <v>2004</v>
      </c>
      <c r="O542" s="332" t="s">
        <v>69</v>
      </c>
      <c r="P542" s="332">
        <v>916122</v>
      </c>
      <c r="Q542" s="335" t="s">
        <v>556</v>
      </c>
      <c r="R542" s="335" t="s">
        <v>219</v>
      </c>
      <c r="S542" s="335"/>
    </row>
    <row r="543" spans="1:19" x14ac:dyDescent="0.2">
      <c r="A543" s="335" t="s">
        <v>818</v>
      </c>
      <c r="B543" s="332">
        <v>11</v>
      </c>
      <c r="C543" s="332">
        <v>8</v>
      </c>
      <c r="D543" s="332">
        <v>14</v>
      </c>
      <c r="E543" s="332">
        <v>14</v>
      </c>
      <c r="F543" s="332">
        <v>22</v>
      </c>
      <c r="G543" s="332">
        <v>80</v>
      </c>
      <c r="H543" s="332">
        <v>12.5</v>
      </c>
      <c r="I543" s="333">
        <v>0.62</v>
      </c>
      <c r="J543" s="333">
        <v>1.81</v>
      </c>
      <c r="K543" s="332">
        <v>12.700000000000001</v>
      </c>
      <c r="L543" s="332">
        <v>0.6</v>
      </c>
      <c r="M543" s="332" t="s">
        <v>207</v>
      </c>
      <c r="N543" s="332">
        <v>2004</v>
      </c>
      <c r="O543" s="332" t="s">
        <v>69</v>
      </c>
      <c r="P543" s="332">
        <v>732727</v>
      </c>
      <c r="Q543" s="335" t="s">
        <v>556</v>
      </c>
      <c r="R543" s="335" t="s">
        <v>219</v>
      </c>
      <c r="S543" s="335"/>
    </row>
    <row r="544" spans="1:19" x14ac:dyDescent="0.2">
      <c r="A544" s="335" t="s">
        <v>806</v>
      </c>
      <c r="B544" s="332">
        <v>2</v>
      </c>
      <c r="C544" s="332">
        <v>0</v>
      </c>
      <c r="D544" s="332">
        <v>3</v>
      </c>
      <c r="E544" s="332">
        <v>15</v>
      </c>
      <c r="F544" s="332">
        <v>41</v>
      </c>
      <c r="G544" s="332">
        <v>63</v>
      </c>
      <c r="H544" s="332">
        <v>10.3</v>
      </c>
      <c r="I544" s="333">
        <v>0.53</v>
      </c>
      <c r="J544" s="333">
        <v>1.77</v>
      </c>
      <c r="K544" s="332">
        <v>10.4</v>
      </c>
      <c r="L544" s="332">
        <v>1.2</v>
      </c>
      <c r="M544" s="332" t="s">
        <v>352</v>
      </c>
      <c r="N544" s="332">
        <v>2004</v>
      </c>
      <c r="O544" s="332" t="s">
        <v>69</v>
      </c>
      <c r="P544" s="332">
        <v>302760</v>
      </c>
      <c r="Q544" s="335" t="s">
        <v>556</v>
      </c>
      <c r="R544" s="335" t="s">
        <v>1089</v>
      </c>
      <c r="S544" s="335"/>
    </row>
    <row r="545" spans="1:19" x14ac:dyDescent="0.2">
      <c r="A545" s="335" t="s">
        <v>829</v>
      </c>
      <c r="B545" s="332">
        <v>6</v>
      </c>
      <c r="C545" s="332">
        <v>-5</v>
      </c>
      <c r="D545" s="332">
        <v>5</v>
      </c>
      <c r="E545" s="332">
        <v>29</v>
      </c>
      <c r="F545" s="332">
        <v>8</v>
      </c>
      <c r="G545" s="332">
        <v>3</v>
      </c>
      <c r="H545" s="332">
        <v>0.6</v>
      </c>
      <c r="I545" s="333">
        <v>0.70000000000000007</v>
      </c>
      <c r="J545" s="333">
        <v>2.08</v>
      </c>
      <c r="K545" s="332">
        <v>21.6</v>
      </c>
      <c r="L545" s="332">
        <v>0.2</v>
      </c>
      <c r="M545" s="332" t="s">
        <v>352</v>
      </c>
      <c r="N545" s="332">
        <v>2004</v>
      </c>
      <c r="O545" s="332" t="s">
        <v>69</v>
      </c>
      <c r="P545" s="332">
        <v>661066</v>
      </c>
      <c r="Q545" s="335" t="s">
        <v>556</v>
      </c>
      <c r="R545" s="335" t="s">
        <v>369</v>
      </c>
      <c r="S545" s="335"/>
    </row>
    <row r="546" spans="1:19" x14ac:dyDescent="0.2">
      <c r="A546" s="335" t="s">
        <v>831</v>
      </c>
      <c r="B546" s="332">
        <v>11</v>
      </c>
      <c r="C546" s="332">
        <v>7</v>
      </c>
      <c r="D546" s="332">
        <v>12</v>
      </c>
      <c r="E546" s="332">
        <v>20</v>
      </c>
      <c r="F546" s="332">
        <v>35</v>
      </c>
      <c r="G546" s="332">
        <v>87</v>
      </c>
      <c r="H546" s="332">
        <v>13.4</v>
      </c>
      <c r="I546" s="333">
        <v>0.69000000000000006</v>
      </c>
      <c r="J546" s="333">
        <v>2.06</v>
      </c>
      <c r="K546" s="332">
        <v>13.200000000000001</v>
      </c>
      <c r="L546" s="332">
        <v>0.8</v>
      </c>
      <c r="M546" s="332" t="s">
        <v>352</v>
      </c>
      <c r="N546" s="332">
        <v>2004</v>
      </c>
      <c r="O546" s="332" t="s">
        <v>69</v>
      </c>
      <c r="P546" s="332">
        <v>553578</v>
      </c>
      <c r="Q546" s="335" t="s">
        <v>556</v>
      </c>
      <c r="R546" s="335" t="s">
        <v>1110</v>
      </c>
      <c r="S546" s="335"/>
    </row>
    <row r="547" spans="1:19" x14ac:dyDescent="0.2">
      <c r="A547" s="335" t="s">
        <v>814</v>
      </c>
      <c r="B547" s="332">
        <v>-7</v>
      </c>
      <c r="C547" s="332">
        <v>-8</v>
      </c>
      <c r="D547" s="332">
        <v>-6</v>
      </c>
      <c r="E547" s="332">
        <v>11</v>
      </c>
      <c r="F547" s="332">
        <v>42</v>
      </c>
      <c r="G547" s="332">
        <v>107</v>
      </c>
      <c r="H547" s="332">
        <v>15.6</v>
      </c>
      <c r="I547" s="333">
        <v>0.62</v>
      </c>
      <c r="J547" s="333">
        <v>1.81</v>
      </c>
      <c r="K547" s="332">
        <v>16.100000000000001</v>
      </c>
      <c r="L547" s="332">
        <v>0.8</v>
      </c>
      <c r="M547" s="332" t="s">
        <v>352</v>
      </c>
      <c r="N547" s="332">
        <v>2004</v>
      </c>
      <c r="O547" s="332" t="s">
        <v>69</v>
      </c>
      <c r="P547" s="332">
        <v>768556</v>
      </c>
      <c r="Q547" s="335" t="s">
        <v>556</v>
      </c>
      <c r="R547" s="335" t="s">
        <v>1112</v>
      </c>
      <c r="S547" s="335"/>
    </row>
    <row r="548" spans="1:19" x14ac:dyDescent="0.2">
      <c r="A548" s="335" t="s">
        <v>813</v>
      </c>
      <c r="B548" s="332">
        <v>3</v>
      </c>
      <c r="C548" s="332">
        <v>-2</v>
      </c>
      <c r="D548" s="332">
        <v>5</v>
      </c>
      <c r="E548" s="332">
        <v>24</v>
      </c>
      <c r="F548" s="332">
        <v>64</v>
      </c>
      <c r="G548" s="332">
        <v>126</v>
      </c>
      <c r="H548" s="332">
        <v>17.7</v>
      </c>
      <c r="I548" s="333">
        <v>0.62</v>
      </c>
      <c r="J548" s="333">
        <v>1.81</v>
      </c>
      <c r="K548" s="332">
        <v>15.3</v>
      </c>
      <c r="L548" s="332">
        <v>1.2</v>
      </c>
      <c r="M548" s="332" t="s">
        <v>352</v>
      </c>
      <c r="N548" s="332">
        <v>2004</v>
      </c>
      <c r="O548" s="332" t="s">
        <v>69</v>
      </c>
      <c r="P548" s="332">
        <v>804385</v>
      </c>
      <c r="Q548" s="335" t="s">
        <v>556</v>
      </c>
      <c r="R548" s="335" t="s">
        <v>1112</v>
      </c>
      <c r="S548" s="335"/>
    </row>
    <row r="549" spans="1:19" x14ac:dyDescent="0.2">
      <c r="A549" s="335" t="s">
        <v>812</v>
      </c>
      <c r="B549" s="332">
        <v>1</v>
      </c>
      <c r="C549" s="332">
        <v>-4</v>
      </c>
      <c r="D549" s="332">
        <v>0</v>
      </c>
      <c r="E549" s="332">
        <v>17</v>
      </c>
      <c r="F549" s="332">
        <v>54</v>
      </c>
      <c r="G549" s="332">
        <v>116</v>
      </c>
      <c r="H549" s="332">
        <v>16.7</v>
      </c>
      <c r="I549" s="333">
        <v>0.62</v>
      </c>
      <c r="J549" s="333">
        <v>1.81</v>
      </c>
      <c r="K549" s="332">
        <v>15.3</v>
      </c>
      <c r="L549" s="332">
        <v>1</v>
      </c>
      <c r="M549" s="332" t="s">
        <v>352</v>
      </c>
      <c r="N549" s="332">
        <v>2004</v>
      </c>
      <c r="O549" s="332" t="s">
        <v>69</v>
      </c>
      <c r="P549" s="332">
        <v>625236</v>
      </c>
      <c r="Q549" s="335" t="s">
        <v>556</v>
      </c>
      <c r="R549" s="335" t="s">
        <v>1112</v>
      </c>
      <c r="S549" s="335"/>
    </row>
    <row r="550" spans="1:19" x14ac:dyDescent="0.2">
      <c r="A550" s="335" t="s">
        <v>821</v>
      </c>
      <c r="B550" s="332">
        <v>7</v>
      </c>
      <c r="C550" s="332">
        <v>2</v>
      </c>
      <c r="D550" s="332">
        <v>11</v>
      </c>
      <c r="E550" s="332">
        <v>32</v>
      </c>
      <c r="F550" s="332">
        <v>44</v>
      </c>
      <c r="G550" s="332">
        <v>118</v>
      </c>
      <c r="H550" s="332">
        <v>16.899999999999999</v>
      </c>
      <c r="I550" s="333">
        <v>0.62</v>
      </c>
      <c r="J550" s="333">
        <v>1.83</v>
      </c>
      <c r="K550" s="332">
        <v>18.900000000000002</v>
      </c>
      <c r="L550" s="332">
        <v>0.8</v>
      </c>
      <c r="M550" s="332" t="s">
        <v>352</v>
      </c>
      <c r="N550" s="332">
        <v>2004</v>
      </c>
      <c r="O550" s="332" t="s">
        <v>69</v>
      </c>
      <c r="P550" s="332">
        <v>410258</v>
      </c>
      <c r="Q550" s="335" t="s">
        <v>556</v>
      </c>
      <c r="R550" s="335" t="s">
        <v>296</v>
      </c>
      <c r="S550" s="335"/>
    </row>
    <row r="551" spans="1:19" x14ac:dyDescent="0.2">
      <c r="A551" s="335" t="s">
        <v>832</v>
      </c>
      <c r="B551" s="332">
        <v>0</v>
      </c>
      <c r="C551" s="332">
        <v>-6</v>
      </c>
      <c r="D551" s="332">
        <v>6</v>
      </c>
      <c r="E551" s="332">
        <v>8</v>
      </c>
      <c r="F551" s="332">
        <v>43</v>
      </c>
      <c r="G551" s="332">
        <v>-20</v>
      </c>
      <c r="H551" s="332">
        <v>-4.3</v>
      </c>
      <c r="I551" s="333">
        <v>0.69000000000000006</v>
      </c>
      <c r="J551" s="333">
        <v>2.0499999999999998</v>
      </c>
      <c r="K551" s="332">
        <v>36.200000000000003</v>
      </c>
      <c r="L551" s="332">
        <v>0.5</v>
      </c>
      <c r="M551" s="332" t="s">
        <v>352</v>
      </c>
      <c r="N551" s="332">
        <v>2004</v>
      </c>
      <c r="O551" s="332" t="s">
        <v>69</v>
      </c>
      <c r="P551" s="332">
        <v>338590</v>
      </c>
      <c r="Q551" s="335" t="s">
        <v>556</v>
      </c>
      <c r="R551" s="335" t="s">
        <v>1110</v>
      </c>
      <c r="S551" s="335"/>
    </row>
    <row r="552" spans="1:19" x14ac:dyDescent="0.2">
      <c r="A552" s="335" t="s">
        <v>822</v>
      </c>
      <c r="B552" s="332">
        <v>9</v>
      </c>
      <c r="C552" s="332">
        <v>1</v>
      </c>
      <c r="D552" s="332">
        <v>8</v>
      </c>
      <c r="E552" s="332">
        <v>14</v>
      </c>
      <c r="F552" s="332">
        <v>67</v>
      </c>
      <c r="G552" s="332">
        <v>164</v>
      </c>
      <c r="H552" s="332">
        <v>21.5</v>
      </c>
      <c r="I552" s="333">
        <v>0.62</v>
      </c>
      <c r="J552" s="333">
        <v>1.81</v>
      </c>
      <c r="K552" s="332">
        <v>17.400000000000002</v>
      </c>
      <c r="L552" s="332">
        <v>1.1000000000000001</v>
      </c>
      <c r="M552" s="332" t="s">
        <v>352</v>
      </c>
      <c r="N552" s="332">
        <v>2004</v>
      </c>
      <c r="O552" s="332" t="s">
        <v>69</v>
      </c>
      <c r="P552" s="332">
        <v>374421</v>
      </c>
      <c r="Q552" s="335" t="s">
        <v>556</v>
      </c>
      <c r="R552" s="335" t="s">
        <v>1117</v>
      </c>
      <c r="S552" s="335"/>
    </row>
    <row r="553" spans="1:19" x14ac:dyDescent="0.2">
      <c r="A553" s="335" t="s">
        <v>824</v>
      </c>
      <c r="B553" s="332">
        <v>22</v>
      </c>
      <c r="C553" s="332">
        <v>11</v>
      </c>
      <c r="D553" s="332">
        <v>21</v>
      </c>
      <c r="E553" s="332">
        <v>47</v>
      </c>
      <c r="F553" s="332">
        <v>100</v>
      </c>
      <c r="G553" s="332">
        <v>150</v>
      </c>
      <c r="H553" s="332">
        <v>20.100000000000001</v>
      </c>
      <c r="I553" s="333">
        <v>0.62</v>
      </c>
      <c r="J553" s="333">
        <v>1.81</v>
      </c>
      <c r="K553" s="332">
        <v>16.7</v>
      </c>
      <c r="L553" s="332">
        <v>1.5</v>
      </c>
      <c r="M553" s="332" t="s">
        <v>352</v>
      </c>
      <c r="N553" s="332">
        <v>2004</v>
      </c>
      <c r="O553" s="332" t="s">
        <v>69</v>
      </c>
      <c r="P553" s="332">
        <v>446088</v>
      </c>
      <c r="Q553" s="335" t="s">
        <v>556</v>
      </c>
      <c r="R553" s="335" t="s">
        <v>259</v>
      </c>
      <c r="S553" s="335"/>
    </row>
    <row r="554" spans="1:19" x14ac:dyDescent="0.2">
      <c r="A554" s="335" t="s">
        <v>819</v>
      </c>
      <c r="B554" s="332">
        <v>11</v>
      </c>
      <c r="C554" s="332">
        <v>9</v>
      </c>
      <c r="D554" s="332">
        <v>15</v>
      </c>
      <c r="E554" s="332">
        <v>17</v>
      </c>
      <c r="F554" s="332">
        <v>29</v>
      </c>
      <c r="G554" s="332">
        <v>125</v>
      </c>
      <c r="H554" s="332">
        <v>17.600000000000001</v>
      </c>
      <c r="I554" s="333">
        <v>0.62</v>
      </c>
      <c r="J554" s="333">
        <v>1.81</v>
      </c>
      <c r="K554" s="332">
        <v>12.8</v>
      </c>
      <c r="L554" s="332">
        <v>0.70000000000000007</v>
      </c>
      <c r="M554" s="332" t="s">
        <v>207</v>
      </c>
      <c r="N554" s="332">
        <v>2004</v>
      </c>
      <c r="O554" s="332" t="s">
        <v>69</v>
      </c>
      <c r="P554" s="332">
        <v>696898</v>
      </c>
      <c r="Q554" s="335" t="s">
        <v>556</v>
      </c>
      <c r="R554" s="335" t="s">
        <v>219</v>
      </c>
      <c r="S554" s="335"/>
    </row>
    <row r="555" spans="1:19" x14ac:dyDescent="0.2">
      <c r="A555" s="335" t="s">
        <v>834</v>
      </c>
      <c r="B555" s="332">
        <v>4</v>
      </c>
      <c r="C555" s="332">
        <v>3</v>
      </c>
      <c r="D555" s="332">
        <v>11</v>
      </c>
      <c r="E555" s="332">
        <v>27</v>
      </c>
      <c r="F555" s="332">
        <v>17</v>
      </c>
      <c r="G555" s="332">
        <v>35</v>
      </c>
      <c r="H555" s="332">
        <v>6.3</v>
      </c>
      <c r="I555" s="333">
        <v>0.72</v>
      </c>
      <c r="J555" s="333">
        <v>2.1800000000000002</v>
      </c>
      <c r="K555" s="332">
        <v>17</v>
      </c>
      <c r="L555" s="332">
        <v>0.4</v>
      </c>
      <c r="M555" s="332" t="s">
        <v>207</v>
      </c>
      <c r="N555" s="332">
        <v>2004</v>
      </c>
      <c r="O555" s="332" t="s">
        <v>69</v>
      </c>
      <c r="P555" s="332">
        <v>987784</v>
      </c>
      <c r="Q555" s="335" t="s">
        <v>556</v>
      </c>
      <c r="R555" s="335" t="s">
        <v>328</v>
      </c>
      <c r="S555" s="335"/>
    </row>
    <row r="556" spans="1:19" x14ac:dyDescent="0.2">
      <c r="A556" s="335" t="s">
        <v>774</v>
      </c>
      <c r="B556" s="332">
        <v>12</v>
      </c>
      <c r="C556" s="332">
        <v>8</v>
      </c>
      <c r="D556" s="332">
        <v>13</v>
      </c>
      <c r="E556" s="332">
        <v>25</v>
      </c>
      <c r="F556" s="332">
        <v>44</v>
      </c>
      <c r="G556" s="332">
        <v>134</v>
      </c>
      <c r="H556" s="332">
        <v>18.600000000000001</v>
      </c>
      <c r="I556" s="333">
        <v>0.87</v>
      </c>
      <c r="J556" s="333">
        <v>2.2000000000000002</v>
      </c>
      <c r="K556" s="332">
        <v>12.5</v>
      </c>
      <c r="L556" s="332">
        <v>1.1000000000000001</v>
      </c>
      <c r="M556" s="332" t="s">
        <v>207</v>
      </c>
      <c r="N556" s="332">
        <v>2004</v>
      </c>
      <c r="O556" s="332" t="s">
        <v>69</v>
      </c>
      <c r="P556" s="332">
        <v>920371</v>
      </c>
      <c r="Q556" s="335" t="s">
        <v>756</v>
      </c>
      <c r="R556" s="335" t="s">
        <v>1111</v>
      </c>
      <c r="S556" s="335"/>
    </row>
    <row r="557" spans="1:19" x14ac:dyDescent="0.2">
      <c r="A557" s="335" t="s">
        <v>1038</v>
      </c>
      <c r="B557" s="332">
        <v>5</v>
      </c>
      <c r="C557" s="332">
        <v>4</v>
      </c>
      <c r="D557" s="332">
        <v>3</v>
      </c>
      <c r="E557" s="332">
        <v>7</v>
      </c>
      <c r="F557" s="332">
        <v>14</v>
      </c>
      <c r="G557" s="332">
        <v>29</v>
      </c>
      <c r="H557" s="332">
        <v>5.2</v>
      </c>
      <c r="I557" s="333">
        <v>0.35000000000000003</v>
      </c>
      <c r="J557" s="333">
        <v>0.82000000000000006</v>
      </c>
      <c r="K557" s="332">
        <v>6.5</v>
      </c>
      <c r="L557" s="332">
        <v>0.70000000000000007</v>
      </c>
      <c r="M557" s="332" t="s">
        <v>207</v>
      </c>
      <c r="N557" s="332">
        <v>2013</v>
      </c>
      <c r="O557" s="332" t="s">
        <v>69</v>
      </c>
      <c r="P557" s="332">
        <v>528422</v>
      </c>
      <c r="Q557" s="335" t="s">
        <v>770</v>
      </c>
      <c r="R557" s="335" t="s">
        <v>1098</v>
      </c>
      <c r="S557" s="335"/>
    </row>
    <row r="558" spans="1:19" x14ac:dyDescent="0.2">
      <c r="A558" s="335" t="s">
        <v>998</v>
      </c>
      <c r="B558" s="332">
        <v>7</v>
      </c>
      <c r="C558" s="332">
        <v>4</v>
      </c>
      <c r="D558" s="332">
        <v>6</v>
      </c>
      <c r="E558" s="332">
        <v>11</v>
      </c>
      <c r="F558" s="332">
        <v>17</v>
      </c>
      <c r="G558" s="332">
        <v>33</v>
      </c>
      <c r="H558" s="332">
        <v>5.8</v>
      </c>
      <c r="I558" s="333">
        <v>0.42</v>
      </c>
      <c r="J558" s="333">
        <v>1.0900000000000001</v>
      </c>
      <c r="K558" s="332">
        <v>6.8</v>
      </c>
      <c r="L558" s="332">
        <v>0.8</v>
      </c>
      <c r="M558" s="332" t="s">
        <v>207</v>
      </c>
      <c r="N558" s="332">
        <v>2013</v>
      </c>
      <c r="O558" s="332" t="s">
        <v>69</v>
      </c>
      <c r="P558" s="332">
        <v>420935</v>
      </c>
      <c r="Q558" s="335" t="s">
        <v>770</v>
      </c>
      <c r="R558" s="335" t="s">
        <v>1099</v>
      </c>
      <c r="S558" s="335"/>
    </row>
    <row r="559" spans="1:19" x14ac:dyDescent="0.2">
      <c r="A559" s="335" t="s">
        <v>978</v>
      </c>
      <c r="B559" s="332">
        <v>7</v>
      </c>
      <c r="C559" s="332">
        <v>4</v>
      </c>
      <c r="D559" s="332">
        <v>6</v>
      </c>
      <c r="E559" s="332">
        <v>14</v>
      </c>
      <c r="F559" s="332">
        <v>20</v>
      </c>
      <c r="G559" s="332">
        <v>42</v>
      </c>
      <c r="H559" s="332">
        <v>7.2</v>
      </c>
      <c r="I559" s="333">
        <v>0.42</v>
      </c>
      <c r="J559" s="333">
        <v>1.03</v>
      </c>
      <c r="K559" s="332">
        <v>6.4</v>
      </c>
      <c r="L559" s="332">
        <v>1</v>
      </c>
      <c r="M559" s="332" t="s">
        <v>207</v>
      </c>
      <c r="N559" s="332">
        <v>2013</v>
      </c>
      <c r="O559" s="332" t="s">
        <v>69</v>
      </c>
      <c r="P559" s="332">
        <v>492595</v>
      </c>
      <c r="Q559" s="335" t="s">
        <v>770</v>
      </c>
      <c r="R559" s="335" t="s">
        <v>1099</v>
      </c>
      <c r="S559" s="335"/>
    </row>
    <row r="560" spans="1:19" x14ac:dyDescent="0.2">
      <c r="A560" s="335" t="s">
        <v>778</v>
      </c>
      <c r="B560" s="332">
        <v>5</v>
      </c>
      <c r="C560" s="332">
        <v>3</v>
      </c>
      <c r="D560" s="332">
        <v>4</v>
      </c>
      <c r="E560" s="332">
        <v>12</v>
      </c>
      <c r="F560" s="332">
        <v>18</v>
      </c>
      <c r="G560" s="332">
        <v>43</v>
      </c>
      <c r="H560" s="332">
        <v>7.4</v>
      </c>
      <c r="I560" s="333">
        <v>0.42</v>
      </c>
      <c r="J560" s="333">
        <v>1.26</v>
      </c>
      <c r="K560" s="332">
        <v>6.4</v>
      </c>
      <c r="L560" s="332">
        <v>0.9</v>
      </c>
      <c r="M560" s="332" t="s">
        <v>207</v>
      </c>
      <c r="N560" s="332">
        <v>2013</v>
      </c>
      <c r="O560" s="332" t="s">
        <v>69</v>
      </c>
      <c r="P560" s="332">
        <v>456764</v>
      </c>
      <c r="Q560" s="335" t="s">
        <v>770</v>
      </c>
      <c r="R560" s="335" t="s">
        <v>1098</v>
      </c>
      <c r="S560" s="335"/>
    </row>
    <row r="561" spans="1:19" x14ac:dyDescent="0.2">
      <c r="A561" s="335" t="s">
        <v>779</v>
      </c>
      <c r="B561" s="332">
        <v>-6</v>
      </c>
      <c r="C561" s="332">
        <v>-5</v>
      </c>
      <c r="D561" s="332">
        <v>-2</v>
      </c>
      <c r="E561" s="332">
        <v>13</v>
      </c>
      <c r="F561" s="332"/>
      <c r="G561" s="332"/>
      <c r="H561" s="332"/>
      <c r="I561" s="333">
        <v>0.85</v>
      </c>
      <c r="J561" s="333">
        <v>2.13</v>
      </c>
      <c r="K561" s="332"/>
      <c r="L561" s="332"/>
      <c r="M561" s="332" t="s">
        <v>207</v>
      </c>
      <c r="N561" s="332">
        <v>2014</v>
      </c>
      <c r="O561" s="332" t="s">
        <v>69</v>
      </c>
      <c r="P561" s="332">
        <v>286708</v>
      </c>
      <c r="Q561" s="335" t="s">
        <v>770</v>
      </c>
      <c r="R561" s="335" t="s">
        <v>296</v>
      </c>
      <c r="S561" s="335"/>
    </row>
    <row r="562" spans="1:19" x14ac:dyDescent="0.2">
      <c r="A562" s="335" t="s">
        <v>512</v>
      </c>
      <c r="B562" s="332">
        <v>12</v>
      </c>
      <c r="C562" s="332">
        <v>8</v>
      </c>
      <c r="D562" s="332">
        <v>17</v>
      </c>
      <c r="E562" s="332">
        <v>27</v>
      </c>
      <c r="F562" s="332">
        <v>68</v>
      </c>
      <c r="G562" s="332">
        <v>167</v>
      </c>
      <c r="H562" s="332">
        <v>21.7</v>
      </c>
      <c r="I562" s="333">
        <v>0.57999999999999996</v>
      </c>
      <c r="J562" s="333">
        <v>1.6</v>
      </c>
      <c r="K562" s="332">
        <v>12.200000000000001</v>
      </c>
      <c r="L562" s="332">
        <v>1.5</v>
      </c>
      <c r="M562" s="332" t="s">
        <v>207</v>
      </c>
      <c r="N562" s="332">
        <v>2007</v>
      </c>
      <c r="O562" s="332" t="s">
        <v>69</v>
      </c>
      <c r="P562" s="332">
        <v>668269</v>
      </c>
      <c r="Q562" s="335" t="s">
        <v>202</v>
      </c>
      <c r="R562" s="335" t="s">
        <v>325</v>
      </c>
      <c r="S562" s="335"/>
    </row>
    <row r="563" spans="1:19" x14ac:dyDescent="0.2">
      <c r="A563" s="335" t="s">
        <v>705</v>
      </c>
      <c r="B563" s="332">
        <v>-8</v>
      </c>
      <c r="C563" s="332">
        <v>-4</v>
      </c>
      <c r="D563" s="332">
        <v>2</v>
      </c>
      <c r="E563" s="332">
        <v>38</v>
      </c>
      <c r="F563" s="332">
        <v>24</v>
      </c>
      <c r="G563" s="332">
        <v>8</v>
      </c>
      <c r="H563" s="332">
        <v>1.5</v>
      </c>
      <c r="I563" s="333">
        <v>0.77</v>
      </c>
      <c r="J563" s="333">
        <v>2.75</v>
      </c>
      <c r="K563" s="332">
        <v>26.8</v>
      </c>
      <c r="L563" s="332">
        <v>0.4</v>
      </c>
      <c r="M563" s="332" t="s">
        <v>207</v>
      </c>
      <c r="N563" s="332">
        <v>2004</v>
      </c>
      <c r="O563" s="332" t="s">
        <v>69</v>
      </c>
      <c r="P563" s="332">
        <v>889386</v>
      </c>
      <c r="Q563" s="335" t="s">
        <v>202</v>
      </c>
      <c r="R563" s="335" t="s">
        <v>381</v>
      </c>
      <c r="S563" s="335"/>
    </row>
    <row r="564" spans="1:19" x14ac:dyDescent="0.2">
      <c r="A564" s="335" t="s">
        <v>283</v>
      </c>
      <c r="B564" s="332">
        <v>3</v>
      </c>
      <c r="C564" s="332">
        <v>3</v>
      </c>
      <c r="D564" s="332">
        <v>1</v>
      </c>
      <c r="E564" s="332">
        <v>8</v>
      </c>
      <c r="F564" s="332">
        <v>14</v>
      </c>
      <c r="G564" s="332">
        <v>25</v>
      </c>
      <c r="H564" s="332">
        <v>4.6000000000000005</v>
      </c>
      <c r="I564" s="333">
        <v>0.23</v>
      </c>
      <c r="J564" s="333">
        <v>0.55000000000000004</v>
      </c>
      <c r="K564" s="332">
        <v>4.3</v>
      </c>
      <c r="L564" s="332">
        <v>1.1000000000000001</v>
      </c>
      <c r="M564" s="332" t="s">
        <v>207</v>
      </c>
      <c r="N564" s="332">
        <v>2001</v>
      </c>
      <c r="O564" s="332" t="s">
        <v>69</v>
      </c>
      <c r="P564" s="332">
        <v>621631</v>
      </c>
      <c r="Q564" s="335" t="s">
        <v>202</v>
      </c>
      <c r="R564" s="335" t="s">
        <v>1108</v>
      </c>
      <c r="S564" s="335"/>
    </row>
    <row r="565" spans="1:19" x14ac:dyDescent="0.2">
      <c r="A565" s="335" t="s">
        <v>687</v>
      </c>
      <c r="B565" s="332">
        <v>20</v>
      </c>
      <c r="C565" s="332">
        <v>11</v>
      </c>
      <c r="D565" s="332">
        <v>24</v>
      </c>
      <c r="E565" s="332">
        <v>42</v>
      </c>
      <c r="F565" s="332">
        <v>33</v>
      </c>
      <c r="G565" s="332">
        <v>107</v>
      </c>
      <c r="H565" s="332">
        <v>15.700000000000001</v>
      </c>
      <c r="I565" s="333">
        <v>0.89</v>
      </c>
      <c r="J565" s="333">
        <v>2.27</v>
      </c>
      <c r="K565" s="332">
        <v>11.3</v>
      </c>
      <c r="L565" s="332">
        <v>0.9</v>
      </c>
      <c r="M565" s="332" t="s">
        <v>207</v>
      </c>
      <c r="N565" s="332">
        <v>2010</v>
      </c>
      <c r="O565" s="332" t="s">
        <v>69</v>
      </c>
      <c r="P565" s="332">
        <v>789032</v>
      </c>
      <c r="Q565" s="335" t="s">
        <v>1029</v>
      </c>
      <c r="R565" s="335" t="s">
        <v>328</v>
      </c>
      <c r="S565" s="335"/>
    </row>
    <row r="566" spans="1:19" x14ac:dyDescent="0.2">
      <c r="A566" s="335" t="s">
        <v>699</v>
      </c>
      <c r="B566" s="332">
        <v>-4</v>
      </c>
      <c r="C566" s="332">
        <v>-5</v>
      </c>
      <c r="D566" s="332">
        <v>3</v>
      </c>
      <c r="E566" s="332">
        <v>50</v>
      </c>
      <c r="F566" s="332">
        <v>48</v>
      </c>
      <c r="G566" s="332">
        <v>34</v>
      </c>
      <c r="H566" s="332">
        <v>6.1000000000000005</v>
      </c>
      <c r="I566" s="333">
        <v>0.89</v>
      </c>
      <c r="J566" s="333">
        <v>2.57</v>
      </c>
      <c r="K566" s="332">
        <v>27.5</v>
      </c>
      <c r="L566" s="332">
        <v>0.6</v>
      </c>
      <c r="M566" s="332" t="s">
        <v>207</v>
      </c>
      <c r="N566" s="332">
        <v>2012</v>
      </c>
      <c r="O566" s="332" t="s">
        <v>69</v>
      </c>
      <c r="P566" s="332">
        <v>516914</v>
      </c>
      <c r="Q566" s="335" t="s">
        <v>1029</v>
      </c>
      <c r="R566" s="335" t="s">
        <v>381</v>
      </c>
      <c r="S566" s="335"/>
    </row>
    <row r="567" spans="1:19" x14ac:dyDescent="0.2">
      <c r="A567" s="335" t="s">
        <v>638</v>
      </c>
      <c r="B567" s="332">
        <v>7</v>
      </c>
      <c r="C567" s="332">
        <v>3</v>
      </c>
      <c r="D567" s="332">
        <v>8</v>
      </c>
      <c r="E567" s="332">
        <v>15</v>
      </c>
      <c r="F567" s="332">
        <v>63</v>
      </c>
      <c r="G567" s="332">
        <v>120</v>
      </c>
      <c r="H567" s="332">
        <v>17.100000000000001</v>
      </c>
      <c r="I567" s="333">
        <v>0.74</v>
      </c>
      <c r="J567" s="333">
        <v>1.83</v>
      </c>
      <c r="K567" s="332">
        <v>11.4</v>
      </c>
      <c r="L567" s="332">
        <v>1.5</v>
      </c>
      <c r="M567" s="332" t="s">
        <v>207</v>
      </c>
      <c r="N567" s="332">
        <v>2003</v>
      </c>
      <c r="O567" s="332" t="s">
        <v>69</v>
      </c>
      <c r="P567" s="332">
        <v>532325</v>
      </c>
      <c r="Q567" s="335" t="s">
        <v>636</v>
      </c>
      <c r="R567" s="335" t="s">
        <v>185</v>
      </c>
      <c r="S567" s="335"/>
    </row>
    <row r="568" spans="1:19" x14ac:dyDescent="0.2">
      <c r="A568" s="335" t="s">
        <v>868</v>
      </c>
      <c r="B568" s="332">
        <v>4</v>
      </c>
      <c r="C568" s="332">
        <v>-1</v>
      </c>
      <c r="D568" s="332">
        <v>5</v>
      </c>
      <c r="E568" s="332">
        <v>20</v>
      </c>
      <c r="F568" s="332">
        <v>60</v>
      </c>
      <c r="G568" s="332">
        <v>123</v>
      </c>
      <c r="H568" s="332">
        <v>17.400000000000002</v>
      </c>
      <c r="I568" s="333">
        <v>0.6</v>
      </c>
      <c r="J568" s="333">
        <v>1.42</v>
      </c>
      <c r="K568" s="332">
        <v>13.200000000000001</v>
      </c>
      <c r="L568" s="332">
        <v>1.3</v>
      </c>
      <c r="M568" s="332" t="s">
        <v>352</v>
      </c>
      <c r="N568" s="332">
        <v>2000</v>
      </c>
      <c r="O568" s="332" t="s">
        <v>69</v>
      </c>
      <c r="P568" s="332">
        <v>616797</v>
      </c>
      <c r="Q568" s="335" t="s">
        <v>506</v>
      </c>
      <c r="R568" s="335" t="s">
        <v>1112</v>
      </c>
      <c r="S568" s="335"/>
    </row>
    <row r="569" spans="1:19" x14ac:dyDescent="0.2">
      <c r="A569" s="335" t="s">
        <v>590</v>
      </c>
      <c r="B569" s="332">
        <v>12</v>
      </c>
      <c r="C569" s="332">
        <v>3</v>
      </c>
      <c r="D569" s="332">
        <v>11</v>
      </c>
      <c r="E569" s="332">
        <v>22</v>
      </c>
      <c r="F569" s="332">
        <v>65</v>
      </c>
      <c r="G569" s="332">
        <v>124</v>
      </c>
      <c r="H569" s="332">
        <v>17.5</v>
      </c>
      <c r="I569" s="333">
        <v>0.68</v>
      </c>
      <c r="J569" s="333">
        <v>2.09</v>
      </c>
      <c r="K569" s="332">
        <v>15.200000000000001</v>
      </c>
      <c r="L569" s="332">
        <v>1.2</v>
      </c>
      <c r="M569" s="332" t="s">
        <v>352</v>
      </c>
      <c r="N569" s="332">
        <v>2008</v>
      </c>
      <c r="O569" s="332" t="s">
        <v>69</v>
      </c>
      <c r="P569" s="332">
        <v>626945</v>
      </c>
      <c r="Q569" s="335" t="s">
        <v>777</v>
      </c>
      <c r="R569" s="335" t="s">
        <v>1112</v>
      </c>
      <c r="S569" s="335"/>
    </row>
    <row r="570" spans="1:19" x14ac:dyDescent="0.2">
      <c r="A570" s="335" t="s">
        <v>331</v>
      </c>
      <c r="B570" s="332">
        <v>3</v>
      </c>
      <c r="C570" s="332">
        <v>-2</v>
      </c>
      <c r="D570" s="332">
        <v>4</v>
      </c>
      <c r="E570" s="332">
        <v>21</v>
      </c>
      <c r="F570" s="332">
        <v>67</v>
      </c>
      <c r="G570" s="332">
        <v>133</v>
      </c>
      <c r="H570" s="332">
        <v>18.5</v>
      </c>
      <c r="I570" s="333">
        <v>0.26</v>
      </c>
      <c r="J570" s="333">
        <v>0.67</v>
      </c>
      <c r="K570" s="332">
        <v>13.200000000000001</v>
      </c>
      <c r="L570" s="332">
        <v>1.4000000000000001</v>
      </c>
      <c r="M570" s="332" t="s">
        <v>157</v>
      </c>
      <c r="N570" s="332">
        <v>2000</v>
      </c>
      <c r="O570" s="332" t="s">
        <v>158</v>
      </c>
      <c r="P570" s="332">
        <v>678128</v>
      </c>
      <c r="Q570" s="335" t="s">
        <v>170</v>
      </c>
      <c r="R570" s="335" t="s">
        <v>1112</v>
      </c>
      <c r="S570" s="335" t="s">
        <v>166</v>
      </c>
    </row>
    <row r="571" spans="1:19" x14ac:dyDescent="0.2">
      <c r="A571" s="335" t="s">
        <v>980</v>
      </c>
      <c r="B571" s="332">
        <v>7</v>
      </c>
      <c r="C571" s="332">
        <v>0</v>
      </c>
      <c r="D571" s="332">
        <v>9</v>
      </c>
      <c r="E571" s="332">
        <v>24</v>
      </c>
      <c r="F571" s="332">
        <v>64</v>
      </c>
      <c r="G571" s="332">
        <v>121</v>
      </c>
      <c r="H571" s="332">
        <v>17.2</v>
      </c>
      <c r="I571" s="333">
        <v>0.61</v>
      </c>
      <c r="J571" s="333">
        <v>1.85</v>
      </c>
      <c r="K571" s="332">
        <v>13.9</v>
      </c>
      <c r="L571" s="332">
        <v>1.3</v>
      </c>
      <c r="M571" s="332" t="s">
        <v>352</v>
      </c>
      <c r="N571" s="332">
        <v>2000</v>
      </c>
      <c r="O571" s="332" t="s">
        <v>69</v>
      </c>
      <c r="P571" s="332">
        <v>686626</v>
      </c>
      <c r="Q571" s="335" t="s">
        <v>777</v>
      </c>
      <c r="R571" s="335" t="s">
        <v>1112</v>
      </c>
      <c r="S571" s="335"/>
    </row>
    <row r="572" spans="1:19" x14ac:dyDescent="0.2">
      <c r="A572" s="335" t="s">
        <v>895</v>
      </c>
      <c r="B572" s="332">
        <v>-11</v>
      </c>
      <c r="C572" s="332">
        <v>-8</v>
      </c>
      <c r="D572" s="332">
        <v>-13</v>
      </c>
      <c r="E572" s="332">
        <v>-21</v>
      </c>
      <c r="F572" s="332"/>
      <c r="G572" s="332"/>
      <c r="H572" s="332"/>
      <c r="I572" s="333">
        <v>0.4</v>
      </c>
      <c r="J572" s="333">
        <v>0.95000000000000007</v>
      </c>
      <c r="K572" s="332"/>
      <c r="L572" s="332"/>
      <c r="M572" s="332" t="s">
        <v>157</v>
      </c>
      <c r="N572" s="332">
        <v>2015</v>
      </c>
      <c r="O572" s="332" t="s">
        <v>158</v>
      </c>
      <c r="P572" s="332">
        <v>186478</v>
      </c>
      <c r="Q572" s="335" t="s">
        <v>233</v>
      </c>
      <c r="R572" s="335" t="s">
        <v>296</v>
      </c>
      <c r="S572" s="335"/>
    </row>
    <row r="573" spans="1:19" x14ac:dyDescent="0.2">
      <c r="A573" s="335" t="s">
        <v>662</v>
      </c>
      <c r="B573" s="332">
        <v>11</v>
      </c>
      <c r="C573" s="332">
        <v>6</v>
      </c>
      <c r="D573" s="332">
        <v>13</v>
      </c>
      <c r="E573" s="332">
        <v>25</v>
      </c>
      <c r="F573" s="332">
        <v>59</v>
      </c>
      <c r="G573" s="332">
        <v>88</v>
      </c>
      <c r="H573" s="332">
        <v>13.5</v>
      </c>
      <c r="I573" s="333">
        <v>0.76</v>
      </c>
      <c r="J573" s="333">
        <v>2.2800000000000002</v>
      </c>
      <c r="K573" s="332">
        <v>14.3</v>
      </c>
      <c r="L573" s="332">
        <v>1.2</v>
      </c>
      <c r="M573" s="332" t="s">
        <v>352</v>
      </c>
      <c r="N573" s="332">
        <v>2011</v>
      </c>
      <c r="O573" s="332" t="s">
        <v>69</v>
      </c>
      <c r="P573" s="332">
        <v>233346</v>
      </c>
      <c r="Q573" s="335" t="s">
        <v>775</v>
      </c>
      <c r="R573" s="335" t="s">
        <v>296</v>
      </c>
      <c r="S573" s="335"/>
    </row>
    <row r="574" spans="1:19" x14ac:dyDescent="0.2">
      <c r="A574" s="335" t="s">
        <v>635</v>
      </c>
      <c r="B574" s="332">
        <v>5</v>
      </c>
      <c r="C574" s="332">
        <v>3</v>
      </c>
      <c r="D574" s="332">
        <v>5</v>
      </c>
      <c r="E574" s="332">
        <v>14</v>
      </c>
      <c r="F574" s="332">
        <v>67</v>
      </c>
      <c r="G574" s="332">
        <v>91</v>
      </c>
      <c r="H574" s="332">
        <v>13.8</v>
      </c>
      <c r="I574" s="333">
        <v>0.78</v>
      </c>
      <c r="J574" s="333">
        <v>1.95</v>
      </c>
      <c r="K574" s="332">
        <v>13.1</v>
      </c>
      <c r="L574" s="332">
        <v>1.4000000000000001</v>
      </c>
      <c r="M574" s="332" t="s">
        <v>207</v>
      </c>
      <c r="N574" s="332">
        <v>2003</v>
      </c>
      <c r="O574" s="332" t="s">
        <v>69</v>
      </c>
      <c r="P574" s="332">
        <v>603985</v>
      </c>
      <c r="Q574" s="335" t="s">
        <v>636</v>
      </c>
      <c r="R574" s="335" t="s">
        <v>205</v>
      </c>
      <c r="S574" s="335"/>
    </row>
    <row r="575" spans="1:19" x14ac:dyDescent="0.2">
      <c r="A575" s="335" t="s">
        <v>541</v>
      </c>
      <c r="B575" s="332">
        <v>8</v>
      </c>
      <c r="C575" s="332">
        <v>7</v>
      </c>
      <c r="D575" s="332">
        <v>13</v>
      </c>
      <c r="E575" s="332">
        <v>17</v>
      </c>
      <c r="F575" s="332">
        <v>20</v>
      </c>
      <c r="G575" s="332">
        <v>70</v>
      </c>
      <c r="H575" s="332">
        <v>11.200000000000001</v>
      </c>
      <c r="I575" s="333">
        <v>0.61</v>
      </c>
      <c r="J575" s="333">
        <v>1.58</v>
      </c>
      <c r="K575" s="332">
        <v>13.1</v>
      </c>
      <c r="L575" s="332">
        <v>0.5</v>
      </c>
      <c r="M575" s="332" t="s">
        <v>207</v>
      </c>
      <c r="N575" s="332">
        <v>2010</v>
      </c>
      <c r="O575" s="332" t="s">
        <v>69</v>
      </c>
      <c r="P575" s="332">
        <v>238832</v>
      </c>
      <c r="Q575" s="335" t="s">
        <v>330</v>
      </c>
      <c r="R575" s="335" t="s">
        <v>219</v>
      </c>
      <c r="S575" s="335"/>
    </row>
    <row r="576" spans="1:19" x14ac:dyDescent="0.2">
      <c r="A576" s="335" t="s">
        <v>455</v>
      </c>
      <c r="B576" s="332">
        <v>5</v>
      </c>
      <c r="C576" s="332">
        <v>3</v>
      </c>
      <c r="D576" s="332">
        <v>4</v>
      </c>
      <c r="E576" s="332">
        <v>9</v>
      </c>
      <c r="F576" s="332">
        <v>27</v>
      </c>
      <c r="G576" s="332">
        <v>34</v>
      </c>
      <c r="H576" s="332">
        <v>6.1000000000000005</v>
      </c>
      <c r="I576" s="333">
        <v>0.55000000000000004</v>
      </c>
      <c r="J576" s="333">
        <v>1.47</v>
      </c>
      <c r="K576" s="332">
        <v>6.7</v>
      </c>
      <c r="L576" s="332">
        <v>1.3</v>
      </c>
      <c r="M576" s="332" t="s">
        <v>207</v>
      </c>
      <c r="N576" s="332">
        <v>2000</v>
      </c>
      <c r="O576" s="332" t="s">
        <v>69</v>
      </c>
      <c r="P576" s="332">
        <v>444315</v>
      </c>
      <c r="Q576" s="335" t="s">
        <v>338</v>
      </c>
      <c r="R576" s="335" t="s">
        <v>1106</v>
      </c>
      <c r="S576" s="335"/>
    </row>
    <row r="577" spans="1:19" x14ac:dyDescent="0.2">
      <c r="A577" s="335" t="s">
        <v>759</v>
      </c>
      <c r="B577" s="332">
        <v>16</v>
      </c>
      <c r="C577" s="332">
        <v>11</v>
      </c>
      <c r="D577" s="332">
        <v>17</v>
      </c>
      <c r="E577" s="332">
        <v>18</v>
      </c>
      <c r="F577" s="332">
        <v>47</v>
      </c>
      <c r="G577" s="332"/>
      <c r="H577" s="332"/>
      <c r="I577" s="333">
        <v>0.75</v>
      </c>
      <c r="J577" s="333">
        <v>1.85</v>
      </c>
      <c r="K577" s="332">
        <v>13.9</v>
      </c>
      <c r="L577" s="332">
        <v>1</v>
      </c>
      <c r="M577" s="332" t="s">
        <v>207</v>
      </c>
      <c r="N577" s="332">
        <v>2014</v>
      </c>
      <c r="O577" s="332" t="s">
        <v>69</v>
      </c>
      <c r="P577" s="332">
        <v>634675</v>
      </c>
      <c r="Q577" s="335" t="s">
        <v>768</v>
      </c>
      <c r="R577" s="335" t="s">
        <v>219</v>
      </c>
      <c r="S577" s="335"/>
    </row>
    <row r="578" spans="1:19" x14ac:dyDescent="0.2">
      <c r="A578" s="335" t="s">
        <v>59</v>
      </c>
      <c r="B578" s="332">
        <v>7</v>
      </c>
      <c r="C578" s="332">
        <v>3</v>
      </c>
      <c r="D578" s="332">
        <v>8</v>
      </c>
      <c r="E578" s="332">
        <v>17</v>
      </c>
      <c r="F578" s="332">
        <v>29</v>
      </c>
      <c r="G578" s="332">
        <v>77</v>
      </c>
      <c r="H578" s="332">
        <v>12.200000000000001</v>
      </c>
      <c r="I578" s="333">
        <v>0.19</v>
      </c>
      <c r="J578" s="333">
        <v>0.51</v>
      </c>
      <c r="K578" s="332">
        <v>8.4</v>
      </c>
      <c r="L578" s="332">
        <v>1.1000000000000001</v>
      </c>
      <c r="M578" s="332" t="s">
        <v>157</v>
      </c>
      <c r="N578" s="332">
        <v>2004</v>
      </c>
      <c r="O578" s="332" t="s">
        <v>158</v>
      </c>
      <c r="P578" s="332">
        <v>747899</v>
      </c>
      <c r="Q578" s="335" t="s">
        <v>175</v>
      </c>
      <c r="R578" s="335" t="s">
        <v>1087</v>
      </c>
      <c r="S578" s="335"/>
    </row>
    <row r="579" spans="1:19" x14ac:dyDescent="0.2">
      <c r="A579" s="335" t="s">
        <v>225</v>
      </c>
      <c r="B579" s="332">
        <v>7</v>
      </c>
      <c r="C579" s="332">
        <v>3</v>
      </c>
      <c r="D579" s="332">
        <v>7</v>
      </c>
      <c r="E579" s="332">
        <v>15</v>
      </c>
      <c r="F579" s="332">
        <v>34</v>
      </c>
      <c r="G579" s="332">
        <v>76</v>
      </c>
      <c r="H579" s="332">
        <v>12</v>
      </c>
      <c r="I579" s="333">
        <v>0.18</v>
      </c>
      <c r="J579" s="333">
        <v>0.41000000000000003</v>
      </c>
      <c r="K579" s="332">
        <v>8</v>
      </c>
      <c r="L579" s="332">
        <v>1.3</v>
      </c>
      <c r="M579" s="332" t="s">
        <v>157</v>
      </c>
      <c r="N579" s="332">
        <v>2000</v>
      </c>
      <c r="O579" s="332" t="s">
        <v>158</v>
      </c>
      <c r="P579" s="332">
        <v>224493</v>
      </c>
      <c r="Q579" s="335" t="s">
        <v>175</v>
      </c>
      <c r="R579" s="335" t="s">
        <v>1088</v>
      </c>
      <c r="S579" s="335" t="s">
        <v>166</v>
      </c>
    </row>
    <row r="580" spans="1:19" x14ac:dyDescent="0.2">
      <c r="A580" s="335" t="s">
        <v>224</v>
      </c>
      <c r="B580" s="332">
        <v>12</v>
      </c>
      <c r="C580" s="332">
        <v>7</v>
      </c>
      <c r="D580" s="332">
        <v>13</v>
      </c>
      <c r="E580" s="332">
        <v>23</v>
      </c>
      <c r="F580" s="332">
        <v>44</v>
      </c>
      <c r="G580" s="332">
        <v>113</v>
      </c>
      <c r="H580" s="332">
        <v>16.3</v>
      </c>
      <c r="I580" s="333">
        <v>0.18</v>
      </c>
      <c r="J580" s="333">
        <v>0.43</v>
      </c>
      <c r="K580" s="332">
        <v>12.1</v>
      </c>
      <c r="L580" s="332">
        <v>1.1000000000000001</v>
      </c>
      <c r="M580" s="332" t="s">
        <v>157</v>
      </c>
      <c r="N580" s="332">
        <v>2000</v>
      </c>
      <c r="O580" s="332" t="s">
        <v>158</v>
      </c>
      <c r="P580" s="332">
        <v>296152</v>
      </c>
      <c r="Q580" s="335" t="s">
        <v>175</v>
      </c>
      <c r="R580" s="335" t="s">
        <v>1091</v>
      </c>
      <c r="S580" s="335" t="s">
        <v>166</v>
      </c>
    </row>
    <row r="581" spans="1:19" x14ac:dyDescent="0.2">
      <c r="A581" s="335" t="s">
        <v>896</v>
      </c>
      <c r="B581" s="332">
        <v>13</v>
      </c>
      <c r="C581" s="332">
        <v>9</v>
      </c>
      <c r="D581" s="332">
        <v>15</v>
      </c>
      <c r="E581" s="332">
        <v>19</v>
      </c>
      <c r="F581" s="332"/>
      <c r="G581" s="332"/>
      <c r="H581" s="332"/>
      <c r="I581" s="333">
        <v>0.63</v>
      </c>
      <c r="J581" s="333">
        <v>1.8</v>
      </c>
      <c r="K581" s="332"/>
      <c r="L581" s="332"/>
      <c r="M581" s="332" t="s">
        <v>207</v>
      </c>
      <c r="N581" s="332">
        <v>2014</v>
      </c>
      <c r="O581" s="332" t="s">
        <v>69</v>
      </c>
      <c r="P581" s="332">
        <v>103309</v>
      </c>
      <c r="Q581" s="335" t="s">
        <v>775</v>
      </c>
      <c r="R581" s="335" t="s">
        <v>219</v>
      </c>
      <c r="S581" s="335"/>
    </row>
    <row r="582" spans="1:19" x14ac:dyDescent="0.2">
      <c r="A582" s="335" t="s">
        <v>560</v>
      </c>
      <c r="B582" s="332">
        <v>17</v>
      </c>
      <c r="C582" s="332">
        <v>13</v>
      </c>
      <c r="D582" s="332">
        <v>19</v>
      </c>
      <c r="E582" s="332">
        <v>18</v>
      </c>
      <c r="F582" s="332">
        <v>38</v>
      </c>
      <c r="G582" s="332">
        <v>127</v>
      </c>
      <c r="H582" s="332">
        <v>17.8</v>
      </c>
      <c r="I582" s="333">
        <v>0.64</v>
      </c>
      <c r="J582" s="333">
        <v>1.97</v>
      </c>
      <c r="K582" s="332">
        <v>13.8</v>
      </c>
      <c r="L582" s="332">
        <v>0.9</v>
      </c>
      <c r="M582" s="332" t="s">
        <v>207</v>
      </c>
      <c r="N582" s="332">
        <v>2005</v>
      </c>
      <c r="O582" s="332" t="s">
        <v>69</v>
      </c>
      <c r="P582" s="332">
        <v>116293</v>
      </c>
      <c r="Q582" s="335" t="s">
        <v>777</v>
      </c>
      <c r="R582" s="335" t="s">
        <v>1111</v>
      </c>
      <c r="S582" s="335"/>
    </row>
    <row r="583" spans="1:19" x14ac:dyDescent="0.2">
      <c r="A583" s="335" t="s">
        <v>1043</v>
      </c>
      <c r="B583" s="332">
        <v>10</v>
      </c>
      <c r="C583" s="332">
        <v>8</v>
      </c>
      <c r="D583" s="332">
        <v>12</v>
      </c>
      <c r="E583" s="332">
        <v>16</v>
      </c>
      <c r="F583" s="332"/>
      <c r="G583" s="332"/>
      <c r="H583" s="332"/>
      <c r="I583" s="333">
        <v>0.63</v>
      </c>
      <c r="J583" s="333">
        <v>1.57</v>
      </c>
      <c r="K583" s="332"/>
      <c r="L583" s="332"/>
      <c r="M583" s="332" t="s">
        <v>157</v>
      </c>
      <c r="N583" s="332">
        <v>2016</v>
      </c>
      <c r="O583" s="332" t="s">
        <v>158</v>
      </c>
      <c r="P583" s="332">
        <v>787671</v>
      </c>
      <c r="Q583" s="335" t="s">
        <v>1035</v>
      </c>
      <c r="R583" s="335" t="s">
        <v>1089</v>
      </c>
      <c r="S583" s="335"/>
    </row>
    <row r="584" spans="1:19" x14ac:dyDescent="0.2">
      <c r="A584" s="335" t="s">
        <v>1127</v>
      </c>
      <c r="B584" s="332">
        <v>4</v>
      </c>
      <c r="C584" s="332">
        <v>-5</v>
      </c>
      <c r="D584" s="332">
        <v>2</v>
      </c>
      <c r="E584" s="332">
        <v>5</v>
      </c>
      <c r="F584" s="332">
        <v>33</v>
      </c>
      <c r="G584" s="332">
        <v>105</v>
      </c>
      <c r="H584" s="332">
        <v>15.5</v>
      </c>
      <c r="I584" s="333">
        <v>0.39</v>
      </c>
      <c r="J584" s="333">
        <v>1.72</v>
      </c>
      <c r="K584" s="332">
        <v>19.100000000000001</v>
      </c>
      <c r="L584" s="332">
        <v>0.6</v>
      </c>
      <c r="M584" s="332" t="s">
        <v>157</v>
      </c>
      <c r="N584" s="332">
        <v>2000</v>
      </c>
      <c r="O584" s="332" t="s">
        <v>69</v>
      </c>
      <c r="P584" s="332">
        <v>313155</v>
      </c>
      <c r="Q584" s="335" t="s">
        <v>1129</v>
      </c>
      <c r="R584" s="335" t="s">
        <v>1117</v>
      </c>
      <c r="S584" s="335"/>
    </row>
    <row r="585" spans="1:19" x14ac:dyDescent="0.2">
      <c r="A585" s="335" t="s">
        <v>1101</v>
      </c>
      <c r="B585" s="332">
        <v>13</v>
      </c>
      <c r="C585" s="332">
        <v>8</v>
      </c>
      <c r="D585" s="332">
        <v>16</v>
      </c>
      <c r="E585" s="332">
        <v>16</v>
      </c>
      <c r="F585" s="332">
        <v>50</v>
      </c>
      <c r="G585" s="332">
        <v>125</v>
      </c>
      <c r="H585" s="332">
        <v>17.600000000000001</v>
      </c>
      <c r="I585" s="333">
        <v>0.38</v>
      </c>
      <c r="J585" s="333">
        <v>1.6300000000000001</v>
      </c>
      <c r="K585" s="332">
        <v>11.700000000000001</v>
      </c>
      <c r="L585" s="332">
        <v>1.2</v>
      </c>
      <c r="M585" s="332" t="s">
        <v>157</v>
      </c>
      <c r="N585" s="332">
        <v>2000</v>
      </c>
      <c r="O585" s="332" t="s">
        <v>69</v>
      </c>
      <c r="P585" s="332">
        <v>348987</v>
      </c>
      <c r="Q585" s="335" t="s">
        <v>1129</v>
      </c>
      <c r="R585" s="335" t="s">
        <v>325</v>
      </c>
      <c r="S585" s="335"/>
    </row>
    <row r="586" spans="1:19" x14ac:dyDescent="0.2">
      <c r="A586" s="335" t="s">
        <v>1090</v>
      </c>
      <c r="B586" s="332">
        <v>13</v>
      </c>
      <c r="C586" s="332">
        <v>8</v>
      </c>
      <c r="D586" s="332">
        <v>19</v>
      </c>
      <c r="E586" s="332">
        <v>24</v>
      </c>
      <c r="F586" s="332">
        <v>54</v>
      </c>
      <c r="G586" s="332">
        <v>132</v>
      </c>
      <c r="H586" s="332">
        <v>18.400000000000002</v>
      </c>
      <c r="I586" s="333">
        <v>0.38</v>
      </c>
      <c r="J586" s="333">
        <v>1.6</v>
      </c>
      <c r="K586" s="332">
        <v>12.200000000000001</v>
      </c>
      <c r="L586" s="332">
        <v>1.3</v>
      </c>
      <c r="M586" s="332" t="s">
        <v>157</v>
      </c>
      <c r="N586" s="332">
        <v>2010</v>
      </c>
      <c r="O586" s="332" t="s">
        <v>69</v>
      </c>
      <c r="P586" s="332">
        <v>792697</v>
      </c>
      <c r="Q586" s="335" t="s">
        <v>1129</v>
      </c>
      <c r="R586" s="335" t="s">
        <v>223</v>
      </c>
      <c r="S586" s="335"/>
    </row>
    <row r="587" spans="1:19" x14ac:dyDescent="0.2">
      <c r="A587" s="335" t="s">
        <v>1092</v>
      </c>
      <c r="B587" s="332">
        <v>15</v>
      </c>
      <c r="C587" s="332">
        <v>10</v>
      </c>
      <c r="D587" s="332">
        <v>21</v>
      </c>
      <c r="E587" s="332">
        <v>28</v>
      </c>
      <c r="F587" s="332">
        <v>93</v>
      </c>
      <c r="G587" s="332">
        <v>218</v>
      </c>
      <c r="H587" s="332">
        <v>26</v>
      </c>
      <c r="I587" s="333">
        <v>0.38</v>
      </c>
      <c r="J587" s="333">
        <v>1.61</v>
      </c>
      <c r="K587" s="332">
        <v>14.4</v>
      </c>
      <c r="L587" s="332">
        <v>1.6</v>
      </c>
      <c r="M587" s="332" t="s">
        <v>157</v>
      </c>
      <c r="N587" s="332">
        <v>2010</v>
      </c>
      <c r="O587" s="332" t="s">
        <v>69</v>
      </c>
      <c r="P587" s="332">
        <v>721035</v>
      </c>
      <c r="Q587" s="335" t="s">
        <v>1129</v>
      </c>
      <c r="R587" s="335" t="s">
        <v>264</v>
      </c>
      <c r="S587" s="335"/>
    </row>
    <row r="588" spans="1:19" x14ac:dyDescent="0.2">
      <c r="A588" s="335" t="s">
        <v>1093</v>
      </c>
      <c r="B588" s="332">
        <v>16</v>
      </c>
      <c r="C588" s="332">
        <v>6</v>
      </c>
      <c r="D588" s="332">
        <v>13</v>
      </c>
      <c r="E588" s="332">
        <v>29</v>
      </c>
      <c r="F588" s="332">
        <v>4</v>
      </c>
      <c r="G588" s="332">
        <v>4</v>
      </c>
      <c r="H588" s="332">
        <v>0.70000000000000007</v>
      </c>
      <c r="I588" s="333">
        <v>0.42</v>
      </c>
      <c r="J588" s="333">
        <v>1.9000000000000001</v>
      </c>
      <c r="K588" s="332">
        <v>18.2</v>
      </c>
      <c r="L588" s="332">
        <v>0.2</v>
      </c>
      <c r="M588" s="332" t="s">
        <v>157</v>
      </c>
      <c r="N588" s="332">
        <v>2005</v>
      </c>
      <c r="O588" s="332" t="s">
        <v>69</v>
      </c>
      <c r="P588" s="332">
        <v>851725</v>
      </c>
      <c r="Q588" s="335" t="s">
        <v>1129</v>
      </c>
      <c r="R588" s="335" t="s">
        <v>302</v>
      </c>
      <c r="S588" s="335"/>
    </row>
    <row r="589" spans="1:19" x14ac:dyDescent="0.2">
      <c r="A589" s="335" t="s">
        <v>1094</v>
      </c>
      <c r="B589" s="332">
        <v>4</v>
      </c>
      <c r="C589" s="332">
        <v>0</v>
      </c>
      <c r="D589" s="332">
        <v>4</v>
      </c>
      <c r="E589" s="332">
        <v>9</v>
      </c>
      <c r="F589" s="332">
        <v>33</v>
      </c>
      <c r="G589" s="332">
        <v>64</v>
      </c>
      <c r="H589" s="332">
        <v>10.4</v>
      </c>
      <c r="I589" s="333">
        <v>0.38</v>
      </c>
      <c r="J589" s="333">
        <v>1.6</v>
      </c>
      <c r="K589" s="332">
        <v>12.3</v>
      </c>
      <c r="L589" s="332">
        <v>0.8</v>
      </c>
      <c r="M589" s="332" t="s">
        <v>157</v>
      </c>
      <c r="N589" s="332">
        <v>2000</v>
      </c>
      <c r="O589" s="332" t="s">
        <v>69</v>
      </c>
      <c r="P589" s="332">
        <v>241497</v>
      </c>
      <c r="Q589" s="335" t="s">
        <v>1129</v>
      </c>
      <c r="R589" s="335" t="s">
        <v>185</v>
      </c>
      <c r="S589" s="335"/>
    </row>
    <row r="590" spans="1:19" x14ac:dyDescent="0.2">
      <c r="A590" s="335" t="s">
        <v>1118</v>
      </c>
      <c r="B590" s="332">
        <v>19</v>
      </c>
      <c r="C590" s="332">
        <v>7</v>
      </c>
      <c r="D590" s="332">
        <v>14</v>
      </c>
      <c r="E590" s="332">
        <v>33</v>
      </c>
      <c r="F590" s="332">
        <v>63</v>
      </c>
      <c r="G590" s="332"/>
      <c r="H590" s="332"/>
      <c r="I590" s="333">
        <v>0.44</v>
      </c>
      <c r="J590" s="333">
        <v>1.99</v>
      </c>
      <c r="K590" s="332">
        <v>16.600000000000001</v>
      </c>
      <c r="L590" s="332">
        <v>1.1000000000000001</v>
      </c>
      <c r="M590" s="332" t="s">
        <v>157</v>
      </c>
      <c r="N590" s="332">
        <v>2013</v>
      </c>
      <c r="O590" s="332" t="s">
        <v>69</v>
      </c>
      <c r="P590" s="332">
        <v>379024</v>
      </c>
      <c r="Q590" s="335" t="s">
        <v>1129</v>
      </c>
      <c r="R590" s="335" t="s">
        <v>1113</v>
      </c>
      <c r="S590" s="335"/>
    </row>
    <row r="591" spans="1:19" x14ac:dyDescent="0.2">
      <c r="A591" s="335" t="s">
        <v>484</v>
      </c>
      <c r="B591" s="332">
        <v>11</v>
      </c>
      <c r="C591" s="332">
        <v>5</v>
      </c>
      <c r="D591" s="332">
        <v>8</v>
      </c>
      <c r="E591" s="332">
        <v>25</v>
      </c>
      <c r="F591" s="332">
        <v>81</v>
      </c>
      <c r="G591" s="332">
        <v>132</v>
      </c>
      <c r="H591" s="332">
        <v>18.3</v>
      </c>
      <c r="I591" s="333">
        <v>0.89</v>
      </c>
      <c r="J591" s="333">
        <v>2.7</v>
      </c>
      <c r="K591" s="332">
        <v>15.700000000000001</v>
      </c>
      <c r="L591" s="332">
        <v>1.4000000000000001</v>
      </c>
      <c r="M591" s="332" t="s">
        <v>352</v>
      </c>
      <c r="N591" s="332">
        <v>2007</v>
      </c>
      <c r="O591" s="332" t="s">
        <v>69</v>
      </c>
      <c r="P591" s="332">
        <v>815837</v>
      </c>
      <c r="Q591" s="335" t="s">
        <v>465</v>
      </c>
      <c r="R591" s="335" t="s">
        <v>1112</v>
      </c>
      <c r="S591" s="335"/>
    </row>
    <row r="592" spans="1:19" x14ac:dyDescent="0.2">
      <c r="A592" s="335" t="s">
        <v>395</v>
      </c>
      <c r="B592" s="332">
        <v>6</v>
      </c>
      <c r="C592" s="332">
        <v>0</v>
      </c>
      <c r="D592" s="332">
        <v>5</v>
      </c>
      <c r="E592" s="332">
        <v>26</v>
      </c>
      <c r="F592" s="332">
        <v>72</v>
      </c>
      <c r="G592" s="332"/>
      <c r="H592" s="332"/>
      <c r="I592" s="333">
        <v>0.35000000000000003</v>
      </c>
      <c r="J592" s="333">
        <v>1.6</v>
      </c>
      <c r="K592" s="332">
        <v>15.4</v>
      </c>
      <c r="L592" s="332">
        <v>1.3</v>
      </c>
      <c r="M592" s="332" t="s">
        <v>157</v>
      </c>
      <c r="N592" s="332">
        <v>2013</v>
      </c>
      <c r="O592" s="332" t="s">
        <v>69</v>
      </c>
      <c r="P592" s="332">
        <v>821736</v>
      </c>
      <c r="Q592" s="335" t="s">
        <v>162</v>
      </c>
      <c r="R592" s="335" t="s">
        <v>1112</v>
      </c>
      <c r="S592" s="335" t="s">
        <v>166</v>
      </c>
    </row>
    <row r="593" spans="1:19" x14ac:dyDescent="0.2">
      <c r="A593" s="335" t="s">
        <v>950</v>
      </c>
      <c r="B593" s="332">
        <v>9</v>
      </c>
      <c r="C593" s="332">
        <v>2</v>
      </c>
      <c r="D593" s="332">
        <v>8</v>
      </c>
      <c r="E593" s="332">
        <v>23</v>
      </c>
      <c r="F593" s="332">
        <v>65</v>
      </c>
      <c r="G593" s="332">
        <v>124</v>
      </c>
      <c r="H593" s="332">
        <v>17.5</v>
      </c>
      <c r="I593" s="333">
        <v>0.36</v>
      </c>
      <c r="J593" s="333">
        <v>1.6600000000000001</v>
      </c>
      <c r="K593" s="332">
        <v>13.6</v>
      </c>
      <c r="L593" s="332">
        <v>1.3</v>
      </c>
      <c r="M593" s="332" t="s">
        <v>157</v>
      </c>
      <c r="N593" s="332">
        <v>2011</v>
      </c>
      <c r="O593" s="332" t="s">
        <v>158</v>
      </c>
      <c r="P593" s="332">
        <v>840033</v>
      </c>
      <c r="Q593" s="335" t="s">
        <v>198</v>
      </c>
      <c r="R593" s="335" t="s">
        <v>1112</v>
      </c>
      <c r="S593" s="335" t="s">
        <v>166</v>
      </c>
    </row>
    <row r="594" spans="1:19" x14ac:dyDescent="0.2">
      <c r="A594" s="335" t="s">
        <v>577</v>
      </c>
      <c r="B594" s="332">
        <v>9</v>
      </c>
      <c r="C594" s="332">
        <v>3</v>
      </c>
      <c r="D594" s="332">
        <v>9</v>
      </c>
      <c r="E594" s="332">
        <v>32</v>
      </c>
      <c r="F594" s="332">
        <v>51</v>
      </c>
      <c r="G594" s="332">
        <v>99</v>
      </c>
      <c r="H594" s="332">
        <v>14.8</v>
      </c>
      <c r="I594" s="333">
        <v>0.68</v>
      </c>
      <c r="J594" s="333">
        <v>2.09</v>
      </c>
      <c r="K594" s="332">
        <v>14.8</v>
      </c>
      <c r="L594" s="332">
        <v>1</v>
      </c>
      <c r="M594" s="332" t="s">
        <v>207</v>
      </c>
      <c r="N594" s="332">
        <v>2007</v>
      </c>
      <c r="O594" s="332" t="s">
        <v>69</v>
      </c>
      <c r="P594" s="332">
        <v>118067</v>
      </c>
      <c r="Q594" s="335" t="s">
        <v>777</v>
      </c>
      <c r="R594" s="335" t="s">
        <v>185</v>
      </c>
      <c r="S594" s="335" t="s">
        <v>166</v>
      </c>
    </row>
    <row r="595" spans="1:19" x14ac:dyDescent="0.2">
      <c r="A595" s="335" t="s">
        <v>190</v>
      </c>
      <c r="B595" s="332">
        <v>0</v>
      </c>
      <c r="C595" s="332">
        <v>0</v>
      </c>
      <c r="D595" s="332">
        <v>0</v>
      </c>
      <c r="E595" s="332">
        <v>0</v>
      </c>
      <c r="F595" s="332">
        <v>0</v>
      </c>
      <c r="G595" s="332">
        <v>2</v>
      </c>
      <c r="H595" s="332">
        <v>0.4</v>
      </c>
      <c r="I595" s="333">
        <v>0.1</v>
      </c>
      <c r="J595" s="333">
        <v>0.11</v>
      </c>
      <c r="K595" s="332">
        <v>0.1</v>
      </c>
      <c r="L595" s="332">
        <v>0.70000000000000007</v>
      </c>
      <c r="M595" s="332" t="s">
        <v>157</v>
      </c>
      <c r="N595" s="332">
        <v>2000</v>
      </c>
      <c r="O595" s="332" t="s">
        <v>158</v>
      </c>
      <c r="P595" s="332">
        <v>188664</v>
      </c>
      <c r="Q595" s="335" t="s">
        <v>175</v>
      </c>
      <c r="R595" s="335" t="s">
        <v>1096</v>
      </c>
      <c r="S595" s="335" t="s">
        <v>166</v>
      </c>
    </row>
    <row r="596" spans="1:19" x14ac:dyDescent="0.2">
      <c r="A596" s="335" t="s">
        <v>965</v>
      </c>
      <c r="B596" s="332">
        <v>3</v>
      </c>
      <c r="C596" s="332">
        <v>2</v>
      </c>
      <c r="D596" s="332">
        <v>3</v>
      </c>
      <c r="E596" s="332">
        <v>6</v>
      </c>
      <c r="F596" s="332">
        <v>13</v>
      </c>
      <c r="G596" s="332"/>
      <c r="H596" s="332"/>
      <c r="I596" s="333">
        <v>0.01</v>
      </c>
      <c r="J596" s="333">
        <v>0.01</v>
      </c>
      <c r="K596" s="332">
        <v>3.4</v>
      </c>
      <c r="L596" s="332">
        <v>1.3</v>
      </c>
      <c r="M596" s="332" t="s">
        <v>157</v>
      </c>
      <c r="N596" s="332">
        <v>2012</v>
      </c>
      <c r="O596" s="332" t="s">
        <v>69</v>
      </c>
      <c r="P596" s="332">
        <v>167114</v>
      </c>
      <c r="Q596" s="335" t="s">
        <v>162</v>
      </c>
      <c r="R596" s="335" t="s">
        <v>163</v>
      </c>
      <c r="S596" s="335"/>
    </row>
    <row r="597" spans="1:19" x14ac:dyDescent="0.2">
      <c r="A597" s="335" t="s">
        <v>906</v>
      </c>
      <c r="B597" s="332">
        <v>5</v>
      </c>
      <c r="C597" s="332">
        <v>0</v>
      </c>
      <c r="D597" s="332">
        <v>5</v>
      </c>
      <c r="E597" s="332">
        <v>14</v>
      </c>
      <c r="F597" s="332">
        <v>22</v>
      </c>
      <c r="G597" s="332">
        <v>52</v>
      </c>
      <c r="H597" s="332">
        <v>8.8000000000000007</v>
      </c>
      <c r="I597" s="333">
        <v>0.54</v>
      </c>
      <c r="J597" s="333">
        <v>2.34</v>
      </c>
      <c r="K597" s="332">
        <v>13</v>
      </c>
      <c r="L597" s="332">
        <v>0.6</v>
      </c>
      <c r="M597" s="332" t="s">
        <v>157</v>
      </c>
      <c r="N597" s="332">
        <v>2011</v>
      </c>
      <c r="O597" s="332" t="s">
        <v>69</v>
      </c>
      <c r="P597" s="332">
        <v>250340</v>
      </c>
      <c r="Q597" s="335" t="s">
        <v>863</v>
      </c>
      <c r="R597" s="335" t="s">
        <v>185</v>
      </c>
      <c r="S597" s="335" t="s">
        <v>166</v>
      </c>
    </row>
    <row r="598" spans="1:19" x14ac:dyDescent="0.2">
      <c r="A598" s="335" t="s">
        <v>966</v>
      </c>
      <c r="B598" s="332">
        <v>10</v>
      </c>
      <c r="C598" s="332">
        <v>6</v>
      </c>
      <c r="D598" s="332">
        <v>12</v>
      </c>
      <c r="E598" s="332">
        <v>23</v>
      </c>
      <c r="F598" s="332">
        <v>43</v>
      </c>
      <c r="G598" s="332"/>
      <c r="H598" s="332"/>
      <c r="I598" s="333">
        <v>0.01</v>
      </c>
      <c r="J598" s="333">
        <v>0.01</v>
      </c>
      <c r="K598" s="332">
        <v>11.700000000000001</v>
      </c>
      <c r="L598" s="332">
        <v>1.1000000000000001</v>
      </c>
      <c r="M598" s="332" t="s">
        <v>157</v>
      </c>
      <c r="N598" s="332">
        <v>2012</v>
      </c>
      <c r="O598" s="332" t="s">
        <v>69</v>
      </c>
      <c r="P598" s="332">
        <v>278853</v>
      </c>
      <c r="Q598" s="335" t="s">
        <v>162</v>
      </c>
      <c r="R598" s="335" t="s">
        <v>1087</v>
      </c>
      <c r="S598" s="335"/>
    </row>
    <row r="599" spans="1:19" x14ac:dyDescent="0.2">
      <c r="A599" s="335" t="s">
        <v>702</v>
      </c>
      <c r="B599" s="332">
        <v>9</v>
      </c>
      <c r="C599" s="332">
        <v>5</v>
      </c>
      <c r="D599" s="332">
        <v>10</v>
      </c>
      <c r="E599" s="332">
        <v>9</v>
      </c>
      <c r="F599" s="332">
        <v>27</v>
      </c>
      <c r="G599" s="332">
        <v>52</v>
      </c>
      <c r="H599" s="332">
        <v>8.8000000000000007</v>
      </c>
      <c r="I599" s="333">
        <v>0.85</v>
      </c>
      <c r="J599" s="333">
        <v>2.15</v>
      </c>
      <c r="K599" s="332">
        <v>13.700000000000001</v>
      </c>
      <c r="L599" s="332">
        <v>0.70000000000000007</v>
      </c>
      <c r="M599" s="332" t="s">
        <v>207</v>
      </c>
      <c r="N599" s="332">
        <v>2001</v>
      </c>
      <c r="O599" s="332" t="s">
        <v>69</v>
      </c>
      <c r="P599" s="332">
        <v>309492</v>
      </c>
      <c r="Q599" s="335" t="s">
        <v>874</v>
      </c>
      <c r="R599" s="335" t="s">
        <v>219</v>
      </c>
      <c r="S599" s="335" t="s">
        <v>166</v>
      </c>
    </row>
    <row r="600" spans="1:19" x14ac:dyDescent="0.2">
      <c r="A600" s="335" t="s">
        <v>957</v>
      </c>
      <c r="B600" s="332">
        <v>6</v>
      </c>
      <c r="C600" s="332">
        <v>3</v>
      </c>
      <c r="D600" s="332">
        <v>7</v>
      </c>
      <c r="E600" s="332">
        <v>14</v>
      </c>
      <c r="F600" s="332">
        <v>27</v>
      </c>
      <c r="G600" s="332"/>
      <c r="H600" s="332"/>
      <c r="I600" s="333">
        <v>0.01</v>
      </c>
      <c r="J600" s="333">
        <v>0.01</v>
      </c>
      <c r="K600" s="332">
        <v>7.4</v>
      </c>
      <c r="L600" s="332">
        <v>1.1000000000000001</v>
      </c>
      <c r="M600" s="332" t="s">
        <v>157</v>
      </c>
      <c r="N600" s="332">
        <v>2012</v>
      </c>
      <c r="O600" s="332" t="s">
        <v>69</v>
      </c>
      <c r="P600" s="332">
        <v>314682</v>
      </c>
      <c r="Q600" s="335" t="s">
        <v>162</v>
      </c>
      <c r="R600" s="335" t="s">
        <v>163</v>
      </c>
      <c r="S600" s="335"/>
    </row>
    <row r="601" spans="1:19" x14ac:dyDescent="0.2">
      <c r="A601" s="335" t="s">
        <v>1041</v>
      </c>
      <c r="B601" s="332">
        <v>15</v>
      </c>
      <c r="C601" s="332">
        <v>13</v>
      </c>
      <c r="D601" s="332">
        <v>18</v>
      </c>
      <c r="E601" s="332">
        <v>21</v>
      </c>
      <c r="F601" s="332"/>
      <c r="G601" s="332"/>
      <c r="H601" s="332"/>
      <c r="I601" s="333">
        <v>0.56000000000000005</v>
      </c>
      <c r="J601" s="333">
        <v>1.6500000000000001</v>
      </c>
      <c r="K601" s="332"/>
      <c r="L601" s="332"/>
      <c r="M601" s="332" t="s">
        <v>207</v>
      </c>
      <c r="N601" s="332">
        <v>2016</v>
      </c>
      <c r="O601" s="332" t="s">
        <v>69</v>
      </c>
      <c r="P601" s="332">
        <v>322479</v>
      </c>
      <c r="Q601" s="335" t="s">
        <v>777</v>
      </c>
      <c r="R601" s="335" t="s">
        <v>219</v>
      </c>
      <c r="S601" s="335"/>
    </row>
    <row r="602" spans="1:19" x14ac:dyDescent="0.2">
      <c r="A602" s="335" t="s">
        <v>955</v>
      </c>
      <c r="B602" s="332">
        <v>7</v>
      </c>
      <c r="C602" s="332">
        <v>4</v>
      </c>
      <c r="D602" s="332">
        <v>15</v>
      </c>
      <c r="E602" s="332">
        <v>33</v>
      </c>
      <c r="F602" s="332">
        <v>7</v>
      </c>
      <c r="G602" s="332">
        <v>21</v>
      </c>
      <c r="H602" s="332">
        <v>4</v>
      </c>
      <c r="I602" s="333">
        <v>0.81</v>
      </c>
      <c r="J602" s="333">
        <v>2.62</v>
      </c>
      <c r="K602" s="332">
        <v>17.8</v>
      </c>
      <c r="L602" s="332">
        <v>0.2</v>
      </c>
      <c r="M602" s="332" t="s">
        <v>207</v>
      </c>
      <c r="N602" s="332">
        <v>2000</v>
      </c>
      <c r="O602" s="332" t="s">
        <v>69</v>
      </c>
      <c r="P602" s="332">
        <v>368407</v>
      </c>
      <c r="Q602" s="335" t="s">
        <v>1013</v>
      </c>
      <c r="R602" s="335" t="s">
        <v>328</v>
      </c>
      <c r="S602" s="335"/>
    </row>
    <row r="603" spans="1:19" x14ac:dyDescent="0.2">
      <c r="A603" s="335" t="s">
        <v>598</v>
      </c>
      <c r="B603" s="332">
        <v>11</v>
      </c>
      <c r="C603" s="332">
        <v>9</v>
      </c>
      <c r="D603" s="332">
        <v>13</v>
      </c>
      <c r="E603" s="332">
        <v>6</v>
      </c>
      <c r="F603" s="332">
        <v>34</v>
      </c>
      <c r="G603" s="332"/>
      <c r="H603" s="332"/>
      <c r="I603" s="333">
        <v>0.68</v>
      </c>
      <c r="J603" s="333">
        <v>2.11</v>
      </c>
      <c r="K603" s="332">
        <v>13.6</v>
      </c>
      <c r="L603" s="332">
        <v>0.8</v>
      </c>
      <c r="M603" s="332" t="s">
        <v>207</v>
      </c>
      <c r="N603" s="332">
        <v>2012</v>
      </c>
      <c r="O603" s="332" t="s">
        <v>69</v>
      </c>
      <c r="P603" s="332">
        <v>384511</v>
      </c>
      <c r="Q603" s="335" t="s">
        <v>777</v>
      </c>
      <c r="R603" s="335" t="s">
        <v>219</v>
      </c>
      <c r="S603" s="335"/>
    </row>
    <row r="604" spans="1:19" x14ac:dyDescent="0.2">
      <c r="A604" s="335" t="s">
        <v>135</v>
      </c>
      <c r="B604" s="332">
        <v>3</v>
      </c>
      <c r="C604" s="332">
        <v>1</v>
      </c>
      <c r="D604" s="332">
        <v>3</v>
      </c>
      <c r="E604" s="332">
        <v>20</v>
      </c>
      <c r="F604" s="332">
        <v>42</v>
      </c>
      <c r="G604" s="332">
        <v>81</v>
      </c>
      <c r="H604" s="332">
        <v>12.6</v>
      </c>
      <c r="I604" s="333">
        <v>0.89</v>
      </c>
      <c r="J604" s="333">
        <v>2.3000000000000003</v>
      </c>
      <c r="K604" s="332">
        <v>14.700000000000001</v>
      </c>
      <c r="L604" s="332">
        <v>0.9</v>
      </c>
      <c r="M604" s="332" t="s">
        <v>207</v>
      </c>
      <c r="N604" s="332">
        <v>2013</v>
      </c>
      <c r="O604" s="332" t="s">
        <v>69</v>
      </c>
      <c r="P604" s="332">
        <v>395434</v>
      </c>
      <c r="Q604" s="335" t="s">
        <v>768</v>
      </c>
      <c r="R604" s="335" t="s">
        <v>305</v>
      </c>
      <c r="S604" s="335"/>
    </row>
    <row r="605" spans="1:19" x14ac:dyDescent="0.2">
      <c r="A605" s="335" t="s">
        <v>692</v>
      </c>
      <c r="B605" s="332">
        <v>12</v>
      </c>
      <c r="C605" s="332">
        <v>4</v>
      </c>
      <c r="D605" s="332">
        <v>7</v>
      </c>
      <c r="E605" s="332">
        <v>24</v>
      </c>
      <c r="F605" s="332">
        <v>39</v>
      </c>
      <c r="G605" s="332">
        <v>64</v>
      </c>
      <c r="H605" s="332">
        <v>10.4</v>
      </c>
      <c r="I605" s="333">
        <v>0.85</v>
      </c>
      <c r="J605" s="333">
        <v>2.14</v>
      </c>
      <c r="K605" s="332">
        <v>15.3</v>
      </c>
      <c r="L605" s="332">
        <v>0.8</v>
      </c>
      <c r="M605" s="332" t="s">
        <v>207</v>
      </c>
      <c r="N605" s="332">
        <v>2013</v>
      </c>
      <c r="O605" s="332" t="s">
        <v>69</v>
      </c>
      <c r="P605" s="332">
        <v>431262</v>
      </c>
      <c r="Q605" s="335" t="s">
        <v>768</v>
      </c>
      <c r="R605" s="335" t="s">
        <v>1113</v>
      </c>
      <c r="S605" s="335"/>
    </row>
    <row r="606" spans="1:19" x14ac:dyDescent="0.2">
      <c r="A606" s="335" t="s">
        <v>722</v>
      </c>
      <c r="B606" s="332">
        <v>17</v>
      </c>
      <c r="C606" s="332">
        <v>13</v>
      </c>
      <c r="D606" s="332">
        <v>19</v>
      </c>
      <c r="E606" s="332">
        <v>21</v>
      </c>
      <c r="F606" s="332">
        <v>45</v>
      </c>
      <c r="G606" s="332">
        <v>132</v>
      </c>
      <c r="H606" s="332">
        <v>18.400000000000002</v>
      </c>
      <c r="I606" s="333">
        <v>0.81</v>
      </c>
      <c r="J606" s="333">
        <v>2.68</v>
      </c>
      <c r="K606" s="332">
        <v>13.6</v>
      </c>
      <c r="L606" s="332">
        <v>1</v>
      </c>
      <c r="M606" s="332" t="s">
        <v>207</v>
      </c>
      <c r="N606" s="332">
        <v>2000</v>
      </c>
      <c r="O606" s="332" t="s">
        <v>69</v>
      </c>
      <c r="P606" s="332">
        <v>440065</v>
      </c>
      <c r="Q606" s="335" t="s">
        <v>1013</v>
      </c>
      <c r="R606" s="335" t="s">
        <v>1111</v>
      </c>
      <c r="S606" s="335"/>
    </row>
    <row r="607" spans="1:19" x14ac:dyDescent="0.2">
      <c r="A607" s="335" t="s">
        <v>549</v>
      </c>
      <c r="B607" s="332">
        <v>9</v>
      </c>
      <c r="C607" s="332">
        <v>1</v>
      </c>
      <c r="D607" s="332">
        <v>8</v>
      </c>
      <c r="E607" s="332">
        <v>24</v>
      </c>
      <c r="F607" s="332">
        <v>61</v>
      </c>
      <c r="G607" s="332">
        <v>120</v>
      </c>
      <c r="H607" s="332">
        <v>17</v>
      </c>
      <c r="I607" s="333">
        <v>0.61</v>
      </c>
      <c r="J607" s="333">
        <v>1.85</v>
      </c>
      <c r="K607" s="332">
        <v>15.200000000000001</v>
      </c>
      <c r="L607" s="332">
        <v>1.1000000000000001</v>
      </c>
      <c r="M607" s="332" t="s">
        <v>352</v>
      </c>
      <c r="N607" s="332">
        <v>2009</v>
      </c>
      <c r="O607" s="332" t="s">
        <v>69</v>
      </c>
      <c r="P607" s="332">
        <v>889261</v>
      </c>
      <c r="Q607" s="335" t="s">
        <v>777</v>
      </c>
      <c r="R607" s="335" t="s">
        <v>1112</v>
      </c>
      <c r="S607" s="335"/>
    </row>
    <row r="608" spans="1:19" x14ac:dyDescent="0.2">
      <c r="A608" s="335" t="s">
        <v>242</v>
      </c>
      <c r="B608" s="332">
        <v>4</v>
      </c>
      <c r="C608" s="332">
        <v>-2</v>
      </c>
      <c r="D608" s="332">
        <v>3</v>
      </c>
      <c r="E608" s="332">
        <v>22</v>
      </c>
      <c r="F608" s="332">
        <v>68</v>
      </c>
      <c r="G608" s="332">
        <v>134</v>
      </c>
      <c r="H608" s="332">
        <v>18.5</v>
      </c>
      <c r="I608" s="333">
        <v>0.19</v>
      </c>
      <c r="J608" s="333">
        <v>0.4</v>
      </c>
      <c r="K608" s="332">
        <v>13.6</v>
      </c>
      <c r="L608" s="332">
        <v>1.4000000000000001</v>
      </c>
      <c r="M608" s="332" t="s">
        <v>157</v>
      </c>
      <c r="N608" s="332">
        <v>2013</v>
      </c>
      <c r="O608" s="332" t="s">
        <v>158</v>
      </c>
      <c r="P608" s="332">
        <v>929224</v>
      </c>
      <c r="Q608" s="335" t="s">
        <v>930</v>
      </c>
      <c r="R608" s="335" t="s">
        <v>1112</v>
      </c>
      <c r="S608" s="335"/>
    </row>
    <row r="609" spans="1:19" x14ac:dyDescent="0.2">
      <c r="A609" s="335" t="s">
        <v>413</v>
      </c>
      <c r="B609" s="332">
        <v>-3</v>
      </c>
      <c r="C609" s="332">
        <v>-5</v>
      </c>
      <c r="D609" s="332">
        <v>-2</v>
      </c>
      <c r="E609" s="332">
        <v>17</v>
      </c>
      <c r="F609" s="332">
        <v>49</v>
      </c>
      <c r="G609" s="332">
        <v>117</v>
      </c>
      <c r="H609" s="332">
        <v>16.7</v>
      </c>
      <c r="I609" s="333">
        <v>0.36</v>
      </c>
      <c r="J609" s="333">
        <v>1.5</v>
      </c>
      <c r="K609" s="332">
        <v>12.6</v>
      </c>
      <c r="L609" s="332">
        <v>1.1000000000000001</v>
      </c>
      <c r="M609" s="332" t="s">
        <v>157</v>
      </c>
      <c r="N609" s="332">
        <v>2002</v>
      </c>
      <c r="O609" s="332" t="s">
        <v>158</v>
      </c>
      <c r="P609" s="332">
        <v>986604</v>
      </c>
      <c r="Q609" s="335" t="s">
        <v>213</v>
      </c>
      <c r="R609" s="335" t="s">
        <v>1112</v>
      </c>
      <c r="S609" s="335" t="s">
        <v>166</v>
      </c>
    </row>
    <row r="610" spans="1:19" x14ac:dyDescent="0.2">
      <c r="A610" s="335" t="s">
        <v>593</v>
      </c>
      <c r="B610" s="332">
        <v>13</v>
      </c>
      <c r="C610" s="332">
        <v>6</v>
      </c>
      <c r="D610" s="332">
        <v>13</v>
      </c>
      <c r="E610" s="332">
        <v>26</v>
      </c>
      <c r="F610" s="332">
        <v>86</v>
      </c>
      <c r="G610" s="332">
        <v>145</v>
      </c>
      <c r="H610" s="332">
        <v>19.600000000000001</v>
      </c>
      <c r="I610" s="333">
        <v>0.6</v>
      </c>
      <c r="J610" s="333">
        <v>1.62</v>
      </c>
      <c r="K610" s="332">
        <v>13.6</v>
      </c>
      <c r="L610" s="332">
        <v>1.6</v>
      </c>
      <c r="M610" s="332" t="s">
        <v>157</v>
      </c>
      <c r="N610" s="332">
        <v>2011</v>
      </c>
      <c r="O610" s="332" t="s">
        <v>158</v>
      </c>
      <c r="P610" s="332">
        <v>456236</v>
      </c>
      <c r="Q610" s="335" t="s">
        <v>859</v>
      </c>
      <c r="R610" s="335" t="s">
        <v>296</v>
      </c>
      <c r="S610" s="335"/>
    </row>
    <row r="611" spans="1:19" x14ac:dyDescent="0.2">
      <c r="A611" s="335" t="s">
        <v>655</v>
      </c>
      <c r="B611" s="332">
        <v>16</v>
      </c>
      <c r="C611" s="332">
        <v>11</v>
      </c>
      <c r="D611" s="332">
        <v>21</v>
      </c>
      <c r="E611" s="332">
        <v>26</v>
      </c>
      <c r="F611" s="332">
        <v>33</v>
      </c>
      <c r="G611" s="332">
        <v>72</v>
      </c>
      <c r="H611" s="332">
        <v>11.4</v>
      </c>
      <c r="I611" s="333">
        <v>0.75</v>
      </c>
      <c r="J611" s="333">
        <v>2.06</v>
      </c>
      <c r="K611" s="332">
        <v>13.200000000000001</v>
      </c>
      <c r="L611" s="332">
        <v>0.8</v>
      </c>
      <c r="M611" s="332" t="s">
        <v>207</v>
      </c>
      <c r="N611" s="332">
        <v>2000</v>
      </c>
      <c r="O611" s="332" t="s">
        <v>69</v>
      </c>
      <c r="P611" s="332">
        <v>475897</v>
      </c>
      <c r="Q611" s="335" t="s">
        <v>1013</v>
      </c>
      <c r="R611" s="335" t="s">
        <v>219</v>
      </c>
      <c r="S611" s="335"/>
    </row>
    <row r="612" spans="1:19" x14ac:dyDescent="0.2">
      <c r="A612" s="335" t="s">
        <v>626</v>
      </c>
      <c r="B612" s="332">
        <v>0</v>
      </c>
      <c r="C612" s="332">
        <v>-7</v>
      </c>
      <c r="D612" s="332">
        <v>0</v>
      </c>
      <c r="E612" s="332">
        <v>38</v>
      </c>
      <c r="F612" s="332">
        <v>-9</v>
      </c>
      <c r="G612" s="332">
        <v>-29</v>
      </c>
      <c r="H612" s="332">
        <v>-6.7</v>
      </c>
      <c r="I612" s="333">
        <v>0.75</v>
      </c>
      <c r="J612" s="333">
        <v>1.85</v>
      </c>
      <c r="K612" s="332">
        <v>31.2</v>
      </c>
      <c r="L612" s="332">
        <v>0.1</v>
      </c>
      <c r="M612" s="332" t="s">
        <v>207</v>
      </c>
      <c r="N612" s="332">
        <v>2013</v>
      </c>
      <c r="O612" s="332" t="s">
        <v>69</v>
      </c>
      <c r="P612" s="332">
        <v>502922</v>
      </c>
      <c r="Q612" s="335" t="s">
        <v>768</v>
      </c>
      <c r="R612" s="335" t="s">
        <v>1110</v>
      </c>
      <c r="S612" s="335"/>
    </row>
    <row r="613" spans="1:19" x14ac:dyDescent="0.2">
      <c r="A613" s="335" t="s">
        <v>739</v>
      </c>
      <c r="B613" s="332"/>
      <c r="C613" s="332">
        <v>0</v>
      </c>
      <c r="D613" s="332">
        <v>0</v>
      </c>
      <c r="E613" s="332">
        <v>-34</v>
      </c>
      <c r="F613" s="332"/>
      <c r="G613" s="332"/>
      <c r="H613" s="332"/>
      <c r="I613" s="333"/>
      <c r="J613" s="333"/>
      <c r="K613" s="332"/>
      <c r="L613" s="332"/>
      <c r="M613" s="332" t="s">
        <v>157</v>
      </c>
      <c r="N613" s="332">
        <v>2014</v>
      </c>
      <c r="O613" s="332" t="s">
        <v>69</v>
      </c>
      <c r="P613" s="332">
        <v>524769</v>
      </c>
      <c r="Q613" s="335" t="s">
        <v>740</v>
      </c>
      <c r="R613" s="335" t="s">
        <v>1089</v>
      </c>
      <c r="S613" s="335"/>
    </row>
    <row r="614" spans="1:19" x14ac:dyDescent="0.2">
      <c r="A614" s="335" t="s">
        <v>411</v>
      </c>
      <c r="B614" s="332">
        <v>11</v>
      </c>
      <c r="C614" s="332">
        <v>8</v>
      </c>
      <c r="D614" s="332">
        <v>15</v>
      </c>
      <c r="E614" s="332">
        <v>20</v>
      </c>
      <c r="F614" s="332">
        <v>71</v>
      </c>
      <c r="G614" s="332">
        <v>218</v>
      </c>
      <c r="H614" s="332">
        <v>26</v>
      </c>
      <c r="I614" s="333">
        <v>0.38</v>
      </c>
      <c r="J614" s="333">
        <v>1.6400000000000001</v>
      </c>
      <c r="K614" s="332">
        <v>14.1</v>
      </c>
      <c r="L614" s="332">
        <v>1.4000000000000001</v>
      </c>
      <c r="M614" s="332" t="s">
        <v>157</v>
      </c>
      <c r="N614" s="332">
        <v>2013</v>
      </c>
      <c r="O614" s="332" t="s">
        <v>158</v>
      </c>
      <c r="P614" s="332">
        <v>584912</v>
      </c>
      <c r="Q614" s="335" t="s">
        <v>192</v>
      </c>
      <c r="R614" s="335" t="s">
        <v>264</v>
      </c>
      <c r="S614" s="335"/>
    </row>
    <row r="615" spans="1:19" x14ac:dyDescent="0.2">
      <c r="A615" s="335" t="s">
        <v>514</v>
      </c>
      <c r="B615" s="332">
        <v>1</v>
      </c>
      <c r="C615" s="332">
        <v>-1</v>
      </c>
      <c r="D615" s="332">
        <v>2</v>
      </c>
      <c r="E615" s="332">
        <v>21</v>
      </c>
      <c r="F615" s="332">
        <v>40</v>
      </c>
      <c r="G615" s="332">
        <v>103</v>
      </c>
      <c r="H615" s="332">
        <v>15.200000000000001</v>
      </c>
      <c r="I615" s="333">
        <v>0.57000000000000006</v>
      </c>
      <c r="J615" s="333">
        <v>1.5</v>
      </c>
      <c r="K615" s="332">
        <v>12.5</v>
      </c>
      <c r="L615" s="332">
        <v>1</v>
      </c>
      <c r="M615" s="332" t="s">
        <v>300</v>
      </c>
      <c r="N615" s="332">
        <v>2001</v>
      </c>
      <c r="O615" s="332" t="s">
        <v>69</v>
      </c>
      <c r="P615" s="332">
        <v>147348</v>
      </c>
      <c r="Q615" s="335" t="s">
        <v>301</v>
      </c>
      <c r="R615" s="335" t="s">
        <v>305</v>
      </c>
      <c r="S615" s="335"/>
    </row>
    <row r="616" spans="1:19" x14ac:dyDescent="0.2">
      <c r="A616" s="335" t="s">
        <v>515</v>
      </c>
      <c r="B616" s="332">
        <v>11</v>
      </c>
      <c r="C616" s="332">
        <v>8</v>
      </c>
      <c r="D616" s="332">
        <v>14</v>
      </c>
      <c r="E616" s="332">
        <v>16</v>
      </c>
      <c r="F616" s="332">
        <v>33</v>
      </c>
      <c r="G616" s="332">
        <v>114</v>
      </c>
      <c r="H616" s="332">
        <v>16.399999999999999</v>
      </c>
      <c r="I616" s="333">
        <v>0.57000000000000006</v>
      </c>
      <c r="J616" s="333">
        <v>1.5</v>
      </c>
      <c r="K616" s="332">
        <v>11.5</v>
      </c>
      <c r="L616" s="332">
        <v>0.9</v>
      </c>
      <c r="M616" s="332" t="s">
        <v>300</v>
      </c>
      <c r="N616" s="332">
        <v>2001</v>
      </c>
      <c r="O616" s="332" t="s">
        <v>69</v>
      </c>
      <c r="P616" s="332">
        <v>219006</v>
      </c>
      <c r="Q616" s="335" t="s">
        <v>301</v>
      </c>
      <c r="R616" s="335" t="s">
        <v>325</v>
      </c>
      <c r="S616" s="335"/>
    </row>
    <row r="617" spans="1:19" x14ac:dyDescent="0.2">
      <c r="A617" s="335" t="s">
        <v>938</v>
      </c>
      <c r="B617" s="332">
        <v>0</v>
      </c>
      <c r="C617" s="332">
        <v>-1</v>
      </c>
      <c r="D617" s="332">
        <v>1</v>
      </c>
      <c r="E617" s="332">
        <v>12</v>
      </c>
      <c r="F617" s="332"/>
      <c r="G617" s="332"/>
      <c r="H617" s="332"/>
      <c r="I617" s="333">
        <v>0.45</v>
      </c>
      <c r="J617" s="333">
        <v>1.96</v>
      </c>
      <c r="K617" s="332"/>
      <c r="L617" s="332"/>
      <c r="M617" s="332" t="s">
        <v>157</v>
      </c>
      <c r="N617" s="332">
        <v>2016</v>
      </c>
      <c r="O617" s="332" t="s">
        <v>69</v>
      </c>
      <c r="P617" s="332">
        <v>623108</v>
      </c>
      <c r="Q617" s="335" t="s">
        <v>838</v>
      </c>
      <c r="R617" s="335" t="s">
        <v>185</v>
      </c>
      <c r="S617" s="335"/>
    </row>
    <row r="618" spans="1:19" x14ac:dyDescent="0.2">
      <c r="A618" s="335" t="s">
        <v>1005</v>
      </c>
      <c r="B618" s="332">
        <v>13</v>
      </c>
      <c r="C618" s="332">
        <v>10</v>
      </c>
      <c r="D618" s="332">
        <v>16</v>
      </c>
      <c r="E618" s="332">
        <v>22</v>
      </c>
      <c r="F618" s="332">
        <v>31</v>
      </c>
      <c r="G618" s="332">
        <v>98</v>
      </c>
      <c r="H618" s="332">
        <v>14.700000000000001</v>
      </c>
      <c r="I618" s="333">
        <v>0.16</v>
      </c>
      <c r="J618" s="333">
        <v>0.21</v>
      </c>
      <c r="K618" s="332">
        <v>12.9</v>
      </c>
      <c r="L618" s="332">
        <v>0.8</v>
      </c>
      <c r="M618" s="332" t="s">
        <v>157</v>
      </c>
      <c r="N618" s="332">
        <v>2013</v>
      </c>
      <c r="O618" s="332" t="s">
        <v>158</v>
      </c>
      <c r="P618" s="332">
        <v>479840</v>
      </c>
      <c r="Q618" s="335" t="s">
        <v>177</v>
      </c>
      <c r="R618" s="335" t="s">
        <v>219</v>
      </c>
      <c r="S618" s="335" t="s">
        <v>166</v>
      </c>
    </row>
    <row r="619" spans="1:19" x14ac:dyDescent="0.2">
      <c r="A619" s="335" t="s">
        <v>399</v>
      </c>
      <c r="B619" s="332">
        <v>12</v>
      </c>
      <c r="C619" s="332">
        <v>10</v>
      </c>
      <c r="D619" s="332">
        <v>16</v>
      </c>
      <c r="E619" s="332">
        <v>20</v>
      </c>
      <c r="F619" s="332">
        <v>35</v>
      </c>
      <c r="G619" s="332">
        <v>101</v>
      </c>
      <c r="H619" s="332">
        <v>14.9</v>
      </c>
      <c r="I619" s="333">
        <v>0.35000000000000003</v>
      </c>
      <c r="J619" s="333">
        <v>1.56</v>
      </c>
      <c r="K619" s="332">
        <v>11.9</v>
      </c>
      <c r="L619" s="332">
        <v>0.9</v>
      </c>
      <c r="M619" s="332" t="s">
        <v>157</v>
      </c>
      <c r="N619" s="332">
        <v>2000</v>
      </c>
      <c r="O619" s="332" t="s">
        <v>158</v>
      </c>
      <c r="P619" s="332">
        <v>492306</v>
      </c>
      <c r="Q619" s="335" t="s">
        <v>177</v>
      </c>
      <c r="R619" s="335" t="s">
        <v>219</v>
      </c>
      <c r="S619" s="335" t="s">
        <v>166</v>
      </c>
    </row>
    <row r="620" spans="1:19" x14ac:dyDescent="0.2">
      <c r="A620" s="335" t="s">
        <v>218</v>
      </c>
      <c r="B620" s="332">
        <v>15</v>
      </c>
      <c r="C620" s="332">
        <v>11</v>
      </c>
      <c r="D620" s="332">
        <v>19</v>
      </c>
      <c r="E620" s="332">
        <v>22</v>
      </c>
      <c r="F620" s="332">
        <v>37</v>
      </c>
      <c r="G620" s="332">
        <v>127</v>
      </c>
      <c r="H620" s="332">
        <v>17.8</v>
      </c>
      <c r="I620" s="333">
        <v>0.19</v>
      </c>
      <c r="J620" s="333">
        <v>0.44</v>
      </c>
      <c r="K620" s="332">
        <v>13.200000000000001</v>
      </c>
      <c r="L620" s="332">
        <v>0.9</v>
      </c>
      <c r="M620" s="332" t="s">
        <v>157</v>
      </c>
      <c r="N620" s="332">
        <v>2000</v>
      </c>
      <c r="O620" s="332" t="s">
        <v>158</v>
      </c>
      <c r="P620" s="332">
        <v>538462</v>
      </c>
      <c r="Q620" s="335" t="s">
        <v>172</v>
      </c>
      <c r="R620" s="335" t="s">
        <v>219</v>
      </c>
      <c r="S620" s="335" t="s">
        <v>166</v>
      </c>
    </row>
    <row r="621" spans="1:19" x14ac:dyDescent="0.2">
      <c r="A621" s="335" t="s">
        <v>672</v>
      </c>
      <c r="B621" s="332">
        <v>14</v>
      </c>
      <c r="C621" s="332">
        <v>5</v>
      </c>
      <c r="D621" s="332">
        <v>10</v>
      </c>
      <c r="E621" s="332">
        <v>27</v>
      </c>
      <c r="F621" s="332">
        <v>45</v>
      </c>
      <c r="G621" s="332">
        <v>66</v>
      </c>
      <c r="H621" s="332">
        <v>10.700000000000001</v>
      </c>
      <c r="I621" s="333">
        <v>0.76</v>
      </c>
      <c r="J621" s="333">
        <v>2.36</v>
      </c>
      <c r="K621" s="332">
        <v>14.8</v>
      </c>
      <c r="L621" s="332">
        <v>0.9</v>
      </c>
      <c r="M621" s="332" t="s">
        <v>352</v>
      </c>
      <c r="N621" s="332">
        <v>2001</v>
      </c>
      <c r="O621" s="332" t="s">
        <v>69</v>
      </c>
      <c r="P621" s="332">
        <v>166173</v>
      </c>
      <c r="Q621" s="335" t="s">
        <v>775</v>
      </c>
      <c r="R621" s="335" t="s">
        <v>1113</v>
      </c>
      <c r="S621" s="335"/>
    </row>
    <row r="622" spans="1:19" x14ac:dyDescent="0.2">
      <c r="A622" s="335" t="s">
        <v>661</v>
      </c>
      <c r="B622" s="332">
        <v>8</v>
      </c>
      <c r="C622" s="332">
        <v>4</v>
      </c>
      <c r="D622" s="332">
        <v>9</v>
      </c>
      <c r="E622" s="332">
        <v>18</v>
      </c>
      <c r="F622" s="332">
        <v>17</v>
      </c>
      <c r="G622" s="332">
        <v>28</v>
      </c>
      <c r="H622" s="332">
        <v>5</v>
      </c>
      <c r="I622" s="333">
        <v>0.76</v>
      </c>
      <c r="J622" s="333">
        <v>2.34</v>
      </c>
      <c r="K622" s="332">
        <v>13.8</v>
      </c>
      <c r="L622" s="332">
        <v>0.5</v>
      </c>
      <c r="M622" s="332" t="s">
        <v>352</v>
      </c>
      <c r="N622" s="332">
        <v>2008</v>
      </c>
      <c r="O622" s="332" t="s">
        <v>69</v>
      </c>
      <c r="P622" s="332">
        <v>169060</v>
      </c>
      <c r="Q622" s="335" t="s">
        <v>775</v>
      </c>
      <c r="R622" s="335" t="s">
        <v>1113</v>
      </c>
      <c r="S622" s="335"/>
    </row>
    <row r="623" spans="1:19" x14ac:dyDescent="0.2">
      <c r="A623" s="335" t="s">
        <v>1044</v>
      </c>
      <c r="B623" s="332">
        <v>14</v>
      </c>
      <c r="C623" s="332">
        <v>5</v>
      </c>
      <c r="D623" s="332">
        <v>9</v>
      </c>
      <c r="E623" s="332">
        <v>28</v>
      </c>
      <c r="F623" s="332">
        <v>51</v>
      </c>
      <c r="G623" s="332">
        <v>71</v>
      </c>
      <c r="H623" s="332">
        <v>11.4</v>
      </c>
      <c r="I623" s="333">
        <v>0.75</v>
      </c>
      <c r="J623" s="333">
        <v>2.25</v>
      </c>
      <c r="K623" s="332">
        <v>16.100000000000001</v>
      </c>
      <c r="L623" s="332">
        <v>0.9</v>
      </c>
      <c r="M623" s="332" t="s">
        <v>157</v>
      </c>
      <c r="N623" s="332">
        <v>2013</v>
      </c>
      <c r="O623" s="332" t="s">
        <v>69</v>
      </c>
      <c r="P623" s="332">
        <v>178624</v>
      </c>
      <c r="Q623" s="335" t="s">
        <v>624</v>
      </c>
      <c r="R623" s="335" t="s">
        <v>1113</v>
      </c>
      <c r="S623" s="335"/>
    </row>
    <row r="624" spans="1:19" x14ac:dyDescent="0.2">
      <c r="A624" s="335" t="s">
        <v>883</v>
      </c>
      <c r="B624" s="332">
        <v>7</v>
      </c>
      <c r="C624" s="332">
        <v>-1</v>
      </c>
      <c r="D624" s="332">
        <v>7</v>
      </c>
      <c r="E624" s="332">
        <v>23</v>
      </c>
      <c r="F624" s="332">
        <v>39</v>
      </c>
      <c r="G624" s="332">
        <v>91</v>
      </c>
      <c r="H624" s="332">
        <v>13.8</v>
      </c>
      <c r="I624" s="333">
        <v>0.68</v>
      </c>
      <c r="J624" s="333">
        <v>1.6600000000000001</v>
      </c>
      <c r="K624" s="332">
        <v>15.200000000000001</v>
      </c>
      <c r="L624" s="332">
        <v>0.8</v>
      </c>
      <c r="M624" s="332" t="s">
        <v>352</v>
      </c>
      <c r="N624" s="332">
        <v>2015</v>
      </c>
      <c r="O624" s="332" t="s">
        <v>69</v>
      </c>
      <c r="P624" s="332">
        <v>245381</v>
      </c>
      <c r="Q624" s="335" t="s">
        <v>506</v>
      </c>
      <c r="R624" s="335" t="s">
        <v>1113</v>
      </c>
      <c r="S624" s="335"/>
    </row>
    <row r="625" spans="1:19" x14ac:dyDescent="0.2">
      <c r="A625" s="335" t="s">
        <v>764</v>
      </c>
      <c r="B625" s="332">
        <v>14</v>
      </c>
      <c r="C625" s="332">
        <v>6</v>
      </c>
      <c r="D625" s="332">
        <v>12</v>
      </c>
      <c r="E625" s="332">
        <v>33</v>
      </c>
      <c r="F625" s="332">
        <v>57</v>
      </c>
      <c r="G625" s="332">
        <v>94</v>
      </c>
      <c r="H625" s="332">
        <v>14.200000000000001</v>
      </c>
      <c r="I625" s="333">
        <v>0.89</v>
      </c>
      <c r="J625" s="333">
        <v>2.2800000000000002</v>
      </c>
      <c r="K625" s="332">
        <v>15.3</v>
      </c>
      <c r="L625" s="332">
        <v>1.1000000000000001</v>
      </c>
      <c r="M625" s="332" t="s">
        <v>352</v>
      </c>
      <c r="N625" s="332">
        <v>2014</v>
      </c>
      <c r="O625" s="332" t="s">
        <v>69</v>
      </c>
      <c r="P625" s="332">
        <v>250878</v>
      </c>
      <c r="Q625" s="335" t="s">
        <v>768</v>
      </c>
      <c r="R625" s="335" t="s">
        <v>1113</v>
      </c>
      <c r="S625" s="335"/>
    </row>
    <row r="626" spans="1:19" x14ac:dyDescent="0.2">
      <c r="A626" s="335" t="s">
        <v>884</v>
      </c>
      <c r="B626" s="332">
        <v>12</v>
      </c>
      <c r="C626" s="332">
        <v>3</v>
      </c>
      <c r="D626" s="332">
        <v>10</v>
      </c>
      <c r="E626" s="332">
        <v>32</v>
      </c>
      <c r="F626" s="332">
        <v>36</v>
      </c>
      <c r="G626" s="332">
        <v>65</v>
      </c>
      <c r="H626" s="332">
        <v>10.6</v>
      </c>
      <c r="I626" s="333">
        <v>0.70000000000000007</v>
      </c>
      <c r="J626" s="333">
        <v>1.7</v>
      </c>
      <c r="K626" s="332">
        <v>14.700000000000001</v>
      </c>
      <c r="L626" s="332">
        <v>0.8</v>
      </c>
      <c r="M626" s="332" t="s">
        <v>352</v>
      </c>
      <c r="N626" s="332">
        <v>2015</v>
      </c>
      <c r="O626" s="332" t="s">
        <v>69</v>
      </c>
      <c r="P626" s="332">
        <v>281212</v>
      </c>
      <c r="Q626" s="335" t="s">
        <v>506</v>
      </c>
      <c r="R626" s="335" t="s">
        <v>1113</v>
      </c>
      <c r="S626" s="335"/>
    </row>
    <row r="627" spans="1:19" x14ac:dyDescent="0.2">
      <c r="A627" s="335" t="s">
        <v>694</v>
      </c>
      <c r="B627" s="332">
        <v>0</v>
      </c>
      <c r="C627" s="332">
        <v>-5</v>
      </c>
      <c r="D627" s="332">
        <v>6</v>
      </c>
      <c r="E627" s="332">
        <v>37</v>
      </c>
      <c r="F627" s="332">
        <v>12</v>
      </c>
      <c r="G627" s="332">
        <v>-4</v>
      </c>
      <c r="H627" s="332">
        <v>-0.8</v>
      </c>
      <c r="I627" s="333">
        <v>0.8</v>
      </c>
      <c r="J627" s="333">
        <v>2.3000000000000003</v>
      </c>
      <c r="K627" s="332">
        <v>19.400000000000002</v>
      </c>
      <c r="L627" s="332">
        <v>0.3</v>
      </c>
      <c r="M627" s="332" t="s">
        <v>157</v>
      </c>
      <c r="N627" s="332">
        <v>2010</v>
      </c>
      <c r="O627" s="332" t="s">
        <v>158</v>
      </c>
      <c r="P627" s="332">
        <v>293498</v>
      </c>
      <c r="Q627" s="335" t="s">
        <v>859</v>
      </c>
      <c r="R627" s="335" t="s">
        <v>1113</v>
      </c>
      <c r="S627" s="335"/>
    </row>
    <row r="628" spans="1:19" x14ac:dyDescent="0.2">
      <c r="A628" s="335" t="s">
        <v>1062</v>
      </c>
      <c r="B628" s="332">
        <v>16</v>
      </c>
      <c r="C628" s="332">
        <v>9</v>
      </c>
      <c r="D628" s="332">
        <v>17</v>
      </c>
      <c r="E628" s="332">
        <v>33</v>
      </c>
      <c r="F628" s="332">
        <v>32</v>
      </c>
      <c r="G628" s="332">
        <v>65</v>
      </c>
      <c r="H628" s="332">
        <v>10.5</v>
      </c>
      <c r="I628" s="333">
        <v>0.75</v>
      </c>
      <c r="J628" s="333">
        <v>2.58</v>
      </c>
      <c r="K628" s="332">
        <v>8.8000000000000007</v>
      </c>
      <c r="L628" s="332">
        <v>1.1000000000000001</v>
      </c>
      <c r="M628" s="332" t="s">
        <v>157</v>
      </c>
      <c r="N628" s="332">
        <v>2003</v>
      </c>
      <c r="O628" s="332" t="s">
        <v>158</v>
      </c>
      <c r="P628" s="332">
        <v>552984</v>
      </c>
      <c r="Q628" s="335" t="s">
        <v>624</v>
      </c>
      <c r="R628" s="335" t="s">
        <v>328</v>
      </c>
      <c r="S628" s="335"/>
    </row>
    <row r="629" spans="1:19" x14ac:dyDescent="0.2">
      <c r="A629" s="335" t="s">
        <v>1134</v>
      </c>
      <c r="B629" s="332">
        <v>13</v>
      </c>
      <c r="C629" s="332">
        <v>5</v>
      </c>
      <c r="D629" s="332">
        <v>13</v>
      </c>
      <c r="E629" s="332">
        <v>19</v>
      </c>
      <c r="F629" s="332">
        <v>36</v>
      </c>
      <c r="G629" s="332">
        <v>74</v>
      </c>
      <c r="H629" s="332">
        <v>11.8</v>
      </c>
      <c r="I629" s="333">
        <v>0.75</v>
      </c>
      <c r="J629" s="333">
        <v>1.84</v>
      </c>
      <c r="K629" s="332">
        <v>13.6</v>
      </c>
      <c r="L629" s="332">
        <v>0.8</v>
      </c>
      <c r="M629" s="332" t="s">
        <v>207</v>
      </c>
      <c r="N629" s="332">
        <v>2010</v>
      </c>
      <c r="O629" s="332" t="s">
        <v>69</v>
      </c>
      <c r="P629" s="332">
        <v>523050</v>
      </c>
      <c r="Q629" s="335" t="s">
        <v>800</v>
      </c>
      <c r="R629" s="335" t="s">
        <v>185</v>
      </c>
      <c r="S629" s="335"/>
    </row>
    <row r="630" spans="1:19" x14ac:dyDescent="0.2">
      <c r="A630" s="335" t="s">
        <v>371</v>
      </c>
      <c r="B630" s="332">
        <v>4</v>
      </c>
      <c r="C630" s="332">
        <v>1</v>
      </c>
      <c r="D630" s="332">
        <v>4</v>
      </c>
      <c r="E630" s="332">
        <v>13</v>
      </c>
      <c r="F630" s="332">
        <v>32</v>
      </c>
      <c r="G630" s="332">
        <v>71</v>
      </c>
      <c r="H630" s="332">
        <v>11.4</v>
      </c>
      <c r="I630" s="333">
        <v>0.32</v>
      </c>
      <c r="J630" s="333">
        <v>1.25</v>
      </c>
      <c r="K630" s="332">
        <v>7.9</v>
      </c>
      <c r="L630" s="332">
        <v>1.2</v>
      </c>
      <c r="M630" s="332" t="s">
        <v>157</v>
      </c>
      <c r="N630" s="332">
        <v>2002</v>
      </c>
      <c r="O630" s="332" t="s">
        <v>158</v>
      </c>
      <c r="P630" s="332">
        <v>879114</v>
      </c>
      <c r="Q630" s="335" t="s">
        <v>213</v>
      </c>
      <c r="R630" s="335" t="s">
        <v>1088</v>
      </c>
      <c r="S630" s="335" t="s">
        <v>166</v>
      </c>
    </row>
    <row r="631" spans="1:19" x14ac:dyDescent="0.2">
      <c r="A631" s="335" t="s">
        <v>940</v>
      </c>
      <c r="B631" s="332">
        <v>16</v>
      </c>
      <c r="C631" s="332">
        <v>13</v>
      </c>
      <c r="D631" s="332">
        <v>20</v>
      </c>
      <c r="E631" s="332">
        <v>18</v>
      </c>
      <c r="F631" s="332"/>
      <c r="G631" s="332"/>
      <c r="H631" s="332"/>
      <c r="I631" s="333">
        <v>0.89</v>
      </c>
      <c r="J631" s="333">
        <v>2.46</v>
      </c>
      <c r="K631" s="332"/>
      <c r="L631" s="332"/>
      <c r="M631" s="332" t="s">
        <v>157</v>
      </c>
      <c r="N631" s="332">
        <v>2016</v>
      </c>
      <c r="O631" s="332" t="s">
        <v>69</v>
      </c>
      <c r="P631" s="332">
        <v>551440</v>
      </c>
      <c r="Q631" s="335" t="s">
        <v>838</v>
      </c>
      <c r="R631" s="335" t="s">
        <v>219</v>
      </c>
      <c r="S631" s="335"/>
    </row>
    <row r="632" spans="1:19" x14ac:dyDescent="0.2">
      <c r="A632" s="335" t="s">
        <v>342</v>
      </c>
      <c r="B632" s="332">
        <v>11</v>
      </c>
      <c r="C632" s="332">
        <v>9</v>
      </c>
      <c r="D632" s="332">
        <v>15</v>
      </c>
      <c r="E632" s="332">
        <v>21</v>
      </c>
      <c r="F632" s="332">
        <v>27</v>
      </c>
      <c r="G632" s="332">
        <v>95</v>
      </c>
      <c r="H632" s="332">
        <v>14.3</v>
      </c>
      <c r="I632" s="333">
        <v>0.26</v>
      </c>
      <c r="J632" s="333">
        <v>0.68</v>
      </c>
      <c r="K632" s="332">
        <v>13.4</v>
      </c>
      <c r="L632" s="332">
        <v>0.70000000000000007</v>
      </c>
      <c r="M632" s="332" t="s">
        <v>157</v>
      </c>
      <c r="N632" s="332">
        <v>2000</v>
      </c>
      <c r="O632" s="332" t="s">
        <v>158</v>
      </c>
      <c r="P632" s="332">
        <v>570630</v>
      </c>
      <c r="Q632" s="335" t="s">
        <v>170</v>
      </c>
      <c r="R632" s="335" t="s">
        <v>219</v>
      </c>
      <c r="S632" s="335" t="s">
        <v>166</v>
      </c>
    </row>
    <row r="633" spans="1:19" x14ac:dyDescent="0.2">
      <c r="A633" s="335" t="s">
        <v>776</v>
      </c>
      <c r="B633" s="332">
        <v>12</v>
      </c>
      <c r="C633" s="332">
        <v>9</v>
      </c>
      <c r="D633" s="332">
        <v>16</v>
      </c>
      <c r="E633" s="332">
        <v>21</v>
      </c>
      <c r="F633" s="332">
        <v>30</v>
      </c>
      <c r="G633" s="332">
        <v>97</v>
      </c>
      <c r="H633" s="332">
        <v>14.5</v>
      </c>
      <c r="I633" s="333">
        <v>0.19</v>
      </c>
      <c r="J633" s="333">
        <v>0.4</v>
      </c>
      <c r="K633" s="332">
        <v>12.9</v>
      </c>
      <c r="L633" s="332">
        <v>0.8</v>
      </c>
      <c r="M633" s="332" t="s">
        <v>157</v>
      </c>
      <c r="N633" s="332">
        <v>2000</v>
      </c>
      <c r="O633" s="332" t="s">
        <v>158</v>
      </c>
      <c r="P633" s="332">
        <v>629543</v>
      </c>
      <c r="Q633" s="335" t="s">
        <v>930</v>
      </c>
      <c r="R633" s="335" t="s">
        <v>219</v>
      </c>
      <c r="S633" s="335"/>
    </row>
    <row r="634" spans="1:19" x14ac:dyDescent="0.2">
      <c r="A634" s="335" t="s">
        <v>537</v>
      </c>
      <c r="B634" s="332">
        <v>20</v>
      </c>
      <c r="C634" s="332">
        <v>6</v>
      </c>
      <c r="D634" s="332">
        <v>14</v>
      </c>
      <c r="E634" s="332">
        <v>37</v>
      </c>
      <c r="F634" s="332">
        <v>63</v>
      </c>
      <c r="G634" s="332">
        <v>109</v>
      </c>
      <c r="H634" s="332">
        <v>15.9</v>
      </c>
      <c r="I634" s="333">
        <v>0.64</v>
      </c>
      <c r="J634" s="333">
        <v>1.84</v>
      </c>
      <c r="K634" s="332">
        <v>17.600000000000001</v>
      </c>
      <c r="L634" s="332">
        <v>1</v>
      </c>
      <c r="M634" s="332" t="s">
        <v>157</v>
      </c>
      <c r="N634" s="332">
        <v>2001</v>
      </c>
      <c r="O634" s="332" t="s">
        <v>69</v>
      </c>
      <c r="P634" s="332">
        <v>362327</v>
      </c>
      <c r="Q634" s="335" t="s">
        <v>228</v>
      </c>
      <c r="R634" s="335" t="s">
        <v>1113</v>
      </c>
      <c r="S634" s="335"/>
    </row>
    <row r="635" spans="1:19" x14ac:dyDescent="0.2">
      <c r="A635" s="335" t="s">
        <v>404</v>
      </c>
      <c r="B635" s="332">
        <v>16</v>
      </c>
      <c r="C635" s="332">
        <v>6</v>
      </c>
      <c r="D635" s="332">
        <v>11</v>
      </c>
      <c r="E635" s="332">
        <v>35</v>
      </c>
      <c r="F635" s="332">
        <v>52</v>
      </c>
      <c r="G635" s="332">
        <v>68</v>
      </c>
      <c r="H635" s="332">
        <v>10.9</v>
      </c>
      <c r="I635" s="333">
        <v>0.38</v>
      </c>
      <c r="J635" s="333">
        <v>1.71</v>
      </c>
      <c r="K635" s="332">
        <v>15.200000000000001</v>
      </c>
      <c r="L635" s="332">
        <v>1</v>
      </c>
      <c r="M635" s="332" t="s">
        <v>157</v>
      </c>
      <c r="N635" s="332">
        <v>2001</v>
      </c>
      <c r="O635" s="332" t="s">
        <v>158</v>
      </c>
      <c r="P635" s="332">
        <v>385401</v>
      </c>
      <c r="Q635" s="335" t="s">
        <v>177</v>
      </c>
      <c r="R635" s="335" t="s">
        <v>1113</v>
      </c>
      <c r="S635" s="335" t="s">
        <v>166</v>
      </c>
    </row>
    <row r="636" spans="1:19" x14ac:dyDescent="0.2">
      <c r="A636" s="335" t="s">
        <v>542</v>
      </c>
      <c r="B636" s="332">
        <v>14</v>
      </c>
      <c r="C636" s="332">
        <v>6</v>
      </c>
      <c r="D636" s="332">
        <v>11</v>
      </c>
      <c r="E636" s="332">
        <v>27</v>
      </c>
      <c r="F636" s="332">
        <v>38</v>
      </c>
      <c r="G636" s="332">
        <v>53</v>
      </c>
      <c r="H636" s="332">
        <v>8.8000000000000007</v>
      </c>
      <c r="I636" s="333">
        <v>0.89</v>
      </c>
      <c r="J636" s="333">
        <v>2.75</v>
      </c>
      <c r="K636" s="332">
        <v>14.200000000000001</v>
      </c>
      <c r="L636" s="332">
        <v>0.8</v>
      </c>
      <c r="M636" s="332" t="s">
        <v>352</v>
      </c>
      <c r="N636" s="332">
        <v>2001</v>
      </c>
      <c r="O636" s="332" t="s">
        <v>69</v>
      </c>
      <c r="P636" s="332">
        <v>389650</v>
      </c>
      <c r="Q636" s="335" t="s">
        <v>465</v>
      </c>
      <c r="R636" s="335" t="s">
        <v>1113</v>
      </c>
      <c r="S636" s="335"/>
    </row>
    <row r="637" spans="1:19" x14ac:dyDescent="0.2">
      <c r="A637" s="335" t="s">
        <v>869</v>
      </c>
      <c r="B637" s="332">
        <v>5</v>
      </c>
      <c r="C637" s="332">
        <v>-3</v>
      </c>
      <c r="D637" s="332">
        <v>4</v>
      </c>
      <c r="E637" s="332">
        <v>22</v>
      </c>
      <c r="F637" s="332">
        <v>24</v>
      </c>
      <c r="G637" s="332">
        <v>57</v>
      </c>
      <c r="H637" s="332">
        <v>9.4</v>
      </c>
      <c r="I637" s="333">
        <v>0.61</v>
      </c>
      <c r="J637" s="333">
        <v>1.45</v>
      </c>
      <c r="K637" s="332">
        <v>16.100000000000001</v>
      </c>
      <c r="L637" s="332">
        <v>0.5</v>
      </c>
      <c r="M637" s="332" t="s">
        <v>352</v>
      </c>
      <c r="N637" s="332">
        <v>2000</v>
      </c>
      <c r="O637" s="332" t="s">
        <v>69</v>
      </c>
      <c r="P637" s="332">
        <v>401810</v>
      </c>
      <c r="Q637" s="335" t="s">
        <v>506</v>
      </c>
      <c r="R637" s="335" t="s">
        <v>1113</v>
      </c>
      <c r="S637" s="335"/>
    </row>
    <row r="638" spans="1:19" x14ac:dyDescent="0.2">
      <c r="A638" s="335" t="s">
        <v>1020</v>
      </c>
      <c r="B638" s="332">
        <v>10</v>
      </c>
      <c r="C638" s="332">
        <v>8</v>
      </c>
      <c r="D638" s="332">
        <v>13</v>
      </c>
      <c r="E638" s="332"/>
      <c r="F638" s="332"/>
      <c r="G638" s="332"/>
      <c r="H638" s="332"/>
      <c r="I638" s="333">
        <v>0.53</v>
      </c>
      <c r="J638" s="333">
        <v>1.4000000000000001</v>
      </c>
      <c r="K638" s="332"/>
      <c r="L638" s="332"/>
      <c r="M638" s="332" t="s">
        <v>157</v>
      </c>
      <c r="N638" s="332">
        <v>2016</v>
      </c>
      <c r="O638" s="332" t="s">
        <v>158</v>
      </c>
      <c r="P638" s="332">
        <v>933416</v>
      </c>
      <c r="Q638" s="335" t="s">
        <v>159</v>
      </c>
      <c r="R638" s="335" t="s">
        <v>296</v>
      </c>
      <c r="S638" s="335"/>
    </row>
    <row r="639" spans="1:19" x14ac:dyDescent="0.2">
      <c r="A639" s="335" t="s">
        <v>718</v>
      </c>
      <c r="B639" s="332">
        <v>10</v>
      </c>
      <c r="C639" s="332">
        <v>4</v>
      </c>
      <c r="D639" s="332">
        <v>8</v>
      </c>
      <c r="E639" s="332">
        <v>15</v>
      </c>
      <c r="F639" s="332">
        <v>64</v>
      </c>
      <c r="G639" s="332">
        <v>110</v>
      </c>
      <c r="H639" s="332">
        <v>16</v>
      </c>
      <c r="I639" s="333">
        <v>0.81</v>
      </c>
      <c r="J639" s="333">
        <v>2.72</v>
      </c>
      <c r="K639" s="332">
        <v>13.700000000000001</v>
      </c>
      <c r="L639" s="332">
        <v>1.3</v>
      </c>
      <c r="M639" s="332" t="s">
        <v>352</v>
      </c>
      <c r="N639" s="332">
        <v>2006</v>
      </c>
      <c r="O639" s="332" t="s">
        <v>69</v>
      </c>
      <c r="P639" s="332">
        <v>968891</v>
      </c>
      <c r="Q639" s="335" t="s">
        <v>1013</v>
      </c>
      <c r="R639" s="335" t="s">
        <v>296</v>
      </c>
      <c r="S639" s="335"/>
    </row>
    <row r="640" spans="1:19" x14ac:dyDescent="0.2">
      <c r="A640" s="335" t="s">
        <v>295</v>
      </c>
      <c r="B640" s="332">
        <v>-8</v>
      </c>
      <c r="C640" s="332">
        <v>-7</v>
      </c>
      <c r="D640" s="332">
        <v>-5</v>
      </c>
      <c r="E640" s="332">
        <v>8</v>
      </c>
      <c r="F640" s="332">
        <v>-24</v>
      </c>
      <c r="G640" s="332">
        <v>-30</v>
      </c>
      <c r="H640" s="332">
        <v>-6.9</v>
      </c>
      <c r="I640" s="333">
        <v>0.24</v>
      </c>
      <c r="J640" s="333">
        <v>0.75</v>
      </c>
      <c r="K640" s="332">
        <v>15.1</v>
      </c>
      <c r="L640" s="332">
        <v>-0.5</v>
      </c>
      <c r="M640" s="332" t="s">
        <v>157</v>
      </c>
      <c r="N640" s="332">
        <v>2010</v>
      </c>
      <c r="O640" s="332" t="s">
        <v>69</v>
      </c>
      <c r="P640" s="332">
        <v>110098</v>
      </c>
      <c r="Q640" s="335" t="s">
        <v>162</v>
      </c>
      <c r="R640" s="335" t="s">
        <v>1110</v>
      </c>
      <c r="S640" s="335"/>
    </row>
    <row r="641" spans="1:19" x14ac:dyDescent="0.2">
      <c r="A641" s="335" t="s">
        <v>592</v>
      </c>
      <c r="B641" s="332">
        <v>-4</v>
      </c>
      <c r="C641" s="332">
        <v>-4</v>
      </c>
      <c r="D641" s="332">
        <v>0</v>
      </c>
      <c r="E641" s="332">
        <v>15</v>
      </c>
      <c r="F641" s="332">
        <v>6</v>
      </c>
      <c r="G641" s="332">
        <v>4</v>
      </c>
      <c r="H641" s="332">
        <v>0.8</v>
      </c>
      <c r="I641" s="333">
        <v>0.68</v>
      </c>
      <c r="J641" s="333">
        <v>2.0100000000000002</v>
      </c>
      <c r="K641" s="332">
        <v>15.700000000000001</v>
      </c>
      <c r="L641" s="332">
        <v>0.2</v>
      </c>
      <c r="M641" s="332" t="s">
        <v>352</v>
      </c>
      <c r="N641" s="332">
        <v>2000</v>
      </c>
      <c r="O641" s="332" t="s">
        <v>69</v>
      </c>
      <c r="P641" s="332">
        <v>262741</v>
      </c>
      <c r="Q641" s="335" t="s">
        <v>435</v>
      </c>
      <c r="R641" s="335" t="s">
        <v>1110</v>
      </c>
      <c r="S641" s="335"/>
    </row>
    <row r="642" spans="1:19" x14ac:dyDescent="0.2">
      <c r="A642" s="335" t="s">
        <v>346</v>
      </c>
      <c r="B642" s="332">
        <v>11</v>
      </c>
      <c r="C642" s="332">
        <v>5</v>
      </c>
      <c r="D642" s="332">
        <v>13</v>
      </c>
      <c r="E642" s="332">
        <v>27</v>
      </c>
      <c r="F642" s="332">
        <v>71</v>
      </c>
      <c r="G642" s="332">
        <v>135</v>
      </c>
      <c r="H642" s="332">
        <v>18.600000000000001</v>
      </c>
      <c r="I642" s="333">
        <v>0.3</v>
      </c>
      <c r="J642" s="333">
        <v>0.6</v>
      </c>
      <c r="K642" s="332">
        <v>13.8</v>
      </c>
      <c r="L642" s="332">
        <v>1.4000000000000001</v>
      </c>
      <c r="M642" s="332" t="s">
        <v>207</v>
      </c>
      <c r="N642" s="332">
        <v>2000</v>
      </c>
      <c r="O642" s="332" t="s">
        <v>69</v>
      </c>
      <c r="P642" s="332">
        <v>479550</v>
      </c>
      <c r="Q642" s="335" t="s">
        <v>208</v>
      </c>
      <c r="R642" s="335" t="s">
        <v>185</v>
      </c>
      <c r="S642" s="335"/>
    </row>
    <row r="643" spans="1:19" x14ac:dyDescent="0.2">
      <c r="A643" s="335" t="s">
        <v>1157</v>
      </c>
      <c r="B643" s="332">
        <v>9</v>
      </c>
      <c r="C643" s="332">
        <v>7</v>
      </c>
      <c r="D643" s="332">
        <v>12</v>
      </c>
      <c r="E643" s="332">
        <v>16</v>
      </c>
      <c r="F643" s="332"/>
      <c r="G643" s="332"/>
      <c r="H643" s="332"/>
      <c r="I643" s="333">
        <v>0.89</v>
      </c>
      <c r="J643" s="333">
        <v>2.25</v>
      </c>
      <c r="K643" s="332"/>
      <c r="L643" s="332"/>
      <c r="M643" s="332" t="s">
        <v>157</v>
      </c>
      <c r="N643" s="332">
        <v>2016</v>
      </c>
      <c r="O643" s="332" t="s">
        <v>158</v>
      </c>
      <c r="P643" s="332">
        <v>989905</v>
      </c>
      <c r="Q643" s="335" t="s">
        <v>539</v>
      </c>
      <c r="R643" s="335" t="s">
        <v>223</v>
      </c>
      <c r="S643" s="335"/>
    </row>
    <row r="644" spans="1:19" x14ac:dyDescent="0.2">
      <c r="A644" s="335" t="s">
        <v>1150</v>
      </c>
      <c r="B644" s="332">
        <v>15</v>
      </c>
      <c r="C644" s="332">
        <v>11</v>
      </c>
      <c r="D644" s="332">
        <v>18</v>
      </c>
      <c r="E644" s="332">
        <v>22</v>
      </c>
      <c r="F644" s="332">
        <v>38</v>
      </c>
      <c r="G644" s="332">
        <v>80</v>
      </c>
      <c r="H644" s="332">
        <v>12.5</v>
      </c>
      <c r="I644" s="333">
        <v>0.61</v>
      </c>
      <c r="J644" s="333">
        <v>1.45</v>
      </c>
      <c r="K644" s="332">
        <v>12.8</v>
      </c>
      <c r="L644" s="332">
        <v>0.9</v>
      </c>
      <c r="M644" s="332" t="s">
        <v>157</v>
      </c>
      <c r="N644" s="332">
        <v>2007</v>
      </c>
      <c r="O644" s="332" t="s">
        <v>158</v>
      </c>
      <c r="P644" s="332">
        <v>102897</v>
      </c>
      <c r="Q644" s="335" t="s">
        <v>539</v>
      </c>
      <c r="R644" s="335" t="s">
        <v>219</v>
      </c>
      <c r="S644" s="335"/>
    </row>
    <row r="645" spans="1:19" x14ac:dyDescent="0.2">
      <c r="A645" s="335" t="s">
        <v>356</v>
      </c>
      <c r="B645" s="332">
        <v>8</v>
      </c>
      <c r="C645" s="332">
        <v>9</v>
      </c>
      <c r="D645" s="332">
        <v>12</v>
      </c>
      <c r="E645" s="332">
        <v>16</v>
      </c>
      <c r="F645" s="332"/>
      <c r="G645" s="332"/>
      <c r="H645" s="332"/>
      <c r="I645" s="333">
        <v>0.32</v>
      </c>
      <c r="J645" s="333">
        <v>1.54</v>
      </c>
      <c r="K645" s="332"/>
      <c r="L645" s="332"/>
      <c r="M645" s="332" t="s">
        <v>157</v>
      </c>
      <c r="N645" s="332">
        <v>2014</v>
      </c>
      <c r="O645" s="332" t="s">
        <v>69</v>
      </c>
      <c r="P645" s="332">
        <v>564849</v>
      </c>
      <c r="Q645" s="335" t="s">
        <v>195</v>
      </c>
      <c r="R645" s="335" t="s">
        <v>219</v>
      </c>
      <c r="S645" s="335" t="s">
        <v>166</v>
      </c>
    </row>
    <row r="646" spans="1:19" x14ac:dyDescent="0.2">
      <c r="A646" s="335" t="s">
        <v>359</v>
      </c>
      <c r="B646" s="332">
        <v>18</v>
      </c>
      <c r="C646" s="332">
        <v>7</v>
      </c>
      <c r="D646" s="332">
        <v>13</v>
      </c>
      <c r="E646" s="332">
        <v>35</v>
      </c>
      <c r="F646" s="332">
        <v>54</v>
      </c>
      <c r="G646" s="332"/>
      <c r="H646" s="332"/>
      <c r="I646" s="333">
        <v>0.33</v>
      </c>
      <c r="J646" s="333">
        <v>1.6400000000000001</v>
      </c>
      <c r="K646" s="332">
        <v>16.8</v>
      </c>
      <c r="L646" s="332">
        <v>1</v>
      </c>
      <c r="M646" s="332" t="s">
        <v>157</v>
      </c>
      <c r="N646" s="332">
        <v>2013</v>
      </c>
      <c r="O646" s="332" t="s">
        <v>69</v>
      </c>
      <c r="P646" s="332">
        <v>494427</v>
      </c>
      <c r="Q646" s="335" t="s">
        <v>195</v>
      </c>
      <c r="R646" s="335" t="s">
        <v>1113</v>
      </c>
      <c r="S646" s="335" t="s">
        <v>166</v>
      </c>
    </row>
    <row r="647" spans="1:19" x14ac:dyDescent="0.2">
      <c r="A647" s="335" t="s">
        <v>303</v>
      </c>
      <c r="B647" s="332">
        <v>5</v>
      </c>
      <c r="C647" s="332">
        <v>1</v>
      </c>
      <c r="D647" s="332">
        <v>6</v>
      </c>
      <c r="E647" s="332">
        <v>23</v>
      </c>
      <c r="F647" s="332">
        <v>51</v>
      </c>
      <c r="G647" s="332">
        <v>94</v>
      </c>
      <c r="H647" s="332">
        <v>14.200000000000001</v>
      </c>
      <c r="I647" s="333">
        <v>0.26</v>
      </c>
      <c r="J647" s="333">
        <v>1.02</v>
      </c>
      <c r="K647" s="332">
        <v>13.3</v>
      </c>
      <c r="L647" s="332">
        <v>1.1000000000000001</v>
      </c>
      <c r="M647" s="332" t="s">
        <v>157</v>
      </c>
      <c r="N647" s="332">
        <v>2012</v>
      </c>
      <c r="O647" s="332" t="s">
        <v>69</v>
      </c>
      <c r="P647" s="332">
        <v>282517</v>
      </c>
      <c r="Q647" s="335" t="s">
        <v>195</v>
      </c>
      <c r="R647" s="335" t="s">
        <v>185</v>
      </c>
      <c r="S647" s="335" t="s">
        <v>166</v>
      </c>
    </row>
    <row r="648" spans="1:19" x14ac:dyDescent="0.2">
      <c r="A648" s="335" t="s">
        <v>414</v>
      </c>
      <c r="B648" s="332">
        <v>16</v>
      </c>
      <c r="C648" s="332">
        <v>6</v>
      </c>
      <c r="D648" s="332">
        <v>14</v>
      </c>
      <c r="E648" s="332">
        <v>36</v>
      </c>
      <c r="F648" s="332">
        <v>71</v>
      </c>
      <c r="G648" s="332">
        <v>128</v>
      </c>
      <c r="H648" s="332">
        <v>17.900000000000002</v>
      </c>
      <c r="I648" s="333">
        <v>0.37</v>
      </c>
      <c r="J648" s="333">
        <v>1.94</v>
      </c>
      <c r="K648" s="332">
        <v>17.7</v>
      </c>
      <c r="L648" s="332">
        <v>1.1000000000000001</v>
      </c>
      <c r="M648" s="332" t="s">
        <v>157</v>
      </c>
      <c r="N648" s="332">
        <v>2007</v>
      </c>
      <c r="O648" s="332" t="s">
        <v>69</v>
      </c>
      <c r="P648" s="332">
        <v>469692</v>
      </c>
      <c r="Q648" s="335" t="s">
        <v>195</v>
      </c>
      <c r="R648" s="335" t="s">
        <v>1123</v>
      </c>
      <c r="S648" s="335" t="s">
        <v>166</v>
      </c>
    </row>
    <row r="649" spans="1:19" x14ac:dyDescent="0.2">
      <c r="A649" s="335" t="s">
        <v>304</v>
      </c>
      <c r="B649" s="332">
        <v>5</v>
      </c>
      <c r="C649" s="332">
        <v>1</v>
      </c>
      <c r="D649" s="332">
        <v>4</v>
      </c>
      <c r="E649" s="332">
        <v>20</v>
      </c>
      <c r="F649" s="332">
        <v>52</v>
      </c>
      <c r="G649" s="332"/>
      <c r="H649" s="332"/>
      <c r="I649" s="333">
        <v>0.25</v>
      </c>
      <c r="J649" s="333">
        <v>1</v>
      </c>
      <c r="K649" s="332">
        <v>15.200000000000001</v>
      </c>
      <c r="L649" s="332">
        <v>1</v>
      </c>
      <c r="M649" s="332" t="s">
        <v>157</v>
      </c>
      <c r="N649" s="332">
        <v>2013</v>
      </c>
      <c r="O649" s="332" t="s">
        <v>69</v>
      </c>
      <c r="P649" s="332">
        <v>218115</v>
      </c>
      <c r="Q649" s="335" t="s">
        <v>195</v>
      </c>
      <c r="R649" s="335" t="s">
        <v>205</v>
      </c>
      <c r="S649" s="335" t="s">
        <v>166</v>
      </c>
    </row>
    <row r="650" spans="1:19" x14ac:dyDescent="0.2">
      <c r="A650" s="335" t="s">
        <v>272</v>
      </c>
      <c r="B650" s="332">
        <v>12</v>
      </c>
      <c r="C650" s="332">
        <v>9</v>
      </c>
      <c r="D650" s="332">
        <v>16</v>
      </c>
      <c r="E650" s="332">
        <v>21</v>
      </c>
      <c r="F650" s="332">
        <v>29</v>
      </c>
      <c r="G650" s="332">
        <v>94</v>
      </c>
      <c r="H650" s="332">
        <v>14.1</v>
      </c>
      <c r="I650" s="333">
        <v>0.2</v>
      </c>
      <c r="J650" s="333">
        <v>0.4</v>
      </c>
      <c r="K650" s="332">
        <v>13.1</v>
      </c>
      <c r="L650" s="332">
        <v>0.70000000000000007</v>
      </c>
      <c r="M650" s="332" t="s">
        <v>157</v>
      </c>
      <c r="N650" s="332">
        <v>2000</v>
      </c>
      <c r="O650" s="332" t="s">
        <v>158</v>
      </c>
      <c r="P650" s="332">
        <v>654459</v>
      </c>
      <c r="Q650" s="335" t="s">
        <v>230</v>
      </c>
      <c r="R650" s="335" t="s">
        <v>219</v>
      </c>
      <c r="S650" s="335" t="s">
        <v>166</v>
      </c>
    </row>
    <row r="651" spans="1:19" x14ac:dyDescent="0.2">
      <c r="A651" s="335" t="s">
        <v>580</v>
      </c>
      <c r="B651" s="332">
        <v>18</v>
      </c>
      <c r="C651" s="332">
        <v>10</v>
      </c>
      <c r="D651" s="332">
        <v>15</v>
      </c>
      <c r="E651" s="332">
        <v>31</v>
      </c>
      <c r="F651" s="332">
        <v>66</v>
      </c>
      <c r="G651" s="332">
        <v>84</v>
      </c>
      <c r="H651" s="332">
        <v>13</v>
      </c>
      <c r="I651" s="333">
        <v>0.67</v>
      </c>
      <c r="J651" s="333">
        <v>1.97</v>
      </c>
      <c r="K651" s="332">
        <v>14.9</v>
      </c>
      <c r="L651" s="332">
        <v>1.2</v>
      </c>
      <c r="M651" s="332" t="s">
        <v>352</v>
      </c>
      <c r="N651" s="332">
        <v>2000</v>
      </c>
      <c r="O651" s="332" t="s">
        <v>69</v>
      </c>
      <c r="P651" s="332">
        <v>477729</v>
      </c>
      <c r="Q651" s="335" t="s">
        <v>435</v>
      </c>
      <c r="R651" s="335" t="s">
        <v>1113</v>
      </c>
      <c r="S651" s="335"/>
    </row>
    <row r="652" spans="1:19" x14ac:dyDescent="0.2">
      <c r="A652" s="335" t="s">
        <v>1119</v>
      </c>
      <c r="B652" s="332">
        <v>18</v>
      </c>
      <c r="C652" s="332">
        <v>7</v>
      </c>
      <c r="D652" s="332">
        <v>13</v>
      </c>
      <c r="E652" s="332">
        <v>36</v>
      </c>
      <c r="F652" s="332">
        <v>60</v>
      </c>
      <c r="G652" s="332">
        <v>92</v>
      </c>
      <c r="H652" s="332">
        <v>13.9</v>
      </c>
      <c r="I652" s="333">
        <v>0.35000000000000003</v>
      </c>
      <c r="J652" s="333">
        <v>1.55</v>
      </c>
      <c r="K652" s="332">
        <v>15</v>
      </c>
      <c r="L652" s="332">
        <v>1.1000000000000001</v>
      </c>
      <c r="M652" s="332" t="s">
        <v>157</v>
      </c>
      <c r="N652" s="332">
        <v>2014</v>
      </c>
      <c r="O652" s="332" t="s">
        <v>158</v>
      </c>
      <c r="P652" s="332">
        <v>504100</v>
      </c>
      <c r="Q652" s="335" t="s">
        <v>198</v>
      </c>
      <c r="R652" s="335" t="s">
        <v>1113</v>
      </c>
      <c r="S652" s="335"/>
    </row>
    <row r="653" spans="1:19" x14ac:dyDescent="0.2">
      <c r="A653" s="335" t="s">
        <v>1120</v>
      </c>
      <c r="B653" s="332">
        <v>2</v>
      </c>
      <c r="C653" s="332">
        <v>-3</v>
      </c>
      <c r="D653" s="332">
        <v>5</v>
      </c>
      <c r="E653" s="332">
        <v>2</v>
      </c>
      <c r="F653" s="332">
        <v>20</v>
      </c>
      <c r="G653" s="332">
        <v>-39</v>
      </c>
      <c r="H653" s="332">
        <v>-9.5</v>
      </c>
      <c r="I653" s="333">
        <v>0.76</v>
      </c>
      <c r="J653" s="333">
        <v>2.33</v>
      </c>
      <c r="K653" s="332">
        <v>40.6</v>
      </c>
      <c r="L653" s="332">
        <v>0.3</v>
      </c>
      <c r="M653" s="332" t="s">
        <v>352</v>
      </c>
      <c r="N653" s="332">
        <v>2011</v>
      </c>
      <c r="O653" s="332" t="s">
        <v>69</v>
      </c>
      <c r="P653" s="332">
        <v>305003</v>
      </c>
      <c r="Q653" s="335" t="s">
        <v>775</v>
      </c>
      <c r="R653" s="335" t="s">
        <v>1110</v>
      </c>
      <c r="S653" s="335"/>
    </row>
    <row r="654" spans="1:19" x14ac:dyDescent="0.2">
      <c r="A654" s="335" t="s">
        <v>1032</v>
      </c>
      <c r="B654" s="332">
        <v>-23</v>
      </c>
      <c r="C654" s="332">
        <v>-15</v>
      </c>
      <c r="D654" s="332">
        <v>-21</v>
      </c>
      <c r="E654" s="332">
        <v>-5</v>
      </c>
      <c r="F654" s="332">
        <v>-22</v>
      </c>
      <c r="G654" s="332"/>
      <c r="H654" s="332"/>
      <c r="I654" s="333">
        <v>0.8</v>
      </c>
      <c r="J654" s="333">
        <v>2.71</v>
      </c>
      <c r="K654" s="332">
        <v>22.400000000000002</v>
      </c>
      <c r="L654" s="332">
        <v>-0.2</v>
      </c>
      <c r="M654" s="332" t="s">
        <v>157</v>
      </c>
      <c r="N654" s="332">
        <v>2012</v>
      </c>
      <c r="O654" s="332" t="s">
        <v>158</v>
      </c>
      <c r="P654" s="332">
        <v>312850</v>
      </c>
      <c r="Q654" s="335" t="s">
        <v>859</v>
      </c>
      <c r="R654" s="335" t="s">
        <v>1110</v>
      </c>
      <c r="S654" s="335"/>
    </row>
    <row r="655" spans="1:19" x14ac:dyDescent="0.2">
      <c r="A655" s="335" t="s">
        <v>833</v>
      </c>
      <c r="B655" s="332">
        <v>-2</v>
      </c>
      <c r="C655" s="332">
        <v>-9</v>
      </c>
      <c r="D655" s="332">
        <v>-3</v>
      </c>
      <c r="E655" s="332">
        <v>31</v>
      </c>
      <c r="F655" s="332">
        <v>-7</v>
      </c>
      <c r="G655" s="332">
        <v>-27</v>
      </c>
      <c r="H655" s="332">
        <v>-6.1000000000000005</v>
      </c>
      <c r="I655" s="333">
        <v>0.69000000000000006</v>
      </c>
      <c r="J655" s="333">
        <v>2.06</v>
      </c>
      <c r="K655" s="332">
        <v>30.1</v>
      </c>
      <c r="L655" s="332">
        <v>0.1</v>
      </c>
      <c r="M655" s="332" t="s">
        <v>352</v>
      </c>
      <c r="N655" s="332">
        <v>2004</v>
      </c>
      <c r="O655" s="332" t="s">
        <v>69</v>
      </c>
      <c r="P655" s="332">
        <v>481911</v>
      </c>
      <c r="Q655" s="335" t="s">
        <v>556</v>
      </c>
      <c r="R655" s="335" t="s">
        <v>1110</v>
      </c>
      <c r="S655" s="335"/>
    </row>
    <row r="656" spans="1:19" x14ac:dyDescent="0.2">
      <c r="A656" s="335" t="s">
        <v>830</v>
      </c>
      <c r="B656" s="332">
        <v>-17</v>
      </c>
      <c r="C656" s="332">
        <v>-11</v>
      </c>
      <c r="D656" s="332">
        <v>-13</v>
      </c>
      <c r="E656" s="332">
        <v>3</v>
      </c>
      <c r="F656" s="332">
        <v>-19</v>
      </c>
      <c r="G656" s="332">
        <v>-3</v>
      </c>
      <c r="H656" s="332">
        <v>-0.70000000000000007</v>
      </c>
      <c r="I656" s="333">
        <v>0.69000000000000006</v>
      </c>
      <c r="J656" s="333">
        <v>2.06</v>
      </c>
      <c r="K656" s="332">
        <v>20.2</v>
      </c>
      <c r="L656" s="332">
        <v>-0.2</v>
      </c>
      <c r="M656" s="332" t="s">
        <v>352</v>
      </c>
      <c r="N656" s="332">
        <v>2004</v>
      </c>
      <c r="O656" s="332" t="s">
        <v>69</v>
      </c>
      <c r="P656" s="332">
        <v>517748</v>
      </c>
      <c r="Q656" s="335" t="s">
        <v>556</v>
      </c>
      <c r="R656" s="335" t="s">
        <v>1110</v>
      </c>
      <c r="S656" s="335"/>
    </row>
    <row r="657" spans="1:19" x14ac:dyDescent="0.2">
      <c r="A657" s="335" t="s">
        <v>767</v>
      </c>
      <c r="B657" s="332">
        <v>9</v>
      </c>
      <c r="C657" s="332">
        <v>4</v>
      </c>
      <c r="D657" s="332">
        <v>9</v>
      </c>
      <c r="E657" s="332">
        <v>19</v>
      </c>
      <c r="F657" s="332"/>
      <c r="G657" s="332"/>
      <c r="H657" s="332"/>
      <c r="I657" s="333">
        <v>0.35000000000000003</v>
      </c>
      <c r="J657" s="333">
        <v>1.55</v>
      </c>
      <c r="K657" s="332"/>
      <c r="L657" s="332"/>
      <c r="M657" s="332" t="s">
        <v>157</v>
      </c>
      <c r="N657" s="332">
        <v>2014</v>
      </c>
      <c r="O657" s="332" t="s">
        <v>158</v>
      </c>
      <c r="P657" s="332">
        <v>687509</v>
      </c>
      <c r="Q657" s="335" t="s">
        <v>198</v>
      </c>
      <c r="R657" s="335" t="s">
        <v>1110</v>
      </c>
      <c r="S657" s="335" t="s">
        <v>166</v>
      </c>
    </row>
    <row r="658" spans="1:19" x14ac:dyDescent="0.2">
      <c r="A658" s="335" t="s">
        <v>714</v>
      </c>
      <c r="B658" s="332">
        <v>5</v>
      </c>
      <c r="C658" s="332">
        <v>0</v>
      </c>
      <c r="D658" s="332">
        <v>7</v>
      </c>
      <c r="E658" s="332">
        <v>20</v>
      </c>
      <c r="F658" s="332">
        <v>38</v>
      </c>
      <c r="G658" s="332">
        <v>84</v>
      </c>
      <c r="H658" s="332">
        <v>13</v>
      </c>
      <c r="I658" s="333">
        <v>0.81</v>
      </c>
      <c r="J658" s="333">
        <v>2.72</v>
      </c>
      <c r="K658" s="332">
        <v>16.899999999999999</v>
      </c>
      <c r="L658" s="332">
        <v>0.70000000000000007</v>
      </c>
      <c r="M658" s="332" t="s">
        <v>352</v>
      </c>
      <c r="N658" s="332">
        <v>2010</v>
      </c>
      <c r="O658" s="332" t="s">
        <v>69</v>
      </c>
      <c r="P658" s="332">
        <v>755033</v>
      </c>
      <c r="Q658" s="335" t="s">
        <v>1013</v>
      </c>
      <c r="R658" s="335" t="s">
        <v>1110</v>
      </c>
      <c r="S658" s="335" t="s">
        <v>166</v>
      </c>
    </row>
    <row r="659" spans="1:19" x14ac:dyDescent="0.2">
      <c r="A659" s="335" t="s">
        <v>995</v>
      </c>
      <c r="B659" s="332">
        <v>4</v>
      </c>
      <c r="C659" s="332">
        <v>-2</v>
      </c>
      <c r="D659" s="332">
        <v>3</v>
      </c>
      <c r="E659" s="332">
        <v>3</v>
      </c>
      <c r="F659" s="332"/>
      <c r="G659" s="332"/>
      <c r="H659" s="332"/>
      <c r="I659" s="333">
        <v>0.31</v>
      </c>
      <c r="J659" s="333">
        <v>0.6</v>
      </c>
      <c r="K659" s="332"/>
      <c r="L659" s="332"/>
      <c r="M659" s="332" t="s">
        <v>157</v>
      </c>
      <c r="N659" s="332">
        <v>2016</v>
      </c>
      <c r="O659" s="332" t="s">
        <v>158</v>
      </c>
      <c r="P659" s="332">
        <v>840504</v>
      </c>
      <c r="Q659" s="335" t="s">
        <v>859</v>
      </c>
      <c r="R659" s="335" t="s">
        <v>1110</v>
      </c>
      <c r="S659" s="335"/>
    </row>
    <row r="660" spans="1:19" x14ac:dyDescent="0.2">
      <c r="A660" s="335" t="s">
        <v>717</v>
      </c>
      <c r="B660" s="332">
        <v>11</v>
      </c>
      <c r="C660" s="332">
        <v>4</v>
      </c>
      <c r="D660" s="332">
        <v>11</v>
      </c>
      <c r="E660" s="332">
        <v>23</v>
      </c>
      <c r="F660" s="332">
        <v>24</v>
      </c>
      <c r="G660" s="332">
        <v>72</v>
      </c>
      <c r="H660" s="332">
        <v>11.4</v>
      </c>
      <c r="I660" s="333">
        <v>0.81</v>
      </c>
      <c r="J660" s="333">
        <v>2.72</v>
      </c>
      <c r="K660" s="332">
        <v>16.2</v>
      </c>
      <c r="L660" s="332">
        <v>0.5</v>
      </c>
      <c r="M660" s="332" t="s">
        <v>352</v>
      </c>
      <c r="N660" s="332">
        <v>2007</v>
      </c>
      <c r="O660" s="332" t="s">
        <v>69</v>
      </c>
      <c r="P660" s="332">
        <v>887497</v>
      </c>
      <c r="Q660" s="335" t="s">
        <v>1013</v>
      </c>
      <c r="R660" s="335" t="s">
        <v>1110</v>
      </c>
      <c r="S660" s="335" t="s">
        <v>166</v>
      </c>
    </row>
    <row r="661" spans="1:19" x14ac:dyDescent="0.2">
      <c r="A661" s="335" t="s">
        <v>1121</v>
      </c>
      <c r="B661" s="332">
        <v>-3</v>
      </c>
      <c r="C661" s="332">
        <v>-5</v>
      </c>
      <c r="D661" s="332">
        <v>-1</v>
      </c>
      <c r="E661" s="332">
        <v>13</v>
      </c>
      <c r="F661" s="332">
        <v>18</v>
      </c>
      <c r="G661" s="332">
        <v>21</v>
      </c>
      <c r="H661" s="332">
        <v>4</v>
      </c>
      <c r="I661" s="333">
        <v>0.76</v>
      </c>
      <c r="J661" s="333">
        <v>2.2800000000000002</v>
      </c>
      <c r="K661" s="332">
        <v>23.7</v>
      </c>
      <c r="L661" s="332">
        <v>0.4</v>
      </c>
      <c r="M661" s="332" t="s">
        <v>352</v>
      </c>
      <c r="N661" s="332">
        <v>2011</v>
      </c>
      <c r="O661" s="332" t="s">
        <v>69</v>
      </c>
      <c r="P661" s="332">
        <v>918367</v>
      </c>
      <c r="Q661" s="335" t="s">
        <v>775</v>
      </c>
      <c r="R661" s="335" t="s">
        <v>1110</v>
      </c>
      <c r="S661" s="335"/>
    </row>
    <row r="662" spans="1:19" x14ac:dyDescent="0.2">
      <c r="A662" s="335" t="s">
        <v>378</v>
      </c>
      <c r="B662" s="332">
        <v>14</v>
      </c>
      <c r="C662" s="332">
        <v>6</v>
      </c>
      <c r="D662" s="332">
        <v>7</v>
      </c>
      <c r="E662" s="332">
        <v>29</v>
      </c>
      <c r="F662" s="332">
        <v>56</v>
      </c>
      <c r="G662" s="332">
        <v>80</v>
      </c>
      <c r="H662" s="332">
        <v>12.4</v>
      </c>
      <c r="I662" s="333">
        <v>0.35000000000000003</v>
      </c>
      <c r="J662" s="333">
        <v>1.85</v>
      </c>
      <c r="K662" s="332">
        <v>17.7</v>
      </c>
      <c r="L662" s="332">
        <v>0.9</v>
      </c>
      <c r="M662" s="332" t="s">
        <v>157</v>
      </c>
      <c r="N662" s="332">
        <v>2007</v>
      </c>
      <c r="O662" s="332" t="s">
        <v>69</v>
      </c>
      <c r="P662" s="332">
        <v>653097</v>
      </c>
      <c r="Q662" s="335" t="s">
        <v>195</v>
      </c>
      <c r="R662" s="335" t="s">
        <v>350</v>
      </c>
      <c r="S662" s="335" t="s">
        <v>166</v>
      </c>
    </row>
    <row r="663" spans="1:19" x14ac:dyDescent="0.2">
      <c r="A663" s="335" t="s">
        <v>308</v>
      </c>
      <c r="B663" s="332">
        <v>2</v>
      </c>
      <c r="C663" s="332">
        <v>-3</v>
      </c>
      <c r="D663" s="332">
        <v>2</v>
      </c>
      <c r="E663" s="332">
        <v>19</v>
      </c>
      <c r="F663" s="332">
        <v>59</v>
      </c>
      <c r="G663" s="332">
        <v>116</v>
      </c>
      <c r="H663" s="332">
        <v>16.7</v>
      </c>
      <c r="I663" s="333">
        <v>0.25</v>
      </c>
      <c r="J663" s="333">
        <v>1</v>
      </c>
      <c r="K663" s="332">
        <v>13.9</v>
      </c>
      <c r="L663" s="332">
        <v>1.2</v>
      </c>
      <c r="M663" s="332" t="s">
        <v>157</v>
      </c>
      <c r="N663" s="332">
        <v>2013</v>
      </c>
      <c r="O663" s="332" t="s">
        <v>69</v>
      </c>
      <c r="P663" s="332">
        <v>182287</v>
      </c>
      <c r="Q663" s="335" t="s">
        <v>195</v>
      </c>
      <c r="R663" s="335" t="s">
        <v>1112</v>
      </c>
      <c r="S663" s="335" t="s">
        <v>166</v>
      </c>
    </row>
    <row r="664" spans="1:19" x14ac:dyDescent="0.2">
      <c r="A664" s="335" t="s">
        <v>379</v>
      </c>
      <c r="B664" s="332">
        <v>15</v>
      </c>
      <c r="C664" s="332">
        <v>5</v>
      </c>
      <c r="D664" s="332">
        <v>17</v>
      </c>
      <c r="E664" s="332">
        <v>6</v>
      </c>
      <c r="F664" s="332">
        <v>8</v>
      </c>
      <c r="G664" s="332">
        <v>23</v>
      </c>
      <c r="H664" s="332">
        <v>4.2</v>
      </c>
      <c r="I664" s="333">
        <v>0.36</v>
      </c>
      <c r="J664" s="333">
        <v>1.87</v>
      </c>
      <c r="K664" s="332">
        <v>16.3</v>
      </c>
      <c r="L664" s="332">
        <v>0.2</v>
      </c>
      <c r="M664" s="332" t="s">
        <v>157</v>
      </c>
      <c r="N664" s="332">
        <v>2008</v>
      </c>
      <c r="O664" s="332" t="s">
        <v>69</v>
      </c>
      <c r="P664" s="332">
        <v>167239</v>
      </c>
      <c r="Q664" s="335" t="s">
        <v>195</v>
      </c>
      <c r="R664" s="335" t="s">
        <v>302</v>
      </c>
      <c r="S664" s="335" t="s">
        <v>166</v>
      </c>
    </row>
    <row r="665" spans="1:19" x14ac:dyDescent="0.2">
      <c r="A665" s="335" t="s">
        <v>238</v>
      </c>
      <c r="B665" s="332">
        <v>1</v>
      </c>
      <c r="C665" s="332">
        <v>0</v>
      </c>
      <c r="D665" s="332">
        <v>1</v>
      </c>
      <c r="E665" s="332">
        <v>3</v>
      </c>
      <c r="F665" s="332">
        <v>13</v>
      </c>
      <c r="G665" s="332">
        <v>11</v>
      </c>
      <c r="H665" s="332">
        <v>2.1</v>
      </c>
      <c r="I665" s="333">
        <v>0.17</v>
      </c>
      <c r="J665" s="333">
        <v>0.65</v>
      </c>
      <c r="K665" s="332">
        <v>4.8</v>
      </c>
      <c r="L665" s="332">
        <v>0.9</v>
      </c>
      <c r="M665" s="332" t="s">
        <v>157</v>
      </c>
      <c r="N665" s="332">
        <v>2008</v>
      </c>
      <c r="O665" s="332" t="s">
        <v>69</v>
      </c>
      <c r="P665" s="332">
        <v>131409</v>
      </c>
      <c r="Q665" s="335" t="s">
        <v>195</v>
      </c>
      <c r="R665" s="335" t="s">
        <v>1105</v>
      </c>
      <c r="S665" s="335" t="s">
        <v>166</v>
      </c>
    </row>
    <row r="666" spans="1:19" x14ac:dyDescent="0.2">
      <c r="A666" s="335" t="s">
        <v>380</v>
      </c>
      <c r="B666" s="332">
        <v>-7</v>
      </c>
      <c r="C666" s="332">
        <v>-4</v>
      </c>
      <c r="D666" s="332">
        <v>2</v>
      </c>
      <c r="E666" s="332">
        <v>31</v>
      </c>
      <c r="F666" s="332">
        <v>21</v>
      </c>
      <c r="G666" s="332">
        <v>21</v>
      </c>
      <c r="H666" s="332">
        <v>3.9</v>
      </c>
      <c r="I666" s="333">
        <v>0.35000000000000003</v>
      </c>
      <c r="J666" s="333">
        <v>1.85</v>
      </c>
      <c r="K666" s="332">
        <v>23.6</v>
      </c>
      <c r="L666" s="332">
        <v>0.4</v>
      </c>
      <c r="M666" s="332" t="s">
        <v>157</v>
      </c>
      <c r="N666" s="332">
        <v>2007</v>
      </c>
      <c r="O666" s="332" t="s">
        <v>69</v>
      </c>
      <c r="P666" s="332">
        <v>433862</v>
      </c>
      <c r="Q666" s="335" t="s">
        <v>195</v>
      </c>
      <c r="R666" s="335" t="s">
        <v>381</v>
      </c>
      <c r="S666" s="335" t="s">
        <v>166</v>
      </c>
    </row>
    <row r="667" spans="1:19" x14ac:dyDescent="0.2">
      <c r="A667" s="335" t="s">
        <v>357</v>
      </c>
      <c r="B667" s="332">
        <v>16</v>
      </c>
      <c r="C667" s="332">
        <v>9</v>
      </c>
      <c r="D667" s="332">
        <v>21</v>
      </c>
      <c r="E667" s="332">
        <v>34</v>
      </c>
      <c r="F667" s="332">
        <v>70</v>
      </c>
      <c r="G667" s="332">
        <v>156</v>
      </c>
      <c r="H667" s="332">
        <v>20.7</v>
      </c>
      <c r="I667" s="333">
        <v>0.33</v>
      </c>
      <c r="J667" s="333">
        <v>1.62</v>
      </c>
      <c r="K667" s="332">
        <v>12.8</v>
      </c>
      <c r="L667" s="332">
        <v>1.5</v>
      </c>
      <c r="M667" s="332" t="s">
        <v>157</v>
      </c>
      <c r="N667" s="332">
        <v>2007</v>
      </c>
      <c r="O667" s="332" t="s">
        <v>69</v>
      </c>
      <c r="P667" s="332">
        <v>286294</v>
      </c>
      <c r="Q667" s="335" t="s">
        <v>195</v>
      </c>
      <c r="R667" s="335" t="s">
        <v>325</v>
      </c>
      <c r="S667" s="335" t="s">
        <v>166</v>
      </c>
    </row>
    <row r="668" spans="1:19" x14ac:dyDescent="0.2">
      <c r="A668" s="335" t="s">
        <v>226</v>
      </c>
      <c r="B668" s="332">
        <v>2</v>
      </c>
      <c r="C668" s="332">
        <v>1</v>
      </c>
      <c r="D668" s="332">
        <v>2</v>
      </c>
      <c r="E668" s="332">
        <v>2</v>
      </c>
      <c r="F668" s="332">
        <v>8</v>
      </c>
      <c r="G668" s="332">
        <v>19</v>
      </c>
      <c r="H668" s="332">
        <v>3.5</v>
      </c>
      <c r="I668" s="333">
        <v>0.17</v>
      </c>
      <c r="J668" s="333">
        <v>0.70000000000000007</v>
      </c>
      <c r="K668" s="332">
        <v>2.2000000000000002</v>
      </c>
      <c r="L668" s="332">
        <v>1.2</v>
      </c>
      <c r="M668" s="332" t="s">
        <v>157</v>
      </c>
      <c r="N668" s="332">
        <v>2013</v>
      </c>
      <c r="O668" s="332" t="s">
        <v>69</v>
      </c>
      <c r="P668" s="332">
        <v>840090</v>
      </c>
      <c r="Q668" s="335" t="s">
        <v>195</v>
      </c>
      <c r="R668" s="335" t="s">
        <v>1098</v>
      </c>
      <c r="S668" s="335" t="s">
        <v>166</v>
      </c>
    </row>
    <row r="669" spans="1:19" x14ac:dyDescent="0.2">
      <c r="A669" s="335" t="s">
        <v>403</v>
      </c>
      <c r="B669" s="332">
        <v>9</v>
      </c>
      <c r="C669" s="332">
        <v>1</v>
      </c>
      <c r="D669" s="332">
        <v>9</v>
      </c>
      <c r="E669" s="332">
        <v>32</v>
      </c>
      <c r="F669" s="332">
        <v>30</v>
      </c>
      <c r="G669" s="332">
        <v>50</v>
      </c>
      <c r="H669" s="332">
        <v>8.5</v>
      </c>
      <c r="I669" s="333">
        <v>0.37</v>
      </c>
      <c r="J669" s="333">
        <v>1.99</v>
      </c>
      <c r="K669" s="332">
        <v>15.5</v>
      </c>
      <c r="L669" s="332">
        <v>0.6</v>
      </c>
      <c r="M669" s="332" t="s">
        <v>157</v>
      </c>
      <c r="N669" s="332">
        <v>2008</v>
      </c>
      <c r="O669" s="332" t="s">
        <v>69</v>
      </c>
      <c r="P669" s="332">
        <v>995571</v>
      </c>
      <c r="Q669" s="335" t="s">
        <v>195</v>
      </c>
      <c r="R669" s="335" t="s">
        <v>302</v>
      </c>
      <c r="S669" s="335" t="s">
        <v>166</v>
      </c>
    </row>
    <row r="670" spans="1:19" x14ac:dyDescent="0.2">
      <c r="A670" s="335" t="s">
        <v>250</v>
      </c>
      <c r="B670" s="332">
        <v>2</v>
      </c>
      <c r="C670" s="332">
        <v>1</v>
      </c>
      <c r="D670" s="332">
        <v>2</v>
      </c>
      <c r="E670" s="332">
        <v>4</v>
      </c>
      <c r="F670" s="332">
        <v>12</v>
      </c>
      <c r="G670" s="332">
        <v>36</v>
      </c>
      <c r="H670" s="332">
        <v>6.3</v>
      </c>
      <c r="I670" s="333">
        <v>0.19</v>
      </c>
      <c r="J670" s="333">
        <v>0.5</v>
      </c>
      <c r="K670" s="332">
        <v>3.5</v>
      </c>
      <c r="L670" s="332">
        <v>1.2</v>
      </c>
      <c r="M670" s="332" t="s">
        <v>157</v>
      </c>
      <c r="N670" s="332">
        <v>2000</v>
      </c>
      <c r="O670" s="332" t="s">
        <v>158</v>
      </c>
      <c r="P670" s="332">
        <v>466805</v>
      </c>
      <c r="Q670" s="335" t="s">
        <v>195</v>
      </c>
      <c r="R670" s="335" t="s">
        <v>163</v>
      </c>
      <c r="S670" s="335" t="s">
        <v>166</v>
      </c>
    </row>
    <row r="671" spans="1:19" x14ac:dyDescent="0.2">
      <c r="A671" s="335" t="s">
        <v>251</v>
      </c>
      <c r="B671" s="332">
        <v>4</v>
      </c>
      <c r="C671" s="332">
        <v>1</v>
      </c>
      <c r="D671" s="332">
        <v>5</v>
      </c>
      <c r="E671" s="332">
        <v>12</v>
      </c>
      <c r="F671" s="332">
        <v>27</v>
      </c>
      <c r="G671" s="332">
        <v>68</v>
      </c>
      <c r="H671" s="332">
        <v>11</v>
      </c>
      <c r="I671" s="333">
        <v>0.19</v>
      </c>
      <c r="J671" s="333">
        <v>0.51</v>
      </c>
      <c r="K671" s="332">
        <v>7.8</v>
      </c>
      <c r="L671" s="332">
        <v>1.1000000000000001</v>
      </c>
      <c r="M671" s="332" t="s">
        <v>157</v>
      </c>
      <c r="N671" s="332">
        <v>2000</v>
      </c>
      <c r="O671" s="332" t="s">
        <v>158</v>
      </c>
      <c r="P671" s="332">
        <v>430975</v>
      </c>
      <c r="Q671" s="335" t="s">
        <v>195</v>
      </c>
      <c r="R671" s="335" t="s">
        <v>163</v>
      </c>
      <c r="S671" s="335" t="s">
        <v>166</v>
      </c>
    </row>
    <row r="672" spans="1:19" x14ac:dyDescent="0.2">
      <c r="A672" s="335" t="s">
        <v>133</v>
      </c>
      <c r="B672" s="332">
        <v>7</v>
      </c>
      <c r="C672" s="332">
        <v>2</v>
      </c>
      <c r="D672" s="332">
        <v>8</v>
      </c>
      <c r="E672" s="332">
        <v>21</v>
      </c>
      <c r="F672" s="332">
        <v>42</v>
      </c>
      <c r="G672" s="332">
        <v>92</v>
      </c>
      <c r="H672" s="332">
        <v>13.9</v>
      </c>
      <c r="I672" s="333">
        <v>0.19</v>
      </c>
      <c r="J672" s="333">
        <v>0.51</v>
      </c>
      <c r="K672" s="332">
        <v>11.5</v>
      </c>
      <c r="L672" s="332">
        <v>1.1000000000000001</v>
      </c>
      <c r="M672" s="332" t="s">
        <v>157</v>
      </c>
      <c r="N672" s="332">
        <v>2000</v>
      </c>
      <c r="O672" s="332" t="s">
        <v>158</v>
      </c>
      <c r="P672" s="332">
        <v>359315</v>
      </c>
      <c r="Q672" s="335" t="s">
        <v>195</v>
      </c>
      <c r="R672" s="335" t="s">
        <v>1087</v>
      </c>
      <c r="S672" s="335" t="s">
        <v>166</v>
      </c>
    </row>
    <row r="673" spans="1:19" x14ac:dyDescent="0.2">
      <c r="A673" s="335" t="s">
        <v>254</v>
      </c>
      <c r="B673" s="332">
        <v>7</v>
      </c>
      <c r="C673" s="332">
        <v>2</v>
      </c>
      <c r="D673" s="332">
        <v>8</v>
      </c>
      <c r="E673" s="332">
        <v>21</v>
      </c>
      <c r="F673" s="332">
        <v>42</v>
      </c>
      <c r="G673" s="332">
        <v>92</v>
      </c>
      <c r="H673" s="332">
        <v>13.9</v>
      </c>
      <c r="I673" s="333">
        <v>0.19</v>
      </c>
      <c r="J673" s="333">
        <v>0.51</v>
      </c>
      <c r="K673" s="332">
        <v>11.5</v>
      </c>
      <c r="L673" s="332">
        <v>1.1000000000000001</v>
      </c>
      <c r="M673" s="332" t="s">
        <v>157</v>
      </c>
      <c r="N673" s="332">
        <v>2000</v>
      </c>
      <c r="O673" s="332" t="s">
        <v>158</v>
      </c>
      <c r="P673" s="332">
        <v>287656</v>
      </c>
      <c r="Q673" s="335" t="s">
        <v>195</v>
      </c>
      <c r="R673" s="335" t="s">
        <v>1087</v>
      </c>
      <c r="S673" s="335" t="s">
        <v>166</v>
      </c>
    </row>
    <row r="674" spans="1:19" x14ac:dyDescent="0.2">
      <c r="A674" s="335" t="s">
        <v>255</v>
      </c>
      <c r="B674" s="332">
        <v>7</v>
      </c>
      <c r="C674" s="332">
        <v>2</v>
      </c>
      <c r="D674" s="332">
        <v>8</v>
      </c>
      <c r="E674" s="332">
        <v>21</v>
      </c>
      <c r="F674" s="332">
        <v>42</v>
      </c>
      <c r="G674" s="332">
        <v>92</v>
      </c>
      <c r="H674" s="332">
        <v>13.9</v>
      </c>
      <c r="I674" s="333">
        <v>0.19</v>
      </c>
      <c r="J674" s="333">
        <v>0.51</v>
      </c>
      <c r="K674" s="332">
        <v>11.5</v>
      </c>
      <c r="L674" s="332">
        <v>1.1000000000000001</v>
      </c>
      <c r="M674" s="332" t="s">
        <v>157</v>
      </c>
      <c r="N674" s="332">
        <v>2000</v>
      </c>
      <c r="O674" s="332" t="s">
        <v>158</v>
      </c>
      <c r="P674" s="332">
        <v>215996</v>
      </c>
      <c r="Q674" s="335" t="s">
        <v>195</v>
      </c>
      <c r="R674" s="335" t="s">
        <v>1087</v>
      </c>
      <c r="S674" s="335" t="s">
        <v>166</v>
      </c>
    </row>
    <row r="675" spans="1:19" x14ac:dyDescent="0.2">
      <c r="A675" s="335" t="s">
        <v>256</v>
      </c>
      <c r="B675" s="332">
        <v>6</v>
      </c>
      <c r="C675" s="332">
        <v>2</v>
      </c>
      <c r="D675" s="332">
        <v>7</v>
      </c>
      <c r="E675" s="332">
        <v>20</v>
      </c>
      <c r="F675" s="332">
        <v>41</v>
      </c>
      <c r="G675" s="332"/>
      <c r="H675" s="332"/>
      <c r="I675" s="333">
        <v>0.2</v>
      </c>
      <c r="J675" s="333">
        <v>0.52</v>
      </c>
      <c r="K675" s="332">
        <v>11.3</v>
      </c>
      <c r="L675" s="332">
        <v>1.1000000000000001</v>
      </c>
      <c r="M675" s="332" t="s">
        <v>157</v>
      </c>
      <c r="N675" s="332">
        <v>2014</v>
      </c>
      <c r="O675" s="332" t="s">
        <v>158</v>
      </c>
      <c r="P675" s="332">
        <v>596429</v>
      </c>
      <c r="Q675" s="335" t="s">
        <v>195</v>
      </c>
      <c r="R675" s="335" t="s">
        <v>1087</v>
      </c>
      <c r="S675" s="335" t="s">
        <v>166</v>
      </c>
    </row>
    <row r="676" spans="1:19" x14ac:dyDescent="0.2">
      <c r="A676" s="335" t="s">
        <v>659</v>
      </c>
      <c r="B676" s="332">
        <v>4</v>
      </c>
      <c r="C676" s="332">
        <v>0</v>
      </c>
      <c r="D676" s="332">
        <v>6</v>
      </c>
      <c r="E676" s="332">
        <v>19</v>
      </c>
      <c r="F676" s="332">
        <v>20</v>
      </c>
      <c r="G676" s="332">
        <v>41</v>
      </c>
      <c r="H676" s="332">
        <v>7.2</v>
      </c>
      <c r="I676" s="333">
        <v>0.79</v>
      </c>
      <c r="J676" s="333">
        <v>2.08</v>
      </c>
      <c r="K676" s="332">
        <v>11.9</v>
      </c>
      <c r="L676" s="332">
        <v>0.6</v>
      </c>
      <c r="M676" s="332" t="s">
        <v>157</v>
      </c>
      <c r="N676" s="332">
        <v>2006</v>
      </c>
      <c r="O676" s="332" t="s">
        <v>158</v>
      </c>
      <c r="P676" s="332">
        <v>602094</v>
      </c>
      <c r="Q676" s="335" t="s">
        <v>188</v>
      </c>
      <c r="R676" s="335" t="s">
        <v>1113</v>
      </c>
      <c r="S676" s="335" t="s">
        <v>166</v>
      </c>
    </row>
    <row r="677" spans="1:19" x14ac:dyDescent="0.2">
      <c r="A677" s="335" t="s">
        <v>489</v>
      </c>
      <c r="B677" s="332">
        <v>17</v>
      </c>
      <c r="C677" s="332">
        <v>8</v>
      </c>
      <c r="D677" s="332">
        <v>13</v>
      </c>
      <c r="E677" s="332">
        <v>31</v>
      </c>
      <c r="F677" s="332">
        <v>45</v>
      </c>
      <c r="G677" s="332">
        <v>59</v>
      </c>
      <c r="H677" s="332">
        <v>9.7000000000000011</v>
      </c>
      <c r="I677" s="333">
        <v>0.5</v>
      </c>
      <c r="J677" s="333">
        <v>1.79</v>
      </c>
      <c r="K677" s="332">
        <v>14.200000000000001</v>
      </c>
      <c r="L677" s="332">
        <v>1</v>
      </c>
      <c r="M677" s="332" t="s">
        <v>157</v>
      </c>
      <c r="N677" s="332">
        <v>2000</v>
      </c>
      <c r="O677" s="332" t="s">
        <v>158</v>
      </c>
      <c r="P677" s="332">
        <v>618629</v>
      </c>
      <c r="Q677" s="335" t="s">
        <v>230</v>
      </c>
      <c r="R677" s="335" t="s">
        <v>1113</v>
      </c>
      <c r="S677" s="335" t="s">
        <v>166</v>
      </c>
    </row>
    <row r="678" spans="1:19" x14ac:dyDescent="0.2">
      <c r="A678" s="335" t="s">
        <v>341</v>
      </c>
      <c r="B678" s="332">
        <v>6</v>
      </c>
      <c r="C678" s="332">
        <v>-2</v>
      </c>
      <c r="D678" s="332">
        <v>4</v>
      </c>
      <c r="E678" s="332">
        <v>20</v>
      </c>
      <c r="F678" s="332">
        <v>31</v>
      </c>
      <c r="G678" s="332">
        <v>70</v>
      </c>
      <c r="H678" s="332">
        <v>11.3</v>
      </c>
      <c r="I678" s="333">
        <v>0.27</v>
      </c>
      <c r="J678" s="333">
        <v>0.69000000000000006</v>
      </c>
      <c r="K678" s="332">
        <v>16</v>
      </c>
      <c r="L678" s="332">
        <v>0.70000000000000007</v>
      </c>
      <c r="M678" s="332" t="s">
        <v>157</v>
      </c>
      <c r="N678" s="332">
        <v>2000</v>
      </c>
      <c r="O678" s="332" t="s">
        <v>158</v>
      </c>
      <c r="P678" s="332">
        <v>642298</v>
      </c>
      <c r="Q678" s="335" t="s">
        <v>170</v>
      </c>
      <c r="R678" s="335" t="s">
        <v>1113</v>
      </c>
      <c r="S678" s="335" t="s">
        <v>166</v>
      </c>
    </row>
    <row r="679" spans="1:19" x14ac:dyDescent="0.2">
      <c r="A679" s="335" t="s">
        <v>499</v>
      </c>
      <c r="B679" s="332">
        <v>1</v>
      </c>
      <c r="C679" s="332">
        <v>-1</v>
      </c>
      <c r="D679" s="332">
        <v>3</v>
      </c>
      <c r="E679" s="332">
        <v>6</v>
      </c>
      <c r="F679" s="332">
        <v>32</v>
      </c>
      <c r="G679" s="332">
        <v>69</v>
      </c>
      <c r="H679" s="332">
        <v>11</v>
      </c>
      <c r="I679" s="333">
        <v>0.89</v>
      </c>
      <c r="J679" s="333">
        <v>2.8000000000000003</v>
      </c>
      <c r="K679" s="332">
        <v>14</v>
      </c>
      <c r="L679" s="332">
        <v>0.70000000000000007</v>
      </c>
      <c r="M679" s="332" t="s">
        <v>352</v>
      </c>
      <c r="N679" s="332">
        <v>2007</v>
      </c>
      <c r="O679" s="332" t="s">
        <v>69</v>
      </c>
      <c r="P679" s="332">
        <v>136895</v>
      </c>
      <c r="Q679" s="335" t="s">
        <v>465</v>
      </c>
      <c r="R679" s="335" t="s">
        <v>1114</v>
      </c>
      <c r="S679" s="335"/>
    </row>
    <row r="680" spans="1:19" x14ac:dyDescent="0.2">
      <c r="A680" s="335" t="s">
        <v>802</v>
      </c>
      <c r="B680" s="332">
        <v>11</v>
      </c>
      <c r="C680" s="332">
        <v>6</v>
      </c>
      <c r="D680" s="332">
        <v>12</v>
      </c>
      <c r="E680" s="332">
        <v>15</v>
      </c>
      <c r="F680" s="332"/>
      <c r="G680" s="332"/>
      <c r="H680" s="332"/>
      <c r="I680" s="333">
        <v>0.42</v>
      </c>
      <c r="J680" s="333">
        <v>1.02</v>
      </c>
      <c r="K680" s="332"/>
      <c r="L680" s="332"/>
      <c r="M680" s="332" t="s">
        <v>157</v>
      </c>
      <c r="N680" s="332">
        <v>2015</v>
      </c>
      <c r="O680" s="332" t="s">
        <v>158</v>
      </c>
      <c r="P680" s="332">
        <v>171306</v>
      </c>
      <c r="Q680" s="335" t="s">
        <v>159</v>
      </c>
      <c r="R680" s="335" t="s">
        <v>1114</v>
      </c>
      <c r="S680" s="335"/>
    </row>
    <row r="681" spans="1:19" x14ac:dyDescent="0.2">
      <c r="A681" s="335" t="s">
        <v>20</v>
      </c>
      <c r="B681" s="332">
        <v>9</v>
      </c>
      <c r="C681" s="332">
        <v>7</v>
      </c>
      <c r="D681" s="332">
        <v>9</v>
      </c>
      <c r="E681" s="332">
        <v>14</v>
      </c>
      <c r="F681" s="332">
        <v>71</v>
      </c>
      <c r="G681" s="332">
        <v>179</v>
      </c>
      <c r="H681" s="332">
        <v>22.8</v>
      </c>
      <c r="I681" s="333">
        <v>0.34</v>
      </c>
      <c r="J681" s="333">
        <v>1.43</v>
      </c>
      <c r="K681" s="332">
        <v>17.600000000000001</v>
      </c>
      <c r="L681" s="332">
        <v>1.1000000000000001</v>
      </c>
      <c r="M681" s="332" t="s">
        <v>157</v>
      </c>
      <c r="N681" s="332">
        <v>2001</v>
      </c>
      <c r="O681" s="332" t="s">
        <v>158</v>
      </c>
      <c r="P681" s="332">
        <v>313742</v>
      </c>
      <c r="Q681" s="335" t="s">
        <v>177</v>
      </c>
      <c r="R681" s="335" t="s">
        <v>1114</v>
      </c>
      <c r="S681" s="335" t="s">
        <v>166</v>
      </c>
    </row>
    <row r="682" spans="1:19" x14ac:dyDescent="0.2">
      <c r="A682" s="335" t="s">
        <v>569</v>
      </c>
      <c r="B682" s="332">
        <v>7</v>
      </c>
      <c r="C682" s="332">
        <v>6</v>
      </c>
      <c r="D682" s="332">
        <v>7</v>
      </c>
      <c r="E682" s="332">
        <v>12</v>
      </c>
      <c r="F682" s="332">
        <v>67</v>
      </c>
      <c r="G682" s="332">
        <v>161</v>
      </c>
      <c r="H682" s="332">
        <v>21.2</v>
      </c>
      <c r="I682" s="333">
        <v>0.67</v>
      </c>
      <c r="J682" s="333">
        <v>1.83</v>
      </c>
      <c r="K682" s="332">
        <v>17.400000000000002</v>
      </c>
      <c r="L682" s="332">
        <v>1.1000000000000001</v>
      </c>
      <c r="M682" s="332" t="s">
        <v>157</v>
      </c>
      <c r="N682" s="332">
        <v>2011</v>
      </c>
      <c r="O682" s="332" t="s">
        <v>158</v>
      </c>
      <c r="P682" s="332">
        <v>320176</v>
      </c>
      <c r="Q682" s="335" t="s">
        <v>233</v>
      </c>
      <c r="R682" s="335" t="s">
        <v>1114</v>
      </c>
      <c r="S682" s="335"/>
    </row>
    <row r="683" spans="1:19" x14ac:dyDescent="0.2">
      <c r="A683" s="335" t="s">
        <v>894</v>
      </c>
      <c r="B683" s="332">
        <v>-6</v>
      </c>
      <c r="C683" s="332">
        <v>-8</v>
      </c>
      <c r="D683" s="332">
        <v>-3</v>
      </c>
      <c r="E683" s="332">
        <v>7</v>
      </c>
      <c r="F683" s="332"/>
      <c r="G683" s="332"/>
      <c r="H683" s="332"/>
      <c r="I683" s="333">
        <v>0.52</v>
      </c>
      <c r="J683" s="333">
        <v>1.2</v>
      </c>
      <c r="K683" s="332"/>
      <c r="L683" s="332"/>
      <c r="M683" s="332" t="s">
        <v>207</v>
      </c>
      <c r="N683" s="332">
        <v>2015</v>
      </c>
      <c r="O683" s="332" t="s">
        <v>69</v>
      </c>
      <c r="P683" s="332">
        <v>369876</v>
      </c>
      <c r="Q683" s="335" t="s">
        <v>805</v>
      </c>
      <c r="R683" s="335" t="s">
        <v>1114</v>
      </c>
      <c r="S683" s="335"/>
    </row>
    <row r="684" spans="1:19" x14ac:dyDescent="0.2">
      <c r="A684" s="335" t="s">
        <v>828</v>
      </c>
      <c r="B684" s="332">
        <v>10</v>
      </c>
      <c r="C684" s="332">
        <v>3</v>
      </c>
      <c r="D684" s="332">
        <v>7</v>
      </c>
      <c r="E684" s="332">
        <v>19</v>
      </c>
      <c r="F684" s="332">
        <v>40</v>
      </c>
      <c r="G684" s="332">
        <v>70</v>
      </c>
      <c r="H684" s="332">
        <v>11.200000000000001</v>
      </c>
      <c r="I684" s="333">
        <v>0.70000000000000007</v>
      </c>
      <c r="J684" s="333">
        <v>1.7</v>
      </c>
      <c r="K684" s="332">
        <v>13.700000000000001</v>
      </c>
      <c r="L684" s="332">
        <v>0.9</v>
      </c>
      <c r="M684" s="332" t="s">
        <v>207</v>
      </c>
      <c r="N684" s="332">
        <v>2015</v>
      </c>
      <c r="O684" s="332" t="s">
        <v>69</v>
      </c>
      <c r="P684" s="332">
        <v>744581</v>
      </c>
      <c r="Q684" s="335" t="s">
        <v>805</v>
      </c>
      <c r="R684" s="335" t="s">
        <v>1114</v>
      </c>
      <c r="S684" s="335"/>
    </row>
    <row r="685" spans="1:19" x14ac:dyDescent="0.2">
      <c r="A685" s="335" t="s">
        <v>809</v>
      </c>
      <c r="B685" s="332">
        <v>12</v>
      </c>
      <c r="C685" s="332">
        <v>10</v>
      </c>
      <c r="D685" s="332">
        <v>13</v>
      </c>
      <c r="E685" s="332">
        <v>16</v>
      </c>
      <c r="F685" s="332">
        <v>40</v>
      </c>
      <c r="G685" s="332">
        <v>90</v>
      </c>
      <c r="H685" s="332">
        <v>13.700000000000001</v>
      </c>
      <c r="I685" s="333">
        <v>0.59</v>
      </c>
      <c r="J685" s="333">
        <v>1.4000000000000001</v>
      </c>
      <c r="K685" s="332">
        <v>10.3</v>
      </c>
      <c r="L685" s="332">
        <v>1.2</v>
      </c>
      <c r="M685" s="332" t="s">
        <v>207</v>
      </c>
      <c r="N685" s="332">
        <v>2015</v>
      </c>
      <c r="O685" s="332" t="s">
        <v>69</v>
      </c>
      <c r="P685" s="332">
        <v>780411</v>
      </c>
      <c r="Q685" s="335" t="s">
        <v>805</v>
      </c>
      <c r="R685" s="335" t="s">
        <v>1114</v>
      </c>
      <c r="S685" s="335"/>
    </row>
    <row r="686" spans="1:19" x14ac:dyDescent="0.2">
      <c r="A686" s="335" t="s">
        <v>368</v>
      </c>
      <c r="B686" s="332">
        <v>5</v>
      </c>
      <c r="C686" s="332">
        <v>-7</v>
      </c>
      <c r="D686" s="332">
        <v>4</v>
      </c>
      <c r="E686" s="332">
        <v>24</v>
      </c>
      <c r="F686" s="332">
        <v>0</v>
      </c>
      <c r="G686" s="332">
        <v>-8</v>
      </c>
      <c r="H686" s="332">
        <v>-1.6</v>
      </c>
      <c r="I686" s="333">
        <v>0.34</v>
      </c>
      <c r="J686" s="333">
        <v>1.75</v>
      </c>
      <c r="K686" s="332">
        <v>21.6</v>
      </c>
      <c r="L686" s="332">
        <v>0.1</v>
      </c>
      <c r="M686" s="332" t="s">
        <v>157</v>
      </c>
      <c r="N686" s="332">
        <v>2008</v>
      </c>
      <c r="O686" s="332" t="s">
        <v>158</v>
      </c>
      <c r="P686" s="332">
        <v>588699</v>
      </c>
      <c r="Q686" s="335" t="s">
        <v>195</v>
      </c>
      <c r="R686" s="335" t="s">
        <v>369</v>
      </c>
      <c r="S686" s="335" t="s">
        <v>166</v>
      </c>
    </row>
    <row r="687" spans="1:19" x14ac:dyDescent="0.2">
      <c r="A687" s="335" t="s">
        <v>1027</v>
      </c>
      <c r="B687" s="332">
        <v>11</v>
      </c>
      <c r="C687" s="332">
        <v>9</v>
      </c>
      <c r="D687" s="332">
        <v>14</v>
      </c>
      <c r="E687" s="332">
        <v>15</v>
      </c>
      <c r="F687" s="332">
        <v>27</v>
      </c>
      <c r="G687" s="332">
        <v>90</v>
      </c>
      <c r="H687" s="332">
        <v>13.700000000000001</v>
      </c>
      <c r="I687" s="333">
        <v>0.31</v>
      </c>
      <c r="J687" s="333">
        <v>1.51</v>
      </c>
      <c r="K687" s="332">
        <v>11.8</v>
      </c>
      <c r="L687" s="332">
        <v>0.8</v>
      </c>
      <c r="M687" s="332" t="s">
        <v>157</v>
      </c>
      <c r="N687" s="332">
        <v>2016</v>
      </c>
      <c r="O687" s="332" t="s">
        <v>69</v>
      </c>
      <c r="P687" s="332">
        <v>861757</v>
      </c>
      <c r="Q687" s="335" t="s">
        <v>195</v>
      </c>
      <c r="R687" s="335" t="s">
        <v>325</v>
      </c>
      <c r="S687" s="335" t="s">
        <v>166</v>
      </c>
    </row>
    <row r="688" spans="1:19" x14ac:dyDescent="0.2">
      <c r="A688" s="335" t="s">
        <v>929</v>
      </c>
      <c r="B688" s="332">
        <v>8</v>
      </c>
      <c r="C688" s="332">
        <v>3</v>
      </c>
      <c r="D688" s="332">
        <v>8</v>
      </c>
      <c r="E688" s="332">
        <v>22</v>
      </c>
      <c r="F688" s="332">
        <v>48</v>
      </c>
      <c r="G688" s="332"/>
      <c r="H688" s="332"/>
      <c r="I688" s="333">
        <v>0.46</v>
      </c>
      <c r="J688" s="333">
        <v>1.59</v>
      </c>
      <c r="K688" s="332">
        <v>13.6</v>
      </c>
      <c r="L688" s="332">
        <v>1</v>
      </c>
      <c r="M688" s="332" t="s">
        <v>157</v>
      </c>
      <c r="N688" s="332">
        <v>2015</v>
      </c>
      <c r="O688" s="332" t="s">
        <v>158</v>
      </c>
      <c r="P688" s="332">
        <v>869073</v>
      </c>
      <c r="Q688" s="335" t="s">
        <v>170</v>
      </c>
      <c r="R688" s="335" t="s">
        <v>185</v>
      </c>
      <c r="S688" s="335"/>
    </row>
    <row r="689" spans="1:19" x14ac:dyDescent="0.2">
      <c r="A689" s="335" t="s">
        <v>924</v>
      </c>
      <c r="B689" s="332">
        <v>8</v>
      </c>
      <c r="C689" s="332">
        <v>2</v>
      </c>
      <c r="D689" s="332">
        <v>8</v>
      </c>
      <c r="E689" s="332">
        <v>23</v>
      </c>
      <c r="F689" s="332">
        <v>44</v>
      </c>
      <c r="G689" s="332">
        <v>110</v>
      </c>
      <c r="H689" s="332">
        <v>15.9</v>
      </c>
      <c r="I689" s="333">
        <v>0.4</v>
      </c>
      <c r="J689" s="333">
        <v>1.29</v>
      </c>
      <c r="K689" s="332">
        <v>13.8</v>
      </c>
      <c r="L689" s="332">
        <v>1</v>
      </c>
      <c r="M689" s="332" t="s">
        <v>157</v>
      </c>
      <c r="N689" s="332">
        <v>2003</v>
      </c>
      <c r="O689" s="332" t="s">
        <v>158</v>
      </c>
      <c r="P689" s="332">
        <v>936781</v>
      </c>
      <c r="Q689" s="335" t="s">
        <v>170</v>
      </c>
      <c r="R689" s="335" t="s">
        <v>185</v>
      </c>
      <c r="S689" s="335"/>
    </row>
    <row r="690" spans="1:19" x14ac:dyDescent="0.2">
      <c r="A690" s="335" t="s">
        <v>1154</v>
      </c>
      <c r="B690" s="332">
        <v>3</v>
      </c>
      <c r="C690" s="332">
        <v>-1</v>
      </c>
      <c r="D690" s="332">
        <v>4</v>
      </c>
      <c r="E690" s="332">
        <v>17</v>
      </c>
      <c r="F690" s="332">
        <v>42</v>
      </c>
      <c r="G690" s="332">
        <v>106</v>
      </c>
      <c r="H690" s="332">
        <v>15.5</v>
      </c>
      <c r="I690" s="333">
        <v>0.79</v>
      </c>
      <c r="J690" s="333">
        <v>1.97</v>
      </c>
      <c r="K690" s="332">
        <v>12</v>
      </c>
      <c r="L690" s="332">
        <v>1</v>
      </c>
      <c r="M690" s="332" t="s">
        <v>207</v>
      </c>
      <c r="N690" s="332">
        <v>2008</v>
      </c>
      <c r="O690" s="332" t="s">
        <v>69</v>
      </c>
      <c r="P690" s="332">
        <v>306894</v>
      </c>
      <c r="Q690" s="335" t="s">
        <v>387</v>
      </c>
      <c r="R690" s="335" t="s">
        <v>185</v>
      </c>
      <c r="S690" s="335" t="s">
        <v>166</v>
      </c>
    </row>
    <row r="691" spans="1:19" x14ac:dyDescent="0.2">
      <c r="A691" s="335" t="s">
        <v>1141</v>
      </c>
      <c r="B691" s="332">
        <v>11</v>
      </c>
      <c r="C691" s="332">
        <v>8</v>
      </c>
      <c r="D691" s="332">
        <v>17</v>
      </c>
      <c r="E691" s="332">
        <v>23</v>
      </c>
      <c r="F691" s="332">
        <v>29</v>
      </c>
      <c r="G691" s="332">
        <v>109</v>
      </c>
      <c r="H691" s="332">
        <v>15.9</v>
      </c>
      <c r="I691" s="333">
        <v>0.81</v>
      </c>
      <c r="J691" s="333">
        <v>2.02</v>
      </c>
      <c r="K691" s="332">
        <v>13.6</v>
      </c>
      <c r="L691" s="332">
        <v>0.70000000000000007</v>
      </c>
      <c r="M691" s="332" t="s">
        <v>207</v>
      </c>
      <c r="N691" s="332">
        <v>2007</v>
      </c>
      <c r="O691" s="332" t="s">
        <v>69</v>
      </c>
      <c r="P691" s="332">
        <v>371294</v>
      </c>
      <c r="Q691" s="335" t="s">
        <v>387</v>
      </c>
      <c r="R691" s="335" t="s">
        <v>219</v>
      </c>
      <c r="S691" s="335"/>
    </row>
    <row r="692" spans="1:19" x14ac:dyDescent="0.2">
      <c r="A692" s="335" t="s">
        <v>1138</v>
      </c>
      <c r="B692" s="332">
        <v>4</v>
      </c>
      <c r="C692" s="332">
        <v>2</v>
      </c>
      <c r="D692" s="332">
        <v>3</v>
      </c>
      <c r="E692" s="332">
        <v>10</v>
      </c>
      <c r="F692" s="332">
        <v>18</v>
      </c>
      <c r="G692" s="332">
        <v>37</v>
      </c>
      <c r="H692" s="332">
        <v>6.6000000000000005</v>
      </c>
      <c r="I692" s="333">
        <v>0.55000000000000004</v>
      </c>
      <c r="J692" s="333">
        <v>1.29</v>
      </c>
      <c r="K692" s="332">
        <v>5</v>
      </c>
      <c r="L692" s="332">
        <v>1.1000000000000001</v>
      </c>
      <c r="M692" s="332" t="s">
        <v>207</v>
      </c>
      <c r="N692" s="332">
        <v>2008</v>
      </c>
      <c r="O692" s="332" t="s">
        <v>69</v>
      </c>
      <c r="P692" s="332">
        <v>271064</v>
      </c>
      <c r="Q692" s="335" t="s">
        <v>387</v>
      </c>
      <c r="R692" s="335" t="s">
        <v>1100</v>
      </c>
      <c r="S692" s="335" t="s">
        <v>166</v>
      </c>
    </row>
    <row r="693" spans="1:19" x14ac:dyDescent="0.2">
      <c r="A693" s="335" t="s">
        <v>1158</v>
      </c>
      <c r="B693" s="332">
        <v>5</v>
      </c>
      <c r="C693" s="332">
        <v>3</v>
      </c>
      <c r="D693" s="332">
        <v>6</v>
      </c>
      <c r="E693" s="332">
        <v>7</v>
      </c>
      <c r="F693" s="332">
        <v>0</v>
      </c>
      <c r="G693" s="332"/>
      <c r="H693" s="332"/>
      <c r="I693" s="333">
        <v>0.42</v>
      </c>
      <c r="J693" s="333">
        <v>1.54</v>
      </c>
      <c r="K693" s="332">
        <v>6.5</v>
      </c>
      <c r="L693" s="332">
        <v>0.1</v>
      </c>
      <c r="M693" s="332" t="s">
        <v>157</v>
      </c>
      <c r="N693" s="332">
        <v>2015</v>
      </c>
      <c r="O693" s="332" t="s">
        <v>69</v>
      </c>
      <c r="P693" s="332">
        <v>871491</v>
      </c>
      <c r="Q693" s="335" t="s">
        <v>387</v>
      </c>
      <c r="R693" s="335" t="s">
        <v>1103</v>
      </c>
      <c r="S693" s="335" t="s">
        <v>166</v>
      </c>
    </row>
    <row r="694" spans="1:19" x14ac:dyDescent="0.2">
      <c r="A694" s="335" t="s">
        <v>1145</v>
      </c>
      <c r="B694" s="332">
        <v>4</v>
      </c>
      <c r="C694" s="332">
        <v>3</v>
      </c>
      <c r="D694" s="332">
        <v>2</v>
      </c>
      <c r="E694" s="332">
        <v>8</v>
      </c>
      <c r="F694" s="332">
        <v>16</v>
      </c>
      <c r="G694" s="332">
        <v>61</v>
      </c>
      <c r="H694" s="332">
        <v>10</v>
      </c>
      <c r="I694" s="333">
        <v>0.42</v>
      </c>
      <c r="J694" s="333">
        <v>1.01</v>
      </c>
      <c r="K694" s="332">
        <v>5.9</v>
      </c>
      <c r="L694" s="332">
        <v>0.9</v>
      </c>
      <c r="M694" s="332" t="s">
        <v>207</v>
      </c>
      <c r="N694" s="332">
        <v>2007</v>
      </c>
      <c r="O694" s="332" t="s">
        <v>69</v>
      </c>
      <c r="P694" s="332">
        <v>335463</v>
      </c>
      <c r="Q694" s="335" t="s">
        <v>387</v>
      </c>
      <c r="R694" s="335" t="s">
        <v>1098</v>
      </c>
      <c r="S694" s="335" t="s">
        <v>166</v>
      </c>
    </row>
    <row r="695" spans="1:19" x14ac:dyDescent="0.2">
      <c r="A695" s="335" t="s">
        <v>257</v>
      </c>
      <c r="B695" s="332">
        <v>8</v>
      </c>
      <c r="C695" s="332">
        <v>2</v>
      </c>
      <c r="D695" s="332">
        <v>5</v>
      </c>
      <c r="E695" s="332">
        <v>22</v>
      </c>
      <c r="F695" s="332">
        <v>43</v>
      </c>
      <c r="G695" s="332">
        <v>70</v>
      </c>
      <c r="H695" s="332">
        <v>11.1</v>
      </c>
      <c r="I695" s="333">
        <v>0.21</v>
      </c>
      <c r="J695" s="333">
        <v>0.64</v>
      </c>
      <c r="K695" s="332">
        <v>12.9</v>
      </c>
      <c r="L695" s="332">
        <v>1</v>
      </c>
      <c r="M695" s="332" t="s">
        <v>157</v>
      </c>
      <c r="N695" s="332">
        <v>2008</v>
      </c>
      <c r="O695" s="332" t="s">
        <v>158</v>
      </c>
      <c r="P695" s="332">
        <v>823096</v>
      </c>
      <c r="Q695" s="335" t="s">
        <v>172</v>
      </c>
      <c r="R695" s="335" t="s">
        <v>1113</v>
      </c>
      <c r="S695" s="335" t="s">
        <v>166</v>
      </c>
    </row>
    <row r="696" spans="1:19" x14ac:dyDescent="0.2">
      <c r="A696" s="335" t="s">
        <v>979</v>
      </c>
      <c r="B696" s="332">
        <v>12</v>
      </c>
      <c r="C696" s="332">
        <v>5</v>
      </c>
      <c r="D696" s="332">
        <v>9</v>
      </c>
      <c r="E696" s="332">
        <v>22</v>
      </c>
      <c r="F696" s="332">
        <v>51</v>
      </c>
      <c r="G696" s="332">
        <v>120</v>
      </c>
      <c r="H696" s="332">
        <v>17.100000000000001</v>
      </c>
      <c r="I696" s="333">
        <v>0.64</v>
      </c>
      <c r="J696" s="333">
        <v>1.97</v>
      </c>
      <c r="K696" s="332">
        <v>14.200000000000001</v>
      </c>
      <c r="L696" s="332">
        <v>1.1000000000000001</v>
      </c>
      <c r="M696" s="332" t="s">
        <v>352</v>
      </c>
      <c r="N696" s="332">
        <v>2016</v>
      </c>
      <c r="O696" s="332" t="s">
        <v>69</v>
      </c>
      <c r="P696" s="332">
        <v>823500</v>
      </c>
      <c r="Q696" s="335" t="s">
        <v>777</v>
      </c>
      <c r="R696" s="335" t="s">
        <v>1113</v>
      </c>
      <c r="S696" s="335"/>
    </row>
    <row r="697" spans="1:19" x14ac:dyDescent="0.2">
      <c r="A697" s="335" t="s">
        <v>443</v>
      </c>
      <c r="B697" s="332">
        <v>15</v>
      </c>
      <c r="C697" s="332">
        <v>7</v>
      </c>
      <c r="D697" s="332">
        <v>10</v>
      </c>
      <c r="E697" s="332">
        <v>25</v>
      </c>
      <c r="F697" s="332">
        <v>55</v>
      </c>
      <c r="G697" s="332">
        <v>77</v>
      </c>
      <c r="H697" s="332">
        <v>12</v>
      </c>
      <c r="I697" s="333">
        <v>0.44</v>
      </c>
      <c r="J697" s="333">
        <v>2.02</v>
      </c>
      <c r="K697" s="332">
        <v>16.100000000000001</v>
      </c>
      <c r="L697" s="332">
        <v>1</v>
      </c>
      <c r="M697" s="332" t="s">
        <v>157</v>
      </c>
      <c r="N697" s="332">
        <v>2004</v>
      </c>
      <c r="O697" s="332" t="s">
        <v>158</v>
      </c>
      <c r="P697" s="332">
        <v>838383</v>
      </c>
      <c r="Q697" s="335" t="s">
        <v>192</v>
      </c>
      <c r="R697" s="335" t="s">
        <v>1113</v>
      </c>
      <c r="S697" s="335"/>
    </row>
    <row r="698" spans="1:19" x14ac:dyDescent="0.2">
      <c r="A698" s="335" t="s">
        <v>583</v>
      </c>
      <c r="B698" s="332">
        <v>19</v>
      </c>
      <c r="C698" s="332">
        <v>11</v>
      </c>
      <c r="D698" s="332">
        <v>15</v>
      </c>
      <c r="E698" s="332">
        <v>27</v>
      </c>
      <c r="F698" s="332">
        <v>41</v>
      </c>
      <c r="G698" s="332">
        <v>53</v>
      </c>
      <c r="H698" s="332">
        <v>8.9</v>
      </c>
      <c r="I698" s="333">
        <v>0.68</v>
      </c>
      <c r="J698" s="333">
        <v>2.09</v>
      </c>
      <c r="K698" s="332">
        <v>14.700000000000001</v>
      </c>
      <c r="L698" s="332">
        <v>0.9</v>
      </c>
      <c r="M698" s="332" t="s">
        <v>352</v>
      </c>
      <c r="N698" s="332">
        <v>2010</v>
      </c>
      <c r="O698" s="332" t="s">
        <v>69</v>
      </c>
      <c r="P698" s="332">
        <v>843698</v>
      </c>
      <c r="Q698" s="335" t="s">
        <v>777</v>
      </c>
      <c r="R698" s="335" t="s">
        <v>1113</v>
      </c>
      <c r="S698" s="335"/>
    </row>
    <row r="699" spans="1:19" x14ac:dyDescent="0.2">
      <c r="A699" s="335" t="s">
        <v>789</v>
      </c>
      <c r="B699" s="332">
        <v>5</v>
      </c>
      <c r="C699" s="332">
        <v>4</v>
      </c>
      <c r="D699" s="332">
        <v>3</v>
      </c>
      <c r="E699" s="332">
        <v>2</v>
      </c>
      <c r="F699" s="332">
        <v>4</v>
      </c>
      <c r="G699" s="332"/>
      <c r="H699" s="332"/>
      <c r="I699" s="333">
        <v>0.79</v>
      </c>
      <c r="J699" s="333">
        <v>2.57</v>
      </c>
      <c r="K699" s="332">
        <v>13.5</v>
      </c>
      <c r="L699" s="332">
        <v>0.2</v>
      </c>
      <c r="M699" s="332" t="s">
        <v>157</v>
      </c>
      <c r="N699" s="332">
        <v>2014</v>
      </c>
      <c r="O699" s="332" t="s">
        <v>158</v>
      </c>
      <c r="P699" s="332">
        <v>910398</v>
      </c>
      <c r="Q699" s="335" t="s">
        <v>159</v>
      </c>
      <c r="R699" s="335" t="s">
        <v>1113</v>
      </c>
      <c r="S699" s="335"/>
    </row>
    <row r="700" spans="1:19" x14ac:dyDescent="0.2">
      <c r="A700" s="335" t="s">
        <v>430</v>
      </c>
      <c r="B700" s="332">
        <v>14</v>
      </c>
      <c r="C700" s="332">
        <v>5</v>
      </c>
      <c r="D700" s="332">
        <v>10</v>
      </c>
      <c r="E700" s="332">
        <v>35</v>
      </c>
      <c r="F700" s="332">
        <v>43</v>
      </c>
      <c r="G700" s="332">
        <v>57</v>
      </c>
      <c r="H700" s="332">
        <v>9.4</v>
      </c>
      <c r="I700" s="333">
        <v>0.41000000000000003</v>
      </c>
      <c r="J700" s="333">
        <v>1.77</v>
      </c>
      <c r="K700" s="332">
        <v>14.9</v>
      </c>
      <c r="L700" s="332">
        <v>0.9</v>
      </c>
      <c r="M700" s="332" t="s">
        <v>157</v>
      </c>
      <c r="N700" s="332">
        <v>2002</v>
      </c>
      <c r="O700" s="332" t="s">
        <v>158</v>
      </c>
      <c r="P700" s="332">
        <v>914945</v>
      </c>
      <c r="Q700" s="335" t="s">
        <v>213</v>
      </c>
      <c r="R700" s="335" t="s">
        <v>1113</v>
      </c>
      <c r="S700" s="335" t="s">
        <v>166</v>
      </c>
    </row>
    <row r="701" spans="1:19" x14ac:dyDescent="0.2">
      <c r="A701" s="335" t="s">
        <v>827</v>
      </c>
      <c r="B701" s="332">
        <v>10</v>
      </c>
      <c r="C701" s="332">
        <v>3</v>
      </c>
      <c r="D701" s="332">
        <v>7</v>
      </c>
      <c r="E701" s="332">
        <v>21</v>
      </c>
      <c r="F701" s="332">
        <v>44</v>
      </c>
      <c r="G701" s="332">
        <v>84</v>
      </c>
      <c r="H701" s="332">
        <v>13</v>
      </c>
      <c r="I701" s="333">
        <v>0.70000000000000007</v>
      </c>
      <c r="J701" s="333">
        <v>1.7</v>
      </c>
      <c r="K701" s="332">
        <v>13.5</v>
      </c>
      <c r="L701" s="332">
        <v>1</v>
      </c>
      <c r="M701" s="332" t="s">
        <v>207</v>
      </c>
      <c r="N701" s="332">
        <v>2015</v>
      </c>
      <c r="O701" s="332" t="s">
        <v>69</v>
      </c>
      <c r="P701" s="332">
        <v>816249</v>
      </c>
      <c r="Q701" s="335" t="s">
        <v>805</v>
      </c>
      <c r="R701" s="335" t="s">
        <v>1114</v>
      </c>
      <c r="S701" s="335"/>
    </row>
    <row r="702" spans="1:19" x14ac:dyDescent="0.2">
      <c r="A702" s="335" t="s">
        <v>917</v>
      </c>
      <c r="B702" s="332">
        <v>9</v>
      </c>
      <c r="C702" s="332">
        <v>5</v>
      </c>
      <c r="D702" s="332">
        <v>9</v>
      </c>
      <c r="E702" s="332">
        <v>19</v>
      </c>
      <c r="F702" s="332">
        <v>53</v>
      </c>
      <c r="G702" s="332">
        <v>108</v>
      </c>
      <c r="H702" s="332">
        <v>15.700000000000001</v>
      </c>
      <c r="I702" s="333">
        <v>0.73</v>
      </c>
      <c r="J702" s="333">
        <v>1.79</v>
      </c>
      <c r="K702" s="332">
        <v>11.9</v>
      </c>
      <c r="L702" s="332">
        <v>1.3</v>
      </c>
      <c r="M702" s="332" t="s">
        <v>417</v>
      </c>
      <c r="N702" s="332">
        <v>2003</v>
      </c>
      <c r="O702" s="332" t="s">
        <v>69</v>
      </c>
      <c r="P702" s="332">
        <v>175265</v>
      </c>
      <c r="Q702" s="335" t="s">
        <v>563</v>
      </c>
      <c r="R702" s="335" t="s">
        <v>185</v>
      </c>
      <c r="S702" s="335"/>
    </row>
    <row r="703" spans="1:19" x14ac:dyDescent="0.2">
      <c r="A703" s="335" t="s">
        <v>480</v>
      </c>
      <c r="B703" s="332">
        <v>2</v>
      </c>
      <c r="C703" s="332">
        <v>0</v>
      </c>
      <c r="D703" s="332">
        <v>0</v>
      </c>
      <c r="E703" s="332">
        <v>-5</v>
      </c>
      <c r="F703" s="332">
        <v>7</v>
      </c>
      <c r="G703" s="332">
        <v>24</v>
      </c>
      <c r="H703" s="332">
        <v>4.3</v>
      </c>
      <c r="I703" s="333">
        <v>0.38</v>
      </c>
      <c r="J703" s="333">
        <v>1.23</v>
      </c>
      <c r="K703" s="332">
        <v>9.4</v>
      </c>
      <c r="L703" s="332">
        <v>0.3</v>
      </c>
      <c r="M703" s="332" t="s">
        <v>417</v>
      </c>
      <c r="N703" s="332">
        <v>2006</v>
      </c>
      <c r="O703" s="332" t="s">
        <v>69</v>
      </c>
      <c r="P703" s="332">
        <v>479436</v>
      </c>
      <c r="Q703" s="335" t="s">
        <v>418</v>
      </c>
      <c r="R703" s="335" t="s">
        <v>1103</v>
      </c>
      <c r="S703" s="335"/>
    </row>
    <row r="704" spans="1:19" x14ac:dyDescent="0.2">
      <c r="A704" s="335" t="s">
        <v>416</v>
      </c>
      <c r="B704" s="332">
        <v>2</v>
      </c>
      <c r="C704" s="332">
        <v>0</v>
      </c>
      <c r="D704" s="332">
        <v>-1</v>
      </c>
      <c r="E704" s="332">
        <v>-6</v>
      </c>
      <c r="F704" s="332">
        <v>7</v>
      </c>
      <c r="G704" s="332">
        <v>13</v>
      </c>
      <c r="H704" s="332">
        <v>2.4</v>
      </c>
      <c r="I704" s="333">
        <v>0.38</v>
      </c>
      <c r="J704" s="333">
        <v>1.23</v>
      </c>
      <c r="K704" s="332">
        <v>9.3000000000000007</v>
      </c>
      <c r="L704" s="332">
        <v>0.3</v>
      </c>
      <c r="M704" s="332" t="s">
        <v>417</v>
      </c>
      <c r="N704" s="332">
        <v>2006</v>
      </c>
      <c r="O704" s="332" t="s">
        <v>69</v>
      </c>
      <c r="P704" s="332">
        <v>551093</v>
      </c>
      <c r="Q704" s="335" t="s">
        <v>418</v>
      </c>
      <c r="R704" s="335" t="s">
        <v>1108</v>
      </c>
      <c r="S704" s="335"/>
    </row>
    <row r="705" spans="1:19" x14ac:dyDescent="0.2">
      <c r="A705" s="335" t="s">
        <v>564</v>
      </c>
      <c r="B705" s="332">
        <v>-5</v>
      </c>
      <c r="C705" s="332">
        <v>-9</v>
      </c>
      <c r="D705" s="332">
        <v>-5</v>
      </c>
      <c r="E705" s="332">
        <v>21</v>
      </c>
      <c r="F705" s="332">
        <v>-4</v>
      </c>
      <c r="G705" s="332">
        <v>-11</v>
      </c>
      <c r="H705" s="332">
        <v>-2.2000000000000002</v>
      </c>
      <c r="I705" s="333">
        <v>0.67</v>
      </c>
      <c r="J705" s="333">
        <v>1.6300000000000001</v>
      </c>
      <c r="K705" s="332">
        <v>24</v>
      </c>
      <c r="L705" s="332">
        <v>0.1</v>
      </c>
      <c r="M705" s="332" t="s">
        <v>417</v>
      </c>
      <c r="N705" s="332">
        <v>2003</v>
      </c>
      <c r="O705" s="332" t="s">
        <v>69</v>
      </c>
      <c r="P705" s="332">
        <v>899120</v>
      </c>
      <c r="Q705" s="335" t="s">
        <v>563</v>
      </c>
      <c r="R705" s="335" t="s">
        <v>1110</v>
      </c>
      <c r="S705" s="335"/>
    </row>
    <row r="706" spans="1:19" x14ac:dyDescent="0.2">
      <c r="A706" s="335" t="s">
        <v>562</v>
      </c>
      <c r="B706" s="332">
        <v>10</v>
      </c>
      <c r="C706" s="332">
        <v>5</v>
      </c>
      <c r="D706" s="332">
        <v>10</v>
      </c>
      <c r="E706" s="332">
        <v>21</v>
      </c>
      <c r="F706" s="332">
        <v>61</v>
      </c>
      <c r="G706" s="332">
        <v>117</v>
      </c>
      <c r="H706" s="332">
        <v>16.7</v>
      </c>
      <c r="I706" s="333">
        <v>0.66</v>
      </c>
      <c r="J706" s="333">
        <v>1.59</v>
      </c>
      <c r="K706" s="332">
        <v>12.3</v>
      </c>
      <c r="L706" s="332">
        <v>1.4000000000000001</v>
      </c>
      <c r="M706" s="332" t="s">
        <v>417</v>
      </c>
      <c r="N706" s="332">
        <v>2009</v>
      </c>
      <c r="O706" s="332" t="s">
        <v>69</v>
      </c>
      <c r="P706" s="332">
        <v>724690</v>
      </c>
      <c r="Q706" s="335" t="s">
        <v>563</v>
      </c>
      <c r="R706" s="335" t="s">
        <v>1114</v>
      </c>
      <c r="S706" s="335"/>
    </row>
    <row r="707" spans="1:19" x14ac:dyDescent="0.2">
      <c r="A707" s="335" t="s">
        <v>574</v>
      </c>
      <c r="B707" s="332">
        <v>0</v>
      </c>
      <c r="C707" s="332">
        <v>-4</v>
      </c>
      <c r="D707" s="332">
        <v>0</v>
      </c>
      <c r="E707" s="332">
        <v>3</v>
      </c>
      <c r="F707" s="332">
        <v>40</v>
      </c>
      <c r="G707" s="332">
        <v>65</v>
      </c>
      <c r="H707" s="332">
        <v>10.6</v>
      </c>
      <c r="I707" s="333">
        <v>0.67</v>
      </c>
      <c r="J707" s="333">
        <v>1.6300000000000001</v>
      </c>
      <c r="K707" s="332">
        <v>13.8</v>
      </c>
      <c r="L707" s="332">
        <v>0.9</v>
      </c>
      <c r="M707" s="332" t="s">
        <v>417</v>
      </c>
      <c r="N707" s="332">
        <v>2007</v>
      </c>
      <c r="O707" s="332" t="s">
        <v>69</v>
      </c>
      <c r="P707" s="332">
        <v>800664</v>
      </c>
      <c r="Q707" s="335" t="s">
        <v>563</v>
      </c>
      <c r="R707" s="335" t="s">
        <v>1114</v>
      </c>
      <c r="S707" s="335"/>
    </row>
    <row r="708" spans="1:19" x14ac:dyDescent="0.2">
      <c r="A708" s="335" t="s">
        <v>622</v>
      </c>
      <c r="B708" s="332">
        <v>5</v>
      </c>
      <c r="C708" s="332">
        <v>0</v>
      </c>
      <c r="D708" s="332">
        <v>2</v>
      </c>
      <c r="E708" s="332">
        <v>12</v>
      </c>
      <c r="F708" s="332">
        <v>39</v>
      </c>
      <c r="G708" s="332">
        <v>71</v>
      </c>
      <c r="H708" s="332">
        <v>11.3</v>
      </c>
      <c r="I708" s="333">
        <v>0.81</v>
      </c>
      <c r="J708" s="333">
        <v>2.02</v>
      </c>
      <c r="K708" s="332">
        <v>12.6</v>
      </c>
      <c r="L708" s="332">
        <v>0.9</v>
      </c>
      <c r="M708" s="332" t="s">
        <v>417</v>
      </c>
      <c r="N708" s="332">
        <v>2007</v>
      </c>
      <c r="O708" s="332" t="s">
        <v>69</v>
      </c>
      <c r="P708" s="332">
        <v>836494</v>
      </c>
      <c r="Q708" s="335" t="s">
        <v>563</v>
      </c>
      <c r="R708" s="335" t="s">
        <v>1114</v>
      </c>
      <c r="S708" s="335"/>
    </row>
    <row r="709" spans="1:19" x14ac:dyDescent="0.2">
      <c r="A709" s="335" t="s">
        <v>588</v>
      </c>
      <c r="B709" s="332">
        <v>11</v>
      </c>
      <c r="C709" s="332">
        <v>7</v>
      </c>
      <c r="D709" s="332">
        <v>12</v>
      </c>
      <c r="E709" s="332">
        <v>15</v>
      </c>
      <c r="F709" s="332">
        <v>15</v>
      </c>
      <c r="G709" s="332">
        <v>58</v>
      </c>
      <c r="H709" s="332">
        <v>9.5</v>
      </c>
      <c r="I709" s="333">
        <v>0.64</v>
      </c>
      <c r="J709" s="333">
        <v>1.73</v>
      </c>
      <c r="K709" s="332">
        <v>13.4</v>
      </c>
      <c r="L709" s="332">
        <v>0.4</v>
      </c>
      <c r="M709" s="332" t="s">
        <v>417</v>
      </c>
      <c r="N709" s="332">
        <v>2006</v>
      </c>
      <c r="O709" s="332" t="s">
        <v>69</v>
      </c>
      <c r="P709" s="332">
        <v>515262</v>
      </c>
      <c r="Q709" s="335" t="s">
        <v>418</v>
      </c>
      <c r="R709" s="335" t="s">
        <v>305</v>
      </c>
      <c r="S709" s="335"/>
    </row>
    <row r="710" spans="1:19" x14ac:dyDescent="0.2">
      <c r="A710" s="335" t="s">
        <v>1143</v>
      </c>
      <c r="B710" s="332">
        <v>4</v>
      </c>
      <c r="C710" s="332">
        <v>2</v>
      </c>
      <c r="D710" s="332">
        <v>5</v>
      </c>
      <c r="E710" s="332">
        <v>4</v>
      </c>
      <c r="F710" s="332">
        <v>-14</v>
      </c>
      <c r="G710" s="332">
        <v>7</v>
      </c>
      <c r="H710" s="332">
        <v>1.3</v>
      </c>
      <c r="I710" s="333">
        <v>0.42</v>
      </c>
      <c r="J710" s="333">
        <v>1.55</v>
      </c>
      <c r="K710" s="332">
        <v>8.9</v>
      </c>
      <c r="L710" s="332">
        <v>-0.5</v>
      </c>
      <c r="M710" s="332" t="s">
        <v>157</v>
      </c>
      <c r="N710" s="332">
        <v>2013</v>
      </c>
      <c r="O710" s="332" t="s">
        <v>69</v>
      </c>
      <c r="P710" s="332">
        <v>365684</v>
      </c>
      <c r="Q710" s="335" t="s">
        <v>387</v>
      </c>
      <c r="R710" s="335" t="s">
        <v>1099</v>
      </c>
      <c r="S710" s="335" t="s">
        <v>166</v>
      </c>
    </row>
    <row r="711" spans="1:19" x14ac:dyDescent="0.2">
      <c r="A711" s="335" t="s">
        <v>736</v>
      </c>
      <c r="B711" s="332">
        <v>7</v>
      </c>
      <c r="C711" s="332">
        <v>4</v>
      </c>
      <c r="D711" s="332">
        <v>8</v>
      </c>
      <c r="E711" s="332">
        <v>12</v>
      </c>
      <c r="F711" s="332">
        <v>29</v>
      </c>
      <c r="G711" s="332">
        <v>52</v>
      </c>
      <c r="H711" s="332">
        <v>8.7000000000000011</v>
      </c>
      <c r="I711" s="333">
        <v>0.56000000000000005</v>
      </c>
      <c r="J711" s="333">
        <v>3.23</v>
      </c>
      <c r="K711" s="332">
        <v>8.9</v>
      </c>
      <c r="L711" s="332">
        <v>1</v>
      </c>
      <c r="M711" s="332" t="s">
        <v>207</v>
      </c>
      <c r="N711" s="332">
        <v>2008</v>
      </c>
      <c r="O711" s="332" t="s">
        <v>69</v>
      </c>
      <c r="P711" s="332">
        <v>323899</v>
      </c>
      <c r="Q711" s="335" t="s">
        <v>338</v>
      </c>
      <c r="R711" s="335" t="s">
        <v>1089</v>
      </c>
      <c r="S711" s="335"/>
    </row>
    <row r="712" spans="1:19" x14ac:dyDescent="0.2">
      <c r="A712" s="335" t="s">
        <v>737</v>
      </c>
      <c r="B712" s="332">
        <v>10</v>
      </c>
      <c r="C712" s="332">
        <v>6</v>
      </c>
      <c r="D712" s="332">
        <v>11</v>
      </c>
      <c r="E712" s="332">
        <v>17</v>
      </c>
      <c r="F712" s="332">
        <v>38</v>
      </c>
      <c r="G712" s="332">
        <v>74</v>
      </c>
      <c r="H712" s="332">
        <v>11.700000000000001</v>
      </c>
      <c r="I712" s="333">
        <v>0.56000000000000005</v>
      </c>
      <c r="J712" s="333">
        <v>3.23</v>
      </c>
      <c r="K712" s="332">
        <v>12.3</v>
      </c>
      <c r="L712" s="332">
        <v>1</v>
      </c>
      <c r="M712" s="332" t="s">
        <v>207</v>
      </c>
      <c r="N712" s="332">
        <v>2008</v>
      </c>
      <c r="O712" s="332" t="s">
        <v>69</v>
      </c>
      <c r="P712" s="332">
        <v>216408</v>
      </c>
      <c r="Q712" s="335" t="s">
        <v>338</v>
      </c>
      <c r="R712" s="335" t="s">
        <v>1088</v>
      </c>
      <c r="S712" s="335"/>
    </row>
    <row r="713" spans="1:19" x14ac:dyDescent="0.2">
      <c r="A713" s="335" t="s">
        <v>669</v>
      </c>
      <c r="B713" s="332">
        <v>15</v>
      </c>
      <c r="C713" s="332">
        <v>11</v>
      </c>
      <c r="D713" s="332">
        <v>17</v>
      </c>
      <c r="E713" s="332">
        <v>17</v>
      </c>
      <c r="F713" s="332">
        <v>46</v>
      </c>
      <c r="G713" s="332">
        <v>113</v>
      </c>
      <c r="H713" s="332">
        <v>16.3</v>
      </c>
      <c r="I713" s="333">
        <v>0.84</v>
      </c>
      <c r="J713" s="333">
        <v>2.1</v>
      </c>
      <c r="K713" s="332">
        <v>14.6</v>
      </c>
      <c r="L713" s="332">
        <v>0.9</v>
      </c>
      <c r="M713" s="332" t="s">
        <v>207</v>
      </c>
      <c r="N713" s="332">
        <v>2013</v>
      </c>
      <c r="O713" s="332" t="s">
        <v>69</v>
      </c>
      <c r="P713" s="332">
        <v>538751</v>
      </c>
      <c r="Q713" s="335" t="s">
        <v>768</v>
      </c>
      <c r="R713" s="335" t="s">
        <v>1111</v>
      </c>
      <c r="S713" s="335"/>
    </row>
    <row r="714" spans="1:19" x14ac:dyDescent="0.2">
      <c r="A714" s="335" t="s">
        <v>811</v>
      </c>
      <c r="B714" s="332">
        <v>7</v>
      </c>
      <c r="C714" s="332">
        <v>4</v>
      </c>
      <c r="D714" s="332">
        <v>8</v>
      </c>
      <c r="E714" s="332">
        <v>15</v>
      </c>
      <c r="F714" s="332"/>
      <c r="G714" s="332"/>
      <c r="H714" s="332"/>
      <c r="I714" s="333">
        <v>0.63</v>
      </c>
      <c r="J714" s="333">
        <v>2.4300000000000002</v>
      </c>
      <c r="K714" s="332"/>
      <c r="L714" s="332"/>
      <c r="M714" s="332" t="s">
        <v>207</v>
      </c>
      <c r="N714" s="332">
        <v>2015</v>
      </c>
      <c r="O714" s="332" t="s">
        <v>69</v>
      </c>
      <c r="P714" s="332">
        <v>301879</v>
      </c>
      <c r="Q714" s="335" t="s">
        <v>746</v>
      </c>
      <c r="R714" s="335" t="s">
        <v>1089</v>
      </c>
      <c r="S714" s="335"/>
    </row>
    <row r="715" spans="1:19" x14ac:dyDescent="0.2">
      <c r="A715" s="335" t="s">
        <v>1128</v>
      </c>
      <c r="B715" s="332">
        <v>11</v>
      </c>
      <c r="C715" s="332">
        <v>-5</v>
      </c>
      <c r="D715" s="332">
        <v>3</v>
      </c>
      <c r="E715" s="332">
        <v>18</v>
      </c>
      <c r="F715" s="332">
        <v>64</v>
      </c>
      <c r="G715" s="332">
        <v>127</v>
      </c>
      <c r="H715" s="332">
        <v>17.8</v>
      </c>
      <c r="I715" s="333">
        <v>0.39</v>
      </c>
      <c r="J715" s="333">
        <v>1.72</v>
      </c>
      <c r="K715" s="332">
        <v>30.400000000000002</v>
      </c>
      <c r="L715" s="332">
        <v>0.70000000000000007</v>
      </c>
      <c r="M715" s="332" t="s">
        <v>157</v>
      </c>
      <c r="N715" s="332">
        <v>2015</v>
      </c>
      <c r="O715" s="332" t="s">
        <v>69</v>
      </c>
      <c r="P715" s="332">
        <v>538108</v>
      </c>
      <c r="Q715" s="335" t="s">
        <v>1129</v>
      </c>
      <c r="R715" s="335" t="s">
        <v>1117</v>
      </c>
      <c r="S715" s="335"/>
    </row>
    <row r="716" spans="1:19" x14ac:dyDescent="0.2">
      <c r="A716" s="335" t="s">
        <v>771</v>
      </c>
      <c r="B716" s="332">
        <v>0</v>
      </c>
      <c r="C716" s="332">
        <v>0</v>
      </c>
      <c r="D716" s="332">
        <v>-50</v>
      </c>
      <c r="E716" s="332">
        <v>-51</v>
      </c>
      <c r="F716" s="332"/>
      <c r="G716" s="332"/>
      <c r="H716" s="332"/>
      <c r="I716" s="333">
        <v>0.63</v>
      </c>
      <c r="J716" s="333">
        <v>1.79</v>
      </c>
      <c r="K716" s="332"/>
      <c r="L716" s="332"/>
      <c r="M716" s="332" t="s">
        <v>157</v>
      </c>
      <c r="N716" s="332">
        <v>2015</v>
      </c>
      <c r="O716" s="332" t="s">
        <v>69</v>
      </c>
      <c r="P716" s="332">
        <v>137307</v>
      </c>
      <c r="Q716" s="335" t="s">
        <v>772</v>
      </c>
      <c r="R716" s="335" t="s">
        <v>1089</v>
      </c>
      <c r="S716" s="335"/>
    </row>
    <row r="717" spans="1:19" x14ac:dyDescent="0.2">
      <c r="A717" s="335" t="s">
        <v>959</v>
      </c>
      <c r="B717" s="332">
        <v>11</v>
      </c>
      <c r="C717" s="332">
        <v>6</v>
      </c>
      <c r="D717" s="332">
        <v>12</v>
      </c>
      <c r="E717" s="332">
        <v>23</v>
      </c>
      <c r="F717" s="332">
        <v>43</v>
      </c>
      <c r="G717" s="332"/>
      <c r="H717" s="332"/>
      <c r="I717" s="333">
        <v>0.01</v>
      </c>
      <c r="J717" s="333">
        <v>0.01</v>
      </c>
      <c r="K717" s="332">
        <v>11.700000000000001</v>
      </c>
      <c r="L717" s="332">
        <v>1.1000000000000001</v>
      </c>
      <c r="M717" s="332" t="s">
        <v>157</v>
      </c>
      <c r="N717" s="332">
        <v>2012</v>
      </c>
      <c r="O717" s="332" t="s">
        <v>69</v>
      </c>
      <c r="P717" s="332">
        <v>243022</v>
      </c>
      <c r="Q717" s="335" t="s">
        <v>162</v>
      </c>
      <c r="R717" s="335" t="s">
        <v>1087</v>
      </c>
      <c r="S717" s="335"/>
    </row>
    <row r="718" spans="1:19" x14ac:dyDescent="0.2">
      <c r="A718" s="335" t="s">
        <v>750</v>
      </c>
      <c r="B718" s="332">
        <v>4</v>
      </c>
      <c r="C718" s="332">
        <v>1</v>
      </c>
      <c r="D718" s="332">
        <v>6</v>
      </c>
      <c r="E718" s="332">
        <v>10</v>
      </c>
      <c r="F718" s="332"/>
      <c r="G718" s="332"/>
      <c r="H718" s="332"/>
      <c r="I718" s="333">
        <v>0.4</v>
      </c>
      <c r="J718" s="333">
        <v>0.95000000000000007</v>
      </c>
      <c r="K718" s="332"/>
      <c r="L718" s="332"/>
      <c r="M718" s="332" t="s">
        <v>157</v>
      </c>
      <c r="N718" s="332">
        <v>2014</v>
      </c>
      <c r="O718" s="332" t="s">
        <v>158</v>
      </c>
      <c r="P718" s="332">
        <v>853903</v>
      </c>
      <c r="Q718" s="335" t="s">
        <v>362</v>
      </c>
      <c r="R718" s="335" t="s">
        <v>1109</v>
      </c>
      <c r="S718" s="335"/>
    </row>
    <row r="719" spans="1:19" x14ac:dyDescent="0.2">
      <c r="A719" s="335" t="s">
        <v>689</v>
      </c>
      <c r="B719" s="332">
        <v>14</v>
      </c>
      <c r="C719" s="332">
        <v>6</v>
      </c>
      <c r="D719" s="332">
        <v>13</v>
      </c>
      <c r="E719" s="332">
        <v>26</v>
      </c>
      <c r="F719" s="332">
        <v>13</v>
      </c>
      <c r="G719" s="332"/>
      <c r="H719" s="332"/>
      <c r="I719" s="333">
        <v>0.89</v>
      </c>
      <c r="J719" s="333">
        <v>2.25</v>
      </c>
      <c r="K719" s="332">
        <v>12.5</v>
      </c>
      <c r="L719" s="332">
        <v>0.4</v>
      </c>
      <c r="M719" s="332" t="s">
        <v>157</v>
      </c>
      <c r="N719" s="332">
        <v>2012</v>
      </c>
      <c r="O719" s="332" t="s">
        <v>69</v>
      </c>
      <c r="P719" s="332">
        <v>917716</v>
      </c>
      <c r="Q719" s="335" t="s">
        <v>612</v>
      </c>
      <c r="R719" s="335" t="s">
        <v>305</v>
      </c>
      <c r="S719" s="335"/>
    </row>
    <row r="720" spans="1:19" x14ac:dyDescent="0.2">
      <c r="A720" s="335" t="s">
        <v>956</v>
      </c>
      <c r="B720" s="332">
        <v>18</v>
      </c>
      <c r="C720" s="332">
        <v>10</v>
      </c>
      <c r="D720" s="332">
        <v>16</v>
      </c>
      <c r="E720" s="332">
        <v>31</v>
      </c>
      <c r="F720" s="332"/>
      <c r="G720" s="332"/>
      <c r="H720" s="332"/>
      <c r="I720" s="333">
        <v>0.74</v>
      </c>
      <c r="J720" s="333">
        <v>1.83</v>
      </c>
      <c r="K720" s="332"/>
      <c r="L720" s="332"/>
      <c r="M720" s="332" t="s">
        <v>157</v>
      </c>
      <c r="N720" s="332">
        <v>2016</v>
      </c>
      <c r="O720" s="332" t="s">
        <v>69</v>
      </c>
      <c r="P720" s="332">
        <v>640102</v>
      </c>
      <c r="Q720" s="335" t="s">
        <v>772</v>
      </c>
      <c r="R720" s="335" t="s">
        <v>302</v>
      </c>
      <c r="S720" s="335"/>
    </row>
    <row r="721" spans="1:19" x14ac:dyDescent="0.2">
      <c r="A721" s="335" t="s">
        <v>670</v>
      </c>
      <c r="B721" s="332">
        <v>5</v>
      </c>
      <c r="C721" s="332">
        <v>3</v>
      </c>
      <c r="D721" s="332">
        <v>7</v>
      </c>
      <c r="E721" s="332">
        <v>11</v>
      </c>
      <c r="F721" s="332">
        <v>32</v>
      </c>
      <c r="G721" s="332">
        <v>98</v>
      </c>
      <c r="H721" s="332">
        <v>14.700000000000001</v>
      </c>
      <c r="I721" s="333">
        <v>0.76</v>
      </c>
      <c r="J721" s="333">
        <v>2.27</v>
      </c>
      <c r="K721" s="332">
        <v>11</v>
      </c>
      <c r="L721" s="332">
        <v>0.9</v>
      </c>
      <c r="M721" s="332" t="s">
        <v>157</v>
      </c>
      <c r="N721" s="332">
        <v>2012</v>
      </c>
      <c r="O721" s="332" t="s">
        <v>158</v>
      </c>
      <c r="P721" s="332">
        <v>482919</v>
      </c>
      <c r="Q721" s="335" t="s">
        <v>903</v>
      </c>
      <c r="R721" s="335" t="s">
        <v>185</v>
      </c>
      <c r="S721" s="335"/>
    </row>
    <row r="722" spans="1:19" x14ac:dyDescent="0.2">
      <c r="A722" s="335" t="s">
        <v>1156</v>
      </c>
      <c r="B722" s="332">
        <v>14</v>
      </c>
      <c r="C722" s="332">
        <v>9</v>
      </c>
      <c r="D722" s="332">
        <v>16</v>
      </c>
      <c r="E722" s="332"/>
      <c r="F722" s="332"/>
      <c r="G722" s="332"/>
      <c r="H722" s="332"/>
      <c r="I722" s="333">
        <v>0.2</v>
      </c>
      <c r="J722" s="333">
        <v>0.3</v>
      </c>
      <c r="K722" s="332"/>
      <c r="L722" s="332"/>
      <c r="M722" s="332" t="s">
        <v>157</v>
      </c>
      <c r="N722" s="332">
        <v>2017</v>
      </c>
      <c r="O722" s="332" t="s">
        <v>158</v>
      </c>
      <c r="P722" s="332">
        <v>706275</v>
      </c>
      <c r="Q722" s="335" t="s">
        <v>182</v>
      </c>
      <c r="R722" s="335" t="s">
        <v>223</v>
      </c>
      <c r="S722" s="335" t="s">
        <v>166</v>
      </c>
    </row>
    <row r="723" spans="1:19" x14ac:dyDescent="0.2">
      <c r="A723" s="335" t="s">
        <v>696</v>
      </c>
      <c r="B723" s="332">
        <v>0</v>
      </c>
      <c r="C723" s="332">
        <v>1</v>
      </c>
      <c r="D723" s="332">
        <v>-4</v>
      </c>
      <c r="E723" s="332">
        <v>-8</v>
      </c>
      <c r="F723" s="332">
        <v>-12</v>
      </c>
      <c r="G723" s="332">
        <v>-16</v>
      </c>
      <c r="H723" s="332">
        <v>-3.4</v>
      </c>
      <c r="I723" s="333">
        <v>0.42</v>
      </c>
      <c r="J723" s="333">
        <v>2.75</v>
      </c>
      <c r="K723" s="332">
        <v>16.8</v>
      </c>
      <c r="L723" s="332">
        <v>-0.2</v>
      </c>
      <c r="M723" s="332" t="s">
        <v>207</v>
      </c>
      <c r="N723" s="332">
        <v>2013</v>
      </c>
      <c r="O723" s="332" t="s">
        <v>69</v>
      </c>
      <c r="P723" s="332">
        <v>844225</v>
      </c>
      <c r="Q723" s="335" t="s">
        <v>874</v>
      </c>
      <c r="R723" s="335" t="s">
        <v>1098</v>
      </c>
      <c r="S723" s="335"/>
    </row>
    <row r="724" spans="1:19" x14ac:dyDescent="0.2">
      <c r="A724" s="335" t="s">
        <v>712</v>
      </c>
      <c r="B724" s="332">
        <v>5</v>
      </c>
      <c r="C724" s="332">
        <v>3</v>
      </c>
      <c r="D724" s="332">
        <v>6</v>
      </c>
      <c r="E724" s="332">
        <v>10</v>
      </c>
      <c r="F724" s="332">
        <v>19</v>
      </c>
      <c r="G724" s="332"/>
      <c r="H724" s="332"/>
      <c r="I724" s="333">
        <v>0.57999999999999996</v>
      </c>
      <c r="J724" s="333">
        <v>1.62</v>
      </c>
      <c r="K724" s="332">
        <v>6.3</v>
      </c>
      <c r="L724" s="332">
        <v>1</v>
      </c>
      <c r="M724" s="332" t="s">
        <v>157</v>
      </c>
      <c r="N724" s="332">
        <v>2013</v>
      </c>
      <c r="O724" s="332" t="s">
        <v>158</v>
      </c>
      <c r="P724" s="332">
        <v>195628</v>
      </c>
      <c r="Q724" s="335" t="s">
        <v>781</v>
      </c>
      <c r="R724" s="335" t="s">
        <v>1106</v>
      </c>
      <c r="S724" s="335"/>
    </row>
    <row r="725" spans="1:19" x14ac:dyDescent="0.2">
      <c r="A725" s="335" t="s">
        <v>434</v>
      </c>
      <c r="B725" s="332">
        <v>7</v>
      </c>
      <c r="C725" s="332">
        <v>2</v>
      </c>
      <c r="D725" s="332">
        <v>9</v>
      </c>
      <c r="E725" s="332">
        <v>22</v>
      </c>
      <c r="F725" s="332">
        <v>42</v>
      </c>
      <c r="G725" s="332">
        <v>43</v>
      </c>
      <c r="H725" s="332">
        <v>7.5</v>
      </c>
      <c r="I725" s="333">
        <v>0.47000000000000003</v>
      </c>
      <c r="J725" s="333">
        <v>1.5</v>
      </c>
      <c r="K725" s="332">
        <v>13.700000000000001</v>
      </c>
      <c r="L725" s="332">
        <v>0.9</v>
      </c>
      <c r="M725" s="332" t="s">
        <v>300</v>
      </c>
      <c r="N725" s="332">
        <v>2013</v>
      </c>
      <c r="O725" s="332" t="s">
        <v>69</v>
      </c>
      <c r="P725" s="332">
        <v>311027</v>
      </c>
      <c r="Q725" s="335" t="s">
        <v>180</v>
      </c>
      <c r="R725" s="335" t="s">
        <v>1114</v>
      </c>
      <c r="S725" s="335"/>
    </row>
    <row r="726" spans="1:19" x14ac:dyDescent="0.2">
      <c r="A726" s="335" t="s">
        <v>721</v>
      </c>
      <c r="B726" s="332">
        <v>18</v>
      </c>
      <c r="C726" s="332">
        <v>8</v>
      </c>
      <c r="D726" s="332">
        <v>14</v>
      </c>
      <c r="E726" s="332">
        <v>37</v>
      </c>
      <c r="F726" s="332">
        <v>63</v>
      </c>
      <c r="G726" s="332">
        <v>82</v>
      </c>
      <c r="H726" s="332">
        <v>12.700000000000001</v>
      </c>
      <c r="I726" s="333">
        <v>0.81</v>
      </c>
      <c r="J726" s="333">
        <v>2.5300000000000002</v>
      </c>
      <c r="K726" s="332">
        <v>15.4</v>
      </c>
      <c r="L726" s="332">
        <v>1.2</v>
      </c>
      <c r="M726" s="332" t="s">
        <v>352</v>
      </c>
      <c r="N726" s="332">
        <v>2003</v>
      </c>
      <c r="O726" s="332" t="s">
        <v>69</v>
      </c>
      <c r="P726" s="332">
        <v>917955</v>
      </c>
      <c r="Q726" s="335" t="s">
        <v>1013</v>
      </c>
      <c r="R726" s="335" t="s">
        <v>1113</v>
      </c>
      <c r="S726" s="335"/>
    </row>
    <row r="727" spans="1:19" x14ac:dyDescent="0.2">
      <c r="A727" s="335" t="s">
        <v>893</v>
      </c>
      <c r="B727" s="332">
        <v>16</v>
      </c>
      <c r="C727" s="332">
        <v>6</v>
      </c>
      <c r="D727" s="332">
        <v>11</v>
      </c>
      <c r="E727" s="332">
        <v>33</v>
      </c>
      <c r="F727" s="332"/>
      <c r="G727" s="332"/>
      <c r="H727" s="332"/>
      <c r="I727" s="333">
        <v>0.16</v>
      </c>
      <c r="J727" s="333">
        <v>0.2</v>
      </c>
      <c r="K727" s="332"/>
      <c r="L727" s="332"/>
      <c r="M727" s="332" t="s">
        <v>157</v>
      </c>
      <c r="N727" s="332">
        <v>2015</v>
      </c>
      <c r="O727" s="332" t="s">
        <v>158</v>
      </c>
      <c r="P727" s="332">
        <v>978981</v>
      </c>
      <c r="Q727" s="335" t="s">
        <v>175</v>
      </c>
      <c r="R727" s="335" t="s">
        <v>1113</v>
      </c>
      <c r="S727" s="335"/>
    </row>
    <row r="728" spans="1:19" x14ac:dyDescent="0.2">
      <c r="A728" s="335" t="s">
        <v>983</v>
      </c>
      <c r="B728" s="332">
        <v>13</v>
      </c>
      <c r="C728" s="332">
        <v>5</v>
      </c>
      <c r="D728" s="332">
        <v>8</v>
      </c>
      <c r="E728" s="332">
        <v>27</v>
      </c>
      <c r="F728" s="332">
        <v>42</v>
      </c>
      <c r="G728" s="332">
        <v>52</v>
      </c>
      <c r="H728" s="332">
        <v>8.7000000000000011</v>
      </c>
      <c r="I728" s="333">
        <v>0.77</v>
      </c>
      <c r="J728" s="333">
        <v>1.9000000000000001</v>
      </c>
      <c r="K728" s="332">
        <v>14.3</v>
      </c>
      <c r="L728" s="332">
        <v>0.9</v>
      </c>
      <c r="M728" s="332" t="s">
        <v>352</v>
      </c>
      <c r="N728" s="332">
        <v>2000</v>
      </c>
      <c r="O728" s="332" t="s">
        <v>69</v>
      </c>
      <c r="P728" s="332">
        <v>992099</v>
      </c>
      <c r="Q728" s="335" t="s">
        <v>800</v>
      </c>
      <c r="R728" s="335" t="s">
        <v>1113</v>
      </c>
      <c r="S728" s="335"/>
    </row>
    <row r="729" spans="1:19" x14ac:dyDescent="0.2">
      <c r="A729" s="335" t="s">
        <v>572</v>
      </c>
      <c r="B729" s="332">
        <v>6</v>
      </c>
      <c r="C729" s="332">
        <v>2</v>
      </c>
      <c r="D729" s="332">
        <v>4</v>
      </c>
      <c r="E729" s="332">
        <v>15</v>
      </c>
      <c r="F729" s="332">
        <v>64</v>
      </c>
      <c r="G729" s="332">
        <v>96</v>
      </c>
      <c r="H729" s="332">
        <v>14.4</v>
      </c>
      <c r="I729" s="333">
        <v>0.62</v>
      </c>
      <c r="J729" s="333">
        <v>1.67</v>
      </c>
      <c r="K729" s="332">
        <v>15.9</v>
      </c>
      <c r="L729" s="332">
        <v>1.1000000000000001</v>
      </c>
      <c r="M729" s="332" t="s">
        <v>505</v>
      </c>
      <c r="N729" s="332">
        <v>2006</v>
      </c>
      <c r="O729" s="332" t="s">
        <v>69</v>
      </c>
      <c r="P729" s="332">
        <v>757575</v>
      </c>
      <c r="Q729" s="335" t="s">
        <v>418</v>
      </c>
      <c r="R729" s="335" t="s">
        <v>205</v>
      </c>
      <c r="S729" s="335"/>
    </row>
    <row r="730" spans="1:19" x14ac:dyDescent="0.2">
      <c r="A730" s="335" t="s">
        <v>656</v>
      </c>
      <c r="B730" s="332">
        <v>8</v>
      </c>
      <c r="C730" s="332">
        <v>2</v>
      </c>
      <c r="D730" s="332">
        <v>7</v>
      </c>
      <c r="E730" s="332">
        <v>26</v>
      </c>
      <c r="F730" s="332">
        <v>67</v>
      </c>
      <c r="G730" s="332">
        <v>106</v>
      </c>
      <c r="H730" s="332">
        <v>15.5</v>
      </c>
      <c r="I730" s="333">
        <v>0.76</v>
      </c>
      <c r="J730" s="333">
        <v>2.09</v>
      </c>
      <c r="K730" s="332">
        <v>15.9</v>
      </c>
      <c r="L730" s="332">
        <v>1.2</v>
      </c>
      <c r="M730" s="332" t="s">
        <v>505</v>
      </c>
      <c r="N730" s="332">
        <v>2000</v>
      </c>
      <c r="O730" s="332" t="s">
        <v>69</v>
      </c>
      <c r="P730" s="332">
        <v>910109</v>
      </c>
      <c r="Q730" s="335" t="s">
        <v>1013</v>
      </c>
      <c r="R730" s="335" t="s">
        <v>205</v>
      </c>
      <c r="S730" s="335"/>
    </row>
    <row r="731" spans="1:19" x14ac:dyDescent="0.2">
      <c r="A731" s="335" t="s">
        <v>861</v>
      </c>
      <c r="B731" s="332">
        <v>5</v>
      </c>
      <c r="C731" s="332">
        <v>0</v>
      </c>
      <c r="D731" s="332">
        <v>4</v>
      </c>
      <c r="E731" s="332">
        <v>19</v>
      </c>
      <c r="F731" s="332">
        <v>64</v>
      </c>
      <c r="G731" s="332">
        <v>92</v>
      </c>
      <c r="H731" s="332">
        <v>14</v>
      </c>
      <c r="I731" s="333">
        <v>0.61</v>
      </c>
      <c r="J731" s="333">
        <v>1.46</v>
      </c>
      <c r="K731" s="332">
        <v>14.200000000000001</v>
      </c>
      <c r="L731" s="332">
        <v>1.2</v>
      </c>
      <c r="M731" s="332" t="s">
        <v>505</v>
      </c>
      <c r="N731" s="332">
        <v>2000</v>
      </c>
      <c r="O731" s="332" t="s">
        <v>69</v>
      </c>
      <c r="P731" s="332">
        <v>365981</v>
      </c>
      <c r="Q731" s="335" t="s">
        <v>506</v>
      </c>
      <c r="R731" s="335" t="s">
        <v>205</v>
      </c>
      <c r="S731" s="335"/>
    </row>
    <row r="732" spans="1:19" x14ac:dyDescent="0.2">
      <c r="A732" s="335" t="s">
        <v>872</v>
      </c>
      <c r="B732" s="332">
        <v>9</v>
      </c>
      <c r="C732" s="332">
        <v>2</v>
      </c>
      <c r="D732" s="332">
        <v>8</v>
      </c>
      <c r="E732" s="332">
        <v>24</v>
      </c>
      <c r="F732" s="332">
        <v>70</v>
      </c>
      <c r="G732" s="332">
        <v>97</v>
      </c>
      <c r="H732" s="332">
        <v>14.5</v>
      </c>
      <c r="I732" s="333">
        <v>0.68</v>
      </c>
      <c r="J732" s="333">
        <v>1.6500000000000001</v>
      </c>
      <c r="K732" s="332">
        <v>14.4</v>
      </c>
      <c r="L732" s="332">
        <v>1.3</v>
      </c>
      <c r="M732" s="332" t="s">
        <v>505</v>
      </c>
      <c r="N732" s="332">
        <v>2000</v>
      </c>
      <c r="O732" s="332" t="s">
        <v>69</v>
      </c>
      <c r="P732" s="332">
        <v>652628</v>
      </c>
      <c r="Q732" s="335" t="s">
        <v>506</v>
      </c>
      <c r="R732" s="335" t="s">
        <v>205</v>
      </c>
      <c r="S732" s="335"/>
    </row>
    <row r="733" spans="1:19" x14ac:dyDescent="0.2">
      <c r="A733" s="335" t="s">
        <v>573</v>
      </c>
      <c r="B733" s="332">
        <v>8</v>
      </c>
      <c r="C733" s="332">
        <v>3</v>
      </c>
      <c r="D733" s="332">
        <v>6</v>
      </c>
      <c r="E733" s="332">
        <v>19</v>
      </c>
      <c r="F733" s="332">
        <v>76</v>
      </c>
      <c r="G733" s="332">
        <v>130</v>
      </c>
      <c r="H733" s="332">
        <v>18.100000000000001</v>
      </c>
      <c r="I733" s="333">
        <v>0.63</v>
      </c>
      <c r="J733" s="333">
        <v>1.68</v>
      </c>
      <c r="K733" s="332">
        <v>17.2</v>
      </c>
      <c r="L733" s="332">
        <v>1.2</v>
      </c>
      <c r="M733" s="332" t="s">
        <v>505</v>
      </c>
      <c r="N733" s="332">
        <v>2008</v>
      </c>
      <c r="O733" s="332" t="s">
        <v>69</v>
      </c>
      <c r="P733" s="332">
        <v>192146</v>
      </c>
      <c r="Q733" s="335" t="s">
        <v>418</v>
      </c>
      <c r="R733" s="335" t="s">
        <v>205</v>
      </c>
      <c r="S733" s="335"/>
    </row>
    <row r="734" spans="1:19" x14ac:dyDescent="0.2">
      <c r="A734" s="335" t="s">
        <v>657</v>
      </c>
      <c r="B734" s="332">
        <v>5</v>
      </c>
      <c r="C734" s="332">
        <v>-1</v>
      </c>
      <c r="D734" s="332">
        <v>4</v>
      </c>
      <c r="E734" s="332">
        <v>23</v>
      </c>
      <c r="F734" s="332">
        <v>59</v>
      </c>
      <c r="G734" s="332">
        <v>86</v>
      </c>
      <c r="H734" s="332">
        <v>13.200000000000001</v>
      </c>
      <c r="I734" s="333">
        <v>0.74</v>
      </c>
      <c r="J734" s="333">
        <v>2.04</v>
      </c>
      <c r="K734" s="332">
        <v>16.600000000000001</v>
      </c>
      <c r="L734" s="332">
        <v>1</v>
      </c>
      <c r="M734" s="332" t="s">
        <v>505</v>
      </c>
      <c r="N734" s="332">
        <v>2006</v>
      </c>
      <c r="O734" s="332" t="s">
        <v>69</v>
      </c>
      <c r="P734" s="332">
        <v>866897</v>
      </c>
      <c r="Q734" s="335" t="s">
        <v>1013</v>
      </c>
      <c r="R734" s="335" t="s">
        <v>205</v>
      </c>
      <c r="S734" s="335"/>
    </row>
    <row r="735" spans="1:19" x14ac:dyDescent="0.2">
      <c r="A735" s="335" t="s">
        <v>621</v>
      </c>
      <c r="B735" s="332">
        <v>6</v>
      </c>
      <c r="C735" s="332">
        <v>1</v>
      </c>
      <c r="D735" s="332">
        <v>5</v>
      </c>
      <c r="E735" s="332">
        <v>25</v>
      </c>
      <c r="F735" s="332">
        <v>65</v>
      </c>
      <c r="G735" s="332">
        <v>94</v>
      </c>
      <c r="H735" s="332">
        <v>14.200000000000001</v>
      </c>
      <c r="I735" s="333">
        <v>0.69000000000000006</v>
      </c>
      <c r="J735" s="333">
        <v>2</v>
      </c>
      <c r="K735" s="332">
        <v>15.1</v>
      </c>
      <c r="L735" s="332">
        <v>1.2</v>
      </c>
      <c r="M735" s="332" t="s">
        <v>505</v>
      </c>
      <c r="N735" s="332">
        <v>2009</v>
      </c>
      <c r="O735" s="332" t="s">
        <v>69</v>
      </c>
      <c r="P735" s="332">
        <v>174490</v>
      </c>
      <c r="Q735" s="335" t="s">
        <v>775</v>
      </c>
      <c r="R735" s="335" t="s">
        <v>205</v>
      </c>
      <c r="S735" s="335"/>
    </row>
    <row r="736" spans="1:19" x14ac:dyDescent="0.2">
      <c r="A736" s="335" t="s">
        <v>974</v>
      </c>
      <c r="B736" s="332">
        <v>4</v>
      </c>
      <c r="C736" s="332">
        <v>-1</v>
      </c>
      <c r="D736" s="332">
        <v>2</v>
      </c>
      <c r="E736" s="332">
        <v>19</v>
      </c>
      <c r="F736" s="332">
        <v>52</v>
      </c>
      <c r="G736" s="332">
        <v>81</v>
      </c>
      <c r="H736" s="332">
        <v>12.6</v>
      </c>
      <c r="I736" s="333">
        <v>0.67</v>
      </c>
      <c r="J736" s="333">
        <v>1.6400000000000001</v>
      </c>
      <c r="K736" s="332">
        <v>14.9</v>
      </c>
      <c r="L736" s="332">
        <v>1</v>
      </c>
      <c r="M736" s="332" t="s">
        <v>505</v>
      </c>
      <c r="N736" s="332">
        <v>2000</v>
      </c>
      <c r="O736" s="332" t="s">
        <v>69</v>
      </c>
      <c r="P736" s="332">
        <v>920439</v>
      </c>
      <c r="Q736" s="335" t="s">
        <v>800</v>
      </c>
      <c r="R736" s="335" t="s">
        <v>205</v>
      </c>
      <c r="S736" s="335"/>
    </row>
    <row r="737" spans="1:19" x14ac:dyDescent="0.2">
      <c r="A737" s="335" t="s">
        <v>851</v>
      </c>
      <c r="B737" s="332">
        <v>6</v>
      </c>
      <c r="C737" s="332">
        <v>1</v>
      </c>
      <c r="D737" s="332">
        <v>5</v>
      </c>
      <c r="E737" s="332">
        <v>20</v>
      </c>
      <c r="F737" s="332">
        <v>54</v>
      </c>
      <c r="G737" s="332">
        <v>83</v>
      </c>
      <c r="H737" s="332">
        <v>12.9</v>
      </c>
      <c r="I737" s="333">
        <v>0.70000000000000007</v>
      </c>
      <c r="J737" s="333">
        <v>1.8</v>
      </c>
      <c r="K737" s="332">
        <v>15.200000000000001</v>
      </c>
      <c r="L737" s="332">
        <v>1</v>
      </c>
      <c r="M737" s="332" t="s">
        <v>505</v>
      </c>
      <c r="N737" s="332">
        <v>2000</v>
      </c>
      <c r="O737" s="332" t="s">
        <v>69</v>
      </c>
      <c r="P737" s="332">
        <v>275495</v>
      </c>
      <c r="Q737" s="335" t="s">
        <v>579</v>
      </c>
      <c r="R737" s="335" t="s">
        <v>205</v>
      </c>
      <c r="S737" s="335"/>
    </row>
    <row r="738" spans="1:19" x14ac:dyDescent="0.2">
      <c r="A738" s="335" t="s">
        <v>406</v>
      </c>
      <c r="B738" s="332">
        <v>6</v>
      </c>
      <c r="C738" s="332">
        <v>3</v>
      </c>
      <c r="D738" s="332">
        <v>8</v>
      </c>
      <c r="E738" s="332">
        <v>21</v>
      </c>
      <c r="F738" s="332">
        <v>46</v>
      </c>
      <c r="G738" s="332">
        <v>110</v>
      </c>
      <c r="H738" s="332">
        <v>16</v>
      </c>
      <c r="I738" s="333">
        <v>0.37</v>
      </c>
      <c r="J738" s="333">
        <v>1.85</v>
      </c>
      <c r="K738" s="332">
        <v>12.200000000000001</v>
      </c>
      <c r="L738" s="332">
        <v>1.1000000000000001</v>
      </c>
      <c r="M738" s="332" t="s">
        <v>300</v>
      </c>
      <c r="N738" s="332">
        <v>2008</v>
      </c>
      <c r="O738" s="332" t="s">
        <v>69</v>
      </c>
      <c r="P738" s="332">
        <v>352468</v>
      </c>
      <c r="Q738" s="335" t="s">
        <v>801</v>
      </c>
      <c r="R738" s="335" t="s">
        <v>185</v>
      </c>
      <c r="S738" s="335" t="s">
        <v>166</v>
      </c>
    </row>
    <row r="739" spans="1:19" x14ac:dyDescent="0.2">
      <c r="A739" s="335" t="s">
        <v>401</v>
      </c>
      <c r="B739" s="332">
        <v>10</v>
      </c>
      <c r="C739" s="332">
        <v>5</v>
      </c>
      <c r="D739" s="332">
        <v>13</v>
      </c>
      <c r="E739" s="332">
        <v>16</v>
      </c>
      <c r="F739" s="332">
        <v>73</v>
      </c>
      <c r="G739" s="332">
        <v>212</v>
      </c>
      <c r="H739" s="332">
        <v>25.6</v>
      </c>
      <c r="I739" s="333">
        <v>0.38</v>
      </c>
      <c r="J739" s="333">
        <v>2</v>
      </c>
      <c r="K739" s="332">
        <v>11.9</v>
      </c>
      <c r="L739" s="332">
        <v>1.6</v>
      </c>
      <c r="M739" s="332" t="s">
        <v>300</v>
      </c>
      <c r="N739" s="332">
        <v>2008</v>
      </c>
      <c r="O739" s="332" t="s">
        <v>69</v>
      </c>
      <c r="P739" s="332">
        <v>388298</v>
      </c>
      <c r="Q739" s="335" t="s">
        <v>801</v>
      </c>
      <c r="R739" s="335" t="s">
        <v>325</v>
      </c>
      <c r="S739" s="335" t="s">
        <v>166</v>
      </c>
    </row>
    <row r="740" spans="1:19" x14ac:dyDescent="0.2">
      <c r="A740" s="335" t="s">
        <v>1047</v>
      </c>
      <c r="B740" s="332">
        <v>5</v>
      </c>
      <c r="C740" s="332">
        <v>1</v>
      </c>
      <c r="D740" s="332">
        <v>6</v>
      </c>
      <c r="E740" s="332"/>
      <c r="F740" s="332"/>
      <c r="G740" s="332"/>
      <c r="H740" s="332"/>
      <c r="I740" s="333">
        <v>0.89</v>
      </c>
      <c r="J740" s="333">
        <v>2.62</v>
      </c>
      <c r="K740" s="332"/>
      <c r="L740" s="332"/>
      <c r="M740" s="332" t="s">
        <v>157</v>
      </c>
      <c r="N740" s="332">
        <v>2016</v>
      </c>
      <c r="O740" s="332" t="s">
        <v>69</v>
      </c>
      <c r="P740" s="332">
        <v>708107</v>
      </c>
      <c r="Q740" s="335" t="s">
        <v>294</v>
      </c>
      <c r="R740" s="335" t="s">
        <v>185</v>
      </c>
      <c r="S740" s="335"/>
    </row>
    <row r="741" spans="1:19" x14ac:dyDescent="0.2">
      <c r="A741" s="335" t="s">
        <v>887</v>
      </c>
      <c r="B741" s="332">
        <v>9</v>
      </c>
      <c r="C741" s="332">
        <v>3</v>
      </c>
      <c r="D741" s="332">
        <v>6</v>
      </c>
      <c r="E741" s="332">
        <v>17</v>
      </c>
      <c r="F741" s="332">
        <v>57</v>
      </c>
      <c r="G741" s="332">
        <v>90</v>
      </c>
      <c r="H741" s="332">
        <v>13.700000000000001</v>
      </c>
      <c r="I741" s="333">
        <v>0.53</v>
      </c>
      <c r="J741" s="333">
        <v>1.55</v>
      </c>
      <c r="K741" s="332">
        <v>15.6</v>
      </c>
      <c r="L741" s="332">
        <v>1.1000000000000001</v>
      </c>
      <c r="M741" s="332" t="s">
        <v>505</v>
      </c>
      <c r="N741" s="332">
        <v>2015</v>
      </c>
      <c r="O741" s="332" t="s">
        <v>69</v>
      </c>
      <c r="P741" s="332">
        <v>938902</v>
      </c>
      <c r="Q741" s="335" t="s">
        <v>777</v>
      </c>
      <c r="R741" s="335" t="s">
        <v>205</v>
      </c>
      <c r="S741" s="335"/>
    </row>
    <row r="742" spans="1:19" x14ac:dyDescent="0.2">
      <c r="A742" s="335" t="s">
        <v>1135</v>
      </c>
      <c r="B742" s="332">
        <v>6</v>
      </c>
      <c r="C742" s="332">
        <v>3</v>
      </c>
      <c r="D742" s="332">
        <v>6</v>
      </c>
      <c r="E742" s="332">
        <v>11</v>
      </c>
      <c r="F742" s="332">
        <v>23</v>
      </c>
      <c r="G742" s="332">
        <v>53</v>
      </c>
      <c r="H742" s="332">
        <v>8.9</v>
      </c>
      <c r="I742" s="333">
        <v>0.33</v>
      </c>
      <c r="J742" s="333">
        <v>1.45</v>
      </c>
      <c r="K742" s="332">
        <v>6.3</v>
      </c>
      <c r="L742" s="332">
        <v>1.2</v>
      </c>
      <c r="M742" s="332" t="s">
        <v>157</v>
      </c>
      <c r="N742" s="332">
        <v>2015</v>
      </c>
      <c r="O742" s="332" t="s">
        <v>158</v>
      </c>
      <c r="P742" s="332">
        <v>154302</v>
      </c>
      <c r="Q742" s="335" t="s">
        <v>198</v>
      </c>
      <c r="R742" s="335" t="s">
        <v>1106</v>
      </c>
      <c r="S742" s="335"/>
    </row>
    <row r="743" spans="1:19" x14ac:dyDescent="0.2">
      <c r="A743" s="335" t="s">
        <v>1004</v>
      </c>
      <c r="B743" s="332">
        <v>16</v>
      </c>
      <c r="C743" s="332">
        <v>11</v>
      </c>
      <c r="D743" s="332">
        <v>18</v>
      </c>
      <c r="E743" s="332">
        <v>21</v>
      </c>
      <c r="F743" s="332"/>
      <c r="G743" s="332"/>
      <c r="H743" s="332"/>
      <c r="I743" s="333">
        <v>0.8</v>
      </c>
      <c r="J743" s="333">
        <v>1.99</v>
      </c>
      <c r="K743" s="332"/>
      <c r="L743" s="332"/>
      <c r="M743" s="332" t="s">
        <v>157</v>
      </c>
      <c r="N743" s="332">
        <v>2015</v>
      </c>
      <c r="O743" s="332" t="s">
        <v>69</v>
      </c>
      <c r="P743" s="332">
        <v>814418</v>
      </c>
      <c r="Q743" s="335" t="s">
        <v>1139</v>
      </c>
      <c r="R743" s="335" t="s">
        <v>1111</v>
      </c>
      <c r="S743" s="335"/>
    </row>
    <row r="744" spans="1:19" x14ac:dyDescent="0.2">
      <c r="A744" s="335" t="s">
        <v>935</v>
      </c>
      <c r="B744" s="332">
        <v>6</v>
      </c>
      <c r="C744" s="332">
        <v>2</v>
      </c>
      <c r="D744" s="332">
        <v>6</v>
      </c>
      <c r="E744" s="332">
        <v>17</v>
      </c>
      <c r="F744" s="332"/>
      <c r="G744" s="332"/>
      <c r="H744" s="332"/>
      <c r="I744" s="333">
        <v>0.77</v>
      </c>
      <c r="J744" s="333">
        <v>1.9000000000000001</v>
      </c>
      <c r="K744" s="332"/>
      <c r="L744" s="332"/>
      <c r="M744" s="332" t="s">
        <v>157</v>
      </c>
      <c r="N744" s="332">
        <v>2015</v>
      </c>
      <c r="O744" s="332" t="s">
        <v>69</v>
      </c>
      <c r="P744" s="332">
        <v>256305</v>
      </c>
      <c r="Q744" s="335" t="s">
        <v>1139</v>
      </c>
      <c r="R744" s="335" t="s">
        <v>185</v>
      </c>
      <c r="S744" s="335"/>
    </row>
    <row r="745" spans="1:19" x14ac:dyDescent="0.2">
      <c r="A745" s="335" t="s">
        <v>891</v>
      </c>
      <c r="B745" s="332">
        <v>1</v>
      </c>
      <c r="C745" s="332">
        <v>0</v>
      </c>
      <c r="D745" s="332">
        <v>1</v>
      </c>
      <c r="E745" s="332">
        <v>2</v>
      </c>
      <c r="F745" s="332"/>
      <c r="G745" s="332"/>
      <c r="H745" s="332"/>
      <c r="I745" s="333">
        <v>0.42</v>
      </c>
      <c r="J745" s="333">
        <v>1.17</v>
      </c>
      <c r="K745" s="332"/>
      <c r="L745" s="332"/>
      <c r="M745" s="332" t="s">
        <v>157</v>
      </c>
      <c r="N745" s="332">
        <v>2015</v>
      </c>
      <c r="O745" s="332" t="s">
        <v>69</v>
      </c>
      <c r="P745" s="332">
        <v>886077</v>
      </c>
      <c r="Q745" s="335" t="s">
        <v>1139</v>
      </c>
      <c r="R745" s="335" t="s">
        <v>1098</v>
      </c>
      <c r="S745" s="335"/>
    </row>
    <row r="746" spans="1:19" x14ac:dyDescent="0.2">
      <c r="A746" s="335" t="s">
        <v>898</v>
      </c>
      <c r="B746" s="332">
        <v>12</v>
      </c>
      <c r="C746" s="332">
        <v>8</v>
      </c>
      <c r="D746" s="332">
        <v>18</v>
      </c>
      <c r="E746" s="332">
        <v>21</v>
      </c>
      <c r="F746" s="332"/>
      <c r="G746" s="332"/>
      <c r="H746" s="332"/>
      <c r="I746" s="333">
        <v>0.78</v>
      </c>
      <c r="J746" s="333">
        <v>1.95</v>
      </c>
      <c r="K746" s="332"/>
      <c r="L746" s="332"/>
      <c r="M746" s="332" t="s">
        <v>157</v>
      </c>
      <c r="N746" s="332">
        <v>2015</v>
      </c>
      <c r="O746" s="332" t="s">
        <v>69</v>
      </c>
      <c r="P746" s="332">
        <v>850248</v>
      </c>
      <c r="Q746" s="335" t="s">
        <v>1139</v>
      </c>
      <c r="R746" s="335" t="s">
        <v>223</v>
      </c>
      <c r="S746" s="335"/>
    </row>
    <row r="747" spans="1:19" x14ac:dyDescent="0.2">
      <c r="A747" s="335" t="s">
        <v>1152</v>
      </c>
      <c r="B747" s="332">
        <v>3</v>
      </c>
      <c r="C747" s="332">
        <v>1</v>
      </c>
      <c r="D747" s="332">
        <v>3</v>
      </c>
      <c r="E747" s="332">
        <v>7</v>
      </c>
      <c r="F747" s="332"/>
      <c r="G747" s="332"/>
      <c r="H747" s="332"/>
      <c r="I747" s="333">
        <v>0.57000000000000006</v>
      </c>
      <c r="J747" s="333">
        <v>1.55</v>
      </c>
      <c r="K747" s="332"/>
      <c r="L747" s="332"/>
      <c r="M747" s="332" t="s">
        <v>157</v>
      </c>
      <c r="N747" s="332">
        <v>2015</v>
      </c>
      <c r="O747" s="332" t="s">
        <v>158</v>
      </c>
      <c r="P747" s="332">
        <v>536276</v>
      </c>
      <c r="Q747" s="335" t="s">
        <v>859</v>
      </c>
      <c r="R747" s="335" t="s">
        <v>1106</v>
      </c>
      <c r="S747" s="335"/>
    </row>
    <row r="748" spans="1:19" x14ac:dyDescent="0.2">
      <c r="A748" s="335" t="s">
        <v>1164</v>
      </c>
      <c r="B748" s="332"/>
      <c r="C748" s="332"/>
      <c r="D748" s="332"/>
      <c r="E748" s="332"/>
      <c r="F748" s="332"/>
      <c r="G748" s="332"/>
      <c r="H748" s="332"/>
      <c r="I748" s="333">
        <v>0.77</v>
      </c>
      <c r="J748" s="333">
        <v>1.92</v>
      </c>
      <c r="K748" s="332"/>
      <c r="L748" s="332"/>
      <c r="M748" s="332" t="s">
        <v>157</v>
      </c>
      <c r="N748" s="332">
        <v>2017</v>
      </c>
      <c r="O748" s="332" t="s">
        <v>69</v>
      </c>
      <c r="P748" s="332">
        <v>592709</v>
      </c>
      <c r="Q748" s="335" t="s">
        <v>838</v>
      </c>
      <c r="R748" s="335" t="s">
        <v>223</v>
      </c>
      <c r="S748" s="335"/>
    </row>
    <row r="749" spans="1:19" x14ac:dyDescent="0.2">
      <c r="A749" s="335" t="s">
        <v>565</v>
      </c>
      <c r="B749" s="332">
        <v>-7</v>
      </c>
      <c r="C749" s="332">
        <v>-10</v>
      </c>
      <c r="D749" s="332">
        <v>-8</v>
      </c>
      <c r="E749" s="332">
        <v>0</v>
      </c>
      <c r="F749" s="332">
        <v>6</v>
      </c>
      <c r="G749" s="332"/>
      <c r="H749" s="332"/>
      <c r="I749" s="333">
        <v>0.66</v>
      </c>
      <c r="J749" s="333">
        <v>1.6</v>
      </c>
      <c r="K749" s="332">
        <v>17</v>
      </c>
      <c r="L749" s="332">
        <v>0.2</v>
      </c>
      <c r="M749" s="332" t="s">
        <v>157</v>
      </c>
      <c r="N749" s="332">
        <v>2012</v>
      </c>
      <c r="O749" s="332" t="s">
        <v>158</v>
      </c>
      <c r="P749" s="332">
        <v>154369</v>
      </c>
      <c r="Q749" s="335" t="s">
        <v>409</v>
      </c>
      <c r="R749" s="335" t="s">
        <v>305</v>
      </c>
      <c r="S749" s="335"/>
    </row>
    <row r="750" spans="1:19" x14ac:dyDescent="0.2">
      <c r="A750" s="335" t="s">
        <v>531</v>
      </c>
      <c r="B750" s="332">
        <v>11</v>
      </c>
      <c r="C750" s="332">
        <v>10</v>
      </c>
      <c r="D750" s="332">
        <v>16</v>
      </c>
      <c r="E750" s="332">
        <v>41</v>
      </c>
      <c r="F750" s="332">
        <v>55</v>
      </c>
      <c r="G750" s="332">
        <v>168</v>
      </c>
      <c r="H750" s="332">
        <v>21.8</v>
      </c>
      <c r="I750" s="333">
        <v>0.52</v>
      </c>
      <c r="J750" s="333">
        <v>1.2</v>
      </c>
      <c r="K750" s="332">
        <v>15.200000000000001</v>
      </c>
      <c r="L750" s="332">
        <v>1.1000000000000001</v>
      </c>
      <c r="M750" s="332" t="s">
        <v>207</v>
      </c>
      <c r="N750" s="332">
        <v>2011</v>
      </c>
      <c r="O750" s="332" t="s">
        <v>69</v>
      </c>
      <c r="P750" s="332">
        <v>157438</v>
      </c>
      <c r="Q750" s="335" t="s">
        <v>532</v>
      </c>
      <c r="R750" s="335" t="s">
        <v>305</v>
      </c>
      <c r="S750" s="335" t="s">
        <v>166</v>
      </c>
    </row>
    <row r="751" spans="1:19" x14ac:dyDescent="0.2">
      <c r="A751" s="335" t="s">
        <v>601</v>
      </c>
      <c r="B751" s="332">
        <v>13</v>
      </c>
      <c r="C751" s="332">
        <v>7</v>
      </c>
      <c r="D751" s="332">
        <v>13</v>
      </c>
      <c r="E751" s="332">
        <v>21</v>
      </c>
      <c r="F751" s="332">
        <v>23</v>
      </c>
      <c r="G751" s="332">
        <v>51</v>
      </c>
      <c r="H751" s="332">
        <v>8.5</v>
      </c>
      <c r="I751" s="333">
        <v>0.70000000000000007</v>
      </c>
      <c r="J751" s="333">
        <v>2.0100000000000002</v>
      </c>
      <c r="K751" s="332">
        <v>10.9</v>
      </c>
      <c r="L751" s="332">
        <v>0.70000000000000007</v>
      </c>
      <c r="M751" s="332" t="s">
        <v>300</v>
      </c>
      <c r="N751" s="332">
        <v>2013</v>
      </c>
      <c r="O751" s="332" t="s">
        <v>69</v>
      </c>
      <c r="P751" s="332">
        <v>419101</v>
      </c>
      <c r="Q751" s="335" t="s">
        <v>600</v>
      </c>
      <c r="R751" s="335" t="s">
        <v>302</v>
      </c>
      <c r="S751" s="335"/>
    </row>
    <row r="752" spans="1:19" x14ac:dyDescent="0.2">
      <c r="A752" s="335" t="s">
        <v>429</v>
      </c>
      <c r="B752" s="332">
        <v>11</v>
      </c>
      <c r="C752" s="332">
        <v>6</v>
      </c>
      <c r="D752" s="332">
        <v>12</v>
      </c>
      <c r="E752" s="332">
        <v>23</v>
      </c>
      <c r="F752" s="332">
        <v>54</v>
      </c>
      <c r="G752" s="332">
        <v>112</v>
      </c>
      <c r="H752" s="332">
        <v>16.2</v>
      </c>
      <c r="I752" s="333">
        <v>0.46</v>
      </c>
      <c r="J752" s="333">
        <v>1.02</v>
      </c>
      <c r="K752" s="332">
        <v>10.700000000000001</v>
      </c>
      <c r="L752" s="332">
        <v>1.4000000000000001</v>
      </c>
      <c r="M752" s="332" t="s">
        <v>300</v>
      </c>
      <c r="N752" s="332">
        <v>2007</v>
      </c>
      <c r="O752" s="332" t="s">
        <v>69</v>
      </c>
      <c r="P752" s="332">
        <v>282632</v>
      </c>
      <c r="Q752" s="335" t="s">
        <v>362</v>
      </c>
      <c r="R752" s="335" t="s">
        <v>185</v>
      </c>
      <c r="S752" s="335"/>
    </row>
    <row r="753" spans="1:19" x14ac:dyDescent="0.2">
      <c r="A753" s="335" t="s">
        <v>366</v>
      </c>
      <c r="B753" s="332">
        <v>8</v>
      </c>
      <c r="C753" s="332">
        <v>4</v>
      </c>
      <c r="D753" s="332">
        <v>9</v>
      </c>
      <c r="E753" s="332">
        <v>20</v>
      </c>
      <c r="F753" s="332">
        <v>31</v>
      </c>
      <c r="G753" s="332">
        <v>84</v>
      </c>
      <c r="H753" s="332">
        <v>13</v>
      </c>
      <c r="I753" s="333">
        <v>0.35000000000000003</v>
      </c>
      <c r="J753" s="333">
        <v>1</v>
      </c>
      <c r="K753" s="332">
        <v>13.1</v>
      </c>
      <c r="L753" s="332">
        <v>0.8</v>
      </c>
      <c r="M753" s="332" t="s">
        <v>300</v>
      </c>
      <c r="N753" s="332">
        <v>2002</v>
      </c>
      <c r="O753" s="332" t="s">
        <v>69</v>
      </c>
      <c r="P753" s="332">
        <v>984187</v>
      </c>
      <c r="Q753" s="335" t="s">
        <v>180</v>
      </c>
      <c r="R753" s="335" t="s">
        <v>185</v>
      </c>
      <c r="S753" s="335"/>
    </row>
    <row r="754" spans="1:19" x14ac:dyDescent="0.2">
      <c r="A754" s="335" t="s">
        <v>518</v>
      </c>
      <c r="B754" s="332">
        <v>13</v>
      </c>
      <c r="C754" s="332">
        <v>3</v>
      </c>
      <c r="D754" s="332">
        <v>16</v>
      </c>
      <c r="E754" s="332">
        <v>33</v>
      </c>
      <c r="F754" s="332">
        <v>22</v>
      </c>
      <c r="G754" s="332">
        <v>50</v>
      </c>
      <c r="H754" s="332">
        <v>8.4</v>
      </c>
      <c r="I754" s="333">
        <v>0.64</v>
      </c>
      <c r="J754" s="333">
        <v>4</v>
      </c>
      <c r="K754" s="332">
        <v>14.700000000000001</v>
      </c>
      <c r="L754" s="332">
        <v>0.5</v>
      </c>
      <c r="M754" s="332" t="s">
        <v>300</v>
      </c>
      <c r="N754" s="332">
        <v>2002</v>
      </c>
      <c r="O754" s="332" t="s">
        <v>69</v>
      </c>
      <c r="P754" s="332">
        <v>501981</v>
      </c>
      <c r="Q754" s="335" t="s">
        <v>180</v>
      </c>
      <c r="R754" s="335" t="s">
        <v>302</v>
      </c>
      <c r="S754" s="335"/>
    </row>
    <row r="755" spans="1:19" x14ac:dyDescent="0.2">
      <c r="A755" s="335" t="s">
        <v>605</v>
      </c>
      <c r="B755" s="332">
        <v>6</v>
      </c>
      <c r="C755" s="332">
        <v>6</v>
      </c>
      <c r="D755" s="332">
        <v>9</v>
      </c>
      <c r="E755" s="332">
        <v>12</v>
      </c>
      <c r="F755" s="332">
        <v>43</v>
      </c>
      <c r="G755" s="332">
        <v>101</v>
      </c>
      <c r="H755" s="332">
        <v>15</v>
      </c>
      <c r="I755" s="333">
        <v>0.69000000000000006</v>
      </c>
      <c r="J755" s="333">
        <v>2</v>
      </c>
      <c r="K755" s="332">
        <v>12.4</v>
      </c>
      <c r="L755" s="332">
        <v>1</v>
      </c>
      <c r="M755" s="332" t="s">
        <v>300</v>
      </c>
      <c r="N755" s="332">
        <v>2002</v>
      </c>
      <c r="O755" s="332" t="s">
        <v>69</v>
      </c>
      <c r="P755" s="332">
        <v>598557</v>
      </c>
      <c r="Q755" s="335" t="s">
        <v>600</v>
      </c>
      <c r="R755" s="335" t="s">
        <v>325</v>
      </c>
      <c r="S755" s="335"/>
    </row>
    <row r="756" spans="1:19" x14ac:dyDescent="0.2">
      <c r="A756" s="335" t="s">
        <v>604</v>
      </c>
      <c r="B756" s="332">
        <v>13</v>
      </c>
      <c r="C756" s="332">
        <v>7</v>
      </c>
      <c r="D756" s="332">
        <v>14</v>
      </c>
      <c r="E756" s="332">
        <v>16</v>
      </c>
      <c r="F756" s="332">
        <v>49</v>
      </c>
      <c r="G756" s="332">
        <v>102</v>
      </c>
      <c r="H756" s="332">
        <v>15.1</v>
      </c>
      <c r="I756" s="333">
        <v>0.69000000000000006</v>
      </c>
      <c r="J756" s="333">
        <v>2</v>
      </c>
      <c r="K756" s="332">
        <v>12</v>
      </c>
      <c r="L756" s="332">
        <v>1.2</v>
      </c>
      <c r="M756" s="332" t="s">
        <v>300</v>
      </c>
      <c r="N756" s="332">
        <v>2013</v>
      </c>
      <c r="O756" s="332" t="s">
        <v>69</v>
      </c>
      <c r="P756" s="332">
        <v>562421</v>
      </c>
      <c r="Q756" s="335" t="s">
        <v>600</v>
      </c>
      <c r="R756" s="335" t="s">
        <v>185</v>
      </c>
      <c r="S756" s="335"/>
    </row>
    <row r="757" spans="1:19" x14ac:dyDescent="0.2">
      <c r="A757" s="335" t="s">
        <v>1055</v>
      </c>
      <c r="B757" s="332">
        <v>16</v>
      </c>
      <c r="C757" s="332">
        <v>7</v>
      </c>
      <c r="D757" s="332">
        <v>18</v>
      </c>
      <c r="E757" s="332">
        <v>36</v>
      </c>
      <c r="F757" s="332">
        <v>110</v>
      </c>
      <c r="G757" s="332">
        <v>218</v>
      </c>
      <c r="H757" s="332">
        <v>26.1</v>
      </c>
      <c r="I757" s="333">
        <v>0.54</v>
      </c>
      <c r="J757" s="333">
        <v>1.5</v>
      </c>
      <c r="K757" s="332">
        <v>15.3</v>
      </c>
      <c r="L757" s="332">
        <v>1.7</v>
      </c>
      <c r="M757" s="332" t="s">
        <v>300</v>
      </c>
      <c r="N757" s="332">
        <v>2002</v>
      </c>
      <c r="O757" s="332" t="s">
        <v>69</v>
      </c>
      <c r="P757" s="332">
        <v>191676</v>
      </c>
      <c r="Q757" s="335" t="s">
        <v>467</v>
      </c>
      <c r="R757" s="335" t="s">
        <v>259</v>
      </c>
      <c r="S757" s="335"/>
    </row>
    <row r="758" spans="1:19" x14ac:dyDescent="0.2">
      <c r="A758" s="335" t="s">
        <v>607</v>
      </c>
      <c r="B758" s="332">
        <v>15</v>
      </c>
      <c r="C758" s="332">
        <v>9</v>
      </c>
      <c r="D758" s="332">
        <v>21</v>
      </c>
      <c r="E758" s="332">
        <v>30</v>
      </c>
      <c r="F758" s="332">
        <v>69</v>
      </c>
      <c r="G758" s="332">
        <v>187</v>
      </c>
      <c r="H758" s="332">
        <v>23.5</v>
      </c>
      <c r="I758" s="333">
        <v>0.46</v>
      </c>
      <c r="J758" s="333">
        <v>1.2</v>
      </c>
      <c r="K758" s="332">
        <v>13.700000000000001</v>
      </c>
      <c r="L758" s="332">
        <v>1.4000000000000001</v>
      </c>
      <c r="M758" s="332" t="s">
        <v>300</v>
      </c>
      <c r="N758" s="332">
        <v>2002</v>
      </c>
      <c r="O758" s="332" t="s">
        <v>69</v>
      </c>
      <c r="P758" s="332">
        <v>450981</v>
      </c>
      <c r="Q758" s="335" t="s">
        <v>600</v>
      </c>
      <c r="R758" s="335" t="s">
        <v>223</v>
      </c>
      <c r="S758" s="335"/>
    </row>
    <row r="759" spans="1:19" x14ac:dyDescent="0.2">
      <c r="A759" s="335" t="s">
        <v>602</v>
      </c>
      <c r="B759" s="332">
        <v>19</v>
      </c>
      <c r="C759" s="332">
        <v>11</v>
      </c>
      <c r="D759" s="332">
        <v>23</v>
      </c>
      <c r="E759" s="332">
        <v>22</v>
      </c>
      <c r="F759" s="332">
        <v>35</v>
      </c>
      <c r="G759" s="332">
        <v>107</v>
      </c>
      <c r="H759" s="332">
        <v>15.6</v>
      </c>
      <c r="I759" s="333">
        <v>0.70000000000000007</v>
      </c>
      <c r="J759" s="333">
        <v>2</v>
      </c>
      <c r="K759" s="332">
        <v>13.200000000000001</v>
      </c>
      <c r="L759" s="332">
        <v>0.8</v>
      </c>
      <c r="M759" s="332" t="s">
        <v>300</v>
      </c>
      <c r="N759" s="332">
        <v>2006</v>
      </c>
      <c r="O759" s="332" t="s">
        <v>69</v>
      </c>
      <c r="P759" s="332">
        <v>280867</v>
      </c>
      <c r="Q759" s="335" t="s">
        <v>600</v>
      </c>
      <c r="R759" s="335" t="s">
        <v>219</v>
      </c>
      <c r="S759" s="335"/>
    </row>
    <row r="760" spans="1:19" x14ac:dyDescent="0.2">
      <c r="A760" s="335" t="s">
        <v>307</v>
      </c>
      <c r="B760" s="332">
        <v>1</v>
      </c>
      <c r="C760" s="332">
        <v>0</v>
      </c>
      <c r="D760" s="332">
        <v>0</v>
      </c>
      <c r="E760" s="332">
        <v>8</v>
      </c>
      <c r="F760" s="332">
        <v>18</v>
      </c>
      <c r="G760" s="332">
        <v>32</v>
      </c>
      <c r="H760" s="332">
        <v>5.7</v>
      </c>
      <c r="I760" s="333">
        <v>0.26</v>
      </c>
      <c r="J760" s="333">
        <v>0.8</v>
      </c>
      <c r="K760" s="332">
        <v>7.2</v>
      </c>
      <c r="L760" s="332">
        <v>0.8</v>
      </c>
      <c r="M760" s="332" t="s">
        <v>300</v>
      </c>
      <c r="N760" s="332">
        <v>2006</v>
      </c>
      <c r="O760" s="332" t="s">
        <v>69</v>
      </c>
      <c r="P760" s="332">
        <v>252296</v>
      </c>
      <c r="Q760" s="335" t="s">
        <v>180</v>
      </c>
      <c r="R760" s="335" t="s">
        <v>1103</v>
      </c>
      <c r="S760" s="335"/>
    </row>
    <row r="761" spans="1:19" x14ac:dyDescent="0.2">
      <c r="A761" s="335" t="s">
        <v>428</v>
      </c>
      <c r="B761" s="332">
        <v>15</v>
      </c>
      <c r="C761" s="332">
        <v>11</v>
      </c>
      <c r="D761" s="332">
        <v>14</v>
      </c>
      <c r="E761" s="332">
        <v>28</v>
      </c>
      <c r="F761" s="332">
        <v>33</v>
      </c>
      <c r="G761" s="332">
        <v>70</v>
      </c>
      <c r="H761" s="332">
        <v>11.200000000000001</v>
      </c>
      <c r="I761" s="333">
        <v>0.46</v>
      </c>
      <c r="J761" s="333">
        <v>1.02</v>
      </c>
      <c r="K761" s="332">
        <v>13.4</v>
      </c>
      <c r="L761" s="332">
        <v>0.8</v>
      </c>
      <c r="M761" s="332" t="s">
        <v>300</v>
      </c>
      <c r="N761" s="332">
        <v>2012</v>
      </c>
      <c r="O761" s="332" t="s">
        <v>69</v>
      </c>
      <c r="P761" s="332">
        <v>116111</v>
      </c>
      <c r="Q761" s="335" t="s">
        <v>362</v>
      </c>
      <c r="R761" s="335" t="s">
        <v>302</v>
      </c>
      <c r="S761" s="335"/>
    </row>
    <row r="762" spans="1:19" x14ac:dyDescent="0.2">
      <c r="A762" s="335" t="s">
        <v>1155</v>
      </c>
      <c r="B762" s="332">
        <v>7</v>
      </c>
      <c r="C762" s="332">
        <v>5</v>
      </c>
      <c r="D762" s="332">
        <v>6</v>
      </c>
      <c r="E762" s="332">
        <v>13</v>
      </c>
      <c r="F762" s="332">
        <v>8</v>
      </c>
      <c r="G762" s="332">
        <v>33</v>
      </c>
      <c r="H762" s="332">
        <v>5.8</v>
      </c>
      <c r="I762" s="333">
        <v>0.42</v>
      </c>
      <c r="J762" s="333">
        <v>1.54</v>
      </c>
      <c r="K762" s="332">
        <v>7.9</v>
      </c>
      <c r="L762" s="332">
        <v>0.4</v>
      </c>
      <c r="M762" s="332" t="s">
        <v>207</v>
      </c>
      <c r="N762" s="332">
        <v>2015</v>
      </c>
      <c r="O762" s="332" t="s">
        <v>69</v>
      </c>
      <c r="P762" s="332">
        <v>907329</v>
      </c>
      <c r="Q762" s="335" t="s">
        <v>387</v>
      </c>
      <c r="R762" s="335" t="s">
        <v>1103</v>
      </c>
      <c r="S762" s="335" t="s">
        <v>166</v>
      </c>
    </row>
    <row r="763" spans="1:19" x14ac:dyDescent="0.2">
      <c r="A763" s="335" t="s">
        <v>432</v>
      </c>
      <c r="B763" s="332">
        <v>17</v>
      </c>
      <c r="C763" s="332">
        <v>13</v>
      </c>
      <c r="D763" s="332">
        <v>20</v>
      </c>
      <c r="E763" s="332">
        <v>18</v>
      </c>
      <c r="F763" s="332">
        <v>61</v>
      </c>
      <c r="G763" s="332">
        <v>167</v>
      </c>
      <c r="H763" s="332">
        <v>21.7</v>
      </c>
      <c r="I763" s="333">
        <v>0.41000000000000003</v>
      </c>
      <c r="J763" s="333">
        <v>1.8</v>
      </c>
      <c r="K763" s="332">
        <v>15</v>
      </c>
      <c r="L763" s="332">
        <v>1.1000000000000001</v>
      </c>
      <c r="M763" s="332" t="s">
        <v>157</v>
      </c>
      <c r="N763" s="332">
        <v>2005</v>
      </c>
      <c r="O763" s="332" t="s">
        <v>158</v>
      </c>
      <c r="P763" s="332">
        <v>556589</v>
      </c>
      <c r="Q763" s="335" t="s">
        <v>213</v>
      </c>
      <c r="R763" s="335" t="s">
        <v>1111</v>
      </c>
      <c r="S763" s="335" t="s">
        <v>166</v>
      </c>
    </row>
    <row r="764" spans="1:19" x14ac:dyDescent="0.2">
      <c r="A764" s="335" t="s">
        <v>1036</v>
      </c>
      <c r="B764" s="332">
        <v>23</v>
      </c>
      <c r="C764" s="332">
        <v>17</v>
      </c>
      <c r="D764" s="332">
        <v>26</v>
      </c>
      <c r="E764" s="332"/>
      <c r="F764" s="332"/>
      <c r="G764" s="332"/>
      <c r="H764" s="332"/>
      <c r="I764" s="333">
        <v>0.48</v>
      </c>
      <c r="J764" s="333">
        <v>1.62</v>
      </c>
      <c r="K764" s="332"/>
      <c r="L764" s="332"/>
      <c r="M764" s="332" t="s">
        <v>157</v>
      </c>
      <c r="N764" s="332">
        <v>2016</v>
      </c>
      <c r="O764" s="332" t="s">
        <v>158</v>
      </c>
      <c r="P764" s="332">
        <v>891507</v>
      </c>
      <c r="Q764" s="335" t="s">
        <v>200</v>
      </c>
      <c r="R764" s="335" t="s">
        <v>1111</v>
      </c>
      <c r="S764" s="335" t="s">
        <v>166</v>
      </c>
    </row>
    <row r="765" spans="1:19" x14ac:dyDescent="0.2">
      <c r="A765" s="335" t="s">
        <v>1063</v>
      </c>
      <c r="B765" s="332">
        <v>19</v>
      </c>
      <c r="C765" s="332">
        <v>11</v>
      </c>
      <c r="D765" s="332">
        <v>22</v>
      </c>
      <c r="E765" s="332">
        <v>9</v>
      </c>
      <c r="F765" s="332">
        <v>-2</v>
      </c>
      <c r="G765" s="332">
        <v>24</v>
      </c>
      <c r="H765" s="332">
        <v>4.3</v>
      </c>
      <c r="I765" s="333">
        <v>0.75</v>
      </c>
      <c r="J765" s="333">
        <v>2.52</v>
      </c>
      <c r="K765" s="332">
        <v>22.900000000000002</v>
      </c>
      <c r="L765" s="332">
        <v>0.1</v>
      </c>
      <c r="M765" s="332" t="s">
        <v>157</v>
      </c>
      <c r="N765" s="332">
        <v>2006</v>
      </c>
      <c r="O765" s="332" t="s">
        <v>158</v>
      </c>
      <c r="P765" s="332">
        <v>333690</v>
      </c>
      <c r="Q765" s="335" t="s">
        <v>624</v>
      </c>
      <c r="R765" s="335" t="s">
        <v>305</v>
      </c>
      <c r="S765" s="335"/>
    </row>
    <row r="766" spans="1:19" x14ac:dyDescent="0.2">
      <c r="A766" s="335" t="s">
        <v>361</v>
      </c>
      <c r="B766" s="332">
        <v>3</v>
      </c>
      <c r="C766" s="332">
        <v>-2</v>
      </c>
      <c r="D766" s="332">
        <v>3</v>
      </c>
      <c r="E766" s="332">
        <v>16</v>
      </c>
      <c r="F766" s="332">
        <v>3</v>
      </c>
      <c r="G766" s="332">
        <v>13</v>
      </c>
      <c r="H766" s="332">
        <v>2.5</v>
      </c>
      <c r="I766" s="333">
        <v>0.35000000000000003</v>
      </c>
      <c r="J766" s="333">
        <v>0.8</v>
      </c>
      <c r="K766" s="332">
        <v>10.4</v>
      </c>
      <c r="L766" s="332">
        <v>0.2</v>
      </c>
      <c r="M766" s="332" t="s">
        <v>300</v>
      </c>
      <c r="N766" s="332">
        <v>2012</v>
      </c>
      <c r="O766" s="332" t="s">
        <v>69</v>
      </c>
      <c r="P766" s="332">
        <v>980284</v>
      </c>
      <c r="Q766" s="335" t="s">
        <v>362</v>
      </c>
      <c r="R766" s="335" t="s">
        <v>1109</v>
      </c>
      <c r="S766" s="335"/>
    </row>
    <row r="767" spans="1:19" x14ac:dyDescent="0.2">
      <c r="A767" s="335" t="s">
        <v>363</v>
      </c>
      <c r="B767" s="332">
        <v>8</v>
      </c>
      <c r="C767" s="332">
        <v>2</v>
      </c>
      <c r="D767" s="332">
        <v>13</v>
      </c>
      <c r="E767" s="332">
        <v>24</v>
      </c>
      <c r="F767" s="332">
        <v>22</v>
      </c>
      <c r="G767" s="332">
        <v>63</v>
      </c>
      <c r="H767" s="332">
        <v>10.3</v>
      </c>
      <c r="I767" s="333">
        <v>0.35000000000000003</v>
      </c>
      <c r="J767" s="333">
        <v>1</v>
      </c>
      <c r="K767" s="332">
        <v>12.1</v>
      </c>
      <c r="L767" s="332">
        <v>0.6</v>
      </c>
      <c r="M767" s="332" t="s">
        <v>300</v>
      </c>
      <c r="N767" s="332">
        <v>2002</v>
      </c>
      <c r="O767" s="332" t="s">
        <v>69</v>
      </c>
      <c r="P767" s="332">
        <v>120014</v>
      </c>
      <c r="Q767" s="335" t="s">
        <v>180</v>
      </c>
      <c r="R767" s="335" t="s">
        <v>1091</v>
      </c>
      <c r="S767" s="335"/>
    </row>
    <row r="768" spans="1:19" x14ac:dyDescent="0.2">
      <c r="A768" s="335" t="s">
        <v>1008</v>
      </c>
      <c r="B768" s="332">
        <v>-3</v>
      </c>
      <c r="C768" s="332">
        <v>-2</v>
      </c>
      <c r="D768" s="332">
        <v>-3</v>
      </c>
      <c r="E768" s="332">
        <v>12</v>
      </c>
      <c r="F768" s="332"/>
      <c r="G768" s="332"/>
      <c r="H768" s="332"/>
      <c r="I768" s="333">
        <v>0.8</v>
      </c>
      <c r="J768" s="333">
        <v>2</v>
      </c>
      <c r="K768" s="332"/>
      <c r="L768" s="332"/>
      <c r="M768" s="332" t="s">
        <v>300</v>
      </c>
      <c r="N768" s="332">
        <v>2016</v>
      </c>
      <c r="O768" s="332" t="s">
        <v>69</v>
      </c>
      <c r="P768" s="332">
        <v>674101</v>
      </c>
      <c r="Q768" s="335" t="s">
        <v>362</v>
      </c>
      <c r="R768" s="335" t="s">
        <v>296</v>
      </c>
      <c r="S768" s="335"/>
    </row>
    <row r="769" spans="1:19" x14ac:dyDescent="0.2">
      <c r="A769" s="335" t="s">
        <v>405</v>
      </c>
      <c r="B769" s="332">
        <v>8</v>
      </c>
      <c r="C769" s="332">
        <v>7</v>
      </c>
      <c r="D769" s="332">
        <v>13</v>
      </c>
      <c r="E769" s="332">
        <v>20</v>
      </c>
      <c r="F769" s="332">
        <v>25</v>
      </c>
      <c r="G769" s="332">
        <v>99</v>
      </c>
      <c r="H769" s="332">
        <v>14.8</v>
      </c>
      <c r="I769" s="333">
        <v>0.38</v>
      </c>
      <c r="J769" s="333">
        <v>2</v>
      </c>
      <c r="K769" s="332">
        <v>12.3</v>
      </c>
      <c r="L769" s="332">
        <v>0.70000000000000007</v>
      </c>
      <c r="M769" s="332" t="s">
        <v>300</v>
      </c>
      <c r="N769" s="332">
        <v>2008</v>
      </c>
      <c r="O769" s="332" t="s">
        <v>69</v>
      </c>
      <c r="P769" s="332">
        <v>571695</v>
      </c>
      <c r="Q769" s="335" t="s">
        <v>801</v>
      </c>
      <c r="R769" s="335" t="s">
        <v>219</v>
      </c>
      <c r="S769" s="335" t="s">
        <v>166</v>
      </c>
    </row>
    <row r="770" spans="1:19" x14ac:dyDescent="0.2">
      <c r="A770" s="335" t="s">
        <v>452</v>
      </c>
      <c r="B770" s="332">
        <v>1</v>
      </c>
      <c r="C770" s="332">
        <v>-2</v>
      </c>
      <c r="D770" s="332">
        <v>2</v>
      </c>
      <c r="E770" s="332">
        <v>19</v>
      </c>
      <c r="F770" s="332">
        <v>28</v>
      </c>
      <c r="G770" s="332">
        <v>85</v>
      </c>
      <c r="H770" s="332">
        <v>13.1</v>
      </c>
      <c r="I770" s="333">
        <v>0.48</v>
      </c>
      <c r="J770" s="333">
        <v>1.2</v>
      </c>
      <c r="K770" s="332">
        <v>13</v>
      </c>
      <c r="L770" s="332">
        <v>0.70000000000000007</v>
      </c>
      <c r="M770" s="332" t="s">
        <v>300</v>
      </c>
      <c r="N770" s="332">
        <v>2001</v>
      </c>
      <c r="O770" s="332" t="s">
        <v>69</v>
      </c>
      <c r="P770" s="332">
        <v>183178</v>
      </c>
      <c r="Q770" s="335" t="s">
        <v>301</v>
      </c>
      <c r="R770" s="335" t="s">
        <v>305</v>
      </c>
      <c r="S770" s="335"/>
    </row>
    <row r="771" spans="1:19" x14ac:dyDescent="0.2">
      <c r="A771" s="335" t="s">
        <v>548</v>
      </c>
      <c r="B771" s="332">
        <v>5</v>
      </c>
      <c r="C771" s="332">
        <v>-2</v>
      </c>
      <c r="D771" s="332">
        <v>6</v>
      </c>
      <c r="E771" s="332">
        <v>32</v>
      </c>
      <c r="F771" s="332">
        <v>19</v>
      </c>
      <c r="G771" s="332">
        <v>50</v>
      </c>
      <c r="H771" s="332">
        <v>8.4</v>
      </c>
      <c r="I771" s="333">
        <v>0.63</v>
      </c>
      <c r="J771" s="333">
        <v>1.5</v>
      </c>
      <c r="K771" s="332">
        <v>14.200000000000001</v>
      </c>
      <c r="L771" s="332">
        <v>0.5</v>
      </c>
      <c r="M771" s="332" t="s">
        <v>300</v>
      </c>
      <c r="N771" s="332">
        <v>2007</v>
      </c>
      <c r="O771" s="332" t="s">
        <v>69</v>
      </c>
      <c r="P771" s="332">
        <v>318469</v>
      </c>
      <c r="Q771" s="335" t="s">
        <v>362</v>
      </c>
      <c r="R771" s="335" t="s">
        <v>305</v>
      </c>
      <c r="S771" s="335"/>
    </row>
    <row r="772" spans="1:19" x14ac:dyDescent="0.2">
      <c r="A772" s="335" t="s">
        <v>606</v>
      </c>
      <c r="B772" s="332">
        <v>4</v>
      </c>
      <c r="C772" s="332">
        <v>-1</v>
      </c>
      <c r="D772" s="332">
        <v>6</v>
      </c>
      <c r="E772" s="332">
        <v>25</v>
      </c>
      <c r="F772" s="332">
        <v>28</v>
      </c>
      <c r="G772" s="332">
        <v>54</v>
      </c>
      <c r="H772" s="332">
        <v>9.1</v>
      </c>
      <c r="I772" s="333">
        <v>0.69000000000000006</v>
      </c>
      <c r="J772" s="333">
        <v>2</v>
      </c>
      <c r="K772" s="332">
        <v>13.1</v>
      </c>
      <c r="L772" s="332">
        <v>0.70000000000000007</v>
      </c>
      <c r="M772" s="332" t="s">
        <v>300</v>
      </c>
      <c r="N772" s="332">
        <v>2002</v>
      </c>
      <c r="O772" s="332" t="s">
        <v>69</v>
      </c>
      <c r="P772" s="332">
        <v>562728</v>
      </c>
      <c r="Q772" s="335" t="s">
        <v>600</v>
      </c>
      <c r="R772" s="335" t="s">
        <v>305</v>
      </c>
      <c r="S772" s="335"/>
    </row>
    <row r="773" spans="1:19" x14ac:dyDescent="0.2">
      <c r="A773" s="335" t="s">
        <v>603</v>
      </c>
      <c r="B773" s="332">
        <v>11</v>
      </c>
      <c r="C773" s="332">
        <v>11</v>
      </c>
      <c r="D773" s="332">
        <v>15</v>
      </c>
      <c r="E773" s="332">
        <v>26</v>
      </c>
      <c r="F773" s="332">
        <v>43</v>
      </c>
      <c r="G773" s="332">
        <v>126</v>
      </c>
      <c r="H773" s="332">
        <v>17.7</v>
      </c>
      <c r="I773" s="333">
        <v>0.70000000000000007</v>
      </c>
      <c r="J773" s="333">
        <v>2</v>
      </c>
      <c r="K773" s="332">
        <v>12.9</v>
      </c>
      <c r="L773" s="332">
        <v>1</v>
      </c>
      <c r="M773" s="332" t="s">
        <v>300</v>
      </c>
      <c r="N773" s="332">
        <v>2002</v>
      </c>
      <c r="O773" s="332" t="s">
        <v>69</v>
      </c>
      <c r="P773" s="332">
        <v>634386</v>
      </c>
      <c r="Q773" s="335" t="s">
        <v>600</v>
      </c>
      <c r="R773" s="335" t="s">
        <v>305</v>
      </c>
      <c r="S773" s="335"/>
    </row>
    <row r="774" spans="1:19" x14ac:dyDescent="0.2">
      <c r="A774" s="335" t="s">
        <v>329</v>
      </c>
      <c r="B774" s="332">
        <v>4</v>
      </c>
      <c r="C774" s="332">
        <v>3</v>
      </c>
      <c r="D774" s="332">
        <v>2</v>
      </c>
      <c r="E774" s="332">
        <v>9</v>
      </c>
      <c r="F774" s="332">
        <v>16</v>
      </c>
      <c r="G774" s="332">
        <v>31</v>
      </c>
      <c r="H774" s="332">
        <v>5.5</v>
      </c>
      <c r="I774" s="333">
        <v>0.28999999999999998</v>
      </c>
      <c r="J774" s="333">
        <v>0.69000000000000006</v>
      </c>
      <c r="K774" s="332">
        <v>4.4000000000000004</v>
      </c>
      <c r="L774" s="332">
        <v>1.2</v>
      </c>
      <c r="M774" s="332" t="s">
        <v>207</v>
      </c>
      <c r="N774" s="332">
        <v>2010</v>
      </c>
      <c r="O774" s="332" t="s">
        <v>69</v>
      </c>
      <c r="P774" s="332">
        <v>203000</v>
      </c>
      <c r="Q774" s="335" t="s">
        <v>330</v>
      </c>
      <c r="R774" s="335" t="s">
        <v>1108</v>
      </c>
      <c r="S774" s="335"/>
    </row>
    <row r="775" spans="1:19" x14ac:dyDescent="0.2">
      <c r="A775" s="335" t="s">
        <v>402</v>
      </c>
      <c r="B775" s="332">
        <v>5</v>
      </c>
      <c r="C775" s="332">
        <v>4</v>
      </c>
      <c r="D775" s="332">
        <v>4</v>
      </c>
      <c r="E775" s="332">
        <v>14</v>
      </c>
      <c r="F775" s="332">
        <v>22</v>
      </c>
      <c r="G775" s="332">
        <v>58</v>
      </c>
      <c r="H775" s="332">
        <v>9.6</v>
      </c>
      <c r="I775" s="333">
        <v>0.39</v>
      </c>
      <c r="J775" s="333">
        <v>1</v>
      </c>
      <c r="K775" s="332">
        <v>5.1000000000000005</v>
      </c>
      <c r="L775" s="332">
        <v>1.3</v>
      </c>
      <c r="M775" s="332" t="s">
        <v>207</v>
      </c>
      <c r="N775" s="332">
        <v>2010</v>
      </c>
      <c r="O775" s="332" t="s">
        <v>69</v>
      </c>
      <c r="P775" s="332">
        <v>955435</v>
      </c>
      <c r="Q775" s="335" t="s">
        <v>330</v>
      </c>
      <c r="R775" s="335" t="s">
        <v>1108</v>
      </c>
      <c r="S775" s="335"/>
    </row>
    <row r="776" spans="1:19" x14ac:dyDescent="0.2">
      <c r="A776" s="335" t="s">
        <v>907</v>
      </c>
      <c r="B776" s="332">
        <v>4</v>
      </c>
      <c r="C776" s="332">
        <v>0</v>
      </c>
      <c r="D776" s="332">
        <v>5</v>
      </c>
      <c r="E776" s="332">
        <v>24</v>
      </c>
      <c r="F776" s="332">
        <v>41</v>
      </c>
      <c r="G776" s="332">
        <v>89</v>
      </c>
      <c r="H776" s="332">
        <v>13.6</v>
      </c>
      <c r="I776" s="333">
        <v>0.68</v>
      </c>
      <c r="J776" s="333">
        <v>2.09</v>
      </c>
      <c r="K776" s="332">
        <v>12.8</v>
      </c>
      <c r="L776" s="332">
        <v>1</v>
      </c>
      <c r="M776" s="332" t="s">
        <v>207</v>
      </c>
      <c r="N776" s="332">
        <v>2015</v>
      </c>
      <c r="O776" s="332" t="s">
        <v>69</v>
      </c>
      <c r="P776" s="332">
        <v>772509</v>
      </c>
      <c r="Q776" s="335" t="s">
        <v>777</v>
      </c>
      <c r="R776" s="335" t="s">
        <v>185</v>
      </c>
      <c r="S776" s="335"/>
    </row>
    <row r="777" spans="1:19" x14ac:dyDescent="0.2">
      <c r="A777" s="335" t="s">
        <v>1080</v>
      </c>
      <c r="B777" s="332">
        <v>10</v>
      </c>
      <c r="C777" s="332">
        <v>1</v>
      </c>
      <c r="D777" s="332">
        <v>10</v>
      </c>
      <c r="E777" s="332">
        <v>29</v>
      </c>
      <c r="F777" s="332">
        <v>41</v>
      </c>
      <c r="G777" s="332">
        <v>47</v>
      </c>
      <c r="H777" s="332">
        <v>8</v>
      </c>
      <c r="I777" s="333">
        <v>0.89</v>
      </c>
      <c r="J777" s="333">
        <v>2.3000000000000003</v>
      </c>
      <c r="K777" s="332">
        <v>17.100000000000001</v>
      </c>
      <c r="L777" s="332">
        <v>0.8</v>
      </c>
      <c r="M777" s="332" t="s">
        <v>207</v>
      </c>
      <c r="N777" s="332">
        <v>2013</v>
      </c>
      <c r="O777" s="332" t="s">
        <v>69</v>
      </c>
      <c r="P777" s="332">
        <v>789560</v>
      </c>
      <c r="Q777" s="335" t="s">
        <v>768</v>
      </c>
      <c r="R777" s="335" t="s">
        <v>302</v>
      </c>
      <c r="S777" s="335"/>
    </row>
    <row r="778" spans="1:19" x14ac:dyDescent="0.2">
      <c r="A778" s="335" t="s">
        <v>533</v>
      </c>
      <c r="B778" s="332">
        <v>9</v>
      </c>
      <c r="C778" s="332">
        <v>6</v>
      </c>
      <c r="D778" s="332">
        <v>10</v>
      </c>
      <c r="E778" s="332">
        <v>20</v>
      </c>
      <c r="F778" s="332">
        <v>26</v>
      </c>
      <c r="G778" s="332">
        <v>59</v>
      </c>
      <c r="H778" s="332">
        <v>9.7000000000000011</v>
      </c>
      <c r="I778" s="333">
        <v>0.52</v>
      </c>
      <c r="J778" s="333">
        <v>1.92</v>
      </c>
      <c r="K778" s="332">
        <v>8.4</v>
      </c>
      <c r="L778" s="332">
        <v>1</v>
      </c>
      <c r="M778" s="332" t="s">
        <v>207</v>
      </c>
      <c r="N778" s="332">
        <v>2000</v>
      </c>
      <c r="O778" s="332" t="s">
        <v>69</v>
      </c>
      <c r="P778" s="332">
        <v>794115</v>
      </c>
      <c r="Q778" s="335" t="s">
        <v>777</v>
      </c>
      <c r="R778" s="335" t="s">
        <v>1088</v>
      </c>
      <c r="S778" s="335"/>
    </row>
    <row r="779" spans="1:19" x14ac:dyDescent="0.2">
      <c r="A779" s="335" t="s">
        <v>1136</v>
      </c>
      <c r="B779" s="332">
        <v>12</v>
      </c>
      <c r="C779" s="332">
        <v>11</v>
      </c>
      <c r="D779" s="332">
        <v>16</v>
      </c>
      <c r="E779" s="332">
        <v>22</v>
      </c>
      <c r="F779" s="332">
        <v>26</v>
      </c>
      <c r="G779" s="332">
        <v>99</v>
      </c>
      <c r="H779" s="332">
        <v>14.8</v>
      </c>
      <c r="I779" s="333">
        <v>0.63</v>
      </c>
      <c r="J779" s="333">
        <v>1.8</v>
      </c>
      <c r="K779" s="332">
        <v>14.8</v>
      </c>
      <c r="L779" s="332">
        <v>0.6</v>
      </c>
      <c r="M779" s="332" t="s">
        <v>207</v>
      </c>
      <c r="N779" s="332">
        <v>2011</v>
      </c>
      <c r="O779" s="332" t="s">
        <v>69</v>
      </c>
      <c r="P779" s="332">
        <v>125856</v>
      </c>
      <c r="Q779" s="335" t="s">
        <v>775</v>
      </c>
      <c r="R779" s="335" t="s">
        <v>219</v>
      </c>
      <c r="S779" s="335"/>
    </row>
    <row r="780" spans="1:19" x14ac:dyDescent="0.2">
      <c r="A780" s="335" t="s">
        <v>773</v>
      </c>
      <c r="B780" s="332">
        <v>-11</v>
      </c>
      <c r="C780" s="332">
        <v>-8</v>
      </c>
      <c r="D780" s="332">
        <v>-8</v>
      </c>
      <c r="E780" s="332">
        <v>20</v>
      </c>
      <c r="F780" s="332">
        <v>25</v>
      </c>
      <c r="G780" s="332">
        <v>85</v>
      </c>
      <c r="H780" s="332">
        <v>13.1</v>
      </c>
      <c r="I780" s="333">
        <v>0.88</v>
      </c>
      <c r="J780" s="333">
        <v>2.2200000000000002</v>
      </c>
      <c r="K780" s="332">
        <v>17.8</v>
      </c>
      <c r="L780" s="332">
        <v>0.5</v>
      </c>
      <c r="M780" s="332" t="s">
        <v>352</v>
      </c>
      <c r="N780" s="332">
        <v>2004</v>
      </c>
      <c r="O780" s="332" t="s">
        <v>69</v>
      </c>
      <c r="P780" s="332">
        <v>107201</v>
      </c>
      <c r="Q780" s="335" t="s">
        <v>756</v>
      </c>
      <c r="R780" s="335" t="s">
        <v>1112</v>
      </c>
      <c r="S780" s="335"/>
    </row>
    <row r="781" spans="1:19" x14ac:dyDescent="0.2">
      <c r="A781" s="335" t="s">
        <v>762</v>
      </c>
      <c r="B781" s="332">
        <v>-5</v>
      </c>
      <c r="C781" s="332">
        <v>-4</v>
      </c>
      <c r="D781" s="332">
        <v>-4</v>
      </c>
      <c r="E781" s="332">
        <v>18</v>
      </c>
      <c r="F781" s="332">
        <v>52</v>
      </c>
      <c r="G781" s="332">
        <v>117</v>
      </c>
      <c r="H781" s="332">
        <v>16.7</v>
      </c>
      <c r="I781" s="333">
        <v>0.85</v>
      </c>
      <c r="J781" s="333">
        <v>2.14</v>
      </c>
      <c r="K781" s="332">
        <v>16.3</v>
      </c>
      <c r="L781" s="332">
        <v>1</v>
      </c>
      <c r="M781" s="332" t="s">
        <v>352</v>
      </c>
      <c r="N781" s="332">
        <v>2008</v>
      </c>
      <c r="O781" s="332" t="s">
        <v>69</v>
      </c>
      <c r="P781" s="332">
        <v>116822</v>
      </c>
      <c r="Q781" s="335" t="s">
        <v>476</v>
      </c>
      <c r="R781" s="335" t="s">
        <v>1112</v>
      </c>
      <c r="S781" s="335"/>
    </row>
    <row r="782" spans="1:19" x14ac:dyDescent="0.2">
      <c r="A782" s="335" t="s">
        <v>780</v>
      </c>
      <c r="B782" s="332">
        <v>-1</v>
      </c>
      <c r="C782" s="332">
        <v>0</v>
      </c>
      <c r="D782" s="332">
        <v>5</v>
      </c>
      <c r="E782" s="332">
        <v>35</v>
      </c>
      <c r="F782" s="332">
        <v>72</v>
      </c>
      <c r="G782" s="332">
        <v>239</v>
      </c>
      <c r="H782" s="332">
        <v>27.6</v>
      </c>
      <c r="I782" s="333">
        <v>0.89</v>
      </c>
      <c r="J782" s="333">
        <v>2.65</v>
      </c>
      <c r="K782" s="332">
        <v>16.7</v>
      </c>
      <c r="L782" s="332">
        <v>1.2</v>
      </c>
      <c r="M782" s="332" t="s">
        <v>157</v>
      </c>
      <c r="N782" s="332">
        <v>2011</v>
      </c>
      <c r="O782" s="332" t="s">
        <v>158</v>
      </c>
      <c r="P782" s="332">
        <v>705806</v>
      </c>
      <c r="Q782" s="335" t="s">
        <v>707</v>
      </c>
      <c r="R782" s="335" t="s">
        <v>305</v>
      </c>
      <c r="S782" s="335"/>
    </row>
    <row r="783" spans="1:19" x14ac:dyDescent="0.2">
      <c r="A783" s="335" t="s">
        <v>708</v>
      </c>
      <c r="B783" s="332">
        <v>8</v>
      </c>
      <c r="C783" s="332">
        <v>3</v>
      </c>
      <c r="D783" s="332">
        <v>4</v>
      </c>
      <c r="E783" s="332">
        <v>20</v>
      </c>
      <c r="F783" s="332">
        <v>52</v>
      </c>
      <c r="G783" s="332"/>
      <c r="H783" s="332"/>
      <c r="I783" s="333">
        <v>0.89</v>
      </c>
      <c r="J783" s="333">
        <v>2.56</v>
      </c>
      <c r="K783" s="332">
        <v>15.700000000000001</v>
      </c>
      <c r="L783" s="332">
        <v>1</v>
      </c>
      <c r="M783" s="332" t="s">
        <v>157</v>
      </c>
      <c r="N783" s="332">
        <v>2014</v>
      </c>
      <c r="O783" s="332" t="s">
        <v>158</v>
      </c>
      <c r="P783" s="332">
        <v>762823</v>
      </c>
      <c r="Q783" s="335" t="s">
        <v>707</v>
      </c>
      <c r="R783" s="335" t="s">
        <v>305</v>
      </c>
      <c r="S783" s="335"/>
    </row>
    <row r="784" spans="1:19" x14ac:dyDescent="0.2">
      <c r="A784" s="335" t="s">
        <v>633</v>
      </c>
      <c r="B784" s="332">
        <v>-3</v>
      </c>
      <c r="C784" s="332">
        <v>-13</v>
      </c>
      <c r="D784" s="332">
        <v>-1</v>
      </c>
      <c r="E784" s="332">
        <v>42</v>
      </c>
      <c r="F784" s="332">
        <v>6</v>
      </c>
      <c r="G784" s="332">
        <v>-14</v>
      </c>
      <c r="H784" s="332">
        <v>-3.1</v>
      </c>
      <c r="I784" s="333">
        <v>0.72</v>
      </c>
      <c r="J784" s="333">
        <v>2.39</v>
      </c>
      <c r="K784" s="332">
        <v>31.900000000000002</v>
      </c>
      <c r="L784" s="332">
        <v>0.2</v>
      </c>
      <c r="M784" s="332" t="s">
        <v>352</v>
      </c>
      <c r="N784" s="332">
        <v>2008</v>
      </c>
      <c r="O784" s="332" t="s">
        <v>69</v>
      </c>
      <c r="P784" s="332">
        <v>806091</v>
      </c>
      <c r="Q784" s="335" t="s">
        <v>777</v>
      </c>
      <c r="R784" s="335" t="s">
        <v>305</v>
      </c>
      <c r="S784" s="335"/>
    </row>
    <row r="785" spans="1:19" x14ac:dyDescent="0.2">
      <c r="A785" s="335" t="s">
        <v>724</v>
      </c>
      <c r="B785" s="332">
        <v>7</v>
      </c>
      <c r="C785" s="332">
        <v>-4</v>
      </c>
      <c r="D785" s="332">
        <v>5</v>
      </c>
      <c r="E785" s="332">
        <v>25</v>
      </c>
      <c r="F785" s="332">
        <v>5</v>
      </c>
      <c r="G785" s="332">
        <v>-1</v>
      </c>
      <c r="H785" s="332">
        <v>-0.3</v>
      </c>
      <c r="I785" s="333">
        <v>0.89</v>
      </c>
      <c r="J785" s="333">
        <v>2.71</v>
      </c>
      <c r="K785" s="332">
        <v>20</v>
      </c>
      <c r="L785" s="332">
        <v>0.2</v>
      </c>
      <c r="M785" s="332" t="s">
        <v>207</v>
      </c>
      <c r="N785" s="332">
        <v>2012</v>
      </c>
      <c r="O785" s="332" t="s">
        <v>69</v>
      </c>
      <c r="P785" s="332">
        <v>763474</v>
      </c>
      <c r="Q785" s="335" t="s">
        <v>554</v>
      </c>
      <c r="R785" s="335" t="s">
        <v>369</v>
      </c>
      <c r="S785" s="335"/>
    </row>
    <row r="786" spans="1:19" x14ac:dyDescent="0.2">
      <c r="A786" s="335" t="s">
        <v>616</v>
      </c>
      <c r="B786" s="332">
        <v>11</v>
      </c>
      <c r="C786" s="332">
        <v>5</v>
      </c>
      <c r="D786" s="332">
        <v>11</v>
      </c>
      <c r="E786" s="332">
        <v>15</v>
      </c>
      <c r="F786" s="332">
        <v>43</v>
      </c>
      <c r="G786" s="332">
        <v>108</v>
      </c>
      <c r="H786" s="332">
        <v>15.8</v>
      </c>
      <c r="I786" s="333">
        <v>0.72</v>
      </c>
      <c r="J786" s="333">
        <v>1.8</v>
      </c>
      <c r="K786" s="332">
        <v>11</v>
      </c>
      <c r="L786" s="332">
        <v>1.2</v>
      </c>
      <c r="M786" s="332" t="s">
        <v>207</v>
      </c>
      <c r="N786" s="332">
        <v>2002</v>
      </c>
      <c r="O786" s="332" t="s">
        <v>69</v>
      </c>
      <c r="P786" s="332">
        <v>432153</v>
      </c>
      <c r="Q786" s="335" t="s">
        <v>558</v>
      </c>
      <c r="R786" s="335" t="s">
        <v>185</v>
      </c>
      <c r="S786" s="335" t="s">
        <v>166</v>
      </c>
    </row>
    <row r="787" spans="1:19" x14ac:dyDescent="0.2">
      <c r="A787" s="335" t="s">
        <v>637</v>
      </c>
      <c r="B787" s="332">
        <v>9</v>
      </c>
      <c r="C787" s="332">
        <v>2</v>
      </c>
      <c r="D787" s="332">
        <v>9</v>
      </c>
      <c r="E787" s="332">
        <v>32</v>
      </c>
      <c r="F787" s="332">
        <v>31</v>
      </c>
      <c r="G787" s="332">
        <v>42</v>
      </c>
      <c r="H787" s="332">
        <v>7.2</v>
      </c>
      <c r="I787" s="333">
        <v>0.76</v>
      </c>
      <c r="J787" s="333">
        <v>1.9100000000000001</v>
      </c>
      <c r="K787" s="332">
        <v>16.3</v>
      </c>
      <c r="L787" s="332">
        <v>0.6</v>
      </c>
      <c r="M787" s="332" t="s">
        <v>207</v>
      </c>
      <c r="N787" s="332">
        <v>2007</v>
      </c>
      <c r="O787" s="332" t="s">
        <v>69</v>
      </c>
      <c r="P787" s="332">
        <v>670091</v>
      </c>
      <c r="Q787" s="335" t="s">
        <v>558</v>
      </c>
      <c r="R787" s="335" t="s">
        <v>302</v>
      </c>
      <c r="S787" s="335" t="s">
        <v>166</v>
      </c>
    </row>
    <row r="788" spans="1:19" x14ac:dyDescent="0.2">
      <c r="A788" s="335" t="s">
        <v>686</v>
      </c>
      <c r="B788" s="332">
        <v>12</v>
      </c>
      <c r="C788" s="332">
        <v>6</v>
      </c>
      <c r="D788" s="332">
        <v>12</v>
      </c>
      <c r="E788" s="332">
        <v>24</v>
      </c>
      <c r="F788" s="332">
        <v>43</v>
      </c>
      <c r="G788" s="332">
        <v>47</v>
      </c>
      <c r="H788" s="332">
        <v>8.1</v>
      </c>
      <c r="I788" s="333">
        <v>0.86</v>
      </c>
      <c r="J788" s="333">
        <v>2.2000000000000002</v>
      </c>
      <c r="K788" s="332">
        <v>13.700000000000001</v>
      </c>
      <c r="L788" s="332">
        <v>1</v>
      </c>
      <c r="M788" s="332" t="s">
        <v>207</v>
      </c>
      <c r="N788" s="332">
        <v>2013</v>
      </c>
      <c r="O788" s="332" t="s">
        <v>69</v>
      </c>
      <c r="P788" s="332">
        <v>745828</v>
      </c>
      <c r="Q788" s="335" t="s">
        <v>558</v>
      </c>
      <c r="R788" s="335" t="s">
        <v>302</v>
      </c>
      <c r="S788" s="335" t="s">
        <v>166</v>
      </c>
    </row>
    <row r="789" spans="1:19" x14ac:dyDescent="0.2">
      <c r="A789" s="335" t="s">
        <v>617</v>
      </c>
      <c r="B789" s="332">
        <v>10</v>
      </c>
      <c r="C789" s="332">
        <v>8</v>
      </c>
      <c r="D789" s="332">
        <v>14</v>
      </c>
      <c r="E789" s="332">
        <v>21</v>
      </c>
      <c r="F789" s="332">
        <v>26</v>
      </c>
      <c r="G789" s="332">
        <v>106</v>
      </c>
      <c r="H789" s="332">
        <v>15.6</v>
      </c>
      <c r="I789" s="333">
        <v>0.72</v>
      </c>
      <c r="J789" s="333">
        <v>1.8</v>
      </c>
      <c r="K789" s="332">
        <v>12.4</v>
      </c>
      <c r="L789" s="332">
        <v>0.70000000000000007</v>
      </c>
      <c r="M789" s="332" t="s">
        <v>207</v>
      </c>
      <c r="N789" s="332">
        <v>2008</v>
      </c>
      <c r="O789" s="332" t="s">
        <v>69</v>
      </c>
      <c r="P789" s="332">
        <v>755090</v>
      </c>
      <c r="Q789" s="335" t="s">
        <v>558</v>
      </c>
      <c r="R789" s="335" t="s">
        <v>219</v>
      </c>
      <c r="S789" s="335" t="s">
        <v>166</v>
      </c>
    </row>
    <row r="790" spans="1:19" x14ac:dyDescent="0.2">
      <c r="A790" s="335" t="s">
        <v>880</v>
      </c>
      <c r="B790" s="332">
        <v>4</v>
      </c>
      <c r="C790" s="332">
        <v>3</v>
      </c>
      <c r="D790" s="332">
        <v>6</v>
      </c>
      <c r="E790" s="332">
        <v>17</v>
      </c>
      <c r="F790" s="332">
        <v>14</v>
      </c>
      <c r="G790" s="332"/>
      <c r="H790" s="332"/>
      <c r="I790" s="333">
        <v>0.76</v>
      </c>
      <c r="J790" s="333">
        <v>1.9000000000000001</v>
      </c>
      <c r="K790" s="332">
        <v>11.3</v>
      </c>
      <c r="L790" s="332">
        <v>0.4</v>
      </c>
      <c r="M790" s="332" t="s">
        <v>207</v>
      </c>
      <c r="N790" s="332">
        <v>2014</v>
      </c>
      <c r="O790" s="332" t="s">
        <v>69</v>
      </c>
      <c r="P790" s="332">
        <v>413021</v>
      </c>
      <c r="Q790" s="335" t="s">
        <v>558</v>
      </c>
      <c r="R790" s="335" t="s">
        <v>302</v>
      </c>
      <c r="S790" s="335" t="s">
        <v>166</v>
      </c>
    </row>
    <row r="791" spans="1:19" x14ac:dyDescent="0.2">
      <c r="A791" s="335" t="s">
        <v>615</v>
      </c>
      <c r="B791" s="332">
        <v>5</v>
      </c>
      <c r="C791" s="332">
        <v>1</v>
      </c>
      <c r="D791" s="332">
        <v>6</v>
      </c>
      <c r="E791" s="332">
        <v>12</v>
      </c>
      <c r="F791" s="332">
        <v>34</v>
      </c>
      <c r="G791" s="332">
        <v>88</v>
      </c>
      <c r="H791" s="332">
        <v>13.4</v>
      </c>
      <c r="I791" s="333">
        <v>0.72</v>
      </c>
      <c r="J791" s="333">
        <v>1.8</v>
      </c>
      <c r="K791" s="332">
        <v>12.4</v>
      </c>
      <c r="L791" s="332">
        <v>0.9</v>
      </c>
      <c r="M791" s="332" t="s">
        <v>207</v>
      </c>
      <c r="N791" s="332">
        <v>2008</v>
      </c>
      <c r="O791" s="332" t="s">
        <v>69</v>
      </c>
      <c r="P791" s="332">
        <v>989491</v>
      </c>
      <c r="Q791" s="335" t="s">
        <v>558</v>
      </c>
      <c r="R791" s="335" t="s">
        <v>185</v>
      </c>
      <c r="S791" s="335" t="s">
        <v>166</v>
      </c>
    </row>
    <row r="792" spans="1:19" x14ac:dyDescent="0.2">
      <c r="A792" s="335" t="s">
        <v>613</v>
      </c>
      <c r="B792" s="332">
        <v>12</v>
      </c>
      <c r="C792" s="332">
        <v>8</v>
      </c>
      <c r="D792" s="332">
        <v>16</v>
      </c>
      <c r="E792" s="332">
        <v>18</v>
      </c>
      <c r="F792" s="332">
        <v>17</v>
      </c>
      <c r="G792" s="332">
        <v>106</v>
      </c>
      <c r="H792" s="332">
        <v>15.6</v>
      </c>
      <c r="I792" s="333">
        <v>0.73</v>
      </c>
      <c r="J792" s="333">
        <v>1.82</v>
      </c>
      <c r="K792" s="332">
        <v>10.9</v>
      </c>
      <c r="L792" s="332">
        <v>0.5</v>
      </c>
      <c r="M792" s="332" t="s">
        <v>207</v>
      </c>
      <c r="N792" s="332">
        <v>2005</v>
      </c>
      <c r="O792" s="332" t="s">
        <v>69</v>
      </c>
      <c r="P792" s="332">
        <v>390187</v>
      </c>
      <c r="Q792" s="335" t="s">
        <v>558</v>
      </c>
      <c r="R792" s="335" t="s">
        <v>325</v>
      </c>
      <c r="S792" s="335" t="s">
        <v>166</v>
      </c>
    </row>
    <row r="793" spans="1:19" x14ac:dyDescent="0.2">
      <c r="A793" s="335" t="s">
        <v>685</v>
      </c>
      <c r="B793" s="332">
        <v>-5</v>
      </c>
      <c r="C793" s="332">
        <v>-4</v>
      </c>
      <c r="D793" s="332">
        <v>5</v>
      </c>
      <c r="E793" s="332">
        <v>36</v>
      </c>
      <c r="F793" s="332">
        <v>14</v>
      </c>
      <c r="G793" s="332">
        <v>-4</v>
      </c>
      <c r="H793" s="332">
        <v>-0.8</v>
      </c>
      <c r="I793" s="333">
        <v>0.87</v>
      </c>
      <c r="J793" s="333">
        <v>2.23</v>
      </c>
      <c r="K793" s="332">
        <v>27</v>
      </c>
      <c r="L793" s="332">
        <v>0.3</v>
      </c>
      <c r="M793" s="332" t="s">
        <v>207</v>
      </c>
      <c r="N793" s="332">
        <v>2002</v>
      </c>
      <c r="O793" s="332" t="s">
        <v>69</v>
      </c>
      <c r="P793" s="332">
        <v>396325</v>
      </c>
      <c r="Q793" s="335" t="s">
        <v>558</v>
      </c>
      <c r="R793" s="335" t="s">
        <v>381</v>
      </c>
      <c r="S793" s="335" t="s">
        <v>166</v>
      </c>
    </row>
    <row r="794" spans="1:19" x14ac:dyDescent="0.2">
      <c r="A794" s="335" t="s">
        <v>745</v>
      </c>
      <c r="B794" s="332">
        <v>2</v>
      </c>
      <c r="C794" s="332">
        <v>0</v>
      </c>
      <c r="D794" s="332">
        <v>5</v>
      </c>
      <c r="E794" s="332">
        <v>12</v>
      </c>
      <c r="F794" s="332">
        <v>8</v>
      </c>
      <c r="G794" s="332">
        <v>88</v>
      </c>
      <c r="H794" s="332">
        <v>13.5</v>
      </c>
      <c r="I794" s="333">
        <v>0.87</v>
      </c>
      <c r="J794" s="333">
        <v>2.23</v>
      </c>
      <c r="K794" s="332">
        <v>14.3</v>
      </c>
      <c r="L794" s="332">
        <v>0.3</v>
      </c>
      <c r="M794" s="332" t="s">
        <v>207</v>
      </c>
      <c r="N794" s="332">
        <v>2014</v>
      </c>
      <c r="O794" s="332" t="s">
        <v>69</v>
      </c>
      <c r="P794" s="332">
        <v>377192</v>
      </c>
      <c r="Q794" s="335" t="s">
        <v>558</v>
      </c>
      <c r="R794" s="335" t="s">
        <v>302</v>
      </c>
      <c r="S794" s="335" t="s">
        <v>166</v>
      </c>
    </row>
    <row r="795" spans="1:19" x14ac:dyDescent="0.2">
      <c r="A795" s="335" t="s">
        <v>557</v>
      </c>
      <c r="B795" s="332">
        <v>2</v>
      </c>
      <c r="C795" s="332">
        <v>-3</v>
      </c>
      <c r="D795" s="332">
        <v>3</v>
      </c>
      <c r="E795" s="332">
        <v>11</v>
      </c>
      <c r="F795" s="332">
        <v>54</v>
      </c>
      <c r="G795" s="332">
        <v>104</v>
      </c>
      <c r="H795" s="332">
        <v>15.3</v>
      </c>
      <c r="I795" s="333">
        <v>0.62</v>
      </c>
      <c r="J795" s="333">
        <v>1.5</v>
      </c>
      <c r="K795" s="332">
        <v>12.9</v>
      </c>
      <c r="L795" s="332">
        <v>1.2</v>
      </c>
      <c r="M795" s="332" t="s">
        <v>207</v>
      </c>
      <c r="N795" s="332">
        <v>2002</v>
      </c>
      <c r="O795" s="332" t="s">
        <v>69</v>
      </c>
      <c r="P795" s="332">
        <v>360495</v>
      </c>
      <c r="Q795" s="335" t="s">
        <v>558</v>
      </c>
      <c r="R795" s="335" t="s">
        <v>1112</v>
      </c>
      <c r="S795" s="335" t="s">
        <v>166</v>
      </c>
    </row>
    <row r="796" spans="1:19" x14ac:dyDescent="0.2">
      <c r="A796" s="335" t="s">
        <v>971</v>
      </c>
      <c r="B796" s="332">
        <v>7</v>
      </c>
      <c r="C796" s="332">
        <v>5</v>
      </c>
      <c r="D796" s="332">
        <v>6</v>
      </c>
      <c r="E796" s="332">
        <v>12</v>
      </c>
      <c r="F796" s="332">
        <v>16</v>
      </c>
      <c r="G796" s="332">
        <v>35</v>
      </c>
      <c r="H796" s="332">
        <v>6.1000000000000005</v>
      </c>
      <c r="I796" s="333">
        <v>0.42</v>
      </c>
      <c r="J796" s="333">
        <v>1.45</v>
      </c>
      <c r="K796" s="332">
        <v>6.7</v>
      </c>
      <c r="L796" s="332">
        <v>0.8</v>
      </c>
      <c r="M796" s="332" t="s">
        <v>207</v>
      </c>
      <c r="N796" s="332">
        <v>2016</v>
      </c>
      <c r="O796" s="332" t="s">
        <v>69</v>
      </c>
      <c r="P796" s="332">
        <v>806505</v>
      </c>
      <c r="Q796" s="335" t="s">
        <v>563</v>
      </c>
      <c r="R796" s="335" t="s">
        <v>1099</v>
      </c>
      <c r="S796" s="335"/>
    </row>
    <row r="797" spans="1:19" x14ac:dyDescent="0.2">
      <c r="A797" s="335" t="s">
        <v>649</v>
      </c>
      <c r="B797" s="332">
        <v>11</v>
      </c>
      <c r="C797" s="332">
        <v>8</v>
      </c>
      <c r="D797" s="332">
        <v>15</v>
      </c>
      <c r="E797" s="332">
        <v>21</v>
      </c>
      <c r="F797" s="332">
        <v>29</v>
      </c>
      <c r="G797" s="332">
        <v>74</v>
      </c>
      <c r="H797" s="332">
        <v>11.700000000000001</v>
      </c>
      <c r="I797" s="333">
        <v>0.8</v>
      </c>
      <c r="J797" s="333">
        <v>2</v>
      </c>
      <c r="K797" s="332">
        <v>13.4</v>
      </c>
      <c r="L797" s="332">
        <v>0.70000000000000007</v>
      </c>
      <c r="M797" s="332" t="s">
        <v>207</v>
      </c>
      <c r="N797" s="332">
        <v>2011</v>
      </c>
      <c r="O797" s="332" t="s">
        <v>69</v>
      </c>
      <c r="P797" s="332">
        <v>724633</v>
      </c>
      <c r="Q797" s="335" t="s">
        <v>646</v>
      </c>
      <c r="R797" s="335" t="s">
        <v>219</v>
      </c>
      <c r="S797" s="335"/>
    </row>
    <row r="798" spans="1:19" x14ac:dyDescent="0.2">
      <c r="A798" s="335" t="s">
        <v>899</v>
      </c>
      <c r="B798" s="332">
        <v>4</v>
      </c>
      <c r="C798" s="332">
        <v>-2</v>
      </c>
      <c r="D798" s="332">
        <v>3</v>
      </c>
      <c r="E798" s="332">
        <v>22</v>
      </c>
      <c r="F798" s="332"/>
      <c r="G798" s="332"/>
      <c r="H798" s="332"/>
      <c r="I798" s="333">
        <v>0.16</v>
      </c>
      <c r="J798" s="333">
        <v>0.2</v>
      </c>
      <c r="K798" s="332"/>
      <c r="L798" s="332"/>
      <c r="M798" s="332" t="s">
        <v>157</v>
      </c>
      <c r="N798" s="332">
        <v>2015</v>
      </c>
      <c r="O798" s="332" t="s">
        <v>158</v>
      </c>
      <c r="P798" s="332">
        <v>150649</v>
      </c>
      <c r="Q798" s="335" t="s">
        <v>175</v>
      </c>
      <c r="R798" s="335" t="s">
        <v>1112</v>
      </c>
      <c r="S798" s="335"/>
    </row>
    <row r="799" spans="1:19" x14ac:dyDescent="0.2">
      <c r="A799" s="335" t="s">
        <v>640</v>
      </c>
      <c r="B799" s="332">
        <v>2</v>
      </c>
      <c r="C799" s="332">
        <v>0</v>
      </c>
      <c r="D799" s="332">
        <v>3</v>
      </c>
      <c r="E799" s="332">
        <v>25</v>
      </c>
      <c r="F799" s="332">
        <v>54</v>
      </c>
      <c r="G799" s="332">
        <v>125</v>
      </c>
      <c r="H799" s="332">
        <v>17.600000000000001</v>
      </c>
      <c r="I799" s="333">
        <v>0.74</v>
      </c>
      <c r="J799" s="333">
        <v>2.16</v>
      </c>
      <c r="K799" s="332">
        <v>14.200000000000001</v>
      </c>
      <c r="L799" s="332">
        <v>1.1000000000000001</v>
      </c>
      <c r="M799" s="332" t="s">
        <v>352</v>
      </c>
      <c r="N799" s="332">
        <v>2011</v>
      </c>
      <c r="O799" s="332" t="s">
        <v>69</v>
      </c>
      <c r="P799" s="332">
        <v>197517</v>
      </c>
      <c r="Q799" s="335" t="s">
        <v>775</v>
      </c>
      <c r="R799" s="335" t="s">
        <v>1112</v>
      </c>
      <c r="S799" s="335"/>
    </row>
    <row r="800" spans="1:19" x14ac:dyDescent="0.2">
      <c r="A800" s="335" t="s">
        <v>209</v>
      </c>
      <c r="B800" s="332">
        <v>3</v>
      </c>
      <c r="C800" s="332">
        <v>-2</v>
      </c>
      <c r="D800" s="332">
        <v>3</v>
      </c>
      <c r="E800" s="332">
        <v>21</v>
      </c>
      <c r="F800" s="332">
        <v>69</v>
      </c>
      <c r="G800" s="332">
        <v>135</v>
      </c>
      <c r="H800" s="332">
        <v>18.600000000000001</v>
      </c>
      <c r="I800" s="333">
        <v>0.16</v>
      </c>
      <c r="J800" s="333">
        <v>0.21</v>
      </c>
      <c r="K800" s="332">
        <v>13.6</v>
      </c>
      <c r="L800" s="332">
        <v>1.4000000000000001</v>
      </c>
      <c r="M800" s="332" t="s">
        <v>157</v>
      </c>
      <c r="N800" s="332">
        <v>2000</v>
      </c>
      <c r="O800" s="332" t="s">
        <v>158</v>
      </c>
      <c r="P800" s="332">
        <v>248161</v>
      </c>
      <c r="Q800" s="335" t="s">
        <v>182</v>
      </c>
      <c r="R800" s="335" t="s">
        <v>1112</v>
      </c>
      <c r="S800" s="335" t="s">
        <v>166</v>
      </c>
    </row>
    <row r="801" spans="1:19" x14ac:dyDescent="0.2">
      <c r="A801" s="335" t="s">
        <v>488</v>
      </c>
      <c r="B801" s="332">
        <v>12</v>
      </c>
      <c r="C801" s="332">
        <v>8</v>
      </c>
      <c r="D801" s="332">
        <v>15</v>
      </c>
      <c r="E801" s="332">
        <v>19</v>
      </c>
      <c r="F801" s="332">
        <v>28</v>
      </c>
      <c r="G801" s="332">
        <v>86</v>
      </c>
      <c r="H801" s="332">
        <v>13.3</v>
      </c>
      <c r="I801" s="333">
        <v>0.53</v>
      </c>
      <c r="J801" s="333">
        <v>1.52</v>
      </c>
      <c r="K801" s="332">
        <v>11.9</v>
      </c>
      <c r="L801" s="332">
        <v>0.8</v>
      </c>
      <c r="M801" s="332" t="s">
        <v>157</v>
      </c>
      <c r="N801" s="332">
        <v>2000</v>
      </c>
      <c r="O801" s="332" t="s">
        <v>158</v>
      </c>
      <c r="P801" s="332">
        <v>937433</v>
      </c>
      <c r="Q801" s="335" t="s">
        <v>211</v>
      </c>
      <c r="R801" s="335" t="s">
        <v>305</v>
      </c>
      <c r="S801" s="335"/>
    </row>
    <row r="802" spans="1:19" x14ac:dyDescent="0.2">
      <c r="A802" s="335" t="s">
        <v>791</v>
      </c>
      <c r="B802" s="332">
        <v>4</v>
      </c>
      <c r="C802" s="332">
        <v>1</v>
      </c>
      <c r="D802" s="332">
        <v>3</v>
      </c>
      <c r="E802" s="332">
        <v>-7</v>
      </c>
      <c r="F802" s="332">
        <v>5</v>
      </c>
      <c r="G802" s="332"/>
      <c r="H802" s="332"/>
      <c r="I802" s="333">
        <v>0.79</v>
      </c>
      <c r="J802" s="333">
        <v>2.54</v>
      </c>
      <c r="K802" s="332">
        <v>16.899999999999999</v>
      </c>
      <c r="L802" s="332">
        <v>0.2</v>
      </c>
      <c r="M802" s="332" t="s">
        <v>157</v>
      </c>
      <c r="N802" s="332">
        <v>2014</v>
      </c>
      <c r="O802" s="332" t="s">
        <v>158</v>
      </c>
      <c r="P802" s="332">
        <v>946228</v>
      </c>
      <c r="Q802" s="335" t="s">
        <v>159</v>
      </c>
      <c r="R802" s="335" t="s">
        <v>305</v>
      </c>
      <c r="S802" s="335"/>
    </row>
    <row r="803" spans="1:19" x14ac:dyDescent="0.2">
      <c r="A803" s="335" t="s">
        <v>478</v>
      </c>
      <c r="B803" s="332">
        <v>10</v>
      </c>
      <c r="C803" s="332">
        <v>2</v>
      </c>
      <c r="D803" s="332">
        <v>10</v>
      </c>
      <c r="E803" s="332">
        <v>16</v>
      </c>
      <c r="F803" s="332">
        <v>71</v>
      </c>
      <c r="G803" s="332">
        <v>163</v>
      </c>
      <c r="H803" s="332">
        <v>21.400000000000002</v>
      </c>
      <c r="I803" s="333">
        <v>0.54</v>
      </c>
      <c r="J803" s="333">
        <v>1.5</v>
      </c>
      <c r="K803" s="332">
        <v>13.9</v>
      </c>
      <c r="L803" s="332">
        <v>1.4000000000000001</v>
      </c>
      <c r="M803" s="332" t="s">
        <v>300</v>
      </c>
      <c r="N803" s="332">
        <v>2013</v>
      </c>
      <c r="O803" s="332" t="s">
        <v>69</v>
      </c>
      <c r="P803" s="332">
        <v>517508</v>
      </c>
      <c r="Q803" s="335" t="s">
        <v>467</v>
      </c>
      <c r="R803" s="335" t="s">
        <v>1117</v>
      </c>
      <c r="S803" s="335"/>
    </row>
    <row r="804" spans="1:19" x14ac:dyDescent="0.2">
      <c r="A804" s="335" t="s">
        <v>783</v>
      </c>
      <c r="B804" s="332">
        <v>8</v>
      </c>
      <c r="C804" s="332">
        <v>2</v>
      </c>
      <c r="D804" s="332">
        <v>4</v>
      </c>
      <c r="E804" s="332">
        <v>27</v>
      </c>
      <c r="F804" s="332"/>
      <c r="G804" s="332"/>
      <c r="H804" s="332"/>
      <c r="I804" s="333">
        <v>0.69000000000000006</v>
      </c>
      <c r="J804" s="333">
        <v>1.85</v>
      </c>
      <c r="K804" s="332"/>
      <c r="L804" s="332"/>
      <c r="M804" s="332" t="s">
        <v>157</v>
      </c>
      <c r="N804" s="332">
        <v>2015</v>
      </c>
      <c r="O804" s="332" t="s">
        <v>69</v>
      </c>
      <c r="P804" s="332">
        <v>799247</v>
      </c>
      <c r="Q804" s="335" t="s">
        <v>330</v>
      </c>
      <c r="R804" s="335" t="s">
        <v>350</v>
      </c>
      <c r="S804" s="335"/>
    </row>
    <row r="805" spans="1:19" x14ac:dyDescent="0.2">
      <c r="A805" s="335" t="s">
        <v>1046</v>
      </c>
      <c r="B805" s="332">
        <v>9</v>
      </c>
      <c r="C805" s="332">
        <v>3</v>
      </c>
      <c r="D805" s="332">
        <v>9</v>
      </c>
      <c r="E805" s="332">
        <v>21</v>
      </c>
      <c r="F805" s="332"/>
      <c r="G805" s="332"/>
      <c r="H805" s="332"/>
      <c r="I805" s="333">
        <v>0.75</v>
      </c>
      <c r="J805" s="333">
        <v>2.83</v>
      </c>
      <c r="K805" s="332"/>
      <c r="L805" s="332"/>
      <c r="M805" s="332" t="s">
        <v>157</v>
      </c>
      <c r="N805" s="332">
        <v>2015</v>
      </c>
      <c r="O805" s="332" t="s">
        <v>69</v>
      </c>
      <c r="P805" s="332">
        <v>870907</v>
      </c>
      <c r="Q805" s="335" t="s">
        <v>624</v>
      </c>
      <c r="R805" s="335" t="s">
        <v>302</v>
      </c>
      <c r="S805" s="335"/>
    </row>
    <row r="806" spans="1:19" x14ac:dyDescent="0.2">
      <c r="A806" s="335" t="s">
        <v>782</v>
      </c>
      <c r="B806" s="332">
        <v>9</v>
      </c>
      <c r="C806" s="332">
        <v>6</v>
      </c>
      <c r="D806" s="332">
        <v>14</v>
      </c>
      <c r="E806" s="332">
        <v>19</v>
      </c>
      <c r="F806" s="332"/>
      <c r="G806" s="332"/>
      <c r="H806" s="332"/>
      <c r="I806" s="333">
        <v>0.55000000000000004</v>
      </c>
      <c r="J806" s="333">
        <v>1.4000000000000001</v>
      </c>
      <c r="K806" s="332"/>
      <c r="L806" s="332"/>
      <c r="M806" s="332" t="s">
        <v>157</v>
      </c>
      <c r="N806" s="332">
        <v>2015</v>
      </c>
      <c r="O806" s="332" t="s">
        <v>69</v>
      </c>
      <c r="P806" s="332">
        <v>835074</v>
      </c>
      <c r="Q806" s="335" t="s">
        <v>330</v>
      </c>
      <c r="R806" s="335" t="s">
        <v>223</v>
      </c>
      <c r="S806" s="335"/>
    </row>
    <row r="807" spans="1:19" x14ac:dyDescent="0.2">
      <c r="A807" s="335" t="s">
        <v>902</v>
      </c>
      <c r="B807" s="332">
        <v>0</v>
      </c>
      <c r="C807" s="332">
        <v>0</v>
      </c>
      <c r="D807" s="332">
        <v>0</v>
      </c>
      <c r="E807" s="332">
        <v>0</v>
      </c>
      <c r="F807" s="332"/>
      <c r="G807" s="332"/>
      <c r="H807" s="332"/>
      <c r="I807" s="333">
        <v>0.16</v>
      </c>
      <c r="J807" s="333">
        <v>0.3</v>
      </c>
      <c r="K807" s="332"/>
      <c r="L807" s="332"/>
      <c r="M807" s="332" t="s">
        <v>157</v>
      </c>
      <c r="N807" s="332">
        <v>2015</v>
      </c>
      <c r="O807" s="332" t="s">
        <v>69</v>
      </c>
      <c r="P807" s="332">
        <v>553271</v>
      </c>
      <c r="Q807" s="335" t="s">
        <v>330</v>
      </c>
      <c r="R807" s="335" t="s">
        <v>1096</v>
      </c>
      <c r="S807" s="335"/>
    </row>
    <row r="808" spans="1:19" x14ac:dyDescent="0.2">
      <c r="A808" s="335" t="s">
        <v>923</v>
      </c>
      <c r="B808" s="332">
        <v>1</v>
      </c>
      <c r="C808" s="332">
        <v>1</v>
      </c>
      <c r="D808" s="332">
        <v>1</v>
      </c>
      <c r="E808" s="332">
        <v>3</v>
      </c>
      <c r="F808" s="332"/>
      <c r="G808" s="332"/>
      <c r="H808" s="332"/>
      <c r="I808" s="333">
        <v>0.2</v>
      </c>
      <c r="J808" s="333">
        <v>0.4</v>
      </c>
      <c r="K808" s="332"/>
      <c r="L808" s="332"/>
      <c r="M808" s="332" t="s">
        <v>157</v>
      </c>
      <c r="N808" s="332">
        <v>2015</v>
      </c>
      <c r="O808" s="332" t="s">
        <v>69</v>
      </c>
      <c r="P808" s="332">
        <v>203471</v>
      </c>
      <c r="Q808" s="335" t="s">
        <v>330</v>
      </c>
      <c r="R808" s="335" t="s">
        <v>1105</v>
      </c>
      <c r="S808" s="335"/>
    </row>
    <row r="809" spans="1:19" x14ac:dyDescent="0.2">
      <c r="A809" s="335" t="s">
        <v>1025</v>
      </c>
      <c r="B809" s="332">
        <v>3</v>
      </c>
      <c r="C809" s="332">
        <v>1</v>
      </c>
      <c r="D809" s="332">
        <v>5</v>
      </c>
      <c r="E809" s="332">
        <v>9</v>
      </c>
      <c r="F809" s="332"/>
      <c r="G809" s="332"/>
      <c r="H809" s="332"/>
      <c r="I809" s="333">
        <v>0.57999999999999996</v>
      </c>
      <c r="J809" s="333">
        <v>1.5</v>
      </c>
      <c r="K809" s="332"/>
      <c r="L809" s="332"/>
      <c r="M809" s="332" t="s">
        <v>157</v>
      </c>
      <c r="N809" s="332">
        <v>2016</v>
      </c>
      <c r="O809" s="332" t="s">
        <v>69</v>
      </c>
      <c r="P809" s="332">
        <v>123901</v>
      </c>
      <c r="Q809" s="335" t="s">
        <v>330</v>
      </c>
      <c r="R809" s="335" t="s">
        <v>1106</v>
      </c>
      <c r="S809" s="335"/>
    </row>
    <row r="810" spans="1:19" x14ac:dyDescent="0.2">
      <c r="A810" s="335" t="s">
        <v>937</v>
      </c>
      <c r="B810" s="332">
        <v>3</v>
      </c>
      <c r="C810" s="332">
        <v>1</v>
      </c>
      <c r="D810" s="332">
        <v>4</v>
      </c>
      <c r="E810" s="332">
        <v>6</v>
      </c>
      <c r="F810" s="332"/>
      <c r="G810" s="332"/>
      <c r="H810" s="332"/>
      <c r="I810" s="333">
        <v>0.42</v>
      </c>
      <c r="J810" s="333">
        <v>1.34</v>
      </c>
      <c r="K810" s="332"/>
      <c r="L810" s="332"/>
      <c r="M810" s="332" t="s">
        <v>157</v>
      </c>
      <c r="N810" s="332">
        <v>2015</v>
      </c>
      <c r="O810" s="332" t="s">
        <v>69</v>
      </c>
      <c r="P810" s="332">
        <v>606103</v>
      </c>
      <c r="Q810" s="335" t="s">
        <v>294</v>
      </c>
      <c r="R810" s="335" t="s">
        <v>1103</v>
      </c>
      <c r="S810" s="335" t="s">
        <v>166</v>
      </c>
    </row>
    <row r="811" spans="1:19" x14ac:dyDescent="0.2">
      <c r="A811" s="335" t="s">
        <v>807</v>
      </c>
      <c r="B811" s="332">
        <v>10</v>
      </c>
      <c r="C811" s="332">
        <v>7</v>
      </c>
      <c r="D811" s="332">
        <v>15</v>
      </c>
      <c r="E811" s="332">
        <v>20</v>
      </c>
      <c r="F811" s="332"/>
      <c r="G811" s="332"/>
      <c r="H811" s="332"/>
      <c r="I811" s="333">
        <v>0.55000000000000004</v>
      </c>
      <c r="J811" s="333">
        <v>1.4000000000000001</v>
      </c>
      <c r="K811" s="332"/>
      <c r="L811" s="332"/>
      <c r="M811" s="332" t="s">
        <v>157</v>
      </c>
      <c r="N811" s="332">
        <v>2015</v>
      </c>
      <c r="O811" s="332" t="s">
        <v>69</v>
      </c>
      <c r="P811" s="332">
        <v>521104</v>
      </c>
      <c r="Q811" s="335" t="s">
        <v>330</v>
      </c>
      <c r="R811" s="335" t="s">
        <v>325</v>
      </c>
      <c r="S811" s="335"/>
    </row>
    <row r="812" spans="1:19" x14ac:dyDescent="0.2">
      <c r="A812" s="335" t="s">
        <v>609</v>
      </c>
      <c r="B812" s="332">
        <v>14</v>
      </c>
      <c r="C812" s="332">
        <v>10</v>
      </c>
      <c r="D812" s="332">
        <v>16</v>
      </c>
      <c r="E812" s="332">
        <v>21</v>
      </c>
      <c r="F812" s="332">
        <v>27</v>
      </c>
      <c r="G812" s="332">
        <v>79</v>
      </c>
      <c r="H812" s="332">
        <v>12.4</v>
      </c>
      <c r="I812" s="333">
        <v>0.68</v>
      </c>
      <c r="J812" s="333">
        <v>1.86</v>
      </c>
      <c r="K812" s="332">
        <v>13.1</v>
      </c>
      <c r="L812" s="332">
        <v>0.70000000000000007</v>
      </c>
      <c r="M812" s="332" t="s">
        <v>207</v>
      </c>
      <c r="N812" s="332">
        <v>2006</v>
      </c>
      <c r="O812" s="332" t="s">
        <v>69</v>
      </c>
      <c r="P812" s="332">
        <v>865063</v>
      </c>
      <c r="Q812" s="335" t="s">
        <v>418</v>
      </c>
      <c r="R812" s="335" t="s">
        <v>219</v>
      </c>
      <c r="S812" s="335"/>
    </row>
    <row r="813" spans="1:19" x14ac:dyDescent="0.2">
      <c r="A813" s="335" t="s">
        <v>571</v>
      </c>
      <c r="B813" s="332">
        <v>14</v>
      </c>
      <c r="C813" s="332">
        <v>9</v>
      </c>
      <c r="D813" s="332">
        <v>16</v>
      </c>
      <c r="E813" s="332">
        <v>21</v>
      </c>
      <c r="F813" s="332">
        <v>20</v>
      </c>
      <c r="G813" s="332">
        <v>67</v>
      </c>
      <c r="H813" s="332">
        <v>10.8</v>
      </c>
      <c r="I813" s="333">
        <v>0.63</v>
      </c>
      <c r="J813" s="333">
        <v>1.71</v>
      </c>
      <c r="K813" s="332">
        <v>13</v>
      </c>
      <c r="L813" s="332">
        <v>0.5</v>
      </c>
      <c r="M813" s="332" t="s">
        <v>207</v>
      </c>
      <c r="N813" s="332">
        <v>2006</v>
      </c>
      <c r="O813" s="332" t="s">
        <v>69</v>
      </c>
      <c r="P813" s="332">
        <v>367698</v>
      </c>
      <c r="Q813" s="335" t="s">
        <v>418</v>
      </c>
      <c r="R813" s="335" t="s">
        <v>219</v>
      </c>
      <c r="S813" s="335"/>
    </row>
    <row r="814" spans="1:19" x14ac:dyDescent="0.2">
      <c r="A814" s="335" t="s">
        <v>271</v>
      </c>
      <c r="B814" s="332">
        <v>3</v>
      </c>
      <c r="C814" s="332">
        <v>-2</v>
      </c>
      <c r="D814" s="332">
        <v>3</v>
      </c>
      <c r="E814" s="332">
        <v>20</v>
      </c>
      <c r="F814" s="332">
        <v>64</v>
      </c>
      <c r="G814" s="332"/>
      <c r="H814" s="332"/>
      <c r="I814" s="333">
        <v>0.21</v>
      </c>
      <c r="J814" s="333">
        <v>0.41000000000000003</v>
      </c>
      <c r="K814" s="332">
        <v>13.5</v>
      </c>
      <c r="L814" s="332">
        <v>1.3</v>
      </c>
      <c r="M814" s="332" t="s">
        <v>157</v>
      </c>
      <c r="N814" s="332">
        <v>2013</v>
      </c>
      <c r="O814" s="332" t="s">
        <v>158</v>
      </c>
      <c r="P814" s="332">
        <v>256362</v>
      </c>
      <c r="Q814" s="335" t="s">
        <v>230</v>
      </c>
      <c r="R814" s="335" t="s">
        <v>1112</v>
      </c>
      <c r="S814" s="335" t="s">
        <v>166</v>
      </c>
    </row>
    <row r="815" spans="1:19" x14ac:dyDescent="0.2">
      <c r="A815" s="335" t="s">
        <v>566</v>
      </c>
      <c r="B815" s="332">
        <v>0</v>
      </c>
      <c r="C815" s="332">
        <v>-4</v>
      </c>
      <c r="D815" s="332">
        <v>-1</v>
      </c>
      <c r="E815" s="332">
        <v>13</v>
      </c>
      <c r="F815" s="332">
        <v>34</v>
      </c>
      <c r="G815" s="332"/>
      <c r="H815" s="332"/>
      <c r="I815" s="333">
        <v>0.67</v>
      </c>
      <c r="J815" s="333">
        <v>1.6300000000000001</v>
      </c>
      <c r="K815" s="332">
        <v>15</v>
      </c>
      <c r="L815" s="332">
        <v>0.70000000000000007</v>
      </c>
      <c r="M815" s="332" t="s">
        <v>157</v>
      </c>
      <c r="N815" s="332">
        <v>2012</v>
      </c>
      <c r="O815" s="332" t="s">
        <v>158</v>
      </c>
      <c r="P815" s="332">
        <v>261859</v>
      </c>
      <c r="Q815" s="335" t="s">
        <v>409</v>
      </c>
      <c r="R815" s="335" t="s">
        <v>1112</v>
      </c>
      <c r="S815" s="335"/>
    </row>
    <row r="816" spans="1:19" x14ac:dyDescent="0.2">
      <c r="A816" s="335" t="s">
        <v>843</v>
      </c>
      <c r="B816" s="332">
        <v>-1</v>
      </c>
      <c r="C816" s="332">
        <v>-4</v>
      </c>
      <c r="D816" s="332">
        <v>1</v>
      </c>
      <c r="E816" s="332">
        <v>25</v>
      </c>
      <c r="F816" s="332"/>
      <c r="G816" s="332"/>
      <c r="H816" s="332"/>
      <c r="I816" s="333">
        <v>0.84</v>
      </c>
      <c r="J816" s="333">
        <v>2.1</v>
      </c>
      <c r="K816" s="332"/>
      <c r="L816" s="332"/>
      <c r="M816" s="332" t="s">
        <v>352</v>
      </c>
      <c r="N816" s="332">
        <v>2015</v>
      </c>
      <c r="O816" s="332" t="s">
        <v>69</v>
      </c>
      <c r="P816" s="332">
        <v>283044</v>
      </c>
      <c r="Q816" s="335" t="s">
        <v>768</v>
      </c>
      <c r="R816" s="335" t="s">
        <v>1112</v>
      </c>
      <c r="S816" s="335"/>
    </row>
    <row r="817" spans="1:19" x14ac:dyDescent="0.2">
      <c r="A817" s="335" t="s">
        <v>492</v>
      </c>
      <c r="B817" s="332">
        <v>6</v>
      </c>
      <c r="C817" s="332">
        <v>-1</v>
      </c>
      <c r="D817" s="332">
        <v>6</v>
      </c>
      <c r="E817" s="332">
        <v>26</v>
      </c>
      <c r="F817" s="332">
        <v>82</v>
      </c>
      <c r="G817" s="332"/>
      <c r="H817" s="332"/>
      <c r="I817" s="333">
        <v>0.89</v>
      </c>
      <c r="J817" s="333">
        <v>2.2600000000000002</v>
      </c>
      <c r="K817" s="332">
        <v>14.1</v>
      </c>
      <c r="L817" s="332">
        <v>1.5</v>
      </c>
      <c r="M817" s="332" t="s">
        <v>157</v>
      </c>
      <c r="N817" s="332">
        <v>2012</v>
      </c>
      <c r="O817" s="332" t="s">
        <v>158</v>
      </c>
      <c r="P817" s="332">
        <v>297689</v>
      </c>
      <c r="Q817" s="335" t="s">
        <v>409</v>
      </c>
      <c r="R817" s="335" t="s">
        <v>1112</v>
      </c>
      <c r="S817" s="335"/>
    </row>
    <row r="818" spans="1:19" x14ac:dyDescent="0.2">
      <c r="A818" s="335" t="s">
        <v>459</v>
      </c>
      <c r="B818" s="332">
        <v>8</v>
      </c>
      <c r="C818" s="332">
        <v>1</v>
      </c>
      <c r="D818" s="332">
        <v>7</v>
      </c>
      <c r="E818" s="332">
        <v>19</v>
      </c>
      <c r="F818" s="332">
        <v>64</v>
      </c>
      <c r="G818" s="332">
        <v>122</v>
      </c>
      <c r="H818" s="332">
        <v>17.3</v>
      </c>
      <c r="I818" s="333">
        <v>0.55000000000000004</v>
      </c>
      <c r="J818" s="333">
        <v>1.47</v>
      </c>
      <c r="K818" s="332">
        <v>13.3</v>
      </c>
      <c r="L818" s="332">
        <v>1.3</v>
      </c>
      <c r="M818" s="332" t="s">
        <v>352</v>
      </c>
      <c r="N818" s="332">
        <v>2000</v>
      </c>
      <c r="O818" s="332" t="s">
        <v>69</v>
      </c>
      <c r="P818" s="332">
        <v>300996</v>
      </c>
      <c r="Q818" s="335" t="s">
        <v>338</v>
      </c>
      <c r="R818" s="335" t="s">
        <v>1112</v>
      </c>
      <c r="S818" s="335"/>
    </row>
    <row r="819" spans="1:19" x14ac:dyDescent="0.2">
      <c r="A819" s="335" t="s">
        <v>502</v>
      </c>
      <c r="B819" s="332">
        <v>3</v>
      </c>
      <c r="C819" s="332">
        <v>-2</v>
      </c>
      <c r="D819" s="332">
        <v>4</v>
      </c>
      <c r="E819" s="332">
        <v>22</v>
      </c>
      <c r="F819" s="332">
        <v>67</v>
      </c>
      <c r="G819" s="332">
        <v>127</v>
      </c>
      <c r="H819" s="332">
        <v>17.8</v>
      </c>
      <c r="I819" s="333">
        <v>0.54</v>
      </c>
      <c r="J819" s="333">
        <v>1.26</v>
      </c>
      <c r="K819" s="332">
        <v>13.8</v>
      </c>
      <c r="L819" s="332">
        <v>1.3</v>
      </c>
      <c r="M819" s="332" t="s">
        <v>352</v>
      </c>
      <c r="N819" s="332">
        <v>2000</v>
      </c>
      <c r="O819" s="332" t="s">
        <v>69</v>
      </c>
      <c r="P819" s="332">
        <v>304659</v>
      </c>
      <c r="Q819" s="335" t="s">
        <v>383</v>
      </c>
      <c r="R819" s="335" t="s">
        <v>1112</v>
      </c>
      <c r="S819" s="335"/>
    </row>
    <row r="820" spans="1:19" x14ac:dyDescent="0.2">
      <c r="A820" s="335" t="s">
        <v>275</v>
      </c>
      <c r="B820" s="332">
        <v>3</v>
      </c>
      <c r="C820" s="332">
        <v>-2</v>
      </c>
      <c r="D820" s="332">
        <v>3</v>
      </c>
      <c r="E820" s="332">
        <v>20</v>
      </c>
      <c r="F820" s="332">
        <v>64</v>
      </c>
      <c r="G820" s="332">
        <v>126</v>
      </c>
      <c r="H820" s="332">
        <v>17.7</v>
      </c>
      <c r="I820" s="333">
        <v>0.21</v>
      </c>
      <c r="J820" s="333">
        <v>0.42</v>
      </c>
      <c r="K820" s="332">
        <v>12.8</v>
      </c>
      <c r="L820" s="332">
        <v>1.4000000000000001</v>
      </c>
      <c r="M820" s="332" t="s">
        <v>157</v>
      </c>
      <c r="N820" s="332">
        <v>2012</v>
      </c>
      <c r="O820" s="332" t="s">
        <v>158</v>
      </c>
      <c r="P820" s="332">
        <v>316513</v>
      </c>
      <c r="Q820" s="335" t="s">
        <v>170</v>
      </c>
      <c r="R820" s="335" t="s">
        <v>1112</v>
      </c>
      <c r="S820" s="335"/>
    </row>
    <row r="821" spans="1:19" x14ac:dyDescent="0.2">
      <c r="A821" s="335" t="s">
        <v>881</v>
      </c>
      <c r="B821" s="332">
        <v>3</v>
      </c>
      <c r="C821" s="332">
        <v>-1</v>
      </c>
      <c r="D821" s="332">
        <v>4</v>
      </c>
      <c r="E821" s="332">
        <v>20</v>
      </c>
      <c r="F821" s="332">
        <v>63</v>
      </c>
      <c r="G821" s="332">
        <v>131</v>
      </c>
      <c r="H821" s="332">
        <v>18.2</v>
      </c>
      <c r="I821" s="333">
        <v>0.4</v>
      </c>
      <c r="J821" s="333">
        <v>0.87</v>
      </c>
      <c r="K821" s="332">
        <v>13.3</v>
      </c>
      <c r="L821" s="332">
        <v>1.3</v>
      </c>
      <c r="M821" s="332" t="s">
        <v>352</v>
      </c>
      <c r="N821" s="332">
        <v>2015</v>
      </c>
      <c r="O821" s="332" t="s">
        <v>69</v>
      </c>
      <c r="P821" s="332">
        <v>352872</v>
      </c>
      <c r="Q821" s="335" t="s">
        <v>506</v>
      </c>
      <c r="R821" s="335" t="s">
        <v>1112</v>
      </c>
      <c r="S821" s="335"/>
    </row>
    <row r="822" spans="1:19" x14ac:dyDescent="0.2">
      <c r="A822" s="335" t="s">
        <v>630</v>
      </c>
      <c r="B822" s="332">
        <v>19</v>
      </c>
      <c r="C822" s="332">
        <v>7</v>
      </c>
      <c r="D822" s="332">
        <v>16</v>
      </c>
      <c r="E822" s="332">
        <v>29</v>
      </c>
      <c r="F822" s="332">
        <v>82</v>
      </c>
      <c r="G822" s="332">
        <v>135</v>
      </c>
      <c r="H822" s="332">
        <v>18.600000000000001</v>
      </c>
      <c r="I822" s="333">
        <v>0.75</v>
      </c>
      <c r="J822" s="333">
        <v>1.8900000000000001</v>
      </c>
      <c r="K822" s="332">
        <v>19</v>
      </c>
      <c r="L822" s="332">
        <v>1.2</v>
      </c>
      <c r="M822" s="332" t="s">
        <v>352</v>
      </c>
      <c r="N822" s="332">
        <v>2007</v>
      </c>
      <c r="O822" s="332" t="s">
        <v>69</v>
      </c>
      <c r="P822" s="332">
        <v>170894</v>
      </c>
      <c r="Q822" s="335" t="s">
        <v>545</v>
      </c>
      <c r="R822" s="335" t="s">
        <v>1123</v>
      </c>
      <c r="S822" s="335"/>
    </row>
    <row r="823" spans="1:19" x14ac:dyDescent="0.2">
      <c r="A823" s="335" t="s">
        <v>1124</v>
      </c>
      <c r="B823" s="332">
        <v>21</v>
      </c>
      <c r="C823" s="332">
        <v>9</v>
      </c>
      <c r="D823" s="332">
        <v>18</v>
      </c>
      <c r="E823" s="332">
        <v>27</v>
      </c>
      <c r="F823" s="332">
        <v>76</v>
      </c>
      <c r="G823" s="332">
        <v>136</v>
      </c>
      <c r="H823" s="332">
        <v>18.7</v>
      </c>
      <c r="I823" s="333">
        <v>0.76</v>
      </c>
      <c r="J823" s="333">
        <v>2.2600000000000002</v>
      </c>
      <c r="K823" s="332">
        <v>20</v>
      </c>
      <c r="L823" s="332">
        <v>1.1000000000000001</v>
      </c>
      <c r="M823" s="332" t="s">
        <v>352</v>
      </c>
      <c r="N823" s="332">
        <v>2006</v>
      </c>
      <c r="O823" s="332" t="s">
        <v>69</v>
      </c>
      <c r="P823" s="332">
        <v>233460</v>
      </c>
      <c r="Q823" s="335" t="s">
        <v>775</v>
      </c>
      <c r="R823" s="335" t="s">
        <v>1123</v>
      </c>
      <c r="S823" s="335"/>
    </row>
    <row r="824" spans="1:19" x14ac:dyDescent="0.2">
      <c r="A824" s="335" t="s">
        <v>855</v>
      </c>
      <c r="B824" s="332">
        <v>17</v>
      </c>
      <c r="C824" s="332">
        <v>7</v>
      </c>
      <c r="D824" s="332">
        <v>13</v>
      </c>
      <c r="E824" s="332">
        <v>16</v>
      </c>
      <c r="F824" s="332">
        <v>59</v>
      </c>
      <c r="G824" s="332">
        <v>91</v>
      </c>
      <c r="H824" s="332">
        <v>13.8</v>
      </c>
      <c r="I824" s="333">
        <v>0.85</v>
      </c>
      <c r="J824" s="333">
        <v>2.6</v>
      </c>
      <c r="K824" s="332">
        <v>20.100000000000001</v>
      </c>
      <c r="L824" s="332">
        <v>0.9</v>
      </c>
      <c r="M824" s="332" t="s">
        <v>352</v>
      </c>
      <c r="N824" s="332">
        <v>2008</v>
      </c>
      <c r="O824" s="332" t="s">
        <v>69</v>
      </c>
      <c r="P824" s="332">
        <v>333633</v>
      </c>
      <c r="Q824" s="335" t="s">
        <v>579</v>
      </c>
      <c r="R824" s="335" t="s">
        <v>1123</v>
      </c>
      <c r="S824" s="335"/>
    </row>
    <row r="825" spans="1:19" x14ac:dyDescent="0.2">
      <c r="A825" s="335" t="s">
        <v>519</v>
      </c>
      <c r="B825" s="332">
        <v>21</v>
      </c>
      <c r="C825" s="332">
        <v>8</v>
      </c>
      <c r="D825" s="332">
        <v>19</v>
      </c>
      <c r="E825" s="332">
        <v>31</v>
      </c>
      <c r="F825" s="332">
        <v>68</v>
      </c>
      <c r="G825" s="332">
        <v>121</v>
      </c>
      <c r="H825" s="332">
        <v>17.100000000000001</v>
      </c>
      <c r="I825" s="333">
        <v>0.6</v>
      </c>
      <c r="J825" s="333">
        <v>1.69</v>
      </c>
      <c r="K825" s="332">
        <v>19.7</v>
      </c>
      <c r="L825" s="332">
        <v>1</v>
      </c>
      <c r="M825" s="332" t="s">
        <v>157</v>
      </c>
      <c r="N825" s="332">
        <v>2013</v>
      </c>
      <c r="O825" s="332" t="s">
        <v>69</v>
      </c>
      <c r="P825" s="332">
        <v>481671</v>
      </c>
      <c r="Q825" s="335" t="s">
        <v>228</v>
      </c>
      <c r="R825" s="335" t="s">
        <v>1123</v>
      </c>
      <c r="S825" s="335"/>
    </row>
    <row r="826" spans="1:19" x14ac:dyDescent="0.2">
      <c r="A826" s="335" t="s">
        <v>477</v>
      </c>
      <c r="B826" s="332">
        <v>20</v>
      </c>
      <c r="C826" s="332">
        <v>9</v>
      </c>
      <c r="D826" s="332">
        <v>17</v>
      </c>
      <c r="E826" s="332">
        <v>27</v>
      </c>
      <c r="F826" s="332">
        <v>82</v>
      </c>
      <c r="G826" s="332">
        <v>131</v>
      </c>
      <c r="H826" s="332">
        <v>18.2</v>
      </c>
      <c r="I826" s="333">
        <v>0.48</v>
      </c>
      <c r="J826" s="333">
        <v>2.25</v>
      </c>
      <c r="K826" s="332">
        <v>19.600000000000001</v>
      </c>
      <c r="L826" s="332">
        <v>1.1000000000000001</v>
      </c>
      <c r="M826" s="332" t="s">
        <v>157</v>
      </c>
      <c r="N826" s="332">
        <v>2004</v>
      </c>
      <c r="O826" s="332" t="s">
        <v>158</v>
      </c>
      <c r="P826" s="332">
        <v>505586</v>
      </c>
      <c r="Q826" s="335" t="s">
        <v>192</v>
      </c>
      <c r="R826" s="335" t="s">
        <v>1123</v>
      </c>
      <c r="S826" s="335"/>
    </row>
    <row r="827" spans="1:19" x14ac:dyDescent="0.2">
      <c r="A827" s="335" t="s">
        <v>639</v>
      </c>
      <c r="B827" s="332">
        <v>21</v>
      </c>
      <c r="C827" s="332">
        <v>10</v>
      </c>
      <c r="D827" s="332">
        <v>16</v>
      </c>
      <c r="E827" s="332">
        <v>26</v>
      </c>
      <c r="F827" s="332">
        <v>75</v>
      </c>
      <c r="G827" s="332">
        <v>98</v>
      </c>
      <c r="H827" s="332">
        <v>14.700000000000001</v>
      </c>
      <c r="I827" s="333">
        <v>0.76</v>
      </c>
      <c r="J827" s="333">
        <v>1.98</v>
      </c>
      <c r="K827" s="332">
        <v>18</v>
      </c>
      <c r="L827" s="332">
        <v>1.1000000000000001</v>
      </c>
      <c r="M827" s="332" t="s">
        <v>157</v>
      </c>
      <c r="N827" s="332">
        <v>2005</v>
      </c>
      <c r="O827" s="332" t="s">
        <v>158</v>
      </c>
      <c r="P827" s="332">
        <v>722983</v>
      </c>
      <c r="Q827" s="335" t="s">
        <v>188</v>
      </c>
      <c r="R827" s="335" t="s">
        <v>1123</v>
      </c>
      <c r="S827" s="335" t="s">
        <v>166</v>
      </c>
    </row>
    <row r="828" spans="1:19" x14ac:dyDescent="0.2">
      <c r="A828" s="335" t="s">
        <v>826</v>
      </c>
      <c r="B828" s="332">
        <v>16</v>
      </c>
      <c r="C828" s="332">
        <v>5</v>
      </c>
      <c r="D828" s="332">
        <v>14</v>
      </c>
      <c r="E828" s="332">
        <v>30</v>
      </c>
      <c r="F828" s="332">
        <v>85</v>
      </c>
      <c r="G828" s="332">
        <v>143</v>
      </c>
      <c r="H828" s="332">
        <v>19.5</v>
      </c>
      <c r="I828" s="333">
        <v>0.66</v>
      </c>
      <c r="J828" s="333">
        <v>1.96</v>
      </c>
      <c r="K828" s="332">
        <v>19.3</v>
      </c>
      <c r="L828" s="332">
        <v>1.2</v>
      </c>
      <c r="M828" s="332" t="s">
        <v>352</v>
      </c>
      <c r="N828" s="332">
        <v>2006</v>
      </c>
      <c r="O828" s="332" t="s">
        <v>69</v>
      </c>
      <c r="P828" s="332">
        <v>768499</v>
      </c>
      <c r="Q828" s="335" t="s">
        <v>556</v>
      </c>
      <c r="R828" s="335" t="s">
        <v>1123</v>
      </c>
      <c r="S828" s="335"/>
    </row>
    <row r="829" spans="1:19" x14ac:dyDescent="0.2">
      <c r="A829" s="335" t="s">
        <v>508</v>
      </c>
      <c r="B829" s="332">
        <v>20</v>
      </c>
      <c r="C829" s="332">
        <v>7</v>
      </c>
      <c r="D829" s="332">
        <v>18</v>
      </c>
      <c r="E829" s="332">
        <v>29</v>
      </c>
      <c r="F829" s="332">
        <v>101</v>
      </c>
      <c r="G829" s="332">
        <v>147</v>
      </c>
      <c r="H829" s="332">
        <v>19.8</v>
      </c>
      <c r="I829" s="333">
        <v>0.89</v>
      </c>
      <c r="J829" s="333">
        <v>3</v>
      </c>
      <c r="K829" s="332">
        <v>19.900000000000002</v>
      </c>
      <c r="L829" s="332">
        <v>1.3</v>
      </c>
      <c r="M829" s="332" t="s">
        <v>352</v>
      </c>
      <c r="N829" s="332">
        <v>2007</v>
      </c>
      <c r="O829" s="332" t="s">
        <v>69</v>
      </c>
      <c r="P829" s="332">
        <v>780007</v>
      </c>
      <c r="Q829" s="335" t="s">
        <v>465</v>
      </c>
      <c r="R829" s="335" t="s">
        <v>1123</v>
      </c>
      <c r="S829" s="335"/>
    </row>
    <row r="830" spans="1:19" x14ac:dyDescent="0.2">
      <c r="A830" s="335" t="s">
        <v>734</v>
      </c>
      <c r="B830" s="332">
        <v>15</v>
      </c>
      <c r="C830" s="332">
        <v>9</v>
      </c>
      <c r="D830" s="332">
        <v>16</v>
      </c>
      <c r="E830" s="332">
        <v>33</v>
      </c>
      <c r="F830" s="332">
        <v>80</v>
      </c>
      <c r="G830" s="332">
        <v>137</v>
      </c>
      <c r="H830" s="332">
        <v>18.8</v>
      </c>
      <c r="I830" s="333">
        <v>0.81</v>
      </c>
      <c r="J830" s="333">
        <v>2.57</v>
      </c>
      <c r="K830" s="332">
        <v>18.400000000000002</v>
      </c>
      <c r="L830" s="332">
        <v>1.2</v>
      </c>
      <c r="M830" s="332" t="s">
        <v>352</v>
      </c>
      <c r="N830" s="332">
        <v>2000</v>
      </c>
      <c r="O830" s="332" t="s">
        <v>69</v>
      </c>
      <c r="P830" s="332">
        <v>874271</v>
      </c>
      <c r="Q830" s="335" t="s">
        <v>1013</v>
      </c>
      <c r="R830" s="335" t="s">
        <v>1123</v>
      </c>
      <c r="S830" s="335"/>
    </row>
    <row r="831" spans="1:19" x14ac:dyDescent="0.2">
      <c r="A831" s="335" t="s">
        <v>19</v>
      </c>
      <c r="B831" s="332">
        <v>8</v>
      </c>
      <c r="C831" s="332">
        <v>0</v>
      </c>
      <c r="D831" s="332">
        <v>7</v>
      </c>
      <c r="E831" s="332">
        <v>10</v>
      </c>
      <c r="F831" s="332">
        <v>53</v>
      </c>
      <c r="G831" s="332">
        <v>133</v>
      </c>
      <c r="H831" s="332">
        <v>18.5</v>
      </c>
      <c r="I831" s="333">
        <v>0.37</v>
      </c>
      <c r="J831" s="333">
        <v>1.51</v>
      </c>
      <c r="K831" s="332">
        <v>15.6</v>
      </c>
      <c r="L831" s="332">
        <v>1</v>
      </c>
      <c r="M831" s="332" t="s">
        <v>157</v>
      </c>
      <c r="N831" s="332">
        <v>2002</v>
      </c>
      <c r="O831" s="332" t="s">
        <v>158</v>
      </c>
      <c r="P831" s="332">
        <v>229922</v>
      </c>
      <c r="Q831" s="335" t="s">
        <v>213</v>
      </c>
      <c r="R831" s="335" t="s">
        <v>1117</v>
      </c>
      <c r="S831" s="335" t="s">
        <v>166</v>
      </c>
    </row>
    <row r="832" spans="1:19" x14ac:dyDescent="0.2">
      <c r="A832" s="335" t="s">
        <v>1125</v>
      </c>
      <c r="B832" s="332">
        <v>15</v>
      </c>
      <c r="C832" s="332">
        <v>9</v>
      </c>
      <c r="D832" s="332">
        <v>19</v>
      </c>
      <c r="E832" s="332">
        <v>24</v>
      </c>
      <c r="F832" s="332">
        <v>45</v>
      </c>
      <c r="G832" s="332">
        <v>120</v>
      </c>
      <c r="H832" s="332">
        <v>17.100000000000001</v>
      </c>
      <c r="I832" s="333">
        <v>0.38</v>
      </c>
      <c r="J832" s="333">
        <v>1.23</v>
      </c>
      <c r="K832" s="332">
        <v>12.9</v>
      </c>
      <c r="L832" s="332">
        <v>1</v>
      </c>
      <c r="M832" s="332" t="s">
        <v>157</v>
      </c>
      <c r="N832" s="332">
        <v>2000</v>
      </c>
      <c r="O832" s="332" t="s">
        <v>158</v>
      </c>
      <c r="P832" s="332">
        <v>928937</v>
      </c>
      <c r="Q832" s="335" t="s">
        <v>170</v>
      </c>
      <c r="R832" s="335" t="s">
        <v>223</v>
      </c>
      <c r="S832" s="335" t="s">
        <v>166</v>
      </c>
    </row>
    <row r="833" spans="1:19" x14ac:dyDescent="0.2">
      <c r="A833" s="335" t="s">
        <v>496</v>
      </c>
      <c r="B833" s="332">
        <v>5</v>
      </c>
      <c r="C833" s="332">
        <v>3</v>
      </c>
      <c r="D833" s="332">
        <v>5</v>
      </c>
      <c r="E833" s="332">
        <v>13</v>
      </c>
      <c r="F833" s="332">
        <v>23</v>
      </c>
      <c r="G833" s="332">
        <v>64</v>
      </c>
      <c r="H833" s="332">
        <v>10.4</v>
      </c>
      <c r="I833" s="333">
        <v>0.38</v>
      </c>
      <c r="J833" s="333">
        <v>1.44</v>
      </c>
      <c r="K833" s="332">
        <v>5.1000000000000005</v>
      </c>
      <c r="L833" s="332">
        <v>1.4000000000000001</v>
      </c>
      <c r="M833" s="332" t="s">
        <v>207</v>
      </c>
      <c r="N833" s="332">
        <v>2006</v>
      </c>
      <c r="O833" s="332" t="s">
        <v>69</v>
      </c>
      <c r="P833" s="332">
        <v>900894</v>
      </c>
      <c r="Q833" s="335" t="s">
        <v>418</v>
      </c>
      <c r="R833" s="335" t="s">
        <v>1108</v>
      </c>
      <c r="S833" s="335"/>
    </row>
    <row r="834" spans="1:19" x14ac:dyDescent="0.2">
      <c r="A834" s="335" t="s">
        <v>619</v>
      </c>
      <c r="B834" s="332">
        <v>11</v>
      </c>
      <c r="C834" s="332">
        <v>11</v>
      </c>
      <c r="D834" s="332">
        <v>16</v>
      </c>
      <c r="E834" s="332">
        <v>30</v>
      </c>
      <c r="F834" s="332">
        <v>46</v>
      </c>
      <c r="G834" s="332">
        <v>125</v>
      </c>
      <c r="H834" s="332">
        <v>17.600000000000001</v>
      </c>
      <c r="I834" s="333">
        <v>0.74</v>
      </c>
      <c r="J834" s="333">
        <v>1.83</v>
      </c>
      <c r="K834" s="332">
        <v>13</v>
      </c>
      <c r="L834" s="332">
        <v>1.1000000000000001</v>
      </c>
      <c r="M834" s="332" t="s">
        <v>207</v>
      </c>
      <c r="N834" s="332">
        <v>2000</v>
      </c>
      <c r="O834" s="332" t="s">
        <v>69</v>
      </c>
      <c r="P834" s="332">
        <v>182584</v>
      </c>
      <c r="Q834" s="335" t="s">
        <v>620</v>
      </c>
      <c r="R834" s="335" t="s">
        <v>325</v>
      </c>
      <c r="S834" s="335"/>
    </row>
    <row r="835" spans="1:19" x14ac:dyDescent="0.2">
      <c r="A835" s="335" t="s">
        <v>1079</v>
      </c>
      <c r="B835" s="332">
        <v>18</v>
      </c>
      <c r="C835" s="332">
        <v>12</v>
      </c>
      <c r="D835" s="332">
        <v>22</v>
      </c>
      <c r="E835" s="332">
        <v>19</v>
      </c>
      <c r="F835" s="332"/>
      <c r="G835" s="332"/>
      <c r="H835" s="332"/>
      <c r="I835" s="333">
        <v>0.8</v>
      </c>
      <c r="J835" s="333">
        <v>1.99</v>
      </c>
      <c r="K835" s="332"/>
      <c r="L835" s="332"/>
      <c r="M835" s="332" t="s">
        <v>207</v>
      </c>
      <c r="N835" s="332">
        <v>2016</v>
      </c>
      <c r="O835" s="332" t="s">
        <v>69</v>
      </c>
      <c r="P835" s="332">
        <v>303644</v>
      </c>
      <c r="Q835" s="335" t="s">
        <v>620</v>
      </c>
      <c r="R835" s="335" t="s">
        <v>1111</v>
      </c>
      <c r="S835" s="335" t="s">
        <v>166</v>
      </c>
    </row>
    <row r="836" spans="1:19" x14ac:dyDescent="0.2">
      <c r="A836" s="335" t="s">
        <v>1081</v>
      </c>
      <c r="B836" s="332">
        <v>11</v>
      </c>
      <c r="C836" s="332">
        <v>8</v>
      </c>
      <c r="D836" s="332">
        <v>15</v>
      </c>
      <c r="E836" s="332">
        <v>21</v>
      </c>
      <c r="F836" s="332">
        <v>49</v>
      </c>
      <c r="G836" s="332">
        <v>125</v>
      </c>
      <c r="H836" s="332">
        <v>17.600000000000001</v>
      </c>
      <c r="I836" s="333">
        <v>0.75</v>
      </c>
      <c r="J836" s="333">
        <v>1.86</v>
      </c>
      <c r="K836" s="332">
        <v>12.700000000000001</v>
      </c>
      <c r="L836" s="332">
        <v>1.1000000000000001</v>
      </c>
      <c r="M836" s="332" t="s">
        <v>207</v>
      </c>
      <c r="N836" s="332">
        <v>2016</v>
      </c>
      <c r="O836" s="332" t="s">
        <v>69</v>
      </c>
      <c r="P836" s="332">
        <v>196154</v>
      </c>
      <c r="Q836" s="335" t="s">
        <v>620</v>
      </c>
      <c r="R836" s="335" t="s">
        <v>325</v>
      </c>
      <c r="S836" s="335" t="s">
        <v>166</v>
      </c>
    </row>
    <row r="837" spans="1:19" x14ac:dyDescent="0.2">
      <c r="A837" s="335" t="s">
        <v>1071</v>
      </c>
      <c r="B837" s="332">
        <v>22</v>
      </c>
      <c r="C837" s="332">
        <v>10</v>
      </c>
      <c r="D837" s="332">
        <v>26</v>
      </c>
      <c r="E837" s="332"/>
      <c r="F837" s="332"/>
      <c r="G837" s="332"/>
      <c r="H837" s="332"/>
      <c r="I837" s="333">
        <v>0.8</v>
      </c>
      <c r="J837" s="333">
        <v>1.99</v>
      </c>
      <c r="K837" s="332"/>
      <c r="L837" s="332"/>
      <c r="M837" s="332" t="s">
        <v>207</v>
      </c>
      <c r="N837" s="332">
        <v>2016</v>
      </c>
      <c r="O837" s="332" t="s">
        <v>69</v>
      </c>
      <c r="P837" s="332">
        <v>267815</v>
      </c>
      <c r="Q837" s="335" t="s">
        <v>620</v>
      </c>
      <c r="R837" s="335" t="s">
        <v>325</v>
      </c>
      <c r="S837" s="335" t="s">
        <v>166</v>
      </c>
    </row>
    <row r="838" spans="1:19" x14ac:dyDescent="0.2">
      <c r="A838" s="335" t="s">
        <v>1072</v>
      </c>
      <c r="B838" s="332">
        <v>14</v>
      </c>
      <c r="C838" s="332">
        <v>8</v>
      </c>
      <c r="D838" s="332">
        <v>18</v>
      </c>
      <c r="E838" s="332">
        <v>31</v>
      </c>
      <c r="F838" s="332">
        <v>68</v>
      </c>
      <c r="G838" s="332">
        <v>176</v>
      </c>
      <c r="H838" s="332">
        <v>22.5</v>
      </c>
      <c r="I838" s="333">
        <v>0.8</v>
      </c>
      <c r="J838" s="333">
        <v>1.99</v>
      </c>
      <c r="K838" s="332">
        <v>12.6</v>
      </c>
      <c r="L838" s="332">
        <v>1.5</v>
      </c>
      <c r="M838" s="332" t="s">
        <v>207</v>
      </c>
      <c r="N838" s="332">
        <v>2016</v>
      </c>
      <c r="O838" s="332" t="s">
        <v>69</v>
      </c>
      <c r="P838" s="332">
        <v>339473</v>
      </c>
      <c r="Q838" s="335" t="s">
        <v>620</v>
      </c>
      <c r="R838" s="335" t="s">
        <v>325</v>
      </c>
      <c r="S838" s="335" t="s">
        <v>166</v>
      </c>
    </row>
    <row r="839" spans="1:19" x14ac:dyDescent="0.2">
      <c r="A839" s="335" t="s">
        <v>1078</v>
      </c>
      <c r="B839" s="332">
        <v>7</v>
      </c>
      <c r="C839" s="332">
        <v>5</v>
      </c>
      <c r="D839" s="332">
        <v>8</v>
      </c>
      <c r="E839" s="332">
        <v>15</v>
      </c>
      <c r="F839" s="332">
        <v>29</v>
      </c>
      <c r="G839" s="332">
        <v>61</v>
      </c>
      <c r="H839" s="332">
        <v>10</v>
      </c>
      <c r="I839" s="333">
        <v>0.63</v>
      </c>
      <c r="J839" s="333">
        <v>1.87</v>
      </c>
      <c r="K839" s="332">
        <v>8</v>
      </c>
      <c r="L839" s="332">
        <v>1.1000000000000001</v>
      </c>
      <c r="M839" s="332" t="s">
        <v>207</v>
      </c>
      <c r="N839" s="332">
        <v>2016</v>
      </c>
      <c r="O839" s="332" t="s">
        <v>69</v>
      </c>
      <c r="P839" s="332">
        <v>375303</v>
      </c>
      <c r="Q839" s="335" t="s">
        <v>620</v>
      </c>
      <c r="R839" s="335" t="s">
        <v>1089</v>
      </c>
      <c r="S839" s="335" t="s">
        <v>166</v>
      </c>
    </row>
    <row r="840" spans="1:19" x14ac:dyDescent="0.2">
      <c r="A840" s="335" t="s">
        <v>1077</v>
      </c>
      <c r="B840" s="332">
        <v>4</v>
      </c>
      <c r="C840" s="332">
        <v>3</v>
      </c>
      <c r="D840" s="332">
        <v>3</v>
      </c>
      <c r="E840" s="332">
        <v>9</v>
      </c>
      <c r="F840" s="332">
        <v>17</v>
      </c>
      <c r="G840" s="332">
        <v>31</v>
      </c>
      <c r="H840" s="332">
        <v>5.5</v>
      </c>
      <c r="I840" s="333">
        <v>0.47000000000000003</v>
      </c>
      <c r="J840" s="333">
        <v>1.05</v>
      </c>
      <c r="K840" s="332">
        <v>5.1000000000000005</v>
      </c>
      <c r="L840" s="332">
        <v>1.1000000000000001</v>
      </c>
      <c r="M840" s="332" t="s">
        <v>207</v>
      </c>
      <c r="N840" s="332">
        <v>2016</v>
      </c>
      <c r="O840" s="332" t="s">
        <v>69</v>
      </c>
      <c r="P840" s="332">
        <v>231985</v>
      </c>
      <c r="Q840" s="335" t="s">
        <v>620</v>
      </c>
      <c r="R840" s="335" t="s">
        <v>1100</v>
      </c>
      <c r="S840" s="335" t="s">
        <v>166</v>
      </c>
    </row>
    <row r="841" spans="1:19" x14ac:dyDescent="0.2">
      <c r="A841" s="335" t="s">
        <v>761</v>
      </c>
      <c r="B841" s="332">
        <v>16</v>
      </c>
      <c r="C841" s="332">
        <v>12</v>
      </c>
      <c r="D841" s="332">
        <v>21</v>
      </c>
      <c r="E841" s="332">
        <v>29</v>
      </c>
      <c r="F841" s="332">
        <v>46</v>
      </c>
      <c r="G841" s="332"/>
      <c r="H841" s="332"/>
      <c r="I841" s="333">
        <v>0.75</v>
      </c>
      <c r="J841" s="333">
        <v>1.85</v>
      </c>
      <c r="K841" s="332">
        <v>16.100000000000001</v>
      </c>
      <c r="L841" s="332">
        <v>0.9</v>
      </c>
      <c r="M841" s="332" t="s">
        <v>207</v>
      </c>
      <c r="N841" s="332">
        <v>2014</v>
      </c>
      <c r="O841" s="332" t="s">
        <v>69</v>
      </c>
      <c r="P841" s="332">
        <v>215046</v>
      </c>
      <c r="Q841" s="335" t="s">
        <v>768</v>
      </c>
      <c r="R841" s="335" t="s">
        <v>305</v>
      </c>
      <c r="S841" s="335"/>
    </row>
    <row r="842" spans="1:19" x14ac:dyDescent="0.2">
      <c r="A842" s="335" t="s">
        <v>628</v>
      </c>
      <c r="B842" s="332">
        <v>2</v>
      </c>
      <c r="C842" s="332">
        <v>-3</v>
      </c>
      <c r="D842" s="332">
        <v>3</v>
      </c>
      <c r="E842" s="332">
        <v>18</v>
      </c>
      <c r="F842" s="332">
        <v>64</v>
      </c>
      <c r="G842" s="332">
        <v>106</v>
      </c>
      <c r="H842" s="332">
        <v>15.6</v>
      </c>
      <c r="I842" s="333">
        <v>0.75</v>
      </c>
      <c r="J842" s="333">
        <v>1.85</v>
      </c>
      <c r="K842" s="332">
        <v>14.200000000000001</v>
      </c>
      <c r="L842" s="332">
        <v>1.2</v>
      </c>
      <c r="M842" s="332" t="s">
        <v>352</v>
      </c>
      <c r="N842" s="332">
        <v>2013</v>
      </c>
      <c r="O842" s="332" t="s">
        <v>69</v>
      </c>
      <c r="P842" s="332">
        <v>359604</v>
      </c>
      <c r="Q842" s="335" t="s">
        <v>768</v>
      </c>
      <c r="R842" s="335" t="s">
        <v>1112</v>
      </c>
      <c r="S842" s="335"/>
    </row>
    <row r="843" spans="1:19" x14ac:dyDescent="0.2">
      <c r="A843" s="335" t="s">
        <v>618</v>
      </c>
      <c r="B843" s="332">
        <v>12</v>
      </c>
      <c r="C843" s="332">
        <v>3</v>
      </c>
      <c r="D843" s="332">
        <v>11</v>
      </c>
      <c r="E843" s="332">
        <v>24</v>
      </c>
      <c r="F843" s="332">
        <v>67</v>
      </c>
      <c r="G843" s="332">
        <v>125</v>
      </c>
      <c r="H843" s="332">
        <v>17.600000000000001</v>
      </c>
      <c r="I843" s="333">
        <v>0.73</v>
      </c>
      <c r="J843" s="333">
        <v>1.83</v>
      </c>
      <c r="K843" s="332">
        <v>15.5</v>
      </c>
      <c r="L843" s="332">
        <v>1.2</v>
      </c>
      <c r="M843" s="332" t="s">
        <v>352</v>
      </c>
      <c r="N843" s="332">
        <v>2005</v>
      </c>
      <c r="O843" s="332" t="s">
        <v>69</v>
      </c>
      <c r="P843" s="332">
        <v>384107</v>
      </c>
      <c r="Q843" s="335" t="s">
        <v>545</v>
      </c>
      <c r="R843" s="335" t="s">
        <v>1112</v>
      </c>
      <c r="S843" s="335"/>
    </row>
    <row r="844" spans="1:19" x14ac:dyDescent="0.2">
      <c r="A844" s="335" t="s">
        <v>1126</v>
      </c>
      <c r="B844" s="332">
        <v>-5</v>
      </c>
      <c r="C844" s="332">
        <v>-5</v>
      </c>
      <c r="D844" s="332">
        <v>-3</v>
      </c>
      <c r="E844" s="332">
        <v>22</v>
      </c>
      <c r="F844" s="332">
        <v>49</v>
      </c>
      <c r="G844" s="332">
        <v>128</v>
      </c>
      <c r="H844" s="332">
        <v>17.900000000000002</v>
      </c>
      <c r="I844" s="333">
        <v>0.67</v>
      </c>
      <c r="J844" s="333">
        <v>1.6400000000000001</v>
      </c>
      <c r="K844" s="332">
        <v>17.600000000000001</v>
      </c>
      <c r="L844" s="332">
        <v>0.9</v>
      </c>
      <c r="M844" s="332" t="s">
        <v>352</v>
      </c>
      <c r="N844" s="332">
        <v>2015</v>
      </c>
      <c r="O844" s="332" t="s">
        <v>69</v>
      </c>
      <c r="P844" s="332">
        <v>388702</v>
      </c>
      <c r="Q844" s="335" t="s">
        <v>506</v>
      </c>
      <c r="R844" s="335" t="s">
        <v>1112</v>
      </c>
      <c r="S844" s="335"/>
    </row>
    <row r="845" spans="1:19" x14ac:dyDescent="0.2">
      <c r="A845" s="335" t="s">
        <v>582</v>
      </c>
      <c r="B845" s="332">
        <v>3</v>
      </c>
      <c r="C845" s="332">
        <v>-1</v>
      </c>
      <c r="D845" s="332">
        <v>4</v>
      </c>
      <c r="E845" s="332">
        <v>18</v>
      </c>
      <c r="F845" s="332">
        <v>48</v>
      </c>
      <c r="G845" s="332">
        <v>116</v>
      </c>
      <c r="H845" s="332">
        <v>16.7</v>
      </c>
      <c r="I845" s="333">
        <v>0.64</v>
      </c>
      <c r="J845" s="333">
        <v>1.73</v>
      </c>
      <c r="K845" s="332">
        <v>14.6</v>
      </c>
      <c r="L845" s="332">
        <v>1</v>
      </c>
      <c r="M845" s="332" t="s">
        <v>352</v>
      </c>
      <c r="N845" s="332">
        <v>2006</v>
      </c>
      <c r="O845" s="332" t="s">
        <v>69</v>
      </c>
      <c r="P845" s="332">
        <v>407775</v>
      </c>
      <c r="Q845" s="335" t="s">
        <v>418</v>
      </c>
      <c r="R845" s="335" t="s">
        <v>1112</v>
      </c>
      <c r="S845" s="335"/>
    </row>
    <row r="846" spans="1:19" x14ac:dyDescent="0.2">
      <c r="A846" s="335" t="s">
        <v>392</v>
      </c>
      <c r="B846" s="332">
        <v>4</v>
      </c>
      <c r="C846" s="332">
        <v>-2</v>
      </c>
      <c r="D846" s="332">
        <v>3</v>
      </c>
      <c r="E846" s="332">
        <v>21</v>
      </c>
      <c r="F846" s="332">
        <v>64</v>
      </c>
      <c r="G846" s="332">
        <v>124</v>
      </c>
      <c r="H846" s="332">
        <v>17.600000000000001</v>
      </c>
      <c r="I846" s="333">
        <v>0.36</v>
      </c>
      <c r="J846" s="333">
        <v>1.56</v>
      </c>
      <c r="K846" s="332">
        <v>14</v>
      </c>
      <c r="L846" s="332">
        <v>1.3</v>
      </c>
      <c r="M846" s="332" t="s">
        <v>157</v>
      </c>
      <c r="N846" s="332">
        <v>2000</v>
      </c>
      <c r="O846" s="332" t="s">
        <v>158</v>
      </c>
      <c r="P846" s="332">
        <v>456475</v>
      </c>
      <c r="Q846" s="335" t="s">
        <v>177</v>
      </c>
      <c r="R846" s="335" t="s">
        <v>1112</v>
      </c>
      <c r="S846" s="335" t="s">
        <v>166</v>
      </c>
    </row>
    <row r="847" spans="1:19" x14ac:dyDescent="0.2">
      <c r="A847" s="335" t="s">
        <v>716</v>
      </c>
      <c r="B847" s="332">
        <v>6</v>
      </c>
      <c r="C847" s="332">
        <v>-7</v>
      </c>
      <c r="D847" s="332">
        <v>1</v>
      </c>
      <c r="E847" s="332">
        <v>7</v>
      </c>
      <c r="F847" s="332">
        <v>48</v>
      </c>
      <c r="G847" s="332">
        <v>125</v>
      </c>
      <c r="H847" s="332">
        <v>17.600000000000001</v>
      </c>
      <c r="I847" s="333">
        <v>0.81</v>
      </c>
      <c r="J847" s="333">
        <v>2.72</v>
      </c>
      <c r="K847" s="332">
        <v>27.7</v>
      </c>
      <c r="L847" s="332">
        <v>0.6</v>
      </c>
      <c r="M847" s="332" t="s">
        <v>352</v>
      </c>
      <c r="N847" s="332">
        <v>2000</v>
      </c>
      <c r="O847" s="332" t="s">
        <v>69</v>
      </c>
      <c r="P847" s="332">
        <v>260919</v>
      </c>
      <c r="Q847" s="335" t="s">
        <v>1013</v>
      </c>
      <c r="R847" s="335" t="s">
        <v>1117</v>
      </c>
      <c r="S847" s="335"/>
    </row>
    <row r="848" spans="1:19" x14ac:dyDescent="0.2">
      <c r="A848" s="335" t="s">
        <v>136</v>
      </c>
      <c r="B848" s="332">
        <v>7</v>
      </c>
      <c r="C848" s="332">
        <v>-6</v>
      </c>
      <c r="D848" s="332">
        <v>3</v>
      </c>
      <c r="E848" s="332">
        <v>14</v>
      </c>
      <c r="F848" s="332">
        <v>63</v>
      </c>
      <c r="G848" s="332">
        <v>180</v>
      </c>
      <c r="H848" s="332">
        <v>22.8</v>
      </c>
      <c r="I848" s="333">
        <v>0.68</v>
      </c>
      <c r="J848" s="333">
        <v>2.09</v>
      </c>
      <c r="K848" s="332">
        <v>28.8</v>
      </c>
      <c r="L848" s="332">
        <v>0.70000000000000007</v>
      </c>
      <c r="M848" s="332" t="s">
        <v>352</v>
      </c>
      <c r="N848" s="332">
        <v>2000</v>
      </c>
      <c r="O848" s="332" t="s">
        <v>69</v>
      </c>
      <c r="P848" s="332">
        <v>364158</v>
      </c>
      <c r="Q848" s="335" t="s">
        <v>777</v>
      </c>
      <c r="R848" s="335" t="s">
        <v>1117</v>
      </c>
      <c r="S848" s="335"/>
    </row>
    <row r="849" spans="1:19" x14ac:dyDescent="0.2">
      <c r="A849" s="335" t="s">
        <v>140</v>
      </c>
      <c r="B849" s="332">
        <v>1</v>
      </c>
      <c r="C849" s="332">
        <v>-1</v>
      </c>
      <c r="D849" s="332">
        <v>2</v>
      </c>
      <c r="E849" s="332">
        <v>2</v>
      </c>
      <c r="F849" s="332">
        <v>17</v>
      </c>
      <c r="G849" s="332"/>
      <c r="H849" s="332"/>
      <c r="I849" s="333">
        <v>0.63</v>
      </c>
      <c r="J849" s="333">
        <v>1.5</v>
      </c>
      <c r="K849" s="332">
        <v>13.8</v>
      </c>
      <c r="L849" s="332">
        <v>0.5</v>
      </c>
      <c r="M849" s="332" t="s">
        <v>157</v>
      </c>
      <c r="N849" s="332">
        <v>2013</v>
      </c>
      <c r="O849" s="332" t="s">
        <v>158</v>
      </c>
      <c r="P849" s="332">
        <v>396028</v>
      </c>
      <c r="Q849" s="335" t="s">
        <v>426</v>
      </c>
      <c r="R849" s="335" t="s">
        <v>1117</v>
      </c>
      <c r="S849" s="335" t="s">
        <v>166</v>
      </c>
    </row>
    <row r="850" spans="1:19" x14ac:dyDescent="0.2">
      <c r="A850" s="335" t="s">
        <v>847</v>
      </c>
      <c r="B850" s="332">
        <v>10</v>
      </c>
      <c r="C850" s="332">
        <v>6</v>
      </c>
      <c r="D850" s="332">
        <v>12</v>
      </c>
      <c r="E850" s="332">
        <v>22</v>
      </c>
      <c r="F850" s="332"/>
      <c r="G850" s="332"/>
      <c r="H850" s="332"/>
      <c r="I850" s="333">
        <v>0.63</v>
      </c>
      <c r="J850" s="333">
        <v>2.5</v>
      </c>
      <c r="K850" s="332"/>
      <c r="L850" s="332"/>
      <c r="M850" s="332" t="s">
        <v>207</v>
      </c>
      <c r="N850" s="332">
        <v>2015</v>
      </c>
      <c r="O850" s="332" t="s">
        <v>69</v>
      </c>
      <c r="P850" s="332">
        <v>555102</v>
      </c>
      <c r="Q850" s="335" t="s">
        <v>746</v>
      </c>
      <c r="R850" s="335" t="s">
        <v>1089</v>
      </c>
      <c r="S850" s="335"/>
    </row>
    <row r="851" spans="1:19" x14ac:dyDescent="0.2">
      <c r="A851" s="335" t="s">
        <v>349</v>
      </c>
      <c r="B851" s="332">
        <v>5</v>
      </c>
      <c r="C851" s="332">
        <v>3</v>
      </c>
      <c r="D851" s="332">
        <v>4</v>
      </c>
      <c r="E851" s="332">
        <v>12</v>
      </c>
      <c r="F851" s="332">
        <v>18</v>
      </c>
      <c r="G851" s="332">
        <v>41</v>
      </c>
      <c r="H851" s="332">
        <v>7.1000000000000005</v>
      </c>
      <c r="I851" s="333">
        <v>0.32</v>
      </c>
      <c r="J851" s="333">
        <v>0.85</v>
      </c>
      <c r="K851" s="332">
        <v>5.3</v>
      </c>
      <c r="L851" s="332">
        <v>1.1000000000000001</v>
      </c>
      <c r="M851" s="332" t="s">
        <v>207</v>
      </c>
      <c r="N851" s="332">
        <v>2000</v>
      </c>
      <c r="O851" s="332" t="s">
        <v>69</v>
      </c>
      <c r="P851" s="332">
        <v>390898</v>
      </c>
      <c r="Q851" s="335" t="s">
        <v>202</v>
      </c>
      <c r="R851" s="335" t="s">
        <v>1108</v>
      </c>
      <c r="S851" s="335"/>
    </row>
    <row r="852" spans="1:19" x14ac:dyDescent="0.2">
      <c r="A852" s="335" t="s">
        <v>373</v>
      </c>
      <c r="B852" s="332">
        <v>5</v>
      </c>
      <c r="C852" s="332">
        <v>3</v>
      </c>
      <c r="D852" s="332">
        <v>3</v>
      </c>
      <c r="E852" s="332">
        <v>10</v>
      </c>
      <c r="F852" s="332">
        <v>17</v>
      </c>
      <c r="G852" s="332"/>
      <c r="H852" s="332"/>
      <c r="I852" s="333">
        <v>0.37</v>
      </c>
      <c r="J852" s="333">
        <v>1</v>
      </c>
      <c r="K852" s="332">
        <v>5.3</v>
      </c>
      <c r="L852" s="332">
        <v>1</v>
      </c>
      <c r="M852" s="332" t="s">
        <v>207</v>
      </c>
      <c r="N852" s="332">
        <v>2014</v>
      </c>
      <c r="O852" s="332" t="s">
        <v>69</v>
      </c>
      <c r="P852" s="332">
        <v>229625</v>
      </c>
      <c r="Q852" s="335" t="s">
        <v>202</v>
      </c>
      <c r="R852" s="335" t="s">
        <v>1099</v>
      </c>
      <c r="S852" s="335"/>
    </row>
    <row r="853" spans="1:19" x14ac:dyDescent="0.2">
      <c r="A853" s="335" t="s">
        <v>511</v>
      </c>
      <c r="B853" s="332">
        <v>10</v>
      </c>
      <c r="C853" s="332">
        <v>6</v>
      </c>
      <c r="D853" s="332">
        <v>13</v>
      </c>
      <c r="E853" s="332">
        <v>19</v>
      </c>
      <c r="F853" s="332">
        <v>46</v>
      </c>
      <c r="G853" s="332">
        <v>129</v>
      </c>
      <c r="H853" s="332">
        <v>18</v>
      </c>
      <c r="I853" s="333">
        <v>0.57999999999999996</v>
      </c>
      <c r="J853" s="333">
        <v>1.6</v>
      </c>
      <c r="K853" s="332">
        <v>13</v>
      </c>
      <c r="L853" s="332">
        <v>1.1000000000000001</v>
      </c>
      <c r="M853" s="332" t="s">
        <v>207</v>
      </c>
      <c r="N853" s="332">
        <v>2001</v>
      </c>
      <c r="O853" s="332" t="s">
        <v>69</v>
      </c>
      <c r="P853" s="332">
        <v>764951</v>
      </c>
      <c r="Q853" s="335" t="s">
        <v>202</v>
      </c>
      <c r="R853" s="335" t="s">
        <v>219</v>
      </c>
      <c r="S853" s="335"/>
    </row>
    <row r="854" spans="1:19" x14ac:dyDescent="0.2">
      <c r="A854" s="335" t="s">
        <v>555</v>
      </c>
      <c r="B854" s="332">
        <v>8</v>
      </c>
      <c r="C854" s="332">
        <v>7</v>
      </c>
      <c r="D854" s="332">
        <v>8</v>
      </c>
      <c r="E854" s="332">
        <v>19</v>
      </c>
      <c r="F854" s="332">
        <v>35</v>
      </c>
      <c r="G854" s="332">
        <v>67</v>
      </c>
      <c r="H854" s="332">
        <v>10.8</v>
      </c>
      <c r="I854" s="333">
        <v>0.55000000000000004</v>
      </c>
      <c r="J854" s="333">
        <v>1.83</v>
      </c>
      <c r="K854" s="332">
        <v>6.8</v>
      </c>
      <c r="L854" s="332">
        <v>1.5</v>
      </c>
      <c r="M854" s="332" t="s">
        <v>207</v>
      </c>
      <c r="N854" s="332">
        <v>2001</v>
      </c>
      <c r="O854" s="332" t="s">
        <v>69</v>
      </c>
      <c r="P854" s="332">
        <v>657460</v>
      </c>
      <c r="Q854" s="335" t="s">
        <v>202</v>
      </c>
      <c r="R854" s="335" t="s">
        <v>1089</v>
      </c>
      <c r="S854" s="335"/>
    </row>
    <row r="855" spans="1:19" x14ac:dyDescent="0.2">
      <c r="A855" s="335" t="s">
        <v>597</v>
      </c>
      <c r="B855" s="332">
        <v>14</v>
      </c>
      <c r="C855" s="332">
        <v>14</v>
      </c>
      <c r="D855" s="332">
        <v>18</v>
      </c>
      <c r="E855" s="332">
        <v>32</v>
      </c>
      <c r="F855" s="332">
        <v>49</v>
      </c>
      <c r="G855" s="332">
        <v>121</v>
      </c>
      <c r="H855" s="332">
        <v>17.2</v>
      </c>
      <c r="I855" s="333">
        <v>0.64</v>
      </c>
      <c r="J855" s="333">
        <v>1.8</v>
      </c>
      <c r="K855" s="332">
        <v>12.3</v>
      </c>
      <c r="L855" s="332">
        <v>1.2</v>
      </c>
      <c r="M855" s="332" t="s">
        <v>207</v>
      </c>
      <c r="N855" s="332">
        <v>2000</v>
      </c>
      <c r="O855" s="332" t="s">
        <v>69</v>
      </c>
      <c r="P855" s="332">
        <v>570044</v>
      </c>
      <c r="Q855" s="335" t="s">
        <v>202</v>
      </c>
      <c r="R855" s="335" t="s">
        <v>305</v>
      </c>
      <c r="S855" s="335"/>
    </row>
    <row r="856" spans="1:19" x14ac:dyDescent="0.2">
      <c r="A856" s="335" t="s">
        <v>367</v>
      </c>
      <c r="B856" s="332">
        <v>7</v>
      </c>
      <c r="C856" s="332">
        <v>5</v>
      </c>
      <c r="D856" s="332">
        <v>7</v>
      </c>
      <c r="E856" s="332">
        <v>16</v>
      </c>
      <c r="F856" s="332">
        <v>26</v>
      </c>
      <c r="G856" s="332">
        <v>65</v>
      </c>
      <c r="H856" s="332">
        <v>10.5</v>
      </c>
      <c r="I856" s="333">
        <v>0.35000000000000003</v>
      </c>
      <c r="J856" s="333">
        <v>0.95000000000000007</v>
      </c>
      <c r="K856" s="332">
        <v>5.7</v>
      </c>
      <c r="L856" s="332">
        <v>1.4000000000000001</v>
      </c>
      <c r="M856" s="332" t="s">
        <v>207</v>
      </c>
      <c r="N856" s="332">
        <v>2001</v>
      </c>
      <c r="O856" s="332" t="s">
        <v>69</v>
      </c>
      <c r="P856" s="332">
        <v>549972</v>
      </c>
      <c r="Q856" s="335" t="s">
        <v>202</v>
      </c>
      <c r="R856" s="335" t="s">
        <v>1108</v>
      </c>
      <c r="S856" s="335"/>
    </row>
    <row r="857" spans="1:19" x14ac:dyDescent="0.2">
      <c r="A857" s="335" t="s">
        <v>729</v>
      </c>
      <c r="B857" s="332">
        <v>15</v>
      </c>
      <c r="C857" s="332">
        <v>8</v>
      </c>
      <c r="D857" s="332">
        <v>11</v>
      </c>
      <c r="E857" s="332">
        <v>26</v>
      </c>
      <c r="F857" s="332">
        <v>61</v>
      </c>
      <c r="G857" s="332">
        <v>81</v>
      </c>
      <c r="H857" s="332">
        <v>12.6</v>
      </c>
      <c r="I857" s="333">
        <v>0.89</v>
      </c>
      <c r="J857" s="333">
        <v>2.71</v>
      </c>
      <c r="K857" s="332">
        <v>14.4</v>
      </c>
      <c r="L857" s="332">
        <v>1.2</v>
      </c>
      <c r="M857" s="332" t="s">
        <v>207</v>
      </c>
      <c r="N857" s="332">
        <v>2012</v>
      </c>
      <c r="O857" s="332" t="s">
        <v>69</v>
      </c>
      <c r="P857" s="332">
        <v>150110</v>
      </c>
      <c r="Q857" s="335" t="s">
        <v>554</v>
      </c>
      <c r="R857" s="335" t="s">
        <v>302</v>
      </c>
      <c r="S857" s="335"/>
    </row>
    <row r="858" spans="1:19" x14ac:dyDescent="0.2">
      <c r="A858" s="335" t="s">
        <v>1148</v>
      </c>
      <c r="B858" s="332">
        <v>5</v>
      </c>
      <c r="C858" s="332">
        <v>2</v>
      </c>
      <c r="D858" s="332">
        <v>6</v>
      </c>
      <c r="E858" s="332">
        <v>16</v>
      </c>
      <c r="F858" s="332">
        <v>34</v>
      </c>
      <c r="G858" s="332">
        <v>80</v>
      </c>
      <c r="H858" s="332">
        <v>12.5</v>
      </c>
      <c r="I858" s="333">
        <v>0.63</v>
      </c>
      <c r="J858" s="333">
        <v>1.7</v>
      </c>
      <c r="K858" s="332">
        <v>8.5</v>
      </c>
      <c r="L858" s="332">
        <v>1.2</v>
      </c>
      <c r="M858" s="332" t="s">
        <v>207</v>
      </c>
      <c r="N858" s="332">
        <v>2008</v>
      </c>
      <c r="O858" s="332" t="s">
        <v>69</v>
      </c>
      <c r="P858" s="332">
        <v>235234</v>
      </c>
      <c r="Q858" s="335" t="s">
        <v>387</v>
      </c>
      <c r="R858" s="335" t="s">
        <v>1088</v>
      </c>
      <c r="S858" s="335" t="s">
        <v>166</v>
      </c>
    </row>
    <row r="859" spans="1:19" x14ac:dyDescent="0.2">
      <c r="A859" s="335" t="s">
        <v>442</v>
      </c>
      <c r="B859" s="332">
        <v>4</v>
      </c>
      <c r="C859" s="332">
        <v>-2</v>
      </c>
      <c r="D859" s="332">
        <v>3</v>
      </c>
      <c r="E859" s="332">
        <v>22</v>
      </c>
      <c r="F859" s="332">
        <v>64</v>
      </c>
      <c r="G859" s="332">
        <v>139</v>
      </c>
      <c r="H859" s="332">
        <v>19</v>
      </c>
      <c r="I859" s="333">
        <v>0.42</v>
      </c>
      <c r="J859" s="333">
        <v>1.41</v>
      </c>
      <c r="K859" s="332">
        <v>14.8</v>
      </c>
      <c r="L859" s="332">
        <v>1.2</v>
      </c>
      <c r="M859" s="332" t="s">
        <v>157</v>
      </c>
      <c r="N859" s="332">
        <v>2000</v>
      </c>
      <c r="O859" s="332" t="s">
        <v>158</v>
      </c>
      <c r="P859" s="332">
        <v>511139</v>
      </c>
      <c r="Q859" s="335" t="s">
        <v>230</v>
      </c>
      <c r="R859" s="335" t="s">
        <v>1112</v>
      </c>
      <c r="S859" s="335" t="s">
        <v>166</v>
      </c>
    </row>
    <row r="860" spans="1:19" x14ac:dyDescent="0.2">
      <c r="A860" s="335" t="s">
        <v>222</v>
      </c>
      <c r="B860" s="332">
        <v>2</v>
      </c>
      <c r="C860" s="332">
        <v>-2</v>
      </c>
      <c r="D860" s="332">
        <v>1</v>
      </c>
      <c r="E860" s="332">
        <v>19</v>
      </c>
      <c r="F860" s="332">
        <v>68</v>
      </c>
      <c r="G860" s="332">
        <v>130</v>
      </c>
      <c r="H860" s="332">
        <v>18.100000000000001</v>
      </c>
      <c r="I860" s="333">
        <v>0.19</v>
      </c>
      <c r="J860" s="333">
        <v>0.46</v>
      </c>
      <c r="K860" s="332">
        <v>13.200000000000001</v>
      </c>
      <c r="L860" s="332">
        <v>1.4000000000000001</v>
      </c>
      <c r="M860" s="332" t="s">
        <v>157</v>
      </c>
      <c r="N860" s="332">
        <v>2007</v>
      </c>
      <c r="O860" s="332" t="s">
        <v>158</v>
      </c>
      <c r="P860" s="332">
        <v>520692</v>
      </c>
      <c r="Q860" s="335" t="s">
        <v>172</v>
      </c>
      <c r="R860" s="335" t="s">
        <v>1112</v>
      </c>
      <c r="S860" s="335" t="s">
        <v>166</v>
      </c>
    </row>
    <row r="861" spans="1:19" x14ac:dyDescent="0.2">
      <c r="A861" s="335" t="s">
        <v>1014</v>
      </c>
      <c r="B861" s="332">
        <v>4</v>
      </c>
      <c r="C861" s="332">
        <v>-2</v>
      </c>
      <c r="D861" s="332">
        <v>3</v>
      </c>
      <c r="E861" s="332">
        <v>21</v>
      </c>
      <c r="F861" s="332">
        <v>69</v>
      </c>
      <c r="G861" s="332">
        <v>134</v>
      </c>
      <c r="H861" s="332">
        <v>18.5</v>
      </c>
      <c r="I861" s="333">
        <v>0.16</v>
      </c>
      <c r="J861" s="333">
        <v>0.2</v>
      </c>
      <c r="K861" s="332">
        <v>13.3</v>
      </c>
      <c r="L861" s="332">
        <v>1.4000000000000001</v>
      </c>
      <c r="M861" s="332" t="s">
        <v>157</v>
      </c>
      <c r="N861" s="332">
        <v>2013</v>
      </c>
      <c r="O861" s="332" t="s">
        <v>158</v>
      </c>
      <c r="P861" s="332">
        <v>551507</v>
      </c>
      <c r="Q861" s="335" t="s">
        <v>177</v>
      </c>
      <c r="R861" s="335" t="s">
        <v>1112</v>
      </c>
      <c r="S861" s="335" t="s">
        <v>166</v>
      </c>
    </row>
    <row r="862" spans="1:19" x14ac:dyDescent="0.2">
      <c r="A862" s="335" t="s">
        <v>544</v>
      </c>
      <c r="B862" s="332">
        <v>0</v>
      </c>
      <c r="C862" s="332">
        <v>-3</v>
      </c>
      <c r="D862" s="332">
        <v>0</v>
      </c>
      <c r="E862" s="332">
        <v>16</v>
      </c>
      <c r="F862" s="332">
        <v>47</v>
      </c>
      <c r="G862" s="332">
        <v>94</v>
      </c>
      <c r="H862" s="332">
        <v>14.1</v>
      </c>
      <c r="I862" s="333">
        <v>0.74</v>
      </c>
      <c r="J862" s="333">
        <v>1.84</v>
      </c>
      <c r="K862" s="332">
        <v>15.8</v>
      </c>
      <c r="L862" s="332">
        <v>0.9</v>
      </c>
      <c r="M862" s="332" t="s">
        <v>352</v>
      </c>
      <c r="N862" s="332">
        <v>2005</v>
      </c>
      <c r="O862" s="332" t="s">
        <v>69</v>
      </c>
      <c r="P862" s="332">
        <v>563254</v>
      </c>
      <c r="Q862" s="335" t="s">
        <v>545</v>
      </c>
      <c r="R862" s="335" t="s">
        <v>1112</v>
      </c>
      <c r="S862" s="335"/>
    </row>
    <row r="863" spans="1:19" x14ac:dyDescent="0.2">
      <c r="A863" s="335" t="s">
        <v>1051</v>
      </c>
      <c r="B863" s="332">
        <v>6</v>
      </c>
      <c r="C863" s="332">
        <v>1</v>
      </c>
      <c r="D863" s="332">
        <v>7</v>
      </c>
      <c r="E863" s="332"/>
      <c r="F863" s="332"/>
      <c r="G863" s="332"/>
      <c r="H863" s="332"/>
      <c r="I863" s="333">
        <v>0.53</v>
      </c>
      <c r="J863" s="333">
        <v>1.4000000000000001</v>
      </c>
      <c r="K863" s="332"/>
      <c r="L863" s="332"/>
      <c r="M863" s="332" t="s">
        <v>157</v>
      </c>
      <c r="N863" s="332">
        <v>2016</v>
      </c>
      <c r="O863" s="332" t="s">
        <v>158</v>
      </c>
      <c r="P863" s="332">
        <v>541706</v>
      </c>
      <c r="Q863" s="335" t="s">
        <v>159</v>
      </c>
      <c r="R863" s="335" t="s">
        <v>1117</v>
      </c>
      <c r="S863" s="335"/>
    </row>
    <row r="864" spans="1:19" x14ac:dyDescent="0.2">
      <c r="A864" s="335" t="s">
        <v>587</v>
      </c>
      <c r="B864" s="332">
        <v>7</v>
      </c>
      <c r="C864" s="332">
        <v>-1</v>
      </c>
      <c r="D864" s="332">
        <v>8</v>
      </c>
      <c r="E864" s="332">
        <v>13</v>
      </c>
      <c r="F864" s="332">
        <v>60</v>
      </c>
      <c r="G864" s="332">
        <v>149</v>
      </c>
      <c r="H864" s="332">
        <v>20</v>
      </c>
      <c r="I864" s="333">
        <v>0.68</v>
      </c>
      <c r="J864" s="333">
        <v>2.09</v>
      </c>
      <c r="K864" s="332">
        <v>17.600000000000001</v>
      </c>
      <c r="L864" s="332">
        <v>1</v>
      </c>
      <c r="M864" s="332" t="s">
        <v>352</v>
      </c>
      <c r="N864" s="332">
        <v>2000</v>
      </c>
      <c r="O864" s="332" t="s">
        <v>69</v>
      </c>
      <c r="P864" s="332">
        <v>579136</v>
      </c>
      <c r="Q864" s="335" t="s">
        <v>777</v>
      </c>
      <c r="R864" s="335" t="s">
        <v>1117</v>
      </c>
      <c r="S864" s="335"/>
    </row>
    <row r="865" spans="1:19" x14ac:dyDescent="0.2">
      <c r="A865" s="335" t="s">
        <v>1064</v>
      </c>
      <c r="B865" s="332">
        <v>8</v>
      </c>
      <c r="C865" s="332">
        <v>1</v>
      </c>
      <c r="D865" s="332">
        <v>7</v>
      </c>
      <c r="E865" s="332">
        <v>14</v>
      </c>
      <c r="F865" s="332">
        <v>57</v>
      </c>
      <c r="G865" s="332">
        <v>145</v>
      </c>
      <c r="H865" s="332">
        <v>19.600000000000001</v>
      </c>
      <c r="I865" s="333">
        <v>0.35000000000000003</v>
      </c>
      <c r="J865" s="333">
        <v>1.56</v>
      </c>
      <c r="K865" s="332">
        <v>16.899999999999999</v>
      </c>
      <c r="L865" s="332">
        <v>1</v>
      </c>
      <c r="M865" s="332" t="s">
        <v>157</v>
      </c>
      <c r="N865" s="332">
        <v>2006</v>
      </c>
      <c r="O865" s="332" t="s">
        <v>158</v>
      </c>
      <c r="P865" s="332">
        <v>644005</v>
      </c>
      <c r="Q865" s="335" t="s">
        <v>198</v>
      </c>
      <c r="R865" s="335" t="s">
        <v>1117</v>
      </c>
      <c r="S865" s="335"/>
    </row>
    <row r="866" spans="1:19" x14ac:dyDescent="0.2">
      <c r="A866" s="335" t="s">
        <v>835</v>
      </c>
      <c r="B866" s="332">
        <v>6</v>
      </c>
      <c r="C866" s="332">
        <v>-2</v>
      </c>
      <c r="D866" s="332">
        <v>5</v>
      </c>
      <c r="E866" s="332">
        <v>5</v>
      </c>
      <c r="F866" s="332">
        <v>45</v>
      </c>
      <c r="G866" s="332">
        <v>118</v>
      </c>
      <c r="H866" s="332">
        <v>16.899999999999999</v>
      </c>
      <c r="I866" s="333">
        <v>0.81</v>
      </c>
      <c r="J866" s="333">
        <v>2.73</v>
      </c>
      <c r="K866" s="332">
        <v>17.5</v>
      </c>
      <c r="L866" s="332">
        <v>0.8</v>
      </c>
      <c r="M866" s="332" t="s">
        <v>352</v>
      </c>
      <c r="N866" s="332">
        <v>2004</v>
      </c>
      <c r="O866" s="332" t="s">
        <v>69</v>
      </c>
      <c r="P866" s="332">
        <v>688986</v>
      </c>
      <c r="Q866" s="335" t="s">
        <v>1013</v>
      </c>
      <c r="R866" s="335" t="s">
        <v>1117</v>
      </c>
      <c r="S866" s="335"/>
    </row>
    <row r="867" spans="1:19" x14ac:dyDescent="0.2">
      <c r="A867" s="335" t="s">
        <v>490</v>
      </c>
      <c r="B867" s="332">
        <v>10</v>
      </c>
      <c r="C867" s="332">
        <v>5</v>
      </c>
      <c r="D867" s="332">
        <v>12</v>
      </c>
      <c r="E867" s="332">
        <v>18</v>
      </c>
      <c r="F867" s="332">
        <v>45</v>
      </c>
      <c r="G867" s="332">
        <v>123</v>
      </c>
      <c r="H867" s="332">
        <v>17.400000000000002</v>
      </c>
      <c r="I867" s="333">
        <v>0.46</v>
      </c>
      <c r="J867" s="333">
        <v>1.62</v>
      </c>
      <c r="K867" s="332">
        <v>13</v>
      </c>
      <c r="L867" s="332">
        <v>1</v>
      </c>
      <c r="M867" s="332" t="s">
        <v>157</v>
      </c>
      <c r="N867" s="332">
        <v>2000</v>
      </c>
      <c r="O867" s="332" t="s">
        <v>158</v>
      </c>
      <c r="P867" s="332">
        <v>749788</v>
      </c>
      <c r="Q867" s="335" t="s">
        <v>170</v>
      </c>
      <c r="R867" s="335" t="s">
        <v>1117</v>
      </c>
      <c r="S867" s="335"/>
    </row>
    <row r="868" spans="1:19" x14ac:dyDescent="0.2">
      <c r="A868" s="335" t="s">
        <v>645</v>
      </c>
      <c r="B868" s="332">
        <v>15</v>
      </c>
      <c r="C868" s="332">
        <v>10</v>
      </c>
      <c r="D868" s="332">
        <v>17</v>
      </c>
      <c r="E868" s="332">
        <v>23</v>
      </c>
      <c r="F868" s="332">
        <v>59</v>
      </c>
      <c r="G868" s="332">
        <v>125</v>
      </c>
      <c r="H868" s="332">
        <v>17.600000000000001</v>
      </c>
      <c r="I868" s="333">
        <v>0.8</v>
      </c>
      <c r="J868" s="333">
        <v>2</v>
      </c>
      <c r="K868" s="332">
        <v>12.9</v>
      </c>
      <c r="L868" s="332">
        <v>1.3</v>
      </c>
      <c r="M868" s="332" t="s">
        <v>207</v>
      </c>
      <c r="N868" s="332">
        <v>2001</v>
      </c>
      <c r="O868" s="332" t="s">
        <v>69</v>
      </c>
      <c r="P868" s="332">
        <v>202002</v>
      </c>
      <c r="Q868" s="335" t="s">
        <v>646</v>
      </c>
      <c r="R868" s="335" t="s">
        <v>185</v>
      </c>
      <c r="S868" s="335"/>
    </row>
    <row r="869" spans="1:19" x14ac:dyDescent="0.2">
      <c r="A869" s="335" t="s">
        <v>647</v>
      </c>
      <c r="B869" s="332">
        <v>13</v>
      </c>
      <c r="C869" s="332">
        <v>10</v>
      </c>
      <c r="D869" s="332">
        <v>18</v>
      </c>
      <c r="E869" s="332">
        <v>34</v>
      </c>
      <c r="F869" s="332">
        <v>55</v>
      </c>
      <c r="G869" s="332">
        <v>126</v>
      </c>
      <c r="H869" s="332">
        <v>17.7</v>
      </c>
      <c r="I869" s="333">
        <v>0.8</v>
      </c>
      <c r="J869" s="333">
        <v>2</v>
      </c>
      <c r="K869" s="332">
        <v>13</v>
      </c>
      <c r="L869" s="332">
        <v>1.2</v>
      </c>
      <c r="M869" s="332" t="s">
        <v>207</v>
      </c>
      <c r="N869" s="332">
        <v>2001</v>
      </c>
      <c r="O869" s="332" t="s">
        <v>69</v>
      </c>
      <c r="P869" s="332">
        <v>273664</v>
      </c>
      <c r="Q869" s="335" t="s">
        <v>646</v>
      </c>
      <c r="R869" s="335" t="s">
        <v>305</v>
      </c>
      <c r="S869" s="335"/>
    </row>
    <row r="870" spans="1:19" x14ac:dyDescent="0.2">
      <c r="A870" s="335" t="s">
        <v>650</v>
      </c>
      <c r="B870" s="332">
        <v>16</v>
      </c>
      <c r="C870" s="332">
        <v>10</v>
      </c>
      <c r="D870" s="332">
        <v>20</v>
      </c>
      <c r="E870" s="332">
        <v>31</v>
      </c>
      <c r="F870" s="332">
        <v>57</v>
      </c>
      <c r="G870" s="332">
        <v>157</v>
      </c>
      <c r="H870" s="332">
        <v>20.7</v>
      </c>
      <c r="I870" s="333">
        <v>0.8</v>
      </c>
      <c r="J870" s="333">
        <v>2</v>
      </c>
      <c r="K870" s="332">
        <v>13.5</v>
      </c>
      <c r="L870" s="332">
        <v>1.2</v>
      </c>
      <c r="M870" s="332" t="s">
        <v>207</v>
      </c>
      <c r="N870" s="332">
        <v>2006</v>
      </c>
      <c r="O870" s="332" t="s">
        <v>69</v>
      </c>
      <c r="P870" s="332">
        <v>785493</v>
      </c>
      <c r="Q870" s="335" t="s">
        <v>646</v>
      </c>
      <c r="R870" s="335" t="s">
        <v>325</v>
      </c>
      <c r="S870" s="335"/>
    </row>
    <row r="871" spans="1:19" x14ac:dyDescent="0.2">
      <c r="A871" s="335" t="s">
        <v>941</v>
      </c>
      <c r="B871" s="332">
        <v>5</v>
      </c>
      <c r="C871" s="332">
        <v>3</v>
      </c>
      <c r="D871" s="332">
        <v>6</v>
      </c>
      <c r="E871" s="332">
        <v>15</v>
      </c>
      <c r="F871" s="332">
        <v>32</v>
      </c>
      <c r="G871" s="332"/>
      <c r="H871" s="332"/>
      <c r="I871" s="333">
        <v>0.54</v>
      </c>
      <c r="J871" s="333">
        <v>1.27</v>
      </c>
      <c r="K871" s="332">
        <v>8.9</v>
      </c>
      <c r="L871" s="332">
        <v>1.1000000000000001</v>
      </c>
      <c r="M871" s="332" t="s">
        <v>207</v>
      </c>
      <c r="N871" s="332">
        <v>2015</v>
      </c>
      <c r="O871" s="332" t="s">
        <v>69</v>
      </c>
      <c r="P871" s="332">
        <v>683847</v>
      </c>
      <c r="Q871" s="335" t="s">
        <v>838</v>
      </c>
      <c r="R871" s="335" t="s">
        <v>1106</v>
      </c>
      <c r="S871" s="335"/>
    </row>
    <row r="872" spans="1:19" x14ac:dyDescent="0.2">
      <c r="A872" s="335" t="s">
        <v>877</v>
      </c>
      <c r="B872" s="332">
        <v>19</v>
      </c>
      <c r="C872" s="332">
        <v>13</v>
      </c>
      <c r="D872" s="332">
        <v>24</v>
      </c>
      <c r="E872" s="332">
        <v>28</v>
      </c>
      <c r="F872" s="332">
        <v>46</v>
      </c>
      <c r="G872" s="332">
        <v>139</v>
      </c>
      <c r="H872" s="332">
        <v>19</v>
      </c>
      <c r="I872" s="333">
        <v>0.57000000000000006</v>
      </c>
      <c r="J872" s="333">
        <v>1.35</v>
      </c>
      <c r="K872" s="332">
        <v>14</v>
      </c>
      <c r="L872" s="332">
        <v>1</v>
      </c>
      <c r="M872" s="332" t="s">
        <v>207</v>
      </c>
      <c r="N872" s="332">
        <v>2012</v>
      </c>
      <c r="O872" s="332" t="s">
        <v>69</v>
      </c>
      <c r="P872" s="332">
        <v>849711</v>
      </c>
      <c r="Q872" s="335" t="s">
        <v>838</v>
      </c>
      <c r="R872" s="335" t="s">
        <v>305</v>
      </c>
      <c r="S872" s="335"/>
    </row>
    <row r="873" spans="1:19" x14ac:dyDescent="0.2">
      <c r="A873" s="335" t="s">
        <v>710</v>
      </c>
      <c r="B873" s="332">
        <v>6</v>
      </c>
      <c r="C873" s="332">
        <v>6</v>
      </c>
      <c r="D873" s="332">
        <v>6</v>
      </c>
      <c r="E873" s="332">
        <v>18</v>
      </c>
      <c r="F873" s="332">
        <v>60</v>
      </c>
      <c r="G873" s="332">
        <v>94</v>
      </c>
      <c r="H873" s="332">
        <v>14.200000000000001</v>
      </c>
      <c r="I873" s="333">
        <v>0.89</v>
      </c>
      <c r="J873" s="333">
        <v>2.67</v>
      </c>
      <c r="K873" s="332">
        <v>9.7000000000000011</v>
      </c>
      <c r="L873" s="332">
        <v>1.7</v>
      </c>
      <c r="M873" s="332" t="s">
        <v>207</v>
      </c>
      <c r="N873" s="332">
        <v>2010</v>
      </c>
      <c r="O873" s="332" t="s">
        <v>69</v>
      </c>
      <c r="P873" s="332">
        <v>717371</v>
      </c>
      <c r="Q873" s="335" t="s">
        <v>1029</v>
      </c>
      <c r="R873" s="335" t="s">
        <v>328</v>
      </c>
      <c r="S873" s="335"/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70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1165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1137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1165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143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144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1083</v>
      </c>
      <c r="D48" s="169"/>
      <c r="E48" s="169"/>
      <c r="F48" s="169"/>
      <c r="G48" s="169"/>
      <c r="H48" s="169"/>
      <c r="I48" s="380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1084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"/>
      <c r="C5" s="2"/>
      <c r="D5" s="2"/>
      <c r="E5" s="2"/>
      <c r="F5" s="2"/>
      <c r="G5" s="22" t="s">
        <v>1165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  <c r="U44" s="2"/>
    </row>
    <row r="45" spans="2:21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  <c r="U45" s="2"/>
    </row>
    <row r="46" spans="2:21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  <c r="U46" s="2"/>
    </row>
    <row r="47" spans="2:21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  <c r="U47" s="2"/>
    </row>
    <row r="48" spans="2:21" x14ac:dyDescent="0.2">
      <c r="B48" s="2"/>
      <c r="C48" s="22" t="s">
        <v>839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  <c r="U48" s="2"/>
    </row>
    <row r="49" spans="2:21" x14ac:dyDescent="0.2">
      <c r="B49" s="2"/>
      <c r="C49" s="23" t="s">
        <v>840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  <c r="U50" s="2"/>
    </row>
    <row r="51" spans="2:21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1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1" x14ac:dyDescent="0.2">
      <c r="C53" s="137"/>
      <c r="D53" s="137"/>
      <c r="E53" s="137"/>
      <c r="F53" s="137"/>
      <c r="G53" s="137"/>
      <c r="H53" s="137"/>
    </row>
    <row r="54" spans="2:21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1165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1165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1165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6"/>
  <sheetViews>
    <sheetView showGridLines="0" showRowColHeaders="0" workbookViewId="0">
      <pane ySplit="26" topLeftCell="A208" activePane="bottomLeft" state="frozen"/>
      <selection pane="bottomLeft" activeCell="A2" sqref="A2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8" t="s">
        <v>124</v>
      </c>
      <c r="C5" s="187"/>
      <c r="D5" s="187"/>
      <c r="E5" s="187"/>
      <c r="F5" s="169" t="s">
        <v>1166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8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89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103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104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92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9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0" t="s">
        <v>149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0" t="s">
        <v>150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9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1" t="s">
        <v>88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154</v>
      </c>
      <c r="C25" s="434" t="s">
        <v>117</v>
      </c>
      <c r="D25" s="434" t="s">
        <v>118</v>
      </c>
      <c r="E25" s="435" t="s">
        <v>35</v>
      </c>
      <c r="F25" s="435" t="s">
        <v>134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4"/>
      <c r="D26" s="434"/>
      <c r="E26" s="436"/>
      <c r="F26" s="436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2">
        <v>42216</v>
      </c>
      <c r="C203" s="359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4">
        <v>42247</v>
      </c>
      <c r="C204" s="363">
        <v>6.4853579101562489E-2</v>
      </c>
      <c r="D204" s="279">
        <v>5.354101860584537E-2</v>
      </c>
      <c r="E204" s="359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4">
        <v>42277</v>
      </c>
      <c r="C205" s="365">
        <v>6.0220356445312498E-2</v>
      </c>
      <c r="D205" s="279">
        <v>4.8799148656467617E-2</v>
      </c>
      <c r="E205" s="363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7">
        <v>42308</v>
      </c>
      <c r="C206" s="366">
        <v>6.6949321289062516E-2</v>
      </c>
      <c r="D206" s="279">
        <v>5.5464333436504587E-2</v>
      </c>
      <c r="E206" s="365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9">
        <v>42338</v>
      </c>
      <c r="C207" s="370">
        <v>6.824416503906254E-2</v>
      </c>
      <c r="D207" s="279">
        <v>5.6878755217900645E-2</v>
      </c>
      <c r="E207" s="366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8">
        <v>42369</v>
      </c>
      <c r="C208" s="377">
        <v>6.4044057617187497E-2</v>
      </c>
      <c r="D208" s="279">
        <v>5.2694345074882021E-2</v>
      </c>
      <c r="E208" s="379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8">
        <v>42400</v>
      </c>
      <c r="C209" s="379">
        <v>5.7633999023437521E-2</v>
      </c>
      <c r="D209" s="279">
        <v>4.6569628501169191E-2</v>
      </c>
      <c r="E209" s="379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7">
        <v>42429</v>
      </c>
      <c r="C210" s="386">
        <v>5.7370122070312501E-2</v>
      </c>
      <c r="D210" s="279">
        <v>4.6191734216294966E-2</v>
      </c>
      <c r="E210" s="379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8">
        <v>42460</v>
      </c>
      <c r="C211" s="389">
        <v>5.8672514648437521E-2</v>
      </c>
      <c r="D211" s="279">
        <v>4.7278269191232569E-2</v>
      </c>
      <c r="E211" s="386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1">
        <v>42490</v>
      </c>
      <c r="C212" s="390">
        <v>5.8484155273437519E-2</v>
      </c>
      <c r="D212" s="279">
        <v>4.7145950147996496E-2</v>
      </c>
      <c r="E212" s="389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3">
        <v>42521</v>
      </c>
      <c r="C213" s="392">
        <v>6.1221791992187496E-2</v>
      </c>
      <c r="D213" s="279">
        <v>4.9809464284329863E-2</v>
      </c>
      <c r="E213" s="390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3">
        <v>42551</v>
      </c>
      <c r="C214" s="412">
        <v>5.9694028320312509E-2</v>
      </c>
      <c r="D214" s="279">
        <v>4.8291149941902312E-2</v>
      </c>
      <c r="E214" s="392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5">
        <v>42582</v>
      </c>
      <c r="C215" s="414">
        <v>6.4098120117187476E-2</v>
      </c>
      <c r="D215" s="279">
        <v>5.2662670970432757E-2</v>
      </c>
      <c r="E215" s="413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7">
        <v>42613</v>
      </c>
      <c r="C216" s="418">
        <v>6.4803186058998125E-2</v>
      </c>
      <c r="D216" s="279">
        <v>5.3458447876366E-2</v>
      </c>
      <c r="E216" s="414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7">
        <v>42643</v>
      </c>
      <c r="C217" s="418">
        <v>6.4854136109352145E-2</v>
      </c>
      <c r="D217" s="279">
        <v>5.3470725589369827E-2</v>
      </c>
      <c r="E217" s="418"/>
      <c r="F217" s="293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7">
        <v>42674</v>
      </c>
      <c r="C218" s="418">
        <v>6.5986338257789628E-2</v>
      </c>
      <c r="D218" s="279">
        <v>5.4467302236123727E-2</v>
      </c>
      <c r="E218" s="418"/>
      <c r="F218" s="293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7">
        <v>42704</v>
      </c>
      <c r="C219" s="418">
        <v>6.7281797528266921E-2</v>
      </c>
      <c r="D219" s="279">
        <v>5.5777449633751752E-2</v>
      </c>
      <c r="E219" s="418"/>
      <c r="F219" s="293"/>
      <c r="G219" s="48"/>
      <c r="H219" s="48"/>
      <c r="I219" s="48"/>
      <c r="J219" s="53"/>
      <c r="K219" s="53"/>
      <c r="L219" s="53"/>
      <c r="M219" s="53"/>
    </row>
    <row r="220" spans="2:13" x14ac:dyDescent="0.2">
      <c r="B220" s="417">
        <v>42735</v>
      </c>
      <c r="C220" s="418">
        <v>6.7250260710716256E-2</v>
      </c>
      <c r="D220" s="279">
        <v>5.5777449633751752E-2</v>
      </c>
      <c r="E220" s="418">
        <v>2.9847344756126402E-2</v>
      </c>
      <c r="F220" s="293">
        <v>1.8557478048362164E-2</v>
      </c>
      <c r="G220" s="48"/>
      <c r="H220" s="48"/>
      <c r="I220" s="48"/>
      <c r="J220" s="53"/>
      <c r="K220" s="53"/>
      <c r="L220" s="53"/>
      <c r="M220" s="53"/>
    </row>
    <row r="221" spans="2:13" x14ac:dyDescent="0.2">
      <c r="B221" s="417">
        <v>42766</v>
      </c>
      <c r="C221" s="418">
        <v>6.678140461444855E-2</v>
      </c>
      <c r="D221" s="279">
        <v>5.546034285313195E-2</v>
      </c>
      <c r="E221" s="418"/>
      <c r="F221" s="293"/>
      <c r="G221" s="48"/>
      <c r="H221" s="48"/>
      <c r="I221" s="48"/>
      <c r="J221" s="53"/>
      <c r="K221" s="53"/>
      <c r="L221" s="53"/>
      <c r="M221" s="53"/>
    </row>
    <row r="222" spans="2:13" x14ac:dyDescent="0.2">
      <c r="B222" s="417">
        <v>42794</v>
      </c>
      <c r="C222" s="418">
        <v>7.0446261763572687E-2</v>
      </c>
      <c r="D222" s="279">
        <v>5.8792211776401704E-2</v>
      </c>
      <c r="E222" s="418"/>
      <c r="F222" s="293"/>
      <c r="G222" s="48"/>
      <c r="H222" s="48"/>
      <c r="I222" s="48"/>
      <c r="J222" s="53"/>
      <c r="K222" s="53"/>
      <c r="L222" s="53"/>
      <c r="M222" s="53"/>
    </row>
    <row r="223" spans="2:13" x14ac:dyDescent="0.2">
      <c r="B223" s="417">
        <v>42825</v>
      </c>
      <c r="C223" s="418">
        <v>7.0515719056129467E-2</v>
      </c>
      <c r="D223" s="279">
        <v>5.8912153091711827E-2</v>
      </c>
      <c r="E223" s="418"/>
      <c r="F223" s="293"/>
      <c r="G223" s="48"/>
      <c r="H223" s="48"/>
      <c r="I223" s="48"/>
      <c r="J223" s="53"/>
      <c r="K223" s="53"/>
      <c r="L223" s="53"/>
      <c r="M223" s="53"/>
    </row>
    <row r="224" spans="2:13" x14ac:dyDescent="0.2">
      <c r="B224" s="417">
        <v>42855</v>
      </c>
      <c r="C224" s="418">
        <v>7.1395435929298437E-2</v>
      </c>
      <c r="D224" s="279">
        <v>5.9548415034212709E-2</v>
      </c>
      <c r="E224" s="418"/>
      <c r="F224" s="293"/>
      <c r="G224" s="48"/>
      <c r="H224" s="48"/>
      <c r="I224" s="48"/>
      <c r="J224" s="53"/>
      <c r="K224" s="53"/>
      <c r="L224" s="53"/>
      <c r="M224" s="53"/>
    </row>
    <row r="225" spans="2:13" x14ac:dyDescent="0.2">
      <c r="B225" s="417">
        <v>42886</v>
      </c>
      <c r="C225" s="418">
        <v>7.172808945178985E-2</v>
      </c>
      <c r="D225" s="279">
        <v>5.9891908623134427E-2</v>
      </c>
      <c r="E225" s="418"/>
      <c r="F225" s="293"/>
      <c r="G225" s="48"/>
      <c r="H225" s="48"/>
      <c r="I225" s="48"/>
      <c r="J225" s="53"/>
      <c r="K225" s="53"/>
      <c r="L225" s="53"/>
      <c r="M225" s="53"/>
    </row>
    <row r="226" spans="2:13" ht="20.100000000000001" customHeight="1" x14ac:dyDescent="0.2">
      <c r="B226" s="292"/>
      <c r="C226" s="291"/>
      <c r="D226" s="279"/>
      <c r="E226" s="48"/>
      <c r="F226" s="48"/>
      <c r="G226" s="48"/>
      <c r="H226" s="48"/>
      <c r="I226" s="48"/>
      <c r="J226" s="53"/>
      <c r="K226" s="53"/>
      <c r="L226" s="53"/>
      <c r="M226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0"/>
  <sheetViews>
    <sheetView showGridLines="0" showRowColHeaders="0" workbookViewId="0">
      <pane ySplit="14" topLeftCell="A15" activePane="bottomLeft" state="frozen"/>
      <selection pane="bottomLeft" activeCell="A2" sqref="A2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9" width="12.7109375" style="106" customWidth="1"/>
    <col min="20" max="23" width="10.7109375" style="106" customWidth="1"/>
    <col min="24" max="44" width="10.140625" style="106" customWidth="1"/>
    <col min="45" max="16384" width="9.140625" style="106"/>
  </cols>
  <sheetData>
    <row r="2" spans="1:22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2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2" x14ac:dyDescent="0.2">
      <c r="A4" s="106" t="s">
        <v>93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2" ht="18" x14ac:dyDescent="0.25">
      <c r="B5" s="402" t="s">
        <v>125</v>
      </c>
      <c r="C5" s="48"/>
      <c r="D5" s="48"/>
      <c r="E5" s="48"/>
      <c r="F5" s="48"/>
      <c r="G5" s="48"/>
      <c r="H5" s="48"/>
      <c r="I5" s="22" t="s">
        <v>1165</v>
      </c>
      <c r="J5" s="53"/>
      <c r="K5" s="53"/>
      <c r="L5" s="53"/>
      <c r="M5" s="53"/>
      <c r="N5" s="53"/>
      <c r="O5" s="53"/>
      <c r="P5" s="53"/>
      <c r="Q5" s="118"/>
      <c r="R5" s="118"/>
      <c r="S5" s="118"/>
    </row>
    <row r="6" spans="1:22" x14ac:dyDescent="0.2">
      <c r="B6" s="399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1:22" x14ac:dyDescent="0.2">
      <c r="B7" s="69" t="s">
        <v>121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  <c r="S7" s="225"/>
    </row>
    <row r="8" spans="1:22" x14ac:dyDescent="0.2">
      <c r="B8" s="69" t="s">
        <v>122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  <c r="S8" s="225"/>
    </row>
    <row r="9" spans="1:22" x14ac:dyDescent="0.2">
      <c r="B9" s="69" t="s">
        <v>123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  <c r="S9" s="225"/>
    </row>
    <row r="10" spans="1:22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  <c r="S10" s="226"/>
    </row>
    <row r="11" spans="1:22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22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22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14"/>
      <c r="U13" s="214"/>
      <c r="V13" s="214"/>
    </row>
    <row r="14" spans="1:22" s="215" customFormat="1" x14ac:dyDescent="0.2">
      <c r="B14" s="406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0">
        <v>42370</v>
      </c>
      <c r="S14" s="273">
        <v>42886</v>
      </c>
      <c r="T14" s="216"/>
    </row>
    <row r="15" spans="1:22" ht="20.100000000000001" customHeight="1" x14ac:dyDescent="0.2">
      <c r="B15" s="69" t="s">
        <v>1049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7">
        <v>6.4000000000000001E-2</v>
      </c>
      <c r="R15" s="357">
        <v>0.10855501959583491</v>
      </c>
      <c r="S15" s="357">
        <v>8.220229756400399E-2</v>
      </c>
      <c r="U15" s="218"/>
    </row>
    <row r="16" spans="1:22" ht="20.100000000000001" customHeight="1" x14ac:dyDescent="0.2">
      <c r="B16" s="407" t="s">
        <v>1050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8">
        <v>6.2E-2</v>
      </c>
      <c r="R16" s="358">
        <v>0.15138751375459392</v>
      </c>
      <c r="S16" s="358">
        <v>8.1630234149112857E-2</v>
      </c>
      <c r="U16" s="218"/>
    </row>
    <row r="17" spans="1:21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S17" s="65"/>
      <c r="U17" s="218"/>
    </row>
    <row r="18" spans="1:21" x14ac:dyDescent="0.2">
      <c r="B18" s="234" t="s">
        <v>151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S18" s="230"/>
      <c r="U18" s="218"/>
    </row>
    <row r="19" spans="1:21" x14ac:dyDescent="0.2">
      <c r="B19" s="234" t="s">
        <v>152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S19" s="52"/>
      <c r="U19" s="218"/>
    </row>
    <row r="20" spans="1:21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S20" s="52"/>
      <c r="U20" s="218"/>
    </row>
    <row r="21" spans="1:21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S21" s="219"/>
      <c r="U21" s="218"/>
    </row>
    <row r="22" spans="1:21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S22" s="219"/>
      <c r="U22" s="218"/>
    </row>
    <row r="23" spans="1:21" x14ac:dyDescent="0.2">
      <c r="F23" s="185"/>
      <c r="G23" s="185"/>
      <c r="H23" s="185"/>
      <c r="I23" s="185"/>
      <c r="K23" s="110"/>
      <c r="L23" s="110"/>
      <c r="Q23" s="219"/>
      <c r="R23" s="219"/>
      <c r="S23" s="219"/>
      <c r="U23" s="218"/>
    </row>
    <row r="24" spans="1:21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S24" s="219"/>
      <c r="U24" s="218"/>
    </row>
    <row r="25" spans="1:21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  <c r="S25" s="220"/>
    </row>
    <row r="26" spans="1:21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1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1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1" x14ac:dyDescent="0.2">
      <c r="E29" s="137"/>
      <c r="F29" s="137"/>
      <c r="G29" s="137"/>
      <c r="H29" s="185"/>
      <c r="I29" s="185"/>
      <c r="K29" s="114"/>
      <c r="M29" s="220"/>
      <c r="N29" s="218"/>
    </row>
    <row r="30" spans="1:21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1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1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20" width="12.7109375" style="106" customWidth="1"/>
    <col min="21" max="23" width="10.7109375" style="106" customWidth="1"/>
    <col min="24" max="44" width="10.140625" style="106" customWidth="1"/>
    <col min="45" max="16384" width="9.140625" style="106"/>
  </cols>
  <sheetData>
    <row r="2" spans="1:29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</row>
    <row r="3" spans="1:29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</row>
    <row r="4" spans="1:29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9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</row>
    <row r="6" spans="1:29" ht="18" x14ac:dyDescent="0.25">
      <c r="B6" s="397" t="s">
        <v>6</v>
      </c>
      <c r="C6" s="48"/>
      <c r="D6" s="48"/>
      <c r="E6" s="48"/>
      <c r="F6" s="48"/>
      <c r="G6" s="48"/>
      <c r="H6" s="48"/>
      <c r="I6" s="48"/>
      <c r="J6" s="22" t="s">
        <v>1165</v>
      </c>
      <c r="K6" s="53"/>
      <c r="L6" s="53"/>
      <c r="M6" s="53"/>
      <c r="N6" s="53"/>
      <c r="O6" s="53"/>
      <c r="P6" s="118"/>
      <c r="Q6" s="118"/>
      <c r="R6" s="53"/>
      <c r="S6" s="53"/>
      <c r="T6" s="53"/>
    </row>
    <row r="7" spans="1:29" x14ac:dyDescent="0.2">
      <c r="B7" s="399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9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  <c r="T8" s="53"/>
    </row>
    <row r="9" spans="1:29" x14ac:dyDescent="0.2">
      <c r="B9" s="404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  <c r="T9" s="53"/>
    </row>
    <row r="10" spans="1:29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  <c r="T10" s="53"/>
    </row>
    <row r="11" spans="1:29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  <c r="T11" s="53"/>
    </row>
    <row r="12" spans="1:29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</row>
    <row r="14" spans="1:29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14"/>
      <c r="V14" s="214"/>
    </row>
    <row r="15" spans="1:29" s="182" customFormat="1" ht="20.100000000000001" customHeight="1" x14ac:dyDescent="0.2">
      <c r="A15" s="215"/>
      <c r="B15" s="406" t="s">
        <v>1002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69">
        <v>42370</v>
      </c>
      <c r="T15" s="271">
        <v>42886</v>
      </c>
      <c r="U15" s="215"/>
      <c r="V15" s="215"/>
      <c r="W15" s="215"/>
      <c r="X15" s="215"/>
      <c r="Y15" s="215"/>
      <c r="Z15" s="215"/>
      <c r="AA15" s="215"/>
      <c r="AB15" s="215"/>
      <c r="AC15" s="215"/>
    </row>
    <row r="16" spans="1:29" ht="20.100000000000001" customHeight="1" x14ac:dyDescent="0.2">
      <c r="B16" s="399" t="s">
        <v>96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538.21494048724287</v>
      </c>
      <c r="T16" s="47">
        <v>542.00377528494028</v>
      </c>
    </row>
    <row r="17" spans="2:20" ht="20.100000000000001" customHeight="1" x14ac:dyDescent="0.2">
      <c r="B17" s="405" t="s">
        <v>97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959.84765629860874</v>
      </c>
      <c r="T17" s="276">
        <v>1038.59519963906</v>
      </c>
    </row>
    <row r="18" spans="2:20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  <c r="T18" s="53"/>
    </row>
    <row r="19" spans="2:20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20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  <c r="T20" s="212"/>
    </row>
    <row r="21" spans="2:20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  <c r="T21" s="140"/>
    </row>
    <row r="22" spans="2:20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  <c r="T22" s="140"/>
    </row>
    <row r="23" spans="2:20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  <c r="T23" s="212"/>
    </row>
    <row r="24" spans="2:20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  <c r="T24" s="212"/>
    </row>
    <row r="25" spans="2:20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20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20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20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20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20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20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20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63"/>
  <sheetViews>
    <sheetView showGridLines="0" showRowColHeaders="0" workbookViewId="0">
      <pane ySplit="23" topLeftCell="A205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2" t="s">
        <v>126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7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3" t="s">
        <v>1165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8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9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153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155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156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106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154</v>
      </c>
      <c r="C22" s="438" t="s">
        <v>10</v>
      </c>
      <c r="D22" s="438" t="s">
        <v>11</v>
      </c>
      <c r="E22" s="438" t="s">
        <v>90</v>
      </c>
      <c r="F22" s="438" t="s">
        <v>91</v>
      </c>
      <c r="G22" s="228"/>
      <c r="H22" s="228"/>
      <c r="I22" s="214"/>
      <c r="K22" s="214"/>
      <c r="L22" s="437"/>
      <c r="M22" s="437"/>
      <c r="N22" s="437"/>
      <c r="O22" s="437"/>
      <c r="P22" s="214"/>
      <c r="Q22" s="214"/>
    </row>
    <row r="23" spans="2:22" s="182" customFormat="1" x14ac:dyDescent="0.2">
      <c r="B23" s="267"/>
      <c r="C23" s="438"/>
      <c r="D23" s="438"/>
      <c r="E23" s="438"/>
      <c r="F23" s="438"/>
      <c r="G23" s="252"/>
      <c r="H23" s="253"/>
      <c r="I23" s="245"/>
      <c r="K23" s="244"/>
      <c r="L23" s="437"/>
      <c r="M23" s="437"/>
      <c r="N23" s="437"/>
      <c r="O23" s="437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1">
        <v>42216</v>
      </c>
      <c r="C200" s="360">
        <v>4.4999999999999998E-2</v>
      </c>
      <c r="D200" s="360">
        <v>3.2000000000000001E-2</v>
      </c>
      <c r="E200" s="360">
        <v>0.89900000000000002</v>
      </c>
      <c r="F200" s="359">
        <v>0.59099999999999997</v>
      </c>
      <c r="G200" s="53"/>
      <c r="H200" s="53"/>
    </row>
    <row r="201" spans="2:8" x14ac:dyDescent="0.2">
      <c r="B201" s="361">
        <v>42247</v>
      </c>
      <c r="C201" s="360">
        <v>3.9E-2</v>
      </c>
      <c r="D201" s="360">
        <v>2.7E-2</v>
      </c>
      <c r="E201" s="360">
        <v>0.76600000000000001</v>
      </c>
      <c r="F201" s="359">
        <v>0.48299999999999998</v>
      </c>
      <c r="G201" s="53"/>
      <c r="H201" s="53"/>
    </row>
    <row r="202" spans="2:8" x14ac:dyDescent="0.2">
      <c r="B202" s="361">
        <v>42277</v>
      </c>
      <c r="C202" s="360">
        <v>3.5999999999999997E-2</v>
      </c>
      <c r="D202" s="360">
        <v>2.4E-2</v>
      </c>
      <c r="E202" s="360">
        <v>0.68899999999999995</v>
      </c>
      <c r="F202" s="365">
        <v>0.41299999999999998</v>
      </c>
      <c r="G202" s="53"/>
      <c r="H202" s="53"/>
    </row>
    <row r="203" spans="2:8" x14ac:dyDescent="0.2">
      <c r="B203" s="361">
        <v>42308</v>
      </c>
      <c r="C203" s="360">
        <v>4.1000000000000002E-2</v>
      </c>
      <c r="D203" s="360">
        <v>2.9000000000000001E-2</v>
      </c>
      <c r="E203" s="360">
        <v>0.82499999999999996</v>
      </c>
      <c r="F203" s="366">
        <v>0.52600000000000002</v>
      </c>
      <c r="G203" s="53"/>
      <c r="H203" s="53"/>
    </row>
    <row r="204" spans="2:8" x14ac:dyDescent="0.2">
      <c r="B204" s="361">
        <v>42338</v>
      </c>
      <c r="C204" s="360">
        <v>4.2000000000000003E-2</v>
      </c>
      <c r="D204" s="360">
        <v>0.03</v>
      </c>
      <c r="E204" s="360">
        <v>0.86099999999999999</v>
      </c>
      <c r="F204" s="379">
        <v>0.55800000000000005</v>
      </c>
      <c r="G204" s="53"/>
      <c r="H204" s="53"/>
    </row>
    <row r="205" spans="2:8" x14ac:dyDescent="0.2">
      <c r="B205" s="361">
        <v>42369</v>
      </c>
      <c r="C205" s="360">
        <v>3.9E-2</v>
      </c>
      <c r="D205" s="360">
        <v>2.7E-2</v>
      </c>
      <c r="E205" s="360">
        <v>0.79100000000000004</v>
      </c>
      <c r="F205" s="379">
        <v>0.497</v>
      </c>
      <c r="G205" s="53"/>
      <c r="H205" s="53"/>
    </row>
    <row r="206" spans="2:8" x14ac:dyDescent="0.2">
      <c r="B206" s="361">
        <v>42400</v>
      </c>
      <c r="C206" s="360">
        <v>3.5000000000000003E-2</v>
      </c>
      <c r="D206" s="360">
        <v>2.3E-2</v>
      </c>
      <c r="E206" s="360">
        <v>0.68200000000000005</v>
      </c>
      <c r="F206" s="379">
        <v>0.41099999999999998</v>
      </c>
      <c r="G206" s="53"/>
      <c r="H206" s="53"/>
    </row>
    <row r="207" spans="2:8" x14ac:dyDescent="0.2">
      <c r="B207" s="361">
        <v>42429</v>
      </c>
      <c r="C207" s="360">
        <v>3.4814794575029895E-2</v>
      </c>
      <c r="D207" s="360">
        <v>2.2685222994411669E-2</v>
      </c>
      <c r="E207" s="360">
        <v>0.685214138766439</v>
      </c>
      <c r="F207" s="379">
        <v>0.40926260346961096</v>
      </c>
      <c r="G207" s="53"/>
      <c r="H207" s="53"/>
    </row>
    <row r="208" spans="2:8" x14ac:dyDescent="0.2">
      <c r="B208" s="361">
        <v>42460</v>
      </c>
      <c r="C208" s="360">
        <v>3.5999999999999997E-2</v>
      </c>
      <c r="D208" s="360">
        <v>2.3E-2</v>
      </c>
      <c r="E208" s="360">
        <v>0.71699999999999997</v>
      </c>
      <c r="F208" s="386">
        <v>0.42899999999999999</v>
      </c>
      <c r="G208" s="53"/>
      <c r="H208" s="53"/>
    </row>
    <row r="209" spans="2:8" x14ac:dyDescent="0.2">
      <c r="B209" s="361">
        <v>42490</v>
      </c>
      <c r="C209" s="360">
        <v>3.5999999999999997E-2</v>
      </c>
      <c r="D209" s="360">
        <v>2.4E-2</v>
      </c>
      <c r="E209" s="360">
        <v>0.72199999999999998</v>
      </c>
      <c r="F209" s="389">
        <v>0.433</v>
      </c>
      <c r="G209" s="53"/>
      <c r="H209" s="53"/>
    </row>
    <row r="210" spans="2:8" x14ac:dyDescent="0.2">
      <c r="B210" s="361">
        <v>42521</v>
      </c>
      <c r="C210" s="360">
        <v>3.7999999999999999E-2</v>
      </c>
      <c r="D210" s="360">
        <v>2.5999999999999999E-2</v>
      </c>
      <c r="E210" s="360">
        <v>0.78200000000000003</v>
      </c>
      <c r="F210" s="390">
        <v>0.48</v>
      </c>
      <c r="G210" s="53"/>
      <c r="H210" s="53"/>
    </row>
    <row r="211" spans="2:8" x14ac:dyDescent="0.2">
      <c r="B211" s="361">
        <v>42551</v>
      </c>
      <c r="C211" s="360">
        <v>3.6999999999999998E-2</v>
      </c>
      <c r="D211" s="360">
        <v>2.5000000000000001E-2</v>
      </c>
      <c r="E211" s="360">
        <v>0.76100000000000001</v>
      </c>
      <c r="F211" s="392">
        <v>0.46100000000000002</v>
      </c>
      <c r="G211" s="53"/>
      <c r="H211" s="53"/>
    </row>
    <row r="212" spans="2:8" x14ac:dyDescent="0.2">
      <c r="B212" s="361">
        <v>42582</v>
      </c>
      <c r="C212" s="360">
        <v>4.0333532333468369E-2</v>
      </c>
      <c r="D212" s="360">
        <v>2.7921695980168693E-2</v>
      </c>
      <c r="E212" s="360">
        <v>0.85796425018382538</v>
      </c>
      <c r="F212" s="379">
        <v>0.54101982295106521</v>
      </c>
      <c r="G212" s="53"/>
      <c r="H212" s="53"/>
    </row>
    <row r="213" spans="2:8" x14ac:dyDescent="0.2">
      <c r="B213" s="361">
        <v>42613</v>
      </c>
      <c r="C213" s="360">
        <v>4.1000000000000002E-2</v>
      </c>
      <c r="D213" s="360">
        <v>2.9000000000000001E-2</v>
      </c>
      <c r="E213" s="360">
        <v>0.88300000000000001</v>
      </c>
      <c r="F213" s="418">
        <v>0.56299999999999994</v>
      </c>
      <c r="G213" s="53"/>
      <c r="H213" s="53"/>
    </row>
    <row r="214" spans="2:8" x14ac:dyDescent="0.2">
      <c r="B214" s="361">
        <v>42643</v>
      </c>
      <c r="C214" s="360">
        <v>4.1000000000000002E-2</v>
      </c>
      <c r="D214" s="360">
        <v>2.9000000000000001E-2</v>
      </c>
      <c r="E214" s="360">
        <v>0.89300000000000002</v>
      </c>
      <c r="F214" s="418">
        <v>0.56999999999999995</v>
      </c>
      <c r="G214" s="53"/>
      <c r="H214" s="53"/>
    </row>
    <row r="215" spans="2:8" x14ac:dyDescent="0.2">
      <c r="B215" s="361">
        <v>42674</v>
      </c>
      <c r="C215" s="360">
        <v>4.2030228419878357E-2</v>
      </c>
      <c r="D215" s="360">
        <v>2.9533051802302257E-2</v>
      </c>
      <c r="E215" s="360">
        <v>0.92572849251788436</v>
      </c>
      <c r="F215" s="418">
        <v>0.59084551881901937</v>
      </c>
      <c r="G215" s="53"/>
      <c r="H215" s="53"/>
    </row>
    <row r="216" spans="2:8" x14ac:dyDescent="0.2">
      <c r="B216" s="361">
        <v>42704</v>
      </c>
      <c r="C216" s="360">
        <v>4.3218872876169323E-2</v>
      </c>
      <c r="D216" s="360">
        <v>3.0752191716537203E-2</v>
      </c>
      <c r="E216" s="360">
        <v>0.96791784772508582</v>
      </c>
      <c r="F216" s="418">
        <v>0.62518710656202447</v>
      </c>
      <c r="G216" s="53"/>
      <c r="H216" s="53"/>
    </row>
    <row r="217" spans="2:8" x14ac:dyDescent="0.2">
      <c r="B217" s="361">
        <v>42735</v>
      </c>
      <c r="C217" s="360">
        <v>4.3555702411013808E-2</v>
      </c>
      <c r="D217" s="360">
        <v>3.0830294890720422E-2</v>
      </c>
      <c r="E217" s="360">
        <v>0.98514913536272819</v>
      </c>
      <c r="F217" s="418">
        <v>0.6313146829948344</v>
      </c>
      <c r="G217" s="53"/>
      <c r="H217" s="53"/>
    </row>
    <row r="218" spans="2:8" x14ac:dyDescent="0.2">
      <c r="B218" s="361">
        <v>42766</v>
      </c>
      <c r="C218" s="360">
        <v>4.334228507554494E-2</v>
      </c>
      <c r="D218" s="360">
        <v>3.1123599502151711E-2</v>
      </c>
      <c r="E218" s="360">
        <v>0.98563801765141767</v>
      </c>
      <c r="F218" s="418">
        <v>0.64292002279378702</v>
      </c>
      <c r="G218" s="53"/>
      <c r="H218" s="53"/>
    </row>
    <row r="219" spans="2:8" x14ac:dyDescent="0.2">
      <c r="B219" s="361">
        <v>42794</v>
      </c>
      <c r="C219" s="360">
        <v>4.6097313069848767E-2</v>
      </c>
      <c r="D219" s="360">
        <v>3.3461627268104976E-2</v>
      </c>
      <c r="E219" s="360">
        <v>1.0799189283485671</v>
      </c>
      <c r="F219" s="418">
        <v>0.70892535100606313</v>
      </c>
      <c r="G219" s="53"/>
      <c r="H219" s="53"/>
    </row>
    <row r="220" spans="2:8" x14ac:dyDescent="0.2">
      <c r="B220" s="361">
        <v>42825</v>
      </c>
      <c r="C220" s="360">
        <v>4.6296857857121454E-2</v>
      </c>
      <c r="D220" s="360">
        <v>3.3733130393092559E-2</v>
      </c>
      <c r="E220" s="360">
        <v>1.0942589386917381</v>
      </c>
      <c r="F220" s="418">
        <v>0.72097667415640498</v>
      </c>
      <c r="G220" s="53"/>
      <c r="H220" s="53"/>
    </row>
    <row r="221" spans="2:8" x14ac:dyDescent="0.2">
      <c r="B221" s="361">
        <v>42855</v>
      </c>
      <c r="C221" s="360">
        <v>4.7063816541086823E-2</v>
      </c>
      <c r="D221" s="360">
        <v>3.4187242986752242E-2</v>
      </c>
      <c r="E221" s="360">
        <v>1.1276127151568303</v>
      </c>
      <c r="F221" s="418">
        <v>0.73827163112427474</v>
      </c>
      <c r="G221" s="53"/>
      <c r="H221" s="53"/>
    </row>
    <row r="222" spans="2:8" x14ac:dyDescent="0.2">
      <c r="B222" s="361">
        <v>42886</v>
      </c>
      <c r="C222" s="360">
        <v>4.7434009312021796E-2</v>
      </c>
      <c r="D222" s="360">
        <v>3.457868053407509E-2</v>
      </c>
      <c r="E222" s="360">
        <v>1.1482759725449072</v>
      </c>
      <c r="F222" s="418">
        <v>0.75406259087321148</v>
      </c>
      <c r="G222" s="53"/>
      <c r="H222" s="53"/>
    </row>
    <row r="223" spans="2:8" x14ac:dyDescent="0.2">
      <c r="B223" s="361"/>
      <c r="C223" s="360"/>
      <c r="D223" s="360"/>
      <c r="E223" s="360"/>
      <c r="F223" s="418"/>
      <c r="G223" s="53"/>
      <c r="H223" s="53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  <c r="C245" s="185"/>
      <c r="D245" s="185"/>
      <c r="E245" s="185"/>
      <c r="F245" s="185"/>
    </row>
    <row r="246" spans="2:6" x14ac:dyDescent="0.2">
      <c r="B246" s="248"/>
      <c r="C246" s="185"/>
      <c r="D246" s="185"/>
      <c r="E246" s="185"/>
      <c r="F246" s="185"/>
    </row>
    <row r="247" spans="2:6" x14ac:dyDescent="0.2">
      <c r="B247" s="248"/>
      <c r="C247" s="185"/>
      <c r="D247" s="185"/>
      <c r="E247" s="185"/>
      <c r="F247" s="185"/>
    </row>
    <row r="248" spans="2:6" x14ac:dyDescent="0.2">
      <c r="B248" s="248"/>
      <c r="C248" s="185"/>
      <c r="D248" s="185"/>
      <c r="E248" s="185"/>
      <c r="F248" s="185"/>
    </row>
    <row r="249" spans="2:6" x14ac:dyDescent="0.2">
      <c r="B249" s="248"/>
      <c r="C249" s="185"/>
      <c r="D249" s="185"/>
      <c r="E249" s="185"/>
      <c r="F249" s="185"/>
    </row>
    <row r="250" spans="2:6" x14ac:dyDescent="0.2">
      <c r="B250" s="248"/>
      <c r="C250" s="185"/>
      <c r="D250" s="185"/>
      <c r="E250" s="185"/>
      <c r="F250" s="185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  <row r="256" spans="2:6" x14ac:dyDescent="0.2">
      <c r="B256" s="248"/>
    </row>
    <row r="257" spans="2:2" x14ac:dyDescent="0.2">
      <c r="B257" s="248"/>
    </row>
    <row r="258" spans="2:2" x14ac:dyDescent="0.2">
      <c r="B258" s="248"/>
    </row>
    <row r="259" spans="2:2" x14ac:dyDescent="0.2">
      <c r="B259" s="248"/>
    </row>
    <row r="260" spans="2:2" x14ac:dyDescent="0.2">
      <c r="B260" s="248"/>
    </row>
    <row r="261" spans="2:2" x14ac:dyDescent="0.2">
      <c r="B261" s="248"/>
    </row>
    <row r="262" spans="2:2" x14ac:dyDescent="0.2">
      <c r="B262" s="248"/>
    </row>
    <row r="263" spans="2:2" x14ac:dyDescent="0.2">
      <c r="B263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7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8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8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8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8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8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8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8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8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8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8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8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8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8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8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8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8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9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5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5" t="s">
        <v>99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6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2017-06-19T12:27:23Z</dcterms:modified>
</cp:coreProperties>
</file>