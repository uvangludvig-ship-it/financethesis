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80" windowWidth="25030" windowHeight="7870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<sst xmlns="http://schemas.openxmlformats.org/spreadsheetml/2006/main" count="6659" uniqueCount="1450">
  <si>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</si>
  <si>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</si>
  <si>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</si>
  <si>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</si>
  <si>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</si>
  <si>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</si>
  <si>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</si>
  <si>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</si>
  <si>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</si>
  <si>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</si>
  <si>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</si>
  <si>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</si>
  <si>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</si>
  <si>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</si>
  <si>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</si>
  <si>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</si>
  <si>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</si>
  <si>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</si>
  <si>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</si>
  <si>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</si>
  <si>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</si>
  <si>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</si>
  <si>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</si>
  <si>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</si>
  <si>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</si>
  <si>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</si>
  <si>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</si>
  <si>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</si>
  <si>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</si>
  <si>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</si>
  <si>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</si>
  <si>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</si>
  <si>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</si>
  <si>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</si>
  <si>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</si>
  <si>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</si>
  <si>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</si>
  <si>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</si>
  <si>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</si>
  <si>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</si>
  <si>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</si>
  <si>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</si>
  <si>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</si>
  <si>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</si>
  <si>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</si>
  <si>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</si>
  <si>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</si>
  <si>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</si>
  <si>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</si>
  <si>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</si>
  <si>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</si>
  <si>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</si>
  <si>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</si>
  <si>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</si>
  <si>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</si>
  <si>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</si>
  <si>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</si>
  <si>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</si>
  <si>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</si>
  <si>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</si>
  <si>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</si>
  <si>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</si>
  <si>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</si>
  <si>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</si>
  <si>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</si>
  <si>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</si>
  <si>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</si>
  <si>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</si>
  <si>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</si>
  <si>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</si>
  <si>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</si>
  <si>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</si>
  <si>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</si>
  <si>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</si>
  <si>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</si>
  <si>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</si>
  <si>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</si>
  <si>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</si>
  <si>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</si>
  <si>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</si>
  <si>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</si>
  <si>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</si>
  <si>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</si>
  <si>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</si>
  <si>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</si>
  <si>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</si>
  <si>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</si>
  <si>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</si>
  <si>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</si>
  <si>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</si>
  <si>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</si>
  <si>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</si>
  <si>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</si>
  <si>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</si>
  <si>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</si>
  <si>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</si>
  <si>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</si>
  <si>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</si>
  <si>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</si>
  <si>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</si>
  <si>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</si>
  <si>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</si>
  <si>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</si>
  <si>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</si>
  <si>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</si>
  <si>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</si>
  <si>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</si>
  <si>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</si>
  <si>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</si>
  <si>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</si>
  <si>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</si>
  <si>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</si>
  <si>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</si>
  <si>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</si>
  <si>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</si>
  <si>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</si>
  <si>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</si>
  <si>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</si>
  <si>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</si>
  <si>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</si>
  <si>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</si>
  <si>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</si>
  <si>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</si>
  <si>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</si>
  <si>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</si>
  <si>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</si>
  <si>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</si>
  <si>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</si>
  <si>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</si>
  <si>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</si>
  <si>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</si>
  <si>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</si>
  <si>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</si>
  <si>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</si>
  <si>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</si>
  <si>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</si>
  <si>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</si>
  <si>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Avanza Zero - Fonden utan avgifter</t>
  </si>
  <si>
    <t>Avanza Fonder AB</t>
  </si>
  <si>
    <t>Pension om mindre än 10 år</t>
  </si>
  <si>
    <t>AP7 Räntefond</t>
  </si>
  <si>
    <t>Sjunde AP-Fonden</t>
  </si>
  <si>
    <t>Spiltan Räntefond Sverige</t>
  </si>
  <si>
    <t>Spiltan Fonder AB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</si>
  <si>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</si>
  <si>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</si>
  <si>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</si>
  <si>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</si>
  <si>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</si>
  <si>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</si>
  <si>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</si>
  <si>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</si>
  <si>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</si>
  <si>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</si>
  <si>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</si>
  <si>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</si>
  <si>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</si>
  <si>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</si>
  <si>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</si>
  <si>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Carnegie Likviditetsfond</t>
  </si>
  <si>
    <t>Carnegie Fonder AB</t>
  </si>
  <si>
    <t>Handelsbanken Fonder AB</t>
  </si>
  <si>
    <t>Lannebo Likviditetsfond</t>
  </si>
  <si>
    <t>Lannebo Fonder AB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</si>
  <si>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</si>
  <si>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</si>
  <si>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</si>
  <si>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</si>
  <si>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</si>
  <si>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</si>
  <si>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</si>
  <si>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</si>
  <si>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</si>
  <si>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</si>
  <si>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</si>
  <si>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</si>
  <si>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</si>
  <si>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</si>
  <si>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</si>
  <si>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</si>
  <si>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</si>
  <si>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</si>
  <si>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</si>
  <si>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</si>
  <si>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</si>
  <si>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Skandia Fonder AB</t>
  </si>
  <si>
    <t>Folksam LO Sverige</t>
  </si>
  <si>
    <t>Folksam LO Världen</t>
  </si>
  <si>
    <t>Alfred Berg Fonder AB</t>
  </si>
  <si>
    <t>SPP Generation 80-tal</t>
  </si>
  <si>
    <t>Nordea Obligationsfond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</si>
  <si>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</si>
  <si>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</si>
  <si>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</si>
  <si>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</si>
  <si>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</si>
  <si>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</si>
  <si>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</si>
  <si>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Aktiespararna Topp Sverige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</si>
  <si>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</si>
  <si>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</si>
  <si>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</si>
  <si>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</si>
  <si>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</si>
  <si>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</si>
  <si>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</si>
  <si>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</si>
  <si>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</si>
  <si>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</si>
  <si>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</si>
  <si>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</si>
  <si>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</si>
  <si>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</si>
  <si>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</si>
  <si>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Handelsbanken Sverige Index Criteria</t>
  </si>
  <si>
    <t>Skandia Kapitalmarknadsfond</t>
  </si>
  <si>
    <t>Skandia Realräntefond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</si>
  <si>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</si>
  <si>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</si>
  <si>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</si>
  <si>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</si>
  <si>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</si>
  <si>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</si>
  <si>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</si>
  <si>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</si>
  <si>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</si>
  <si>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</si>
  <si>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</si>
  <si>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</si>
  <si>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Övriga länder</t>
  </si>
  <si>
    <t>Evli Statsobligation</t>
  </si>
  <si>
    <t>SKAGEN Tellus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</si>
  <si>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</si>
  <si>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</si>
  <si>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</si>
  <si>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</si>
  <si>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</si>
  <si>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</si>
  <si>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</si>
  <si>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</si>
  <si>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</si>
  <si>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</si>
  <si>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</si>
  <si>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</si>
  <si>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</si>
  <si>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</si>
  <si>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</si>
  <si>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</si>
  <si>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</si>
  <si>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</si>
  <si>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Catella Avkastningsfond</t>
  </si>
  <si>
    <t>Catella Fondförvaltning AB</t>
  </si>
  <si>
    <t>Swedbank Robur Nordenfond</t>
  </si>
  <si>
    <t>Öhman Etisk Index Japan</t>
  </si>
  <si>
    <t>Öhman Etisk Index Pacific</t>
  </si>
  <si>
    <t>Öhman Etisk Index Europa</t>
  </si>
  <si>
    <t>Spiltan Högräntefond</t>
  </si>
  <si>
    <t>Seligson &amp; Co Global Top 25 Brands</t>
  </si>
  <si>
    <t>Didner &amp; Gerge Fonder AB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</si>
  <si>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</si>
  <si>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</si>
  <si>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</si>
  <si>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</si>
  <si>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</si>
  <si>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</si>
  <si>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Skandia Smart Försiktig</t>
  </si>
  <si>
    <t>SEB Asset Selection Lux Ack</t>
  </si>
  <si>
    <t>Holberg Kreditt</t>
  </si>
  <si>
    <t>Holberg Fondsforvaltning AS</t>
  </si>
  <si>
    <t>SKAGEN Vekst</t>
  </si>
  <si>
    <t>Simplicity Företagsobligationer</t>
  </si>
  <si>
    <t>SKAGEN Global</t>
  </si>
  <si>
    <t>Latinamerika</t>
  </si>
  <si>
    <t>Öhman Företagsobligationsfond</t>
  </si>
  <si>
    <t>Carnegie Sverigefond</t>
  </si>
  <si>
    <t>SEB Nordenfond</t>
  </si>
  <si>
    <t>Nordea Nya Tillväxtmarknader</t>
  </si>
  <si>
    <t>Ryssland</t>
  </si>
  <si>
    <t>PineBridge Global Bond Fund</t>
  </si>
  <si>
    <t>PineBridge Investments Ireland Limited</t>
  </si>
  <si>
    <t>SEB Pension Fund</t>
  </si>
  <si>
    <t>Didner &amp; Gerge Global</t>
  </si>
  <si>
    <t>Carnegie Strategifond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</si>
  <si>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</si>
  <si>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</si>
  <si>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</si>
  <si>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</si>
  <si>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</si>
  <si>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</si>
  <si>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</si>
  <si>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</si>
  <si>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Länsförsäkringar Asienfond</t>
  </si>
  <si>
    <t>Delphi Europe</t>
  </si>
  <si>
    <t>Delphi Global</t>
  </si>
  <si>
    <t>SEB Teknologifond</t>
  </si>
  <si>
    <t>Simplicity Global Corporate Bond</t>
  </si>
  <si>
    <t>Carnegie Småbolagsfond</t>
  </si>
  <si>
    <t>SEB Nordamerikafond</t>
  </si>
  <si>
    <t>SEB Japanfond</t>
  </si>
  <si>
    <t>Länsförsäkringar Tillväxtmarknad Aktiv</t>
  </si>
  <si>
    <t>Monyx Strategi Offensiv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</si>
  <si>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</si>
  <si>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</si>
  <si>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</si>
  <si>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</si>
  <si>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</si>
  <si>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</si>
  <si>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</si>
  <si>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</si>
  <si>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</si>
  <si>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</si>
  <si>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</si>
  <si>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Skandia Norden</t>
  </si>
  <si>
    <t>Skandia Smart Balanserad</t>
  </si>
  <si>
    <t>Skandia Smart Offensiv</t>
  </si>
  <si>
    <t>SEB Latinamerikafond</t>
  </si>
  <si>
    <t>Skandia USA</t>
  </si>
  <si>
    <t>Carnegie Asia</t>
  </si>
  <si>
    <t>Skandia Småbolag Sverige</t>
  </si>
  <si>
    <t>Pictet EUR Bonds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</si>
  <si>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</si>
  <si>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</si>
  <si>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</si>
  <si>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</si>
  <si>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</si>
  <si>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</si>
  <si>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</si>
  <si>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BL - Equities America</t>
  </si>
  <si>
    <t>Monyx Strategi Sverige/Världen</t>
  </si>
  <si>
    <t>BL - Global 75</t>
  </si>
  <si>
    <t>BL - Global Equities</t>
  </si>
  <si>
    <t>BL - Equities Dividend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</si>
  <si>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</si>
  <si>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</si>
  <si>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</si>
  <si>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</si>
  <si>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</si>
  <si>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</si>
  <si>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</si>
  <si>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</si>
  <si>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</si>
  <si>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</si>
  <si>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</si>
  <si>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Skandia Asien</t>
  </si>
  <si>
    <t>Pictet EUR Corporate Bonds</t>
  </si>
  <si>
    <t>Allianz Euro High Yield Bond</t>
  </si>
  <si>
    <t>Naventi Defensiv Flex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</si>
  <si>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</si>
  <si>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</si>
  <si>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</si>
  <si>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</si>
  <si>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</si>
  <si>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PineBridge Europe Small Cap Equity Fund</t>
  </si>
  <si>
    <t>Alfred Berg Aktiv</t>
  </si>
  <si>
    <t>SKAGEN Kon-Tiki</t>
  </si>
  <si>
    <t>Aktie-Ansvar Sverige</t>
  </si>
  <si>
    <t>Spiltan Aktiefond Stabil</t>
  </si>
  <si>
    <t>Spiltan Aktiefond Sverige</t>
  </si>
  <si>
    <t>Spiltan Aktiefond Småland</t>
  </si>
  <si>
    <t>UBS (Lux) Strategy Fund - Growth (EUR)</t>
  </si>
  <si>
    <t>PineBridge Emerging Europe Equity Fund</t>
  </si>
  <si>
    <t>DNB Fund - Asian Small Cap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</si>
  <si>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</si>
  <si>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</si>
  <si>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</si>
  <si>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</si>
  <si>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</si>
  <si>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</si>
  <si>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</si>
  <si>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</si>
  <si>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</si>
  <si>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</si>
  <si>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</si>
  <si>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</si>
  <si>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FIM Fenno Placeringsfond</t>
  </si>
  <si>
    <t>Alfred Berg Fastighetsfond Norden</t>
  </si>
  <si>
    <t>Simplicity Norden</t>
  </si>
  <si>
    <t>PineBridge Global Emerging Markets Focus Equity Fund</t>
  </si>
  <si>
    <t>UBS (Lux) Equity Sicav - Emerging Markets Sustainable</t>
  </si>
  <si>
    <t>Baring Asia Growth Fund</t>
  </si>
  <si>
    <t>Baring Latin America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</si>
  <si>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</si>
  <si>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</si>
  <si>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</si>
  <si>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</si>
  <si>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UBS (Lux) Equity Sicav - USA Growth B</t>
  </si>
  <si>
    <t>Enter Sverige</t>
  </si>
  <si>
    <t>Baring Global Resources Fund</t>
  </si>
  <si>
    <t>Baring Eastern Europe Fund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</si>
  <si>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</si>
  <si>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</si>
  <si>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</si>
  <si>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</si>
  <si>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</si>
  <si>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</si>
  <si>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</si>
  <si>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</si>
  <si>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</si>
  <si>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</si>
  <si>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</si>
  <si>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Franklin European Growth Fund</t>
  </si>
  <si>
    <t>FIM Brands</t>
  </si>
  <si>
    <t>FIM Europa</t>
  </si>
  <si>
    <t>Aktia Capital</t>
  </si>
  <si>
    <t>Aktia Fondbolag Ab</t>
  </si>
  <si>
    <t>Franklin Mutual Global Discovery Fund</t>
  </si>
  <si>
    <t>Allianz Global Metals and Mining</t>
  </si>
  <si>
    <t>Allianz Europe Equity Growth</t>
  </si>
  <si>
    <t>Franklin India Fund</t>
  </si>
  <si>
    <t>UBS (Lux) Equity Fund - Greater China (USD)</t>
  </si>
  <si>
    <t>UBS (Lux) Equity Sicav - Brazil</t>
  </si>
  <si>
    <t>UBS (Lux) Equity Sicav - Russia</t>
  </si>
  <si>
    <t>Amundi Funds Equity US Relative Value</t>
  </si>
  <si>
    <t>Fondita 2000+ Placeringsfond</t>
  </si>
  <si>
    <t>Fondbolaget Fondita Ab</t>
  </si>
  <si>
    <t>Fondita Equity Spice Placeringsfond</t>
  </si>
  <si>
    <t>Fondita European Small Cap Placeringsfond</t>
  </si>
  <si>
    <t>Fondita Nordic Micro Cap Placeringsfond</t>
  </si>
  <si>
    <t>Fondita Nordic Small Cap Placeringsfond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</si>
  <si>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</si>
  <si>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</si>
  <si>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</si>
  <si>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</si>
  <si>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</si>
  <si>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</si>
  <si>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Greater China</t>
  </si>
  <si>
    <t>Naventi Offensiv Flex</t>
  </si>
  <si>
    <t>Allianz Europe Small Cap Equity</t>
  </si>
  <si>
    <t>OPM Listed Private Equity</t>
  </si>
  <si>
    <t>Optimized Portfolio Management Stockholm AB</t>
  </si>
  <si>
    <t>Allianz China Equity</t>
  </si>
  <si>
    <t>Avaron Emerging Europe Fund</t>
  </si>
  <si>
    <t>Alfred Berg Ryssland</t>
  </si>
  <si>
    <t>PineBridge Greater China Equity Fund</t>
  </si>
  <si>
    <t>CB European Quality Fund</t>
  </si>
  <si>
    <t>Tundra Fonder AB</t>
  </si>
  <si>
    <t>Tundra Vietnam Fund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</si>
  <si>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</si>
  <si>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</si>
  <si>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</si>
  <si>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</si>
  <si>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</si>
  <si>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</si>
  <si>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</si>
  <si>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</si>
  <si>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</si>
  <si>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</si>
  <si>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</si>
  <si>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</si>
  <si>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</si>
  <si>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</si>
  <si>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</si>
  <si>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</si>
  <si>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Pictet Global Megatrend Selection</t>
  </si>
  <si>
    <t>Pictet Indian Equities</t>
  </si>
  <si>
    <t>Pictet Emerging Markets</t>
  </si>
  <si>
    <t>Norron Sicav-Target</t>
  </si>
  <si>
    <t>SEB Dynamic Bond Fund</t>
  </si>
  <si>
    <t>SEB Dynamisk Aktiefond</t>
  </si>
  <si>
    <t>Prior &amp; Nilsson Realinvest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</si>
  <si>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</si>
  <si>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</si>
  <si>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</si>
  <si>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</si>
  <si>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</si>
  <si>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Tundra Pakistan Fund</t>
  </si>
  <si>
    <t>Länsförsäkringar Global Strategisk Ränta</t>
  </si>
  <si>
    <t>NN Asset Management BV</t>
  </si>
  <si>
    <t>Storebrand Asset Management AS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</si>
  <si>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</si>
  <si>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</si>
  <si>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</si>
  <si>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</si>
  <si>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</si>
  <si>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</si>
  <si>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</si>
  <si>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</si>
  <si>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</si>
  <si>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</si>
  <si>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</si>
  <si>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</si>
  <si>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</si>
  <si>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</si>
  <si>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</si>
  <si>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</si>
  <si>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</si>
  <si>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</si>
  <si>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</si>
  <si>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</si>
  <si>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</si>
  <si>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</si>
  <si>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</si>
  <si>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</si>
  <si>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</si>
  <si>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</si>
  <si>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</si>
  <si>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</si>
  <si>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JPMorgan Investement Funds - Global Balanced Fund A (acc)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</si>
  <si>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</si>
  <si>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</si>
  <si>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</si>
  <si>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</si>
  <si>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</si>
  <si>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</si>
  <si>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</si>
  <si>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</si>
  <si>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</si>
  <si>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</si>
  <si>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</si>
  <si>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</si>
  <si>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</si>
  <si>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</si>
  <si>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</si>
  <si>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Japan Small Cap Alpha Fund</t>
  </si>
  <si>
    <t>Lannebo Sverige Plus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</si>
  <si>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</si>
  <si>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</si>
  <si>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</si>
  <si>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</si>
  <si>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UBS (Lux) Equity Fund - Japan (JPY)</t>
  </si>
  <si>
    <t>SEB Green Bond Fund</t>
  </si>
  <si>
    <t>Swedbank Robur Access Sverige</t>
  </si>
  <si>
    <t>Swedbank Robur Access Asien</t>
  </si>
  <si>
    <t>Placeringsfond UB Nordamerika REIT</t>
  </si>
  <si>
    <t>Swedbank Robur Access Europa</t>
  </si>
  <si>
    <t>Swedbank Robur Access USA</t>
  </si>
  <si>
    <t>Enter Småbolagsfond</t>
  </si>
  <si>
    <t>Naventi Fonder AB</t>
  </si>
  <si>
    <t>UBS (Lux) Key Selection SICAV - Global Equities (USD)</t>
  </si>
  <si>
    <t>Swedbank Robur Access Global</t>
  </si>
  <si>
    <t>Swedbank Robur Access Japan</t>
  </si>
  <si>
    <t>Ålandsbanken Premium 30 Placeringsfond</t>
  </si>
  <si>
    <t>Coeli - Nordic Corporate Bond Fund</t>
  </si>
  <si>
    <t>Cicero Focus</t>
  </si>
  <si>
    <t>Öhman Småbolagsfond A</t>
  </si>
  <si>
    <t>Cliens Mixfond</t>
  </si>
  <si>
    <t>Cliens Kapitalförvaltning AB</t>
  </si>
  <si>
    <t>Xact Kapitalförvaltning AB</t>
  </si>
  <si>
    <t>Öhman Sweden Micro Cap</t>
  </si>
  <si>
    <t>Öhman Sverige Hållbar A</t>
  </si>
  <si>
    <t>Odin Energi</t>
  </si>
  <si>
    <t>Pareto Global Corporate Bond</t>
  </si>
  <si>
    <t>Pareto Global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</si>
  <si>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</si>
  <si>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</si>
  <si>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</si>
  <si>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</si>
  <si>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</si>
  <si>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</si>
  <si>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</si>
  <si>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NN (L) Information Technology</t>
  </si>
  <si>
    <t>NN (L) Japan Equity</t>
  </si>
  <si>
    <t>NN (L) Emerging Markets Debt (Hard Currency)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</si>
  <si>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</si>
  <si>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</si>
  <si>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</si>
  <si>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</si>
  <si>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</si>
  <si>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</si>
  <si>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Swedbank Robur Ethica Obligation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</si>
  <si>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</si>
  <si>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</si>
  <si>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</si>
  <si>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</si>
  <si>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</si>
  <si>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</si>
  <si>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</si>
  <si>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Indecap Guide 1</t>
  </si>
  <si>
    <t>Länsförsäkringar USA Indexnära</t>
  </si>
  <si>
    <t>Länsförsäkringar Global Hållbar</t>
  </si>
  <si>
    <t>Alfred Berg Obligationsfond Plus Hållbar</t>
  </si>
  <si>
    <t>Ålandsbanken Premium 50 Placeringsfond</t>
  </si>
  <si>
    <t>Pictet Digital</t>
  </si>
  <si>
    <t>Lannebo Europa Småbolag</t>
  </si>
  <si>
    <t>Spiltan Globalfond Investmentbolag</t>
  </si>
  <si>
    <t>East Capital China Environmental</t>
  </si>
  <si>
    <t>East Capital Global Frontier Markets</t>
  </si>
  <si>
    <t>DNB Teknologi</t>
  </si>
  <si>
    <t>Simplicity Småbolag Sverige</t>
  </si>
  <si>
    <t>East Capital Östeuropa</t>
  </si>
  <si>
    <t>Enter Cross Credit</t>
  </si>
  <si>
    <t>East Capital Balkan</t>
  </si>
  <si>
    <t>Handelsbanken Latinamerikafond</t>
  </si>
  <si>
    <t>East Capital Ryssland</t>
  </si>
  <si>
    <t>Aktia Nordic Small Cap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</si>
  <si>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</si>
  <si>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</si>
  <si>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</si>
  <si>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</si>
  <si>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</si>
  <si>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</si>
  <si>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</si>
  <si>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</si>
  <si>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</si>
  <si>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</si>
  <si>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</si>
  <si>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</si>
  <si>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</si>
  <si>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</si>
  <si>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</si>
  <si>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</si>
  <si>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</si>
  <si>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</si>
  <si>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</si>
  <si>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</si>
  <si>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</si>
  <si>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</si>
  <si>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</si>
  <si>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</si>
  <si>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</si>
  <si>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</si>
  <si>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</si>
  <si>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</si>
  <si>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</si>
  <si>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</si>
  <si>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</si>
  <si>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</si>
  <si>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Indien</t>
  </si>
  <si>
    <t>Axa Rosenberg US Small Cap Alpha Fund B</t>
  </si>
  <si>
    <t>C WorldWide Medical Small &amp; Mid Cap</t>
  </si>
  <si>
    <t>Catella Sverige Aktiv Hållbarhet</t>
  </si>
  <si>
    <t>Länsförsäkringar Japan Indexnära</t>
  </si>
  <si>
    <t>NN (L) Global Equity Impact Opportunities</t>
  </si>
  <si>
    <t>Handelsbanken Multi Asset 50</t>
  </si>
  <si>
    <t>Öhman Global Hållbar</t>
  </si>
  <si>
    <t>Tundra Frontier Africa Fund</t>
  </si>
  <si>
    <t>SPP Sverige Plus</t>
  </si>
  <si>
    <t>Lannebo Komplett</t>
  </si>
  <si>
    <t>Enter Return</t>
  </si>
  <si>
    <t>Axa Rosenberg All Country Asia Pacific Ex-Japan Small Cap Alpha</t>
  </si>
  <si>
    <t>DNB Global Indeks</t>
  </si>
  <si>
    <t>Fondita European Micro Cap Placeringsfond</t>
  </si>
  <si>
    <t>DNB SMB</t>
  </si>
  <si>
    <t>Söderberg &amp; Partners Proaktiv 75 PM</t>
  </si>
  <si>
    <t>Söderberg &amp; Partners Proaktiv 80 PM</t>
  </si>
  <si>
    <t>Cicero World 0-100</t>
  </si>
  <si>
    <t>DNB Grönt Norden</t>
  </si>
  <si>
    <t>UBS (Lux) Equity Sicav - Asian Smaller Companies (USD)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</si>
  <si>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</si>
  <si>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</si>
  <si>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</si>
  <si>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</si>
  <si>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</si>
  <si>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</si>
  <si>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</si>
  <si>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</si>
  <si>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Öhman Etisk Emerging Markets</t>
  </si>
  <si>
    <t>FIM Emerging Markets ESG</t>
  </si>
  <si>
    <t>Handelsbanken Pension 50</t>
  </si>
  <si>
    <t>Handelsbanken Pension 40</t>
  </si>
  <si>
    <t>SEB Rysslandfond - Lux</t>
  </si>
  <si>
    <t>Pictet Robotics</t>
  </si>
  <si>
    <t>UBS (Lux) Equity Sicav - Euro Countries Income (EUR)</t>
  </si>
  <si>
    <t>Handelsbanken Pension 90</t>
  </si>
  <si>
    <t>Enter Preserve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</si>
  <si>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</si>
  <si>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</si>
  <si>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</si>
  <si>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</si>
  <si>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</si>
  <si>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</si>
  <si>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</si>
  <si>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</si>
  <si>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LU0801842559</t>
  </si>
  <si>
    <t>SE0000356230</t>
  </si>
  <si>
    <t>LU0211331839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</si>
  <si>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</si>
  <si>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</si>
  <si>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</si>
  <si>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</si>
  <si>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</si>
  <si>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</si>
  <si>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</si>
  <si>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</si>
  <si>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SE0000810814</t>
  </si>
  <si>
    <t>SE0001112715</t>
  </si>
  <si>
    <t>SE0001112723</t>
  </si>
  <si>
    <t>LU0168450194</t>
  </si>
  <si>
    <t>SE0001185000</t>
  </si>
  <si>
    <t>LU0072913022</t>
  </si>
  <si>
    <t>SE0004357069</t>
  </si>
  <si>
    <t>SE0002699421</t>
  </si>
  <si>
    <t>IE0004318048</t>
  </si>
  <si>
    <t>LU0347592197</t>
  </si>
  <si>
    <t>LU1133292463</t>
  </si>
  <si>
    <t>LU1050467312</t>
  </si>
  <si>
    <t>LU0107464264</t>
  </si>
  <si>
    <t>LU0348825331</t>
  </si>
  <si>
    <t>LU0047713382</t>
  </si>
  <si>
    <t>SE0000810764</t>
  </si>
  <si>
    <t>LU0131726092</t>
  </si>
  <si>
    <t>LU0246274897</t>
  </si>
  <si>
    <t>SE0004167567</t>
  </si>
  <si>
    <t>LU0083425479</t>
  </si>
  <si>
    <t>SE0000577959</t>
  </si>
  <si>
    <t>NO0010660434</t>
  </si>
  <si>
    <t>SE0000837239</t>
  </si>
  <si>
    <t>SE0000837213</t>
  </si>
  <si>
    <t>LU0081259029</t>
  </si>
  <si>
    <t>LU0165623512</t>
  </si>
  <si>
    <t>LU0201575346</t>
  </si>
  <si>
    <t>SE0005281847</t>
  </si>
  <si>
    <t>SE0000984130</t>
  </si>
  <si>
    <t>SE0000984114</t>
  </si>
  <si>
    <t>SE0000775348</t>
  </si>
  <si>
    <t>SE0007074059</t>
  </si>
  <si>
    <t>IE0032431581</t>
  </si>
  <si>
    <t>IE0004896431</t>
  </si>
  <si>
    <t>SE0000522724</t>
  </si>
  <si>
    <t>LU0101692753</t>
  </si>
  <si>
    <t>SE0003299999</t>
  </si>
  <si>
    <t>LU0117088970</t>
  </si>
  <si>
    <t>SE0000429748</t>
  </si>
  <si>
    <t>SE0000837379</t>
  </si>
  <si>
    <t>LU0051128774</t>
  </si>
  <si>
    <t>SE0008241442</t>
  </si>
  <si>
    <t>SE0001015355</t>
  </si>
  <si>
    <t>SE0000984197</t>
  </si>
  <si>
    <t>SE0000813917</t>
  </si>
  <si>
    <t>SE0000862278</t>
  </si>
  <si>
    <t>SE0001112764</t>
  </si>
  <si>
    <t>LU0051755006</t>
  </si>
  <si>
    <t>SE0000529992</t>
  </si>
  <si>
    <t>SE0002566349</t>
  </si>
  <si>
    <t>SE0000924649</t>
  </si>
  <si>
    <t>SE0000428336</t>
  </si>
  <si>
    <t>SE0005065521</t>
  </si>
  <si>
    <t>SE0004636447</t>
  </si>
  <si>
    <t>LU0319687124</t>
  </si>
  <si>
    <t>SE0002801290</t>
  </si>
  <si>
    <t>SE0008320857</t>
  </si>
  <si>
    <t>SE0000735789</t>
  </si>
  <si>
    <t>SE0000429789</t>
  </si>
  <si>
    <t>SE0003788587</t>
  </si>
  <si>
    <t>SE0002686584</t>
  </si>
  <si>
    <t>SE0000429813</t>
  </si>
  <si>
    <t>SE0000810723</t>
  </si>
  <si>
    <t>SE0000538944</t>
  </si>
  <si>
    <t>SE0000837221</t>
  </si>
  <si>
    <t>SE0001463449</t>
  </si>
  <si>
    <t>FI4000058821</t>
  </si>
  <si>
    <t>SE0000777708</t>
  </si>
  <si>
    <t>SE0000739195</t>
  </si>
  <si>
    <t>SE0001718388</t>
  </si>
  <si>
    <t>SE0000837205</t>
  </si>
  <si>
    <t>SE0000739179</t>
  </si>
  <si>
    <t>SE0004357051</t>
  </si>
  <si>
    <t>SE0001244328</t>
  </si>
  <si>
    <t>SE0000740680</t>
  </si>
  <si>
    <t>SE0000577272</t>
  </si>
  <si>
    <t>SE0001466368</t>
  </si>
  <si>
    <t>SE0005281953</t>
  </si>
  <si>
    <t>SE0000888208</t>
  </si>
  <si>
    <t>SE0000356271</t>
  </si>
  <si>
    <t>SE0000582033</t>
  </si>
  <si>
    <t>SE0001932781</t>
  </si>
  <si>
    <t>SE0000540593</t>
  </si>
  <si>
    <t>SE0001112749</t>
  </si>
  <si>
    <t>SE0002800276</t>
  </si>
  <si>
    <t>SE0008320824</t>
  </si>
  <si>
    <t>SE0005189537</t>
  </si>
  <si>
    <t>SE0000739161</t>
  </si>
  <si>
    <t>SE0000984171</t>
  </si>
  <si>
    <t>SE0000740706</t>
  </si>
  <si>
    <t>SE0000984155</t>
  </si>
  <si>
    <t>SE0000433203</t>
  </si>
  <si>
    <t>SE0000984189</t>
  </si>
  <si>
    <t>SE0000531881</t>
  </si>
  <si>
    <t>SE0001112731</t>
  </si>
  <si>
    <t>SE0000433138</t>
  </si>
  <si>
    <t>SE0000577462</t>
  </si>
  <si>
    <t>SE0000432809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</si>
  <si>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</si>
  <si>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</si>
  <si>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</si>
  <si>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</si>
  <si>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</si>
  <si>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</si>
  <si>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</si>
  <si>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</si>
  <si>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</si>
  <si>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</si>
  <si>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</si>
  <si>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</si>
  <si>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</si>
  <si>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</si>
  <si>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</si>
  <si>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</si>
  <si>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</si>
  <si>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</si>
  <si>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</si>
  <si>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</si>
  <si>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</si>
  <si>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</si>
  <si>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SE0002152140</t>
  </si>
  <si>
    <t>SE0000988750</t>
  </si>
  <si>
    <t>SE0000577280</t>
  </si>
  <si>
    <t>LU0119200128</t>
  </si>
  <si>
    <t>SE0000837114</t>
  </si>
  <si>
    <t>SE0000837106</t>
  </si>
  <si>
    <t>SE0000709297</t>
  </si>
  <si>
    <t>SE0000356099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</si>
  <si>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</si>
  <si>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</si>
  <si>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</si>
  <si>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</si>
  <si>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</si>
  <si>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</si>
  <si>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</si>
  <si>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SE0003299981</t>
  </si>
  <si>
    <t>SE0000709313</t>
  </si>
  <si>
    <t>LU0076532638</t>
  </si>
  <si>
    <t>IE0000805634</t>
  </si>
  <si>
    <t>IE0000838304</t>
  </si>
  <si>
    <t>LU0178670161</t>
  </si>
  <si>
    <t>SE0004926368</t>
  </si>
  <si>
    <t>SE0005188836</t>
  </si>
  <si>
    <t>SE0005796331</t>
  </si>
  <si>
    <t>LU0516397667</t>
  </si>
  <si>
    <t>SE0000837197</t>
  </si>
  <si>
    <t>SE0007074091</t>
  </si>
  <si>
    <t>LU1028962543</t>
  </si>
  <si>
    <t>LU0075898915</t>
  </si>
  <si>
    <t>SE0004452118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</si>
  <si>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</si>
  <si>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</si>
  <si>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</si>
  <si>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</si>
  <si>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</si>
  <si>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</si>
  <si>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</si>
  <si>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</si>
  <si>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LU0115763970</t>
  </si>
  <si>
    <t>LU0119124864</t>
  </si>
  <si>
    <t>LU0766124472</t>
  </si>
  <si>
    <t>LU0082087510</t>
  </si>
  <si>
    <t>LU0115759606</t>
  </si>
  <si>
    <t>LU0778324086</t>
  </si>
  <si>
    <t>FI0008802871</t>
  </si>
  <si>
    <t>LU0070212591</t>
  </si>
  <si>
    <t>LU0144510053</t>
  </si>
  <si>
    <t>NO0010089410</t>
  </si>
  <si>
    <t>FI4000043682</t>
  </si>
  <si>
    <t>FI4000043690</t>
  </si>
  <si>
    <t>FI4000058854</t>
  </si>
  <si>
    <t>LU0133806512</t>
  </si>
  <si>
    <t>LU0128469839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</si>
  <si>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</si>
  <si>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</si>
  <si>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</si>
  <si>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</si>
  <si>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</si>
  <si>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</si>
  <si>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</si>
  <si>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</si>
  <si>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</si>
  <si>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</si>
  <si>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</si>
  <si>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</si>
  <si>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</si>
  <si>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</si>
  <si>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FI0008800339</t>
  </si>
  <si>
    <t>LU0122612848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</si>
  <si>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</si>
  <si>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</si>
  <si>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</si>
  <si>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</si>
  <si>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</si>
  <si>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</si>
  <si>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</si>
  <si>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</si>
  <si>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SE0000537706</t>
  </si>
  <si>
    <t>SE0000577975</t>
  </si>
  <si>
    <t>SE0000533945</t>
  </si>
  <si>
    <t>LU0546915058</t>
  </si>
  <si>
    <t>LU0095527585</t>
  </si>
  <si>
    <t>LU0546913194</t>
  </si>
  <si>
    <t>LU0128492732</t>
  </si>
  <si>
    <t>LU0053685615</t>
  </si>
  <si>
    <t>SE0006763967</t>
  </si>
  <si>
    <t>SE0000810905</t>
  </si>
  <si>
    <t>SE0005798329</t>
  </si>
  <si>
    <t>SE0004139780</t>
  </si>
  <si>
    <t>FI4000010525</t>
  </si>
  <si>
    <t>SE0000577322</t>
  </si>
  <si>
    <t>SE0005506276</t>
  </si>
  <si>
    <t>SE0000653370</t>
  </si>
  <si>
    <t>SE0000739187</t>
  </si>
  <si>
    <t>SE0000429854</t>
  </si>
  <si>
    <t>SE0000810731</t>
  </si>
  <si>
    <t>SE0001095860</t>
  </si>
  <si>
    <t>FI0008813332</t>
  </si>
  <si>
    <t>SE0000984098</t>
  </si>
  <si>
    <t>SE0000837296</t>
  </si>
  <si>
    <t>LU0273119544</t>
  </si>
  <si>
    <t>LU0256625632</t>
  </si>
  <si>
    <t>LU1279333832</t>
  </si>
  <si>
    <t>LU1081248731</t>
  </si>
  <si>
    <t>SE0001184961</t>
  </si>
  <si>
    <t>LU0093570926</t>
  </si>
  <si>
    <t>SE0000810863</t>
  </si>
  <si>
    <t>SE0000522518</t>
  </si>
  <si>
    <t>LU1116557668</t>
  </si>
  <si>
    <t>FI0008801816</t>
  </si>
  <si>
    <t>FI0008801980</t>
  </si>
  <si>
    <t>LU0236501697</t>
  </si>
  <si>
    <t>SE0004324416</t>
  </si>
  <si>
    <t>LU0217138725</t>
  </si>
  <si>
    <t>LU0715498449</t>
  </si>
  <si>
    <t>LU0093569910</t>
  </si>
  <si>
    <t>FI4000081187</t>
  </si>
  <si>
    <t>FI4000081195</t>
  </si>
  <si>
    <t>SE0007073937</t>
  </si>
  <si>
    <t>SE0000542771</t>
  </si>
  <si>
    <t>SE0000602302</t>
  </si>
  <si>
    <t>SE0000537722</t>
  </si>
  <si>
    <t>LU0122292328</t>
  </si>
  <si>
    <t>SE0000625238</t>
  </si>
  <si>
    <t>SE0004807097</t>
  </si>
  <si>
    <t>FI0008814694</t>
  </si>
  <si>
    <t>LU0086737722</t>
  </si>
  <si>
    <t>NO0010072945</t>
  </si>
  <si>
    <t>SE0004211282</t>
  </si>
  <si>
    <t>LU0715530605</t>
  </si>
  <si>
    <t>SE0001175712</t>
  </si>
  <si>
    <t>SE0001175720</t>
  </si>
  <si>
    <t>SE0001175738</t>
  </si>
  <si>
    <t>SE0000493504</t>
  </si>
  <si>
    <t>NO0010582984</t>
  </si>
  <si>
    <t>LU0085870433</t>
  </si>
  <si>
    <t>LU0487186396</t>
  </si>
  <si>
    <t>FI4000048970</t>
  </si>
  <si>
    <t>FI0008813241</t>
  </si>
  <si>
    <t>FI4000242854</t>
  </si>
  <si>
    <t>FI0008809892</t>
  </si>
  <si>
    <t>SE0000356263</t>
  </si>
  <si>
    <t>LU0568602667</t>
  </si>
  <si>
    <t>IE0004352823</t>
  </si>
  <si>
    <t>IE0004346098</t>
  </si>
  <si>
    <t>LU0309192036</t>
  </si>
  <si>
    <t>LU0309191657</t>
  </si>
  <si>
    <t>LU0093570330</t>
  </si>
  <si>
    <t>EE3600108866</t>
  </si>
  <si>
    <t>LU0256839274</t>
  </si>
  <si>
    <t>LU0401974943</t>
  </si>
  <si>
    <t>LU0482909818</t>
  </si>
  <si>
    <t>LU0766124126</t>
  </si>
  <si>
    <t>LU0359201612</t>
  </si>
  <si>
    <t>LU0048292394</t>
  </si>
  <si>
    <t>LU0048293368</t>
  </si>
  <si>
    <t>LU0117287580</t>
  </si>
  <si>
    <t>LU0211340665</t>
  </si>
  <si>
    <t>LU0093502762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</si>
  <si>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</si>
  <si>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</si>
  <si>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</si>
  <si>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</si>
  <si>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</si>
  <si>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</si>
  <si>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</si>
  <si>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</si>
  <si>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</si>
  <si>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</si>
  <si>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</si>
  <si>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</si>
  <si>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FI0008810908</t>
  </si>
  <si>
    <t>FI0008800511</t>
  </si>
  <si>
    <t>SE0007278585</t>
  </si>
  <si>
    <t>LU1121265208</t>
  </si>
  <si>
    <t>LU0979738498</t>
  </si>
  <si>
    <t>FI0008813324</t>
  </si>
  <si>
    <t>IE0004345025</t>
  </si>
  <si>
    <t>LU0198837287</t>
  </si>
  <si>
    <t>LU0048292808</t>
  </si>
  <si>
    <t>SE0001175746</t>
  </si>
  <si>
    <t>SE0000885089</t>
  </si>
  <si>
    <t>SE0000885105</t>
  </si>
  <si>
    <t>LU0198839143</t>
  </si>
  <si>
    <t>LU0090908194</t>
  </si>
  <si>
    <t>LU0424681269</t>
  </si>
  <si>
    <t>LU0424682077</t>
  </si>
  <si>
    <t>LU0835599696</t>
  </si>
  <si>
    <t>FI4000087911</t>
  </si>
  <si>
    <t>LU0910517969</t>
  </si>
  <si>
    <t>LU0354788688</t>
  </si>
  <si>
    <t>SE0000355828</t>
  </si>
  <si>
    <t>LU0112589485</t>
  </si>
  <si>
    <t>LU0131719634</t>
  </si>
  <si>
    <t>LU0723564463</t>
  </si>
  <si>
    <t>LU0348798009</t>
  </si>
  <si>
    <t>LU0131725367</t>
  </si>
  <si>
    <t>FI0008813308</t>
  </si>
  <si>
    <t>FI0008813456</t>
  </si>
  <si>
    <t>SE0002656611</t>
  </si>
  <si>
    <t>SE0000577967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</si>
  <si>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</si>
  <si>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</si>
  <si>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</si>
  <si>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</si>
  <si>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</si>
  <si>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</si>
  <si>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</si>
  <si>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SE0000837353</t>
  </si>
  <si>
    <t>SE0000739153</t>
  </si>
  <si>
    <t>LU0348788117</t>
  </si>
  <si>
    <t>LU0250158358</t>
  </si>
  <si>
    <t>SE0000624421</t>
  </si>
  <si>
    <t>LU0067059799</t>
  </si>
  <si>
    <t>SE0000837056</t>
  </si>
  <si>
    <t>IE0004314401</t>
  </si>
  <si>
    <t>LU0256846568</t>
  </si>
  <si>
    <t>IE0000931182</t>
  </si>
  <si>
    <t>FI0008801790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</si>
  <si>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</si>
  <si>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</si>
  <si>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</si>
  <si>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</si>
  <si>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</si>
  <si>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</si>
  <si>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</si>
  <si>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</si>
  <si>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LU0280431049</t>
  </si>
  <si>
    <t>LU0347594136</t>
  </si>
  <si>
    <t>SE0000577983</t>
  </si>
  <si>
    <t>SE0000837338</t>
  </si>
  <si>
    <t>SE0004296515</t>
  </si>
  <si>
    <t>FI4000081153</t>
  </si>
  <si>
    <t>FI4000081211</t>
  </si>
  <si>
    <t>SE0002572313</t>
  </si>
  <si>
    <t>SE0001172263</t>
  </si>
  <si>
    <t>LU0106959298</t>
  </si>
  <si>
    <t>SE0000984148</t>
  </si>
  <si>
    <t>FI4000081120</t>
  </si>
  <si>
    <t>LU0293315296</t>
  </si>
  <si>
    <t>LU0091821107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</si>
  <si>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</si>
  <si>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</si>
  <si>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</si>
  <si>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</si>
  <si>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</si>
  <si>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</si>
  <si>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</si>
  <si>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</si>
  <si>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</si>
  <si>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</si>
  <si>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</si>
  <si>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</si>
  <si>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</si>
  <si>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SE0001192618</t>
  </si>
  <si>
    <t>SE0000740698</t>
  </si>
  <si>
    <t>NO0010337819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</si>
  <si>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</si>
  <si>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</si>
  <si>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</si>
  <si>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</si>
  <si>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</si>
  <si>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</si>
  <si>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</si>
  <si>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</si>
  <si>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</si>
  <si>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</si>
  <si>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</si>
  <si>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</si>
  <si>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</si>
  <si>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</si>
  <si>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</si>
  <si>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</si>
  <si>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</si>
  <si>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</si>
  <si>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SE0000427825</t>
  </si>
  <si>
    <t>SE0000433252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</si>
  <si>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</si>
  <si>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</si>
  <si>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</si>
  <si>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</si>
  <si>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</si>
  <si>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</si>
  <si>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</si>
  <si>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</si>
  <si>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</si>
  <si>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FI0008813449</t>
  </si>
  <si>
    <t>FI0008813365</t>
  </si>
  <si>
    <t>SE0000427817</t>
  </si>
  <si>
    <t>SE0005797099</t>
  </si>
  <si>
    <t>LU0286682959</t>
  </si>
  <si>
    <t>FI0008801402</t>
  </si>
  <si>
    <t>FI4000066725</t>
  </si>
  <si>
    <t>FI0008812607</t>
  </si>
  <si>
    <t>FI0008800644</t>
  </si>
  <si>
    <t>SE0008964407</t>
  </si>
  <si>
    <t>FI0008805031</t>
  </si>
  <si>
    <t>SE0001015348</t>
  </si>
  <si>
    <t>SE0007074083</t>
  </si>
  <si>
    <t>LU0568605769</t>
  </si>
  <si>
    <t>SE0000594111</t>
  </si>
  <si>
    <t>NO0010337579</t>
  </si>
  <si>
    <t>LU1125674611</t>
  </si>
  <si>
    <t>LU1199945780</t>
  </si>
  <si>
    <t>LU0231484808</t>
  </si>
  <si>
    <t>LU0094541447</t>
  </si>
  <si>
    <t>SE0004576437</t>
  </si>
  <si>
    <t>FI4000058839</t>
  </si>
  <si>
    <t>LU0155301624</t>
  </si>
  <si>
    <t>LU0098995292</t>
  </si>
  <si>
    <t>SE0004578615</t>
  </si>
  <si>
    <t>SE0005065505</t>
  </si>
  <si>
    <t>LU0093570256</t>
  </si>
  <si>
    <t>IE0000018873</t>
  </si>
  <si>
    <t>IE0033609722</t>
  </si>
  <si>
    <t>LU0231203729</t>
  </si>
  <si>
    <t>SE0001209834</t>
  </si>
  <si>
    <t>LU0248272758</t>
  </si>
  <si>
    <t>LU0177113007</t>
  </si>
  <si>
    <t>SE0000984122</t>
  </si>
  <si>
    <t>FI0008801071</t>
  </si>
  <si>
    <t>FI4000029632</t>
  </si>
  <si>
    <t>SE0002793935</t>
  </si>
  <si>
    <t>NO0010102866</t>
  </si>
  <si>
    <t>LU0401973978</t>
  </si>
  <si>
    <t>LU0568611650</t>
  </si>
  <si>
    <t>LU0119176310</t>
  </si>
  <si>
    <t>LU0109391861</t>
  </si>
  <si>
    <t>IE00B54L8H63</t>
  </si>
  <si>
    <t>LU0011963831</t>
  </si>
  <si>
    <t>SE0000837262</t>
  </si>
  <si>
    <t>LU0112497440</t>
  </si>
  <si>
    <t>LU0069152568</t>
  </si>
  <si>
    <t>FI4000066899</t>
  </si>
  <si>
    <t>FI0008802046</t>
  </si>
  <si>
    <t>FI0008800107</t>
  </si>
  <si>
    <t>LU0630951415</t>
  </si>
  <si>
    <t>FI4000123245</t>
  </si>
  <si>
    <t>FI0008810148</t>
  </si>
  <si>
    <t>SE0000810798</t>
  </si>
  <si>
    <t>SE0002042283</t>
  </si>
  <si>
    <t>SE0002793943</t>
  </si>
  <si>
    <t>LU0098860363</t>
  </si>
  <si>
    <t>LU0085953304</t>
  </si>
  <si>
    <t>SE0000735375</t>
  </si>
  <si>
    <t>LU0188501331</t>
  </si>
  <si>
    <t>FI0008802897</t>
  </si>
  <si>
    <t>FI0008810940</t>
  </si>
  <si>
    <t>1 mån</t>
  </si>
  <si>
    <t>DNB Fund - Nordic Equities</t>
  </si>
  <si>
    <t xml:space="preserve">Totalt marknadsvärde  </t>
  </si>
  <si>
    <t xml:space="preserve"> miljarder kronor</t>
  </si>
  <si>
    <t>Danske Invest SICAV- Global Index</t>
  </si>
  <si>
    <t>FIM Artificiell Intelligens Placeringsfond</t>
  </si>
  <si>
    <t>Danske Invest  SICAV- SRI Global</t>
  </si>
  <si>
    <t>Danske Invest Allocation SICAV- Horisont Offensiv</t>
  </si>
  <si>
    <t>Danske Invest Allocation SICAV- Horisont Ränta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</si>
  <si>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</si>
  <si>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</si>
  <si>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</si>
  <si>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</si>
  <si>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</si>
  <si>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</si>
  <si>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</si>
  <si>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</si>
  <si>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</si>
  <si>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</si>
  <si>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Indecap Guide Q30</t>
  </si>
  <si>
    <t>LU1349997723</t>
  </si>
  <si>
    <t>LU1349493178</t>
  </si>
  <si>
    <t>LU1349504800</t>
  </si>
  <si>
    <t>LU1349499027</t>
  </si>
  <si>
    <t>LU1349507738</t>
  </si>
  <si>
    <t>LU1349512068</t>
  </si>
  <si>
    <t>LU1349513892</t>
  </si>
  <si>
    <t>LU1349495116</t>
  </si>
  <si>
    <t>SEB Pensionsfond Extra</t>
  </si>
  <si>
    <t>SEB Pension Fund Plus</t>
  </si>
  <si>
    <t>LU1349493681</t>
  </si>
  <si>
    <t>PriorNilsson Smart Global</t>
  </si>
  <si>
    <t>Enter Select</t>
  </si>
  <si>
    <t>SE0002096545</t>
  </si>
  <si>
    <t>Länsförsäkringar Sparmål 2035</t>
  </si>
  <si>
    <t>Länsförsäkringar Sparmål 2015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</si>
  <si>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</si>
  <si>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</si>
  <si>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</si>
  <si>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</si>
  <si>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</si>
  <si>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</si>
  <si>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</si>
  <si>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</si>
  <si>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</si>
  <si>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</si>
  <si>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</si>
  <si>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Simplicity Småbolag Global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</si>
  <si>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</si>
  <si>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</si>
  <si>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</si>
  <si>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</si>
  <si>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</si>
  <si>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</si>
  <si>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</si>
  <si>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</si>
  <si>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</si>
  <si>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</si>
  <si>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</si>
  <si>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</si>
  <si>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</si>
  <si>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TRIGON - New Europe Fund</t>
  </si>
  <si>
    <t>LU1687403367</t>
  </si>
  <si>
    <t>2) Fram till 2010-04-21 beräkningen av värdeutvecklingen gjord för Premiesparfonden, därefter är det beräknat för AP7 Såfa.</t>
  </si>
  <si>
    <t>Swedbank Robur Fastighet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</si>
  <si>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</si>
  <si>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</si>
  <si>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</si>
  <si>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</si>
  <si>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</si>
  <si>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</si>
  <si>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SE0001472952</t>
  </si>
  <si>
    <t>Länsförsäkringar FossilSmart</t>
  </si>
  <si>
    <t>Handelsbanken Hälsovård Tema</t>
  </si>
  <si>
    <t>Handelsbanken EMEA Tema</t>
  </si>
  <si>
    <t>Länsförsäkringar Fastighet Europa</t>
  </si>
  <si>
    <t>HealthInvest Small &amp; MicroCap Fund</t>
  </si>
  <si>
    <t>SE0010442988</t>
  </si>
  <si>
    <t>UBS (Lux) Equity Fund - Tech Opportunity (USD)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</si>
  <si>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</si>
  <si>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</si>
  <si>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</si>
  <si>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</si>
  <si>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</si>
  <si>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</si>
  <si>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</si>
  <si>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</si>
  <si>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</si>
  <si>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</si>
  <si>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</si>
  <si>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</si>
  <si>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</si>
  <si>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</si>
  <si>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</si>
  <si>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</si>
  <si>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</si>
  <si>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</si>
  <si>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</si>
  <si>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</si>
  <si>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</si>
  <si>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Skandia Korträntefond</t>
  </si>
  <si>
    <t>Alpcot Equities</t>
  </si>
  <si>
    <t>Handelsbanken Kortränta</t>
  </si>
  <si>
    <t>SE0011309491</t>
  </si>
  <si>
    <t>SE0011309574</t>
  </si>
  <si>
    <t>Öhman Kort Ränta</t>
  </si>
  <si>
    <t>East Capital Multi-Strategi</t>
  </si>
  <si>
    <t>Handelsbanken Emerging Markets Index</t>
  </si>
  <si>
    <t>SE0011338409</t>
  </si>
  <si>
    <t>SE0011309707</t>
  </si>
  <si>
    <t>Handelsbanken Amerika Småbolag Tema</t>
  </si>
  <si>
    <t>SE0011336908</t>
  </si>
  <si>
    <t>Ålandsbanken Global Aktie Placeringsfond</t>
  </si>
  <si>
    <t>East Capital Global Emerging Markets  Sustainable</t>
  </si>
  <si>
    <t>East Capital Nya Europa</t>
  </si>
  <si>
    <t>AP7 Såfa - Statens årskullsförvaltningsalternativ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</si>
  <si>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</si>
  <si>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</si>
  <si>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</si>
  <si>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</si>
  <si>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</si>
  <si>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</si>
  <si>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</si>
  <si>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</si>
  <si>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</si>
  <si>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 xml:space="preserve">Bilden visar  årlig värdeutveckling och spridningen i värdeutveckling på de individuella kontona. Uppgifterna baseras på ett stickprov om drygt 20 000 personer. </t>
  </si>
  <si>
    <t>Amundi Luxembourg S.A.</t>
  </si>
  <si>
    <t>E. Öhman J:or Fonder AB</t>
  </si>
  <si>
    <t>C WorldWide Fund Management S.A.</t>
  </si>
  <si>
    <t>FundRock Management Company S.A.</t>
  </si>
  <si>
    <t>FIL Investment Management (Luxembourg) S.A.</t>
  </si>
  <si>
    <t>UBS Fund Management (Luxembourg) S.A</t>
  </si>
  <si>
    <t>Banque de Luxembourg S.A.</t>
  </si>
  <si>
    <t>Nordic Fund Services S.A.</t>
  </si>
  <si>
    <t>Luxcellence Management Company S.A.</t>
  </si>
  <si>
    <t>Danske Invest Management Company S.A.</t>
  </si>
  <si>
    <t>Pictet Asset Management (Europe) S.A.</t>
  </si>
  <si>
    <t>East Capital Asset Management S.A.</t>
  </si>
  <si>
    <t>Aberdeen Standard SICAV I - Japanese Smaller Companies Fund</t>
  </si>
  <si>
    <t>Aberdeen Standard Investments Luxembourg S.A</t>
  </si>
  <si>
    <t>DNB Asset Management S.A.</t>
  </si>
  <si>
    <t>PineBridge US Research Enhanced Core Equity Fund</t>
  </si>
  <si>
    <t>Aberdeen Standard SICAV I - Asia Local Currency Short Term Bond Fund</t>
  </si>
  <si>
    <t>MDO Management Company S.A.</t>
  </si>
  <si>
    <t>Aberdeen Standard SICAV I - European Equity Fund</t>
  </si>
  <si>
    <t>Franklin U.S. Opportunities Fund</t>
  </si>
  <si>
    <t>Aberdeen Standard SICAV I - North American Equity Fund</t>
  </si>
  <si>
    <t>Kredietrust Luxembourg S.A</t>
  </si>
  <si>
    <t>Länsförsäkringar Mix</t>
  </si>
  <si>
    <t>IPConcept (Luxembourg) S.A</t>
  </si>
  <si>
    <t>Aberdeen Standard SICAV I- Select Emerging Markets Bond Fund</t>
  </si>
  <si>
    <t>Aberdeen Standard SICAV I - Japanese Equity Fund</t>
  </si>
  <si>
    <t>Aberdeen Standard SICAV I- Technology Equity Fund</t>
  </si>
  <si>
    <t>Aberdeen Standard SICAV I - European Equity (Ex UK) Fund</t>
  </si>
  <si>
    <t>Aberdeen Standard SICAV I - Select Euro High Yield Bond</t>
  </si>
  <si>
    <t>Danske Invest SICAV- Europe</t>
  </si>
  <si>
    <t>LU1891308998</t>
  </si>
  <si>
    <t>Placeringsfond Nordea Nordamerikanska Aktier</t>
  </si>
  <si>
    <t>SPP Global Solutions A</t>
  </si>
  <si>
    <t>Catella Småbolagsfond</t>
  </si>
  <si>
    <t>Placeringsfond Nordea Japan</t>
  </si>
  <si>
    <t>Placeringsfonden Evli Emerging Markets Credit</t>
  </si>
  <si>
    <t>AMF Räntefond Kort</t>
  </si>
  <si>
    <t>SPP Aktiefond Global A</t>
  </si>
  <si>
    <t>Placeringsfonden Evli Finland Select</t>
  </si>
  <si>
    <t>PLaceringsfonden Evli Likviditet</t>
  </si>
  <si>
    <t>Placeringsfonden Evli Short Corporate Bond</t>
  </si>
  <si>
    <t>Placeringsfonden Evli Corporate Bond</t>
  </si>
  <si>
    <t>Placeringsfonden Evli Nordic</t>
  </si>
  <si>
    <t>Placeringsfonden Evli High Yield</t>
  </si>
  <si>
    <t>Swedbank Robur Räntefond Kort</t>
  </si>
  <si>
    <t>SPP Grön Obligationsfond A</t>
  </si>
  <si>
    <t>Placeringsfonden Evli Europa</t>
  </si>
  <si>
    <t>Placeringsfonden Evli Global</t>
  </si>
  <si>
    <t>SPP Aktiefond Stabil A</t>
  </si>
  <si>
    <t>Handelsbanken Europa Index Criteria</t>
  </si>
  <si>
    <t>Handelsbanken  USA Index Criteria</t>
  </si>
  <si>
    <t>Nästa uppdatering: 2019-07-08</t>
  </si>
  <si>
    <t>Antal fondval och marknadsvärde i fonderna 2019-05-31</t>
  </si>
  <si>
    <t>Fondstatistik per 2019-05-31</t>
  </si>
  <si>
    <t>Nordea Realränta Placeringsfond</t>
  </si>
  <si>
    <t>Nordea Funds Ab</t>
  </si>
  <si>
    <t>Amundi Funds Emerging World Equity</t>
  </si>
  <si>
    <t>Franklin Templeton International Services S.à.r.l.</t>
  </si>
  <si>
    <t>Amundi Funds Japan Equity Value</t>
  </si>
  <si>
    <t>Baring Asset Management</t>
  </si>
  <si>
    <t>Amundi Funds Latin America Equity</t>
  </si>
  <si>
    <t>Amundi Funds SBI FM India Equity</t>
  </si>
  <si>
    <t>J.P. Morgan Asset Management (Europe) S.à.r.l.</t>
  </si>
  <si>
    <t>UBS (Lux) Bond Fund - Global Flexible (EUR hedged) P-acc</t>
  </si>
  <si>
    <t>Nordea Global Placeringsfond</t>
  </si>
  <si>
    <t>Nordea Småbolagsfond Norden Placeringsfond</t>
  </si>
  <si>
    <t>Amundi Funds Volatility World</t>
  </si>
  <si>
    <t>C WorldWide Healtcare Select</t>
  </si>
  <si>
    <t>SPP FRN Företagsobligationsfond</t>
  </si>
  <si>
    <t>Coeli  - Global Select Fund</t>
  </si>
  <si>
    <t>Nordea Ryssland Placeringsfond</t>
  </si>
  <si>
    <t>Nordea Indien Placeringsfond</t>
  </si>
  <si>
    <t>Nordea Fjärran Östern Placeringsfond</t>
  </si>
  <si>
    <t>Handelsbanken Långränta</t>
  </si>
  <si>
    <t>Carnegie Fonder Portfolio - Carnegie Corporate Bond</t>
  </si>
  <si>
    <t>Nordea Europa Placeringsfond</t>
  </si>
  <si>
    <t>Nordea Kina Placeringsfond</t>
  </si>
  <si>
    <t>UBS (Lux) Equity Fund-US Sustainable (USD) P-acc</t>
  </si>
  <si>
    <t>Fondita Sustainable Europe Placeringsfond</t>
  </si>
  <si>
    <t>Amundi Funds Global Equity Conservative</t>
  </si>
  <si>
    <t>Handelsbanken Nordiska Småbolag</t>
  </si>
  <si>
    <t>Handelsbanken Norden</t>
  </si>
  <si>
    <t>Nordea Stratega Ränta Placeringsfond</t>
  </si>
  <si>
    <t>Nordea Nordiska Länder Placeringsfond</t>
  </si>
  <si>
    <t>SEB Hållbarhetsfond Världen</t>
  </si>
  <si>
    <t>Amundi Funds Wells Fargo US Equity Mid Cap</t>
  </si>
  <si>
    <t>Handelsbanken Sverige</t>
  </si>
  <si>
    <t>Söderberg &amp; Partners Asset Management S.A.</t>
  </si>
  <si>
    <t>Handelsbanken Svenska Småbolag</t>
  </si>
  <si>
    <t>NN (L) Emerging Markets Enhanced Index Sustainable Equity</t>
  </si>
  <si>
    <t>Nordea Globala Tillväxtmarknader Placeringsfond</t>
  </si>
  <si>
    <t>Delphi Global A2</t>
  </si>
  <si>
    <t>NO0010817380</t>
  </si>
  <si>
    <t>Lundmark Aktiv Europa</t>
  </si>
  <si>
    <t>SE0001919143</t>
  </si>
  <si>
    <t>Lundmark &amp; Co Fondförvaltning AB</t>
  </si>
  <si>
    <t>INVL Russia TOP20 Subfund</t>
  </si>
  <si>
    <t>LTIF00000435</t>
  </si>
  <si>
    <t>INVL Asset Management, UAB</t>
  </si>
  <si>
    <t>LU0580531472</t>
  </si>
  <si>
    <t>LU0546916023</t>
  </si>
  <si>
    <t>INVL Emerging Europe ex Russia TOP20 Subfund</t>
  </si>
  <si>
    <t>LTIF00000443</t>
  </si>
  <si>
    <t>FI0008813191</t>
  </si>
  <si>
    <t>LU0562934264</t>
  </si>
  <si>
    <t>FI0008813381</t>
  </si>
  <si>
    <t>FI0008800321</t>
  </si>
  <si>
    <t>SE0000837346</t>
  </si>
  <si>
    <t>FI4000048962</t>
  </si>
  <si>
    <t>IE0004897173</t>
  </si>
  <si>
    <t>FI4000087903</t>
  </si>
  <si>
    <t>FI0008802855</t>
  </si>
  <si>
    <t>IE00B03Z0Q75</t>
  </si>
  <si>
    <t>LU0546916619</t>
  </si>
  <si>
    <t>SE0006453536</t>
  </si>
  <si>
    <t>SE0010520403</t>
  </si>
  <si>
    <t>LU0117881739</t>
  </si>
  <si>
    <t>LU0128473435</t>
  </si>
  <si>
    <t>SE0002729038</t>
  </si>
  <si>
    <t>LU0117896174</t>
  </si>
  <si>
    <t>FI4000122874</t>
  </si>
  <si>
    <t>IE0003893678</t>
  </si>
  <si>
    <t>FI0008803887</t>
  </si>
  <si>
    <t>LU0159041358</t>
  </si>
  <si>
    <t>FI0008800495</t>
  </si>
  <si>
    <t>FI0008801428</t>
  </si>
  <si>
    <t>SE0006993390</t>
  </si>
  <si>
    <t>DNB Fund - Private Equity</t>
  </si>
  <si>
    <t>LU0302296065</t>
  </si>
  <si>
    <t>SE0010739920</t>
  </si>
  <si>
    <t>SE0010441352</t>
  </si>
  <si>
    <t>DNB Fund - India</t>
  </si>
  <si>
    <t>LU0302237721</t>
  </si>
  <si>
    <t>IE0000268916</t>
  </si>
  <si>
    <t>SE0005624632</t>
  </si>
  <si>
    <t>SE0010739912</t>
  </si>
  <si>
    <t>DNB Fund - Global ESG</t>
  </si>
  <si>
    <t>LU0029375739</t>
  </si>
  <si>
    <t>NO0010062961</t>
  </si>
  <si>
    <t>SE0000777724</t>
  </si>
  <si>
    <t>LU0250172185</t>
  </si>
  <si>
    <t>SE0007413398</t>
  </si>
  <si>
    <t>LU0119216553</t>
  </si>
  <si>
    <t>SE0009580814</t>
  </si>
  <si>
    <t>SE0004518744</t>
  </si>
  <si>
    <t>SE0000810756</t>
  </si>
  <si>
    <t>LU1575998445</t>
  </si>
  <si>
    <t>FI0008801212</t>
  </si>
  <si>
    <t>SE0003395177</t>
  </si>
  <si>
    <t>LU0562934934</t>
  </si>
  <si>
    <t>SE0004211308</t>
  </si>
  <si>
    <t>LU0049785446</t>
  </si>
  <si>
    <t>FI4000024492</t>
  </si>
  <si>
    <t>LU0674580955</t>
  </si>
  <si>
    <t>INVL Baltic Fund</t>
  </si>
  <si>
    <t>LTIF00000096</t>
  </si>
  <si>
    <t>LU0033036590</t>
  </si>
  <si>
    <t>SE0005424256</t>
  </si>
  <si>
    <t>LU0346595837</t>
  </si>
  <si>
    <t>LU0370038167</t>
  </si>
  <si>
    <t>LU1368697873</t>
  </si>
  <si>
    <t>DNB Fund - Global Emerging Markets ESG</t>
  </si>
  <si>
    <t>LU0090738252</t>
  </si>
  <si>
    <t>LU0746413003</t>
  </si>
  <si>
    <t>SE0010547943</t>
  </si>
  <si>
    <t>SE0005506284</t>
  </si>
  <si>
    <t>SE0000984080</t>
  </si>
  <si>
    <t>SE0011336734</t>
  </si>
  <si>
    <t>LU0176901758</t>
  </si>
  <si>
    <t>SE0005188091</t>
  </si>
  <si>
    <t>IE0030354744</t>
  </si>
  <si>
    <t>SE0008092290</t>
  </si>
  <si>
    <t>SE0009161540</t>
  </si>
  <si>
    <t>LU0674581847</t>
  </si>
  <si>
    <t>SE0004841070</t>
  </si>
  <si>
    <t>LU0208853944</t>
  </si>
  <si>
    <t>LU0098994485</t>
  </si>
  <si>
    <t>SE0005619996</t>
  </si>
  <si>
    <t>LU0674582571</t>
  </si>
  <si>
    <t>INVL Emerging Europe Bond Subfund</t>
  </si>
  <si>
    <t>LTIF00000468</t>
  </si>
  <si>
    <t>Nästa uppdatering 2019-07-16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</si>
</sst>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4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8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8" fontId="24" fillId="2" borderId="10" xfId="2" applyNumberFormat="1" applyFont="1" applyFill="1" applyBorder="1" applyAlignment="1">
      <alignment horizontal="center"/>
    </xf>
    <xf numFmtId="168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43616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0.13770644102272844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43616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0.15528864288838529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43616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2.0389523216892469E-2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43616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583.66658812607409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43616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1253.8597933793001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349250</xdr:colOff>
          <xdr:row>15</xdr:row>
          <xdr:rowOff>44450</xdr:rowOff>
        </xdr:from>
        <xdr:to>
          <xdr:col>1</xdr:col>
          <xdr:colOff>717550</xdr:colOff>
          <xdr:row>16</xdr:row>
          <xdr:rowOff>158750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494950" y="335494"/>
          <a:ext cx="2062426" cy="8286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9128125" y="949325"/>
          <a:ext cx="1574801" cy="6572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15</xdr:row>
          <xdr:rowOff>25400</xdr:rowOff>
        </xdr:from>
        <xdr:to>
          <xdr:col>1</xdr:col>
          <xdr:colOff>527050</xdr:colOff>
          <xdr:row>16</xdr:row>
          <xdr:rowOff>139700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1097746" y="526676"/>
          <a:ext cx="1893608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310282" y="565897"/>
          <a:ext cx="1565275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168733</xdr:colOff>
      <xdr:row>40</xdr:row>
      <xdr:rowOff>9401</xdr:rowOff>
    </xdr:to>
    <xdr:pic>
      <xdr:nvPicPr>
        <xdr:cNvPr id="5" name="Bildobjekt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3529" y="1329765"/>
          <a:ext cx="9858086" cy="50296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784665" y="793937"/>
          <a:ext cx="1600200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740340" y="775447"/>
          <a:ext cx="2209800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422965" y="637054"/>
          <a:ext cx="1574800" cy="667684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784665" y="793937"/>
          <a:ext cx="1600200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313420" y="335915"/>
          <a:ext cx="1853565" cy="5365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8970" y="404495"/>
          <a:ext cx="1670050" cy="63436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63261" y="356394"/>
          <a:ext cx="1700529" cy="58467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675346" y="395007"/>
          <a:ext cx="1964391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08984375" defaultRowHeight="12.5" x14ac:dyDescent="0.25"/>
  <cols>
    <col min="1" max="1" width="4.6328125" style="58" customWidth="1"/>
    <col min="2" max="2" width="55.6328125" style="59" customWidth="1"/>
    <col min="3" max="3" width="4.6328125" style="58" customWidth="1"/>
    <col min="4" max="4" width="9.08984375" style="58"/>
    <col min="5" max="5" width="16.90625" style="58" customWidth="1"/>
    <col min="6" max="7" width="9.08984375" style="58"/>
    <col min="8" max="8" width="41.36328125" style="58" bestFit="1" customWidth="1"/>
    <col min="9" max="16384" width="9.08984375" style="58"/>
  </cols>
  <sheetData>
    <row r="2" spans="2:11" x14ac:dyDescent="0.25">
      <c r="B2" s="70"/>
    </row>
    <row r="3" spans="2:11" x14ac:dyDescent="0.25">
      <c r="B3" s="70"/>
    </row>
    <row r="4" spans="2:11" x14ac:dyDescent="0.25">
      <c r="B4" s="70"/>
    </row>
    <row r="5" spans="2:11" x14ac:dyDescent="0.25">
      <c r="B5" s="70"/>
    </row>
    <row r="6" spans="2:11" x14ac:dyDescent="0.25">
      <c r="B6" s="70"/>
    </row>
    <row r="7" spans="2:11" ht="13.5" x14ac:dyDescent="0.3">
      <c r="B7" s="71"/>
      <c r="C7" s="60"/>
      <c r="D7" s="60"/>
    </row>
    <row r="8" spans="2:11" ht="18" x14ac:dyDescent="0.4">
      <c r="B8" s="96" t="s">
        <v>122</v>
      </c>
      <c r="C8" s="60"/>
      <c r="D8" s="60"/>
    </row>
    <row r="9" spans="2:11" ht="13.5" x14ac:dyDescent="0.3">
      <c r="B9" s="71"/>
      <c r="C9" s="60"/>
      <c r="D9" s="60"/>
    </row>
    <row r="10" spans="2:11" ht="13.5" x14ac:dyDescent="0.3">
      <c r="B10" s="91" t="s">
        <v>87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5" x14ac:dyDescent="0.35">
      <c r="B11" s="92" t="s">
        <v>39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5" x14ac:dyDescent="0.3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3">
      <c r="B13" s="93" t="s">
        <v>99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3">
      <c r="B14" s="353" t="s">
        <v>36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3">
      <c r="B15" s="93" t="s">
        <v>114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3">
      <c r="B16" s="93" t="s">
        <v>37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3">
      <c r="B17" s="93" t="s">
        <v>38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3">
      <c r="B18" s="93" t="s">
        <v>105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3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3">
      <c r="B20" s="94" t="s">
        <v>101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3">
      <c r="B21" s="94" t="s">
        <v>56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3">
      <c r="B22" s="95" t="s">
        <v>35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3">
      <c r="B23" s="94" t="s">
        <v>23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3">
      <c r="B24" s="95"/>
      <c r="C24" s="61"/>
      <c r="D24" s="61"/>
      <c r="E24" s="62"/>
      <c r="F24" s="64"/>
    </row>
    <row r="25" spans="1:11" ht="13.5" x14ac:dyDescent="0.3">
      <c r="B25" s="289"/>
      <c r="C25" s="61"/>
      <c r="D25" s="61"/>
      <c r="E25" s="62"/>
      <c r="F25" s="64"/>
    </row>
    <row r="26" spans="1:11" ht="13.5" x14ac:dyDescent="0.3">
      <c r="B26" s="56"/>
      <c r="C26" s="61"/>
      <c r="D26" s="61"/>
      <c r="E26" s="62"/>
      <c r="F26" s="66"/>
    </row>
    <row r="27" spans="1:11" ht="13.5" x14ac:dyDescent="0.3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3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3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3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3">
      <c r="B31" s="56"/>
      <c r="C31" s="56"/>
      <c r="D31" s="56"/>
      <c r="E31" s="56"/>
      <c r="F31" s="56"/>
      <c r="G31" s="56"/>
      <c r="H31" s="56"/>
      <c r="I31" s="56"/>
    </row>
    <row r="32" spans="1:11" x14ac:dyDescent="0.25">
      <c r="F32" s="68"/>
    </row>
    <row r="33" spans="2:6" ht="13.5" x14ac:dyDescent="0.3">
      <c r="B33" s="56"/>
      <c r="F33" s="67"/>
    </row>
    <row r="34" spans="2:6" ht="13.5" x14ac:dyDescent="0.3">
      <c r="B34" s="56"/>
      <c r="C34" s="69"/>
    </row>
    <row r="35" spans="2:6" ht="13.5" x14ac:dyDescent="0.3">
      <c r="B35" s="56"/>
      <c r="C35" s="69"/>
    </row>
    <row r="36" spans="2:6" ht="13.5" x14ac:dyDescent="0.3">
      <c r="B36" s="56"/>
      <c r="C36" s="69"/>
    </row>
    <row r="37" spans="2:6" x14ac:dyDescent="0.25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08984375" defaultRowHeight="13" x14ac:dyDescent="0.3"/>
  <cols>
    <col min="1" max="1" width="17.6328125" style="18" bestFit="1" customWidth="1"/>
    <col min="2" max="2" width="60.36328125" style="11" bestFit="1" customWidth="1"/>
    <col min="3" max="3" width="13.36328125" style="12" customWidth="1"/>
    <col min="4" max="4" width="13.36328125" style="13" customWidth="1"/>
    <col min="5" max="5" width="16" style="12" customWidth="1"/>
    <col min="6" max="6" width="20.453125" style="14" customWidth="1"/>
    <col min="7" max="7" width="22.08984375" style="15" customWidth="1"/>
    <col min="8" max="8" width="20.453125" style="12" customWidth="1"/>
    <col min="9" max="9" width="15.36328125" style="12" customWidth="1"/>
    <col min="10" max="10" width="29.54296875" customWidth="1"/>
    <col min="11" max="11" width="18.6328125" style="7" customWidth="1"/>
    <col min="12" max="12" width="58" style="13" bestFit="1" customWidth="1"/>
    <col min="13" max="13" width="11.6328125" style="7" customWidth="1"/>
    <col min="14" max="14" width="10.36328125" style="7" bestFit="1" customWidth="1"/>
    <col min="15" max="15" width="52.453125" style="5" bestFit="1" customWidth="1"/>
    <col min="16" max="16" width="9.08984375" style="4"/>
    <col min="17" max="17" width="16.08984375" style="4" bestFit="1" customWidth="1"/>
    <col min="18" max="18" width="43.6328125" style="4" bestFit="1" customWidth="1"/>
    <col min="19" max="19" width="7.453125" style="4" bestFit="1" customWidth="1"/>
    <col min="20" max="20" width="47.453125" style="4" bestFit="1" customWidth="1"/>
    <col min="21" max="16384" width="9.08984375" style="4"/>
  </cols>
  <sheetData>
    <row r="1" spans="1:15" ht="12.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ht="12.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ht="12.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3">
      <c r="A4" s="10"/>
      <c r="B4" s="12"/>
      <c r="C4" s="13"/>
      <c r="D4" s="12"/>
      <c r="E4" s="14"/>
      <c r="F4" s="15"/>
      <c r="G4" s="16"/>
      <c r="H4" s="17"/>
      <c r="I4" s="17"/>
      <c r="N4" s="13"/>
      <c r="O4" s="343" t="s">
        <v>1144</v>
      </c>
    </row>
    <row r="5" spans="1:15" x14ac:dyDescent="0.3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3">
        <f>ROUND(SUM(H23:H1000)/1000000000,0)</f>
        <v>1254</v>
      </c>
    </row>
    <row r="6" spans="1:15" ht="16.5" customHeight="1" x14ac:dyDescent="0.4">
      <c r="A6" s="19" t="s">
        <v>1320</v>
      </c>
      <c r="B6" s="351"/>
      <c r="C6" s="13"/>
      <c r="D6" s="17"/>
      <c r="E6" s="17"/>
      <c r="F6" s="17"/>
      <c r="G6" s="17"/>
      <c r="H6" s="21"/>
      <c r="I6" s="21"/>
      <c r="K6" s="13"/>
      <c r="L6" s="7"/>
      <c r="N6" s="5"/>
      <c r="O6" s="344" t="s">
        <v>1145</v>
      </c>
    </row>
    <row r="7" spans="1:15" ht="16.5" customHeight="1" x14ac:dyDescent="0.3">
      <c r="A7" s="337" t="s">
        <v>1319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3">
      <c r="A8" s="22" t="s">
        <v>97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3">
      <c r="A9" s="22" t="s">
        <v>89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3">
      <c r="A10" s="22" t="str">
        <f>CONCATENATE(O4,O5,O6)</f>
        <v>Totalt marknadsvärde  1254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3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3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3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3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3">
      <c r="C15" s="342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3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3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3">
      <c r="A19" s="302" t="s">
        <v>659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3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3">
      <c r="A21" s="346"/>
      <c r="B21" s="312"/>
      <c r="C21" s="314"/>
      <c r="D21" s="313" t="s">
        <v>98</v>
      </c>
      <c r="E21" s="318"/>
      <c r="F21" s="319"/>
      <c r="G21" s="313" t="s">
        <v>61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3">
      <c r="A22" s="350" t="s">
        <v>72</v>
      </c>
      <c r="B22" s="323" t="s">
        <v>58</v>
      </c>
      <c r="C22" s="311" t="s">
        <v>63</v>
      </c>
      <c r="D22" s="310" t="s">
        <v>64</v>
      </c>
      <c r="E22" s="310" t="s">
        <v>65</v>
      </c>
      <c r="F22" s="310" t="s">
        <v>63</v>
      </c>
      <c r="G22" s="310" t="s">
        <v>64</v>
      </c>
      <c r="H22" s="391" t="s">
        <v>65</v>
      </c>
      <c r="I22" s="316" t="s">
        <v>658</v>
      </c>
      <c r="J22" s="322" t="s">
        <v>59</v>
      </c>
      <c r="K22" s="323" t="s">
        <v>66</v>
      </c>
      <c r="L22" s="321" t="s">
        <v>62</v>
      </c>
      <c r="M22" s="316" t="s">
        <v>57</v>
      </c>
      <c r="N22" s="325"/>
      <c r="O22" s="55"/>
    </row>
    <row r="23" spans="1:15" ht="12.75" customHeight="1" x14ac:dyDescent="0.25">
      <c r="A23" s="380">
        <v>1</v>
      </c>
      <c r="B23" t="s">
        <v>1257</v>
      </c>
      <c r="C23" s="352">
        <v>2123671</v>
      </c>
      <c r="D23" s="352">
        <v>2311059</v>
      </c>
      <c r="E23" s="352">
        <v>4434730</v>
      </c>
      <c r="F23" s="352">
        <v>229382135051</v>
      </c>
      <c r="G23" s="352">
        <v>284750873917</v>
      </c>
      <c r="H23" s="352">
        <v>514133008968</v>
      </c>
      <c r="I23" s="352"/>
      <c r="J23" t="s">
        <v>1258</v>
      </c>
      <c r="K23" t="s">
        <v>1259</v>
      </c>
      <c r="L23" t="s">
        <v>1260</v>
      </c>
      <c r="M23" t="s">
        <v>136</v>
      </c>
      <c r="N23" s="3"/>
      <c r="O23" s="4"/>
    </row>
    <row r="24" spans="1:15" ht="12.75" customHeight="1" x14ac:dyDescent="0.25">
      <c r="A24" s="380">
        <v>283408</v>
      </c>
      <c r="B24" t="s">
        <v>115</v>
      </c>
      <c r="C24" s="352">
        <v>140361</v>
      </c>
      <c r="D24" s="352">
        <v>155706</v>
      </c>
      <c r="E24" s="352">
        <v>296067</v>
      </c>
      <c r="F24" s="352">
        <v>12521170392</v>
      </c>
      <c r="G24" s="352">
        <v>17446978342</v>
      </c>
      <c r="H24" s="352">
        <v>29968148734</v>
      </c>
      <c r="I24" s="352">
        <v>138064493</v>
      </c>
      <c r="J24" t="s">
        <v>204</v>
      </c>
      <c r="K24" t="s">
        <v>1265</v>
      </c>
      <c r="L24" t="s">
        <v>147</v>
      </c>
      <c r="M24" t="s">
        <v>136</v>
      </c>
      <c r="N24" s="3"/>
      <c r="O24" s="4"/>
    </row>
    <row r="25" spans="1:15" ht="12.75" customHeight="1" x14ac:dyDescent="0.25">
      <c r="A25" s="380">
        <v>681783</v>
      </c>
      <c r="B25" t="s">
        <v>96</v>
      </c>
      <c r="C25" s="352">
        <v>103503</v>
      </c>
      <c r="D25" s="352">
        <v>108862</v>
      </c>
      <c r="E25" s="352">
        <v>212365</v>
      </c>
      <c r="F25" s="352">
        <v>8627387615</v>
      </c>
      <c r="G25" s="352">
        <v>11330941357</v>
      </c>
      <c r="H25" s="352">
        <v>19958328971</v>
      </c>
      <c r="I25" s="352">
        <v>42898156</v>
      </c>
      <c r="J25" t="s">
        <v>182</v>
      </c>
      <c r="K25" t="s">
        <v>1265</v>
      </c>
      <c r="L25" t="s">
        <v>144</v>
      </c>
      <c r="M25" t="s">
        <v>136</v>
      </c>
      <c r="N25" s="3"/>
      <c r="O25" s="4"/>
    </row>
    <row r="26" spans="1:15" ht="12.75" customHeight="1" x14ac:dyDescent="0.25">
      <c r="A26" s="380">
        <v>291906</v>
      </c>
      <c r="B26" t="s">
        <v>85</v>
      </c>
      <c r="C26" s="352">
        <v>101079</v>
      </c>
      <c r="D26" s="352">
        <v>109780</v>
      </c>
      <c r="E26" s="352">
        <v>210859</v>
      </c>
      <c r="F26" s="352">
        <v>9152602713</v>
      </c>
      <c r="G26" s="352">
        <v>11907570561</v>
      </c>
      <c r="H26" s="352">
        <v>21060173274</v>
      </c>
      <c r="I26" s="352">
        <v>89859776</v>
      </c>
      <c r="J26" t="s">
        <v>182</v>
      </c>
      <c r="K26" t="s">
        <v>1265</v>
      </c>
      <c r="L26" t="s">
        <v>258</v>
      </c>
      <c r="M26" t="s">
        <v>136</v>
      </c>
      <c r="N26" s="3"/>
      <c r="O26" s="4"/>
    </row>
    <row r="27" spans="1:15" ht="12.75" customHeight="1" x14ac:dyDescent="0.25">
      <c r="A27" s="380">
        <v>645952</v>
      </c>
      <c r="B27" t="s">
        <v>95</v>
      </c>
      <c r="C27" s="352">
        <v>96661</v>
      </c>
      <c r="D27" s="352">
        <v>98786</v>
      </c>
      <c r="E27" s="352">
        <v>195447</v>
      </c>
      <c r="F27" s="352">
        <v>7843986607</v>
      </c>
      <c r="G27" s="352">
        <v>10096811203</v>
      </c>
      <c r="H27" s="352">
        <v>17940797811</v>
      </c>
      <c r="I27" s="352">
        <v>44893166</v>
      </c>
      <c r="J27" t="s">
        <v>590</v>
      </c>
      <c r="K27" t="s">
        <v>1265</v>
      </c>
      <c r="L27" t="s">
        <v>144</v>
      </c>
      <c r="M27" t="s">
        <v>136</v>
      </c>
      <c r="N27" s="2"/>
      <c r="O27" s="4"/>
    </row>
    <row r="28" spans="1:15" ht="12.75" customHeight="1" x14ac:dyDescent="0.25">
      <c r="A28" s="380">
        <v>719674</v>
      </c>
      <c r="B28" t="s">
        <v>521</v>
      </c>
      <c r="C28" s="352">
        <v>85267</v>
      </c>
      <c r="D28" s="352">
        <v>75251</v>
      </c>
      <c r="E28" s="352">
        <v>160518</v>
      </c>
      <c r="F28" s="352">
        <v>5651372114</v>
      </c>
      <c r="G28" s="352">
        <v>6062435060</v>
      </c>
      <c r="H28" s="352">
        <v>11713807173</v>
      </c>
      <c r="I28" s="352">
        <v>10564130</v>
      </c>
      <c r="J28" t="s">
        <v>182</v>
      </c>
      <c r="K28" t="s">
        <v>1265</v>
      </c>
      <c r="L28" t="s">
        <v>147</v>
      </c>
      <c r="M28" t="s">
        <v>136</v>
      </c>
      <c r="N28" s="2"/>
      <c r="O28" s="4"/>
    </row>
    <row r="29" spans="1:15" ht="12.75" customHeight="1" x14ac:dyDescent="0.25">
      <c r="A29" s="380">
        <v>785022</v>
      </c>
      <c r="B29" t="s">
        <v>49</v>
      </c>
      <c r="C29" s="352">
        <v>83632</v>
      </c>
      <c r="D29" s="352">
        <v>72028</v>
      </c>
      <c r="E29" s="352">
        <v>155660</v>
      </c>
      <c r="F29" s="352">
        <v>8155641286</v>
      </c>
      <c r="G29" s="352">
        <v>8501206226</v>
      </c>
      <c r="H29" s="352">
        <v>16656847512</v>
      </c>
      <c r="I29" s="352">
        <v>61373854</v>
      </c>
      <c r="J29" t="s">
        <v>590</v>
      </c>
      <c r="K29" t="s">
        <v>1265</v>
      </c>
      <c r="L29" t="s">
        <v>147</v>
      </c>
      <c r="M29" t="s">
        <v>136</v>
      </c>
      <c r="N29" s="2"/>
      <c r="O29" s="4"/>
    </row>
    <row r="30" spans="1:15" ht="12.75" customHeight="1" x14ac:dyDescent="0.25">
      <c r="A30" s="380">
        <v>581371</v>
      </c>
      <c r="B30" t="s">
        <v>153</v>
      </c>
      <c r="C30" s="352">
        <v>56947</v>
      </c>
      <c r="D30" s="352">
        <v>83934</v>
      </c>
      <c r="E30" s="352">
        <v>140881</v>
      </c>
      <c r="F30" s="352">
        <v>7811636373</v>
      </c>
      <c r="G30" s="352">
        <v>12650522890</v>
      </c>
      <c r="H30" s="352">
        <v>20462159263</v>
      </c>
      <c r="I30" s="352">
        <v>6475231923</v>
      </c>
      <c r="J30" t="s">
        <v>154</v>
      </c>
      <c r="K30" t="s">
        <v>1265</v>
      </c>
      <c r="L30" t="s">
        <v>141</v>
      </c>
      <c r="M30" t="s">
        <v>136</v>
      </c>
      <c r="N30" s="2"/>
      <c r="O30" s="4"/>
    </row>
    <row r="31" spans="1:15" ht="12.75" customHeight="1" x14ac:dyDescent="0.25">
      <c r="A31" s="380">
        <v>114819</v>
      </c>
      <c r="B31" t="s">
        <v>529</v>
      </c>
      <c r="C31" s="352">
        <v>69397</v>
      </c>
      <c r="D31" s="352">
        <v>61018</v>
      </c>
      <c r="E31" s="352">
        <v>130415</v>
      </c>
      <c r="F31" s="352">
        <v>5414363611</v>
      </c>
      <c r="G31" s="352">
        <v>5795860445</v>
      </c>
      <c r="H31" s="352">
        <v>11210224056</v>
      </c>
      <c r="I31" s="352">
        <v>545381442</v>
      </c>
      <c r="J31" t="s">
        <v>154</v>
      </c>
      <c r="K31" t="s">
        <v>1265</v>
      </c>
      <c r="L31" t="s">
        <v>147</v>
      </c>
      <c r="M31" t="s">
        <v>136</v>
      </c>
      <c r="N31" s="2"/>
      <c r="O31" s="4"/>
    </row>
    <row r="32" spans="1:15" ht="12.75" customHeight="1" x14ac:dyDescent="0.25">
      <c r="A32" s="380">
        <v>747899</v>
      </c>
      <c r="B32" t="s">
        <v>47</v>
      </c>
      <c r="C32" s="352">
        <v>64346</v>
      </c>
      <c r="D32" s="352">
        <v>63808</v>
      </c>
      <c r="E32" s="352">
        <v>128154</v>
      </c>
      <c r="F32" s="352">
        <v>11105221815</v>
      </c>
      <c r="G32" s="352">
        <v>13510524238</v>
      </c>
      <c r="H32" s="352">
        <v>24615746053</v>
      </c>
      <c r="I32" s="352">
        <v>60422853</v>
      </c>
      <c r="J32" t="s">
        <v>586</v>
      </c>
      <c r="K32" t="s">
        <v>1259</v>
      </c>
      <c r="L32" t="s">
        <v>147</v>
      </c>
      <c r="M32" t="s">
        <v>136</v>
      </c>
      <c r="N32" s="2"/>
      <c r="O32" s="4"/>
    </row>
    <row r="33" spans="1:15" ht="12.75" customHeight="1" x14ac:dyDescent="0.25">
      <c r="A33" s="380">
        <v>783720</v>
      </c>
      <c r="B33" t="s">
        <v>48</v>
      </c>
      <c r="C33" s="352">
        <v>65893</v>
      </c>
      <c r="D33" s="352">
        <v>50846</v>
      </c>
      <c r="E33" s="352">
        <v>116739</v>
      </c>
      <c r="F33" s="352">
        <v>11997541400</v>
      </c>
      <c r="G33" s="352">
        <v>10860717810</v>
      </c>
      <c r="H33" s="352">
        <v>22858259210</v>
      </c>
      <c r="I33" s="352">
        <v>125833429</v>
      </c>
      <c r="J33" t="s">
        <v>586</v>
      </c>
      <c r="K33" t="s">
        <v>1259</v>
      </c>
      <c r="L33" t="s">
        <v>147</v>
      </c>
      <c r="M33" t="s">
        <v>136</v>
      </c>
      <c r="N33" s="2"/>
      <c r="O33" s="4"/>
    </row>
    <row r="34" spans="1:15" ht="12.75" customHeight="1" x14ac:dyDescent="0.25">
      <c r="A34" s="380">
        <v>928341</v>
      </c>
      <c r="B34" t="s">
        <v>50</v>
      </c>
      <c r="C34" s="352">
        <v>57552</v>
      </c>
      <c r="D34" s="352">
        <v>54101</v>
      </c>
      <c r="E34" s="352">
        <v>111653</v>
      </c>
      <c r="F34" s="352">
        <v>2948189371</v>
      </c>
      <c r="G34" s="352">
        <v>3548097936</v>
      </c>
      <c r="H34" s="352">
        <v>6496287306</v>
      </c>
      <c r="I34" s="352">
        <v>27034088</v>
      </c>
      <c r="J34" t="s">
        <v>612</v>
      </c>
      <c r="K34" t="s">
        <v>1265</v>
      </c>
      <c r="L34" t="s">
        <v>147</v>
      </c>
      <c r="M34" t="s">
        <v>136</v>
      </c>
      <c r="N34" s="2"/>
      <c r="O34" s="4"/>
    </row>
    <row r="35" spans="1:15" ht="12.75" customHeight="1" x14ac:dyDescent="0.25">
      <c r="A35" s="380">
        <v>610121</v>
      </c>
      <c r="B35" t="s">
        <v>94</v>
      </c>
      <c r="C35" s="352">
        <v>57601</v>
      </c>
      <c r="D35" s="352">
        <v>51969</v>
      </c>
      <c r="E35" s="352">
        <v>109570</v>
      </c>
      <c r="F35" s="352">
        <v>4117975393</v>
      </c>
      <c r="G35" s="352">
        <v>4654386665</v>
      </c>
      <c r="H35" s="352">
        <v>8772362058</v>
      </c>
      <c r="I35" s="352">
        <v>46353338</v>
      </c>
      <c r="J35" t="s">
        <v>588</v>
      </c>
      <c r="K35" t="s">
        <v>1262</v>
      </c>
      <c r="L35" t="s">
        <v>144</v>
      </c>
      <c r="M35" t="s">
        <v>136</v>
      </c>
      <c r="N35" s="2"/>
      <c r="O35" s="4"/>
    </row>
    <row r="36" spans="1:15" ht="12.75" customHeight="1" x14ac:dyDescent="0.25">
      <c r="A36" s="380">
        <v>677534</v>
      </c>
      <c r="B36" t="s">
        <v>559</v>
      </c>
      <c r="C36" s="352">
        <v>53520</v>
      </c>
      <c r="D36" s="352">
        <v>41612</v>
      </c>
      <c r="E36" s="352">
        <v>95132</v>
      </c>
      <c r="F36" s="352">
        <v>2051374313</v>
      </c>
      <c r="G36" s="352">
        <v>1956292664</v>
      </c>
      <c r="H36" s="352">
        <v>4007666977</v>
      </c>
      <c r="I36" s="352">
        <v>31009618</v>
      </c>
      <c r="J36" t="s">
        <v>601</v>
      </c>
      <c r="K36" t="s">
        <v>1266</v>
      </c>
      <c r="L36" t="s">
        <v>147</v>
      </c>
      <c r="M36" t="s">
        <v>136</v>
      </c>
      <c r="N36" s="2"/>
      <c r="O36" s="4"/>
    </row>
    <row r="37" spans="1:15" ht="12.75" customHeight="1" x14ac:dyDescent="0.25">
      <c r="A37" s="380">
        <v>463141</v>
      </c>
      <c r="B37" t="s">
        <v>196</v>
      </c>
      <c r="C37" s="352">
        <v>50725</v>
      </c>
      <c r="D37" s="352">
        <v>40650</v>
      </c>
      <c r="E37" s="352">
        <v>91375</v>
      </c>
      <c r="F37" s="352">
        <v>6338541011</v>
      </c>
      <c r="G37" s="352">
        <v>6117011799</v>
      </c>
      <c r="H37" s="352">
        <v>12455552811</v>
      </c>
      <c r="I37" s="352">
        <v>50325419</v>
      </c>
      <c r="J37" t="s">
        <v>586</v>
      </c>
      <c r="K37" t="s">
        <v>1259</v>
      </c>
      <c r="L37" t="s">
        <v>152</v>
      </c>
      <c r="M37" t="s">
        <v>136</v>
      </c>
      <c r="N37" s="2"/>
      <c r="O37" s="4"/>
    </row>
    <row r="38" spans="1:15" ht="12.75" customHeight="1" x14ac:dyDescent="0.25">
      <c r="A38" s="380">
        <v>755504</v>
      </c>
      <c r="B38" t="s">
        <v>524</v>
      </c>
      <c r="C38" s="352">
        <v>46154</v>
      </c>
      <c r="D38" s="352">
        <v>43414</v>
      </c>
      <c r="E38" s="352">
        <v>89568</v>
      </c>
      <c r="F38" s="352">
        <v>2062087478</v>
      </c>
      <c r="G38" s="352">
        <v>2312564906</v>
      </c>
      <c r="H38" s="352">
        <v>4374652385</v>
      </c>
      <c r="I38" s="352">
        <v>-32562468</v>
      </c>
      <c r="J38" t="s">
        <v>178</v>
      </c>
      <c r="K38" t="s">
        <v>1265</v>
      </c>
      <c r="L38" t="s">
        <v>147</v>
      </c>
      <c r="M38" t="s">
        <v>136</v>
      </c>
      <c r="N38" s="2"/>
      <c r="O38" s="4"/>
    </row>
    <row r="39" spans="1:15" ht="12.75" customHeight="1" x14ac:dyDescent="0.25">
      <c r="A39" s="380">
        <v>212332</v>
      </c>
      <c r="B39" t="s">
        <v>174</v>
      </c>
      <c r="C39" s="352">
        <v>41321</v>
      </c>
      <c r="D39" s="352">
        <v>44697</v>
      </c>
      <c r="E39" s="352">
        <v>86018</v>
      </c>
      <c r="F39" s="352">
        <v>2850603120</v>
      </c>
      <c r="G39" s="352">
        <v>3739804340</v>
      </c>
      <c r="H39" s="352">
        <v>6590407461</v>
      </c>
      <c r="I39" s="352">
        <v>19736201</v>
      </c>
      <c r="J39" t="s">
        <v>182</v>
      </c>
      <c r="K39" t="s">
        <v>1265</v>
      </c>
      <c r="L39" t="s">
        <v>152</v>
      </c>
      <c r="M39" t="s">
        <v>136</v>
      </c>
      <c r="N39" s="2"/>
      <c r="O39" s="4"/>
    </row>
    <row r="40" spans="1:15" ht="12.75" customHeight="1" x14ac:dyDescent="0.25">
      <c r="A40" s="380">
        <v>313155</v>
      </c>
      <c r="B40" t="s">
        <v>1335</v>
      </c>
      <c r="C40" s="352">
        <v>42638</v>
      </c>
      <c r="D40" s="352">
        <v>41341</v>
      </c>
      <c r="E40" s="352">
        <v>83979</v>
      </c>
      <c r="F40" s="352">
        <v>2341462439</v>
      </c>
      <c r="G40" s="352">
        <v>2721747528</v>
      </c>
      <c r="H40" s="352">
        <v>5063209967</v>
      </c>
      <c r="I40" s="352">
        <v>522674920</v>
      </c>
      <c r="J40" t="s">
        <v>612</v>
      </c>
      <c r="K40" t="s">
        <v>1265</v>
      </c>
      <c r="L40" t="s">
        <v>1270</v>
      </c>
      <c r="M40" t="s">
        <v>57</v>
      </c>
      <c r="N40" s="2"/>
      <c r="O40" s="4"/>
    </row>
    <row r="41" spans="1:15" ht="12.75" customHeight="1" x14ac:dyDescent="0.25">
      <c r="A41" s="380">
        <v>896761</v>
      </c>
      <c r="B41" t="s">
        <v>242</v>
      </c>
      <c r="C41" s="352">
        <v>41515</v>
      </c>
      <c r="D41" s="352">
        <v>41827</v>
      </c>
      <c r="E41" s="352">
        <v>83342</v>
      </c>
      <c r="F41" s="352">
        <v>2638079231</v>
      </c>
      <c r="G41" s="352">
        <v>3260219847</v>
      </c>
      <c r="H41" s="352">
        <v>5898299078</v>
      </c>
      <c r="I41" s="352">
        <v>2507943972</v>
      </c>
      <c r="J41" t="s">
        <v>607</v>
      </c>
      <c r="K41" t="s">
        <v>1265</v>
      </c>
      <c r="L41" t="s">
        <v>147</v>
      </c>
      <c r="M41" t="s">
        <v>136</v>
      </c>
      <c r="N41" s="2"/>
      <c r="O41" s="4"/>
    </row>
    <row r="42" spans="1:15" ht="12.75" customHeight="1" x14ac:dyDescent="0.25">
      <c r="A42" s="380">
        <v>359315</v>
      </c>
      <c r="B42" t="s">
        <v>117</v>
      </c>
      <c r="C42" s="352">
        <v>45641</v>
      </c>
      <c r="D42" s="352">
        <v>36300</v>
      </c>
      <c r="E42" s="352">
        <v>81941</v>
      </c>
      <c r="F42" s="352">
        <v>10111060177</v>
      </c>
      <c r="G42" s="352">
        <v>9444467816</v>
      </c>
      <c r="H42" s="352">
        <v>19555527993</v>
      </c>
      <c r="I42" s="352">
        <v>202148211</v>
      </c>
      <c r="J42" t="s">
        <v>586</v>
      </c>
      <c r="K42" t="s">
        <v>1259</v>
      </c>
      <c r="L42" t="s">
        <v>1323</v>
      </c>
      <c r="M42" t="s">
        <v>136</v>
      </c>
      <c r="N42" s="2"/>
      <c r="O42" s="4"/>
    </row>
    <row r="43" spans="1:15" ht="12.75" customHeight="1" x14ac:dyDescent="0.25">
      <c r="A43" s="380">
        <v>734491</v>
      </c>
      <c r="B43" t="s">
        <v>137</v>
      </c>
      <c r="C43" s="352">
        <v>30778</v>
      </c>
      <c r="D43" s="352">
        <v>51157</v>
      </c>
      <c r="E43" s="352">
        <v>81935</v>
      </c>
      <c r="F43" s="352">
        <v>2193880758</v>
      </c>
      <c r="G43" s="352">
        <v>4285669147</v>
      </c>
      <c r="H43" s="352">
        <v>6479549905</v>
      </c>
      <c r="I43" s="352">
        <v>37641320</v>
      </c>
      <c r="J43" t="s">
        <v>182</v>
      </c>
      <c r="K43" t="s">
        <v>1265</v>
      </c>
      <c r="L43" t="s">
        <v>138</v>
      </c>
      <c r="M43" t="s">
        <v>136</v>
      </c>
      <c r="N43" s="2"/>
      <c r="O43" s="4"/>
    </row>
    <row r="44" spans="1:15" ht="12.75" customHeight="1" x14ac:dyDescent="0.25">
      <c r="A44" s="380">
        <v>271478</v>
      </c>
      <c r="B44" t="s">
        <v>562</v>
      </c>
      <c r="C44" s="352">
        <v>41841</v>
      </c>
      <c r="D44" s="352">
        <v>39375</v>
      </c>
      <c r="E44" s="352">
        <v>81216</v>
      </c>
      <c r="F44" s="352">
        <v>7242747343</v>
      </c>
      <c r="G44" s="352">
        <v>8662367168</v>
      </c>
      <c r="H44" s="352">
        <v>15905114512</v>
      </c>
      <c r="I44" s="352">
        <v>241135852</v>
      </c>
      <c r="J44" t="s">
        <v>590</v>
      </c>
      <c r="K44" t="s">
        <v>1265</v>
      </c>
      <c r="L44" t="s">
        <v>563</v>
      </c>
      <c r="M44" t="s">
        <v>136</v>
      </c>
      <c r="N44" s="2"/>
      <c r="O44" s="4"/>
    </row>
    <row r="45" spans="1:15" ht="12.75" customHeight="1" x14ac:dyDescent="0.25">
      <c r="A45" s="380">
        <v>307306</v>
      </c>
      <c r="B45" t="s">
        <v>567</v>
      </c>
      <c r="C45" s="352">
        <v>41902</v>
      </c>
      <c r="D45" s="352">
        <v>39271</v>
      </c>
      <c r="E45" s="352">
        <v>81173</v>
      </c>
      <c r="F45" s="352">
        <v>1808666276</v>
      </c>
      <c r="G45" s="352">
        <v>1882383664</v>
      </c>
      <c r="H45" s="352">
        <v>3691049940</v>
      </c>
      <c r="I45" s="352">
        <v>87076201</v>
      </c>
      <c r="J45" t="s">
        <v>588</v>
      </c>
      <c r="K45" t="s">
        <v>1262</v>
      </c>
      <c r="L45" t="s">
        <v>563</v>
      </c>
      <c r="M45" t="s">
        <v>136</v>
      </c>
      <c r="N45" s="2"/>
      <c r="O45" s="4"/>
    </row>
    <row r="46" spans="1:15" ht="12.75" customHeight="1" x14ac:dyDescent="0.25">
      <c r="A46" s="380">
        <v>976928</v>
      </c>
      <c r="B46" t="s">
        <v>186</v>
      </c>
      <c r="C46" s="352">
        <v>40031</v>
      </c>
      <c r="D46" s="352">
        <v>41075</v>
      </c>
      <c r="E46" s="352">
        <v>81106</v>
      </c>
      <c r="F46" s="352">
        <v>3389285950</v>
      </c>
      <c r="G46" s="352">
        <v>4422962533</v>
      </c>
      <c r="H46" s="352">
        <v>7812248483</v>
      </c>
      <c r="I46" s="352">
        <v>6022937</v>
      </c>
      <c r="J46" t="s">
        <v>182</v>
      </c>
      <c r="K46" t="s">
        <v>1265</v>
      </c>
      <c r="L46" t="s">
        <v>147</v>
      </c>
      <c r="M46" t="s">
        <v>136</v>
      </c>
      <c r="N46" s="2"/>
      <c r="O46" s="4"/>
    </row>
    <row r="47" spans="1:15" ht="12.75" customHeight="1" x14ac:dyDescent="0.25">
      <c r="A47" s="380">
        <v>964767</v>
      </c>
      <c r="B47" t="s">
        <v>624</v>
      </c>
      <c r="C47" s="352">
        <v>40359</v>
      </c>
      <c r="D47" s="352">
        <v>38876</v>
      </c>
      <c r="E47" s="352">
        <v>79235</v>
      </c>
      <c r="F47" s="352">
        <v>2780234593</v>
      </c>
      <c r="G47" s="352">
        <v>3230674812</v>
      </c>
      <c r="H47" s="352">
        <v>6010909405</v>
      </c>
      <c r="I47" s="352">
        <v>41563665</v>
      </c>
      <c r="J47" t="s">
        <v>154</v>
      </c>
      <c r="K47" t="s">
        <v>1265</v>
      </c>
      <c r="L47" t="s">
        <v>1269</v>
      </c>
      <c r="M47" t="s">
        <v>136</v>
      </c>
      <c r="N47" s="2"/>
      <c r="O47" s="4"/>
    </row>
    <row r="48" spans="1:15" ht="12.75" customHeight="1" x14ac:dyDescent="0.25">
      <c r="A48" s="380">
        <v>287656</v>
      </c>
      <c r="B48" t="s">
        <v>200</v>
      </c>
      <c r="C48" s="352">
        <v>43222</v>
      </c>
      <c r="D48" s="352">
        <v>35659</v>
      </c>
      <c r="E48" s="352">
        <v>78881</v>
      </c>
      <c r="F48" s="352">
        <v>8195549655</v>
      </c>
      <c r="G48" s="352">
        <v>7943859960</v>
      </c>
      <c r="H48" s="352">
        <v>16139409616</v>
      </c>
      <c r="I48" s="352">
        <v>132671408</v>
      </c>
      <c r="J48" t="s">
        <v>586</v>
      </c>
      <c r="K48" t="s">
        <v>1259</v>
      </c>
      <c r="L48" t="s">
        <v>1323</v>
      </c>
      <c r="M48" t="s">
        <v>136</v>
      </c>
      <c r="N48" s="2"/>
      <c r="O48" s="4"/>
    </row>
    <row r="49" spans="1:15" ht="12.75" customHeight="1" x14ac:dyDescent="0.25">
      <c r="A49" s="380">
        <v>978981</v>
      </c>
      <c r="B49" t="s">
        <v>522</v>
      </c>
      <c r="C49" s="352">
        <v>32589</v>
      </c>
      <c r="D49" s="352">
        <v>42717</v>
      </c>
      <c r="E49" s="352">
        <v>75306</v>
      </c>
      <c r="F49" s="352">
        <v>1580977013</v>
      </c>
      <c r="G49" s="352">
        <v>2605552543</v>
      </c>
      <c r="H49" s="352">
        <v>4186529555</v>
      </c>
      <c r="I49" s="352">
        <v>4003372</v>
      </c>
      <c r="J49" t="s">
        <v>609</v>
      </c>
      <c r="K49" t="s">
        <v>1265</v>
      </c>
      <c r="L49" t="s">
        <v>147</v>
      </c>
      <c r="M49" t="s">
        <v>136</v>
      </c>
      <c r="N49" s="2"/>
      <c r="O49" s="4"/>
    </row>
    <row r="50" spans="1:15" ht="12.75" customHeight="1" x14ac:dyDescent="0.25">
      <c r="A50" s="380">
        <v>941096</v>
      </c>
      <c r="B50" t="s">
        <v>187</v>
      </c>
      <c r="C50" s="352">
        <v>36695</v>
      </c>
      <c r="D50" s="352">
        <v>35829</v>
      </c>
      <c r="E50" s="352">
        <v>72524</v>
      </c>
      <c r="F50" s="352">
        <v>2691030335</v>
      </c>
      <c r="G50" s="352">
        <v>3265127010</v>
      </c>
      <c r="H50" s="352">
        <v>5956157345</v>
      </c>
      <c r="I50" s="352">
        <v>15473535</v>
      </c>
      <c r="J50" t="s">
        <v>154</v>
      </c>
      <c r="K50" t="s">
        <v>1265</v>
      </c>
      <c r="L50" t="s">
        <v>147</v>
      </c>
      <c r="M50" t="s">
        <v>136</v>
      </c>
      <c r="N50" s="2"/>
      <c r="O50" s="4"/>
    </row>
    <row r="51" spans="1:15" ht="12.75" customHeight="1" x14ac:dyDescent="0.25">
      <c r="A51" s="380">
        <v>427310</v>
      </c>
      <c r="B51" t="s">
        <v>195</v>
      </c>
      <c r="C51" s="352">
        <v>37900</v>
      </c>
      <c r="D51" s="352">
        <v>34225</v>
      </c>
      <c r="E51" s="352">
        <v>72125</v>
      </c>
      <c r="F51" s="352">
        <v>4066368512</v>
      </c>
      <c r="G51" s="352">
        <v>4447512954</v>
      </c>
      <c r="H51" s="352">
        <v>8513881466</v>
      </c>
      <c r="I51" s="352">
        <v>37089152</v>
      </c>
      <c r="J51" t="s">
        <v>139</v>
      </c>
      <c r="K51" t="s">
        <v>1259</v>
      </c>
      <c r="L51" t="s">
        <v>152</v>
      </c>
      <c r="M51" t="s">
        <v>136</v>
      </c>
      <c r="N51" s="2"/>
      <c r="O51" s="4"/>
    </row>
    <row r="52" spans="1:15" ht="12.75" customHeight="1" x14ac:dyDescent="0.25">
      <c r="A52" s="380">
        <v>391482</v>
      </c>
      <c r="B52" t="s">
        <v>194</v>
      </c>
      <c r="C52" s="352">
        <v>37282</v>
      </c>
      <c r="D52" s="352">
        <v>34039</v>
      </c>
      <c r="E52" s="352">
        <v>71321</v>
      </c>
      <c r="F52" s="352">
        <v>1225209157</v>
      </c>
      <c r="G52" s="352">
        <v>1434077623</v>
      </c>
      <c r="H52" s="352">
        <v>2659286781</v>
      </c>
      <c r="I52" s="352">
        <v>23955936</v>
      </c>
      <c r="J52" t="s">
        <v>139</v>
      </c>
      <c r="K52" t="s">
        <v>1259</v>
      </c>
      <c r="L52" t="s">
        <v>152</v>
      </c>
      <c r="M52" t="s">
        <v>136</v>
      </c>
      <c r="N52" s="2"/>
      <c r="O52" s="4"/>
    </row>
    <row r="53" spans="1:15" s="135" customFormat="1" ht="12.75" customHeight="1" x14ac:dyDescent="0.25">
      <c r="A53" s="380">
        <v>229922</v>
      </c>
      <c r="B53" t="s">
        <v>16</v>
      </c>
      <c r="C53" s="352">
        <v>34851</v>
      </c>
      <c r="D53" s="352">
        <v>34924</v>
      </c>
      <c r="E53" s="352">
        <v>69775</v>
      </c>
      <c r="F53" s="352">
        <v>2257880385</v>
      </c>
      <c r="G53" s="352">
        <v>2762899922</v>
      </c>
      <c r="H53" s="352">
        <v>5020780307</v>
      </c>
      <c r="I53" s="352">
        <v>32861949</v>
      </c>
      <c r="J53" t="s">
        <v>612</v>
      </c>
      <c r="K53" t="s">
        <v>1265</v>
      </c>
      <c r="L53" t="s">
        <v>173</v>
      </c>
      <c r="M53" t="s">
        <v>136</v>
      </c>
      <c r="N53" s="20"/>
    </row>
    <row r="54" spans="1:15" ht="12.75" customHeight="1" x14ac:dyDescent="0.25">
      <c r="A54" s="380">
        <v>248161</v>
      </c>
      <c r="B54" t="s">
        <v>171</v>
      </c>
      <c r="C54" s="352">
        <v>29461</v>
      </c>
      <c r="D54" s="352">
        <v>39536</v>
      </c>
      <c r="E54" s="352">
        <v>68997</v>
      </c>
      <c r="F54" s="352">
        <v>2295776381</v>
      </c>
      <c r="G54" s="352">
        <v>3636303872</v>
      </c>
      <c r="H54" s="352">
        <v>5932080252</v>
      </c>
      <c r="I54" s="352">
        <v>68910422</v>
      </c>
      <c r="J54" t="s">
        <v>608</v>
      </c>
      <c r="K54" t="s">
        <v>1265</v>
      </c>
      <c r="L54" t="s">
        <v>152</v>
      </c>
      <c r="M54" t="s">
        <v>136</v>
      </c>
      <c r="N54" s="2"/>
      <c r="O54" s="4"/>
    </row>
    <row r="55" spans="1:15" ht="12.75" customHeight="1" x14ac:dyDescent="0.25">
      <c r="A55" s="380">
        <v>430975</v>
      </c>
      <c r="B55" t="s">
        <v>199</v>
      </c>
      <c r="C55" s="352">
        <v>39508</v>
      </c>
      <c r="D55" s="352">
        <v>29443</v>
      </c>
      <c r="E55" s="352">
        <v>68951</v>
      </c>
      <c r="F55" s="352">
        <v>7080962578</v>
      </c>
      <c r="G55" s="352">
        <v>6059988168</v>
      </c>
      <c r="H55" s="352">
        <v>13140950746</v>
      </c>
      <c r="I55" s="352">
        <v>109708477</v>
      </c>
      <c r="J55" t="s">
        <v>139</v>
      </c>
      <c r="K55" t="s">
        <v>1259</v>
      </c>
      <c r="L55" t="s">
        <v>1323</v>
      </c>
      <c r="M55" t="s">
        <v>136</v>
      </c>
      <c r="N55" s="2"/>
      <c r="O55" s="4"/>
    </row>
    <row r="56" spans="1:15" ht="12.75" customHeight="1" x14ac:dyDescent="0.25">
      <c r="A56" s="380">
        <v>498972</v>
      </c>
      <c r="B56" t="s">
        <v>197</v>
      </c>
      <c r="C56" s="352">
        <v>37705</v>
      </c>
      <c r="D56" s="352">
        <v>27100</v>
      </c>
      <c r="E56" s="352">
        <v>64805</v>
      </c>
      <c r="F56" s="352">
        <v>4251050888</v>
      </c>
      <c r="G56" s="352">
        <v>3586517475</v>
      </c>
      <c r="H56" s="352">
        <v>7837568363</v>
      </c>
      <c r="I56" s="352">
        <v>21612170</v>
      </c>
      <c r="J56" t="s">
        <v>586</v>
      </c>
      <c r="K56" t="s">
        <v>1259</v>
      </c>
      <c r="L56" t="s">
        <v>152</v>
      </c>
      <c r="M56" t="s">
        <v>136</v>
      </c>
      <c r="N56" s="2"/>
      <c r="O56" s="4"/>
    </row>
    <row r="57" spans="1:15" ht="12.75" customHeight="1" x14ac:dyDescent="0.25">
      <c r="A57" s="380">
        <v>140673</v>
      </c>
      <c r="B57" t="s">
        <v>165</v>
      </c>
      <c r="C57" s="352">
        <v>31391</v>
      </c>
      <c r="D57" s="352">
        <v>32189</v>
      </c>
      <c r="E57" s="352">
        <v>63580</v>
      </c>
      <c r="F57" s="352">
        <v>1332423952</v>
      </c>
      <c r="G57" s="352">
        <v>1635339238</v>
      </c>
      <c r="H57" s="352">
        <v>2967763190</v>
      </c>
      <c r="I57" s="352">
        <v>82390518</v>
      </c>
      <c r="J57" t="s">
        <v>178</v>
      </c>
      <c r="K57" t="s">
        <v>1265</v>
      </c>
      <c r="L57" t="s">
        <v>152</v>
      </c>
      <c r="M57" t="s">
        <v>136</v>
      </c>
      <c r="N57" s="2"/>
      <c r="O57" s="4"/>
    </row>
    <row r="58" spans="1:15" ht="12.75" customHeight="1" x14ac:dyDescent="0.25">
      <c r="A58" s="380">
        <v>215996</v>
      </c>
      <c r="B58" t="s">
        <v>201</v>
      </c>
      <c r="C58" s="352">
        <v>32916</v>
      </c>
      <c r="D58" s="352">
        <v>29220</v>
      </c>
      <c r="E58" s="352">
        <v>62136</v>
      </c>
      <c r="F58" s="352">
        <v>3798798257</v>
      </c>
      <c r="G58" s="352">
        <v>4077185737</v>
      </c>
      <c r="H58" s="352">
        <v>7875983994</v>
      </c>
      <c r="I58" s="352">
        <v>55968621</v>
      </c>
      <c r="J58" t="s">
        <v>586</v>
      </c>
      <c r="K58" t="s">
        <v>1259</v>
      </c>
      <c r="L58" t="s">
        <v>1323</v>
      </c>
      <c r="M58" t="s">
        <v>136</v>
      </c>
      <c r="N58" s="2"/>
      <c r="O58" s="4"/>
    </row>
    <row r="59" spans="1:15" ht="12.75" customHeight="1" x14ac:dyDescent="0.25">
      <c r="A59" s="380">
        <v>989491</v>
      </c>
      <c r="B59" t="s">
        <v>1254</v>
      </c>
      <c r="C59" s="352">
        <v>29644</v>
      </c>
      <c r="D59" s="352">
        <v>32084</v>
      </c>
      <c r="E59" s="352">
        <v>61728</v>
      </c>
      <c r="F59" s="352">
        <v>4495508890</v>
      </c>
      <c r="G59" s="352">
        <v>5608816344</v>
      </c>
      <c r="H59" s="352">
        <v>10104325234</v>
      </c>
      <c r="I59" s="352">
        <v>90312114</v>
      </c>
      <c r="J59" t="s">
        <v>154</v>
      </c>
      <c r="K59" t="s">
        <v>1265</v>
      </c>
      <c r="L59" t="s">
        <v>248</v>
      </c>
      <c r="M59" t="s">
        <v>57</v>
      </c>
      <c r="N59" s="2"/>
      <c r="O59" s="4"/>
    </row>
    <row r="60" spans="1:15" ht="12.75" customHeight="1" x14ac:dyDescent="0.25">
      <c r="A60" s="380">
        <v>984187</v>
      </c>
      <c r="B60" t="s">
        <v>271</v>
      </c>
      <c r="C60" s="352">
        <v>29268</v>
      </c>
      <c r="D60" s="352">
        <v>30848</v>
      </c>
      <c r="E60" s="352">
        <v>60116</v>
      </c>
      <c r="F60" s="352">
        <v>1993164246</v>
      </c>
      <c r="G60" s="352">
        <v>2514906710</v>
      </c>
      <c r="H60" s="352">
        <v>4508070957</v>
      </c>
      <c r="I60" s="352">
        <v>18288057</v>
      </c>
      <c r="J60" t="s">
        <v>154</v>
      </c>
      <c r="K60" t="s">
        <v>1265</v>
      </c>
      <c r="L60" t="s">
        <v>150</v>
      </c>
      <c r="M60" t="s">
        <v>57</v>
      </c>
      <c r="N60" s="2"/>
      <c r="O60" s="4"/>
    </row>
    <row r="61" spans="1:15" ht="12.75" customHeight="1" x14ac:dyDescent="0.25">
      <c r="A61" s="380">
        <v>819557</v>
      </c>
      <c r="B61" t="s">
        <v>233</v>
      </c>
      <c r="C61" s="352">
        <v>35366</v>
      </c>
      <c r="D61" s="352">
        <v>23548</v>
      </c>
      <c r="E61" s="352">
        <v>58914</v>
      </c>
      <c r="F61" s="352">
        <v>5420535019</v>
      </c>
      <c r="G61" s="352">
        <v>4172794972</v>
      </c>
      <c r="H61" s="352">
        <v>9593329991</v>
      </c>
      <c r="I61" s="352">
        <v>81147022</v>
      </c>
      <c r="J61" t="s">
        <v>586</v>
      </c>
      <c r="K61" t="s">
        <v>1259</v>
      </c>
      <c r="L61" t="s">
        <v>147</v>
      </c>
      <c r="M61" t="s">
        <v>136</v>
      </c>
      <c r="N61" s="2"/>
      <c r="O61" s="4"/>
    </row>
    <row r="62" spans="1:15" ht="12.75" customHeight="1" x14ac:dyDescent="0.25">
      <c r="A62" s="380">
        <v>749192</v>
      </c>
      <c r="B62" t="s">
        <v>176</v>
      </c>
      <c r="C62" s="352">
        <v>32850</v>
      </c>
      <c r="D62" s="352">
        <v>22856</v>
      </c>
      <c r="E62" s="352">
        <v>55706</v>
      </c>
      <c r="F62" s="352">
        <v>2072688737</v>
      </c>
      <c r="G62" s="352">
        <v>1785415758</v>
      </c>
      <c r="H62" s="352">
        <v>3858104495</v>
      </c>
      <c r="I62" s="352">
        <v>25776380</v>
      </c>
      <c r="J62" t="s">
        <v>588</v>
      </c>
      <c r="K62" t="s">
        <v>1262</v>
      </c>
      <c r="L62" t="s">
        <v>147</v>
      </c>
      <c r="M62" t="s">
        <v>136</v>
      </c>
      <c r="N62" s="2"/>
      <c r="O62" s="4"/>
    </row>
    <row r="63" spans="1:15" ht="12.75" customHeight="1" x14ac:dyDescent="0.25">
      <c r="A63" s="380">
        <v>224493</v>
      </c>
      <c r="B63" t="s">
        <v>184</v>
      </c>
      <c r="C63" s="352">
        <v>35299</v>
      </c>
      <c r="D63" s="352">
        <v>20358</v>
      </c>
      <c r="E63" s="352">
        <v>55657</v>
      </c>
      <c r="F63" s="352">
        <v>2306023887</v>
      </c>
      <c r="G63" s="352">
        <v>1433061260</v>
      </c>
      <c r="H63" s="352">
        <v>3739085147</v>
      </c>
      <c r="I63" s="352">
        <v>9341007</v>
      </c>
      <c r="J63" t="s">
        <v>587</v>
      </c>
      <c r="K63" t="s">
        <v>1262</v>
      </c>
      <c r="L63" t="s">
        <v>147</v>
      </c>
      <c r="M63" t="s">
        <v>136</v>
      </c>
      <c r="N63" s="2"/>
      <c r="O63" s="4"/>
    </row>
    <row r="64" spans="1:15" ht="12.75" customHeight="1" x14ac:dyDescent="0.25">
      <c r="A64" s="380">
        <v>384818</v>
      </c>
      <c r="B64" t="s">
        <v>598</v>
      </c>
      <c r="C64" s="352">
        <v>28235</v>
      </c>
      <c r="D64" s="352">
        <v>26076</v>
      </c>
      <c r="E64" s="352">
        <v>54311</v>
      </c>
      <c r="F64" s="352">
        <v>1998863601</v>
      </c>
      <c r="G64" s="352">
        <v>2098943779</v>
      </c>
      <c r="H64" s="352">
        <v>4097807380</v>
      </c>
      <c r="I64" s="352">
        <v>30004801</v>
      </c>
      <c r="J64" t="s">
        <v>154</v>
      </c>
      <c r="K64" t="s">
        <v>1265</v>
      </c>
      <c r="L64" t="s">
        <v>1270</v>
      </c>
      <c r="M64" t="s">
        <v>57</v>
      </c>
      <c r="N64" s="2"/>
      <c r="O64" s="4"/>
    </row>
    <row r="65" spans="1:15" ht="12.75" customHeight="1" x14ac:dyDescent="0.25">
      <c r="A65" s="380">
        <v>313742</v>
      </c>
      <c r="B65" t="s">
        <v>17</v>
      </c>
      <c r="C65" s="352">
        <v>23930</v>
      </c>
      <c r="D65" s="352">
        <v>29325</v>
      </c>
      <c r="E65" s="352">
        <v>53255</v>
      </c>
      <c r="F65" s="352">
        <v>2563644060</v>
      </c>
      <c r="G65" s="352">
        <v>3685185593</v>
      </c>
      <c r="H65" s="352">
        <v>6248829654</v>
      </c>
      <c r="I65" s="352">
        <v>76721994</v>
      </c>
      <c r="J65" t="s">
        <v>610</v>
      </c>
      <c r="K65" t="s">
        <v>1265</v>
      </c>
      <c r="L65" t="s">
        <v>149</v>
      </c>
      <c r="M65" t="s">
        <v>136</v>
      </c>
      <c r="N65" s="2"/>
      <c r="O65" s="4"/>
    </row>
    <row r="66" spans="1:15" ht="12.75" customHeight="1" x14ac:dyDescent="0.25">
      <c r="A66" s="380">
        <v>574293</v>
      </c>
      <c r="B66" t="s">
        <v>146</v>
      </c>
      <c r="C66" s="352">
        <v>26468</v>
      </c>
      <c r="D66" s="352">
        <v>25935</v>
      </c>
      <c r="E66" s="352">
        <v>52403</v>
      </c>
      <c r="F66" s="352">
        <v>1565915072</v>
      </c>
      <c r="G66" s="352">
        <v>2137176452</v>
      </c>
      <c r="H66" s="352">
        <v>3703091524</v>
      </c>
      <c r="I66" s="352">
        <v>142933935</v>
      </c>
      <c r="J66" t="s">
        <v>601</v>
      </c>
      <c r="K66" t="s">
        <v>1266</v>
      </c>
      <c r="L66" t="s">
        <v>144</v>
      </c>
      <c r="M66" t="s">
        <v>136</v>
      </c>
      <c r="N66" s="2"/>
      <c r="O66" s="4"/>
    </row>
    <row r="67" spans="1:15" ht="12.75" customHeight="1" x14ac:dyDescent="0.25">
      <c r="A67" s="380">
        <v>814772</v>
      </c>
      <c r="B67" t="s">
        <v>1177</v>
      </c>
      <c r="C67" s="352">
        <v>25126</v>
      </c>
      <c r="D67" s="352">
        <v>26264</v>
      </c>
      <c r="E67" s="352">
        <v>51390</v>
      </c>
      <c r="F67" s="352">
        <v>1204133359</v>
      </c>
      <c r="G67" s="352">
        <v>1498599663</v>
      </c>
      <c r="H67" s="352">
        <v>2702733022</v>
      </c>
      <c r="I67" s="352">
        <v>20913860</v>
      </c>
      <c r="J67" t="s">
        <v>139</v>
      </c>
      <c r="K67" t="s">
        <v>1259</v>
      </c>
      <c r="L67" t="s">
        <v>149</v>
      </c>
      <c r="M67" t="s">
        <v>136</v>
      </c>
      <c r="N67" s="2"/>
      <c r="O67" s="4"/>
    </row>
    <row r="68" spans="1:15" ht="12.75" customHeight="1" x14ac:dyDescent="0.25">
      <c r="A68" s="380">
        <v>501981</v>
      </c>
      <c r="B68" t="s">
        <v>354</v>
      </c>
      <c r="C68" s="352">
        <v>23638</v>
      </c>
      <c r="D68" s="352">
        <v>26656</v>
      </c>
      <c r="E68" s="352">
        <v>50294</v>
      </c>
      <c r="F68" s="352">
        <v>1119175917</v>
      </c>
      <c r="G68" s="352">
        <v>1559894088</v>
      </c>
      <c r="H68" s="352">
        <v>2679070005</v>
      </c>
      <c r="I68" s="352">
        <v>10007360</v>
      </c>
      <c r="J68" t="s">
        <v>228</v>
      </c>
      <c r="K68" t="s">
        <v>1265</v>
      </c>
      <c r="L68" t="s">
        <v>150</v>
      </c>
      <c r="M68" t="s">
        <v>57</v>
      </c>
      <c r="N68" s="2"/>
      <c r="O68" s="4"/>
    </row>
    <row r="69" spans="1:15" ht="12.75" customHeight="1" x14ac:dyDescent="0.25">
      <c r="A69" s="380">
        <v>150649</v>
      </c>
      <c r="B69" t="s">
        <v>525</v>
      </c>
      <c r="C69" s="352">
        <v>22688</v>
      </c>
      <c r="D69" s="352">
        <v>27324</v>
      </c>
      <c r="E69" s="352">
        <v>50012</v>
      </c>
      <c r="F69" s="352">
        <v>1525366803</v>
      </c>
      <c r="G69" s="352">
        <v>2241343250</v>
      </c>
      <c r="H69" s="352">
        <v>3766710052</v>
      </c>
      <c r="I69" s="352">
        <v>12577757</v>
      </c>
      <c r="J69" t="s">
        <v>608</v>
      </c>
      <c r="K69" t="s">
        <v>1265</v>
      </c>
      <c r="L69" t="s">
        <v>147</v>
      </c>
      <c r="M69" t="s">
        <v>136</v>
      </c>
      <c r="N69" s="2"/>
      <c r="O69" s="4"/>
    </row>
    <row r="70" spans="1:15" ht="12.75" customHeight="1" x14ac:dyDescent="0.25">
      <c r="A70" s="380">
        <v>825109</v>
      </c>
      <c r="B70" t="s">
        <v>246</v>
      </c>
      <c r="C70" s="352">
        <v>22007</v>
      </c>
      <c r="D70" s="352">
        <v>27444</v>
      </c>
      <c r="E70" s="352">
        <v>49451</v>
      </c>
      <c r="F70" s="352">
        <v>834083666</v>
      </c>
      <c r="G70" s="352">
        <v>1333683038</v>
      </c>
      <c r="H70" s="352">
        <v>2167766703</v>
      </c>
      <c r="I70" s="352">
        <v>19962274</v>
      </c>
      <c r="J70" t="s">
        <v>247</v>
      </c>
      <c r="K70" t="s">
        <v>1265</v>
      </c>
      <c r="L70" t="s">
        <v>147</v>
      </c>
      <c r="M70" t="s">
        <v>136</v>
      </c>
      <c r="N70" s="2"/>
      <c r="O70" s="4"/>
    </row>
    <row r="71" spans="1:15" ht="12.75" customHeight="1" x14ac:dyDescent="0.25">
      <c r="A71" s="380">
        <v>856682</v>
      </c>
      <c r="B71" t="s">
        <v>245</v>
      </c>
      <c r="C71" s="352">
        <v>21581</v>
      </c>
      <c r="D71" s="352">
        <v>26769</v>
      </c>
      <c r="E71" s="352">
        <v>48350</v>
      </c>
      <c r="F71" s="352">
        <v>1983779994</v>
      </c>
      <c r="G71" s="352">
        <v>3060495427</v>
      </c>
      <c r="H71" s="352">
        <v>5044275421</v>
      </c>
      <c r="I71" s="352">
        <v>25988925</v>
      </c>
      <c r="J71" t="s">
        <v>208</v>
      </c>
      <c r="K71" t="s">
        <v>1265</v>
      </c>
      <c r="L71" t="s">
        <v>147</v>
      </c>
      <c r="M71" t="s">
        <v>136</v>
      </c>
      <c r="N71" s="2"/>
      <c r="O71" s="4"/>
    </row>
    <row r="72" spans="1:15" ht="12.75" customHeight="1" x14ac:dyDescent="0.25">
      <c r="A72" s="380">
        <v>140491</v>
      </c>
      <c r="B72" t="s">
        <v>88</v>
      </c>
      <c r="C72" s="352">
        <v>19443</v>
      </c>
      <c r="D72" s="352">
        <v>28106</v>
      </c>
      <c r="E72" s="352">
        <v>47549</v>
      </c>
      <c r="F72" s="352">
        <v>1619911227</v>
      </c>
      <c r="G72" s="352">
        <v>2662256081</v>
      </c>
      <c r="H72" s="352">
        <v>4282167308</v>
      </c>
      <c r="I72" s="352">
        <v>2483639</v>
      </c>
      <c r="J72" t="s">
        <v>244</v>
      </c>
      <c r="K72" t="s">
        <v>1265</v>
      </c>
      <c r="L72" t="s">
        <v>258</v>
      </c>
      <c r="M72" t="s">
        <v>136</v>
      </c>
      <c r="N72" s="2"/>
      <c r="O72" s="4"/>
    </row>
    <row r="73" spans="1:15" ht="12.75" customHeight="1" x14ac:dyDescent="0.25">
      <c r="A73" s="380">
        <v>717611</v>
      </c>
      <c r="B73" t="s">
        <v>1312</v>
      </c>
      <c r="C73" s="352">
        <v>26966</v>
      </c>
      <c r="D73" s="352">
        <v>20137</v>
      </c>
      <c r="E73" s="352">
        <v>47103</v>
      </c>
      <c r="F73" s="352">
        <v>1082240996</v>
      </c>
      <c r="G73" s="352">
        <v>1153820420</v>
      </c>
      <c r="H73" s="352">
        <v>2236061416</v>
      </c>
      <c r="I73" s="352">
        <v>33524160</v>
      </c>
      <c r="J73" t="s">
        <v>599</v>
      </c>
      <c r="K73" t="s">
        <v>1266</v>
      </c>
      <c r="L73" t="s">
        <v>147</v>
      </c>
      <c r="M73" t="s">
        <v>136</v>
      </c>
      <c r="N73" s="2"/>
      <c r="O73" s="4"/>
    </row>
    <row r="74" spans="1:15" ht="12.75" customHeight="1" x14ac:dyDescent="0.25">
      <c r="A74" s="380">
        <v>952010</v>
      </c>
      <c r="B74" t="s">
        <v>1356</v>
      </c>
      <c r="C74" s="352">
        <v>21195</v>
      </c>
      <c r="D74" s="352">
        <v>25625</v>
      </c>
      <c r="E74" s="352">
        <v>46820</v>
      </c>
      <c r="F74" s="352">
        <v>2274951355</v>
      </c>
      <c r="G74" s="352">
        <v>3332244272</v>
      </c>
      <c r="H74" s="352">
        <v>5607195627</v>
      </c>
      <c r="I74" s="352">
        <v>25727134</v>
      </c>
      <c r="J74" t="s">
        <v>208</v>
      </c>
      <c r="K74" t="s">
        <v>1265</v>
      </c>
      <c r="L74" t="s">
        <v>161</v>
      </c>
      <c r="M74" t="s">
        <v>136</v>
      </c>
      <c r="N74" s="2"/>
      <c r="O74" s="4"/>
    </row>
    <row r="75" spans="1:15" ht="12.75" customHeight="1" x14ac:dyDescent="0.25">
      <c r="A75" s="380">
        <v>842690</v>
      </c>
      <c r="B75" t="s">
        <v>334</v>
      </c>
      <c r="C75" s="352">
        <v>21243</v>
      </c>
      <c r="D75" s="352">
        <v>24823</v>
      </c>
      <c r="E75" s="352">
        <v>46066</v>
      </c>
      <c r="F75" s="352">
        <v>2164610146</v>
      </c>
      <c r="G75" s="352">
        <v>3066028388</v>
      </c>
      <c r="H75" s="352">
        <v>5230638534</v>
      </c>
      <c r="I75" s="352">
        <v>26883901</v>
      </c>
      <c r="J75" t="s">
        <v>208</v>
      </c>
      <c r="K75" t="s">
        <v>1265</v>
      </c>
      <c r="L75" t="s">
        <v>163</v>
      </c>
      <c r="M75" t="s">
        <v>136</v>
      </c>
      <c r="N75" s="2"/>
      <c r="O75" s="4"/>
    </row>
    <row r="76" spans="1:15" ht="12.75" customHeight="1" x14ac:dyDescent="0.25">
      <c r="A76" s="380">
        <v>564849</v>
      </c>
      <c r="B76" t="s">
        <v>1343</v>
      </c>
      <c r="C76" s="352">
        <v>22614</v>
      </c>
      <c r="D76" s="352">
        <v>22311</v>
      </c>
      <c r="E76" s="352">
        <v>44925</v>
      </c>
      <c r="F76" s="352">
        <v>891470921</v>
      </c>
      <c r="G76" s="352">
        <v>1062814452</v>
      </c>
      <c r="H76" s="352">
        <v>1954285372</v>
      </c>
      <c r="I76" s="352">
        <v>17223613</v>
      </c>
      <c r="J76" t="s">
        <v>178</v>
      </c>
      <c r="K76" t="s">
        <v>1265</v>
      </c>
      <c r="L76" t="s">
        <v>1323</v>
      </c>
      <c r="M76" t="s">
        <v>57</v>
      </c>
      <c r="N76" s="2"/>
      <c r="O76" s="4"/>
    </row>
    <row r="77" spans="1:15" ht="12.75" customHeight="1" x14ac:dyDescent="0.25">
      <c r="A77" s="380">
        <v>286294</v>
      </c>
      <c r="B77" t="s">
        <v>1333</v>
      </c>
      <c r="C77" s="352">
        <v>21549</v>
      </c>
      <c r="D77" s="352">
        <v>22980</v>
      </c>
      <c r="E77" s="352">
        <v>44529</v>
      </c>
      <c r="F77" s="352">
        <v>1591521341</v>
      </c>
      <c r="G77" s="352">
        <v>2074970420</v>
      </c>
      <c r="H77" s="352">
        <v>3666491761</v>
      </c>
      <c r="I77" s="352">
        <v>19929669</v>
      </c>
      <c r="J77" t="s">
        <v>244</v>
      </c>
      <c r="K77" t="s">
        <v>1265</v>
      </c>
      <c r="L77" t="s">
        <v>1323</v>
      </c>
      <c r="M77" t="s">
        <v>57</v>
      </c>
      <c r="N77" s="2"/>
      <c r="O77" s="4"/>
    </row>
    <row r="78" spans="1:15" ht="12.75" customHeight="1" x14ac:dyDescent="0.25">
      <c r="A78" s="380">
        <v>538462</v>
      </c>
      <c r="B78" t="s">
        <v>177</v>
      </c>
      <c r="C78" s="352">
        <v>18237</v>
      </c>
      <c r="D78" s="352">
        <v>23005</v>
      </c>
      <c r="E78" s="352">
        <v>41242</v>
      </c>
      <c r="F78" s="352">
        <v>871250971</v>
      </c>
      <c r="G78" s="352">
        <v>1355569515</v>
      </c>
      <c r="H78" s="352">
        <v>2226820485</v>
      </c>
      <c r="I78" s="352">
        <v>8102998</v>
      </c>
      <c r="J78" t="s">
        <v>178</v>
      </c>
      <c r="K78" t="s">
        <v>1265</v>
      </c>
      <c r="L78" t="s">
        <v>144</v>
      </c>
      <c r="M78" t="s">
        <v>136</v>
      </c>
      <c r="N78" s="2"/>
      <c r="O78" s="4"/>
    </row>
    <row r="79" spans="1:15" ht="12.75" customHeight="1" x14ac:dyDescent="0.25">
      <c r="A79" s="380">
        <v>269357</v>
      </c>
      <c r="B79" t="s">
        <v>207</v>
      </c>
      <c r="C79" s="352">
        <v>17256</v>
      </c>
      <c r="D79" s="352">
        <v>22355</v>
      </c>
      <c r="E79" s="352">
        <v>39611</v>
      </c>
      <c r="F79" s="352">
        <v>1552710850</v>
      </c>
      <c r="G79" s="352">
        <v>2462337273</v>
      </c>
      <c r="H79" s="352">
        <v>4015048123</v>
      </c>
      <c r="I79" s="352">
        <v>11267086</v>
      </c>
      <c r="J79" t="s">
        <v>208</v>
      </c>
      <c r="K79" t="s">
        <v>1265</v>
      </c>
      <c r="L79" t="s">
        <v>144</v>
      </c>
      <c r="M79" t="s">
        <v>136</v>
      </c>
      <c r="N79" s="2"/>
      <c r="O79" s="4"/>
    </row>
    <row r="80" spans="1:15" ht="12.75" customHeight="1" x14ac:dyDescent="0.25">
      <c r="A80" s="380">
        <v>855387</v>
      </c>
      <c r="B80" t="s">
        <v>232</v>
      </c>
      <c r="C80" s="352">
        <v>24238</v>
      </c>
      <c r="D80" s="352">
        <v>14974</v>
      </c>
      <c r="E80" s="352">
        <v>39212</v>
      </c>
      <c r="F80" s="352">
        <v>2823803825</v>
      </c>
      <c r="G80" s="352">
        <v>2012138356</v>
      </c>
      <c r="H80" s="352">
        <v>4835942181</v>
      </c>
      <c r="I80" s="352">
        <v>55034214</v>
      </c>
      <c r="J80" t="s">
        <v>139</v>
      </c>
      <c r="K80" t="s">
        <v>1259</v>
      </c>
      <c r="L80" t="s">
        <v>147</v>
      </c>
      <c r="M80" t="s">
        <v>136</v>
      </c>
      <c r="N80" s="2"/>
      <c r="O80" s="4"/>
    </row>
    <row r="81" spans="1:15" ht="12.75" customHeight="1" x14ac:dyDescent="0.25">
      <c r="A81" s="380">
        <v>282517</v>
      </c>
      <c r="B81" t="s">
        <v>1332</v>
      </c>
      <c r="C81" s="352">
        <v>19530</v>
      </c>
      <c r="D81" s="352">
        <v>19348</v>
      </c>
      <c r="E81" s="352">
        <v>38878</v>
      </c>
      <c r="F81" s="352">
        <v>1078533626</v>
      </c>
      <c r="G81" s="352">
        <v>1311592536</v>
      </c>
      <c r="H81" s="352">
        <v>2390126162</v>
      </c>
      <c r="I81" s="352">
        <v>30877264</v>
      </c>
      <c r="J81" t="s">
        <v>154</v>
      </c>
      <c r="K81" t="s">
        <v>1265</v>
      </c>
      <c r="L81" t="s">
        <v>1323</v>
      </c>
      <c r="M81" t="s">
        <v>57</v>
      </c>
      <c r="N81" s="2"/>
      <c r="O81" s="4"/>
    </row>
    <row r="82" spans="1:15" ht="12.75" customHeight="1" x14ac:dyDescent="0.25">
      <c r="A82" s="380">
        <v>502633</v>
      </c>
      <c r="B82" t="s">
        <v>205</v>
      </c>
      <c r="C82" s="352">
        <v>22443</v>
      </c>
      <c r="D82" s="352">
        <v>16054</v>
      </c>
      <c r="E82" s="352">
        <v>38497</v>
      </c>
      <c r="F82" s="352">
        <v>1045747019</v>
      </c>
      <c r="G82" s="352">
        <v>898030913</v>
      </c>
      <c r="H82" s="352">
        <v>1943777931</v>
      </c>
      <c r="I82" s="352">
        <v>18687543</v>
      </c>
      <c r="J82" t="s">
        <v>139</v>
      </c>
      <c r="K82" t="s">
        <v>1259</v>
      </c>
      <c r="L82" t="s">
        <v>1323</v>
      </c>
      <c r="M82" t="s">
        <v>136</v>
      </c>
      <c r="N82" s="2"/>
      <c r="O82" s="4"/>
    </row>
    <row r="83" spans="1:15" ht="12.75" customHeight="1" x14ac:dyDescent="0.25">
      <c r="A83" s="380">
        <v>249995</v>
      </c>
      <c r="B83" t="s">
        <v>351</v>
      </c>
      <c r="C83" s="352">
        <v>14982</v>
      </c>
      <c r="D83" s="352">
        <v>22676</v>
      </c>
      <c r="E83" s="352">
        <v>37658</v>
      </c>
      <c r="F83" s="352">
        <v>1012728371</v>
      </c>
      <c r="G83" s="352">
        <v>2027508869</v>
      </c>
      <c r="H83" s="352">
        <v>3040237240</v>
      </c>
      <c r="I83" s="352">
        <v>36982280</v>
      </c>
      <c r="J83" t="s">
        <v>277</v>
      </c>
      <c r="K83" t="s">
        <v>1265</v>
      </c>
      <c r="L83" t="s">
        <v>160</v>
      </c>
      <c r="M83" t="s">
        <v>136</v>
      </c>
      <c r="N83" s="2"/>
      <c r="O83" s="4"/>
    </row>
    <row r="84" spans="1:15" ht="12.75" customHeight="1" x14ac:dyDescent="0.25">
      <c r="A84" s="380">
        <v>194092</v>
      </c>
      <c r="B84" t="s">
        <v>294</v>
      </c>
      <c r="C84" s="352">
        <v>16939</v>
      </c>
      <c r="D84" s="352">
        <v>19955</v>
      </c>
      <c r="E84" s="352">
        <v>36894</v>
      </c>
      <c r="F84" s="352">
        <v>1275113238</v>
      </c>
      <c r="G84" s="352">
        <v>1912951181</v>
      </c>
      <c r="H84" s="352">
        <v>3188064419</v>
      </c>
      <c r="I84" s="352">
        <v>4506721</v>
      </c>
      <c r="J84" t="s">
        <v>204</v>
      </c>
      <c r="K84" t="s">
        <v>1265</v>
      </c>
      <c r="L84" t="s">
        <v>173</v>
      </c>
      <c r="M84" t="s">
        <v>136</v>
      </c>
      <c r="N84" s="2"/>
      <c r="O84" s="4"/>
    </row>
    <row r="85" spans="1:15" ht="12.75" customHeight="1" x14ac:dyDescent="0.25">
      <c r="A85" s="380">
        <v>879114</v>
      </c>
      <c r="B85" t="s">
        <v>1352</v>
      </c>
      <c r="C85" s="352">
        <v>19649</v>
      </c>
      <c r="D85" s="352">
        <v>16786</v>
      </c>
      <c r="E85" s="352">
        <v>36435</v>
      </c>
      <c r="F85" s="352">
        <v>2007647904</v>
      </c>
      <c r="G85" s="352">
        <v>1997992701</v>
      </c>
      <c r="H85" s="352">
        <v>4005640605</v>
      </c>
      <c r="I85" s="352">
        <v>19802645</v>
      </c>
      <c r="J85" t="s">
        <v>587</v>
      </c>
      <c r="K85" t="s">
        <v>1262</v>
      </c>
      <c r="L85" t="s">
        <v>173</v>
      </c>
      <c r="M85" t="s">
        <v>136</v>
      </c>
      <c r="N85" s="2"/>
      <c r="O85" s="4"/>
    </row>
    <row r="86" spans="1:15" ht="12.75" customHeight="1" x14ac:dyDescent="0.25">
      <c r="A86" s="380">
        <v>752204</v>
      </c>
      <c r="B86" t="s">
        <v>288</v>
      </c>
      <c r="C86" s="352">
        <v>15856</v>
      </c>
      <c r="D86" s="352">
        <v>20395</v>
      </c>
      <c r="E86" s="352">
        <v>36251</v>
      </c>
      <c r="F86" s="352">
        <v>783690731</v>
      </c>
      <c r="G86" s="352">
        <v>1353711270</v>
      </c>
      <c r="H86" s="352">
        <v>2137402001</v>
      </c>
      <c r="I86" s="352">
        <v>24555332</v>
      </c>
      <c r="J86" t="s">
        <v>277</v>
      </c>
      <c r="K86" t="s">
        <v>1265</v>
      </c>
      <c r="L86" t="s">
        <v>147</v>
      </c>
      <c r="M86" t="s">
        <v>136</v>
      </c>
      <c r="N86" s="2"/>
      <c r="O86" s="4"/>
    </row>
    <row r="87" spans="1:15" ht="12.75" customHeight="1" x14ac:dyDescent="0.25">
      <c r="A87" s="380">
        <v>987842</v>
      </c>
      <c r="B87" t="s">
        <v>546</v>
      </c>
      <c r="C87" s="352">
        <v>16045</v>
      </c>
      <c r="D87" s="352">
        <v>19890</v>
      </c>
      <c r="E87" s="352">
        <v>35935</v>
      </c>
      <c r="F87" s="352">
        <v>879657503</v>
      </c>
      <c r="G87" s="352">
        <v>1306912301</v>
      </c>
      <c r="H87" s="352">
        <v>2186569805</v>
      </c>
      <c r="I87" s="352">
        <v>20850462</v>
      </c>
      <c r="J87" t="s">
        <v>228</v>
      </c>
      <c r="K87" t="s">
        <v>1265</v>
      </c>
      <c r="L87" t="s">
        <v>161</v>
      </c>
      <c r="M87" t="s">
        <v>136</v>
      </c>
      <c r="N87" s="2"/>
      <c r="O87" s="4"/>
    </row>
    <row r="88" spans="1:15" ht="12.75" customHeight="1" x14ac:dyDescent="0.25">
      <c r="A88" s="380">
        <v>364158</v>
      </c>
      <c r="B88" t="s">
        <v>119</v>
      </c>
      <c r="C88" s="352">
        <v>14419</v>
      </c>
      <c r="D88" s="352">
        <v>20380</v>
      </c>
      <c r="E88" s="352">
        <v>34799</v>
      </c>
      <c r="F88" s="352">
        <v>994308553</v>
      </c>
      <c r="G88" s="352">
        <v>1690464663</v>
      </c>
      <c r="H88" s="352">
        <v>2684773216</v>
      </c>
      <c r="I88" s="352">
        <v>3999895</v>
      </c>
      <c r="J88" t="s">
        <v>612</v>
      </c>
      <c r="K88" t="s">
        <v>1265</v>
      </c>
      <c r="L88" t="s">
        <v>1273</v>
      </c>
      <c r="M88" t="s">
        <v>57</v>
      </c>
      <c r="N88" s="2"/>
      <c r="O88" s="4"/>
    </row>
    <row r="89" spans="1:15" ht="12.75" customHeight="1" x14ac:dyDescent="0.25">
      <c r="A89" s="380">
        <v>465914</v>
      </c>
      <c r="B89" t="s">
        <v>192</v>
      </c>
      <c r="C89" s="352">
        <v>17280</v>
      </c>
      <c r="D89" s="352">
        <v>17312</v>
      </c>
      <c r="E89" s="352">
        <v>34592</v>
      </c>
      <c r="F89" s="352">
        <v>1140570896</v>
      </c>
      <c r="G89" s="352">
        <v>1404368574</v>
      </c>
      <c r="H89" s="352">
        <v>2544939471</v>
      </c>
      <c r="I89" s="352">
        <v>9936254</v>
      </c>
      <c r="J89" t="s">
        <v>182</v>
      </c>
      <c r="K89" t="s">
        <v>1265</v>
      </c>
      <c r="L89" t="s">
        <v>537</v>
      </c>
      <c r="M89" t="s">
        <v>136</v>
      </c>
      <c r="N89" s="2"/>
      <c r="O89" s="4"/>
    </row>
    <row r="90" spans="1:15" ht="12.75" customHeight="1" x14ac:dyDescent="0.25">
      <c r="A90" s="380">
        <v>983940</v>
      </c>
      <c r="B90" t="s">
        <v>328</v>
      </c>
      <c r="C90" s="352">
        <v>17822</v>
      </c>
      <c r="D90" s="352">
        <v>15947</v>
      </c>
      <c r="E90" s="352">
        <v>33769</v>
      </c>
      <c r="F90" s="352">
        <v>2257063934</v>
      </c>
      <c r="G90" s="352">
        <v>2388175316</v>
      </c>
      <c r="H90" s="352">
        <v>4645239250</v>
      </c>
      <c r="I90" s="352">
        <v>-39297658</v>
      </c>
      <c r="J90" t="s">
        <v>588</v>
      </c>
      <c r="K90" t="s">
        <v>1262</v>
      </c>
      <c r="L90" t="s">
        <v>1275</v>
      </c>
      <c r="M90" t="s">
        <v>57</v>
      </c>
      <c r="N90" s="2"/>
      <c r="O90" s="4"/>
    </row>
    <row r="91" spans="1:15" ht="12.75" customHeight="1" x14ac:dyDescent="0.25">
      <c r="A91" s="380">
        <v>357483</v>
      </c>
      <c r="B91" t="s">
        <v>282</v>
      </c>
      <c r="C91" s="352">
        <v>15502</v>
      </c>
      <c r="D91" s="352">
        <v>18081</v>
      </c>
      <c r="E91" s="352">
        <v>33583</v>
      </c>
      <c r="F91" s="352">
        <v>984778133</v>
      </c>
      <c r="G91" s="352">
        <v>1371628307</v>
      </c>
      <c r="H91" s="352">
        <v>2356406440</v>
      </c>
      <c r="I91" s="352">
        <v>20197346</v>
      </c>
      <c r="J91" t="s">
        <v>588</v>
      </c>
      <c r="K91" t="s">
        <v>1262</v>
      </c>
      <c r="L91" t="s">
        <v>160</v>
      </c>
      <c r="M91" t="s">
        <v>136</v>
      </c>
      <c r="N91" s="2"/>
      <c r="O91" s="4"/>
    </row>
    <row r="92" spans="1:15" ht="12.75" customHeight="1" x14ac:dyDescent="0.25">
      <c r="A92" s="380">
        <v>820852</v>
      </c>
      <c r="B92" t="s">
        <v>252</v>
      </c>
      <c r="C92" s="352">
        <v>15481</v>
      </c>
      <c r="D92" s="352">
        <v>16929</v>
      </c>
      <c r="E92" s="352">
        <v>32410</v>
      </c>
      <c r="F92" s="352">
        <v>803263844</v>
      </c>
      <c r="G92" s="352">
        <v>1071545178</v>
      </c>
      <c r="H92" s="352">
        <v>1874809022</v>
      </c>
      <c r="I92" s="352">
        <v>13013005</v>
      </c>
      <c r="J92" t="s">
        <v>244</v>
      </c>
      <c r="K92" t="s">
        <v>1265</v>
      </c>
      <c r="L92" t="s">
        <v>147</v>
      </c>
      <c r="M92" t="s">
        <v>136</v>
      </c>
      <c r="N92" s="2"/>
      <c r="O92" s="4"/>
    </row>
    <row r="93" spans="1:15" ht="12.75" customHeight="1" x14ac:dyDescent="0.25">
      <c r="A93" s="380">
        <v>439471</v>
      </c>
      <c r="B93" t="s">
        <v>321</v>
      </c>
      <c r="C93" s="352">
        <v>13758</v>
      </c>
      <c r="D93" s="352">
        <v>18545</v>
      </c>
      <c r="E93" s="352">
        <v>32303</v>
      </c>
      <c r="F93" s="352">
        <v>1170028286</v>
      </c>
      <c r="G93" s="352">
        <v>1900042501</v>
      </c>
      <c r="H93" s="352">
        <v>3070070787</v>
      </c>
      <c r="I93" s="352">
        <v>2896601</v>
      </c>
      <c r="J93" t="s">
        <v>204</v>
      </c>
      <c r="K93" t="s">
        <v>1265</v>
      </c>
      <c r="L93" t="s">
        <v>185</v>
      </c>
      <c r="M93" t="s">
        <v>136</v>
      </c>
      <c r="N93" s="2"/>
      <c r="O93" s="4"/>
    </row>
    <row r="94" spans="1:15" ht="12.75" customHeight="1" x14ac:dyDescent="0.25">
      <c r="A94" s="380">
        <v>303701</v>
      </c>
      <c r="B94" t="s">
        <v>461</v>
      </c>
      <c r="C94" s="352">
        <v>15724</v>
      </c>
      <c r="D94" s="352">
        <v>16413</v>
      </c>
      <c r="E94" s="352">
        <v>32137</v>
      </c>
      <c r="F94" s="352">
        <v>1163861162</v>
      </c>
      <c r="G94" s="352">
        <v>1480449963</v>
      </c>
      <c r="H94" s="352">
        <v>2644311125</v>
      </c>
      <c r="I94" s="352">
        <v>14928332</v>
      </c>
      <c r="J94" t="s">
        <v>588</v>
      </c>
      <c r="K94" t="s">
        <v>1262</v>
      </c>
      <c r="L94" t="s">
        <v>462</v>
      </c>
      <c r="M94" t="s">
        <v>136</v>
      </c>
      <c r="N94" s="2"/>
      <c r="O94" s="4"/>
    </row>
    <row r="95" spans="1:15" ht="12.75" customHeight="1" x14ac:dyDescent="0.25">
      <c r="A95" s="380">
        <v>511139</v>
      </c>
      <c r="B95" t="s">
        <v>316</v>
      </c>
      <c r="C95" s="352">
        <v>13326</v>
      </c>
      <c r="D95" s="352">
        <v>16731</v>
      </c>
      <c r="E95" s="352">
        <v>30057</v>
      </c>
      <c r="F95" s="352">
        <v>831803198</v>
      </c>
      <c r="G95" s="352">
        <v>1210352854</v>
      </c>
      <c r="H95" s="352">
        <v>2042156052</v>
      </c>
      <c r="I95" s="352">
        <v>14422022</v>
      </c>
      <c r="J95" t="s">
        <v>608</v>
      </c>
      <c r="K95" t="s">
        <v>1265</v>
      </c>
      <c r="L95" t="s">
        <v>185</v>
      </c>
      <c r="M95" t="s">
        <v>136</v>
      </c>
      <c r="N95" s="2"/>
      <c r="O95" s="4"/>
    </row>
    <row r="96" spans="1:15" ht="12.75" customHeight="1" x14ac:dyDescent="0.25">
      <c r="A96" s="380">
        <v>334409</v>
      </c>
      <c r="B96" t="s">
        <v>367</v>
      </c>
      <c r="C96" s="352">
        <v>12490</v>
      </c>
      <c r="D96" s="352">
        <v>17503</v>
      </c>
      <c r="E96" s="352">
        <v>29993</v>
      </c>
      <c r="F96" s="352">
        <v>777440193</v>
      </c>
      <c r="G96" s="352">
        <v>1358033998</v>
      </c>
      <c r="H96" s="352">
        <v>2135474191</v>
      </c>
      <c r="I96" s="352">
        <v>9489484</v>
      </c>
      <c r="J96" t="s">
        <v>259</v>
      </c>
      <c r="K96" t="s">
        <v>1265</v>
      </c>
      <c r="L96" t="s">
        <v>1327</v>
      </c>
      <c r="M96" t="s">
        <v>57</v>
      </c>
      <c r="N96" s="2"/>
      <c r="O96" s="4"/>
    </row>
    <row r="97" spans="1:15" ht="12.75" customHeight="1" x14ac:dyDescent="0.25">
      <c r="A97" s="380">
        <v>475301</v>
      </c>
      <c r="B97" t="s">
        <v>320</v>
      </c>
      <c r="C97" s="352">
        <v>16503</v>
      </c>
      <c r="D97" s="352">
        <v>13387</v>
      </c>
      <c r="E97" s="352">
        <v>29890</v>
      </c>
      <c r="F97" s="352">
        <v>992292935</v>
      </c>
      <c r="G97" s="352">
        <v>914223124</v>
      </c>
      <c r="H97" s="352">
        <v>1906516059</v>
      </c>
      <c r="I97" s="352">
        <v>16005107</v>
      </c>
      <c r="J97" t="s">
        <v>154</v>
      </c>
      <c r="K97" t="s">
        <v>1265</v>
      </c>
      <c r="L97" t="s">
        <v>185</v>
      </c>
      <c r="M97" t="s">
        <v>136</v>
      </c>
      <c r="N97" s="2"/>
      <c r="O97" s="4"/>
    </row>
    <row r="98" spans="1:15" ht="12.75" customHeight="1" x14ac:dyDescent="0.25">
      <c r="A98" s="380">
        <v>771030</v>
      </c>
      <c r="B98" t="s">
        <v>336</v>
      </c>
      <c r="C98" s="352">
        <v>13056</v>
      </c>
      <c r="D98" s="352">
        <v>16814</v>
      </c>
      <c r="E98" s="352">
        <v>29870</v>
      </c>
      <c r="F98" s="352">
        <v>1042702868</v>
      </c>
      <c r="G98" s="352">
        <v>1574999043</v>
      </c>
      <c r="H98" s="352">
        <v>2617701911</v>
      </c>
      <c r="I98" s="352">
        <v>17386521</v>
      </c>
      <c r="J98" t="s">
        <v>154</v>
      </c>
      <c r="K98" t="s">
        <v>1265</v>
      </c>
      <c r="L98" t="s">
        <v>163</v>
      </c>
      <c r="M98" t="s">
        <v>136</v>
      </c>
      <c r="N98" s="2"/>
      <c r="O98" s="4"/>
    </row>
    <row r="99" spans="1:15" ht="12.75" customHeight="1" x14ac:dyDescent="0.25">
      <c r="A99" s="380">
        <v>492306</v>
      </c>
      <c r="B99" t="s">
        <v>287</v>
      </c>
      <c r="C99" s="352">
        <v>14326</v>
      </c>
      <c r="D99" s="352">
        <v>14862</v>
      </c>
      <c r="E99" s="352">
        <v>29188</v>
      </c>
      <c r="F99" s="352">
        <v>645662407</v>
      </c>
      <c r="G99" s="352">
        <v>757920673</v>
      </c>
      <c r="H99" s="352">
        <v>1403583081</v>
      </c>
      <c r="I99" s="352">
        <v>13747329</v>
      </c>
      <c r="J99" t="s">
        <v>178</v>
      </c>
      <c r="K99" t="s">
        <v>1265</v>
      </c>
      <c r="L99" t="s">
        <v>149</v>
      </c>
      <c r="M99" t="s">
        <v>136</v>
      </c>
      <c r="N99" s="2"/>
      <c r="O99" s="4"/>
    </row>
    <row r="100" spans="1:15" ht="12.75" customHeight="1" x14ac:dyDescent="0.25">
      <c r="A100" s="380">
        <v>834788</v>
      </c>
      <c r="B100" t="s">
        <v>583</v>
      </c>
      <c r="C100" s="352">
        <v>12873</v>
      </c>
      <c r="D100" s="352">
        <v>15928</v>
      </c>
      <c r="E100" s="352">
        <v>28801</v>
      </c>
      <c r="F100" s="352">
        <v>649586244</v>
      </c>
      <c r="G100" s="352">
        <v>1024077593</v>
      </c>
      <c r="H100" s="352">
        <v>1673663837</v>
      </c>
      <c r="I100" s="352">
        <v>22914027</v>
      </c>
      <c r="J100" t="s">
        <v>277</v>
      </c>
      <c r="K100" t="s">
        <v>1265</v>
      </c>
      <c r="L100" t="s">
        <v>1279</v>
      </c>
      <c r="M100" t="s">
        <v>136</v>
      </c>
      <c r="N100" s="2"/>
      <c r="O100" s="4"/>
    </row>
    <row r="101" spans="1:15" ht="12.75" customHeight="1" x14ac:dyDescent="0.25">
      <c r="A101" s="380">
        <v>338590</v>
      </c>
      <c r="B101" t="s">
        <v>492</v>
      </c>
      <c r="C101" s="352">
        <v>11614</v>
      </c>
      <c r="D101" s="352">
        <v>17181</v>
      </c>
      <c r="E101" s="352">
        <v>28795</v>
      </c>
      <c r="F101" s="352">
        <v>663304246</v>
      </c>
      <c r="G101" s="352">
        <v>1420439741</v>
      </c>
      <c r="H101" s="352">
        <v>2083743987</v>
      </c>
      <c r="I101" s="352">
        <v>13836534</v>
      </c>
      <c r="J101" t="s">
        <v>606</v>
      </c>
      <c r="K101" t="s">
        <v>1265</v>
      </c>
      <c r="L101" t="s">
        <v>369</v>
      </c>
      <c r="M101" t="s">
        <v>57</v>
      </c>
      <c r="N101" s="2"/>
      <c r="O101" s="4"/>
    </row>
    <row r="102" spans="1:15" ht="12.75" customHeight="1" x14ac:dyDescent="0.25">
      <c r="A102" s="380">
        <v>528133</v>
      </c>
      <c r="B102" t="s">
        <v>264</v>
      </c>
      <c r="C102" s="352">
        <v>13258</v>
      </c>
      <c r="D102" s="352">
        <v>14011</v>
      </c>
      <c r="E102" s="352">
        <v>27269</v>
      </c>
      <c r="F102" s="352">
        <v>923263542</v>
      </c>
      <c r="G102" s="352">
        <v>1177041155</v>
      </c>
      <c r="H102" s="352">
        <v>2100304697</v>
      </c>
      <c r="I102" s="352">
        <v>15504981</v>
      </c>
      <c r="J102" t="s">
        <v>182</v>
      </c>
      <c r="K102" t="s">
        <v>1265</v>
      </c>
      <c r="L102" t="s">
        <v>149</v>
      </c>
      <c r="M102" t="s">
        <v>136</v>
      </c>
      <c r="N102" s="2"/>
      <c r="O102" s="4"/>
    </row>
    <row r="103" spans="1:15" ht="12.75" customHeight="1" x14ac:dyDescent="0.25">
      <c r="A103" s="380">
        <v>861229</v>
      </c>
      <c r="B103" t="s">
        <v>1152</v>
      </c>
      <c r="C103" s="352">
        <v>12809</v>
      </c>
      <c r="D103" s="352">
        <v>13405</v>
      </c>
      <c r="E103" s="352">
        <v>26214</v>
      </c>
      <c r="F103" s="352">
        <v>251069366</v>
      </c>
      <c r="G103" s="352">
        <v>341618639</v>
      </c>
      <c r="H103" s="352">
        <v>592688004</v>
      </c>
      <c r="I103" s="352">
        <v>3695498</v>
      </c>
      <c r="J103" t="s">
        <v>228</v>
      </c>
      <c r="K103" t="s">
        <v>1265</v>
      </c>
      <c r="L103" t="s">
        <v>435</v>
      </c>
      <c r="M103" t="s">
        <v>136</v>
      </c>
      <c r="N103" s="2"/>
      <c r="O103" s="4"/>
    </row>
    <row r="104" spans="1:15" ht="12.75" customHeight="1" x14ac:dyDescent="0.25">
      <c r="A104" s="380">
        <v>176503</v>
      </c>
      <c r="B104" t="s">
        <v>166</v>
      </c>
      <c r="C104" s="352">
        <v>10544</v>
      </c>
      <c r="D104" s="352">
        <v>15157</v>
      </c>
      <c r="E104" s="352">
        <v>25701</v>
      </c>
      <c r="F104" s="352">
        <v>316127262</v>
      </c>
      <c r="G104" s="352">
        <v>538798751</v>
      </c>
      <c r="H104" s="352">
        <v>854926013</v>
      </c>
      <c r="I104" s="352">
        <v>8621407</v>
      </c>
      <c r="J104" t="s">
        <v>167</v>
      </c>
      <c r="K104" t="s">
        <v>1265</v>
      </c>
      <c r="L104" t="s">
        <v>152</v>
      </c>
      <c r="M104" t="s">
        <v>136</v>
      </c>
      <c r="N104" s="2"/>
      <c r="O104" s="4"/>
    </row>
    <row r="105" spans="1:15" ht="12.75" customHeight="1" x14ac:dyDescent="0.25">
      <c r="A105" s="380">
        <v>203067</v>
      </c>
      <c r="B105" t="s">
        <v>262</v>
      </c>
      <c r="C105" s="352">
        <v>12837</v>
      </c>
      <c r="D105" s="352">
        <v>12863</v>
      </c>
      <c r="E105" s="352">
        <v>25700</v>
      </c>
      <c r="F105" s="352">
        <v>654437512</v>
      </c>
      <c r="G105" s="352">
        <v>777794985</v>
      </c>
      <c r="H105" s="352">
        <v>1432232497</v>
      </c>
      <c r="I105" s="352">
        <v>9402558</v>
      </c>
      <c r="J105" t="s">
        <v>182</v>
      </c>
      <c r="K105" t="s">
        <v>1265</v>
      </c>
      <c r="L105" t="s">
        <v>1323</v>
      </c>
      <c r="M105" t="s">
        <v>136</v>
      </c>
      <c r="N105" s="2"/>
      <c r="O105" s="4"/>
    </row>
    <row r="106" spans="1:15" ht="12.75" customHeight="1" x14ac:dyDescent="0.25">
      <c r="A106" s="380">
        <v>912287</v>
      </c>
      <c r="B106" t="s">
        <v>342</v>
      </c>
      <c r="C106" s="352">
        <v>11889</v>
      </c>
      <c r="D106" s="352">
        <v>13521</v>
      </c>
      <c r="E106" s="352">
        <v>25410</v>
      </c>
      <c r="F106" s="352">
        <v>2461383910</v>
      </c>
      <c r="G106" s="352">
        <v>3342923987</v>
      </c>
      <c r="H106" s="352">
        <v>5804307896</v>
      </c>
      <c r="I106" s="352">
        <v>-53857461</v>
      </c>
      <c r="J106" t="s">
        <v>587</v>
      </c>
      <c r="K106" t="s">
        <v>1262</v>
      </c>
      <c r="L106" t="s">
        <v>1275</v>
      </c>
      <c r="M106" t="s">
        <v>57</v>
      </c>
      <c r="N106" s="2"/>
      <c r="O106" s="4"/>
    </row>
    <row r="107" spans="1:15" ht="12.75" customHeight="1" x14ac:dyDescent="0.25">
      <c r="A107" s="380">
        <v>290072</v>
      </c>
      <c r="B107" t="s">
        <v>198</v>
      </c>
      <c r="C107" s="352">
        <v>11083</v>
      </c>
      <c r="D107" s="352">
        <v>14327</v>
      </c>
      <c r="E107" s="352">
        <v>25410</v>
      </c>
      <c r="F107" s="352">
        <v>668992996</v>
      </c>
      <c r="G107" s="352">
        <v>1047091483</v>
      </c>
      <c r="H107" s="352">
        <v>1716084479</v>
      </c>
      <c r="I107" s="352">
        <v>3384921</v>
      </c>
      <c r="J107" t="s">
        <v>182</v>
      </c>
      <c r="K107" t="s">
        <v>1265</v>
      </c>
      <c r="L107" t="s">
        <v>220</v>
      </c>
      <c r="M107" t="s">
        <v>136</v>
      </c>
      <c r="N107" s="2"/>
      <c r="O107" s="4"/>
    </row>
    <row r="108" spans="1:15" ht="12.75" customHeight="1" x14ac:dyDescent="0.25">
      <c r="A108" s="380">
        <v>341362</v>
      </c>
      <c r="B108" t="s">
        <v>428</v>
      </c>
      <c r="C108" s="352">
        <v>12485</v>
      </c>
      <c r="D108" s="352">
        <v>12400</v>
      </c>
      <c r="E108" s="352">
        <v>24885</v>
      </c>
      <c r="F108" s="352">
        <v>442624226</v>
      </c>
      <c r="G108" s="352">
        <v>551324706</v>
      </c>
      <c r="H108" s="352">
        <v>993948932</v>
      </c>
      <c r="I108" s="352">
        <v>8216777</v>
      </c>
      <c r="J108" t="s">
        <v>154</v>
      </c>
      <c r="K108" t="s">
        <v>1265</v>
      </c>
      <c r="L108" t="s">
        <v>429</v>
      </c>
      <c r="M108" t="s">
        <v>136</v>
      </c>
      <c r="N108" s="2"/>
      <c r="O108" s="4"/>
    </row>
    <row r="109" spans="1:15" ht="12.75" customHeight="1" x14ac:dyDescent="0.25">
      <c r="A109" s="380">
        <v>393314</v>
      </c>
      <c r="B109" t="s">
        <v>274</v>
      </c>
      <c r="C109" s="352">
        <v>11065</v>
      </c>
      <c r="D109" s="352">
        <v>13555</v>
      </c>
      <c r="E109" s="352">
        <v>24620</v>
      </c>
      <c r="F109" s="352">
        <v>716608459</v>
      </c>
      <c r="G109" s="352">
        <v>1049198934</v>
      </c>
      <c r="H109" s="352">
        <v>1765807393</v>
      </c>
      <c r="I109" s="352">
        <v>9321248</v>
      </c>
      <c r="J109" t="s">
        <v>182</v>
      </c>
      <c r="K109" t="s">
        <v>1265</v>
      </c>
      <c r="L109" t="s">
        <v>160</v>
      </c>
      <c r="M109" t="s">
        <v>136</v>
      </c>
      <c r="N109" s="2"/>
      <c r="O109" s="4"/>
    </row>
    <row r="110" spans="1:15" ht="12.75" customHeight="1" x14ac:dyDescent="0.25">
      <c r="A110" s="380">
        <v>434274</v>
      </c>
      <c r="B110" t="s">
        <v>566</v>
      </c>
      <c r="C110" s="352">
        <v>8966</v>
      </c>
      <c r="D110" s="352">
        <v>15606</v>
      </c>
      <c r="E110" s="352">
        <v>24572</v>
      </c>
      <c r="F110" s="352">
        <v>580048833</v>
      </c>
      <c r="G110" s="352">
        <v>1179621464</v>
      </c>
      <c r="H110" s="352">
        <v>1759670297</v>
      </c>
      <c r="I110" s="352">
        <v>49198111</v>
      </c>
      <c r="J110" t="s">
        <v>228</v>
      </c>
      <c r="K110" t="s">
        <v>1265</v>
      </c>
      <c r="L110" t="s">
        <v>149</v>
      </c>
      <c r="M110" t="s">
        <v>136</v>
      </c>
      <c r="N110" s="2"/>
      <c r="O110" s="4"/>
    </row>
    <row r="111" spans="1:15" ht="12.75" customHeight="1" x14ac:dyDescent="0.25">
      <c r="A111" s="380">
        <v>191676</v>
      </c>
      <c r="B111" t="s">
        <v>577</v>
      </c>
      <c r="C111" s="352">
        <v>8326</v>
      </c>
      <c r="D111" s="352">
        <v>16154</v>
      </c>
      <c r="E111" s="352">
        <v>24480</v>
      </c>
      <c r="F111" s="352">
        <v>736473305</v>
      </c>
      <c r="G111" s="352">
        <v>1601459165</v>
      </c>
      <c r="H111" s="352">
        <v>2337932469</v>
      </c>
      <c r="I111" s="352">
        <v>8983119</v>
      </c>
      <c r="J111" t="s">
        <v>204</v>
      </c>
      <c r="K111" t="s">
        <v>1265</v>
      </c>
      <c r="L111" t="s">
        <v>332</v>
      </c>
      <c r="M111" t="s">
        <v>57</v>
      </c>
      <c r="N111" s="2"/>
      <c r="O111" s="4"/>
    </row>
    <row r="112" spans="1:15" ht="12.75" customHeight="1" x14ac:dyDescent="0.25">
      <c r="A112" s="380">
        <v>123679</v>
      </c>
      <c r="B112" t="s">
        <v>638</v>
      </c>
      <c r="C112" s="352">
        <v>12362</v>
      </c>
      <c r="D112" s="352">
        <v>11930</v>
      </c>
      <c r="E112" s="352">
        <v>24292</v>
      </c>
      <c r="F112" s="352">
        <v>754026563</v>
      </c>
      <c r="G112" s="352">
        <v>841907089</v>
      </c>
      <c r="H112" s="352">
        <v>1595933652</v>
      </c>
      <c r="I112" s="352">
        <v>17933143</v>
      </c>
      <c r="J112" t="s">
        <v>154</v>
      </c>
      <c r="K112" t="s">
        <v>1265</v>
      </c>
      <c r="L112" t="s">
        <v>161</v>
      </c>
      <c r="M112" t="s">
        <v>136</v>
      </c>
      <c r="N112" s="2"/>
      <c r="O112" s="4"/>
    </row>
    <row r="113" spans="1:15" ht="12.75" customHeight="1" x14ac:dyDescent="0.25">
      <c r="A113" s="380">
        <v>995571</v>
      </c>
      <c r="B113" t="s">
        <v>1358</v>
      </c>
      <c r="C113" s="352">
        <v>10817</v>
      </c>
      <c r="D113" s="352">
        <v>12651</v>
      </c>
      <c r="E113" s="352">
        <v>23468</v>
      </c>
      <c r="F113" s="352">
        <v>386065387</v>
      </c>
      <c r="G113" s="352">
        <v>552359929</v>
      </c>
      <c r="H113" s="352">
        <v>938425315</v>
      </c>
      <c r="I113" s="352">
        <v>2707681</v>
      </c>
      <c r="J113" t="s">
        <v>228</v>
      </c>
      <c r="K113" t="s">
        <v>1265</v>
      </c>
      <c r="L113" t="s">
        <v>1323</v>
      </c>
      <c r="M113" t="s">
        <v>57</v>
      </c>
      <c r="N113" s="2"/>
      <c r="O113" s="4"/>
    </row>
    <row r="114" spans="1:15" ht="12.75" customHeight="1" x14ac:dyDescent="0.25">
      <c r="A114" s="380">
        <v>520759</v>
      </c>
      <c r="B114" t="s">
        <v>458</v>
      </c>
      <c r="C114" s="352">
        <v>13026</v>
      </c>
      <c r="D114" s="352">
        <v>10327</v>
      </c>
      <c r="E114" s="352">
        <v>23353</v>
      </c>
      <c r="F114" s="352">
        <v>1438635381</v>
      </c>
      <c r="G114" s="352">
        <v>1336977030</v>
      </c>
      <c r="H114" s="352">
        <v>2775612411</v>
      </c>
      <c r="I114" s="352">
        <v>21373628</v>
      </c>
      <c r="J114" t="s">
        <v>154</v>
      </c>
      <c r="K114" t="s">
        <v>1265</v>
      </c>
      <c r="L114" t="s">
        <v>173</v>
      </c>
      <c r="M114" t="s">
        <v>136</v>
      </c>
      <c r="N114" s="2"/>
      <c r="O114" s="4"/>
    </row>
    <row r="115" spans="1:15" ht="12.75" customHeight="1" x14ac:dyDescent="0.25">
      <c r="A115" s="380">
        <v>296152</v>
      </c>
      <c r="B115" t="s">
        <v>183</v>
      </c>
      <c r="C115" s="352">
        <v>15893</v>
      </c>
      <c r="D115" s="352">
        <v>7395</v>
      </c>
      <c r="E115" s="352">
        <v>23288</v>
      </c>
      <c r="F115" s="352">
        <v>1235508800</v>
      </c>
      <c r="G115" s="352">
        <v>661461500</v>
      </c>
      <c r="H115" s="352">
        <v>1896970301</v>
      </c>
      <c r="I115" s="352">
        <v>-64233943</v>
      </c>
      <c r="J115" t="s">
        <v>590</v>
      </c>
      <c r="K115" t="s">
        <v>1265</v>
      </c>
      <c r="L115" t="s">
        <v>147</v>
      </c>
      <c r="M115" t="s">
        <v>136</v>
      </c>
      <c r="N115" s="2"/>
      <c r="O115" s="4"/>
    </row>
    <row r="116" spans="1:15" ht="12.75" customHeight="1" x14ac:dyDescent="0.25">
      <c r="A116" s="380">
        <v>144501</v>
      </c>
      <c r="B116" t="s">
        <v>1221</v>
      </c>
      <c r="C116" s="352">
        <v>10963</v>
      </c>
      <c r="D116" s="352">
        <v>12097</v>
      </c>
      <c r="E116" s="352">
        <v>23060</v>
      </c>
      <c r="F116" s="352">
        <v>341494292</v>
      </c>
      <c r="G116" s="352">
        <v>437810339</v>
      </c>
      <c r="H116" s="352">
        <v>779304631</v>
      </c>
      <c r="I116" s="352">
        <v>8388840</v>
      </c>
      <c r="J116" t="s">
        <v>604</v>
      </c>
      <c r="K116" t="s">
        <v>1266</v>
      </c>
      <c r="L116" t="s">
        <v>248</v>
      </c>
      <c r="M116" t="s">
        <v>57</v>
      </c>
      <c r="N116" s="2"/>
      <c r="O116" s="4"/>
    </row>
    <row r="117" spans="1:15" ht="12.75" customHeight="1" x14ac:dyDescent="0.25">
      <c r="A117" s="380">
        <v>422709</v>
      </c>
      <c r="B117" t="s">
        <v>1337</v>
      </c>
      <c r="C117" s="352">
        <v>11192</v>
      </c>
      <c r="D117" s="352">
        <v>11556</v>
      </c>
      <c r="E117" s="352">
        <v>22748</v>
      </c>
      <c r="F117" s="352">
        <v>1289787578</v>
      </c>
      <c r="G117" s="352">
        <v>1629490937</v>
      </c>
      <c r="H117" s="352">
        <v>2919278515</v>
      </c>
      <c r="I117" s="352">
        <v>11644979</v>
      </c>
      <c r="J117" t="s">
        <v>154</v>
      </c>
      <c r="K117" t="s">
        <v>1265</v>
      </c>
      <c r="L117" t="s">
        <v>1285</v>
      </c>
      <c r="M117" t="s">
        <v>57</v>
      </c>
      <c r="N117" s="2"/>
      <c r="O117" s="4"/>
    </row>
    <row r="118" spans="1:15" ht="12.75" customHeight="1" x14ac:dyDescent="0.25">
      <c r="A118" s="380">
        <v>972497</v>
      </c>
      <c r="B118" t="s">
        <v>142</v>
      </c>
      <c r="C118" s="352">
        <v>8706</v>
      </c>
      <c r="D118" s="352">
        <v>13510</v>
      </c>
      <c r="E118" s="352">
        <v>22216</v>
      </c>
      <c r="F118" s="352">
        <v>779947081</v>
      </c>
      <c r="G118" s="352">
        <v>1612445913</v>
      </c>
      <c r="H118" s="352">
        <v>2392392994</v>
      </c>
      <c r="I118" s="352">
        <v>68907489</v>
      </c>
      <c r="J118" t="s">
        <v>593</v>
      </c>
      <c r="K118" t="s">
        <v>1266</v>
      </c>
      <c r="L118" t="s">
        <v>143</v>
      </c>
      <c r="M118" t="s">
        <v>136</v>
      </c>
      <c r="N118" s="2"/>
      <c r="O118" s="4"/>
    </row>
    <row r="119" spans="1:15" ht="12.75" customHeight="1" x14ac:dyDescent="0.25">
      <c r="A119" s="380">
        <v>305185</v>
      </c>
      <c r="B119" t="s">
        <v>1304</v>
      </c>
      <c r="C119" s="352">
        <v>10684</v>
      </c>
      <c r="D119" s="352">
        <v>10967</v>
      </c>
      <c r="E119" s="352">
        <v>21651</v>
      </c>
      <c r="F119" s="352">
        <v>690170887</v>
      </c>
      <c r="G119" s="352">
        <v>985604267</v>
      </c>
      <c r="H119" s="352">
        <v>1675775154</v>
      </c>
      <c r="I119" s="352">
        <v>23273467</v>
      </c>
      <c r="J119" t="s">
        <v>593</v>
      </c>
      <c r="K119" t="s">
        <v>1266</v>
      </c>
      <c r="L119" t="s">
        <v>144</v>
      </c>
      <c r="M119" t="s">
        <v>136</v>
      </c>
      <c r="N119" s="2"/>
      <c r="O119" s="4"/>
    </row>
    <row r="120" spans="1:15" ht="12.75" customHeight="1" x14ac:dyDescent="0.25">
      <c r="A120" s="380">
        <v>959502</v>
      </c>
      <c r="B120" t="s">
        <v>635</v>
      </c>
      <c r="C120" s="352">
        <v>8450</v>
      </c>
      <c r="D120" s="352">
        <v>12645</v>
      </c>
      <c r="E120" s="352">
        <v>21095</v>
      </c>
      <c r="F120" s="352">
        <v>1659375312</v>
      </c>
      <c r="G120" s="352">
        <v>2964825117</v>
      </c>
      <c r="H120" s="352">
        <v>4624200429</v>
      </c>
      <c r="I120" s="352">
        <v>21057278</v>
      </c>
      <c r="J120" t="s">
        <v>588</v>
      </c>
      <c r="K120" t="s">
        <v>1262</v>
      </c>
      <c r="L120" t="s">
        <v>220</v>
      </c>
      <c r="M120" t="s">
        <v>136</v>
      </c>
      <c r="N120" s="2"/>
      <c r="O120" s="4"/>
    </row>
    <row r="121" spans="1:15" ht="12.75" customHeight="1" x14ac:dyDescent="0.25">
      <c r="A121" s="380">
        <v>929224</v>
      </c>
      <c r="B121" t="s">
        <v>1318</v>
      </c>
      <c r="C121" s="352">
        <v>8530</v>
      </c>
      <c r="D121" s="352">
        <v>12436</v>
      </c>
      <c r="E121" s="352">
        <v>20966</v>
      </c>
      <c r="F121" s="352">
        <v>546027214</v>
      </c>
      <c r="G121" s="352">
        <v>951346055</v>
      </c>
      <c r="H121" s="352">
        <v>1497373268</v>
      </c>
      <c r="I121" s="352">
        <v>34468418</v>
      </c>
      <c r="J121" t="s">
        <v>608</v>
      </c>
      <c r="K121" t="s">
        <v>1265</v>
      </c>
      <c r="L121" t="s">
        <v>537</v>
      </c>
      <c r="M121" t="s">
        <v>136</v>
      </c>
      <c r="N121" s="2"/>
      <c r="O121" s="4"/>
    </row>
    <row r="122" spans="1:15" ht="12.75" customHeight="1" x14ac:dyDescent="0.25">
      <c r="A122" s="380">
        <v>536276</v>
      </c>
      <c r="B122" t="s">
        <v>1248</v>
      </c>
      <c r="C122" s="352">
        <v>9473</v>
      </c>
      <c r="D122" s="352">
        <v>11455</v>
      </c>
      <c r="E122" s="352">
        <v>20928</v>
      </c>
      <c r="F122" s="352">
        <v>1313296921</v>
      </c>
      <c r="G122" s="352">
        <v>1754551857</v>
      </c>
      <c r="H122" s="352">
        <v>3067848777</v>
      </c>
      <c r="I122" s="352">
        <v>23555963</v>
      </c>
      <c r="J122" t="s">
        <v>602</v>
      </c>
      <c r="K122" t="s">
        <v>1262</v>
      </c>
      <c r="L122" t="s">
        <v>1279</v>
      </c>
      <c r="M122" t="s">
        <v>136</v>
      </c>
      <c r="N122" s="2"/>
      <c r="O122" s="4"/>
    </row>
    <row r="123" spans="1:15" ht="12.75" customHeight="1" x14ac:dyDescent="0.25">
      <c r="A123" s="380">
        <v>704502</v>
      </c>
      <c r="B123" t="s">
        <v>507</v>
      </c>
      <c r="C123" s="352">
        <v>10591</v>
      </c>
      <c r="D123" s="352">
        <v>10222</v>
      </c>
      <c r="E123" s="352">
        <v>20813</v>
      </c>
      <c r="F123" s="352">
        <v>498881739</v>
      </c>
      <c r="G123" s="352">
        <v>537136914</v>
      </c>
      <c r="H123" s="352">
        <v>1036018652</v>
      </c>
      <c r="I123" s="352">
        <v>8263745</v>
      </c>
      <c r="J123" t="s">
        <v>154</v>
      </c>
      <c r="K123" t="s">
        <v>1265</v>
      </c>
      <c r="L123" t="s">
        <v>1268</v>
      </c>
      <c r="M123" t="s">
        <v>57</v>
      </c>
      <c r="N123" s="2"/>
      <c r="O123" s="4"/>
    </row>
    <row r="124" spans="1:15" ht="12.75" customHeight="1" x14ac:dyDescent="0.25">
      <c r="A124" s="380">
        <v>563965</v>
      </c>
      <c r="B124" t="s">
        <v>569</v>
      </c>
      <c r="C124" s="352">
        <v>10523</v>
      </c>
      <c r="D124" s="352">
        <v>10215</v>
      </c>
      <c r="E124" s="352">
        <v>20738</v>
      </c>
      <c r="F124" s="352">
        <v>566951341</v>
      </c>
      <c r="G124" s="352">
        <v>642022709</v>
      </c>
      <c r="H124" s="352">
        <v>1208974050</v>
      </c>
      <c r="I124" s="352">
        <v>11915496</v>
      </c>
      <c r="J124" t="s">
        <v>154</v>
      </c>
      <c r="K124" t="s">
        <v>1265</v>
      </c>
      <c r="L124" t="s">
        <v>149</v>
      </c>
      <c r="M124" t="s">
        <v>136</v>
      </c>
      <c r="N124" s="2"/>
      <c r="O124" s="4"/>
    </row>
    <row r="125" spans="1:15" ht="12.75" customHeight="1" x14ac:dyDescent="0.25">
      <c r="A125" s="380">
        <v>916189</v>
      </c>
      <c r="B125" t="s">
        <v>1354</v>
      </c>
      <c r="C125" s="352">
        <v>9272</v>
      </c>
      <c r="D125" s="352">
        <v>11043</v>
      </c>
      <c r="E125" s="352">
        <v>20315</v>
      </c>
      <c r="F125" s="352">
        <v>661023997</v>
      </c>
      <c r="G125" s="352">
        <v>952563992</v>
      </c>
      <c r="H125" s="352">
        <v>1613587989</v>
      </c>
      <c r="I125" s="352">
        <v>12018724</v>
      </c>
      <c r="J125" t="s">
        <v>182</v>
      </c>
      <c r="K125" t="s">
        <v>1265</v>
      </c>
      <c r="L125" t="s">
        <v>161</v>
      </c>
      <c r="M125" t="s">
        <v>136</v>
      </c>
      <c r="N125" s="2"/>
      <c r="O125" s="4"/>
    </row>
    <row r="126" spans="1:15" ht="12.75" customHeight="1" x14ac:dyDescent="0.25">
      <c r="A126" s="380">
        <v>968420</v>
      </c>
      <c r="B126" t="s">
        <v>1206</v>
      </c>
      <c r="C126" s="352">
        <v>9715</v>
      </c>
      <c r="D126" s="352">
        <v>10543</v>
      </c>
      <c r="E126" s="352">
        <v>20258</v>
      </c>
      <c r="F126" s="352">
        <v>769090163</v>
      </c>
      <c r="G126" s="352">
        <v>1008953726</v>
      </c>
      <c r="H126" s="352">
        <v>1778043889</v>
      </c>
      <c r="I126" s="352">
        <v>42252123</v>
      </c>
      <c r="J126" t="s">
        <v>610</v>
      </c>
      <c r="K126" t="s">
        <v>1265</v>
      </c>
      <c r="L126" t="s">
        <v>147</v>
      </c>
      <c r="M126" t="s">
        <v>136</v>
      </c>
      <c r="N126" s="2"/>
      <c r="O126" s="4"/>
    </row>
    <row r="127" spans="1:15" ht="12.75" customHeight="1" x14ac:dyDescent="0.25">
      <c r="A127" s="380">
        <v>545541</v>
      </c>
      <c r="B127" t="s">
        <v>140</v>
      </c>
      <c r="C127" s="352">
        <v>8806</v>
      </c>
      <c r="D127" s="352">
        <v>11418</v>
      </c>
      <c r="E127" s="352">
        <v>20224</v>
      </c>
      <c r="F127" s="352">
        <v>652714679</v>
      </c>
      <c r="G127" s="352">
        <v>1258021839</v>
      </c>
      <c r="H127" s="352">
        <v>1910736518</v>
      </c>
      <c r="I127" s="352">
        <v>1626130587</v>
      </c>
      <c r="J127" t="s">
        <v>601</v>
      </c>
      <c r="K127" t="s">
        <v>1266</v>
      </c>
      <c r="L127" t="s">
        <v>141</v>
      </c>
      <c r="M127" t="s">
        <v>136</v>
      </c>
      <c r="N127" s="2"/>
      <c r="O127" s="4"/>
    </row>
    <row r="128" spans="1:15" ht="12.75" customHeight="1" x14ac:dyDescent="0.25">
      <c r="A128" s="380">
        <v>629543</v>
      </c>
      <c r="B128" t="s">
        <v>1317</v>
      </c>
      <c r="C128" s="352">
        <v>9771</v>
      </c>
      <c r="D128" s="352">
        <v>10265</v>
      </c>
      <c r="E128" s="352">
        <v>20036</v>
      </c>
      <c r="F128" s="352">
        <v>452195546</v>
      </c>
      <c r="G128" s="352">
        <v>569938123</v>
      </c>
      <c r="H128" s="352">
        <v>1022133669</v>
      </c>
      <c r="I128" s="352">
        <v>9286646</v>
      </c>
      <c r="J128" t="s">
        <v>178</v>
      </c>
      <c r="K128" t="s">
        <v>1265</v>
      </c>
      <c r="L128" t="s">
        <v>537</v>
      </c>
      <c r="M128" t="s">
        <v>136</v>
      </c>
      <c r="N128" s="2"/>
      <c r="O128" s="4"/>
    </row>
    <row r="129" spans="1:15" ht="12.75" customHeight="1" x14ac:dyDescent="0.25">
      <c r="A129" s="380">
        <v>350512</v>
      </c>
      <c r="B129" t="s">
        <v>642</v>
      </c>
      <c r="C129" s="352">
        <v>10603</v>
      </c>
      <c r="D129" s="352">
        <v>9315</v>
      </c>
      <c r="E129" s="352">
        <v>19918</v>
      </c>
      <c r="F129" s="352">
        <v>2255595678</v>
      </c>
      <c r="G129" s="352">
        <v>2187372995</v>
      </c>
      <c r="H129" s="352">
        <v>4442968673</v>
      </c>
      <c r="I129" s="352">
        <v>72750032</v>
      </c>
      <c r="J129" t="s">
        <v>586</v>
      </c>
      <c r="K129" t="s">
        <v>1259</v>
      </c>
      <c r="L129" t="s">
        <v>537</v>
      </c>
      <c r="M129" t="s">
        <v>136</v>
      </c>
      <c r="N129" s="2"/>
      <c r="O129" s="4"/>
    </row>
    <row r="130" spans="1:15" ht="12.75" customHeight="1" x14ac:dyDescent="0.25">
      <c r="A130" s="380">
        <v>904904</v>
      </c>
      <c r="B130" t="s">
        <v>539</v>
      </c>
      <c r="C130" s="352">
        <v>9418</v>
      </c>
      <c r="D130" s="352">
        <v>9600</v>
      </c>
      <c r="E130" s="352">
        <v>19018</v>
      </c>
      <c r="F130" s="352">
        <v>567202433</v>
      </c>
      <c r="G130" s="352">
        <v>664311528</v>
      </c>
      <c r="H130" s="352">
        <v>1231513961</v>
      </c>
      <c r="I130" s="352">
        <v>7756775</v>
      </c>
      <c r="J130" t="s">
        <v>182</v>
      </c>
      <c r="K130" t="s">
        <v>1265</v>
      </c>
      <c r="L130" t="s">
        <v>1269</v>
      </c>
      <c r="M130" t="s">
        <v>136</v>
      </c>
      <c r="N130" s="2"/>
      <c r="O130" s="4"/>
    </row>
    <row r="131" spans="1:15" ht="12.75" customHeight="1" x14ac:dyDescent="0.25">
      <c r="A131" s="380">
        <v>521104</v>
      </c>
      <c r="B131" t="s">
        <v>472</v>
      </c>
      <c r="C131" s="352">
        <v>8076</v>
      </c>
      <c r="D131" s="352">
        <v>10597</v>
      </c>
      <c r="E131" s="352">
        <v>18673</v>
      </c>
      <c r="F131" s="352">
        <v>327093823</v>
      </c>
      <c r="G131" s="352">
        <v>512058760</v>
      </c>
      <c r="H131" s="352">
        <v>839152583</v>
      </c>
      <c r="I131" s="352">
        <v>7792740</v>
      </c>
      <c r="J131" t="s">
        <v>244</v>
      </c>
      <c r="K131" t="s">
        <v>1265</v>
      </c>
      <c r="L131" t="s">
        <v>248</v>
      </c>
      <c r="M131" t="s">
        <v>57</v>
      </c>
      <c r="N131" s="2"/>
      <c r="O131" s="4"/>
    </row>
    <row r="132" spans="1:15" ht="12.75" customHeight="1" x14ac:dyDescent="0.25">
      <c r="A132" s="380">
        <v>505586</v>
      </c>
      <c r="B132" t="s">
        <v>337</v>
      </c>
      <c r="C132" s="352">
        <v>6799</v>
      </c>
      <c r="D132" s="352">
        <v>11656</v>
      </c>
      <c r="E132" s="352">
        <v>18455</v>
      </c>
      <c r="F132" s="352">
        <v>443846627</v>
      </c>
      <c r="G132" s="352">
        <v>941629562</v>
      </c>
      <c r="H132" s="352">
        <v>1385476190</v>
      </c>
      <c r="I132" s="352">
        <v>9534287</v>
      </c>
      <c r="J132" t="s">
        <v>617</v>
      </c>
      <c r="K132" t="s">
        <v>1265</v>
      </c>
      <c r="L132" t="s">
        <v>160</v>
      </c>
      <c r="M132" t="s">
        <v>136</v>
      </c>
      <c r="N132" s="2"/>
      <c r="O132" s="4"/>
    </row>
    <row r="133" spans="1:15" ht="12.75" customHeight="1" x14ac:dyDescent="0.25">
      <c r="A133" s="380">
        <v>3</v>
      </c>
      <c r="B133" t="s">
        <v>1263</v>
      </c>
      <c r="C133" s="352">
        <v>8591</v>
      </c>
      <c r="D133" s="352">
        <v>9429</v>
      </c>
      <c r="E133" s="352">
        <v>18020</v>
      </c>
      <c r="F133" s="352">
        <v>1726211331</v>
      </c>
      <c r="G133" s="352">
        <v>2111098229</v>
      </c>
      <c r="H133" s="352">
        <v>3837309560</v>
      </c>
      <c r="I133" s="352"/>
      <c r="J133" t="s">
        <v>1258</v>
      </c>
      <c r="K133" t="s">
        <v>1262</v>
      </c>
      <c r="L133" t="s">
        <v>1260</v>
      </c>
      <c r="M133" t="s">
        <v>136</v>
      </c>
      <c r="N133" s="2"/>
      <c r="O133" s="4"/>
    </row>
    <row r="134" spans="1:15" ht="12.75" customHeight="1" x14ac:dyDescent="0.25">
      <c r="A134" s="380">
        <v>4</v>
      </c>
      <c r="B134" t="s">
        <v>1264</v>
      </c>
      <c r="C134" s="352">
        <v>6492</v>
      </c>
      <c r="D134" s="352">
        <v>11417</v>
      </c>
      <c r="E134" s="352">
        <v>17909</v>
      </c>
      <c r="F134" s="352">
        <v>1428499548</v>
      </c>
      <c r="G134" s="352">
        <v>2767790896</v>
      </c>
      <c r="H134" s="352">
        <v>4196290444</v>
      </c>
      <c r="I134" s="352"/>
      <c r="J134" t="s">
        <v>1258</v>
      </c>
      <c r="K134" t="s">
        <v>1262</v>
      </c>
      <c r="L134" t="s">
        <v>1260</v>
      </c>
      <c r="M134" t="s">
        <v>136</v>
      </c>
      <c r="N134" s="2"/>
      <c r="O134" s="4"/>
    </row>
    <row r="135" spans="1:15" ht="12.75" customHeight="1" x14ac:dyDescent="0.25">
      <c r="A135" s="380">
        <v>743112</v>
      </c>
      <c r="B135" t="s">
        <v>1182</v>
      </c>
      <c r="C135" s="352">
        <v>9206</v>
      </c>
      <c r="D135" s="352">
        <v>8251</v>
      </c>
      <c r="E135" s="352">
        <v>17457</v>
      </c>
      <c r="F135" s="352">
        <v>1307771896</v>
      </c>
      <c r="G135" s="352">
        <v>1391597472</v>
      </c>
      <c r="H135" s="352">
        <v>2699369368</v>
      </c>
      <c r="I135" s="352">
        <v>13702090</v>
      </c>
      <c r="J135" t="s">
        <v>586</v>
      </c>
      <c r="K135" t="s">
        <v>1259</v>
      </c>
      <c r="L135" t="s">
        <v>149</v>
      </c>
      <c r="M135" t="s">
        <v>136</v>
      </c>
      <c r="N135" s="2"/>
      <c r="O135" s="4"/>
    </row>
    <row r="136" spans="1:15" ht="12.75" customHeight="1" x14ac:dyDescent="0.25">
      <c r="A136" s="380">
        <v>278853</v>
      </c>
      <c r="B136" t="s">
        <v>641</v>
      </c>
      <c r="C136" s="352">
        <v>8995</v>
      </c>
      <c r="D136" s="352">
        <v>8256</v>
      </c>
      <c r="E136" s="352">
        <v>17251</v>
      </c>
      <c r="F136" s="352">
        <v>1788247014</v>
      </c>
      <c r="G136" s="352">
        <v>1797328542</v>
      </c>
      <c r="H136" s="352">
        <v>3585575556</v>
      </c>
      <c r="I136" s="352">
        <v>58440822</v>
      </c>
      <c r="J136" t="s">
        <v>586</v>
      </c>
      <c r="K136" t="s">
        <v>1259</v>
      </c>
      <c r="L136" t="s">
        <v>537</v>
      </c>
      <c r="M136" t="s">
        <v>136</v>
      </c>
      <c r="N136" s="2"/>
      <c r="O136" s="4"/>
    </row>
    <row r="137" spans="1:15" ht="12.75" customHeight="1" x14ac:dyDescent="0.25">
      <c r="A137" s="380">
        <v>154302</v>
      </c>
      <c r="B137" t="s">
        <v>623</v>
      </c>
      <c r="C137" s="352">
        <v>8968</v>
      </c>
      <c r="D137" s="352">
        <v>7992</v>
      </c>
      <c r="E137" s="352">
        <v>16960</v>
      </c>
      <c r="F137" s="352">
        <v>457348236</v>
      </c>
      <c r="G137" s="352">
        <v>492549741</v>
      </c>
      <c r="H137" s="352">
        <v>949897977</v>
      </c>
      <c r="I137" s="352">
        <v>11075968</v>
      </c>
      <c r="J137" t="s">
        <v>602</v>
      </c>
      <c r="K137" t="s">
        <v>1262</v>
      </c>
      <c r="L137" t="s">
        <v>161</v>
      </c>
      <c r="M137" t="s">
        <v>136</v>
      </c>
      <c r="N137" s="2"/>
      <c r="O137" s="4"/>
    </row>
    <row r="138" spans="1:15" ht="12.75" customHeight="1" x14ac:dyDescent="0.25">
      <c r="A138" s="380">
        <v>407775</v>
      </c>
      <c r="B138" t="s">
        <v>1288</v>
      </c>
      <c r="C138" s="352">
        <v>8820</v>
      </c>
      <c r="D138" s="352">
        <v>8138</v>
      </c>
      <c r="E138" s="352">
        <v>16958</v>
      </c>
      <c r="F138" s="352">
        <v>361234307</v>
      </c>
      <c r="G138" s="352">
        <v>421436717</v>
      </c>
      <c r="H138" s="352">
        <v>782671024</v>
      </c>
      <c r="I138" s="352">
        <v>337300</v>
      </c>
      <c r="J138" t="s">
        <v>608</v>
      </c>
      <c r="K138" t="s">
        <v>1265</v>
      </c>
      <c r="L138" t="s">
        <v>1281</v>
      </c>
      <c r="M138" t="s">
        <v>57</v>
      </c>
      <c r="N138" s="2"/>
      <c r="O138" s="4"/>
    </row>
    <row r="139" spans="1:15" ht="12.75" customHeight="1" x14ac:dyDescent="0.25">
      <c r="A139" s="380">
        <v>982116</v>
      </c>
      <c r="B139" t="s">
        <v>634</v>
      </c>
      <c r="C139" s="352">
        <v>8618</v>
      </c>
      <c r="D139" s="352">
        <v>8135</v>
      </c>
      <c r="E139" s="352">
        <v>16753</v>
      </c>
      <c r="F139" s="352">
        <v>1798778329</v>
      </c>
      <c r="G139" s="352">
        <v>2039150041</v>
      </c>
      <c r="H139" s="352">
        <v>3837928370</v>
      </c>
      <c r="I139" s="352">
        <v>27343857</v>
      </c>
      <c r="J139" t="s">
        <v>588</v>
      </c>
      <c r="K139" t="s">
        <v>1262</v>
      </c>
      <c r="L139" t="s">
        <v>1355</v>
      </c>
      <c r="M139" t="s">
        <v>57</v>
      </c>
      <c r="N139" s="2"/>
      <c r="O139" s="4"/>
    </row>
    <row r="140" spans="1:15" ht="12.75" customHeight="1" x14ac:dyDescent="0.25">
      <c r="A140" s="380">
        <v>220244</v>
      </c>
      <c r="B140" t="s">
        <v>620</v>
      </c>
      <c r="C140" s="352">
        <v>8143</v>
      </c>
      <c r="D140" s="352">
        <v>8598</v>
      </c>
      <c r="E140" s="352">
        <v>16741</v>
      </c>
      <c r="F140" s="352">
        <v>538934090</v>
      </c>
      <c r="G140" s="352">
        <v>671567445</v>
      </c>
      <c r="H140" s="352">
        <v>1210501536</v>
      </c>
      <c r="I140" s="352">
        <v>8675534</v>
      </c>
      <c r="J140" t="s">
        <v>182</v>
      </c>
      <c r="K140" t="s">
        <v>1265</v>
      </c>
      <c r="L140" t="s">
        <v>251</v>
      </c>
      <c r="M140" t="s">
        <v>136</v>
      </c>
      <c r="N140" s="2"/>
      <c r="O140" s="4"/>
    </row>
    <row r="141" spans="1:15" ht="12.75" customHeight="1" x14ac:dyDescent="0.25">
      <c r="A141" s="380">
        <v>610410</v>
      </c>
      <c r="B141" t="s">
        <v>224</v>
      </c>
      <c r="C141" s="352">
        <v>7810</v>
      </c>
      <c r="D141" s="352">
        <v>8698</v>
      </c>
      <c r="E141" s="352">
        <v>16508</v>
      </c>
      <c r="F141" s="352">
        <v>458048466</v>
      </c>
      <c r="G141" s="352">
        <v>608292931</v>
      </c>
      <c r="H141" s="352">
        <v>1066341397</v>
      </c>
      <c r="I141" s="352">
        <v>2938519</v>
      </c>
      <c r="J141" t="s">
        <v>182</v>
      </c>
      <c r="K141" t="s">
        <v>1265</v>
      </c>
      <c r="L141" t="s">
        <v>164</v>
      </c>
      <c r="M141" t="s">
        <v>57</v>
      </c>
      <c r="N141" s="2"/>
      <c r="O141" s="4"/>
    </row>
    <row r="142" spans="1:15" ht="12.75" customHeight="1" x14ac:dyDescent="0.25">
      <c r="A142" s="380">
        <v>751495</v>
      </c>
      <c r="B142" t="s">
        <v>1348</v>
      </c>
      <c r="C142" s="352">
        <v>7621</v>
      </c>
      <c r="D142" s="352">
        <v>8796</v>
      </c>
      <c r="E142" s="352">
        <v>16417</v>
      </c>
      <c r="F142" s="352">
        <v>671189889</v>
      </c>
      <c r="G142" s="352">
        <v>905769228</v>
      </c>
      <c r="H142" s="352">
        <v>1576959117</v>
      </c>
      <c r="I142" s="352">
        <v>11729310</v>
      </c>
      <c r="J142" t="s">
        <v>244</v>
      </c>
      <c r="K142" t="s">
        <v>1265</v>
      </c>
      <c r="L142" t="s">
        <v>161</v>
      </c>
      <c r="M142" t="s">
        <v>136</v>
      </c>
      <c r="N142" s="2"/>
      <c r="O142" s="4"/>
    </row>
    <row r="143" spans="1:15" ht="12.75" customHeight="1" x14ac:dyDescent="0.25">
      <c r="A143" s="380">
        <v>707281</v>
      </c>
      <c r="B143" t="s">
        <v>1181</v>
      </c>
      <c r="C143" s="352">
        <v>8787</v>
      </c>
      <c r="D143" s="352">
        <v>7534</v>
      </c>
      <c r="E143" s="352">
        <v>16321</v>
      </c>
      <c r="F143" s="352">
        <v>1222002918</v>
      </c>
      <c r="G143" s="352">
        <v>1290700410</v>
      </c>
      <c r="H143" s="352">
        <v>2512703328</v>
      </c>
      <c r="I143" s="352">
        <v>12216828</v>
      </c>
      <c r="J143" t="s">
        <v>586</v>
      </c>
      <c r="K143" t="s">
        <v>1259</v>
      </c>
      <c r="L143" t="s">
        <v>149</v>
      </c>
      <c r="M143" t="s">
        <v>136</v>
      </c>
      <c r="N143" s="2"/>
      <c r="O143" s="4"/>
    </row>
    <row r="144" spans="1:15" ht="12.75" customHeight="1" x14ac:dyDescent="0.25">
      <c r="A144" s="380">
        <v>778944</v>
      </c>
      <c r="B144" t="s">
        <v>1178</v>
      </c>
      <c r="C144" s="352">
        <v>8243</v>
      </c>
      <c r="D144" s="352">
        <v>7898</v>
      </c>
      <c r="E144" s="352">
        <v>16141</v>
      </c>
      <c r="F144" s="352">
        <v>1059822107</v>
      </c>
      <c r="G144" s="352">
        <v>1218108237</v>
      </c>
      <c r="H144" s="352">
        <v>2277930344</v>
      </c>
      <c r="I144" s="352">
        <v>11663890</v>
      </c>
      <c r="J144" t="s">
        <v>139</v>
      </c>
      <c r="K144" t="s">
        <v>1259</v>
      </c>
      <c r="L144" t="s">
        <v>149</v>
      </c>
      <c r="M144" t="s">
        <v>136</v>
      </c>
      <c r="N144" s="2"/>
      <c r="O144" s="4"/>
    </row>
    <row r="145" spans="1:15" ht="12.75" customHeight="1" x14ac:dyDescent="0.25">
      <c r="A145" s="380">
        <v>541235</v>
      </c>
      <c r="B145" t="s">
        <v>281</v>
      </c>
      <c r="C145" s="352">
        <v>6548</v>
      </c>
      <c r="D145" s="352">
        <v>9578</v>
      </c>
      <c r="E145" s="352">
        <v>16126</v>
      </c>
      <c r="F145" s="352">
        <v>495858881</v>
      </c>
      <c r="G145" s="352">
        <v>851087962</v>
      </c>
      <c r="H145" s="352">
        <v>1346946843</v>
      </c>
      <c r="I145" s="352">
        <v>-1968006</v>
      </c>
      <c r="J145" t="s">
        <v>154</v>
      </c>
      <c r="K145" t="s">
        <v>1265</v>
      </c>
      <c r="L145" t="s">
        <v>258</v>
      </c>
      <c r="M145" t="s">
        <v>136</v>
      </c>
      <c r="N145" s="2"/>
      <c r="O145" s="4"/>
    </row>
    <row r="146" spans="1:15" ht="12.75" customHeight="1" x14ac:dyDescent="0.25">
      <c r="A146" s="380">
        <v>908277</v>
      </c>
      <c r="B146" t="s">
        <v>179</v>
      </c>
      <c r="C146" s="352">
        <v>7571</v>
      </c>
      <c r="D146" s="352">
        <v>8458</v>
      </c>
      <c r="E146" s="352">
        <v>16029</v>
      </c>
      <c r="F146" s="352">
        <v>642551593</v>
      </c>
      <c r="G146" s="352">
        <v>843738076</v>
      </c>
      <c r="H146" s="352">
        <v>1486289670</v>
      </c>
      <c r="I146" s="352">
        <v>3841073</v>
      </c>
      <c r="J146" t="s">
        <v>154</v>
      </c>
      <c r="K146" t="s">
        <v>1265</v>
      </c>
      <c r="L146" t="s">
        <v>144</v>
      </c>
      <c r="M146" t="s">
        <v>136</v>
      </c>
      <c r="N146" s="2"/>
      <c r="O146" s="4"/>
    </row>
    <row r="147" spans="1:15" ht="12.75" customHeight="1" x14ac:dyDescent="0.25">
      <c r="A147" s="380">
        <v>362020</v>
      </c>
      <c r="B147" t="s">
        <v>545</v>
      </c>
      <c r="C147" s="352">
        <v>7037</v>
      </c>
      <c r="D147" s="352">
        <v>8760</v>
      </c>
      <c r="E147" s="352">
        <v>15797</v>
      </c>
      <c r="F147" s="352">
        <v>289409701</v>
      </c>
      <c r="G147" s="352">
        <v>447935617</v>
      </c>
      <c r="H147" s="352">
        <v>737345318</v>
      </c>
      <c r="I147" s="352">
        <v>8038637</v>
      </c>
      <c r="J147" t="s">
        <v>178</v>
      </c>
      <c r="K147" t="s">
        <v>1265</v>
      </c>
      <c r="L147" t="s">
        <v>161</v>
      </c>
      <c r="M147" t="s">
        <v>136</v>
      </c>
      <c r="N147" s="2"/>
      <c r="O147" s="4"/>
    </row>
    <row r="148" spans="1:15" ht="12.75" customHeight="1" x14ac:dyDescent="0.25">
      <c r="A148" s="380">
        <v>840090</v>
      </c>
      <c r="B148" t="s">
        <v>1350</v>
      </c>
      <c r="C148" s="352">
        <v>9056</v>
      </c>
      <c r="D148" s="352">
        <v>6329</v>
      </c>
      <c r="E148" s="352">
        <v>15385</v>
      </c>
      <c r="F148" s="352">
        <v>836068658</v>
      </c>
      <c r="G148" s="352">
        <v>659934231</v>
      </c>
      <c r="H148" s="352">
        <v>1496002889</v>
      </c>
      <c r="I148" s="352">
        <v>36029622</v>
      </c>
      <c r="J148" t="s">
        <v>595</v>
      </c>
      <c r="K148" t="s">
        <v>1266</v>
      </c>
      <c r="L148" t="s">
        <v>1323</v>
      </c>
      <c r="M148" t="s">
        <v>57</v>
      </c>
      <c r="N148" s="2"/>
      <c r="O148" s="4"/>
    </row>
    <row r="149" spans="1:15" ht="12.75" customHeight="1" x14ac:dyDescent="0.25">
      <c r="A149" s="380">
        <v>182287</v>
      </c>
      <c r="B149" t="s">
        <v>1299</v>
      </c>
      <c r="C149" s="352">
        <v>6888</v>
      </c>
      <c r="D149" s="352">
        <v>8412</v>
      </c>
      <c r="E149" s="352">
        <v>15300</v>
      </c>
      <c r="F149" s="352">
        <v>500531479</v>
      </c>
      <c r="G149" s="352">
        <v>736333458</v>
      </c>
      <c r="H149" s="352">
        <v>1236864937</v>
      </c>
      <c r="I149" s="352">
        <v>-16551862</v>
      </c>
      <c r="J149" t="s">
        <v>608</v>
      </c>
      <c r="K149" t="s">
        <v>1265</v>
      </c>
      <c r="L149" t="s">
        <v>1323</v>
      </c>
      <c r="M149" t="s">
        <v>57</v>
      </c>
      <c r="N149" s="2"/>
      <c r="O149" s="4"/>
    </row>
    <row r="150" spans="1:15" ht="12.75" customHeight="1" x14ac:dyDescent="0.25">
      <c r="A150" s="380">
        <v>762880</v>
      </c>
      <c r="B150" t="s">
        <v>300</v>
      </c>
      <c r="C150" s="352">
        <v>7417</v>
      </c>
      <c r="D150" s="352">
        <v>7700</v>
      </c>
      <c r="E150" s="352">
        <v>15117</v>
      </c>
      <c r="F150" s="352">
        <v>773145478</v>
      </c>
      <c r="G150" s="352">
        <v>1050366620</v>
      </c>
      <c r="H150" s="352">
        <v>1823512098</v>
      </c>
      <c r="I150" s="352">
        <v>-14479714</v>
      </c>
      <c r="J150" t="s">
        <v>154</v>
      </c>
      <c r="K150" t="s">
        <v>1265</v>
      </c>
      <c r="L150" t="s">
        <v>1275</v>
      </c>
      <c r="M150" t="s">
        <v>57</v>
      </c>
      <c r="N150" s="2"/>
      <c r="O150" s="4"/>
    </row>
    <row r="151" spans="1:15" ht="12.75" customHeight="1" x14ac:dyDescent="0.25">
      <c r="A151" s="380">
        <v>479550</v>
      </c>
      <c r="B151" t="s">
        <v>257</v>
      </c>
      <c r="C151" s="352">
        <v>7284</v>
      </c>
      <c r="D151" s="352">
        <v>7832</v>
      </c>
      <c r="E151" s="352">
        <v>15116</v>
      </c>
      <c r="F151" s="352">
        <v>496983491</v>
      </c>
      <c r="G151" s="352">
        <v>596724231</v>
      </c>
      <c r="H151" s="352">
        <v>1093707721</v>
      </c>
      <c r="I151" s="352">
        <v>11500683</v>
      </c>
      <c r="J151" t="s">
        <v>154</v>
      </c>
      <c r="K151" t="s">
        <v>1265</v>
      </c>
      <c r="L151" t="s">
        <v>170</v>
      </c>
      <c r="M151" t="s">
        <v>57</v>
      </c>
      <c r="N151" s="2"/>
      <c r="O151" s="4"/>
    </row>
    <row r="152" spans="1:15" ht="12.75" customHeight="1" x14ac:dyDescent="0.25">
      <c r="A152" s="380">
        <v>679837</v>
      </c>
      <c r="B152" t="s">
        <v>582</v>
      </c>
      <c r="C152" s="352">
        <v>6331</v>
      </c>
      <c r="D152" s="352">
        <v>8773</v>
      </c>
      <c r="E152" s="352">
        <v>15104</v>
      </c>
      <c r="F152" s="352">
        <v>263457141</v>
      </c>
      <c r="G152" s="352">
        <v>458351091</v>
      </c>
      <c r="H152" s="352">
        <v>721808231</v>
      </c>
      <c r="I152" s="352">
        <v>-5464649</v>
      </c>
      <c r="J152" t="s">
        <v>272</v>
      </c>
      <c r="K152" t="s">
        <v>1265</v>
      </c>
      <c r="L152" t="s">
        <v>161</v>
      </c>
      <c r="M152" t="s">
        <v>136</v>
      </c>
      <c r="N152" s="2"/>
      <c r="O152" s="4"/>
    </row>
    <row r="153" spans="1:15" ht="12.75" customHeight="1" x14ac:dyDescent="0.25">
      <c r="A153" s="380">
        <v>534800</v>
      </c>
      <c r="B153" t="s">
        <v>151</v>
      </c>
      <c r="C153" s="352">
        <v>7787</v>
      </c>
      <c r="D153" s="352">
        <v>6720</v>
      </c>
      <c r="E153" s="352">
        <v>14507</v>
      </c>
      <c r="F153" s="352">
        <v>345049616</v>
      </c>
      <c r="G153" s="352">
        <v>427190280</v>
      </c>
      <c r="H153" s="352">
        <v>772239895</v>
      </c>
      <c r="I153" s="352">
        <v>25136596</v>
      </c>
      <c r="J153" t="s">
        <v>601</v>
      </c>
      <c r="K153" t="s">
        <v>1266</v>
      </c>
      <c r="L153" t="s">
        <v>152</v>
      </c>
      <c r="M153" t="s">
        <v>136</v>
      </c>
      <c r="N153" s="2"/>
      <c r="O153" s="4"/>
    </row>
    <row r="154" spans="1:15" ht="12.75" customHeight="1" x14ac:dyDescent="0.25">
      <c r="A154" s="380">
        <v>599795</v>
      </c>
      <c r="B154" t="s">
        <v>1290</v>
      </c>
      <c r="C154" s="352">
        <v>8058</v>
      </c>
      <c r="D154" s="352">
        <v>6439</v>
      </c>
      <c r="E154" s="352">
        <v>14497</v>
      </c>
      <c r="F154" s="352">
        <v>322418897</v>
      </c>
      <c r="G154" s="352">
        <v>305035804</v>
      </c>
      <c r="H154" s="352">
        <v>627454701</v>
      </c>
      <c r="I154" s="352">
        <v>7788611</v>
      </c>
      <c r="J154" t="s">
        <v>602</v>
      </c>
      <c r="K154" t="s">
        <v>1262</v>
      </c>
      <c r="L154" t="s">
        <v>149</v>
      </c>
      <c r="M154" t="s">
        <v>136</v>
      </c>
      <c r="N154" s="2"/>
      <c r="O154" s="4"/>
    </row>
    <row r="155" spans="1:15" ht="12.75" customHeight="1" x14ac:dyDescent="0.25">
      <c r="A155" s="380">
        <v>844522</v>
      </c>
      <c r="B155" t="s">
        <v>189</v>
      </c>
      <c r="C155" s="352">
        <v>7611</v>
      </c>
      <c r="D155" s="352">
        <v>6704</v>
      </c>
      <c r="E155" s="352">
        <v>14315</v>
      </c>
      <c r="F155" s="352">
        <v>801069845</v>
      </c>
      <c r="G155" s="352">
        <v>850968867</v>
      </c>
      <c r="H155" s="352">
        <v>1652038712</v>
      </c>
      <c r="I155" s="352">
        <v>3067328</v>
      </c>
      <c r="J155" t="s">
        <v>586</v>
      </c>
      <c r="K155" t="s">
        <v>1259</v>
      </c>
      <c r="L155" t="s">
        <v>152</v>
      </c>
      <c r="M155" t="s">
        <v>136</v>
      </c>
      <c r="N155" s="2"/>
      <c r="O155" s="4"/>
    </row>
    <row r="156" spans="1:15" ht="12.75" customHeight="1" x14ac:dyDescent="0.25">
      <c r="A156" s="380">
        <v>260919</v>
      </c>
      <c r="B156" t="s">
        <v>440</v>
      </c>
      <c r="C156" s="352">
        <v>6176</v>
      </c>
      <c r="D156" s="352">
        <v>7794</v>
      </c>
      <c r="E156" s="352">
        <v>13970</v>
      </c>
      <c r="F156" s="352">
        <v>371087192</v>
      </c>
      <c r="G156" s="352">
        <v>559848039</v>
      </c>
      <c r="H156" s="352">
        <v>930935230</v>
      </c>
      <c r="I156" s="352">
        <v>3944153</v>
      </c>
      <c r="J156" t="s">
        <v>612</v>
      </c>
      <c r="K156" t="s">
        <v>1265</v>
      </c>
      <c r="L156" t="s">
        <v>1278</v>
      </c>
      <c r="M156" t="s">
        <v>57</v>
      </c>
      <c r="N156" s="2"/>
      <c r="O156" s="4"/>
    </row>
    <row r="157" spans="1:15" ht="12.75" customHeight="1" x14ac:dyDescent="0.25">
      <c r="A157" s="380">
        <v>252411</v>
      </c>
      <c r="B157" t="s">
        <v>1146</v>
      </c>
      <c r="C157" s="352">
        <v>6167</v>
      </c>
      <c r="D157" s="352">
        <v>7641</v>
      </c>
      <c r="E157" s="352">
        <v>13808</v>
      </c>
      <c r="F157" s="352">
        <v>504757123</v>
      </c>
      <c r="G157" s="352">
        <v>726937322</v>
      </c>
      <c r="H157" s="352">
        <v>1231694445</v>
      </c>
      <c r="I157" s="352">
        <v>4507830</v>
      </c>
      <c r="J157" t="s">
        <v>154</v>
      </c>
      <c r="K157" t="s">
        <v>1265</v>
      </c>
      <c r="L157" t="s">
        <v>1277</v>
      </c>
      <c r="M157" t="s">
        <v>57</v>
      </c>
      <c r="N157" s="2"/>
      <c r="O157" s="4"/>
    </row>
    <row r="158" spans="1:15" ht="12.75" customHeight="1" x14ac:dyDescent="0.25">
      <c r="A158" s="380">
        <v>658997</v>
      </c>
      <c r="B158" t="s">
        <v>565</v>
      </c>
      <c r="C158" s="352">
        <v>5434</v>
      </c>
      <c r="D158" s="352">
        <v>8364</v>
      </c>
      <c r="E158" s="352">
        <v>13798</v>
      </c>
      <c r="F158" s="352">
        <v>391714207</v>
      </c>
      <c r="G158" s="352">
        <v>671168306</v>
      </c>
      <c r="H158" s="352">
        <v>1062882513</v>
      </c>
      <c r="I158" s="352">
        <v>25665933</v>
      </c>
      <c r="J158" t="s">
        <v>154</v>
      </c>
      <c r="K158" t="s">
        <v>1265</v>
      </c>
      <c r="L158" t="s">
        <v>149</v>
      </c>
      <c r="M158" t="s">
        <v>136</v>
      </c>
      <c r="N158" s="2"/>
      <c r="O158" s="4"/>
    </row>
    <row r="159" spans="1:15" ht="12.75" customHeight="1" x14ac:dyDescent="0.25">
      <c r="A159" s="380">
        <v>158261</v>
      </c>
      <c r="B159" t="s">
        <v>548</v>
      </c>
      <c r="C159" s="352">
        <v>6834</v>
      </c>
      <c r="D159" s="352">
        <v>6620</v>
      </c>
      <c r="E159" s="352">
        <v>13454</v>
      </c>
      <c r="F159" s="352">
        <v>478297185</v>
      </c>
      <c r="G159" s="352">
        <v>574888463</v>
      </c>
      <c r="H159" s="352">
        <v>1053185648</v>
      </c>
      <c r="I159" s="352">
        <v>8652002</v>
      </c>
      <c r="J159" t="s">
        <v>182</v>
      </c>
      <c r="K159" t="s">
        <v>1265</v>
      </c>
      <c r="L159" t="s">
        <v>173</v>
      </c>
      <c r="M159" t="s">
        <v>136</v>
      </c>
      <c r="N159" s="2"/>
      <c r="O159" s="4"/>
    </row>
    <row r="160" spans="1:15" ht="12.75" customHeight="1" x14ac:dyDescent="0.25">
      <c r="A160" s="380">
        <v>314682</v>
      </c>
      <c r="B160" t="s">
        <v>648</v>
      </c>
      <c r="C160" s="352">
        <v>7273</v>
      </c>
      <c r="D160" s="352">
        <v>6140</v>
      </c>
      <c r="E160" s="352">
        <v>13413</v>
      </c>
      <c r="F160" s="352">
        <v>1365980210</v>
      </c>
      <c r="G160" s="352">
        <v>1298306415</v>
      </c>
      <c r="H160" s="352">
        <v>2664286625</v>
      </c>
      <c r="I160" s="352">
        <v>45690549</v>
      </c>
      <c r="J160" t="s">
        <v>139</v>
      </c>
      <c r="K160" t="s">
        <v>1259</v>
      </c>
      <c r="L160" t="s">
        <v>537</v>
      </c>
      <c r="M160" t="s">
        <v>136</v>
      </c>
      <c r="N160" s="2"/>
      <c r="O160" s="4"/>
    </row>
    <row r="161" spans="1:15" ht="12.75" customHeight="1" x14ac:dyDescent="0.25">
      <c r="A161" s="380">
        <v>484980</v>
      </c>
      <c r="B161" t="s">
        <v>376</v>
      </c>
      <c r="C161" s="352">
        <v>5756</v>
      </c>
      <c r="D161" s="352">
        <v>7550</v>
      </c>
      <c r="E161" s="352">
        <v>13306</v>
      </c>
      <c r="F161" s="352">
        <v>325461944</v>
      </c>
      <c r="G161" s="352">
        <v>522426390</v>
      </c>
      <c r="H161" s="352">
        <v>847888334</v>
      </c>
      <c r="I161" s="352">
        <v>7032436</v>
      </c>
      <c r="J161" t="s">
        <v>244</v>
      </c>
      <c r="K161" t="s">
        <v>1265</v>
      </c>
      <c r="L161" t="s">
        <v>157</v>
      </c>
      <c r="M161" t="s">
        <v>136</v>
      </c>
      <c r="N161" s="2"/>
      <c r="O161" s="4"/>
    </row>
    <row r="162" spans="1:15" ht="12.75" customHeight="1" x14ac:dyDescent="0.25">
      <c r="A162" s="380">
        <v>838383</v>
      </c>
      <c r="B162" t="s">
        <v>317</v>
      </c>
      <c r="C162" s="352">
        <v>5492</v>
      </c>
      <c r="D162" s="352">
        <v>7508</v>
      </c>
      <c r="E162" s="352">
        <v>13000</v>
      </c>
      <c r="F162" s="352">
        <v>250436608</v>
      </c>
      <c r="G162" s="352">
        <v>420279878</v>
      </c>
      <c r="H162" s="352">
        <v>670716486</v>
      </c>
      <c r="I162" s="352">
        <v>6824910</v>
      </c>
      <c r="J162" t="s">
        <v>609</v>
      </c>
      <c r="K162" t="s">
        <v>1265</v>
      </c>
      <c r="L162" t="s">
        <v>160</v>
      </c>
      <c r="M162" t="s">
        <v>136</v>
      </c>
      <c r="N162" s="2"/>
      <c r="O162" s="4"/>
    </row>
    <row r="163" spans="1:15" ht="12.75" customHeight="1" x14ac:dyDescent="0.25">
      <c r="A163" s="380">
        <v>671453</v>
      </c>
      <c r="B163" t="s">
        <v>1176</v>
      </c>
      <c r="C163" s="352">
        <v>7161</v>
      </c>
      <c r="D163" s="352">
        <v>5723</v>
      </c>
      <c r="E163" s="352">
        <v>12884</v>
      </c>
      <c r="F163" s="352">
        <v>929668770</v>
      </c>
      <c r="G163" s="352">
        <v>919274726</v>
      </c>
      <c r="H163" s="352">
        <v>1848943496</v>
      </c>
      <c r="I163" s="352">
        <v>7703116</v>
      </c>
      <c r="J163" t="s">
        <v>586</v>
      </c>
      <c r="K163" t="s">
        <v>1259</v>
      </c>
      <c r="L163" t="s">
        <v>149</v>
      </c>
      <c r="M163" t="s">
        <v>136</v>
      </c>
      <c r="N163" s="2"/>
      <c r="O163" s="4"/>
    </row>
    <row r="164" spans="1:15" ht="12.75" customHeight="1" x14ac:dyDescent="0.25">
      <c r="A164" s="380">
        <v>670091</v>
      </c>
      <c r="B164" t="s">
        <v>647</v>
      </c>
      <c r="C164" s="352">
        <v>5329</v>
      </c>
      <c r="D164" s="352">
        <v>7554</v>
      </c>
      <c r="E164" s="352">
        <v>12883</v>
      </c>
      <c r="F164" s="352">
        <v>246159714</v>
      </c>
      <c r="G164" s="352">
        <v>423473032</v>
      </c>
      <c r="H164" s="352">
        <v>669632746</v>
      </c>
      <c r="I164" s="352">
        <v>3983911</v>
      </c>
      <c r="J164" t="s">
        <v>228</v>
      </c>
      <c r="K164" t="s">
        <v>1265</v>
      </c>
      <c r="L164" t="s">
        <v>371</v>
      </c>
      <c r="M164" t="s">
        <v>57</v>
      </c>
      <c r="N164" s="2"/>
      <c r="O164" s="4"/>
    </row>
    <row r="165" spans="1:15" ht="12.75" customHeight="1" x14ac:dyDescent="0.25">
      <c r="A165" s="380">
        <v>117002</v>
      </c>
      <c r="B165" t="s">
        <v>236</v>
      </c>
      <c r="C165" s="352">
        <v>8904</v>
      </c>
      <c r="D165" s="352">
        <v>3930</v>
      </c>
      <c r="E165" s="352">
        <v>12834</v>
      </c>
      <c r="F165" s="352">
        <v>641034624</v>
      </c>
      <c r="G165" s="352">
        <v>262559336</v>
      </c>
      <c r="H165" s="352">
        <v>903593960</v>
      </c>
      <c r="I165" s="352">
        <v>6040175</v>
      </c>
      <c r="J165" t="s">
        <v>588</v>
      </c>
      <c r="K165" t="s">
        <v>1262</v>
      </c>
      <c r="L165" t="s">
        <v>1269</v>
      </c>
      <c r="M165" t="s">
        <v>136</v>
      </c>
      <c r="N165" s="2"/>
      <c r="O165" s="4"/>
    </row>
    <row r="166" spans="1:15" ht="12.75" customHeight="1" x14ac:dyDescent="0.25">
      <c r="A166" s="380">
        <v>450981</v>
      </c>
      <c r="B166" t="s">
        <v>398</v>
      </c>
      <c r="C166" s="352">
        <v>5900</v>
      </c>
      <c r="D166" s="352">
        <v>6770</v>
      </c>
      <c r="E166" s="352">
        <v>12670</v>
      </c>
      <c r="F166" s="352">
        <v>528837168</v>
      </c>
      <c r="G166" s="352">
        <v>742656199</v>
      </c>
      <c r="H166" s="352">
        <v>1271493368</v>
      </c>
      <c r="I166" s="352">
        <v>8080464</v>
      </c>
      <c r="J166" t="s">
        <v>182</v>
      </c>
      <c r="K166" t="s">
        <v>1265</v>
      </c>
      <c r="L166" t="s">
        <v>391</v>
      </c>
      <c r="M166" t="s">
        <v>57</v>
      </c>
      <c r="N166" s="2"/>
      <c r="O166" s="4"/>
    </row>
    <row r="167" spans="1:15" ht="12.75" customHeight="1" x14ac:dyDescent="0.25">
      <c r="A167" s="380">
        <v>152835</v>
      </c>
      <c r="B167" t="s">
        <v>235</v>
      </c>
      <c r="C167" s="352">
        <v>9052</v>
      </c>
      <c r="D167" s="352">
        <v>3561</v>
      </c>
      <c r="E167" s="352">
        <v>12613</v>
      </c>
      <c r="F167" s="352">
        <v>1066580542</v>
      </c>
      <c r="G167" s="352">
        <v>461082008</v>
      </c>
      <c r="H167" s="352">
        <v>1527662550</v>
      </c>
      <c r="I167" s="352">
        <v>5368719</v>
      </c>
      <c r="J167" t="s">
        <v>590</v>
      </c>
      <c r="K167" t="s">
        <v>1265</v>
      </c>
      <c r="L167" t="s">
        <v>1269</v>
      </c>
      <c r="M167" t="s">
        <v>136</v>
      </c>
      <c r="N167" s="2"/>
      <c r="O167" s="4"/>
    </row>
    <row r="168" spans="1:15" ht="12.75" customHeight="1" x14ac:dyDescent="0.25">
      <c r="A168" s="380">
        <v>362327</v>
      </c>
      <c r="B168" t="s">
        <v>361</v>
      </c>
      <c r="C168" s="352">
        <v>5560</v>
      </c>
      <c r="D168" s="352">
        <v>6967</v>
      </c>
      <c r="E168" s="352">
        <v>12527</v>
      </c>
      <c r="F168" s="352">
        <v>263888007</v>
      </c>
      <c r="G168" s="352">
        <v>405683947</v>
      </c>
      <c r="H168" s="352">
        <v>669571954</v>
      </c>
      <c r="I168" s="352">
        <v>3565379</v>
      </c>
      <c r="J168" t="s">
        <v>609</v>
      </c>
      <c r="K168" t="s">
        <v>1265</v>
      </c>
      <c r="L168" t="s">
        <v>1282</v>
      </c>
      <c r="M168" t="s">
        <v>57</v>
      </c>
      <c r="N168" s="2"/>
      <c r="O168" s="4"/>
    </row>
    <row r="169" spans="1:15" ht="12.75" customHeight="1" x14ac:dyDescent="0.25">
      <c r="A169" s="380">
        <v>305243</v>
      </c>
      <c r="B169" t="s">
        <v>500</v>
      </c>
      <c r="C169" s="352">
        <v>5788</v>
      </c>
      <c r="D169" s="352">
        <v>6534</v>
      </c>
      <c r="E169" s="352">
        <v>12322</v>
      </c>
      <c r="F169" s="352">
        <v>254038289</v>
      </c>
      <c r="G169" s="352">
        <v>366940408</v>
      </c>
      <c r="H169" s="352">
        <v>620978697</v>
      </c>
      <c r="I169" s="352">
        <v>3582369</v>
      </c>
      <c r="J169" t="s">
        <v>228</v>
      </c>
      <c r="K169" t="s">
        <v>1265</v>
      </c>
      <c r="L169" t="s">
        <v>1330</v>
      </c>
      <c r="M169" t="s">
        <v>57</v>
      </c>
      <c r="N169" s="2"/>
      <c r="O169" s="4"/>
    </row>
    <row r="170" spans="1:15" ht="12.75" customHeight="1" x14ac:dyDescent="0.25">
      <c r="A170" s="380">
        <v>504100</v>
      </c>
      <c r="B170" t="s">
        <v>614</v>
      </c>
      <c r="C170" s="352">
        <v>4935</v>
      </c>
      <c r="D170" s="352">
        <v>7331</v>
      </c>
      <c r="E170" s="352">
        <v>12266</v>
      </c>
      <c r="F170" s="352">
        <v>255647979</v>
      </c>
      <c r="G170" s="352">
        <v>466691957</v>
      </c>
      <c r="H170" s="352">
        <v>722339936</v>
      </c>
      <c r="I170" s="352">
        <v>1383802</v>
      </c>
      <c r="J170" t="s">
        <v>609</v>
      </c>
      <c r="K170" t="s">
        <v>1265</v>
      </c>
      <c r="L170" t="s">
        <v>161</v>
      </c>
      <c r="M170" t="s">
        <v>136</v>
      </c>
      <c r="N170" s="2"/>
      <c r="O170" s="4"/>
    </row>
    <row r="171" spans="1:15" ht="12.75" customHeight="1" x14ac:dyDescent="0.25">
      <c r="A171" s="380">
        <v>446088</v>
      </c>
      <c r="B171" t="s">
        <v>485</v>
      </c>
      <c r="C171" s="352">
        <v>3976</v>
      </c>
      <c r="D171" s="352">
        <v>8187</v>
      </c>
      <c r="E171" s="352">
        <v>12163</v>
      </c>
      <c r="F171" s="352">
        <v>347225325</v>
      </c>
      <c r="G171" s="352">
        <v>840320997</v>
      </c>
      <c r="H171" s="352">
        <v>1187546322</v>
      </c>
      <c r="I171" s="352">
        <v>46191406</v>
      </c>
      <c r="J171" t="s">
        <v>204</v>
      </c>
      <c r="K171" t="s">
        <v>1265</v>
      </c>
      <c r="L171" t="s">
        <v>369</v>
      </c>
      <c r="M171" t="s">
        <v>57</v>
      </c>
      <c r="N171" s="2"/>
      <c r="O171" s="4"/>
    </row>
    <row r="172" spans="1:15" ht="12.75" customHeight="1" x14ac:dyDescent="0.25">
      <c r="A172" s="380">
        <v>122432</v>
      </c>
      <c r="B172" t="s">
        <v>285</v>
      </c>
      <c r="C172" s="352">
        <v>6290</v>
      </c>
      <c r="D172" s="352">
        <v>5828</v>
      </c>
      <c r="E172" s="352">
        <v>12118</v>
      </c>
      <c r="F172" s="352">
        <v>282953234</v>
      </c>
      <c r="G172" s="352">
        <v>310736815</v>
      </c>
      <c r="H172" s="352">
        <v>593690049</v>
      </c>
      <c r="I172" s="352">
        <v>5119754</v>
      </c>
      <c r="J172" t="s">
        <v>178</v>
      </c>
      <c r="K172" t="s">
        <v>1265</v>
      </c>
      <c r="L172" t="s">
        <v>173</v>
      </c>
      <c r="M172" t="s">
        <v>136</v>
      </c>
      <c r="N172" s="2"/>
      <c r="O172" s="4"/>
    </row>
    <row r="173" spans="1:15" ht="12.75" customHeight="1" x14ac:dyDescent="0.25">
      <c r="A173" s="380">
        <v>520692</v>
      </c>
      <c r="B173" t="s">
        <v>181</v>
      </c>
      <c r="C173" s="352">
        <v>4791</v>
      </c>
      <c r="D173" s="352">
        <v>7150</v>
      </c>
      <c r="E173" s="352">
        <v>11941</v>
      </c>
      <c r="F173" s="352">
        <v>354176168</v>
      </c>
      <c r="G173" s="352">
        <v>646344238</v>
      </c>
      <c r="H173" s="352">
        <v>1000520406</v>
      </c>
      <c r="I173" s="352">
        <v>6025327</v>
      </c>
      <c r="J173" t="s">
        <v>608</v>
      </c>
      <c r="K173" t="s">
        <v>1265</v>
      </c>
      <c r="L173" t="s">
        <v>144</v>
      </c>
      <c r="M173" t="s">
        <v>136</v>
      </c>
      <c r="N173" s="2"/>
      <c r="O173" s="4"/>
    </row>
    <row r="174" spans="1:15" ht="12.75" customHeight="1" x14ac:dyDescent="0.25">
      <c r="A174" s="380">
        <v>292193</v>
      </c>
      <c r="B174" t="s">
        <v>206</v>
      </c>
      <c r="C174" s="352">
        <v>5712</v>
      </c>
      <c r="D174" s="352">
        <v>6165</v>
      </c>
      <c r="E174" s="352">
        <v>11877</v>
      </c>
      <c r="F174" s="352">
        <v>354308615</v>
      </c>
      <c r="G174" s="352">
        <v>460615729</v>
      </c>
      <c r="H174" s="352">
        <v>814924344</v>
      </c>
      <c r="I174" s="352">
        <v>17852074</v>
      </c>
      <c r="J174" t="s">
        <v>182</v>
      </c>
      <c r="K174" t="s">
        <v>1265</v>
      </c>
      <c r="L174" t="s">
        <v>185</v>
      </c>
      <c r="M174" t="s">
        <v>136</v>
      </c>
      <c r="N174" s="2"/>
      <c r="O174" s="4"/>
    </row>
    <row r="175" spans="1:15" ht="12.75" customHeight="1" x14ac:dyDescent="0.25">
      <c r="A175" s="380">
        <v>420646</v>
      </c>
      <c r="B175" t="s">
        <v>148</v>
      </c>
      <c r="C175" s="352">
        <v>6215</v>
      </c>
      <c r="D175" s="352">
        <v>5586</v>
      </c>
      <c r="E175" s="352">
        <v>11801</v>
      </c>
      <c r="F175" s="352">
        <v>221568092</v>
      </c>
      <c r="G175" s="352">
        <v>258024388</v>
      </c>
      <c r="H175" s="352">
        <v>479592481</v>
      </c>
      <c r="I175" s="352">
        <v>4316117</v>
      </c>
      <c r="J175" t="s">
        <v>593</v>
      </c>
      <c r="K175" t="s">
        <v>1266</v>
      </c>
      <c r="L175" t="s">
        <v>149</v>
      </c>
      <c r="M175" t="s">
        <v>136</v>
      </c>
      <c r="N175" s="2"/>
      <c r="O175" s="4"/>
    </row>
    <row r="176" spans="1:15" ht="12.75" customHeight="1" x14ac:dyDescent="0.25">
      <c r="A176" s="380">
        <v>305003</v>
      </c>
      <c r="B176" t="s">
        <v>615</v>
      </c>
      <c r="C176" s="352">
        <v>4188</v>
      </c>
      <c r="D176" s="352">
        <v>7569</v>
      </c>
      <c r="E176" s="352">
        <v>11757</v>
      </c>
      <c r="F176" s="352">
        <v>362385786</v>
      </c>
      <c r="G176" s="352">
        <v>815604877</v>
      </c>
      <c r="H176" s="352">
        <v>1177990663</v>
      </c>
      <c r="I176" s="352">
        <v>-5360390</v>
      </c>
      <c r="J176" t="s">
        <v>606</v>
      </c>
      <c r="K176" t="s">
        <v>1265</v>
      </c>
      <c r="L176" t="s">
        <v>1268</v>
      </c>
      <c r="M176" t="s">
        <v>57</v>
      </c>
      <c r="N176" s="2"/>
      <c r="O176" s="4"/>
    </row>
    <row r="177" spans="1:15" ht="12.75" customHeight="1" x14ac:dyDescent="0.25">
      <c r="A177" s="380">
        <v>243022</v>
      </c>
      <c r="B177" t="s">
        <v>640</v>
      </c>
      <c r="C177" s="352">
        <v>5855</v>
      </c>
      <c r="D177" s="352">
        <v>5771</v>
      </c>
      <c r="E177" s="352">
        <v>11626</v>
      </c>
      <c r="F177" s="352">
        <v>707237708</v>
      </c>
      <c r="G177" s="352">
        <v>792472133</v>
      </c>
      <c r="H177" s="352">
        <v>1499709841</v>
      </c>
      <c r="I177" s="352">
        <v>20483300</v>
      </c>
      <c r="J177" t="s">
        <v>586</v>
      </c>
      <c r="K177" t="s">
        <v>1259</v>
      </c>
      <c r="L177" t="s">
        <v>537</v>
      </c>
      <c r="M177" t="s">
        <v>136</v>
      </c>
      <c r="N177" s="2"/>
      <c r="O177" s="4"/>
    </row>
    <row r="178" spans="1:15" ht="12.75" customHeight="1" x14ac:dyDescent="0.25">
      <c r="A178" s="380">
        <v>950774</v>
      </c>
      <c r="B178" t="s">
        <v>308</v>
      </c>
      <c r="C178" s="352">
        <v>5347</v>
      </c>
      <c r="D178" s="352">
        <v>6142</v>
      </c>
      <c r="E178" s="352">
        <v>11489</v>
      </c>
      <c r="F178" s="352">
        <v>233349396</v>
      </c>
      <c r="G178" s="352">
        <v>356298430</v>
      </c>
      <c r="H178" s="352">
        <v>589647826</v>
      </c>
      <c r="I178" s="352">
        <v>2795287</v>
      </c>
      <c r="J178" t="s">
        <v>228</v>
      </c>
      <c r="K178" t="s">
        <v>1265</v>
      </c>
      <c r="L178" t="s">
        <v>173</v>
      </c>
      <c r="M178" t="s">
        <v>136</v>
      </c>
      <c r="N178" s="2"/>
      <c r="O178" s="4"/>
    </row>
    <row r="179" spans="1:15" ht="12.75" customHeight="1" x14ac:dyDescent="0.25">
      <c r="A179" s="380">
        <v>546960</v>
      </c>
      <c r="B179" t="s">
        <v>313</v>
      </c>
      <c r="C179" s="352">
        <v>6210</v>
      </c>
      <c r="D179" s="352">
        <v>5144</v>
      </c>
      <c r="E179" s="352">
        <v>11354</v>
      </c>
      <c r="F179" s="352">
        <v>301186329</v>
      </c>
      <c r="G179" s="352">
        <v>298219175</v>
      </c>
      <c r="H179" s="352">
        <v>599405505</v>
      </c>
      <c r="I179" s="352">
        <v>5496544</v>
      </c>
      <c r="J179" t="s">
        <v>602</v>
      </c>
      <c r="K179" t="s">
        <v>1262</v>
      </c>
      <c r="L179" t="s">
        <v>185</v>
      </c>
      <c r="M179" t="s">
        <v>136</v>
      </c>
      <c r="N179" s="2"/>
      <c r="O179" s="4"/>
    </row>
    <row r="180" spans="1:15" ht="12.75" customHeight="1" x14ac:dyDescent="0.25">
      <c r="A180" s="380">
        <v>750075</v>
      </c>
      <c r="B180" t="s">
        <v>1249</v>
      </c>
      <c r="C180" s="352">
        <v>4001</v>
      </c>
      <c r="D180" s="352">
        <v>7242</v>
      </c>
      <c r="E180" s="352">
        <v>11243</v>
      </c>
      <c r="F180" s="352">
        <v>165705877</v>
      </c>
      <c r="G180" s="352">
        <v>350625205</v>
      </c>
      <c r="H180" s="352">
        <v>516331082</v>
      </c>
      <c r="I180" s="352">
        <v>20837649</v>
      </c>
      <c r="J180" t="s">
        <v>228</v>
      </c>
      <c r="K180" t="s">
        <v>1265</v>
      </c>
      <c r="L180" t="s">
        <v>537</v>
      </c>
      <c r="M180" t="s">
        <v>136</v>
      </c>
      <c r="N180" s="2"/>
      <c r="O180" s="4"/>
    </row>
    <row r="181" spans="1:15" ht="12.75" customHeight="1" x14ac:dyDescent="0.25">
      <c r="A181" s="380">
        <v>2</v>
      </c>
      <c r="B181" t="s">
        <v>1261</v>
      </c>
      <c r="C181" s="352">
        <v>5388</v>
      </c>
      <c r="D181" s="352">
        <v>5619</v>
      </c>
      <c r="E181" s="352">
        <v>11007</v>
      </c>
      <c r="F181" s="352">
        <v>946777381</v>
      </c>
      <c r="G181" s="352">
        <v>1159338948</v>
      </c>
      <c r="H181" s="352">
        <v>2106116330</v>
      </c>
      <c r="I181" s="352"/>
      <c r="J181" t="s">
        <v>1258</v>
      </c>
      <c r="K181" t="s">
        <v>1262</v>
      </c>
      <c r="L181" t="s">
        <v>1260</v>
      </c>
      <c r="M181" t="s">
        <v>136</v>
      </c>
      <c r="N181" s="2"/>
      <c r="O181" s="4"/>
    </row>
    <row r="182" spans="1:15" ht="12.75" customHeight="1" x14ac:dyDescent="0.25">
      <c r="A182" s="380">
        <v>644005</v>
      </c>
      <c r="B182" t="s">
        <v>1215</v>
      </c>
      <c r="C182" s="352">
        <v>4337</v>
      </c>
      <c r="D182" s="352">
        <v>6611</v>
      </c>
      <c r="E182" s="352">
        <v>10948</v>
      </c>
      <c r="F182" s="352">
        <v>314458690</v>
      </c>
      <c r="G182" s="352">
        <v>584323233</v>
      </c>
      <c r="H182" s="352">
        <v>898781923</v>
      </c>
      <c r="I182" s="352">
        <v>-7749434</v>
      </c>
      <c r="J182" t="s">
        <v>587</v>
      </c>
      <c r="K182" t="s">
        <v>1262</v>
      </c>
      <c r="L182" t="s">
        <v>161</v>
      </c>
      <c r="M182" t="s">
        <v>136</v>
      </c>
      <c r="N182" s="2"/>
      <c r="O182" s="4"/>
    </row>
    <row r="183" spans="1:15" ht="12.75" customHeight="1" x14ac:dyDescent="0.25">
      <c r="A183" s="380">
        <v>635623</v>
      </c>
      <c r="B183" t="s">
        <v>1183</v>
      </c>
      <c r="C183" s="352">
        <v>5920</v>
      </c>
      <c r="D183" s="352">
        <v>4886</v>
      </c>
      <c r="E183" s="352">
        <v>10806</v>
      </c>
      <c r="F183" s="352">
        <v>712064850</v>
      </c>
      <c r="G183" s="352">
        <v>723584503</v>
      </c>
      <c r="H183" s="352">
        <v>1435649353</v>
      </c>
      <c r="I183" s="352">
        <v>8240264</v>
      </c>
      <c r="J183" t="s">
        <v>586</v>
      </c>
      <c r="K183" t="s">
        <v>1259</v>
      </c>
      <c r="L183" t="s">
        <v>149</v>
      </c>
      <c r="M183" t="s">
        <v>136</v>
      </c>
      <c r="N183" s="2"/>
      <c r="O183" s="4"/>
    </row>
    <row r="184" spans="1:15" ht="12.75" customHeight="1" x14ac:dyDescent="0.25">
      <c r="A184" s="380">
        <v>191080</v>
      </c>
      <c r="B184" t="s">
        <v>390</v>
      </c>
      <c r="C184" s="352">
        <v>5474</v>
      </c>
      <c r="D184" s="352">
        <v>5326</v>
      </c>
      <c r="E184" s="352">
        <v>10800</v>
      </c>
      <c r="F184" s="352">
        <v>164680007</v>
      </c>
      <c r="G184" s="352">
        <v>214870319</v>
      </c>
      <c r="H184" s="352">
        <v>379550327</v>
      </c>
      <c r="I184" s="352">
        <v>1733186</v>
      </c>
      <c r="J184" t="s">
        <v>228</v>
      </c>
      <c r="K184" t="s">
        <v>1265</v>
      </c>
      <c r="L184" t="s">
        <v>1327</v>
      </c>
      <c r="M184" t="s">
        <v>57</v>
      </c>
      <c r="N184" s="2"/>
      <c r="O184" s="4"/>
    </row>
    <row r="185" spans="1:15" ht="12.75" customHeight="1" x14ac:dyDescent="0.25">
      <c r="A185" s="380">
        <v>705806</v>
      </c>
      <c r="B185" t="s">
        <v>465</v>
      </c>
      <c r="C185" s="352">
        <v>5113</v>
      </c>
      <c r="D185" s="352">
        <v>5674</v>
      </c>
      <c r="E185" s="352">
        <v>10787</v>
      </c>
      <c r="F185" s="352">
        <v>49620137</v>
      </c>
      <c r="G185" s="352">
        <v>89513380</v>
      </c>
      <c r="H185" s="352">
        <v>139133518</v>
      </c>
      <c r="I185" s="352">
        <v>-3495345</v>
      </c>
      <c r="J185" t="s">
        <v>229</v>
      </c>
      <c r="K185" t="s">
        <v>1265</v>
      </c>
      <c r="L185" t="s">
        <v>435</v>
      </c>
      <c r="M185" t="s">
        <v>136</v>
      </c>
      <c r="N185" s="2"/>
      <c r="O185" s="4"/>
    </row>
    <row r="186" spans="1:15" ht="12.75" customHeight="1" x14ac:dyDescent="0.25">
      <c r="A186" s="380">
        <v>442483</v>
      </c>
      <c r="B186" t="s">
        <v>579</v>
      </c>
      <c r="C186" s="352">
        <v>5129</v>
      </c>
      <c r="D186" s="352">
        <v>5596</v>
      </c>
      <c r="E186" s="352">
        <v>10725</v>
      </c>
      <c r="F186" s="352">
        <v>177404280</v>
      </c>
      <c r="G186" s="352">
        <v>232338999</v>
      </c>
      <c r="H186" s="352">
        <v>409743279</v>
      </c>
      <c r="I186" s="352">
        <v>3538882</v>
      </c>
      <c r="J186" t="s">
        <v>247</v>
      </c>
      <c r="K186" t="s">
        <v>1265</v>
      </c>
      <c r="L186" t="s">
        <v>1279</v>
      </c>
      <c r="M186" t="s">
        <v>136</v>
      </c>
      <c r="N186" s="2"/>
      <c r="O186" s="4"/>
    </row>
    <row r="187" spans="1:15" ht="12.75" customHeight="1" x14ac:dyDescent="0.25">
      <c r="A187" s="380">
        <v>840033</v>
      </c>
      <c r="B187" t="s">
        <v>544</v>
      </c>
      <c r="C187" s="352">
        <v>4634</v>
      </c>
      <c r="D187" s="352">
        <v>6060</v>
      </c>
      <c r="E187" s="352">
        <v>10694</v>
      </c>
      <c r="F187" s="352">
        <v>319948783</v>
      </c>
      <c r="G187" s="352">
        <v>505942954</v>
      </c>
      <c r="H187" s="352">
        <v>825891736</v>
      </c>
      <c r="I187" s="352">
        <v>6316495</v>
      </c>
      <c r="J187" t="s">
        <v>608</v>
      </c>
      <c r="K187" t="s">
        <v>1265</v>
      </c>
      <c r="L187" t="s">
        <v>161</v>
      </c>
      <c r="M187" t="s">
        <v>136</v>
      </c>
      <c r="N187" s="2"/>
      <c r="O187" s="4"/>
    </row>
    <row r="188" spans="1:15" ht="12.75" customHeight="1" x14ac:dyDescent="0.25">
      <c r="A188" s="380">
        <v>878520</v>
      </c>
      <c r="B188" t="s">
        <v>333</v>
      </c>
      <c r="C188" s="352">
        <v>5273</v>
      </c>
      <c r="D188" s="352">
        <v>5410</v>
      </c>
      <c r="E188" s="352">
        <v>10683</v>
      </c>
      <c r="F188" s="352">
        <v>392336347</v>
      </c>
      <c r="G188" s="352">
        <v>506640950</v>
      </c>
      <c r="H188" s="352">
        <v>898977297</v>
      </c>
      <c r="I188" s="352">
        <v>11041864</v>
      </c>
      <c r="J188" t="s">
        <v>588</v>
      </c>
      <c r="K188" t="s">
        <v>1262</v>
      </c>
      <c r="L188" t="s">
        <v>163</v>
      </c>
      <c r="M188" t="s">
        <v>136</v>
      </c>
      <c r="N188" s="2"/>
      <c r="O188" s="4"/>
    </row>
    <row r="189" spans="1:15" ht="12.75" customHeight="1" x14ac:dyDescent="0.25">
      <c r="A189" s="380">
        <v>456475</v>
      </c>
      <c r="B189" t="s">
        <v>283</v>
      </c>
      <c r="C189" s="352">
        <v>4683</v>
      </c>
      <c r="D189" s="352">
        <v>5814</v>
      </c>
      <c r="E189" s="352">
        <v>10497</v>
      </c>
      <c r="F189" s="352">
        <v>269297462</v>
      </c>
      <c r="G189" s="352">
        <v>408269716</v>
      </c>
      <c r="H189" s="352">
        <v>677567178</v>
      </c>
      <c r="I189" s="352">
        <v>3752933</v>
      </c>
      <c r="J189" t="s">
        <v>608</v>
      </c>
      <c r="K189" t="s">
        <v>1265</v>
      </c>
      <c r="L189" t="s">
        <v>149</v>
      </c>
      <c r="M189" t="s">
        <v>136</v>
      </c>
      <c r="N189" s="2"/>
      <c r="O189" s="4"/>
    </row>
    <row r="190" spans="1:15" ht="12.75" customHeight="1" x14ac:dyDescent="0.25">
      <c r="A190" s="380">
        <v>469692</v>
      </c>
      <c r="B190" t="s">
        <v>1339</v>
      </c>
      <c r="C190" s="352">
        <v>4027</v>
      </c>
      <c r="D190" s="352">
        <v>6433</v>
      </c>
      <c r="E190" s="352">
        <v>10460</v>
      </c>
      <c r="F190" s="352">
        <v>200043551</v>
      </c>
      <c r="G190" s="352">
        <v>422216671</v>
      </c>
      <c r="H190" s="352">
        <v>622260222</v>
      </c>
      <c r="I190" s="352">
        <v>11742036</v>
      </c>
      <c r="J190" t="s">
        <v>617</v>
      </c>
      <c r="K190" t="s">
        <v>1265</v>
      </c>
      <c r="L190" t="s">
        <v>1323</v>
      </c>
      <c r="M190" t="s">
        <v>57</v>
      </c>
      <c r="N190" s="2"/>
      <c r="O190" s="4"/>
    </row>
    <row r="191" spans="1:15" ht="12.75" customHeight="1" x14ac:dyDescent="0.25">
      <c r="A191" s="380">
        <v>666495</v>
      </c>
      <c r="B191" t="s">
        <v>400</v>
      </c>
      <c r="C191" s="352">
        <v>5164</v>
      </c>
      <c r="D191" s="352">
        <v>4945</v>
      </c>
      <c r="E191" s="352">
        <v>10109</v>
      </c>
      <c r="F191" s="352">
        <v>151037752</v>
      </c>
      <c r="G191" s="352">
        <v>182161505</v>
      </c>
      <c r="H191" s="352">
        <v>333199257</v>
      </c>
      <c r="I191" s="352">
        <v>964396</v>
      </c>
      <c r="J191" t="s">
        <v>178</v>
      </c>
      <c r="K191" t="s">
        <v>1265</v>
      </c>
      <c r="L191" t="s">
        <v>1325</v>
      </c>
      <c r="M191" t="s">
        <v>57</v>
      </c>
      <c r="N191" s="2"/>
      <c r="O191" s="4"/>
    </row>
    <row r="192" spans="1:15" ht="12.75" customHeight="1" x14ac:dyDescent="0.25">
      <c r="A192" s="380">
        <v>584912</v>
      </c>
      <c r="B192" t="s">
        <v>296</v>
      </c>
      <c r="C192" s="352">
        <v>4422</v>
      </c>
      <c r="D192" s="352">
        <v>5662</v>
      </c>
      <c r="E192" s="352">
        <v>10084</v>
      </c>
      <c r="F192" s="352">
        <v>267887222</v>
      </c>
      <c r="G192" s="352">
        <v>417601422</v>
      </c>
      <c r="H192" s="352">
        <v>685488644</v>
      </c>
      <c r="I192" s="352">
        <v>2792679</v>
      </c>
      <c r="J192" t="s">
        <v>208</v>
      </c>
      <c r="K192" t="s">
        <v>1265</v>
      </c>
      <c r="L192" t="s">
        <v>160</v>
      </c>
      <c r="M192" t="s">
        <v>136</v>
      </c>
      <c r="N192" s="2"/>
      <c r="O192" s="4"/>
    </row>
    <row r="193" spans="1:15" ht="12.75" customHeight="1" x14ac:dyDescent="0.25">
      <c r="A193" s="380">
        <v>367813</v>
      </c>
      <c r="B193" t="s">
        <v>314</v>
      </c>
      <c r="C193" s="352">
        <v>5033</v>
      </c>
      <c r="D193" s="352">
        <v>4886</v>
      </c>
      <c r="E193" s="352">
        <v>9919</v>
      </c>
      <c r="F193" s="352">
        <v>318258835</v>
      </c>
      <c r="G193" s="352">
        <v>381009529</v>
      </c>
      <c r="H193" s="352">
        <v>699268364</v>
      </c>
      <c r="I193" s="352">
        <v>6299380</v>
      </c>
      <c r="J193" t="s">
        <v>588</v>
      </c>
      <c r="K193" t="s">
        <v>1262</v>
      </c>
      <c r="L193" t="s">
        <v>185</v>
      </c>
      <c r="M193" t="s">
        <v>136</v>
      </c>
      <c r="N193" s="2"/>
      <c r="O193" s="4"/>
    </row>
    <row r="194" spans="1:15" ht="12.75" customHeight="1" x14ac:dyDescent="0.25">
      <c r="A194" s="380">
        <v>838441</v>
      </c>
      <c r="B194" t="s">
        <v>1226</v>
      </c>
      <c r="C194" s="352">
        <v>5574</v>
      </c>
      <c r="D194" s="352">
        <v>4250</v>
      </c>
      <c r="E194" s="352">
        <v>9824</v>
      </c>
      <c r="F194" s="352">
        <v>364655663</v>
      </c>
      <c r="G194" s="352">
        <v>341800277</v>
      </c>
      <c r="H194" s="352">
        <v>706455940</v>
      </c>
      <c r="I194" s="352">
        <v>2640416</v>
      </c>
      <c r="J194" t="s">
        <v>182</v>
      </c>
      <c r="K194" t="s">
        <v>1265</v>
      </c>
      <c r="L194" t="s">
        <v>251</v>
      </c>
      <c r="M194" t="s">
        <v>136</v>
      </c>
      <c r="N194" s="2"/>
      <c r="O194" s="4"/>
    </row>
    <row r="195" spans="1:15" ht="12.75" customHeight="1" x14ac:dyDescent="0.25">
      <c r="A195" s="380">
        <v>726117</v>
      </c>
      <c r="B195" t="s">
        <v>215</v>
      </c>
      <c r="C195" s="352">
        <v>5245</v>
      </c>
      <c r="D195" s="352">
        <v>4529</v>
      </c>
      <c r="E195" s="352">
        <v>9774</v>
      </c>
      <c r="F195" s="352">
        <v>195045120</v>
      </c>
      <c r="G195" s="352">
        <v>209091412</v>
      </c>
      <c r="H195" s="352">
        <v>404136532</v>
      </c>
      <c r="I195" s="352">
        <v>3782428</v>
      </c>
      <c r="J195" t="s">
        <v>601</v>
      </c>
      <c r="K195" t="s">
        <v>1266</v>
      </c>
      <c r="L195" t="s">
        <v>185</v>
      </c>
      <c r="M195" t="s">
        <v>136</v>
      </c>
      <c r="N195" s="2"/>
      <c r="O195" s="4"/>
    </row>
    <row r="196" spans="1:15" ht="12.75" customHeight="1" x14ac:dyDescent="0.25">
      <c r="A196" s="380">
        <v>206250</v>
      </c>
      <c r="B196" t="s">
        <v>299</v>
      </c>
      <c r="C196" s="352">
        <v>4638</v>
      </c>
      <c r="D196" s="352">
        <v>5058</v>
      </c>
      <c r="E196" s="352">
        <v>9696</v>
      </c>
      <c r="F196" s="352">
        <v>164079284</v>
      </c>
      <c r="G196" s="352">
        <v>229127260</v>
      </c>
      <c r="H196" s="352">
        <v>393206544</v>
      </c>
      <c r="I196" s="352">
        <v>-233197</v>
      </c>
      <c r="J196" t="s">
        <v>228</v>
      </c>
      <c r="K196" t="s">
        <v>1265</v>
      </c>
      <c r="L196" t="s">
        <v>149</v>
      </c>
      <c r="M196" t="s">
        <v>136</v>
      </c>
      <c r="N196" s="2"/>
      <c r="O196" s="4"/>
    </row>
    <row r="197" spans="1:15" ht="12.75" customHeight="1" x14ac:dyDescent="0.25">
      <c r="A197" s="380">
        <v>358309</v>
      </c>
      <c r="B197" t="s">
        <v>574</v>
      </c>
      <c r="C197" s="352">
        <v>2826</v>
      </c>
      <c r="D197" s="352">
        <v>6831</v>
      </c>
      <c r="E197" s="352">
        <v>9657</v>
      </c>
      <c r="F197" s="352">
        <v>165321768</v>
      </c>
      <c r="G197" s="352">
        <v>431848017</v>
      </c>
      <c r="H197" s="352">
        <v>597169785</v>
      </c>
      <c r="I197" s="352">
        <v>19508640</v>
      </c>
      <c r="J197" t="s">
        <v>154</v>
      </c>
      <c r="K197" t="s">
        <v>1265</v>
      </c>
      <c r="L197" t="s">
        <v>143</v>
      </c>
      <c r="M197" t="s">
        <v>136</v>
      </c>
      <c r="N197" s="2"/>
      <c r="O197" s="4"/>
    </row>
    <row r="198" spans="1:15" ht="12.75" customHeight="1" x14ac:dyDescent="0.25">
      <c r="A198" s="380">
        <v>891804</v>
      </c>
      <c r="B198" t="s">
        <v>1154</v>
      </c>
      <c r="C198" s="352">
        <v>4952</v>
      </c>
      <c r="D198" s="352">
        <v>4631</v>
      </c>
      <c r="E198" s="352">
        <v>9583</v>
      </c>
      <c r="F198" s="352">
        <v>568011117</v>
      </c>
      <c r="G198" s="352">
        <v>596402920</v>
      </c>
      <c r="H198" s="352">
        <v>1164414037</v>
      </c>
      <c r="I198" s="352">
        <v>6825931</v>
      </c>
      <c r="J198" t="s">
        <v>590</v>
      </c>
      <c r="K198" t="s">
        <v>1265</v>
      </c>
      <c r="L198" t="s">
        <v>1277</v>
      </c>
      <c r="M198" t="s">
        <v>57</v>
      </c>
      <c r="N198" s="2"/>
      <c r="O198" s="4"/>
    </row>
    <row r="199" spans="1:15" ht="12.75" customHeight="1" x14ac:dyDescent="0.25">
      <c r="A199" s="380">
        <v>551507</v>
      </c>
      <c r="B199" t="s">
        <v>568</v>
      </c>
      <c r="C199" s="352">
        <v>3497</v>
      </c>
      <c r="D199" s="352">
        <v>5892</v>
      </c>
      <c r="E199" s="352">
        <v>9389</v>
      </c>
      <c r="F199" s="352">
        <v>214095608</v>
      </c>
      <c r="G199" s="352">
        <v>422662824</v>
      </c>
      <c r="H199" s="352">
        <v>636758432</v>
      </c>
      <c r="I199" s="352">
        <v>13539070</v>
      </c>
      <c r="J199" t="s">
        <v>608</v>
      </c>
      <c r="K199" t="s">
        <v>1265</v>
      </c>
      <c r="L199" t="s">
        <v>149</v>
      </c>
      <c r="M199" t="s">
        <v>136</v>
      </c>
      <c r="N199" s="2"/>
      <c r="O199" s="4"/>
    </row>
    <row r="200" spans="1:15" ht="12.75" customHeight="1" x14ac:dyDescent="0.25">
      <c r="A200" s="380">
        <v>336826</v>
      </c>
      <c r="B200" t="s">
        <v>323</v>
      </c>
      <c r="C200" s="352">
        <v>4289</v>
      </c>
      <c r="D200" s="352">
        <v>5006</v>
      </c>
      <c r="E200" s="352">
        <v>9295</v>
      </c>
      <c r="F200" s="352">
        <v>251228037</v>
      </c>
      <c r="G200" s="352">
        <v>340793193</v>
      </c>
      <c r="H200" s="352">
        <v>592021230</v>
      </c>
      <c r="I200" s="352">
        <v>3636758</v>
      </c>
      <c r="J200" t="s">
        <v>178</v>
      </c>
      <c r="K200" t="s">
        <v>1265</v>
      </c>
      <c r="L200" t="s">
        <v>1274</v>
      </c>
      <c r="M200" t="s">
        <v>57</v>
      </c>
      <c r="N200" s="2"/>
      <c r="O200" s="4"/>
    </row>
    <row r="201" spans="1:15" ht="12.75" customHeight="1" x14ac:dyDescent="0.25">
      <c r="A201" s="380">
        <v>301580</v>
      </c>
      <c r="B201" t="s">
        <v>284</v>
      </c>
      <c r="C201" s="352">
        <v>4632</v>
      </c>
      <c r="D201" s="352">
        <v>4487</v>
      </c>
      <c r="E201" s="352">
        <v>9119</v>
      </c>
      <c r="F201" s="352">
        <v>395057424</v>
      </c>
      <c r="G201" s="352">
        <v>447578977</v>
      </c>
      <c r="H201" s="352">
        <v>842636401</v>
      </c>
      <c r="I201" s="352">
        <v>8941701</v>
      </c>
      <c r="J201" t="s">
        <v>154</v>
      </c>
      <c r="K201" t="s">
        <v>1265</v>
      </c>
      <c r="L201" t="s">
        <v>173</v>
      </c>
      <c r="M201" t="s">
        <v>136</v>
      </c>
      <c r="N201" s="2"/>
      <c r="O201" s="4"/>
    </row>
    <row r="202" spans="1:15" ht="12.75" customHeight="1" x14ac:dyDescent="0.25">
      <c r="A202" s="380">
        <v>806869</v>
      </c>
      <c r="B202" t="s">
        <v>335</v>
      </c>
      <c r="C202" s="352">
        <v>4354</v>
      </c>
      <c r="D202" s="352">
        <v>4746</v>
      </c>
      <c r="E202" s="352">
        <v>9100</v>
      </c>
      <c r="F202" s="352">
        <v>276632462</v>
      </c>
      <c r="G202" s="352">
        <v>366525042</v>
      </c>
      <c r="H202" s="352">
        <v>643157504</v>
      </c>
      <c r="I202" s="352">
        <v>4792862</v>
      </c>
      <c r="J202" t="s">
        <v>182</v>
      </c>
      <c r="K202" t="s">
        <v>1265</v>
      </c>
      <c r="L202" t="s">
        <v>163</v>
      </c>
      <c r="M202" t="s">
        <v>136</v>
      </c>
      <c r="N202" s="2"/>
      <c r="O202" s="4"/>
    </row>
    <row r="203" spans="1:15" ht="12.75" customHeight="1" x14ac:dyDescent="0.25">
      <c r="A203" s="380">
        <v>618629</v>
      </c>
      <c r="B203" t="s">
        <v>343</v>
      </c>
      <c r="C203" s="352">
        <v>3776</v>
      </c>
      <c r="D203" s="352">
        <v>5188</v>
      </c>
      <c r="E203" s="352">
        <v>8964</v>
      </c>
      <c r="F203" s="352">
        <v>180833414</v>
      </c>
      <c r="G203" s="352">
        <v>299580217</v>
      </c>
      <c r="H203" s="352">
        <v>480413631</v>
      </c>
      <c r="I203" s="352">
        <v>-8913566</v>
      </c>
      <c r="J203" t="s">
        <v>609</v>
      </c>
      <c r="K203" t="s">
        <v>1265</v>
      </c>
      <c r="L203" t="s">
        <v>185</v>
      </c>
      <c r="M203" t="s">
        <v>136</v>
      </c>
      <c r="N203" s="2"/>
      <c r="O203" s="4"/>
    </row>
    <row r="204" spans="1:15" ht="12.75" customHeight="1" x14ac:dyDescent="0.25">
      <c r="A204" s="380">
        <v>872382</v>
      </c>
      <c r="B204" t="s">
        <v>581</v>
      </c>
      <c r="C204" s="352">
        <v>4177</v>
      </c>
      <c r="D204" s="352">
        <v>4781</v>
      </c>
      <c r="E204" s="352">
        <v>8958</v>
      </c>
      <c r="F204" s="352">
        <v>141359607</v>
      </c>
      <c r="G204" s="352">
        <v>194041661</v>
      </c>
      <c r="H204" s="352">
        <v>335401268</v>
      </c>
      <c r="I204" s="352">
        <v>4181813</v>
      </c>
      <c r="J204" t="s">
        <v>247</v>
      </c>
      <c r="K204" t="s">
        <v>1265</v>
      </c>
      <c r="L204" t="s">
        <v>1279</v>
      </c>
      <c r="M204" t="s">
        <v>136</v>
      </c>
      <c r="N204" s="2"/>
      <c r="O204" s="4"/>
    </row>
    <row r="205" spans="1:15" ht="12.75" customHeight="1" x14ac:dyDescent="0.25">
      <c r="A205" s="380">
        <v>233585</v>
      </c>
      <c r="B205" t="s">
        <v>498</v>
      </c>
      <c r="C205" s="352">
        <v>3461</v>
      </c>
      <c r="D205" s="352">
        <v>5491</v>
      </c>
      <c r="E205" s="352">
        <v>8952</v>
      </c>
      <c r="F205" s="352">
        <v>209916016</v>
      </c>
      <c r="G205" s="352">
        <v>417704788</v>
      </c>
      <c r="H205" s="352">
        <v>627620804</v>
      </c>
      <c r="I205" s="352">
        <v>-60233625</v>
      </c>
      <c r="J205" t="s">
        <v>259</v>
      </c>
      <c r="K205" t="s">
        <v>1265</v>
      </c>
      <c r="L205" t="s">
        <v>1330</v>
      </c>
      <c r="M205" t="s">
        <v>57</v>
      </c>
      <c r="N205" s="2"/>
      <c r="O205" s="4"/>
    </row>
    <row r="206" spans="1:15" ht="12.75" customHeight="1" x14ac:dyDescent="0.25">
      <c r="A206" s="380">
        <v>433862</v>
      </c>
      <c r="B206" t="s">
        <v>1338</v>
      </c>
      <c r="C206" s="352">
        <v>3502</v>
      </c>
      <c r="D206" s="352">
        <v>5360</v>
      </c>
      <c r="E206" s="352">
        <v>8862</v>
      </c>
      <c r="F206" s="352">
        <v>142220222</v>
      </c>
      <c r="G206" s="352">
        <v>310526781</v>
      </c>
      <c r="H206" s="352">
        <v>452747003</v>
      </c>
      <c r="I206" s="352">
        <v>3677000</v>
      </c>
      <c r="J206" t="s">
        <v>277</v>
      </c>
      <c r="K206" t="s">
        <v>1265</v>
      </c>
      <c r="L206" t="s">
        <v>1323</v>
      </c>
      <c r="M206" t="s">
        <v>57</v>
      </c>
      <c r="N206" s="2"/>
      <c r="O206" s="4"/>
    </row>
    <row r="207" spans="1:15" ht="12.75" customHeight="1" x14ac:dyDescent="0.25">
      <c r="A207" s="380">
        <v>848069</v>
      </c>
      <c r="B207" t="s">
        <v>1294</v>
      </c>
      <c r="C207" s="352">
        <v>3427</v>
      </c>
      <c r="D207" s="352">
        <v>5424</v>
      </c>
      <c r="E207" s="352">
        <v>8851</v>
      </c>
      <c r="F207" s="352">
        <v>204185207</v>
      </c>
      <c r="G207" s="352">
        <v>385521771</v>
      </c>
      <c r="H207" s="352">
        <v>589706978</v>
      </c>
      <c r="I207" s="352">
        <v>9198905</v>
      </c>
      <c r="J207" t="s">
        <v>204</v>
      </c>
      <c r="K207" t="s">
        <v>1265</v>
      </c>
      <c r="L207" t="s">
        <v>1281</v>
      </c>
      <c r="M207" t="s">
        <v>57</v>
      </c>
      <c r="N207" s="2"/>
      <c r="O207" s="4"/>
    </row>
    <row r="208" spans="1:15" s="135" customFormat="1" ht="12.75" customHeight="1" x14ac:dyDescent="0.25">
      <c r="A208" s="380">
        <v>811117</v>
      </c>
      <c r="B208" t="s">
        <v>1349</v>
      </c>
      <c r="C208" s="352">
        <v>4548</v>
      </c>
      <c r="D208" s="352">
        <v>4236</v>
      </c>
      <c r="E208" s="352">
        <v>8784</v>
      </c>
      <c r="F208" s="352">
        <v>309041397</v>
      </c>
      <c r="G208" s="352">
        <v>340261924</v>
      </c>
      <c r="H208" s="352">
        <v>649303322</v>
      </c>
      <c r="I208" s="352">
        <v>2752816</v>
      </c>
      <c r="J208" t="s">
        <v>244</v>
      </c>
      <c r="K208" t="s">
        <v>1265</v>
      </c>
      <c r="L208" t="s">
        <v>161</v>
      </c>
      <c r="M208" t="s">
        <v>136</v>
      </c>
      <c r="N208" s="20"/>
    </row>
    <row r="209" spans="1:15" ht="12.75" customHeight="1" x14ac:dyDescent="0.25">
      <c r="A209" s="380">
        <v>552984</v>
      </c>
      <c r="B209" t="s">
        <v>1256</v>
      </c>
      <c r="C209" s="352">
        <v>4186</v>
      </c>
      <c r="D209" s="352">
        <v>4493</v>
      </c>
      <c r="E209" s="352">
        <v>8679</v>
      </c>
      <c r="F209" s="352">
        <v>174860861</v>
      </c>
      <c r="G209" s="352">
        <v>220229196</v>
      </c>
      <c r="H209" s="352">
        <v>395090057</v>
      </c>
      <c r="I209" s="352">
        <v>-13314732</v>
      </c>
      <c r="J209" t="s">
        <v>247</v>
      </c>
      <c r="K209" t="s">
        <v>1265</v>
      </c>
      <c r="L209" t="s">
        <v>1279</v>
      </c>
      <c r="M209" t="s">
        <v>136</v>
      </c>
      <c r="N209" s="2"/>
      <c r="O209" s="4"/>
    </row>
    <row r="210" spans="1:15" ht="12.75" customHeight="1" x14ac:dyDescent="0.25">
      <c r="A210" s="380">
        <v>614966</v>
      </c>
      <c r="B210" t="s">
        <v>1220</v>
      </c>
      <c r="C210" s="352">
        <v>3186</v>
      </c>
      <c r="D210" s="352">
        <v>5283</v>
      </c>
      <c r="E210" s="352">
        <v>8469</v>
      </c>
      <c r="F210" s="352">
        <v>226182507</v>
      </c>
      <c r="G210" s="352">
        <v>451376214</v>
      </c>
      <c r="H210" s="352">
        <v>677558721</v>
      </c>
      <c r="I210" s="352">
        <v>5279661</v>
      </c>
      <c r="J210" t="s">
        <v>204</v>
      </c>
      <c r="K210" t="s">
        <v>1265</v>
      </c>
      <c r="L210" t="s">
        <v>1273</v>
      </c>
      <c r="M210" t="s">
        <v>57</v>
      </c>
      <c r="N210" s="2"/>
      <c r="O210" s="4"/>
    </row>
    <row r="211" spans="1:15" ht="12.75" customHeight="1" x14ac:dyDescent="0.25">
      <c r="A211" s="380">
        <v>598557</v>
      </c>
      <c r="B211" t="s">
        <v>396</v>
      </c>
      <c r="C211" s="352">
        <v>4208</v>
      </c>
      <c r="D211" s="352">
        <v>4161</v>
      </c>
      <c r="E211" s="352">
        <v>8369</v>
      </c>
      <c r="F211" s="352">
        <v>224927825</v>
      </c>
      <c r="G211" s="352">
        <v>262652072</v>
      </c>
      <c r="H211" s="352">
        <v>487579896</v>
      </c>
      <c r="I211" s="352">
        <v>-74549222</v>
      </c>
      <c r="J211" t="s">
        <v>244</v>
      </c>
      <c r="K211" t="s">
        <v>1265</v>
      </c>
      <c r="L211" t="s">
        <v>391</v>
      </c>
      <c r="M211" t="s">
        <v>57</v>
      </c>
      <c r="N211" s="2"/>
      <c r="O211" s="4"/>
    </row>
    <row r="212" spans="1:15" ht="12.75" customHeight="1" x14ac:dyDescent="0.25">
      <c r="A212" s="380">
        <v>556589</v>
      </c>
      <c r="B212" t="s">
        <v>309</v>
      </c>
      <c r="C212" s="352">
        <v>3522</v>
      </c>
      <c r="D212" s="352">
        <v>4798</v>
      </c>
      <c r="E212" s="352">
        <v>8320</v>
      </c>
      <c r="F212" s="352">
        <v>221248080</v>
      </c>
      <c r="G212" s="352">
        <v>352538772</v>
      </c>
      <c r="H212" s="352">
        <v>573786852</v>
      </c>
      <c r="I212" s="352">
        <v>1917302</v>
      </c>
      <c r="J212" t="s">
        <v>607</v>
      </c>
      <c r="K212" t="s">
        <v>1265</v>
      </c>
      <c r="L212" t="s">
        <v>173</v>
      </c>
      <c r="M212" t="s">
        <v>136</v>
      </c>
      <c r="N212" s="2"/>
      <c r="O212" s="4"/>
    </row>
    <row r="213" spans="1:15" ht="12.75" customHeight="1" x14ac:dyDescent="0.25">
      <c r="A213" s="380">
        <v>653097</v>
      </c>
      <c r="B213" t="s">
        <v>1344</v>
      </c>
      <c r="C213" s="352">
        <v>3307</v>
      </c>
      <c r="D213" s="352">
        <v>4972</v>
      </c>
      <c r="E213" s="352">
        <v>8279</v>
      </c>
      <c r="F213" s="352">
        <v>135520093</v>
      </c>
      <c r="G213" s="352">
        <v>274486893</v>
      </c>
      <c r="H213" s="352">
        <v>410006985</v>
      </c>
      <c r="I213" s="352">
        <v>-13027753</v>
      </c>
      <c r="J213" t="s">
        <v>259</v>
      </c>
      <c r="K213" t="s">
        <v>1265</v>
      </c>
      <c r="L213" t="s">
        <v>1323</v>
      </c>
      <c r="M213" t="s">
        <v>57</v>
      </c>
      <c r="N213" s="2"/>
      <c r="O213" s="4"/>
    </row>
    <row r="214" spans="1:15" ht="12.75" customHeight="1" x14ac:dyDescent="0.25">
      <c r="A214" s="380">
        <v>617670</v>
      </c>
      <c r="B214" t="s">
        <v>304</v>
      </c>
      <c r="C214" s="352">
        <v>2835</v>
      </c>
      <c r="D214" s="352">
        <v>5419</v>
      </c>
      <c r="E214" s="352">
        <v>8254</v>
      </c>
      <c r="F214" s="352">
        <v>178169581</v>
      </c>
      <c r="G214" s="352">
        <v>431811447</v>
      </c>
      <c r="H214" s="352">
        <v>609981028</v>
      </c>
      <c r="I214" s="352">
        <v>-39043582</v>
      </c>
      <c r="J214" t="s">
        <v>259</v>
      </c>
      <c r="K214" t="s">
        <v>1265</v>
      </c>
      <c r="L214" t="s">
        <v>161</v>
      </c>
      <c r="M214" t="s">
        <v>136</v>
      </c>
      <c r="N214" s="2"/>
      <c r="O214" s="4"/>
    </row>
    <row r="215" spans="1:15" ht="12.75" customHeight="1" x14ac:dyDescent="0.25">
      <c r="A215" s="380">
        <v>416867</v>
      </c>
      <c r="B215" t="s">
        <v>538</v>
      </c>
      <c r="C215" s="352">
        <v>3156</v>
      </c>
      <c r="D215" s="352">
        <v>4975</v>
      </c>
      <c r="E215" s="352">
        <v>8131</v>
      </c>
      <c r="F215" s="352">
        <v>253539624</v>
      </c>
      <c r="G215" s="352">
        <v>438879225</v>
      </c>
      <c r="H215" s="352">
        <v>692418849</v>
      </c>
      <c r="I215" s="352">
        <v>11460609</v>
      </c>
      <c r="J215" t="s">
        <v>208</v>
      </c>
      <c r="K215" t="s">
        <v>1265</v>
      </c>
      <c r="L215" t="s">
        <v>1269</v>
      </c>
      <c r="M215" t="s">
        <v>136</v>
      </c>
      <c r="N215" s="2"/>
      <c r="O215" s="4"/>
    </row>
    <row r="216" spans="1:15" ht="12.75" customHeight="1" x14ac:dyDescent="0.25">
      <c r="A216" s="380">
        <v>596429</v>
      </c>
      <c r="B216" t="s">
        <v>202</v>
      </c>
      <c r="C216" s="352">
        <v>4299</v>
      </c>
      <c r="D216" s="352">
        <v>3771</v>
      </c>
      <c r="E216" s="352">
        <v>8070</v>
      </c>
      <c r="F216" s="352">
        <v>188231034</v>
      </c>
      <c r="G216" s="352">
        <v>216280832</v>
      </c>
      <c r="H216" s="352">
        <v>404511867</v>
      </c>
      <c r="I216" s="352">
        <v>8526662</v>
      </c>
      <c r="J216" t="s">
        <v>586</v>
      </c>
      <c r="K216" t="s">
        <v>1259</v>
      </c>
      <c r="L216" t="s">
        <v>1323</v>
      </c>
      <c r="M216" t="s">
        <v>136</v>
      </c>
      <c r="N216" s="2"/>
      <c r="O216" s="4"/>
    </row>
    <row r="217" spans="1:15" ht="12.75" customHeight="1" x14ac:dyDescent="0.25">
      <c r="A217" s="380">
        <v>416982</v>
      </c>
      <c r="B217" t="s">
        <v>15</v>
      </c>
      <c r="C217" s="352">
        <v>3782</v>
      </c>
      <c r="D217" s="352">
        <v>4190</v>
      </c>
      <c r="E217" s="352">
        <v>7972</v>
      </c>
      <c r="F217" s="352">
        <v>217674338</v>
      </c>
      <c r="G217" s="352">
        <v>280472808</v>
      </c>
      <c r="H217" s="352">
        <v>498147145</v>
      </c>
      <c r="I217" s="352">
        <v>-1345184</v>
      </c>
      <c r="J217" t="s">
        <v>612</v>
      </c>
      <c r="K217" t="s">
        <v>1265</v>
      </c>
      <c r="L217" t="s">
        <v>170</v>
      </c>
      <c r="M217" t="s">
        <v>57</v>
      </c>
      <c r="N217" s="2"/>
      <c r="O217" s="4"/>
    </row>
    <row r="218" spans="1:15" ht="12.75" customHeight="1" x14ac:dyDescent="0.25">
      <c r="A218" s="380">
        <v>339184</v>
      </c>
      <c r="B218" t="s">
        <v>356</v>
      </c>
      <c r="C218" s="352">
        <v>3125</v>
      </c>
      <c r="D218" s="352">
        <v>4789</v>
      </c>
      <c r="E218" s="352">
        <v>7914</v>
      </c>
      <c r="F218" s="352">
        <v>242951476</v>
      </c>
      <c r="G218" s="352">
        <v>413695327</v>
      </c>
      <c r="H218" s="352">
        <v>656646803</v>
      </c>
      <c r="I218" s="352">
        <v>6610769</v>
      </c>
      <c r="J218" t="s">
        <v>182</v>
      </c>
      <c r="K218" t="s">
        <v>1265</v>
      </c>
      <c r="L218" t="s">
        <v>143</v>
      </c>
      <c r="M218" t="s">
        <v>136</v>
      </c>
      <c r="N218" s="2"/>
      <c r="O218" s="4"/>
    </row>
    <row r="219" spans="1:15" ht="12.75" customHeight="1" x14ac:dyDescent="0.25">
      <c r="A219" s="380">
        <v>320762</v>
      </c>
      <c r="B219" t="s">
        <v>234</v>
      </c>
      <c r="C219" s="352">
        <v>3967</v>
      </c>
      <c r="D219" s="352">
        <v>3902</v>
      </c>
      <c r="E219" s="352">
        <v>7869</v>
      </c>
      <c r="F219" s="352">
        <v>333185250</v>
      </c>
      <c r="G219" s="352">
        <v>412626354</v>
      </c>
      <c r="H219" s="352">
        <v>745811604</v>
      </c>
      <c r="I219" s="352">
        <v>8905447</v>
      </c>
      <c r="J219" t="s">
        <v>586</v>
      </c>
      <c r="K219" t="s">
        <v>1259</v>
      </c>
      <c r="L219" t="s">
        <v>147</v>
      </c>
      <c r="M219" t="s">
        <v>136</v>
      </c>
      <c r="N219" s="2"/>
      <c r="O219" s="4"/>
    </row>
    <row r="220" spans="1:15" ht="12.75" customHeight="1" x14ac:dyDescent="0.25">
      <c r="A220" s="380">
        <v>478313</v>
      </c>
      <c r="B220" t="s">
        <v>162</v>
      </c>
      <c r="C220" s="352">
        <v>3764</v>
      </c>
      <c r="D220" s="352">
        <v>4063</v>
      </c>
      <c r="E220" s="352">
        <v>7827</v>
      </c>
      <c r="F220" s="352">
        <v>195659579</v>
      </c>
      <c r="G220" s="352">
        <v>275453032</v>
      </c>
      <c r="H220" s="352">
        <v>471112612</v>
      </c>
      <c r="I220" s="352">
        <v>9521162</v>
      </c>
      <c r="J220" t="s">
        <v>593</v>
      </c>
      <c r="K220" t="s">
        <v>1266</v>
      </c>
      <c r="L220" t="s">
        <v>163</v>
      </c>
      <c r="M220" t="s">
        <v>136</v>
      </c>
      <c r="N220" s="2"/>
      <c r="O220" s="4"/>
    </row>
    <row r="221" spans="1:15" ht="12.75" customHeight="1" x14ac:dyDescent="0.25">
      <c r="A221" s="380">
        <v>152181</v>
      </c>
      <c r="B221" t="s">
        <v>357</v>
      </c>
      <c r="C221" s="352">
        <v>2902</v>
      </c>
      <c r="D221" s="352">
        <v>4783</v>
      </c>
      <c r="E221" s="352">
        <v>7685</v>
      </c>
      <c r="F221" s="352">
        <v>267136097</v>
      </c>
      <c r="G221" s="352">
        <v>462732738</v>
      </c>
      <c r="H221" s="352">
        <v>729868835</v>
      </c>
      <c r="I221" s="352">
        <v>13428557</v>
      </c>
      <c r="J221" t="s">
        <v>182</v>
      </c>
      <c r="K221" t="s">
        <v>1265</v>
      </c>
      <c r="L221" t="s">
        <v>143</v>
      </c>
      <c r="M221" t="s">
        <v>136</v>
      </c>
      <c r="N221" s="2"/>
      <c r="O221" s="4"/>
    </row>
    <row r="222" spans="1:15" ht="12.75" customHeight="1" x14ac:dyDescent="0.25">
      <c r="A222" s="380">
        <v>407064</v>
      </c>
      <c r="B222" t="s">
        <v>1305</v>
      </c>
      <c r="C222" s="352">
        <v>3345</v>
      </c>
      <c r="D222" s="352">
        <v>4339</v>
      </c>
      <c r="E222" s="352">
        <v>7684</v>
      </c>
      <c r="F222" s="352">
        <v>228970537</v>
      </c>
      <c r="G222" s="352">
        <v>328951065</v>
      </c>
      <c r="H222" s="352">
        <v>557921603</v>
      </c>
      <c r="I222" s="352">
        <v>2417815</v>
      </c>
      <c r="J222" t="s">
        <v>154</v>
      </c>
      <c r="K222" t="s">
        <v>1265</v>
      </c>
      <c r="L222" t="s">
        <v>152</v>
      </c>
      <c r="M222" t="s">
        <v>136</v>
      </c>
      <c r="N222" s="2"/>
      <c r="O222" s="4"/>
    </row>
    <row r="223" spans="1:15" ht="12.75" customHeight="1" x14ac:dyDescent="0.25">
      <c r="A223" s="380">
        <v>469817</v>
      </c>
      <c r="B223" t="s">
        <v>216</v>
      </c>
      <c r="C223" s="352">
        <v>3908</v>
      </c>
      <c r="D223" s="352">
        <v>3727</v>
      </c>
      <c r="E223" s="352">
        <v>7635</v>
      </c>
      <c r="F223" s="352">
        <v>168804871</v>
      </c>
      <c r="G223" s="352">
        <v>204210361</v>
      </c>
      <c r="H223" s="352">
        <v>373015232</v>
      </c>
      <c r="I223" s="352">
        <v>36221653</v>
      </c>
      <c r="J223" t="s">
        <v>601</v>
      </c>
      <c r="K223" t="s">
        <v>1266</v>
      </c>
      <c r="L223" t="s">
        <v>185</v>
      </c>
      <c r="M223" t="s">
        <v>136</v>
      </c>
      <c r="N223" s="2"/>
      <c r="O223" s="4"/>
    </row>
    <row r="224" spans="1:15" ht="12.75" customHeight="1" x14ac:dyDescent="0.25">
      <c r="A224" s="380">
        <v>914945</v>
      </c>
      <c r="B224" t="s">
        <v>307</v>
      </c>
      <c r="C224" s="352">
        <v>3279</v>
      </c>
      <c r="D224" s="352">
        <v>4215</v>
      </c>
      <c r="E224" s="352">
        <v>7494</v>
      </c>
      <c r="F224" s="352">
        <v>167434201</v>
      </c>
      <c r="G224" s="352">
        <v>267119504</v>
      </c>
      <c r="H224" s="352">
        <v>434553706</v>
      </c>
      <c r="I224" s="352">
        <v>2430028</v>
      </c>
      <c r="J224" t="s">
        <v>609</v>
      </c>
      <c r="K224" t="s">
        <v>1265</v>
      </c>
      <c r="L224" t="s">
        <v>173</v>
      </c>
      <c r="M224" t="s">
        <v>136</v>
      </c>
      <c r="N224" s="2"/>
      <c r="O224" s="4"/>
    </row>
    <row r="225" spans="1:15" ht="12.75" customHeight="1" x14ac:dyDescent="0.25">
      <c r="A225" s="380">
        <v>123901</v>
      </c>
      <c r="B225" t="s">
        <v>571</v>
      </c>
      <c r="C225" s="352">
        <v>3932</v>
      </c>
      <c r="D225" s="352">
        <v>3386</v>
      </c>
      <c r="E225" s="352">
        <v>7318</v>
      </c>
      <c r="F225" s="352">
        <v>543341124</v>
      </c>
      <c r="G225" s="352">
        <v>517017443</v>
      </c>
      <c r="H225" s="352">
        <v>1060358567</v>
      </c>
      <c r="I225" s="352">
        <v>7686692</v>
      </c>
      <c r="J225" t="s">
        <v>602</v>
      </c>
      <c r="K225" t="s">
        <v>1262</v>
      </c>
      <c r="L225" t="s">
        <v>248</v>
      </c>
      <c r="M225" t="s">
        <v>57</v>
      </c>
      <c r="N225" s="2"/>
      <c r="O225" s="4"/>
    </row>
    <row r="226" spans="1:15" ht="12.75" customHeight="1" x14ac:dyDescent="0.25">
      <c r="A226" s="380">
        <v>494427</v>
      </c>
      <c r="B226" t="s">
        <v>1340</v>
      </c>
      <c r="C226" s="352">
        <v>3404</v>
      </c>
      <c r="D226" s="352">
        <v>3867</v>
      </c>
      <c r="E226" s="352">
        <v>7271</v>
      </c>
      <c r="F226" s="352">
        <v>154261328</v>
      </c>
      <c r="G226" s="352">
        <v>229550568</v>
      </c>
      <c r="H226" s="352">
        <v>383811895</v>
      </c>
      <c r="I226" s="352">
        <v>-461176</v>
      </c>
      <c r="J226" t="s">
        <v>609</v>
      </c>
      <c r="K226" t="s">
        <v>1265</v>
      </c>
      <c r="L226" t="s">
        <v>1323</v>
      </c>
      <c r="M226" t="s">
        <v>57</v>
      </c>
      <c r="N226" s="2"/>
      <c r="O226" s="4"/>
    </row>
    <row r="227" spans="1:15" ht="12.75" customHeight="1" x14ac:dyDescent="0.25">
      <c r="A227" s="380">
        <v>648964</v>
      </c>
      <c r="B227" t="s">
        <v>190</v>
      </c>
      <c r="C227" s="352">
        <v>3873</v>
      </c>
      <c r="D227" s="352">
        <v>3313</v>
      </c>
      <c r="E227" s="352">
        <v>7186</v>
      </c>
      <c r="F227" s="352">
        <v>180931749</v>
      </c>
      <c r="G227" s="352">
        <v>193579093</v>
      </c>
      <c r="H227" s="352">
        <v>374510842</v>
      </c>
      <c r="I227" s="352">
        <v>10208079</v>
      </c>
      <c r="J227" t="s">
        <v>601</v>
      </c>
      <c r="K227" t="s">
        <v>1266</v>
      </c>
      <c r="L227" t="s">
        <v>1323</v>
      </c>
      <c r="M227" t="s">
        <v>136</v>
      </c>
      <c r="N227" s="2"/>
      <c r="O227" s="4"/>
    </row>
    <row r="228" spans="1:15" ht="12.75" customHeight="1" x14ac:dyDescent="0.25">
      <c r="A228" s="380">
        <v>891036</v>
      </c>
      <c r="B228" t="s">
        <v>352</v>
      </c>
      <c r="C228" s="352">
        <v>2906</v>
      </c>
      <c r="D228" s="352">
        <v>4155</v>
      </c>
      <c r="E228" s="352">
        <v>7061</v>
      </c>
      <c r="F228" s="352">
        <v>174907333</v>
      </c>
      <c r="G228" s="352">
        <v>285235536</v>
      </c>
      <c r="H228" s="352">
        <v>460142869</v>
      </c>
      <c r="I228" s="352">
        <v>-6376401</v>
      </c>
      <c r="J228" t="s">
        <v>607</v>
      </c>
      <c r="K228" t="s">
        <v>1265</v>
      </c>
      <c r="L228" t="s">
        <v>279</v>
      </c>
      <c r="M228" t="s">
        <v>57</v>
      </c>
      <c r="N228" s="2"/>
      <c r="O228" s="4"/>
    </row>
    <row r="229" spans="1:15" ht="12.75" customHeight="1" x14ac:dyDescent="0.25">
      <c r="A229" s="380">
        <v>727057</v>
      </c>
      <c r="B229" t="s">
        <v>426</v>
      </c>
      <c r="C229" s="352">
        <v>2927</v>
      </c>
      <c r="D229" s="352">
        <v>4129</v>
      </c>
      <c r="E229" s="352">
        <v>7056</v>
      </c>
      <c r="F229" s="352">
        <v>565956720</v>
      </c>
      <c r="G229" s="352">
        <v>946789546</v>
      </c>
      <c r="H229" s="352">
        <v>1512746267</v>
      </c>
      <c r="I229" s="352">
        <v>7294510</v>
      </c>
      <c r="J229" t="s">
        <v>154</v>
      </c>
      <c r="K229" t="s">
        <v>1265</v>
      </c>
      <c r="L229" t="s">
        <v>527</v>
      </c>
      <c r="M229" t="s">
        <v>136</v>
      </c>
      <c r="N229" s="2"/>
      <c r="O229" s="4"/>
    </row>
    <row r="230" spans="1:15" ht="12.75" customHeight="1" x14ac:dyDescent="0.25">
      <c r="A230" s="380">
        <v>946285</v>
      </c>
      <c r="B230" t="s">
        <v>633</v>
      </c>
      <c r="C230" s="352">
        <v>2423</v>
      </c>
      <c r="D230" s="352">
        <v>4492</v>
      </c>
      <c r="E230" s="352">
        <v>6915</v>
      </c>
      <c r="F230" s="352">
        <v>620255726</v>
      </c>
      <c r="G230" s="352">
        <v>1374785791</v>
      </c>
      <c r="H230" s="352">
        <v>1995041518</v>
      </c>
      <c r="I230" s="352">
        <v>9186401</v>
      </c>
      <c r="J230" t="s">
        <v>588</v>
      </c>
      <c r="K230" t="s">
        <v>1262</v>
      </c>
      <c r="L230" t="s">
        <v>1355</v>
      </c>
      <c r="M230" t="s">
        <v>57</v>
      </c>
      <c r="N230" s="2"/>
      <c r="O230" s="4"/>
    </row>
    <row r="231" spans="1:15" ht="12.75" customHeight="1" x14ac:dyDescent="0.25">
      <c r="A231" s="380">
        <v>983593</v>
      </c>
      <c r="B231" t="s">
        <v>388</v>
      </c>
      <c r="C231" s="352">
        <v>2741</v>
      </c>
      <c r="D231" s="352">
        <v>4035</v>
      </c>
      <c r="E231" s="352">
        <v>6776</v>
      </c>
      <c r="F231" s="352">
        <v>119128094</v>
      </c>
      <c r="G231" s="352">
        <v>221773593</v>
      </c>
      <c r="H231" s="352">
        <v>340901687</v>
      </c>
      <c r="I231" s="352">
        <v>2025057</v>
      </c>
      <c r="J231" t="s">
        <v>247</v>
      </c>
      <c r="K231" t="s">
        <v>1265</v>
      </c>
      <c r="L231" t="s">
        <v>1327</v>
      </c>
      <c r="M231" t="s">
        <v>57</v>
      </c>
      <c r="N231" s="2"/>
      <c r="O231" s="4"/>
    </row>
    <row r="232" spans="1:15" ht="12.75" customHeight="1" x14ac:dyDescent="0.25">
      <c r="A232" s="380">
        <v>694539</v>
      </c>
      <c r="B232" t="s">
        <v>534</v>
      </c>
      <c r="C232" s="352">
        <v>3129</v>
      </c>
      <c r="D232" s="352">
        <v>3462</v>
      </c>
      <c r="E232" s="352">
        <v>6591</v>
      </c>
      <c r="F232" s="352">
        <v>284056614</v>
      </c>
      <c r="G232" s="352">
        <v>375436092</v>
      </c>
      <c r="H232" s="352">
        <v>659492706</v>
      </c>
      <c r="I232" s="352">
        <v>1446458</v>
      </c>
      <c r="J232" t="s">
        <v>208</v>
      </c>
      <c r="K232" t="s">
        <v>1265</v>
      </c>
      <c r="L232" t="s">
        <v>1269</v>
      </c>
      <c r="M232" t="s">
        <v>136</v>
      </c>
      <c r="N232" s="2"/>
      <c r="O232" s="4"/>
    </row>
    <row r="233" spans="1:15" ht="12.75" customHeight="1" x14ac:dyDescent="0.25">
      <c r="A233" s="380">
        <v>560599</v>
      </c>
      <c r="B233" t="s">
        <v>256</v>
      </c>
      <c r="C233" s="352">
        <v>2308</v>
      </c>
      <c r="D233" s="352">
        <v>4269</v>
      </c>
      <c r="E233" s="352">
        <v>6577</v>
      </c>
      <c r="F233" s="352">
        <v>227550882</v>
      </c>
      <c r="G233" s="352">
        <v>534814805</v>
      </c>
      <c r="H233" s="352">
        <v>762365687</v>
      </c>
      <c r="I233" s="352">
        <v>146496057</v>
      </c>
      <c r="J233" t="s">
        <v>605</v>
      </c>
      <c r="K233" t="s">
        <v>1266</v>
      </c>
      <c r="L233" t="s">
        <v>143</v>
      </c>
      <c r="M233" t="s">
        <v>136</v>
      </c>
      <c r="N233" s="2"/>
      <c r="O233" s="4"/>
    </row>
    <row r="234" spans="1:15" ht="12.75" customHeight="1" x14ac:dyDescent="0.25">
      <c r="A234" s="380">
        <v>721035</v>
      </c>
      <c r="B234" t="s">
        <v>591</v>
      </c>
      <c r="C234" s="352">
        <v>2312</v>
      </c>
      <c r="D234" s="352">
        <v>4136</v>
      </c>
      <c r="E234" s="352">
        <v>6448</v>
      </c>
      <c r="F234" s="352">
        <v>152306601</v>
      </c>
      <c r="G234" s="352">
        <v>332346279</v>
      </c>
      <c r="H234" s="352">
        <v>484652880</v>
      </c>
      <c r="I234" s="352">
        <v>3582261</v>
      </c>
      <c r="J234" t="s">
        <v>208</v>
      </c>
      <c r="K234" t="s">
        <v>1265</v>
      </c>
      <c r="L234" t="s">
        <v>1270</v>
      </c>
      <c r="M234" t="s">
        <v>57</v>
      </c>
      <c r="N234" s="2"/>
      <c r="O234" s="4"/>
    </row>
    <row r="235" spans="1:15" ht="12.75" customHeight="1" x14ac:dyDescent="0.25">
      <c r="A235" s="380">
        <v>823096</v>
      </c>
      <c r="B235" t="s">
        <v>203</v>
      </c>
      <c r="C235" s="352">
        <v>2383</v>
      </c>
      <c r="D235" s="352">
        <v>3982</v>
      </c>
      <c r="E235" s="352">
        <v>6365</v>
      </c>
      <c r="F235" s="352">
        <v>115243823</v>
      </c>
      <c r="G235" s="352">
        <v>235914370</v>
      </c>
      <c r="H235" s="352">
        <v>351158194</v>
      </c>
      <c r="I235" s="352">
        <v>-1324352</v>
      </c>
      <c r="J235" t="s">
        <v>609</v>
      </c>
      <c r="K235" t="s">
        <v>1265</v>
      </c>
      <c r="L235" t="s">
        <v>144</v>
      </c>
      <c r="M235" t="s">
        <v>136</v>
      </c>
      <c r="N235" s="2"/>
      <c r="O235" s="4"/>
    </row>
    <row r="236" spans="1:15" ht="12.75" customHeight="1" x14ac:dyDescent="0.25">
      <c r="A236" s="380">
        <v>413021</v>
      </c>
      <c r="B236" t="s">
        <v>515</v>
      </c>
      <c r="C236" s="352">
        <v>2672</v>
      </c>
      <c r="D236" s="352">
        <v>3672</v>
      </c>
      <c r="E236" s="352">
        <v>6344</v>
      </c>
      <c r="F236" s="352">
        <v>81223301</v>
      </c>
      <c r="G236" s="352">
        <v>139498041</v>
      </c>
      <c r="H236" s="352">
        <v>220721342</v>
      </c>
      <c r="I236" s="352">
        <v>1752025</v>
      </c>
      <c r="J236" t="s">
        <v>228</v>
      </c>
      <c r="K236" t="s">
        <v>1265</v>
      </c>
      <c r="L236" t="s">
        <v>371</v>
      </c>
      <c r="M236" t="s">
        <v>57</v>
      </c>
      <c r="N236" s="2"/>
      <c r="O236" s="4"/>
    </row>
    <row r="237" spans="1:15" ht="12.75" customHeight="1" x14ac:dyDescent="0.25">
      <c r="A237" s="380">
        <v>272898</v>
      </c>
      <c r="B237" t="s">
        <v>358</v>
      </c>
      <c r="C237" s="352">
        <v>2374</v>
      </c>
      <c r="D237" s="352">
        <v>3928</v>
      </c>
      <c r="E237" s="352">
        <v>6302</v>
      </c>
      <c r="F237" s="352">
        <v>160160667</v>
      </c>
      <c r="G237" s="352">
        <v>299425387</v>
      </c>
      <c r="H237" s="352">
        <v>459586055</v>
      </c>
      <c r="I237" s="352">
        <v>21852425</v>
      </c>
      <c r="J237" t="s">
        <v>182</v>
      </c>
      <c r="K237" t="s">
        <v>1265</v>
      </c>
      <c r="L237" t="s">
        <v>143</v>
      </c>
      <c r="M237" t="s">
        <v>136</v>
      </c>
      <c r="N237" s="2"/>
      <c r="O237" s="4"/>
    </row>
    <row r="238" spans="1:15" ht="12.75" customHeight="1" x14ac:dyDescent="0.25">
      <c r="A238" s="380">
        <v>654459</v>
      </c>
      <c r="B238" t="s">
        <v>211</v>
      </c>
      <c r="C238" s="352">
        <v>2920</v>
      </c>
      <c r="D238" s="352">
        <v>3316</v>
      </c>
      <c r="E238" s="352">
        <v>6236</v>
      </c>
      <c r="F238" s="352">
        <v>140622716</v>
      </c>
      <c r="G238" s="352">
        <v>180000923</v>
      </c>
      <c r="H238" s="352">
        <v>320623639</v>
      </c>
      <c r="I238" s="352">
        <v>2674960</v>
      </c>
      <c r="J238" t="s">
        <v>178</v>
      </c>
      <c r="K238" t="s">
        <v>1265</v>
      </c>
      <c r="L238" t="s">
        <v>185</v>
      </c>
      <c r="M238" t="s">
        <v>136</v>
      </c>
      <c r="N238" s="2"/>
      <c r="O238" s="4"/>
    </row>
    <row r="239" spans="1:15" ht="12.75" customHeight="1" x14ac:dyDescent="0.25">
      <c r="A239" s="380">
        <v>997403</v>
      </c>
      <c r="B239" t="s">
        <v>280</v>
      </c>
      <c r="C239" s="352">
        <v>3611</v>
      </c>
      <c r="D239" s="352">
        <v>2622</v>
      </c>
      <c r="E239" s="352">
        <v>6233</v>
      </c>
      <c r="F239" s="352">
        <v>643571231</v>
      </c>
      <c r="G239" s="352">
        <v>521260842</v>
      </c>
      <c r="H239" s="352">
        <v>1164832073</v>
      </c>
      <c r="I239" s="352">
        <v>18896045</v>
      </c>
      <c r="J239" t="s">
        <v>602</v>
      </c>
      <c r="K239" t="s">
        <v>1262</v>
      </c>
      <c r="L239" t="s">
        <v>173</v>
      </c>
      <c r="M239" t="s">
        <v>57</v>
      </c>
      <c r="N239" s="2"/>
      <c r="O239" s="4"/>
    </row>
    <row r="240" spans="1:15" ht="12.75" customHeight="1" x14ac:dyDescent="0.25">
      <c r="A240" s="380">
        <v>344739</v>
      </c>
      <c r="B240" t="s">
        <v>355</v>
      </c>
      <c r="C240" s="352">
        <v>3220</v>
      </c>
      <c r="D240" s="352">
        <v>2741</v>
      </c>
      <c r="E240" s="352">
        <v>5961</v>
      </c>
      <c r="F240" s="352">
        <v>211070083</v>
      </c>
      <c r="G240" s="352">
        <v>205005473</v>
      </c>
      <c r="H240" s="352">
        <v>416075556</v>
      </c>
      <c r="I240" s="352">
        <v>2076350</v>
      </c>
      <c r="J240" t="s">
        <v>182</v>
      </c>
      <c r="K240" t="s">
        <v>1265</v>
      </c>
      <c r="L240" t="s">
        <v>241</v>
      </c>
      <c r="M240" t="s">
        <v>136</v>
      </c>
      <c r="N240" s="2"/>
      <c r="O240" s="4"/>
    </row>
    <row r="241" spans="1:15" ht="12.75" customHeight="1" x14ac:dyDescent="0.25">
      <c r="A241" s="380">
        <v>986604</v>
      </c>
      <c r="B241" t="s">
        <v>297</v>
      </c>
      <c r="C241" s="352">
        <v>2636</v>
      </c>
      <c r="D241" s="352">
        <v>3302</v>
      </c>
      <c r="E241" s="352">
        <v>5938</v>
      </c>
      <c r="F241" s="352">
        <v>145252975</v>
      </c>
      <c r="G241" s="352">
        <v>227751232</v>
      </c>
      <c r="H241" s="352">
        <v>373004208</v>
      </c>
      <c r="I241" s="352">
        <v>1682945</v>
      </c>
      <c r="J241" t="s">
        <v>608</v>
      </c>
      <c r="K241" t="s">
        <v>1265</v>
      </c>
      <c r="L241" t="s">
        <v>173</v>
      </c>
      <c r="M241" t="s">
        <v>136</v>
      </c>
      <c r="N241" s="2"/>
      <c r="O241" s="4"/>
    </row>
    <row r="242" spans="1:15" ht="12.75" customHeight="1" x14ac:dyDescent="0.25">
      <c r="A242" s="380">
        <v>615310</v>
      </c>
      <c r="B242" t="s">
        <v>419</v>
      </c>
      <c r="C242" s="352">
        <v>2977</v>
      </c>
      <c r="D242" s="352">
        <v>2934</v>
      </c>
      <c r="E242" s="352">
        <v>5911</v>
      </c>
      <c r="F242" s="352">
        <v>506342287</v>
      </c>
      <c r="G242" s="352">
        <v>570922333</v>
      </c>
      <c r="H242" s="352">
        <v>1077264620</v>
      </c>
      <c r="I242" s="352">
        <v>6270095</v>
      </c>
      <c r="J242" t="s">
        <v>588</v>
      </c>
      <c r="K242" t="s">
        <v>1262</v>
      </c>
      <c r="L242" t="s">
        <v>527</v>
      </c>
      <c r="M242" t="s">
        <v>136</v>
      </c>
      <c r="N242" s="2"/>
      <c r="O242" s="4"/>
    </row>
    <row r="243" spans="1:15" ht="12.75" customHeight="1" x14ac:dyDescent="0.25">
      <c r="A243" s="380">
        <v>183178</v>
      </c>
      <c r="B243" t="s">
        <v>322</v>
      </c>
      <c r="C243" s="352">
        <v>2716</v>
      </c>
      <c r="D243" s="352">
        <v>3167</v>
      </c>
      <c r="E243" s="352">
        <v>5883</v>
      </c>
      <c r="F243" s="352">
        <v>187150377</v>
      </c>
      <c r="G243" s="352">
        <v>262135402</v>
      </c>
      <c r="H243" s="352">
        <v>449285778</v>
      </c>
      <c r="I243" s="352">
        <v>630573</v>
      </c>
      <c r="J243" t="s">
        <v>229</v>
      </c>
      <c r="K243" t="s">
        <v>1265</v>
      </c>
      <c r="L243" t="s">
        <v>227</v>
      </c>
      <c r="M243" t="s">
        <v>57</v>
      </c>
      <c r="N243" s="2"/>
      <c r="O243" s="4"/>
    </row>
    <row r="244" spans="1:15" ht="12.75" customHeight="1" x14ac:dyDescent="0.25">
      <c r="A244" s="380">
        <v>405704</v>
      </c>
      <c r="B244" t="s">
        <v>520</v>
      </c>
      <c r="C244" s="352">
        <v>3230</v>
      </c>
      <c r="D244" s="352">
        <v>2508</v>
      </c>
      <c r="E244" s="352">
        <v>5738</v>
      </c>
      <c r="F244" s="352">
        <v>146024681</v>
      </c>
      <c r="G244" s="352">
        <v>144338064</v>
      </c>
      <c r="H244" s="352">
        <v>290362745</v>
      </c>
      <c r="I244" s="352">
        <v>6204738</v>
      </c>
      <c r="J244" t="s">
        <v>599</v>
      </c>
      <c r="K244" t="s">
        <v>1266</v>
      </c>
      <c r="L244" t="s">
        <v>173</v>
      </c>
      <c r="M244" t="s">
        <v>57</v>
      </c>
      <c r="N244" s="2"/>
      <c r="O244" s="4"/>
    </row>
    <row r="245" spans="1:15" ht="12.75" customHeight="1" x14ac:dyDescent="0.25">
      <c r="A245" s="380">
        <v>174490</v>
      </c>
      <c r="B245" t="s">
        <v>1326</v>
      </c>
      <c r="C245" s="352">
        <v>2512</v>
      </c>
      <c r="D245" s="352">
        <v>3184</v>
      </c>
      <c r="E245" s="352">
        <v>5696</v>
      </c>
      <c r="F245" s="352">
        <v>72514360</v>
      </c>
      <c r="G245" s="352">
        <v>117480384</v>
      </c>
      <c r="H245" s="352">
        <v>189994744</v>
      </c>
      <c r="I245" s="352">
        <v>1281329</v>
      </c>
      <c r="J245" t="s">
        <v>167</v>
      </c>
      <c r="K245" t="s">
        <v>1265</v>
      </c>
      <c r="L245" t="s">
        <v>1268</v>
      </c>
      <c r="M245" t="s">
        <v>57</v>
      </c>
      <c r="N245" s="2"/>
      <c r="O245" s="4"/>
    </row>
    <row r="246" spans="1:15" ht="12.75" customHeight="1" x14ac:dyDescent="0.25">
      <c r="A246" s="380">
        <v>728824</v>
      </c>
      <c r="B246" t="s">
        <v>1347</v>
      </c>
      <c r="C246" s="352">
        <v>2740</v>
      </c>
      <c r="D246" s="352">
        <v>2952</v>
      </c>
      <c r="E246" s="352">
        <v>5692</v>
      </c>
      <c r="F246" s="352">
        <v>124378962</v>
      </c>
      <c r="G246" s="352">
        <v>147232383</v>
      </c>
      <c r="H246" s="352">
        <v>271611345</v>
      </c>
      <c r="I246" s="352">
        <v>2336012</v>
      </c>
      <c r="J246" t="s">
        <v>154</v>
      </c>
      <c r="K246" t="s">
        <v>1265</v>
      </c>
      <c r="L246" t="s">
        <v>1268</v>
      </c>
      <c r="M246" t="s">
        <v>57</v>
      </c>
      <c r="N246" s="2"/>
      <c r="O246" s="4"/>
    </row>
    <row r="247" spans="1:15" ht="12.75" customHeight="1" x14ac:dyDescent="0.25">
      <c r="A247" s="380">
        <v>829945</v>
      </c>
      <c r="B247" t="s">
        <v>1151</v>
      </c>
      <c r="C247" s="352">
        <v>2945</v>
      </c>
      <c r="D247" s="352">
        <v>2668</v>
      </c>
      <c r="E247" s="352">
        <v>5613</v>
      </c>
      <c r="F247" s="352">
        <v>173107018</v>
      </c>
      <c r="G247" s="352">
        <v>183404552</v>
      </c>
      <c r="H247" s="352">
        <v>356511570</v>
      </c>
      <c r="I247" s="352">
        <v>2124017</v>
      </c>
      <c r="J247" t="s">
        <v>602</v>
      </c>
      <c r="K247" t="s">
        <v>1262</v>
      </c>
      <c r="L247" t="s">
        <v>1277</v>
      </c>
      <c r="M247" t="s">
        <v>57</v>
      </c>
      <c r="N247" s="2"/>
      <c r="O247" s="4"/>
    </row>
    <row r="248" spans="1:15" ht="12.75" customHeight="1" x14ac:dyDescent="0.25">
      <c r="A248" s="380">
        <v>718205</v>
      </c>
      <c r="B248" t="s">
        <v>1244</v>
      </c>
      <c r="C248" s="352">
        <v>3044</v>
      </c>
      <c r="D248" s="352">
        <v>2521</v>
      </c>
      <c r="E248" s="352">
        <v>5565</v>
      </c>
      <c r="F248" s="352">
        <v>146697495</v>
      </c>
      <c r="G248" s="352">
        <v>191303735</v>
      </c>
      <c r="H248" s="352">
        <v>338001230</v>
      </c>
      <c r="I248" s="352">
        <v>7286226</v>
      </c>
      <c r="J248" t="s">
        <v>593</v>
      </c>
      <c r="K248" t="s">
        <v>1266</v>
      </c>
      <c r="L248" t="s">
        <v>161</v>
      </c>
      <c r="M248" t="s">
        <v>136</v>
      </c>
      <c r="N248" s="2"/>
      <c r="O248" s="4"/>
    </row>
    <row r="249" spans="1:15" ht="12.75" customHeight="1" x14ac:dyDescent="0.25">
      <c r="A249" s="380">
        <v>870907</v>
      </c>
      <c r="B249" t="s">
        <v>576</v>
      </c>
      <c r="C249" s="352">
        <v>2238</v>
      </c>
      <c r="D249" s="352">
        <v>3309</v>
      </c>
      <c r="E249" s="352">
        <v>5547</v>
      </c>
      <c r="F249" s="352">
        <v>134609582</v>
      </c>
      <c r="G249" s="352">
        <v>224240338</v>
      </c>
      <c r="H249" s="352">
        <v>358849921</v>
      </c>
      <c r="I249" s="352">
        <v>3124509</v>
      </c>
      <c r="J249" t="s">
        <v>228</v>
      </c>
      <c r="K249" t="s">
        <v>1265</v>
      </c>
      <c r="L249" t="s">
        <v>1279</v>
      </c>
      <c r="M249" t="s">
        <v>57</v>
      </c>
      <c r="N249" s="2"/>
      <c r="O249" s="4"/>
    </row>
    <row r="250" spans="1:15" ht="12.75" customHeight="1" x14ac:dyDescent="0.25">
      <c r="A250" s="380">
        <v>110098</v>
      </c>
      <c r="B250" t="s">
        <v>222</v>
      </c>
      <c r="C250" s="352">
        <v>2212</v>
      </c>
      <c r="D250" s="352">
        <v>3247</v>
      </c>
      <c r="E250" s="352">
        <v>5459</v>
      </c>
      <c r="F250" s="352">
        <v>80181127</v>
      </c>
      <c r="G250" s="352">
        <v>165424216</v>
      </c>
      <c r="H250" s="352">
        <v>245605344</v>
      </c>
      <c r="I250" s="352">
        <v>4380172</v>
      </c>
      <c r="J250" t="s">
        <v>606</v>
      </c>
      <c r="K250" t="s">
        <v>1265</v>
      </c>
      <c r="L250" t="s">
        <v>537</v>
      </c>
      <c r="M250" t="s">
        <v>136</v>
      </c>
      <c r="N250" s="2"/>
      <c r="O250" s="4"/>
    </row>
    <row r="251" spans="1:15" ht="12.75" customHeight="1" x14ac:dyDescent="0.25">
      <c r="A251" s="380">
        <v>661066</v>
      </c>
      <c r="B251" t="s">
        <v>489</v>
      </c>
      <c r="C251" s="352">
        <v>2387</v>
      </c>
      <c r="D251" s="352">
        <v>2949</v>
      </c>
      <c r="E251" s="352">
        <v>5336</v>
      </c>
      <c r="F251" s="352">
        <v>99323038</v>
      </c>
      <c r="G251" s="352">
        <v>156971070</v>
      </c>
      <c r="H251" s="352">
        <v>256294108</v>
      </c>
      <c r="I251" s="352">
        <v>-2020919</v>
      </c>
      <c r="J251" t="s">
        <v>272</v>
      </c>
      <c r="K251" t="s">
        <v>1265</v>
      </c>
      <c r="L251" t="s">
        <v>369</v>
      </c>
      <c r="M251" t="s">
        <v>57</v>
      </c>
      <c r="N251" s="2"/>
      <c r="O251" s="4"/>
    </row>
    <row r="252" spans="1:15" ht="12.75" customHeight="1" x14ac:dyDescent="0.25">
      <c r="A252" s="380">
        <v>403642</v>
      </c>
      <c r="B252" t="s">
        <v>265</v>
      </c>
      <c r="C252" s="352">
        <v>3138</v>
      </c>
      <c r="D252" s="352">
        <v>2198</v>
      </c>
      <c r="E252" s="352">
        <v>5336</v>
      </c>
      <c r="F252" s="352">
        <v>119444094</v>
      </c>
      <c r="G252" s="352">
        <v>113982138</v>
      </c>
      <c r="H252" s="352">
        <v>233426233</v>
      </c>
      <c r="I252" s="352">
        <v>3782100</v>
      </c>
      <c r="J252" t="s">
        <v>597</v>
      </c>
      <c r="K252" t="s">
        <v>1262</v>
      </c>
      <c r="L252" t="s">
        <v>185</v>
      </c>
      <c r="M252" t="s">
        <v>136</v>
      </c>
      <c r="N252" s="2"/>
      <c r="O252" s="4"/>
    </row>
    <row r="253" spans="1:15" ht="12.75" customHeight="1" x14ac:dyDescent="0.25">
      <c r="A253" s="380">
        <v>388298</v>
      </c>
      <c r="B253" t="s">
        <v>289</v>
      </c>
      <c r="C253" s="352">
        <v>2196</v>
      </c>
      <c r="D253" s="352">
        <v>3046</v>
      </c>
      <c r="E253" s="352">
        <v>5242</v>
      </c>
      <c r="F253" s="352">
        <v>143359054</v>
      </c>
      <c r="G253" s="352">
        <v>218976297</v>
      </c>
      <c r="H253" s="352">
        <v>362335351</v>
      </c>
      <c r="I253" s="352">
        <v>-1436707</v>
      </c>
      <c r="J253" t="s">
        <v>244</v>
      </c>
      <c r="K253" t="s">
        <v>1265</v>
      </c>
      <c r="L253" t="s">
        <v>468</v>
      </c>
      <c r="M253" t="s">
        <v>57</v>
      </c>
      <c r="N253" s="2"/>
      <c r="O253" s="4"/>
    </row>
    <row r="254" spans="1:15" ht="12.75" customHeight="1" x14ac:dyDescent="0.25">
      <c r="A254" s="380">
        <v>715664</v>
      </c>
      <c r="B254" t="s">
        <v>1216</v>
      </c>
      <c r="C254" s="352">
        <v>2125</v>
      </c>
      <c r="D254" s="352">
        <v>3113</v>
      </c>
      <c r="E254" s="352">
        <v>5238</v>
      </c>
      <c r="F254" s="352">
        <v>85821628</v>
      </c>
      <c r="G254" s="352">
        <v>164155123</v>
      </c>
      <c r="H254" s="352">
        <v>249976751</v>
      </c>
      <c r="I254" s="352">
        <v>1157751</v>
      </c>
      <c r="J254" t="s">
        <v>587</v>
      </c>
      <c r="K254" t="s">
        <v>1262</v>
      </c>
      <c r="L254" t="s">
        <v>161</v>
      </c>
      <c r="M254" t="s">
        <v>136</v>
      </c>
      <c r="N254" s="2"/>
      <c r="O254" s="4"/>
    </row>
    <row r="255" spans="1:15" ht="12.75" customHeight="1" x14ac:dyDescent="0.25">
      <c r="A255" s="380">
        <v>613133</v>
      </c>
      <c r="B255" t="s">
        <v>594</v>
      </c>
      <c r="C255" s="352">
        <v>2893</v>
      </c>
      <c r="D255" s="352">
        <v>2270</v>
      </c>
      <c r="E255" s="352">
        <v>5163</v>
      </c>
      <c r="F255" s="352">
        <v>137415258</v>
      </c>
      <c r="G255" s="352">
        <v>135677769</v>
      </c>
      <c r="H255" s="352">
        <v>273093027</v>
      </c>
      <c r="I255" s="352">
        <v>2823636</v>
      </c>
      <c r="J255" t="s">
        <v>593</v>
      </c>
      <c r="K255" t="s">
        <v>1266</v>
      </c>
      <c r="L255" t="s">
        <v>1323</v>
      </c>
      <c r="M255" t="s">
        <v>136</v>
      </c>
      <c r="N255" s="2"/>
      <c r="O255" s="4"/>
    </row>
    <row r="256" spans="1:15" ht="12.75" customHeight="1" x14ac:dyDescent="0.25">
      <c r="A256" s="380">
        <v>300996</v>
      </c>
      <c r="B256" t="s">
        <v>327</v>
      </c>
      <c r="C256" s="352">
        <v>2229</v>
      </c>
      <c r="D256" s="352">
        <v>2884</v>
      </c>
      <c r="E256" s="352">
        <v>5113</v>
      </c>
      <c r="F256" s="352">
        <v>164664519</v>
      </c>
      <c r="G256" s="352">
        <v>244430260</v>
      </c>
      <c r="H256" s="352">
        <v>409094779</v>
      </c>
      <c r="I256" s="352">
        <v>2854806</v>
      </c>
      <c r="J256" t="s">
        <v>608</v>
      </c>
      <c r="K256" t="s">
        <v>1265</v>
      </c>
      <c r="L256" t="s">
        <v>1274</v>
      </c>
      <c r="M256" t="s">
        <v>57</v>
      </c>
      <c r="N256" s="2"/>
      <c r="O256" s="4"/>
    </row>
    <row r="257" spans="1:15" ht="12.75" customHeight="1" x14ac:dyDescent="0.25">
      <c r="A257" s="380">
        <v>517508</v>
      </c>
      <c r="B257" t="s">
        <v>338</v>
      </c>
      <c r="C257" s="352">
        <v>1712</v>
      </c>
      <c r="D257" s="352">
        <v>3369</v>
      </c>
      <c r="E257" s="352">
        <v>5081</v>
      </c>
      <c r="F257" s="352">
        <v>98604624</v>
      </c>
      <c r="G257" s="352">
        <v>235294905</v>
      </c>
      <c r="H257" s="352">
        <v>333899529</v>
      </c>
      <c r="I257" s="352">
        <v>-11117807</v>
      </c>
      <c r="J257" t="s">
        <v>612</v>
      </c>
      <c r="K257" t="s">
        <v>1265</v>
      </c>
      <c r="L257" t="s">
        <v>332</v>
      </c>
      <c r="M257" t="s">
        <v>57</v>
      </c>
      <c r="N257" s="2"/>
      <c r="O257" s="4"/>
    </row>
    <row r="258" spans="1:15" ht="12.75" customHeight="1" x14ac:dyDescent="0.25">
      <c r="A258" s="380">
        <v>537639</v>
      </c>
      <c r="B258" t="s">
        <v>1342</v>
      </c>
      <c r="C258" s="352">
        <v>2302</v>
      </c>
      <c r="D258" s="352">
        <v>2732</v>
      </c>
      <c r="E258" s="352">
        <v>5034</v>
      </c>
      <c r="F258" s="352">
        <v>160455239</v>
      </c>
      <c r="G258" s="352">
        <v>241228499</v>
      </c>
      <c r="H258" s="352">
        <v>401683737</v>
      </c>
      <c r="I258" s="352">
        <v>12049024</v>
      </c>
      <c r="J258" t="s">
        <v>605</v>
      </c>
      <c r="K258" t="s">
        <v>1266</v>
      </c>
      <c r="L258" t="s">
        <v>160</v>
      </c>
      <c r="M258" t="s">
        <v>57</v>
      </c>
      <c r="N258" s="2"/>
      <c r="O258" s="4"/>
    </row>
    <row r="259" spans="1:15" ht="12.75" customHeight="1" x14ac:dyDescent="0.25">
      <c r="A259" s="380">
        <v>328021</v>
      </c>
      <c r="B259" t="s">
        <v>301</v>
      </c>
      <c r="C259" s="352">
        <v>2116</v>
      </c>
      <c r="D259" s="352">
        <v>2819</v>
      </c>
      <c r="E259" s="352">
        <v>4935</v>
      </c>
      <c r="F259" s="352">
        <v>91022705</v>
      </c>
      <c r="G259" s="352">
        <v>154761401</v>
      </c>
      <c r="H259" s="352">
        <v>245784106</v>
      </c>
      <c r="I259" s="352">
        <v>2954753</v>
      </c>
      <c r="J259" t="s">
        <v>182</v>
      </c>
      <c r="K259" t="s">
        <v>1265</v>
      </c>
      <c r="L259" t="s">
        <v>302</v>
      </c>
      <c r="M259" t="s">
        <v>136</v>
      </c>
      <c r="N259" s="2"/>
      <c r="O259" s="4"/>
    </row>
    <row r="260" spans="1:15" ht="12.75" customHeight="1" x14ac:dyDescent="0.25">
      <c r="A260" s="380">
        <v>490292</v>
      </c>
      <c r="B260" t="s">
        <v>514</v>
      </c>
      <c r="C260" s="352">
        <v>2192</v>
      </c>
      <c r="D260" s="352">
        <v>2712</v>
      </c>
      <c r="E260" s="352">
        <v>4904</v>
      </c>
      <c r="F260" s="352">
        <v>142661624</v>
      </c>
      <c r="G260" s="352">
        <v>211814693</v>
      </c>
      <c r="H260" s="352">
        <v>354476317</v>
      </c>
      <c r="I260" s="352">
        <v>1068586</v>
      </c>
      <c r="J260" t="s">
        <v>182</v>
      </c>
      <c r="K260" t="s">
        <v>1265</v>
      </c>
      <c r="L260" t="s">
        <v>163</v>
      </c>
      <c r="M260" t="s">
        <v>136</v>
      </c>
      <c r="N260" s="2"/>
      <c r="O260" s="4"/>
    </row>
    <row r="261" spans="1:15" ht="12.75" customHeight="1" x14ac:dyDescent="0.25">
      <c r="A261" s="380">
        <v>579136</v>
      </c>
      <c r="B261" t="s">
        <v>384</v>
      </c>
      <c r="C261" s="352">
        <v>2260</v>
      </c>
      <c r="D261" s="352">
        <v>2514</v>
      </c>
      <c r="E261" s="352">
        <v>4774</v>
      </c>
      <c r="F261" s="352">
        <v>137124835</v>
      </c>
      <c r="G261" s="352">
        <v>184456005</v>
      </c>
      <c r="H261" s="352">
        <v>321580840</v>
      </c>
      <c r="I261" s="352">
        <v>2671929</v>
      </c>
      <c r="J261" t="s">
        <v>612</v>
      </c>
      <c r="K261" t="s">
        <v>1265</v>
      </c>
      <c r="L261" t="s">
        <v>1273</v>
      </c>
      <c r="M261" t="s">
        <v>57</v>
      </c>
      <c r="N261" s="2"/>
      <c r="O261" s="4"/>
    </row>
    <row r="262" spans="1:15" ht="12.75" customHeight="1" x14ac:dyDescent="0.25">
      <c r="A262" s="380">
        <v>762823</v>
      </c>
      <c r="B262" t="s">
        <v>436</v>
      </c>
      <c r="C262" s="352">
        <v>1226</v>
      </c>
      <c r="D262" s="352">
        <v>3511</v>
      </c>
      <c r="E262" s="352">
        <v>4737</v>
      </c>
      <c r="F262" s="352">
        <v>69787423</v>
      </c>
      <c r="G262" s="352">
        <v>250157676</v>
      </c>
      <c r="H262" s="352">
        <v>319945099</v>
      </c>
      <c r="I262" s="352">
        <v>-1085290</v>
      </c>
      <c r="J262" t="s">
        <v>229</v>
      </c>
      <c r="K262" t="s">
        <v>1265</v>
      </c>
      <c r="L262" t="s">
        <v>435</v>
      </c>
      <c r="M262" t="s">
        <v>136</v>
      </c>
      <c r="N262" s="2"/>
      <c r="O262" s="4"/>
    </row>
    <row r="263" spans="1:15" ht="12.75" customHeight="1" x14ac:dyDescent="0.25">
      <c r="A263" s="380">
        <v>908806</v>
      </c>
      <c r="B263" t="s">
        <v>409</v>
      </c>
      <c r="C263" s="352">
        <v>1560</v>
      </c>
      <c r="D263" s="352">
        <v>3170</v>
      </c>
      <c r="E263" s="352">
        <v>4730</v>
      </c>
      <c r="F263" s="352">
        <v>105943523</v>
      </c>
      <c r="G263" s="352">
        <v>260222207</v>
      </c>
      <c r="H263" s="352">
        <v>366165729</v>
      </c>
      <c r="I263" s="352">
        <v>-56280518</v>
      </c>
      <c r="J263" t="s">
        <v>259</v>
      </c>
      <c r="K263" t="s">
        <v>1265</v>
      </c>
      <c r="L263" t="s">
        <v>1273</v>
      </c>
      <c r="M263" t="s">
        <v>57</v>
      </c>
      <c r="N263" s="2"/>
      <c r="O263" s="4"/>
    </row>
    <row r="264" spans="1:15" ht="12.75" customHeight="1" x14ac:dyDescent="0.25">
      <c r="A264" s="380">
        <v>768499</v>
      </c>
      <c r="B264" t="s">
        <v>486</v>
      </c>
      <c r="C264" s="352">
        <v>1715</v>
      </c>
      <c r="D264" s="352">
        <v>2989</v>
      </c>
      <c r="E264" s="352">
        <v>4704</v>
      </c>
      <c r="F264" s="352">
        <v>99048858</v>
      </c>
      <c r="G264" s="352">
        <v>219775477</v>
      </c>
      <c r="H264" s="352">
        <v>318824335</v>
      </c>
      <c r="I264" s="352">
        <v>13897137</v>
      </c>
      <c r="J264" t="s">
        <v>617</v>
      </c>
      <c r="K264" t="s">
        <v>1265</v>
      </c>
      <c r="L264" t="s">
        <v>369</v>
      </c>
      <c r="M264" t="s">
        <v>57</v>
      </c>
      <c r="N264" s="2"/>
      <c r="O264" s="4"/>
    </row>
    <row r="265" spans="1:15" ht="12.75" customHeight="1" x14ac:dyDescent="0.25">
      <c r="A265" s="380">
        <v>104786</v>
      </c>
      <c r="B265" t="s">
        <v>273</v>
      </c>
      <c r="C265" s="352">
        <v>2243</v>
      </c>
      <c r="D265" s="352">
        <v>2457</v>
      </c>
      <c r="E265" s="352">
        <v>4700</v>
      </c>
      <c r="F265" s="352">
        <v>112729016</v>
      </c>
      <c r="G265" s="352">
        <v>148586979</v>
      </c>
      <c r="H265" s="352">
        <v>261315996</v>
      </c>
      <c r="I265" s="352">
        <v>1868673</v>
      </c>
      <c r="J265" t="s">
        <v>605</v>
      </c>
      <c r="K265" t="s">
        <v>1266</v>
      </c>
      <c r="L265" t="s">
        <v>1269</v>
      </c>
      <c r="M265" t="s">
        <v>136</v>
      </c>
      <c r="N265" s="2"/>
      <c r="O265" s="4"/>
    </row>
    <row r="266" spans="1:15" ht="12.75" customHeight="1" x14ac:dyDescent="0.25">
      <c r="A266" s="380">
        <v>147348</v>
      </c>
      <c r="B266" t="s">
        <v>353</v>
      </c>
      <c r="C266" s="352">
        <v>1914</v>
      </c>
      <c r="D266" s="352">
        <v>2732</v>
      </c>
      <c r="E266" s="352">
        <v>4646</v>
      </c>
      <c r="F266" s="352">
        <v>138930082</v>
      </c>
      <c r="G266" s="352">
        <v>245689863</v>
      </c>
      <c r="H266" s="352">
        <v>384619945</v>
      </c>
      <c r="I266" s="352">
        <v>-26652</v>
      </c>
      <c r="J266" t="s">
        <v>229</v>
      </c>
      <c r="K266" t="s">
        <v>1265</v>
      </c>
      <c r="L266" t="s">
        <v>227</v>
      </c>
      <c r="M266" t="s">
        <v>57</v>
      </c>
      <c r="N266" s="2"/>
      <c r="O266" s="4"/>
    </row>
    <row r="267" spans="1:15" ht="12.75" customHeight="1" x14ac:dyDescent="0.25">
      <c r="A267" s="380">
        <v>972901</v>
      </c>
      <c r="B267" t="s">
        <v>533</v>
      </c>
      <c r="C267" s="352">
        <v>2170</v>
      </c>
      <c r="D267" s="352">
        <v>2440</v>
      </c>
      <c r="E267" s="352">
        <v>4610</v>
      </c>
      <c r="F267" s="352">
        <v>202440325</v>
      </c>
      <c r="G267" s="352">
        <v>270261235</v>
      </c>
      <c r="H267" s="352">
        <v>472701560</v>
      </c>
      <c r="I267" s="352">
        <v>1828745</v>
      </c>
      <c r="J267" t="s">
        <v>182</v>
      </c>
      <c r="K267" t="s">
        <v>1265</v>
      </c>
      <c r="L267" t="s">
        <v>220</v>
      </c>
      <c r="M267" t="s">
        <v>136</v>
      </c>
      <c r="N267" s="2"/>
      <c r="O267" s="4"/>
    </row>
    <row r="268" spans="1:15" ht="12.75" customHeight="1" x14ac:dyDescent="0.25">
      <c r="A268" s="380">
        <v>449090</v>
      </c>
      <c r="B268" t="s">
        <v>310</v>
      </c>
      <c r="C268" s="352">
        <v>2143</v>
      </c>
      <c r="D268" s="352">
        <v>2454</v>
      </c>
      <c r="E268" s="352">
        <v>4597</v>
      </c>
      <c r="F268" s="352">
        <v>78698984</v>
      </c>
      <c r="G268" s="352">
        <v>114615610</v>
      </c>
      <c r="H268" s="352">
        <v>193314594</v>
      </c>
      <c r="I268" s="352">
        <v>1568651</v>
      </c>
      <c r="J268" t="s">
        <v>247</v>
      </c>
      <c r="K268" t="s">
        <v>1265</v>
      </c>
      <c r="L268" t="s">
        <v>173</v>
      </c>
      <c r="M268" t="s">
        <v>136</v>
      </c>
      <c r="N268" s="2"/>
      <c r="O268" s="4"/>
    </row>
    <row r="269" spans="1:15" ht="12.75" customHeight="1" x14ac:dyDescent="0.25">
      <c r="A269" s="380">
        <v>973263</v>
      </c>
      <c r="B269" t="s">
        <v>1158</v>
      </c>
      <c r="C269" s="352">
        <v>2243</v>
      </c>
      <c r="D269" s="352">
        <v>2345</v>
      </c>
      <c r="E269" s="352">
        <v>4588</v>
      </c>
      <c r="F269" s="352">
        <v>134600559</v>
      </c>
      <c r="G269" s="352">
        <v>162851179</v>
      </c>
      <c r="H269" s="352">
        <v>297451739</v>
      </c>
      <c r="I269" s="352">
        <v>2023279</v>
      </c>
      <c r="J269" t="s">
        <v>182</v>
      </c>
      <c r="K269" t="s">
        <v>1265</v>
      </c>
      <c r="L269" t="s">
        <v>1277</v>
      </c>
      <c r="M269" t="s">
        <v>57</v>
      </c>
      <c r="N269" s="2"/>
      <c r="O269" s="4"/>
    </row>
    <row r="270" spans="1:15" ht="12.75" customHeight="1" x14ac:dyDescent="0.25">
      <c r="A270" s="380">
        <v>484923</v>
      </c>
      <c r="B270" t="s">
        <v>275</v>
      </c>
      <c r="C270" s="352">
        <v>2268</v>
      </c>
      <c r="D270" s="352">
        <v>2237</v>
      </c>
      <c r="E270" s="352">
        <v>4505</v>
      </c>
      <c r="F270" s="352">
        <v>138963896</v>
      </c>
      <c r="G270" s="352">
        <v>169364206</v>
      </c>
      <c r="H270" s="352">
        <v>308328102</v>
      </c>
      <c r="I270" s="352">
        <v>1399258</v>
      </c>
      <c r="J270" t="s">
        <v>244</v>
      </c>
      <c r="K270" t="s">
        <v>1265</v>
      </c>
      <c r="L270" t="s">
        <v>173</v>
      </c>
      <c r="M270" t="s">
        <v>136</v>
      </c>
      <c r="N270" s="2"/>
      <c r="O270" s="4"/>
    </row>
    <row r="271" spans="1:15" ht="12.75" customHeight="1" x14ac:dyDescent="0.25">
      <c r="A271" s="380">
        <v>331983</v>
      </c>
      <c r="B271" t="s">
        <v>1242</v>
      </c>
      <c r="C271" s="352">
        <v>2643</v>
      </c>
      <c r="D271" s="352">
        <v>1837</v>
      </c>
      <c r="E271" s="352">
        <v>4480</v>
      </c>
      <c r="F271" s="352">
        <v>73205184</v>
      </c>
      <c r="G271" s="352">
        <v>74643351</v>
      </c>
      <c r="H271" s="352">
        <v>147848535</v>
      </c>
      <c r="I271" s="352">
        <v>1601804</v>
      </c>
      <c r="J271" t="s">
        <v>593</v>
      </c>
      <c r="K271" t="s">
        <v>1266</v>
      </c>
      <c r="L271" t="s">
        <v>185</v>
      </c>
      <c r="M271" t="s">
        <v>136</v>
      </c>
      <c r="N271" s="2"/>
      <c r="O271" s="4"/>
    </row>
    <row r="272" spans="1:15" ht="12.75" customHeight="1" x14ac:dyDescent="0.25">
      <c r="A272" s="380">
        <v>671982</v>
      </c>
      <c r="B272" t="s">
        <v>432</v>
      </c>
      <c r="C272" s="352">
        <v>1766</v>
      </c>
      <c r="D272" s="352">
        <v>2704</v>
      </c>
      <c r="E272" s="352">
        <v>4470</v>
      </c>
      <c r="F272" s="352">
        <v>98103827</v>
      </c>
      <c r="G272" s="352">
        <v>184811429</v>
      </c>
      <c r="H272" s="352">
        <v>282915256</v>
      </c>
      <c r="I272" s="352">
        <v>4050391</v>
      </c>
      <c r="J272" t="s">
        <v>277</v>
      </c>
      <c r="K272" t="s">
        <v>1265</v>
      </c>
      <c r="L272" t="s">
        <v>188</v>
      </c>
      <c r="M272" t="s">
        <v>136</v>
      </c>
      <c r="N272" s="2"/>
      <c r="O272" s="4"/>
    </row>
    <row r="273" spans="1:15" ht="12.75" customHeight="1" x14ac:dyDescent="0.25">
      <c r="A273" s="380">
        <v>481911</v>
      </c>
      <c r="B273" t="s">
        <v>493</v>
      </c>
      <c r="C273" s="352">
        <v>1797</v>
      </c>
      <c r="D273" s="352">
        <v>2661</v>
      </c>
      <c r="E273" s="352">
        <v>4458</v>
      </c>
      <c r="F273" s="352">
        <v>55867996</v>
      </c>
      <c r="G273" s="352">
        <v>110979345</v>
      </c>
      <c r="H273" s="352">
        <v>166847341</v>
      </c>
      <c r="I273" s="352">
        <v>-1729530</v>
      </c>
      <c r="J273" t="s">
        <v>606</v>
      </c>
      <c r="K273" t="s">
        <v>1265</v>
      </c>
      <c r="L273" t="s">
        <v>369</v>
      </c>
      <c r="M273" t="s">
        <v>57</v>
      </c>
      <c r="N273" s="2"/>
      <c r="O273" s="4"/>
    </row>
    <row r="274" spans="1:15" ht="12.75" customHeight="1" x14ac:dyDescent="0.25">
      <c r="A274" s="380">
        <v>768556</v>
      </c>
      <c r="B274" t="s">
        <v>477</v>
      </c>
      <c r="C274" s="352">
        <v>2287</v>
      </c>
      <c r="D274" s="352">
        <v>2167</v>
      </c>
      <c r="E274" s="352">
        <v>4454</v>
      </c>
      <c r="F274" s="352">
        <v>91304158</v>
      </c>
      <c r="G274" s="352">
        <v>107325034</v>
      </c>
      <c r="H274" s="352">
        <v>198629191</v>
      </c>
      <c r="I274" s="352">
        <v>287205</v>
      </c>
      <c r="J274" t="s">
        <v>608</v>
      </c>
      <c r="K274" t="s">
        <v>1265</v>
      </c>
      <c r="L274" t="s">
        <v>369</v>
      </c>
      <c r="M274" t="s">
        <v>57</v>
      </c>
      <c r="N274" s="2"/>
      <c r="O274" s="4"/>
    </row>
    <row r="275" spans="1:15" ht="12.75" customHeight="1" x14ac:dyDescent="0.25">
      <c r="A275" s="380">
        <v>668269</v>
      </c>
      <c r="B275" t="s">
        <v>1310</v>
      </c>
      <c r="C275" s="352">
        <v>1901</v>
      </c>
      <c r="D275" s="352">
        <v>2543</v>
      </c>
      <c r="E275" s="352">
        <v>4444</v>
      </c>
      <c r="F275" s="352">
        <v>91491078</v>
      </c>
      <c r="G275" s="352">
        <v>153173348</v>
      </c>
      <c r="H275" s="352">
        <v>244664426</v>
      </c>
      <c r="I275" s="352">
        <v>1122249</v>
      </c>
      <c r="J275" t="s">
        <v>244</v>
      </c>
      <c r="K275" t="s">
        <v>1265</v>
      </c>
      <c r="L275" t="s">
        <v>164</v>
      </c>
      <c r="M275" t="s">
        <v>57</v>
      </c>
      <c r="N275" s="2"/>
      <c r="O275" s="4"/>
    </row>
    <row r="276" spans="1:15" ht="12.75" customHeight="1" x14ac:dyDescent="0.25">
      <c r="A276" s="380">
        <v>242081</v>
      </c>
      <c r="B276" t="s">
        <v>175</v>
      </c>
      <c r="C276" s="352">
        <v>2369</v>
      </c>
      <c r="D276" s="352">
        <v>2048</v>
      </c>
      <c r="E276" s="352">
        <v>4417</v>
      </c>
      <c r="F276" s="352">
        <v>102417024</v>
      </c>
      <c r="G276" s="352">
        <v>121215343</v>
      </c>
      <c r="H276" s="352">
        <v>223632366</v>
      </c>
      <c r="I276" s="352">
        <v>2273921</v>
      </c>
      <c r="J276" t="s">
        <v>601</v>
      </c>
      <c r="K276" t="s">
        <v>1266</v>
      </c>
      <c r="L276" t="s">
        <v>149</v>
      </c>
      <c r="M276" t="s">
        <v>136</v>
      </c>
      <c r="N276" s="2"/>
      <c r="O276" s="4"/>
    </row>
    <row r="277" spans="1:15" ht="12.75" customHeight="1" x14ac:dyDescent="0.25">
      <c r="A277" s="380">
        <v>167239</v>
      </c>
      <c r="B277" t="s">
        <v>276</v>
      </c>
      <c r="C277" s="352">
        <v>1907</v>
      </c>
      <c r="D277" s="352">
        <v>2508</v>
      </c>
      <c r="E277" s="352">
        <v>4415</v>
      </c>
      <c r="F277" s="352">
        <v>48706456</v>
      </c>
      <c r="G277" s="352">
        <v>81464970</v>
      </c>
      <c r="H277" s="352">
        <v>130171426</v>
      </c>
      <c r="I277" s="352">
        <v>-2738595</v>
      </c>
      <c r="J277" t="s">
        <v>228</v>
      </c>
      <c r="K277" t="s">
        <v>1265</v>
      </c>
      <c r="L277" t="s">
        <v>1323</v>
      </c>
      <c r="M277" t="s">
        <v>57</v>
      </c>
      <c r="N277" s="2"/>
      <c r="O277" s="4"/>
    </row>
    <row r="278" spans="1:15" ht="12.75" customHeight="1" x14ac:dyDescent="0.25">
      <c r="A278" s="380">
        <v>374421</v>
      </c>
      <c r="B278" t="s">
        <v>483</v>
      </c>
      <c r="C278" s="352">
        <v>1764</v>
      </c>
      <c r="D278" s="352">
        <v>2614</v>
      </c>
      <c r="E278" s="352">
        <v>4378</v>
      </c>
      <c r="F278" s="352">
        <v>109829656</v>
      </c>
      <c r="G278" s="352">
        <v>195074038</v>
      </c>
      <c r="H278" s="352">
        <v>304903694</v>
      </c>
      <c r="I278" s="352">
        <v>-1833395</v>
      </c>
      <c r="J278" t="s">
        <v>612</v>
      </c>
      <c r="K278" t="s">
        <v>1265</v>
      </c>
      <c r="L278" t="s">
        <v>369</v>
      </c>
      <c r="M278" t="s">
        <v>57</v>
      </c>
      <c r="N278" s="2"/>
      <c r="O278" s="4"/>
    </row>
    <row r="279" spans="1:15" ht="12.75" customHeight="1" x14ac:dyDescent="0.25">
      <c r="A279" s="380">
        <v>861757</v>
      </c>
      <c r="B279" t="s">
        <v>1351</v>
      </c>
      <c r="C279" s="352">
        <v>2106</v>
      </c>
      <c r="D279" s="352">
        <v>2257</v>
      </c>
      <c r="E279" s="352">
        <v>4363</v>
      </c>
      <c r="F279" s="352">
        <v>109718238</v>
      </c>
      <c r="G279" s="352">
        <v>141770629</v>
      </c>
      <c r="H279" s="352">
        <v>251488867</v>
      </c>
      <c r="I279" s="352">
        <v>589916</v>
      </c>
      <c r="J279" t="s">
        <v>244</v>
      </c>
      <c r="K279" t="s">
        <v>1265</v>
      </c>
      <c r="L279" t="s">
        <v>1323</v>
      </c>
      <c r="M279" t="s">
        <v>57</v>
      </c>
      <c r="N279" s="2"/>
      <c r="O279" s="4"/>
    </row>
    <row r="280" spans="1:15" ht="12.75" customHeight="1" x14ac:dyDescent="0.25">
      <c r="A280" s="380">
        <v>639633</v>
      </c>
      <c r="B280" t="s">
        <v>266</v>
      </c>
      <c r="C280" s="352">
        <v>2066</v>
      </c>
      <c r="D280" s="352">
        <v>2277</v>
      </c>
      <c r="E280" s="352">
        <v>4343</v>
      </c>
      <c r="F280" s="352">
        <v>66103076</v>
      </c>
      <c r="G280" s="352">
        <v>89297283</v>
      </c>
      <c r="H280" s="352">
        <v>155400359</v>
      </c>
      <c r="I280" s="352">
        <v>-4591248</v>
      </c>
      <c r="J280" t="s">
        <v>588</v>
      </c>
      <c r="K280" t="s">
        <v>1262</v>
      </c>
      <c r="L280" t="s">
        <v>173</v>
      </c>
      <c r="M280" t="s">
        <v>57</v>
      </c>
      <c r="N280" s="2"/>
      <c r="O280" s="4"/>
    </row>
    <row r="281" spans="1:15" ht="12.75" customHeight="1" x14ac:dyDescent="0.25">
      <c r="A281" s="380">
        <v>843284</v>
      </c>
      <c r="B281" t="s">
        <v>172</v>
      </c>
      <c r="C281" s="352">
        <v>2244</v>
      </c>
      <c r="D281" s="352">
        <v>2003</v>
      </c>
      <c r="E281" s="352">
        <v>4247</v>
      </c>
      <c r="F281" s="352">
        <v>93083879</v>
      </c>
      <c r="G281" s="352">
        <v>115625738</v>
      </c>
      <c r="H281" s="352">
        <v>208709616</v>
      </c>
      <c r="I281" s="352">
        <v>-5825527</v>
      </c>
      <c r="J281" t="s">
        <v>593</v>
      </c>
      <c r="K281" t="s">
        <v>1266</v>
      </c>
      <c r="L281" t="s">
        <v>173</v>
      </c>
      <c r="M281" t="s">
        <v>136</v>
      </c>
      <c r="N281" s="2"/>
      <c r="O281" s="4"/>
    </row>
    <row r="282" spans="1:15" ht="12.75" customHeight="1" x14ac:dyDescent="0.25">
      <c r="A282" s="380">
        <v>700310</v>
      </c>
      <c r="B282" t="s">
        <v>1311</v>
      </c>
      <c r="C282" s="352">
        <v>2065</v>
      </c>
      <c r="D282" s="352">
        <v>2111</v>
      </c>
      <c r="E282" s="352">
        <v>4176</v>
      </c>
      <c r="F282" s="352">
        <v>75369561</v>
      </c>
      <c r="G282" s="352">
        <v>94692979</v>
      </c>
      <c r="H282" s="352">
        <v>170062540</v>
      </c>
      <c r="I282" s="352">
        <v>960708</v>
      </c>
      <c r="J282" t="s">
        <v>604</v>
      </c>
      <c r="K282" t="s">
        <v>1266</v>
      </c>
      <c r="L282" t="s">
        <v>164</v>
      </c>
      <c r="M282" t="s">
        <v>57</v>
      </c>
      <c r="N282" s="2"/>
      <c r="O282" s="4"/>
    </row>
    <row r="283" spans="1:15" ht="12.75" customHeight="1" x14ac:dyDescent="0.25">
      <c r="A283" s="380">
        <v>167114</v>
      </c>
      <c r="B283" t="s">
        <v>649</v>
      </c>
      <c r="C283" s="352">
        <v>2290</v>
      </c>
      <c r="D283" s="352">
        <v>1880</v>
      </c>
      <c r="E283" s="352">
        <v>4170</v>
      </c>
      <c r="F283" s="352">
        <v>232581986</v>
      </c>
      <c r="G283" s="352">
        <v>224170007</v>
      </c>
      <c r="H283" s="352">
        <v>456751993</v>
      </c>
      <c r="I283" s="352">
        <v>9302182</v>
      </c>
      <c r="J283" t="s">
        <v>139</v>
      </c>
      <c r="K283" t="s">
        <v>1259</v>
      </c>
      <c r="L283" t="s">
        <v>537</v>
      </c>
      <c r="M283" t="s">
        <v>136</v>
      </c>
      <c r="N283" s="2"/>
      <c r="O283" s="4"/>
    </row>
    <row r="284" spans="1:15" ht="12.75" customHeight="1" x14ac:dyDescent="0.25">
      <c r="A284" s="380">
        <v>642298</v>
      </c>
      <c r="B284" t="s">
        <v>254</v>
      </c>
      <c r="C284" s="352">
        <v>2201</v>
      </c>
      <c r="D284" s="352">
        <v>1966</v>
      </c>
      <c r="E284" s="352">
        <v>4167</v>
      </c>
      <c r="F284" s="352">
        <v>121714091</v>
      </c>
      <c r="G284" s="352">
        <v>127229017</v>
      </c>
      <c r="H284" s="352">
        <v>248943108</v>
      </c>
      <c r="I284" s="352">
        <v>1998315</v>
      </c>
      <c r="J284" t="s">
        <v>609</v>
      </c>
      <c r="K284" t="s">
        <v>1265</v>
      </c>
      <c r="L284" t="s">
        <v>1269</v>
      </c>
      <c r="M284" t="s">
        <v>136</v>
      </c>
      <c r="N284" s="2"/>
      <c r="O284" s="4"/>
    </row>
    <row r="285" spans="1:15" ht="12.75" customHeight="1" x14ac:dyDescent="0.25">
      <c r="A285" s="380">
        <v>515676</v>
      </c>
      <c r="B285" t="s">
        <v>286</v>
      </c>
      <c r="C285" s="352">
        <v>1591</v>
      </c>
      <c r="D285" s="352">
        <v>2559</v>
      </c>
      <c r="E285" s="352">
        <v>4150</v>
      </c>
      <c r="F285" s="352">
        <v>128335338</v>
      </c>
      <c r="G285" s="352">
        <v>252166647</v>
      </c>
      <c r="H285" s="352">
        <v>380501984</v>
      </c>
      <c r="I285" s="352">
        <v>23503731</v>
      </c>
      <c r="J285" t="s">
        <v>208</v>
      </c>
      <c r="K285" t="s">
        <v>1265</v>
      </c>
      <c r="L285" t="s">
        <v>149</v>
      </c>
      <c r="M285" t="s">
        <v>136</v>
      </c>
      <c r="N285" s="2"/>
      <c r="O285" s="4"/>
    </row>
    <row r="286" spans="1:15" ht="12.75" customHeight="1" x14ac:dyDescent="0.25">
      <c r="A286" s="380">
        <v>570044</v>
      </c>
      <c r="B286" t="s">
        <v>1306</v>
      </c>
      <c r="C286" s="352">
        <v>1838</v>
      </c>
      <c r="D286" s="352">
        <v>2291</v>
      </c>
      <c r="E286" s="352">
        <v>4129</v>
      </c>
      <c r="F286" s="352">
        <v>96882589</v>
      </c>
      <c r="G286" s="352">
        <v>142224808</v>
      </c>
      <c r="H286" s="352">
        <v>239107397</v>
      </c>
      <c r="I286" s="352">
        <v>310326</v>
      </c>
      <c r="J286" t="s">
        <v>229</v>
      </c>
      <c r="K286" t="s">
        <v>1265</v>
      </c>
      <c r="L286" t="s">
        <v>164</v>
      </c>
      <c r="M286" t="s">
        <v>57</v>
      </c>
      <c r="N286" s="2"/>
      <c r="O286" s="4"/>
    </row>
    <row r="287" spans="1:15" ht="12.75" customHeight="1" x14ac:dyDescent="0.25">
      <c r="A287" s="380">
        <v>978452</v>
      </c>
      <c r="B287" t="s">
        <v>450</v>
      </c>
      <c r="C287" s="352">
        <v>1687</v>
      </c>
      <c r="D287" s="352">
        <v>2344</v>
      </c>
      <c r="E287" s="352">
        <v>4031</v>
      </c>
      <c r="F287" s="352">
        <v>98857693</v>
      </c>
      <c r="G287" s="352">
        <v>169110112</v>
      </c>
      <c r="H287" s="352">
        <v>267967804</v>
      </c>
      <c r="I287" s="352">
        <v>1105716</v>
      </c>
      <c r="J287" t="s">
        <v>228</v>
      </c>
      <c r="K287" t="s">
        <v>1265</v>
      </c>
      <c r="L287" t="s">
        <v>1272</v>
      </c>
      <c r="M287" t="s">
        <v>57</v>
      </c>
      <c r="N287" s="2"/>
      <c r="O287" s="4"/>
    </row>
    <row r="288" spans="1:15" ht="12.75" customHeight="1" x14ac:dyDescent="0.25">
      <c r="A288" s="380">
        <v>320176</v>
      </c>
      <c r="B288" t="s">
        <v>375</v>
      </c>
      <c r="C288" s="352">
        <v>1544</v>
      </c>
      <c r="D288" s="352">
        <v>2468</v>
      </c>
      <c r="E288" s="352">
        <v>4012</v>
      </c>
      <c r="F288" s="352">
        <v>127873508</v>
      </c>
      <c r="G288" s="352">
        <v>228111040</v>
      </c>
      <c r="H288" s="352">
        <v>355984548</v>
      </c>
      <c r="I288" s="352">
        <v>561836</v>
      </c>
      <c r="J288" t="s">
        <v>610</v>
      </c>
      <c r="K288" t="s">
        <v>1265</v>
      </c>
      <c r="L288" t="s">
        <v>188</v>
      </c>
      <c r="M288" t="s">
        <v>136</v>
      </c>
      <c r="N288" s="2"/>
      <c r="O288" s="4"/>
    </row>
    <row r="289" spans="1:15" ht="12.75" customHeight="1" x14ac:dyDescent="0.25">
      <c r="A289" s="380">
        <v>280867</v>
      </c>
      <c r="B289" t="s">
        <v>393</v>
      </c>
      <c r="C289" s="352">
        <v>1962</v>
      </c>
      <c r="D289" s="352">
        <v>2032</v>
      </c>
      <c r="E289" s="352">
        <v>3994</v>
      </c>
      <c r="F289" s="352">
        <v>102194256</v>
      </c>
      <c r="G289" s="352">
        <v>121168644</v>
      </c>
      <c r="H289" s="352">
        <v>223362900</v>
      </c>
      <c r="I289" s="352">
        <v>1283132</v>
      </c>
      <c r="J289" t="s">
        <v>178</v>
      </c>
      <c r="K289" t="s">
        <v>1265</v>
      </c>
      <c r="L289" t="s">
        <v>391</v>
      </c>
      <c r="M289" t="s">
        <v>57</v>
      </c>
      <c r="N289" s="2"/>
      <c r="O289" s="4"/>
    </row>
    <row r="290" spans="1:15" ht="12.75" customHeight="1" x14ac:dyDescent="0.25">
      <c r="A290" s="380">
        <v>562728</v>
      </c>
      <c r="B290" t="s">
        <v>397</v>
      </c>
      <c r="C290" s="352">
        <v>1883</v>
      </c>
      <c r="D290" s="352">
        <v>2075</v>
      </c>
      <c r="E290" s="352">
        <v>3958</v>
      </c>
      <c r="F290" s="352">
        <v>95649898</v>
      </c>
      <c r="G290" s="352">
        <v>120896439</v>
      </c>
      <c r="H290" s="352">
        <v>216546337</v>
      </c>
      <c r="I290" s="352">
        <v>1394384</v>
      </c>
      <c r="J290" t="s">
        <v>229</v>
      </c>
      <c r="K290" t="s">
        <v>1265</v>
      </c>
      <c r="L290" t="s">
        <v>391</v>
      </c>
      <c r="M290" t="s">
        <v>57</v>
      </c>
      <c r="N290" s="2"/>
      <c r="O290" s="4"/>
    </row>
    <row r="291" spans="1:15" ht="12.75" customHeight="1" x14ac:dyDescent="0.25">
      <c r="A291" s="380">
        <v>981175</v>
      </c>
      <c r="B291" t="s">
        <v>237</v>
      </c>
      <c r="C291" s="352">
        <v>2699</v>
      </c>
      <c r="D291" s="352">
        <v>1248</v>
      </c>
      <c r="E291" s="352">
        <v>3947</v>
      </c>
      <c r="F291" s="352">
        <v>85097540</v>
      </c>
      <c r="G291" s="352">
        <v>33624795</v>
      </c>
      <c r="H291" s="352">
        <v>118722335</v>
      </c>
      <c r="I291" s="352">
        <v>2158155</v>
      </c>
      <c r="J291" t="s">
        <v>588</v>
      </c>
      <c r="K291" t="s">
        <v>1262</v>
      </c>
      <c r="L291" t="s">
        <v>1269</v>
      </c>
      <c r="M291" t="s">
        <v>136</v>
      </c>
      <c r="N291" s="2"/>
      <c r="O291" s="4"/>
    </row>
    <row r="292" spans="1:15" ht="12.75" customHeight="1" x14ac:dyDescent="0.25">
      <c r="A292" s="380">
        <v>384107</v>
      </c>
      <c r="B292" t="s">
        <v>1287</v>
      </c>
      <c r="C292" s="352">
        <v>1579</v>
      </c>
      <c r="D292" s="352">
        <v>2147</v>
      </c>
      <c r="E292" s="352">
        <v>3726</v>
      </c>
      <c r="F292" s="352">
        <v>93691042</v>
      </c>
      <c r="G292" s="352">
        <v>147637600</v>
      </c>
      <c r="H292" s="352">
        <v>241328642</v>
      </c>
      <c r="I292" s="352">
        <v>4473080</v>
      </c>
      <c r="J292" t="s">
        <v>608</v>
      </c>
      <c r="K292" t="s">
        <v>1265</v>
      </c>
      <c r="L292" t="s">
        <v>1325</v>
      </c>
      <c r="M292" t="s">
        <v>57</v>
      </c>
      <c r="N292" s="2"/>
      <c r="O292" s="4"/>
    </row>
    <row r="293" spans="1:15" ht="12.75" customHeight="1" x14ac:dyDescent="0.25">
      <c r="A293" s="380">
        <v>524702</v>
      </c>
      <c r="B293" t="s">
        <v>1341</v>
      </c>
      <c r="C293" s="352">
        <v>1957</v>
      </c>
      <c r="D293" s="352">
        <v>1767</v>
      </c>
      <c r="E293" s="352">
        <v>3724</v>
      </c>
      <c r="F293" s="352">
        <v>91820611</v>
      </c>
      <c r="G293" s="352">
        <v>115878348</v>
      </c>
      <c r="H293" s="352">
        <v>207698959</v>
      </c>
      <c r="I293" s="352">
        <v>7132748</v>
      </c>
      <c r="J293" t="s">
        <v>601</v>
      </c>
      <c r="K293" t="s">
        <v>1266</v>
      </c>
      <c r="L293" t="s">
        <v>161</v>
      </c>
      <c r="M293" t="s">
        <v>136</v>
      </c>
      <c r="N293" s="2"/>
      <c r="O293" s="4"/>
    </row>
    <row r="294" spans="1:15" ht="12.75" customHeight="1" x14ac:dyDescent="0.25">
      <c r="A294" s="380">
        <v>956268</v>
      </c>
      <c r="B294" t="s">
        <v>1357</v>
      </c>
      <c r="C294" s="352">
        <v>1428</v>
      </c>
      <c r="D294" s="352">
        <v>2285</v>
      </c>
      <c r="E294" s="352">
        <v>3713</v>
      </c>
      <c r="F294" s="352">
        <v>55962331</v>
      </c>
      <c r="G294" s="352">
        <v>109217413</v>
      </c>
      <c r="H294" s="352">
        <v>165179744</v>
      </c>
      <c r="I294" s="352">
        <v>1079029</v>
      </c>
      <c r="J294" t="s">
        <v>272</v>
      </c>
      <c r="K294" t="s">
        <v>1265</v>
      </c>
      <c r="L294" t="s">
        <v>467</v>
      </c>
      <c r="M294" t="s">
        <v>57</v>
      </c>
      <c r="N294" s="2"/>
      <c r="O294" s="4"/>
    </row>
    <row r="295" spans="1:15" ht="12.75" customHeight="1" x14ac:dyDescent="0.25">
      <c r="A295" s="380">
        <v>295857</v>
      </c>
      <c r="B295" t="s">
        <v>646</v>
      </c>
      <c r="C295" s="352">
        <v>1386</v>
      </c>
      <c r="D295" s="352">
        <v>2318</v>
      </c>
      <c r="E295" s="352">
        <v>3704</v>
      </c>
      <c r="F295" s="352">
        <v>69592169</v>
      </c>
      <c r="G295" s="352">
        <v>137929669</v>
      </c>
      <c r="H295" s="352">
        <v>207521839</v>
      </c>
      <c r="I295" s="352">
        <v>2306429</v>
      </c>
      <c r="J295" t="s">
        <v>228</v>
      </c>
      <c r="K295" t="s">
        <v>1265</v>
      </c>
      <c r="L295" t="s">
        <v>1269</v>
      </c>
      <c r="M295" t="s">
        <v>136</v>
      </c>
      <c r="N295" s="2"/>
      <c r="O295" s="4"/>
    </row>
    <row r="296" spans="1:15" ht="12.75" customHeight="1" x14ac:dyDescent="0.25">
      <c r="A296" s="380">
        <v>582791</v>
      </c>
      <c r="B296" t="s">
        <v>213</v>
      </c>
      <c r="C296" s="352">
        <v>1609</v>
      </c>
      <c r="D296" s="352">
        <v>2090</v>
      </c>
      <c r="E296" s="352">
        <v>3699</v>
      </c>
      <c r="F296" s="352">
        <v>59091502</v>
      </c>
      <c r="G296" s="352">
        <v>91222651</v>
      </c>
      <c r="H296" s="352">
        <v>150314153</v>
      </c>
      <c r="I296" s="352">
        <v>1742562</v>
      </c>
      <c r="J296" t="s">
        <v>167</v>
      </c>
      <c r="K296" t="s">
        <v>1265</v>
      </c>
      <c r="L296" t="s">
        <v>185</v>
      </c>
      <c r="M296" t="s">
        <v>136</v>
      </c>
      <c r="N296" s="2"/>
      <c r="O296" s="4"/>
    </row>
    <row r="297" spans="1:15" ht="12.75" customHeight="1" x14ac:dyDescent="0.25">
      <c r="A297" s="380">
        <v>302760</v>
      </c>
      <c r="B297" t="s">
        <v>471</v>
      </c>
      <c r="C297" s="352">
        <v>1780</v>
      </c>
      <c r="D297" s="352">
        <v>1914</v>
      </c>
      <c r="E297" s="352">
        <v>3694</v>
      </c>
      <c r="F297" s="352">
        <v>68685380</v>
      </c>
      <c r="G297" s="352">
        <v>81156807</v>
      </c>
      <c r="H297" s="352">
        <v>149842186</v>
      </c>
      <c r="I297" s="352">
        <v>509544</v>
      </c>
      <c r="J297" t="s">
        <v>588</v>
      </c>
      <c r="K297" t="s">
        <v>1262</v>
      </c>
      <c r="L297" t="s">
        <v>369</v>
      </c>
      <c r="M297" t="s">
        <v>57</v>
      </c>
      <c r="N297" s="2"/>
      <c r="O297" s="4"/>
    </row>
    <row r="298" spans="1:15" ht="12.75" customHeight="1" x14ac:dyDescent="0.25">
      <c r="A298" s="380">
        <v>717496</v>
      </c>
      <c r="B298" t="s">
        <v>405</v>
      </c>
      <c r="C298" s="352">
        <v>1453</v>
      </c>
      <c r="D298" s="352">
        <v>2228</v>
      </c>
      <c r="E298" s="352">
        <v>3681</v>
      </c>
      <c r="F298" s="352">
        <v>63076550</v>
      </c>
      <c r="G298" s="352">
        <v>115460832</v>
      </c>
      <c r="H298" s="352">
        <v>178537382</v>
      </c>
      <c r="I298" s="352">
        <v>1104453</v>
      </c>
      <c r="J298" t="s">
        <v>154</v>
      </c>
      <c r="K298" t="s">
        <v>1265</v>
      </c>
      <c r="L298" t="s">
        <v>1325</v>
      </c>
      <c r="M298" t="s">
        <v>57</v>
      </c>
      <c r="N298" s="2"/>
      <c r="O298" s="4"/>
    </row>
    <row r="299" spans="1:15" ht="12.75" customHeight="1" x14ac:dyDescent="0.25">
      <c r="A299" s="380">
        <v>131409</v>
      </c>
      <c r="B299" t="s">
        <v>1322</v>
      </c>
      <c r="C299" s="352">
        <v>1872</v>
      </c>
      <c r="D299" s="352">
        <v>1764</v>
      </c>
      <c r="E299" s="352">
        <v>3636</v>
      </c>
      <c r="F299" s="352">
        <v>104634483</v>
      </c>
      <c r="G299" s="352">
        <v>124363077</v>
      </c>
      <c r="H299" s="352">
        <v>228997560</v>
      </c>
      <c r="I299" s="352">
        <v>9283939</v>
      </c>
      <c r="J299" t="s">
        <v>601</v>
      </c>
      <c r="K299" t="s">
        <v>1266</v>
      </c>
      <c r="L299" t="s">
        <v>1323</v>
      </c>
      <c r="M299" t="s">
        <v>57</v>
      </c>
      <c r="N299" s="2"/>
      <c r="O299" s="4"/>
    </row>
    <row r="300" spans="1:15" ht="12.75" customHeight="1" x14ac:dyDescent="0.25">
      <c r="A300" s="380">
        <v>687509</v>
      </c>
      <c r="B300" t="s">
        <v>463</v>
      </c>
      <c r="C300" s="352">
        <v>1262</v>
      </c>
      <c r="D300" s="352">
        <v>2367</v>
      </c>
      <c r="E300" s="352">
        <v>3629</v>
      </c>
      <c r="F300" s="352">
        <v>74950405</v>
      </c>
      <c r="G300" s="352">
        <v>165812158</v>
      </c>
      <c r="H300" s="352">
        <v>240762563</v>
      </c>
      <c r="I300" s="352">
        <v>4849313</v>
      </c>
      <c r="J300" t="s">
        <v>606</v>
      </c>
      <c r="K300" t="s">
        <v>1265</v>
      </c>
      <c r="L300" t="s">
        <v>161</v>
      </c>
      <c r="M300" t="s">
        <v>136</v>
      </c>
      <c r="N300" s="2"/>
      <c r="O300" s="4"/>
    </row>
    <row r="301" spans="1:15" ht="12.75" customHeight="1" x14ac:dyDescent="0.25">
      <c r="A301" s="380">
        <v>252296</v>
      </c>
      <c r="B301" t="s">
        <v>231</v>
      </c>
      <c r="C301" s="352">
        <v>1559</v>
      </c>
      <c r="D301" s="352">
        <v>1992</v>
      </c>
      <c r="E301" s="352">
        <v>3551</v>
      </c>
      <c r="F301" s="352">
        <v>87494308</v>
      </c>
      <c r="G301" s="352">
        <v>162710133</v>
      </c>
      <c r="H301" s="352">
        <v>250204440</v>
      </c>
      <c r="I301" s="352">
        <v>31763354</v>
      </c>
      <c r="J301" t="s">
        <v>599</v>
      </c>
      <c r="K301" t="s">
        <v>1266</v>
      </c>
      <c r="L301" t="s">
        <v>150</v>
      </c>
      <c r="M301" t="s">
        <v>57</v>
      </c>
      <c r="N301" s="2"/>
      <c r="O301" s="4"/>
    </row>
    <row r="302" spans="1:15" ht="12.75" customHeight="1" x14ac:dyDescent="0.25">
      <c r="A302" s="380">
        <v>551804</v>
      </c>
      <c r="B302" t="s">
        <v>260</v>
      </c>
      <c r="C302" s="352">
        <v>1660</v>
      </c>
      <c r="D302" s="352">
        <v>1885</v>
      </c>
      <c r="E302" s="352">
        <v>3545</v>
      </c>
      <c r="F302" s="352">
        <v>68111216</v>
      </c>
      <c r="G302" s="352">
        <v>100992492</v>
      </c>
      <c r="H302" s="352">
        <v>169103708</v>
      </c>
      <c r="I302" s="352">
        <v>10145579</v>
      </c>
      <c r="J302" t="s">
        <v>595</v>
      </c>
      <c r="K302" t="s">
        <v>1266</v>
      </c>
      <c r="L302" t="s">
        <v>1274</v>
      </c>
      <c r="M302" t="s">
        <v>57</v>
      </c>
      <c r="N302" s="2"/>
      <c r="O302" s="4"/>
    </row>
    <row r="303" spans="1:15" ht="12.75" customHeight="1" x14ac:dyDescent="0.25">
      <c r="A303" s="380">
        <v>111518</v>
      </c>
      <c r="B303" t="s">
        <v>225</v>
      </c>
      <c r="C303" s="352">
        <v>1807</v>
      </c>
      <c r="D303" s="352">
        <v>1733</v>
      </c>
      <c r="E303" s="352">
        <v>3540</v>
      </c>
      <c r="F303" s="352">
        <v>69904743</v>
      </c>
      <c r="G303" s="352">
        <v>89090701</v>
      </c>
      <c r="H303" s="352">
        <v>158995444</v>
      </c>
      <c r="I303" s="352">
        <v>2466254</v>
      </c>
      <c r="J303" t="s">
        <v>605</v>
      </c>
      <c r="K303" t="s">
        <v>1266</v>
      </c>
      <c r="L303" t="s">
        <v>227</v>
      </c>
      <c r="M303" t="s">
        <v>57</v>
      </c>
      <c r="N303" s="2"/>
      <c r="O303" s="4"/>
    </row>
    <row r="304" spans="1:15" ht="12.75" customHeight="1" x14ac:dyDescent="0.25">
      <c r="A304" s="380">
        <v>379024</v>
      </c>
      <c r="B304" t="s">
        <v>613</v>
      </c>
      <c r="C304" s="352">
        <v>1290</v>
      </c>
      <c r="D304" s="352">
        <v>2244</v>
      </c>
      <c r="E304" s="352">
        <v>3534</v>
      </c>
      <c r="F304" s="352">
        <v>76353031</v>
      </c>
      <c r="G304" s="352">
        <v>154571309</v>
      </c>
      <c r="H304" s="352">
        <v>230924339</v>
      </c>
      <c r="I304" s="352">
        <v>-5860851</v>
      </c>
      <c r="J304" t="s">
        <v>609</v>
      </c>
      <c r="K304" t="s">
        <v>1265</v>
      </c>
      <c r="L304" t="s">
        <v>1270</v>
      </c>
      <c r="M304" t="s">
        <v>57</v>
      </c>
      <c r="N304" s="2"/>
      <c r="O304" s="4"/>
    </row>
    <row r="305" spans="1:15" ht="12.75" customHeight="1" x14ac:dyDescent="0.25">
      <c r="A305" s="380">
        <v>621631</v>
      </c>
      <c r="B305" t="s">
        <v>1308</v>
      </c>
      <c r="C305" s="352">
        <v>1548</v>
      </c>
      <c r="D305" s="352">
        <v>1986</v>
      </c>
      <c r="E305" s="352">
        <v>3534</v>
      </c>
      <c r="F305" s="352">
        <v>77113407</v>
      </c>
      <c r="G305" s="352">
        <v>115515878</v>
      </c>
      <c r="H305" s="352">
        <v>192629285</v>
      </c>
      <c r="I305" s="352">
        <v>1041084</v>
      </c>
      <c r="J305" t="s">
        <v>604</v>
      </c>
      <c r="K305" t="s">
        <v>1266</v>
      </c>
      <c r="L305" t="s">
        <v>164</v>
      </c>
      <c r="M305" t="s">
        <v>57</v>
      </c>
      <c r="N305" s="2"/>
      <c r="O305" s="4"/>
    </row>
    <row r="306" spans="1:15" ht="12.75" customHeight="1" x14ac:dyDescent="0.25">
      <c r="A306" s="380">
        <v>487108</v>
      </c>
      <c r="B306" t="s">
        <v>459</v>
      </c>
      <c r="C306" s="352">
        <v>1340</v>
      </c>
      <c r="D306" s="352">
        <v>2163</v>
      </c>
      <c r="E306" s="352">
        <v>3503</v>
      </c>
      <c r="F306" s="352">
        <v>80168310</v>
      </c>
      <c r="G306" s="352">
        <v>157605186</v>
      </c>
      <c r="H306" s="352">
        <v>237773496</v>
      </c>
      <c r="I306" s="352">
        <v>6897005</v>
      </c>
      <c r="J306" t="s">
        <v>590</v>
      </c>
      <c r="K306" t="s">
        <v>1265</v>
      </c>
      <c r="L306" t="s">
        <v>302</v>
      </c>
      <c r="M306" t="s">
        <v>136</v>
      </c>
      <c r="N306" s="2"/>
      <c r="O306" s="4"/>
    </row>
    <row r="307" spans="1:15" ht="12.75" customHeight="1" x14ac:dyDescent="0.25">
      <c r="A307" s="380">
        <v>865774</v>
      </c>
      <c r="B307" t="s">
        <v>1153</v>
      </c>
      <c r="C307" s="352">
        <v>1760</v>
      </c>
      <c r="D307" s="352">
        <v>1701</v>
      </c>
      <c r="E307" s="352">
        <v>3461</v>
      </c>
      <c r="F307" s="352">
        <v>71259565</v>
      </c>
      <c r="G307" s="352">
        <v>94033535</v>
      </c>
      <c r="H307" s="352">
        <v>165293100</v>
      </c>
      <c r="I307" s="352">
        <v>920082</v>
      </c>
      <c r="J307" t="s">
        <v>593</v>
      </c>
      <c r="K307" t="s">
        <v>1266</v>
      </c>
      <c r="L307" t="s">
        <v>1277</v>
      </c>
      <c r="M307" t="s">
        <v>57</v>
      </c>
      <c r="N307" s="2"/>
      <c r="O307" s="4"/>
    </row>
    <row r="308" spans="1:15" ht="12.75" customHeight="1" x14ac:dyDescent="0.25">
      <c r="A308" s="380">
        <v>587337</v>
      </c>
      <c r="B308" t="s">
        <v>639</v>
      </c>
      <c r="C308" s="352">
        <v>1406</v>
      </c>
      <c r="D308" s="352">
        <v>2043</v>
      </c>
      <c r="E308" s="352">
        <v>3449</v>
      </c>
      <c r="F308" s="352">
        <v>79574293</v>
      </c>
      <c r="G308" s="352">
        <v>141350338</v>
      </c>
      <c r="H308" s="352">
        <v>220924631</v>
      </c>
      <c r="I308" s="352">
        <v>3094708</v>
      </c>
      <c r="J308" t="s">
        <v>182</v>
      </c>
      <c r="K308" t="s">
        <v>1265</v>
      </c>
      <c r="L308" t="s">
        <v>149</v>
      </c>
      <c r="M308" t="s">
        <v>136</v>
      </c>
      <c r="N308" s="2"/>
      <c r="O308" s="4"/>
    </row>
    <row r="309" spans="1:15" ht="12.75" customHeight="1" x14ac:dyDescent="0.25">
      <c r="A309" s="380">
        <v>320358</v>
      </c>
      <c r="B309" t="s">
        <v>330</v>
      </c>
      <c r="C309" s="352">
        <v>1543</v>
      </c>
      <c r="D309" s="352">
        <v>1877</v>
      </c>
      <c r="E309" s="352">
        <v>3420</v>
      </c>
      <c r="F309" s="352">
        <v>106230076</v>
      </c>
      <c r="G309" s="352">
        <v>156374346</v>
      </c>
      <c r="H309" s="352">
        <v>262604422</v>
      </c>
      <c r="I309" s="352">
        <v>-8175517</v>
      </c>
      <c r="J309" t="s">
        <v>154</v>
      </c>
      <c r="K309" t="s">
        <v>1265</v>
      </c>
      <c r="L309" t="s">
        <v>1274</v>
      </c>
      <c r="M309" t="s">
        <v>57</v>
      </c>
      <c r="N309" s="2"/>
      <c r="O309" s="4"/>
    </row>
    <row r="310" spans="1:15" ht="12.75" customHeight="1" x14ac:dyDescent="0.25">
      <c r="A310" s="380">
        <v>891507</v>
      </c>
      <c r="B310" t="s">
        <v>573</v>
      </c>
      <c r="C310" s="352">
        <v>1355</v>
      </c>
      <c r="D310" s="352">
        <v>2061</v>
      </c>
      <c r="E310" s="352">
        <v>3416</v>
      </c>
      <c r="F310" s="352">
        <v>68074339</v>
      </c>
      <c r="G310" s="352">
        <v>123549470</v>
      </c>
      <c r="H310" s="352">
        <v>191623810</v>
      </c>
      <c r="I310" s="352">
        <v>-22633448</v>
      </c>
      <c r="J310" t="s">
        <v>607</v>
      </c>
      <c r="K310" t="s">
        <v>1265</v>
      </c>
      <c r="L310" t="s">
        <v>163</v>
      </c>
      <c r="M310" t="s">
        <v>136</v>
      </c>
      <c r="N310" s="2"/>
      <c r="O310" s="4"/>
    </row>
    <row r="311" spans="1:15" ht="12.75" customHeight="1" x14ac:dyDescent="0.25">
      <c r="A311" s="380">
        <v>153833</v>
      </c>
      <c r="B311" t="s">
        <v>339</v>
      </c>
      <c r="C311" s="352">
        <v>1234</v>
      </c>
      <c r="D311" s="352">
        <v>2181</v>
      </c>
      <c r="E311" s="352">
        <v>3415</v>
      </c>
      <c r="F311" s="352">
        <v>44045854</v>
      </c>
      <c r="G311" s="352">
        <v>88088500</v>
      </c>
      <c r="H311" s="352">
        <v>132134354</v>
      </c>
      <c r="I311" s="352">
        <v>-541417</v>
      </c>
      <c r="J311" t="s">
        <v>587</v>
      </c>
      <c r="K311" t="s">
        <v>1262</v>
      </c>
      <c r="L311" t="s">
        <v>1274</v>
      </c>
      <c r="M311" t="s">
        <v>57</v>
      </c>
      <c r="N311" s="2"/>
      <c r="O311" s="4"/>
    </row>
    <row r="312" spans="1:15" ht="12.75" customHeight="1" x14ac:dyDescent="0.25">
      <c r="A312" s="380">
        <v>678128</v>
      </c>
      <c r="B312" t="s">
        <v>249</v>
      </c>
      <c r="C312" s="352">
        <v>1627</v>
      </c>
      <c r="D312" s="352">
        <v>1779</v>
      </c>
      <c r="E312" s="352">
        <v>3406</v>
      </c>
      <c r="F312" s="352">
        <v>113225317</v>
      </c>
      <c r="G312" s="352">
        <v>139030316</v>
      </c>
      <c r="H312" s="352">
        <v>252255633</v>
      </c>
      <c r="I312" s="352">
        <v>4433445</v>
      </c>
      <c r="J312" t="s">
        <v>608</v>
      </c>
      <c r="K312" t="s">
        <v>1265</v>
      </c>
      <c r="L312" t="s">
        <v>1269</v>
      </c>
      <c r="M312" t="s">
        <v>136</v>
      </c>
      <c r="N312" s="2"/>
      <c r="O312" s="4"/>
    </row>
    <row r="313" spans="1:15" ht="12.75" customHeight="1" x14ac:dyDescent="0.25">
      <c r="A313" s="380">
        <v>218115</v>
      </c>
      <c r="B313" t="s">
        <v>1302</v>
      </c>
      <c r="C313" s="352">
        <v>1395</v>
      </c>
      <c r="D313" s="352">
        <v>1924</v>
      </c>
      <c r="E313" s="352">
        <v>3319</v>
      </c>
      <c r="F313" s="352">
        <v>29821435</v>
      </c>
      <c r="G313" s="352">
        <v>50537880</v>
      </c>
      <c r="H313" s="352">
        <v>80359316</v>
      </c>
      <c r="I313" s="352">
        <v>-2234315</v>
      </c>
      <c r="J313" t="s">
        <v>167</v>
      </c>
      <c r="K313" t="s">
        <v>1265</v>
      </c>
      <c r="L313" t="s">
        <v>1323</v>
      </c>
      <c r="M313" t="s">
        <v>57</v>
      </c>
      <c r="N313" s="2"/>
      <c r="O313" s="4"/>
    </row>
    <row r="314" spans="1:15" ht="12.75" customHeight="1" x14ac:dyDescent="0.25">
      <c r="A314" s="380">
        <v>479840</v>
      </c>
      <c r="B314" t="s">
        <v>645</v>
      </c>
      <c r="C314" s="352">
        <v>1246</v>
      </c>
      <c r="D314" s="352">
        <v>2064</v>
      </c>
      <c r="E314" s="352">
        <v>3310</v>
      </c>
      <c r="F314" s="352">
        <v>64528941</v>
      </c>
      <c r="G314" s="352">
        <v>121894323</v>
      </c>
      <c r="H314" s="352">
        <v>186423263</v>
      </c>
      <c r="I314" s="352">
        <v>2689705</v>
      </c>
      <c r="J314" t="s">
        <v>178</v>
      </c>
      <c r="K314" t="s">
        <v>1265</v>
      </c>
      <c r="L314" t="s">
        <v>149</v>
      </c>
      <c r="M314" t="s">
        <v>136</v>
      </c>
      <c r="N314" s="2"/>
      <c r="O314" s="4"/>
    </row>
    <row r="315" spans="1:15" ht="12.75" customHeight="1" x14ac:dyDescent="0.25">
      <c r="A315" s="380">
        <v>120014</v>
      </c>
      <c r="B315" t="s">
        <v>269</v>
      </c>
      <c r="C315" s="352">
        <v>1517</v>
      </c>
      <c r="D315" s="352">
        <v>1787</v>
      </c>
      <c r="E315" s="352">
        <v>3304</v>
      </c>
      <c r="F315" s="352">
        <v>74788393</v>
      </c>
      <c r="G315" s="352">
        <v>103925024</v>
      </c>
      <c r="H315" s="352">
        <v>178713418</v>
      </c>
      <c r="I315" s="352">
        <v>513491</v>
      </c>
      <c r="J315" t="s">
        <v>590</v>
      </c>
      <c r="K315" t="s">
        <v>1265</v>
      </c>
      <c r="L315" t="s">
        <v>150</v>
      </c>
      <c r="M315" t="s">
        <v>57</v>
      </c>
      <c r="N315" s="2"/>
      <c r="O315" s="4"/>
    </row>
    <row r="316" spans="1:15" ht="12.75" customHeight="1" x14ac:dyDescent="0.25">
      <c r="A316" s="380">
        <v>821736</v>
      </c>
      <c r="B316" t="s">
        <v>1252</v>
      </c>
      <c r="C316" s="352">
        <v>1142</v>
      </c>
      <c r="D316" s="352">
        <v>2086</v>
      </c>
      <c r="E316" s="352">
        <v>3228</v>
      </c>
      <c r="F316" s="352">
        <v>72483552</v>
      </c>
      <c r="G316" s="352">
        <v>153742342</v>
      </c>
      <c r="H316" s="352">
        <v>226225894</v>
      </c>
      <c r="I316" s="352">
        <v>990631</v>
      </c>
      <c r="J316" t="s">
        <v>608</v>
      </c>
      <c r="K316" t="s">
        <v>1265</v>
      </c>
      <c r="L316" t="s">
        <v>161</v>
      </c>
      <c r="M316" t="s">
        <v>136</v>
      </c>
      <c r="N316" s="2"/>
      <c r="O316" s="4"/>
    </row>
    <row r="317" spans="1:15" ht="12.75" customHeight="1" x14ac:dyDescent="0.25">
      <c r="A317" s="380">
        <v>408484</v>
      </c>
      <c r="B317" t="s">
        <v>329</v>
      </c>
      <c r="C317" s="352">
        <v>1633</v>
      </c>
      <c r="D317" s="352">
        <v>1500</v>
      </c>
      <c r="E317" s="352">
        <v>3133</v>
      </c>
      <c r="F317" s="352">
        <v>73098037</v>
      </c>
      <c r="G317" s="352">
        <v>79732390</v>
      </c>
      <c r="H317" s="352">
        <v>152830427</v>
      </c>
      <c r="I317" s="352">
        <v>908307</v>
      </c>
      <c r="J317" t="s">
        <v>587</v>
      </c>
      <c r="K317" t="s">
        <v>1262</v>
      </c>
      <c r="L317" t="s">
        <v>1274</v>
      </c>
      <c r="M317" t="s">
        <v>57</v>
      </c>
      <c r="N317" s="2"/>
      <c r="O317" s="4"/>
    </row>
    <row r="318" spans="1:15" ht="12.75" customHeight="1" x14ac:dyDescent="0.25">
      <c r="A318" s="380">
        <v>634386</v>
      </c>
      <c r="B318" t="s">
        <v>394</v>
      </c>
      <c r="C318" s="352">
        <v>1552</v>
      </c>
      <c r="D318" s="352">
        <v>1515</v>
      </c>
      <c r="E318" s="352">
        <v>3067</v>
      </c>
      <c r="F318" s="352">
        <v>88514503</v>
      </c>
      <c r="G318" s="352">
        <v>98402445</v>
      </c>
      <c r="H318" s="352">
        <v>186916948</v>
      </c>
      <c r="I318" s="352">
        <v>1169273</v>
      </c>
      <c r="J318" t="s">
        <v>229</v>
      </c>
      <c r="K318" t="s">
        <v>1265</v>
      </c>
      <c r="L318" t="s">
        <v>391</v>
      </c>
      <c r="M318" t="s">
        <v>57</v>
      </c>
      <c r="N318" s="2"/>
      <c r="O318" s="4"/>
    </row>
    <row r="319" spans="1:15" ht="12.75" customHeight="1" x14ac:dyDescent="0.25">
      <c r="A319" s="380">
        <v>103606</v>
      </c>
      <c r="B319" t="s">
        <v>318</v>
      </c>
      <c r="C319" s="352">
        <v>1279</v>
      </c>
      <c r="D319" s="352">
        <v>1755</v>
      </c>
      <c r="E319" s="352">
        <v>3034</v>
      </c>
      <c r="F319" s="352">
        <v>112570184</v>
      </c>
      <c r="G319" s="352">
        <v>179799888</v>
      </c>
      <c r="H319" s="352">
        <v>292370072</v>
      </c>
      <c r="I319" s="352">
        <v>3219166</v>
      </c>
      <c r="J319" t="s">
        <v>208</v>
      </c>
      <c r="K319" t="s">
        <v>1265</v>
      </c>
      <c r="L319" t="s">
        <v>185</v>
      </c>
      <c r="M319" t="s">
        <v>136</v>
      </c>
      <c r="N319" s="2"/>
      <c r="O319" s="4"/>
    </row>
    <row r="320" spans="1:15" ht="12.75" customHeight="1" x14ac:dyDescent="0.25">
      <c r="A320" s="380">
        <v>275495</v>
      </c>
      <c r="B320" t="s">
        <v>499</v>
      </c>
      <c r="C320" s="352">
        <v>1376</v>
      </c>
      <c r="D320" s="352">
        <v>1544</v>
      </c>
      <c r="E320" s="352">
        <v>2920</v>
      </c>
      <c r="F320" s="352">
        <v>44686589</v>
      </c>
      <c r="G320" s="352">
        <v>63273375</v>
      </c>
      <c r="H320" s="352">
        <v>107959965</v>
      </c>
      <c r="I320" s="352">
        <v>1115908</v>
      </c>
      <c r="J320" t="s">
        <v>167</v>
      </c>
      <c r="K320" t="s">
        <v>1265</v>
      </c>
      <c r="L320" t="s">
        <v>1330</v>
      </c>
      <c r="M320" t="s">
        <v>57</v>
      </c>
      <c r="N320" s="2"/>
      <c r="O320" s="4"/>
    </row>
    <row r="321" spans="1:15" ht="12.75" customHeight="1" x14ac:dyDescent="0.25">
      <c r="A321" s="380">
        <v>376319</v>
      </c>
      <c r="B321" t="s">
        <v>360</v>
      </c>
      <c r="C321" s="352">
        <v>1115</v>
      </c>
      <c r="D321" s="352">
        <v>1744</v>
      </c>
      <c r="E321" s="352">
        <v>2859</v>
      </c>
      <c r="F321" s="352">
        <v>45347642</v>
      </c>
      <c r="G321" s="352">
        <v>89026282</v>
      </c>
      <c r="H321" s="352">
        <v>134373924</v>
      </c>
      <c r="I321" s="352">
        <v>-1914574</v>
      </c>
      <c r="J321" t="s">
        <v>247</v>
      </c>
      <c r="K321" t="s">
        <v>1265</v>
      </c>
      <c r="L321" t="s">
        <v>279</v>
      </c>
      <c r="M321" t="s">
        <v>57</v>
      </c>
      <c r="N321" s="2"/>
      <c r="O321" s="4"/>
    </row>
    <row r="322" spans="1:15" ht="12.75" customHeight="1" x14ac:dyDescent="0.25">
      <c r="A322" s="380">
        <v>184119</v>
      </c>
      <c r="B322" t="s">
        <v>1300</v>
      </c>
      <c r="C322" s="352">
        <v>1215</v>
      </c>
      <c r="D322" s="352">
        <v>1614</v>
      </c>
      <c r="E322" s="352">
        <v>2829</v>
      </c>
      <c r="F322" s="352">
        <v>92223309</v>
      </c>
      <c r="G322" s="352">
        <v>136680752</v>
      </c>
      <c r="H322" s="352">
        <v>228904061</v>
      </c>
      <c r="I322" s="352">
        <v>2909453</v>
      </c>
      <c r="J322" t="s">
        <v>154</v>
      </c>
      <c r="K322" t="s">
        <v>1265</v>
      </c>
      <c r="L322" t="s">
        <v>152</v>
      </c>
      <c r="M322" t="s">
        <v>136</v>
      </c>
      <c r="N322" s="2"/>
      <c r="O322" s="4"/>
    </row>
    <row r="323" spans="1:15" ht="12.75" customHeight="1" x14ac:dyDescent="0.25">
      <c r="A323" s="380">
        <v>192146</v>
      </c>
      <c r="B323" t="s">
        <v>1280</v>
      </c>
      <c r="C323" s="352">
        <v>1127</v>
      </c>
      <c r="D323" s="352">
        <v>1671</v>
      </c>
      <c r="E323" s="352">
        <v>2798</v>
      </c>
      <c r="F323" s="352">
        <v>62500599</v>
      </c>
      <c r="G323" s="352">
        <v>113933186</v>
      </c>
      <c r="H323" s="352">
        <v>176433786</v>
      </c>
      <c r="I323" s="352">
        <v>1845132</v>
      </c>
      <c r="J323" t="s">
        <v>167</v>
      </c>
      <c r="K323" t="s">
        <v>1265</v>
      </c>
      <c r="L323" t="s">
        <v>1281</v>
      </c>
      <c r="M323" t="s">
        <v>57</v>
      </c>
      <c r="N323" s="2"/>
      <c r="O323" s="4"/>
    </row>
    <row r="324" spans="1:15" ht="12.75" customHeight="1" x14ac:dyDescent="0.25">
      <c r="A324" s="380">
        <v>170894</v>
      </c>
      <c r="B324" t="s">
        <v>408</v>
      </c>
      <c r="C324" s="352">
        <v>1051</v>
      </c>
      <c r="D324" s="352">
        <v>1743</v>
      </c>
      <c r="E324" s="352">
        <v>2794</v>
      </c>
      <c r="F324" s="352">
        <v>56585674</v>
      </c>
      <c r="G324" s="352">
        <v>119379173</v>
      </c>
      <c r="H324" s="352">
        <v>175964847</v>
      </c>
      <c r="I324" s="352">
        <v>3487940</v>
      </c>
      <c r="J324" t="s">
        <v>617</v>
      </c>
      <c r="K324" t="s">
        <v>1265</v>
      </c>
      <c r="L324" t="s">
        <v>1325</v>
      </c>
      <c r="M324" t="s">
        <v>57</v>
      </c>
      <c r="N324" s="2"/>
      <c r="O324" s="4"/>
    </row>
    <row r="325" spans="1:15" ht="12.75" customHeight="1" x14ac:dyDescent="0.25">
      <c r="A325" s="380">
        <v>442897</v>
      </c>
      <c r="B325" t="s">
        <v>1224</v>
      </c>
      <c r="C325" s="352">
        <v>1313</v>
      </c>
      <c r="D325" s="352">
        <v>1431</v>
      </c>
      <c r="E325" s="352">
        <v>2744</v>
      </c>
      <c r="F325" s="352">
        <v>88222963</v>
      </c>
      <c r="G325" s="352">
        <v>126621098</v>
      </c>
      <c r="H325" s="352">
        <v>214844061</v>
      </c>
      <c r="I325" s="352">
        <v>-385065</v>
      </c>
      <c r="J325" t="s">
        <v>593</v>
      </c>
      <c r="K325" t="s">
        <v>1266</v>
      </c>
      <c r="L325" t="s">
        <v>152</v>
      </c>
      <c r="M325" t="s">
        <v>136</v>
      </c>
      <c r="N325" s="2"/>
      <c r="O325" s="4"/>
    </row>
    <row r="326" spans="1:15" ht="12.75" customHeight="1" x14ac:dyDescent="0.25">
      <c r="A326" s="380">
        <v>229682</v>
      </c>
      <c r="B326" t="s">
        <v>180</v>
      </c>
      <c r="C326" s="352">
        <v>1242</v>
      </c>
      <c r="D326" s="352">
        <v>1494</v>
      </c>
      <c r="E326" s="352">
        <v>2736</v>
      </c>
      <c r="F326" s="352">
        <v>81454560</v>
      </c>
      <c r="G326" s="352">
        <v>121505762</v>
      </c>
      <c r="H326" s="352">
        <v>202960322</v>
      </c>
      <c r="I326" s="352">
        <v>-14254796</v>
      </c>
      <c r="J326" t="s">
        <v>590</v>
      </c>
      <c r="K326" t="s">
        <v>1265</v>
      </c>
      <c r="L326" t="s">
        <v>144</v>
      </c>
      <c r="M326" t="s">
        <v>136</v>
      </c>
      <c r="N326" s="2"/>
      <c r="O326" s="4"/>
    </row>
    <row r="327" spans="1:15" ht="12.75" customHeight="1" x14ac:dyDescent="0.25">
      <c r="A327" s="380">
        <v>889261</v>
      </c>
      <c r="B327" t="s">
        <v>366</v>
      </c>
      <c r="C327" s="352">
        <v>1007</v>
      </c>
      <c r="D327" s="352">
        <v>1674</v>
      </c>
      <c r="E327" s="352">
        <v>2681</v>
      </c>
      <c r="F327" s="352">
        <v>71778799</v>
      </c>
      <c r="G327" s="352">
        <v>148462355</v>
      </c>
      <c r="H327" s="352">
        <v>220241154</v>
      </c>
      <c r="I327" s="352">
        <v>66713952</v>
      </c>
      <c r="J327" t="s">
        <v>608</v>
      </c>
      <c r="K327" t="s">
        <v>1265</v>
      </c>
      <c r="L327" t="s">
        <v>1273</v>
      </c>
      <c r="M327" t="s">
        <v>57</v>
      </c>
      <c r="N327" s="2"/>
      <c r="O327" s="4"/>
    </row>
    <row r="328" spans="1:15" ht="12.75" customHeight="1" x14ac:dyDescent="0.25">
      <c r="A328" s="380">
        <v>823039</v>
      </c>
      <c r="B328" t="s">
        <v>315</v>
      </c>
      <c r="C328" s="352">
        <v>998</v>
      </c>
      <c r="D328" s="352">
        <v>1670</v>
      </c>
      <c r="E328" s="352">
        <v>2668</v>
      </c>
      <c r="F328" s="352">
        <v>59001366</v>
      </c>
      <c r="G328" s="352">
        <v>116833594</v>
      </c>
      <c r="H328" s="352">
        <v>175834960</v>
      </c>
      <c r="I328" s="352">
        <v>-6327157</v>
      </c>
      <c r="J328" t="s">
        <v>272</v>
      </c>
      <c r="K328" t="s">
        <v>1265</v>
      </c>
      <c r="L328" t="s">
        <v>173</v>
      </c>
      <c r="M328" t="s">
        <v>136</v>
      </c>
      <c r="N328" s="2"/>
      <c r="O328" s="4"/>
    </row>
    <row r="329" spans="1:15" ht="12.75" customHeight="1" x14ac:dyDescent="0.25">
      <c r="A329" s="380">
        <v>721746</v>
      </c>
      <c r="B329" t="s">
        <v>1292</v>
      </c>
      <c r="C329" s="352">
        <v>1162</v>
      </c>
      <c r="D329" s="352">
        <v>1499</v>
      </c>
      <c r="E329" s="352">
        <v>2661</v>
      </c>
      <c r="F329" s="352">
        <v>65536760</v>
      </c>
      <c r="G329" s="352">
        <v>101935816</v>
      </c>
      <c r="H329" s="352">
        <v>167472575</v>
      </c>
      <c r="I329" s="352">
        <v>6892897</v>
      </c>
      <c r="J329" t="s">
        <v>596</v>
      </c>
      <c r="K329" t="s">
        <v>1266</v>
      </c>
      <c r="L329" t="s">
        <v>1281</v>
      </c>
      <c r="M329" t="s">
        <v>57</v>
      </c>
      <c r="N329" s="2"/>
      <c r="O329" s="4"/>
    </row>
    <row r="330" spans="1:15" ht="12.75" customHeight="1" x14ac:dyDescent="0.25">
      <c r="A330" s="380">
        <v>418699</v>
      </c>
      <c r="B330" t="s">
        <v>156</v>
      </c>
      <c r="C330" s="352">
        <v>1347</v>
      </c>
      <c r="D330" s="352">
        <v>1300</v>
      </c>
      <c r="E330" s="352">
        <v>2647</v>
      </c>
      <c r="F330" s="352">
        <v>81143236</v>
      </c>
      <c r="G330" s="352">
        <v>112354901</v>
      </c>
      <c r="H330" s="352">
        <v>193498137</v>
      </c>
      <c r="I330" s="352">
        <v>5128510</v>
      </c>
      <c r="J330" t="s">
        <v>601</v>
      </c>
      <c r="K330" t="s">
        <v>1266</v>
      </c>
      <c r="L330" t="s">
        <v>157</v>
      </c>
      <c r="M330" t="s">
        <v>136</v>
      </c>
      <c r="N330" s="2"/>
      <c r="O330" s="4"/>
    </row>
    <row r="331" spans="1:15" ht="12.75" customHeight="1" x14ac:dyDescent="0.25">
      <c r="A331" s="380">
        <v>806091</v>
      </c>
      <c r="B331" t="s">
        <v>410</v>
      </c>
      <c r="C331" s="352">
        <v>982</v>
      </c>
      <c r="D331" s="352">
        <v>1627</v>
      </c>
      <c r="E331" s="352">
        <v>2609</v>
      </c>
      <c r="F331" s="352">
        <v>52760150</v>
      </c>
      <c r="G331" s="352">
        <v>106957195</v>
      </c>
      <c r="H331" s="352">
        <v>159717344</v>
      </c>
      <c r="I331" s="352">
        <v>-9192148</v>
      </c>
      <c r="J331" t="s">
        <v>229</v>
      </c>
      <c r="K331" t="s">
        <v>1265</v>
      </c>
      <c r="L331" t="s">
        <v>1273</v>
      </c>
      <c r="M331" t="s">
        <v>57</v>
      </c>
      <c r="N331" s="2"/>
      <c r="O331" s="4"/>
    </row>
    <row r="332" spans="1:15" ht="12.75" customHeight="1" x14ac:dyDescent="0.25">
      <c r="A332" s="380">
        <v>262741</v>
      </c>
      <c r="B332" t="s">
        <v>387</v>
      </c>
      <c r="C332" s="352">
        <v>1112</v>
      </c>
      <c r="D332" s="352">
        <v>1493</v>
      </c>
      <c r="E332" s="352">
        <v>2605</v>
      </c>
      <c r="F332" s="352">
        <v>30779507</v>
      </c>
      <c r="G332" s="352">
        <v>49724351</v>
      </c>
      <c r="H332" s="352">
        <v>80503858</v>
      </c>
      <c r="I332" s="352">
        <v>1159916</v>
      </c>
      <c r="J332" t="s">
        <v>606</v>
      </c>
      <c r="K332" t="s">
        <v>1265</v>
      </c>
      <c r="L332" t="s">
        <v>1327</v>
      </c>
      <c r="M332" t="s">
        <v>57</v>
      </c>
      <c r="N332" s="2"/>
      <c r="O332" s="4"/>
    </row>
    <row r="333" spans="1:15" ht="12.75" customHeight="1" x14ac:dyDescent="0.25">
      <c r="A333" s="380">
        <v>553578</v>
      </c>
      <c r="B333" t="s">
        <v>491</v>
      </c>
      <c r="C333" s="352">
        <v>1032</v>
      </c>
      <c r="D333" s="352">
        <v>1570</v>
      </c>
      <c r="E333" s="352">
        <v>2602</v>
      </c>
      <c r="F333" s="352">
        <v>41871924</v>
      </c>
      <c r="G333" s="352">
        <v>80988752</v>
      </c>
      <c r="H333" s="352">
        <v>122860676</v>
      </c>
      <c r="I333" s="352">
        <v>1098615</v>
      </c>
      <c r="J333" t="s">
        <v>606</v>
      </c>
      <c r="K333" t="s">
        <v>1265</v>
      </c>
      <c r="L333" t="s">
        <v>369</v>
      </c>
      <c r="M333" t="s">
        <v>57</v>
      </c>
      <c r="N333" s="2"/>
      <c r="O333" s="4"/>
    </row>
    <row r="334" spans="1:15" ht="12.75" customHeight="1" x14ac:dyDescent="0.25">
      <c r="A334" s="380">
        <v>832360</v>
      </c>
      <c r="B334" t="s">
        <v>1185</v>
      </c>
      <c r="C334" s="352">
        <v>1349</v>
      </c>
      <c r="D334" s="352">
        <v>1250</v>
      </c>
      <c r="E334" s="352">
        <v>2599</v>
      </c>
      <c r="F334" s="352">
        <v>131894726</v>
      </c>
      <c r="G334" s="352">
        <v>148190072</v>
      </c>
      <c r="H334" s="352">
        <v>280084798</v>
      </c>
      <c r="I334" s="352">
        <v>3960306</v>
      </c>
      <c r="J334" t="s">
        <v>586</v>
      </c>
      <c r="K334" t="s">
        <v>1259</v>
      </c>
      <c r="L334" t="s">
        <v>149</v>
      </c>
      <c r="M334" t="s">
        <v>136</v>
      </c>
      <c r="N334" s="2"/>
      <c r="O334" s="4"/>
    </row>
    <row r="335" spans="1:15" ht="12.75" customHeight="1" x14ac:dyDescent="0.25">
      <c r="A335" s="380">
        <v>385401</v>
      </c>
      <c r="B335" t="s">
        <v>291</v>
      </c>
      <c r="C335" s="352">
        <v>1065</v>
      </c>
      <c r="D335" s="352">
        <v>1472</v>
      </c>
      <c r="E335" s="352">
        <v>2537</v>
      </c>
      <c r="F335" s="352">
        <v>53544475</v>
      </c>
      <c r="G335" s="352">
        <v>91858895</v>
      </c>
      <c r="H335" s="352">
        <v>145403371</v>
      </c>
      <c r="I335" s="352">
        <v>-2748220</v>
      </c>
      <c r="J335" t="s">
        <v>609</v>
      </c>
      <c r="K335" t="s">
        <v>1265</v>
      </c>
      <c r="L335" t="s">
        <v>149</v>
      </c>
      <c r="M335" t="s">
        <v>136</v>
      </c>
      <c r="N335" s="2"/>
      <c r="O335" s="4"/>
    </row>
    <row r="336" spans="1:15" ht="12.75" customHeight="1" x14ac:dyDescent="0.25">
      <c r="A336" s="380">
        <v>488932</v>
      </c>
      <c r="B336" t="s">
        <v>383</v>
      </c>
      <c r="C336" s="352">
        <v>1380</v>
      </c>
      <c r="D336" s="352">
        <v>1156</v>
      </c>
      <c r="E336" s="352">
        <v>2536</v>
      </c>
      <c r="F336" s="352">
        <v>71436677</v>
      </c>
      <c r="G336" s="352">
        <v>72635178</v>
      </c>
      <c r="H336" s="352">
        <v>144071855</v>
      </c>
      <c r="I336" s="352">
        <v>908681</v>
      </c>
      <c r="J336" t="s">
        <v>154</v>
      </c>
      <c r="K336" t="s">
        <v>1265</v>
      </c>
      <c r="L336" t="s">
        <v>1273</v>
      </c>
      <c r="M336" t="s">
        <v>57</v>
      </c>
      <c r="N336" s="2"/>
      <c r="O336" s="4"/>
    </row>
    <row r="337" spans="1:15" ht="12.75" customHeight="1" x14ac:dyDescent="0.25">
      <c r="A337" s="380">
        <v>361733</v>
      </c>
      <c r="B337" t="s">
        <v>1223</v>
      </c>
      <c r="C337" s="352">
        <v>1363</v>
      </c>
      <c r="D337" s="352">
        <v>1146</v>
      </c>
      <c r="E337" s="352">
        <v>2509</v>
      </c>
      <c r="F337" s="352">
        <v>36771098</v>
      </c>
      <c r="G337" s="352">
        <v>44014674</v>
      </c>
      <c r="H337" s="352">
        <v>80785772</v>
      </c>
      <c r="I337" s="352">
        <v>669957</v>
      </c>
      <c r="J337" t="s">
        <v>593</v>
      </c>
      <c r="K337" t="s">
        <v>1266</v>
      </c>
      <c r="L337" t="s">
        <v>188</v>
      </c>
      <c r="M337" t="s">
        <v>136</v>
      </c>
      <c r="N337" s="2"/>
      <c r="O337" s="4"/>
    </row>
    <row r="338" spans="1:15" ht="12.75" customHeight="1" x14ac:dyDescent="0.25">
      <c r="A338" s="380">
        <v>184416</v>
      </c>
      <c r="B338" t="s">
        <v>1301</v>
      </c>
      <c r="C338" s="352">
        <v>1240</v>
      </c>
      <c r="D338" s="352">
        <v>1235</v>
      </c>
      <c r="E338" s="352">
        <v>2475</v>
      </c>
      <c r="F338" s="352">
        <v>88582395</v>
      </c>
      <c r="G338" s="352">
        <v>111061905</v>
      </c>
      <c r="H338" s="352">
        <v>199644300</v>
      </c>
      <c r="I338" s="352">
        <v>1408490</v>
      </c>
      <c r="J338" t="s">
        <v>208</v>
      </c>
      <c r="K338" t="s">
        <v>1265</v>
      </c>
      <c r="L338" t="s">
        <v>251</v>
      </c>
      <c r="M338" t="s">
        <v>136</v>
      </c>
      <c r="N338" s="2"/>
      <c r="O338" s="4"/>
    </row>
    <row r="339" spans="1:15" ht="12.75" customHeight="1" x14ac:dyDescent="0.25">
      <c r="A339" s="380">
        <v>517748</v>
      </c>
      <c r="B339" t="s">
        <v>490</v>
      </c>
      <c r="C339" s="352">
        <v>1079</v>
      </c>
      <c r="D339" s="352">
        <v>1329</v>
      </c>
      <c r="E339" s="352">
        <v>2408</v>
      </c>
      <c r="F339" s="352">
        <v>31791811</v>
      </c>
      <c r="G339" s="352">
        <v>51101222</v>
      </c>
      <c r="H339" s="352">
        <v>82893033</v>
      </c>
      <c r="I339" s="352">
        <v>-747609</v>
      </c>
      <c r="J339" t="s">
        <v>606</v>
      </c>
      <c r="K339" t="s">
        <v>1265</v>
      </c>
      <c r="L339" t="s">
        <v>369</v>
      </c>
      <c r="M339" t="s">
        <v>57</v>
      </c>
      <c r="N339" s="2"/>
      <c r="O339" s="4"/>
    </row>
    <row r="340" spans="1:15" ht="12.75" customHeight="1" x14ac:dyDescent="0.25">
      <c r="A340" s="380">
        <v>496497</v>
      </c>
      <c r="B340" t="s">
        <v>191</v>
      </c>
      <c r="C340" s="352">
        <v>1126</v>
      </c>
      <c r="D340" s="352">
        <v>1246</v>
      </c>
      <c r="E340" s="352">
        <v>2372</v>
      </c>
      <c r="F340" s="352">
        <v>58496847</v>
      </c>
      <c r="G340" s="352">
        <v>80566767</v>
      </c>
      <c r="H340" s="352">
        <v>139063615</v>
      </c>
      <c r="I340" s="352">
        <v>7800775</v>
      </c>
      <c r="J340" t="s">
        <v>601</v>
      </c>
      <c r="K340" t="s">
        <v>1266</v>
      </c>
      <c r="L340" t="s">
        <v>173</v>
      </c>
      <c r="M340" t="s">
        <v>57</v>
      </c>
      <c r="N340" s="2"/>
      <c r="O340" s="4"/>
    </row>
    <row r="341" spans="1:15" ht="12.75" customHeight="1" x14ac:dyDescent="0.25">
      <c r="A341" s="380">
        <v>337709</v>
      </c>
      <c r="B341" t="s">
        <v>653</v>
      </c>
      <c r="C341" s="352">
        <v>1165</v>
      </c>
      <c r="D341" s="352">
        <v>1197</v>
      </c>
      <c r="E341" s="352">
        <v>2362</v>
      </c>
      <c r="F341" s="352">
        <v>49951150</v>
      </c>
      <c r="G341" s="352">
        <v>66733455</v>
      </c>
      <c r="H341" s="352">
        <v>116684605</v>
      </c>
      <c r="I341" s="352">
        <v>3646886</v>
      </c>
      <c r="J341" t="s">
        <v>586</v>
      </c>
      <c r="K341" t="s">
        <v>1259</v>
      </c>
      <c r="L341" t="s">
        <v>537</v>
      </c>
      <c r="M341" t="s">
        <v>136</v>
      </c>
      <c r="N341" s="2"/>
      <c r="O341" s="4"/>
    </row>
    <row r="342" spans="1:15" ht="12.75" customHeight="1" x14ac:dyDescent="0.25">
      <c r="A342" s="380">
        <v>259903</v>
      </c>
      <c r="B342" t="s">
        <v>650</v>
      </c>
      <c r="C342" s="352">
        <v>862</v>
      </c>
      <c r="D342" s="352">
        <v>1465</v>
      </c>
      <c r="E342" s="352">
        <v>2327</v>
      </c>
      <c r="F342" s="352">
        <v>51332076</v>
      </c>
      <c r="G342" s="352">
        <v>117284560</v>
      </c>
      <c r="H342" s="352">
        <v>168616636</v>
      </c>
      <c r="I342" s="352">
        <v>8598330</v>
      </c>
      <c r="J342" t="s">
        <v>277</v>
      </c>
      <c r="K342" t="s">
        <v>1265</v>
      </c>
      <c r="L342" t="s">
        <v>173</v>
      </c>
      <c r="M342" t="s">
        <v>57</v>
      </c>
      <c r="N342" s="2"/>
      <c r="O342" s="4"/>
    </row>
    <row r="343" spans="1:15" ht="12.75" customHeight="1" x14ac:dyDescent="0.25">
      <c r="A343" s="380">
        <v>308908</v>
      </c>
      <c r="B343" t="s">
        <v>240</v>
      </c>
      <c r="C343" s="352">
        <v>1236</v>
      </c>
      <c r="D343" s="352">
        <v>1083</v>
      </c>
      <c r="E343" s="352">
        <v>2319</v>
      </c>
      <c r="F343" s="352">
        <v>41429297</v>
      </c>
      <c r="G343" s="352">
        <v>52563326</v>
      </c>
      <c r="H343" s="352">
        <v>93992623</v>
      </c>
      <c r="I343" s="352">
        <v>-15632</v>
      </c>
      <c r="J343" t="s">
        <v>593</v>
      </c>
      <c r="K343" t="s">
        <v>1266</v>
      </c>
      <c r="L343" t="s">
        <v>241</v>
      </c>
      <c r="M343" t="s">
        <v>136</v>
      </c>
      <c r="N343" s="2"/>
      <c r="O343" s="4"/>
    </row>
    <row r="344" spans="1:15" ht="12.75" customHeight="1" x14ac:dyDescent="0.25">
      <c r="A344" s="380">
        <v>112755</v>
      </c>
      <c r="B344" t="s">
        <v>250</v>
      </c>
      <c r="C344" s="352">
        <v>1177</v>
      </c>
      <c r="D344" s="352">
        <v>1082</v>
      </c>
      <c r="E344" s="352">
        <v>2259</v>
      </c>
      <c r="F344" s="352">
        <v>55661757</v>
      </c>
      <c r="G344" s="352">
        <v>68789856</v>
      </c>
      <c r="H344" s="352">
        <v>124451613</v>
      </c>
      <c r="I344" s="352">
        <v>543486</v>
      </c>
      <c r="J344" t="s">
        <v>595</v>
      </c>
      <c r="K344" t="s">
        <v>1266</v>
      </c>
      <c r="L344" t="s">
        <v>251</v>
      </c>
      <c r="M344" t="s">
        <v>136</v>
      </c>
      <c r="N344" s="2"/>
      <c r="O344" s="4"/>
    </row>
    <row r="345" spans="1:15" ht="12.75" customHeight="1" x14ac:dyDescent="0.25">
      <c r="A345" s="380">
        <v>459891</v>
      </c>
      <c r="B345" t="s">
        <v>238</v>
      </c>
      <c r="C345" s="352">
        <v>813</v>
      </c>
      <c r="D345" s="352">
        <v>1406</v>
      </c>
      <c r="E345" s="352">
        <v>2219</v>
      </c>
      <c r="F345" s="352">
        <v>39885390</v>
      </c>
      <c r="G345" s="352">
        <v>71678205</v>
      </c>
      <c r="H345" s="352">
        <v>111563594</v>
      </c>
      <c r="I345" s="352">
        <v>29934</v>
      </c>
      <c r="J345" t="s">
        <v>228</v>
      </c>
      <c r="K345" t="s">
        <v>1265</v>
      </c>
      <c r="L345" t="s">
        <v>152</v>
      </c>
      <c r="M345" t="s">
        <v>136</v>
      </c>
      <c r="N345" s="2"/>
      <c r="O345" s="4"/>
    </row>
    <row r="346" spans="1:15" ht="12.75" customHeight="1" x14ac:dyDescent="0.25">
      <c r="A346" s="380">
        <v>477729</v>
      </c>
      <c r="B346" t="s">
        <v>379</v>
      </c>
      <c r="C346" s="352">
        <v>879</v>
      </c>
      <c r="D346" s="352">
        <v>1337</v>
      </c>
      <c r="E346" s="352">
        <v>2216</v>
      </c>
      <c r="F346" s="352">
        <v>44277416</v>
      </c>
      <c r="G346" s="352">
        <v>82901003</v>
      </c>
      <c r="H346" s="352">
        <v>127178419</v>
      </c>
      <c r="I346" s="352">
        <v>32671</v>
      </c>
      <c r="J346" t="s">
        <v>609</v>
      </c>
      <c r="K346" t="s">
        <v>1265</v>
      </c>
      <c r="L346" t="s">
        <v>1327</v>
      </c>
      <c r="M346" t="s">
        <v>57</v>
      </c>
      <c r="N346" s="2"/>
      <c r="O346" s="4"/>
    </row>
    <row r="347" spans="1:15" ht="12.75" customHeight="1" x14ac:dyDescent="0.25">
      <c r="A347" s="380">
        <v>874271</v>
      </c>
      <c r="B347" t="s">
        <v>454</v>
      </c>
      <c r="C347" s="352">
        <v>912</v>
      </c>
      <c r="D347" s="352">
        <v>1272</v>
      </c>
      <c r="E347" s="352">
        <v>2184</v>
      </c>
      <c r="F347" s="352">
        <v>53717734</v>
      </c>
      <c r="G347" s="352">
        <v>96909878</v>
      </c>
      <c r="H347" s="352">
        <v>150627613</v>
      </c>
      <c r="I347" s="352">
        <v>818008</v>
      </c>
      <c r="J347" t="s">
        <v>617</v>
      </c>
      <c r="K347" t="s">
        <v>1265</v>
      </c>
      <c r="L347" t="s">
        <v>1278</v>
      </c>
      <c r="M347" t="s">
        <v>57</v>
      </c>
      <c r="N347" s="2"/>
      <c r="O347" s="4"/>
    </row>
    <row r="348" spans="1:15" ht="12.75" customHeight="1" x14ac:dyDescent="0.25">
      <c r="A348" s="380">
        <v>443721</v>
      </c>
      <c r="B348" t="s">
        <v>168</v>
      </c>
      <c r="C348" s="352">
        <v>961</v>
      </c>
      <c r="D348" s="352">
        <v>1200</v>
      </c>
      <c r="E348" s="352">
        <v>2161</v>
      </c>
      <c r="F348" s="352">
        <v>51339353</v>
      </c>
      <c r="G348" s="352">
        <v>90130132</v>
      </c>
      <c r="H348" s="352">
        <v>141469485</v>
      </c>
      <c r="I348" s="352">
        <v>10221176</v>
      </c>
      <c r="J348" t="s">
        <v>604</v>
      </c>
      <c r="K348" t="s">
        <v>1266</v>
      </c>
      <c r="L348" t="s">
        <v>170</v>
      </c>
      <c r="M348" t="s">
        <v>57</v>
      </c>
      <c r="N348" s="2"/>
      <c r="O348" s="4"/>
    </row>
    <row r="349" spans="1:15" ht="12.75" customHeight="1" x14ac:dyDescent="0.25">
      <c r="A349" s="380">
        <v>182584</v>
      </c>
      <c r="B349" t="s">
        <v>403</v>
      </c>
      <c r="C349" s="352">
        <v>1011</v>
      </c>
      <c r="D349" s="352">
        <v>1148</v>
      </c>
      <c r="E349" s="352">
        <v>2159</v>
      </c>
      <c r="F349" s="352">
        <v>65036156</v>
      </c>
      <c r="G349" s="352">
        <v>85176906</v>
      </c>
      <c r="H349" s="352">
        <v>150213062</v>
      </c>
      <c r="I349" s="352">
        <v>729332</v>
      </c>
      <c r="J349" t="s">
        <v>244</v>
      </c>
      <c r="K349" t="s">
        <v>1265</v>
      </c>
      <c r="L349" t="s">
        <v>404</v>
      </c>
      <c r="M349" t="s">
        <v>57</v>
      </c>
      <c r="N349" s="2"/>
      <c r="O349" s="4"/>
    </row>
    <row r="350" spans="1:15" ht="12.75" customHeight="1" x14ac:dyDescent="0.25">
      <c r="A350" s="380">
        <v>825274</v>
      </c>
      <c r="B350" t="s">
        <v>1218</v>
      </c>
      <c r="C350" s="352">
        <v>977</v>
      </c>
      <c r="D350" s="352">
        <v>1168</v>
      </c>
      <c r="E350" s="352">
        <v>2145</v>
      </c>
      <c r="F350" s="352">
        <v>45416966</v>
      </c>
      <c r="G350" s="352">
        <v>71798876</v>
      </c>
      <c r="H350" s="352">
        <v>117215842</v>
      </c>
      <c r="I350" s="352">
        <v>1667437</v>
      </c>
      <c r="J350" t="s">
        <v>588</v>
      </c>
      <c r="K350" t="s">
        <v>1262</v>
      </c>
      <c r="L350" t="s">
        <v>303</v>
      </c>
      <c r="M350" t="s">
        <v>136</v>
      </c>
      <c r="N350" s="2"/>
      <c r="O350" s="4"/>
    </row>
    <row r="351" spans="1:15" ht="12.75" customHeight="1" x14ac:dyDescent="0.25">
      <c r="A351" s="380">
        <v>330746</v>
      </c>
      <c r="B351" t="s">
        <v>145</v>
      </c>
      <c r="C351" s="352">
        <v>1068</v>
      </c>
      <c r="D351" s="352">
        <v>1063</v>
      </c>
      <c r="E351" s="352">
        <v>2131</v>
      </c>
      <c r="F351" s="352">
        <v>41465680</v>
      </c>
      <c r="G351" s="352">
        <v>61204819</v>
      </c>
      <c r="H351" s="352">
        <v>102670499</v>
      </c>
      <c r="I351" s="352">
        <v>2776649</v>
      </c>
      <c r="J351" t="s">
        <v>601</v>
      </c>
      <c r="K351" t="s">
        <v>1266</v>
      </c>
      <c r="L351" t="s">
        <v>1269</v>
      </c>
      <c r="M351" t="s">
        <v>136</v>
      </c>
      <c r="N351" s="2"/>
      <c r="O351" s="4"/>
    </row>
    <row r="352" spans="1:15" ht="12.75" customHeight="1" x14ac:dyDescent="0.25">
      <c r="A352" s="380">
        <v>294918</v>
      </c>
      <c r="B352" t="s">
        <v>1247</v>
      </c>
      <c r="C352" s="352">
        <v>926</v>
      </c>
      <c r="D352" s="352">
        <v>1187</v>
      </c>
      <c r="E352" s="352">
        <v>2113</v>
      </c>
      <c r="F352" s="352">
        <v>52012932</v>
      </c>
      <c r="G352" s="352">
        <v>86155821</v>
      </c>
      <c r="H352" s="352">
        <v>138168752</v>
      </c>
      <c r="I352" s="352">
        <v>80061</v>
      </c>
      <c r="J352" t="s">
        <v>593</v>
      </c>
      <c r="K352" t="s">
        <v>1266</v>
      </c>
      <c r="L352" t="s">
        <v>1269</v>
      </c>
      <c r="M352" t="s">
        <v>136</v>
      </c>
      <c r="N352" s="2"/>
      <c r="O352" s="4"/>
    </row>
    <row r="353" spans="1:15" ht="12.75" customHeight="1" x14ac:dyDescent="0.25">
      <c r="A353" s="380">
        <v>178624</v>
      </c>
      <c r="B353" t="s">
        <v>1255</v>
      </c>
      <c r="C353" s="352">
        <v>829</v>
      </c>
      <c r="D353" s="352">
        <v>1242</v>
      </c>
      <c r="E353" s="352">
        <v>2071</v>
      </c>
      <c r="F353" s="352">
        <v>41907654</v>
      </c>
      <c r="G353" s="352">
        <v>75419220</v>
      </c>
      <c r="H353" s="352">
        <v>117326874</v>
      </c>
      <c r="I353" s="352">
        <v>-5307570</v>
      </c>
      <c r="J353" t="s">
        <v>587</v>
      </c>
      <c r="K353" t="s">
        <v>1262</v>
      </c>
      <c r="L353" t="s">
        <v>1279</v>
      </c>
      <c r="M353" t="s">
        <v>57</v>
      </c>
      <c r="N353" s="2"/>
      <c r="O353" s="4"/>
    </row>
    <row r="354" spans="1:15" ht="12.75" customHeight="1" x14ac:dyDescent="0.25">
      <c r="A354" s="380">
        <v>235291</v>
      </c>
      <c r="B354" t="s">
        <v>380</v>
      </c>
      <c r="C354" s="352">
        <v>919</v>
      </c>
      <c r="D354" s="352">
        <v>1149</v>
      </c>
      <c r="E354" s="352">
        <v>2068</v>
      </c>
      <c r="F354" s="352">
        <v>31143171</v>
      </c>
      <c r="G354" s="352">
        <v>49481793</v>
      </c>
      <c r="H354" s="352">
        <v>80624964</v>
      </c>
      <c r="I354" s="352">
        <v>-696310</v>
      </c>
      <c r="J354" t="s">
        <v>272</v>
      </c>
      <c r="K354" t="s">
        <v>1265</v>
      </c>
      <c r="L354" t="s">
        <v>1327</v>
      </c>
      <c r="M354" t="s">
        <v>57</v>
      </c>
      <c r="N354" s="2"/>
      <c r="O354" s="4"/>
    </row>
    <row r="355" spans="1:15" ht="12.75" customHeight="1" x14ac:dyDescent="0.25">
      <c r="A355" s="380">
        <v>900894</v>
      </c>
      <c r="B355" t="s">
        <v>1296</v>
      </c>
      <c r="C355" s="352">
        <v>870</v>
      </c>
      <c r="D355" s="352">
        <v>1172</v>
      </c>
      <c r="E355" s="352">
        <v>2042</v>
      </c>
      <c r="F355" s="352">
        <v>51696594</v>
      </c>
      <c r="G355" s="352">
        <v>80902950</v>
      </c>
      <c r="H355" s="352">
        <v>132599544</v>
      </c>
      <c r="I355" s="352">
        <v>630003</v>
      </c>
      <c r="J355" t="s">
        <v>604</v>
      </c>
      <c r="K355" t="s">
        <v>1266</v>
      </c>
      <c r="L355" t="s">
        <v>1281</v>
      </c>
      <c r="M355" t="s">
        <v>57</v>
      </c>
      <c r="N355" s="2"/>
      <c r="O355" s="4"/>
    </row>
    <row r="356" spans="1:15" ht="12.75" customHeight="1" x14ac:dyDescent="0.25">
      <c r="A356" s="380">
        <v>795054</v>
      </c>
      <c r="B356" t="s">
        <v>447</v>
      </c>
      <c r="C356" s="352">
        <v>788</v>
      </c>
      <c r="D356" s="352">
        <v>1189</v>
      </c>
      <c r="E356" s="352">
        <v>1977</v>
      </c>
      <c r="F356" s="352">
        <v>38145368</v>
      </c>
      <c r="G356" s="352">
        <v>68182099</v>
      </c>
      <c r="H356" s="352">
        <v>106327467</v>
      </c>
      <c r="I356" s="352">
        <v>210236</v>
      </c>
      <c r="J356" t="s">
        <v>609</v>
      </c>
      <c r="K356" t="s">
        <v>1265</v>
      </c>
      <c r="L356" t="s">
        <v>1272</v>
      </c>
      <c r="M356" t="s">
        <v>57</v>
      </c>
      <c r="N356" s="2"/>
      <c r="O356" s="4"/>
    </row>
    <row r="357" spans="1:15" ht="12.75" customHeight="1" x14ac:dyDescent="0.25">
      <c r="A357" s="380">
        <v>265512</v>
      </c>
      <c r="B357" t="s">
        <v>155</v>
      </c>
      <c r="C357" s="352">
        <v>820</v>
      </c>
      <c r="D357" s="352">
        <v>1132</v>
      </c>
      <c r="E357" s="352">
        <v>1952</v>
      </c>
      <c r="F357" s="352">
        <v>66183643</v>
      </c>
      <c r="G357" s="352">
        <v>136005663</v>
      </c>
      <c r="H357" s="352">
        <v>202189306</v>
      </c>
      <c r="I357" s="352">
        <v>15821625</v>
      </c>
      <c r="J357" t="s">
        <v>601</v>
      </c>
      <c r="K357" t="s">
        <v>1266</v>
      </c>
      <c r="L357" t="s">
        <v>144</v>
      </c>
      <c r="M357" t="s">
        <v>136</v>
      </c>
      <c r="N357" s="2"/>
      <c r="O357" s="4"/>
    </row>
    <row r="358" spans="1:15" ht="12.75" customHeight="1" x14ac:dyDescent="0.25">
      <c r="A358" s="380">
        <v>996348</v>
      </c>
      <c r="B358" t="s">
        <v>497</v>
      </c>
      <c r="C358" s="352">
        <v>1008</v>
      </c>
      <c r="D358" s="352">
        <v>937</v>
      </c>
      <c r="E358" s="352">
        <v>1945</v>
      </c>
      <c r="F358" s="352">
        <v>41041080</v>
      </c>
      <c r="G358" s="352">
        <v>46606153</v>
      </c>
      <c r="H358" s="352">
        <v>87647233</v>
      </c>
      <c r="I358" s="352">
        <v>510487</v>
      </c>
      <c r="J358" t="s">
        <v>588</v>
      </c>
      <c r="K358" t="s">
        <v>1262</v>
      </c>
      <c r="L358" t="s">
        <v>1330</v>
      </c>
      <c r="M358" t="s">
        <v>57</v>
      </c>
      <c r="N358" s="2"/>
      <c r="O358" s="4"/>
    </row>
    <row r="359" spans="1:15" ht="12.75" customHeight="1" x14ac:dyDescent="0.25">
      <c r="A359" s="380">
        <v>555102</v>
      </c>
      <c r="B359" t="s">
        <v>1243</v>
      </c>
      <c r="C359" s="352">
        <v>966</v>
      </c>
      <c r="D359" s="352">
        <v>951</v>
      </c>
      <c r="E359" s="352">
        <v>1917</v>
      </c>
      <c r="F359" s="352">
        <v>179955302</v>
      </c>
      <c r="G359" s="352">
        <v>189119059</v>
      </c>
      <c r="H359" s="352">
        <v>369074361</v>
      </c>
      <c r="I359" s="352">
        <v>3585008</v>
      </c>
      <c r="J359" t="s">
        <v>154</v>
      </c>
      <c r="K359" t="s">
        <v>1265</v>
      </c>
      <c r="L359" t="s">
        <v>1289</v>
      </c>
      <c r="M359" t="s">
        <v>57</v>
      </c>
      <c r="N359" s="2"/>
      <c r="O359" s="4"/>
    </row>
    <row r="360" spans="1:15" ht="12.75" customHeight="1" x14ac:dyDescent="0.25">
      <c r="A360" s="380">
        <v>529016</v>
      </c>
      <c r="B360" t="s">
        <v>382</v>
      </c>
      <c r="C360" s="352">
        <v>850</v>
      </c>
      <c r="D360" s="352">
        <v>1061</v>
      </c>
      <c r="E360" s="352">
        <v>1911</v>
      </c>
      <c r="F360" s="352">
        <v>36014331</v>
      </c>
      <c r="G360" s="352">
        <v>51324150</v>
      </c>
      <c r="H360" s="352">
        <v>87338481</v>
      </c>
      <c r="I360" s="352">
        <v>758486</v>
      </c>
      <c r="J360" t="s">
        <v>178</v>
      </c>
      <c r="K360" t="s">
        <v>1265</v>
      </c>
      <c r="L360" t="s">
        <v>1273</v>
      </c>
      <c r="M360" t="s">
        <v>57</v>
      </c>
      <c r="N360" s="2"/>
      <c r="O360" s="4"/>
    </row>
    <row r="361" spans="1:15" ht="12.75" customHeight="1" x14ac:dyDescent="0.25">
      <c r="A361" s="380">
        <v>844100</v>
      </c>
      <c r="B361" t="s">
        <v>1207</v>
      </c>
      <c r="C361" s="352">
        <v>907</v>
      </c>
      <c r="D361" s="352">
        <v>958</v>
      </c>
      <c r="E361" s="352">
        <v>1865</v>
      </c>
      <c r="F361" s="352">
        <v>37778947</v>
      </c>
      <c r="G361" s="352">
        <v>55355197</v>
      </c>
      <c r="H361" s="352">
        <v>93134144</v>
      </c>
      <c r="I361" s="352">
        <v>4262885</v>
      </c>
      <c r="J361" t="s">
        <v>601</v>
      </c>
      <c r="K361" t="s">
        <v>1266</v>
      </c>
      <c r="L361" t="s">
        <v>1269</v>
      </c>
      <c r="M361" t="s">
        <v>136</v>
      </c>
      <c r="N361" s="2"/>
      <c r="O361" s="4"/>
    </row>
    <row r="362" spans="1:15" ht="12.75" customHeight="1" x14ac:dyDescent="0.25">
      <c r="A362" s="380">
        <v>570630</v>
      </c>
      <c r="B362" t="s">
        <v>255</v>
      </c>
      <c r="C362" s="352">
        <v>1073</v>
      </c>
      <c r="D362" s="352">
        <v>705</v>
      </c>
      <c r="E362" s="352">
        <v>1778</v>
      </c>
      <c r="F362" s="352">
        <v>48440976</v>
      </c>
      <c r="G362" s="352">
        <v>38369316</v>
      </c>
      <c r="H362" s="352">
        <v>86810291</v>
      </c>
      <c r="I362" s="352">
        <v>1482660</v>
      </c>
      <c r="J362" t="s">
        <v>178</v>
      </c>
      <c r="K362" t="s">
        <v>1265</v>
      </c>
      <c r="L362" t="s">
        <v>1269</v>
      </c>
      <c r="M362" t="s">
        <v>136</v>
      </c>
      <c r="N362" s="2"/>
      <c r="O362" s="4"/>
    </row>
    <row r="363" spans="1:15" ht="12.75" customHeight="1" x14ac:dyDescent="0.25">
      <c r="A363" s="380">
        <v>785907</v>
      </c>
      <c r="B363" t="s">
        <v>217</v>
      </c>
      <c r="C363" s="352">
        <v>864</v>
      </c>
      <c r="D363" s="352">
        <v>907</v>
      </c>
      <c r="E363" s="352">
        <v>1771</v>
      </c>
      <c r="F363" s="352">
        <v>65932972</v>
      </c>
      <c r="G363" s="352">
        <v>82679531</v>
      </c>
      <c r="H363" s="352">
        <v>148612503</v>
      </c>
      <c r="I363" s="352">
        <v>3867314</v>
      </c>
      <c r="J363" t="s">
        <v>154</v>
      </c>
      <c r="K363" t="s">
        <v>1265</v>
      </c>
      <c r="L363" t="s">
        <v>537</v>
      </c>
      <c r="M363" t="s">
        <v>136</v>
      </c>
      <c r="N363" s="2"/>
      <c r="O363" s="4"/>
    </row>
    <row r="364" spans="1:15" ht="12.75" customHeight="1" x14ac:dyDescent="0.25">
      <c r="A364" s="380">
        <v>764951</v>
      </c>
      <c r="B364" t="s">
        <v>1314</v>
      </c>
      <c r="C364" s="352">
        <v>802</v>
      </c>
      <c r="D364" s="352">
        <v>955</v>
      </c>
      <c r="E364" s="352">
        <v>1757</v>
      </c>
      <c r="F364" s="352">
        <v>35219792</v>
      </c>
      <c r="G364" s="352">
        <v>51063412</v>
      </c>
      <c r="H364" s="352">
        <v>86283203</v>
      </c>
      <c r="I364" s="352">
        <v>585284</v>
      </c>
      <c r="J364" t="s">
        <v>178</v>
      </c>
      <c r="K364" t="s">
        <v>1265</v>
      </c>
      <c r="L364" t="s">
        <v>164</v>
      </c>
      <c r="M364" t="s">
        <v>57</v>
      </c>
      <c r="N364" s="2"/>
      <c r="O364" s="4"/>
    </row>
    <row r="365" spans="1:15" ht="12.75" customHeight="1" x14ac:dyDescent="0.25">
      <c r="A365" s="380">
        <v>118000</v>
      </c>
      <c r="B365" t="s">
        <v>331</v>
      </c>
      <c r="C365" s="352">
        <v>465</v>
      </c>
      <c r="D365" s="352">
        <v>1279</v>
      </c>
      <c r="E365" s="352">
        <v>1744</v>
      </c>
      <c r="F365" s="352">
        <v>14729627</v>
      </c>
      <c r="G365" s="352">
        <v>45163520</v>
      </c>
      <c r="H365" s="352">
        <v>59893148</v>
      </c>
      <c r="I365" s="352">
        <v>1224121</v>
      </c>
      <c r="J365" t="s">
        <v>154</v>
      </c>
      <c r="K365" t="s">
        <v>1265</v>
      </c>
      <c r="L365" t="s">
        <v>1274</v>
      </c>
      <c r="M365" t="s">
        <v>57</v>
      </c>
      <c r="N365" s="2"/>
      <c r="O365" s="4"/>
    </row>
    <row r="366" spans="1:15" ht="12.75" customHeight="1" x14ac:dyDescent="0.25">
      <c r="A366" s="380">
        <v>577833</v>
      </c>
      <c r="B366" t="s">
        <v>221</v>
      </c>
      <c r="C366" s="352">
        <v>772</v>
      </c>
      <c r="D366" s="352">
        <v>922</v>
      </c>
      <c r="E366" s="352">
        <v>1694</v>
      </c>
      <c r="F366" s="352">
        <v>44919494</v>
      </c>
      <c r="G366" s="352">
        <v>62159634</v>
      </c>
      <c r="H366" s="352">
        <v>107079127</v>
      </c>
      <c r="I366" s="352">
        <v>933244</v>
      </c>
      <c r="J366" t="s">
        <v>182</v>
      </c>
      <c r="K366" t="s">
        <v>1265</v>
      </c>
      <c r="L366" t="s">
        <v>1269</v>
      </c>
      <c r="M366" t="s">
        <v>136</v>
      </c>
      <c r="N366" s="2"/>
      <c r="O366" s="4"/>
    </row>
    <row r="367" spans="1:15" ht="12.75" customHeight="1" x14ac:dyDescent="0.25">
      <c r="A367" s="380">
        <v>882530</v>
      </c>
      <c r="B367" t="s">
        <v>1353</v>
      </c>
      <c r="C367" s="352">
        <v>655</v>
      </c>
      <c r="D367" s="352">
        <v>1007</v>
      </c>
      <c r="E367" s="352">
        <v>1662</v>
      </c>
      <c r="F367" s="352">
        <v>31679742</v>
      </c>
      <c r="G367" s="352">
        <v>56489351</v>
      </c>
      <c r="H367" s="352">
        <v>88169093</v>
      </c>
      <c r="I367" s="352">
        <v>1083687</v>
      </c>
      <c r="J367" t="s">
        <v>608</v>
      </c>
      <c r="K367" t="s">
        <v>1265</v>
      </c>
      <c r="L367" t="s">
        <v>1268</v>
      </c>
      <c r="M367" t="s">
        <v>57</v>
      </c>
      <c r="N367" s="2"/>
      <c r="O367" s="4"/>
    </row>
    <row r="368" spans="1:15" ht="12.75" customHeight="1" x14ac:dyDescent="0.25">
      <c r="A368" s="380">
        <v>420463</v>
      </c>
      <c r="B368" t="s">
        <v>116</v>
      </c>
      <c r="C368" s="352">
        <v>704</v>
      </c>
      <c r="D368" s="352">
        <v>941</v>
      </c>
      <c r="E368" s="352">
        <v>1645</v>
      </c>
      <c r="F368" s="352">
        <v>55281899</v>
      </c>
      <c r="G368" s="352">
        <v>88024816</v>
      </c>
      <c r="H368" s="352">
        <v>143306715</v>
      </c>
      <c r="I368" s="352">
        <v>5860645</v>
      </c>
      <c r="J368" t="s">
        <v>208</v>
      </c>
      <c r="K368" t="s">
        <v>1265</v>
      </c>
      <c r="L368" t="s">
        <v>164</v>
      </c>
      <c r="M368" t="s">
        <v>57</v>
      </c>
      <c r="N368" s="2"/>
      <c r="O368" s="4"/>
    </row>
    <row r="369" spans="1:15" ht="12.75" customHeight="1" x14ac:dyDescent="0.25">
      <c r="A369" s="380">
        <v>233460</v>
      </c>
      <c r="B369" t="s">
        <v>1329</v>
      </c>
      <c r="C369" s="352">
        <v>598</v>
      </c>
      <c r="D369" s="352">
        <v>1028</v>
      </c>
      <c r="E369" s="352">
        <v>1626</v>
      </c>
      <c r="F369" s="352">
        <v>42389437</v>
      </c>
      <c r="G369" s="352">
        <v>88391291</v>
      </c>
      <c r="H369" s="352">
        <v>130780728</v>
      </c>
      <c r="I369" s="352">
        <v>6851370</v>
      </c>
      <c r="J369" t="s">
        <v>617</v>
      </c>
      <c r="K369" t="s">
        <v>1265</v>
      </c>
      <c r="L369" t="s">
        <v>1268</v>
      </c>
      <c r="M369" t="s">
        <v>57</v>
      </c>
      <c r="N369" s="2"/>
      <c r="O369" s="4"/>
    </row>
    <row r="370" spans="1:15" ht="12.75" customHeight="1" x14ac:dyDescent="0.25">
      <c r="A370" s="380">
        <v>563254</v>
      </c>
      <c r="B370" t="s">
        <v>363</v>
      </c>
      <c r="C370" s="352">
        <v>808</v>
      </c>
      <c r="D370" s="352">
        <v>818</v>
      </c>
      <c r="E370" s="352">
        <v>1626</v>
      </c>
      <c r="F370" s="352">
        <v>38791406</v>
      </c>
      <c r="G370" s="352">
        <v>47999998</v>
      </c>
      <c r="H370" s="352">
        <v>86791403</v>
      </c>
      <c r="I370" s="352">
        <v>738696</v>
      </c>
      <c r="J370" t="s">
        <v>608</v>
      </c>
      <c r="K370" t="s">
        <v>1265</v>
      </c>
      <c r="L370" t="s">
        <v>1325</v>
      </c>
      <c r="M370" t="s">
        <v>57</v>
      </c>
      <c r="N370" s="2"/>
      <c r="O370" s="4"/>
    </row>
    <row r="371" spans="1:15" ht="12.75" customHeight="1" x14ac:dyDescent="0.25">
      <c r="A371" s="380">
        <v>189258</v>
      </c>
      <c r="B371" t="s">
        <v>437</v>
      </c>
      <c r="C371" s="352">
        <v>638</v>
      </c>
      <c r="D371" s="352">
        <v>987</v>
      </c>
      <c r="E371" s="352">
        <v>1625</v>
      </c>
      <c r="F371" s="352">
        <v>32535025</v>
      </c>
      <c r="G371" s="352">
        <v>63483711</v>
      </c>
      <c r="H371" s="352">
        <v>96018736</v>
      </c>
      <c r="I371" s="352">
        <v>2665717</v>
      </c>
      <c r="J371" t="s">
        <v>606</v>
      </c>
      <c r="K371" t="s">
        <v>1265</v>
      </c>
      <c r="L371" t="s">
        <v>1278</v>
      </c>
      <c r="M371" t="s">
        <v>57</v>
      </c>
      <c r="N371" s="2"/>
      <c r="O371" s="4"/>
    </row>
    <row r="372" spans="1:15" ht="12.75" customHeight="1" x14ac:dyDescent="0.25">
      <c r="A372" s="380">
        <v>912220</v>
      </c>
      <c r="B372" t="s">
        <v>1316</v>
      </c>
      <c r="C372" s="352">
        <v>733</v>
      </c>
      <c r="D372" s="352">
        <v>871</v>
      </c>
      <c r="E372" s="352">
        <v>1604</v>
      </c>
      <c r="F372" s="352">
        <v>50919596</v>
      </c>
      <c r="G372" s="352">
        <v>69117402</v>
      </c>
      <c r="H372" s="352">
        <v>120036998</v>
      </c>
      <c r="I372" s="352">
        <v>1462192</v>
      </c>
      <c r="J372" t="s">
        <v>154</v>
      </c>
      <c r="K372" t="s">
        <v>1265</v>
      </c>
      <c r="L372" t="s">
        <v>152</v>
      </c>
      <c r="M372" t="s">
        <v>136</v>
      </c>
      <c r="N372" s="2"/>
      <c r="O372" s="4"/>
    </row>
    <row r="373" spans="1:15" ht="12.75" customHeight="1" x14ac:dyDescent="0.25">
      <c r="A373" s="380">
        <v>927632</v>
      </c>
      <c r="B373" t="s">
        <v>1156</v>
      </c>
      <c r="C373" s="352">
        <v>860</v>
      </c>
      <c r="D373" s="352">
        <v>741</v>
      </c>
      <c r="E373" s="352">
        <v>1601</v>
      </c>
      <c r="F373" s="352">
        <v>104692574</v>
      </c>
      <c r="G373" s="352">
        <v>96685873</v>
      </c>
      <c r="H373" s="352">
        <v>201378448</v>
      </c>
      <c r="I373" s="352">
        <v>1176018</v>
      </c>
      <c r="J373" t="s">
        <v>602</v>
      </c>
      <c r="K373" t="s">
        <v>1262</v>
      </c>
      <c r="L373" t="s">
        <v>1277</v>
      </c>
      <c r="M373" t="s">
        <v>57</v>
      </c>
      <c r="N373" s="2"/>
      <c r="O373" s="4"/>
    </row>
    <row r="374" spans="1:15" ht="12.75" customHeight="1" x14ac:dyDescent="0.25">
      <c r="A374" s="380">
        <v>232991</v>
      </c>
      <c r="B374" t="s">
        <v>377</v>
      </c>
      <c r="C374" s="352">
        <v>648</v>
      </c>
      <c r="D374" s="352">
        <v>942</v>
      </c>
      <c r="E374" s="352">
        <v>1590</v>
      </c>
      <c r="F374" s="352">
        <v>27122809</v>
      </c>
      <c r="G374" s="352">
        <v>48293041</v>
      </c>
      <c r="H374" s="352">
        <v>75415850</v>
      </c>
      <c r="I374" s="352">
        <v>-1649518</v>
      </c>
      <c r="J374" t="s">
        <v>228</v>
      </c>
      <c r="K374" t="s">
        <v>1265</v>
      </c>
      <c r="L374" t="s">
        <v>279</v>
      </c>
      <c r="M374" t="s">
        <v>57</v>
      </c>
      <c r="N374" s="2"/>
      <c r="O374" s="4"/>
    </row>
    <row r="375" spans="1:15" ht="12.75" customHeight="1" x14ac:dyDescent="0.25">
      <c r="A375" s="380">
        <v>125856</v>
      </c>
      <c r="B375" t="s">
        <v>644</v>
      </c>
      <c r="C375" s="352">
        <v>612</v>
      </c>
      <c r="D375" s="352">
        <v>975</v>
      </c>
      <c r="E375" s="352">
        <v>1587</v>
      </c>
      <c r="F375" s="352">
        <v>21040286</v>
      </c>
      <c r="G375" s="352">
        <v>39691528</v>
      </c>
      <c r="H375" s="352">
        <v>60731814</v>
      </c>
      <c r="I375" s="352">
        <v>604224</v>
      </c>
      <c r="J375" t="s">
        <v>178</v>
      </c>
      <c r="K375" t="s">
        <v>1265</v>
      </c>
      <c r="L375" t="s">
        <v>1268</v>
      </c>
      <c r="M375" t="s">
        <v>57</v>
      </c>
      <c r="N375" s="2"/>
      <c r="O375" s="4"/>
    </row>
    <row r="376" spans="1:15" ht="12.75" customHeight="1" x14ac:dyDescent="0.25">
      <c r="A376" s="380">
        <v>204891</v>
      </c>
      <c r="B376" t="s">
        <v>1328</v>
      </c>
      <c r="C376" s="352">
        <v>663</v>
      </c>
      <c r="D376" s="352">
        <v>904</v>
      </c>
      <c r="E376" s="352">
        <v>1567</v>
      </c>
      <c r="F376" s="352">
        <v>23549122</v>
      </c>
      <c r="G376" s="352">
        <v>39870404</v>
      </c>
      <c r="H376" s="352">
        <v>63419526</v>
      </c>
      <c r="I376" s="352">
        <v>-436068</v>
      </c>
      <c r="J376" t="s">
        <v>272</v>
      </c>
      <c r="K376" t="s">
        <v>1265</v>
      </c>
      <c r="L376" t="s">
        <v>1268</v>
      </c>
      <c r="M376" t="s">
        <v>57</v>
      </c>
      <c r="N376" s="2"/>
      <c r="O376" s="4"/>
    </row>
    <row r="377" spans="1:15" ht="12.75" customHeight="1" x14ac:dyDescent="0.25">
      <c r="A377" s="380">
        <v>794115</v>
      </c>
      <c r="B377" t="s">
        <v>359</v>
      </c>
      <c r="C377" s="352">
        <v>755</v>
      </c>
      <c r="D377" s="352">
        <v>802</v>
      </c>
      <c r="E377" s="352">
        <v>1557</v>
      </c>
      <c r="F377" s="352">
        <v>30239971</v>
      </c>
      <c r="G377" s="352">
        <v>37399540</v>
      </c>
      <c r="H377" s="352">
        <v>67639511</v>
      </c>
      <c r="I377" s="352">
        <v>-313827</v>
      </c>
      <c r="J377" t="s">
        <v>587</v>
      </c>
      <c r="K377" t="s">
        <v>1262</v>
      </c>
      <c r="L377" t="s">
        <v>1273</v>
      </c>
      <c r="M377" t="s">
        <v>57</v>
      </c>
      <c r="N377" s="2"/>
      <c r="O377" s="4"/>
    </row>
    <row r="378" spans="1:15" ht="12.75" customHeight="1" x14ac:dyDescent="0.25">
      <c r="A378" s="380">
        <v>197632</v>
      </c>
      <c r="B378" t="s">
        <v>425</v>
      </c>
      <c r="C378" s="352">
        <v>555</v>
      </c>
      <c r="D378" s="352">
        <v>995</v>
      </c>
      <c r="E378" s="352">
        <v>1550</v>
      </c>
      <c r="F378" s="352">
        <v>29397009</v>
      </c>
      <c r="G378" s="352">
        <v>67015933</v>
      </c>
      <c r="H378" s="352">
        <v>96412942</v>
      </c>
      <c r="I378" s="352">
        <v>727138</v>
      </c>
      <c r="J378" t="s">
        <v>259</v>
      </c>
      <c r="K378" t="s">
        <v>1265</v>
      </c>
      <c r="L378" t="s">
        <v>1268</v>
      </c>
      <c r="M378" t="s">
        <v>57</v>
      </c>
      <c r="N378" s="2"/>
      <c r="O378" s="4"/>
    </row>
    <row r="379" spans="1:15" ht="12.75" customHeight="1" x14ac:dyDescent="0.25">
      <c r="A379" s="380">
        <v>470104</v>
      </c>
      <c r="B379" t="s">
        <v>621</v>
      </c>
      <c r="C379" s="352">
        <v>540</v>
      </c>
      <c r="D379" s="352">
        <v>1009</v>
      </c>
      <c r="E379" s="352">
        <v>1549</v>
      </c>
      <c r="F379" s="352">
        <v>21917764</v>
      </c>
      <c r="G379" s="352">
        <v>56521630</v>
      </c>
      <c r="H379" s="352">
        <v>78439394</v>
      </c>
      <c r="I379" s="352">
        <v>387440</v>
      </c>
      <c r="J379" t="s">
        <v>167</v>
      </c>
      <c r="K379" t="s">
        <v>1265</v>
      </c>
      <c r="L379" t="s">
        <v>149</v>
      </c>
      <c r="M379" t="s">
        <v>136</v>
      </c>
      <c r="N379" s="2"/>
      <c r="O379" s="4"/>
    </row>
    <row r="380" spans="1:15" ht="12.75" customHeight="1" x14ac:dyDescent="0.25">
      <c r="A380" s="380">
        <v>571695</v>
      </c>
      <c r="B380" t="s">
        <v>292</v>
      </c>
      <c r="C380" s="352">
        <v>857</v>
      </c>
      <c r="D380" s="352">
        <v>688</v>
      </c>
      <c r="E380" s="352">
        <v>1545</v>
      </c>
      <c r="F380" s="352">
        <v>32126473</v>
      </c>
      <c r="G380" s="352">
        <v>31087712</v>
      </c>
      <c r="H380" s="352">
        <v>63214185</v>
      </c>
      <c r="I380" s="352">
        <v>-190714</v>
      </c>
      <c r="J380" t="s">
        <v>178</v>
      </c>
      <c r="K380" t="s">
        <v>1265</v>
      </c>
      <c r="L380" t="s">
        <v>468</v>
      </c>
      <c r="M380" t="s">
        <v>57</v>
      </c>
      <c r="N380" s="2"/>
      <c r="O380" s="4"/>
    </row>
    <row r="381" spans="1:15" ht="12.75" customHeight="1" x14ac:dyDescent="0.25">
      <c r="A381" s="380">
        <v>331686</v>
      </c>
      <c r="B381" t="s">
        <v>1336</v>
      </c>
      <c r="C381" s="352">
        <v>653</v>
      </c>
      <c r="D381" s="352">
        <v>870</v>
      </c>
      <c r="E381" s="352">
        <v>1523</v>
      </c>
      <c r="F381" s="352">
        <v>31055368</v>
      </c>
      <c r="G381" s="352">
        <v>57271502</v>
      </c>
      <c r="H381" s="352">
        <v>88326870</v>
      </c>
      <c r="I381" s="352">
        <v>41497</v>
      </c>
      <c r="J381" t="s">
        <v>605</v>
      </c>
      <c r="K381" t="s">
        <v>1266</v>
      </c>
      <c r="L381" t="s">
        <v>152</v>
      </c>
      <c r="M381" t="s">
        <v>136</v>
      </c>
      <c r="N381" s="2"/>
      <c r="O381" s="4"/>
    </row>
    <row r="382" spans="1:15" ht="12.75" customHeight="1" x14ac:dyDescent="0.25">
      <c r="A382" s="380">
        <v>203182</v>
      </c>
      <c r="B382" t="s">
        <v>600</v>
      </c>
      <c r="C382" s="352">
        <v>595</v>
      </c>
      <c r="D382" s="352">
        <v>918</v>
      </c>
      <c r="E382" s="352">
        <v>1513</v>
      </c>
      <c r="F382" s="352">
        <v>29901038</v>
      </c>
      <c r="G382" s="352">
        <v>57060670</v>
      </c>
      <c r="H382" s="352">
        <v>86961709</v>
      </c>
      <c r="I382" s="352">
        <v>2258662</v>
      </c>
      <c r="J382" t="s">
        <v>167</v>
      </c>
      <c r="K382" t="s">
        <v>1265</v>
      </c>
      <c r="L382" t="s">
        <v>161</v>
      </c>
      <c r="M382" t="s">
        <v>136</v>
      </c>
      <c r="N382" s="2"/>
      <c r="O382" s="4"/>
    </row>
    <row r="383" spans="1:15" ht="12.75" customHeight="1" x14ac:dyDescent="0.25">
      <c r="A383" s="380">
        <v>214163</v>
      </c>
      <c r="B383" t="s">
        <v>159</v>
      </c>
      <c r="C383" s="352">
        <v>707</v>
      </c>
      <c r="D383" s="352">
        <v>803</v>
      </c>
      <c r="E383" s="352">
        <v>1510</v>
      </c>
      <c r="F383" s="352">
        <v>44225757</v>
      </c>
      <c r="G383" s="352">
        <v>73621418</v>
      </c>
      <c r="H383" s="352">
        <v>117847175</v>
      </c>
      <c r="I383" s="352">
        <v>2763382</v>
      </c>
      <c r="J383" t="s">
        <v>593</v>
      </c>
      <c r="K383" t="s">
        <v>1266</v>
      </c>
      <c r="L383" t="s">
        <v>160</v>
      </c>
      <c r="M383" t="s">
        <v>136</v>
      </c>
      <c r="N383" s="2"/>
      <c r="O383" s="4"/>
    </row>
    <row r="384" spans="1:15" ht="12.75" customHeight="1" x14ac:dyDescent="0.25">
      <c r="A384" s="380">
        <v>391896</v>
      </c>
      <c r="B384" t="s">
        <v>481</v>
      </c>
      <c r="C384" s="352">
        <v>507</v>
      </c>
      <c r="D384" s="352">
        <v>994</v>
      </c>
      <c r="E384" s="352">
        <v>1501</v>
      </c>
      <c r="F384" s="352">
        <v>26655516</v>
      </c>
      <c r="G384" s="352">
        <v>63599721</v>
      </c>
      <c r="H384" s="352">
        <v>90255237</v>
      </c>
      <c r="I384" s="352">
        <v>-4424667</v>
      </c>
      <c r="J384" t="s">
        <v>259</v>
      </c>
      <c r="K384" t="s">
        <v>1265</v>
      </c>
      <c r="L384" t="s">
        <v>369</v>
      </c>
      <c r="M384" t="s">
        <v>57</v>
      </c>
      <c r="N384" s="2"/>
      <c r="O384" s="4"/>
    </row>
    <row r="385" spans="1:15" ht="12.75" customHeight="1" x14ac:dyDescent="0.25">
      <c r="A385" s="380">
        <v>938498</v>
      </c>
      <c r="B385" t="s">
        <v>504</v>
      </c>
      <c r="C385" s="352">
        <v>658</v>
      </c>
      <c r="D385" s="352">
        <v>839</v>
      </c>
      <c r="E385" s="352">
        <v>1497</v>
      </c>
      <c r="F385" s="352">
        <v>17424602</v>
      </c>
      <c r="G385" s="352">
        <v>28040852</v>
      </c>
      <c r="H385" s="352">
        <v>45465454</v>
      </c>
      <c r="I385" s="352">
        <v>-2566117</v>
      </c>
      <c r="J385" t="s">
        <v>606</v>
      </c>
      <c r="K385" t="s">
        <v>1265</v>
      </c>
      <c r="L385" t="s">
        <v>1330</v>
      </c>
      <c r="M385" t="s">
        <v>57</v>
      </c>
      <c r="N385" s="2"/>
      <c r="O385" s="4"/>
    </row>
    <row r="386" spans="1:15" ht="12.75" customHeight="1" x14ac:dyDescent="0.25">
      <c r="A386" s="380">
        <v>626945</v>
      </c>
      <c r="B386" t="s">
        <v>385</v>
      </c>
      <c r="C386" s="352">
        <v>569</v>
      </c>
      <c r="D386" s="352">
        <v>878</v>
      </c>
      <c r="E386" s="352">
        <v>1447</v>
      </c>
      <c r="F386" s="352">
        <v>43050035</v>
      </c>
      <c r="G386" s="352">
        <v>78327238</v>
      </c>
      <c r="H386" s="352">
        <v>121377274</v>
      </c>
      <c r="I386" s="352">
        <v>4601003</v>
      </c>
      <c r="J386" t="s">
        <v>608</v>
      </c>
      <c r="K386" t="s">
        <v>1265</v>
      </c>
      <c r="L386" t="s">
        <v>1273</v>
      </c>
      <c r="M386" t="s">
        <v>57</v>
      </c>
      <c r="N386" s="2"/>
      <c r="O386" s="4"/>
    </row>
    <row r="387" spans="1:15" ht="12.75" customHeight="1" x14ac:dyDescent="0.25">
      <c r="A387" s="380">
        <v>401810</v>
      </c>
      <c r="B387" t="s">
        <v>511</v>
      </c>
      <c r="C387" s="352">
        <v>585</v>
      </c>
      <c r="D387" s="352">
        <v>845</v>
      </c>
      <c r="E387" s="352">
        <v>1430</v>
      </c>
      <c r="F387" s="352">
        <v>31202802</v>
      </c>
      <c r="G387" s="352">
        <v>55682895</v>
      </c>
      <c r="H387" s="352">
        <v>86885696</v>
      </c>
      <c r="I387" s="352">
        <v>108615</v>
      </c>
      <c r="J387" t="s">
        <v>609</v>
      </c>
      <c r="K387" t="s">
        <v>1265</v>
      </c>
      <c r="L387" t="s">
        <v>350</v>
      </c>
      <c r="M387" t="s">
        <v>57</v>
      </c>
      <c r="N387" s="2"/>
      <c r="O387" s="4"/>
    </row>
    <row r="388" spans="1:15" ht="12.75" customHeight="1" x14ac:dyDescent="0.25">
      <c r="A388" s="380">
        <v>955435</v>
      </c>
      <c r="B388" t="s">
        <v>290</v>
      </c>
      <c r="C388" s="352">
        <v>581</v>
      </c>
      <c r="D388" s="352">
        <v>838</v>
      </c>
      <c r="E388" s="352">
        <v>1419</v>
      </c>
      <c r="F388" s="352">
        <v>36316353</v>
      </c>
      <c r="G388" s="352">
        <v>72180838</v>
      </c>
      <c r="H388" s="352">
        <v>108497191</v>
      </c>
      <c r="I388" s="352">
        <v>2626114</v>
      </c>
      <c r="J388" t="s">
        <v>604</v>
      </c>
      <c r="K388" t="s">
        <v>1266</v>
      </c>
      <c r="L388" t="s">
        <v>248</v>
      </c>
      <c r="M388" t="s">
        <v>57</v>
      </c>
      <c r="N388" s="2"/>
      <c r="O388" s="4"/>
    </row>
    <row r="389" spans="1:15" ht="12.75" customHeight="1" x14ac:dyDescent="0.25">
      <c r="A389" s="380">
        <v>352468</v>
      </c>
      <c r="B389" t="s">
        <v>293</v>
      </c>
      <c r="C389" s="352">
        <v>668</v>
      </c>
      <c r="D389" s="352">
        <v>731</v>
      </c>
      <c r="E389" s="352">
        <v>1399</v>
      </c>
      <c r="F389" s="352">
        <v>36436541</v>
      </c>
      <c r="G389" s="352">
        <v>45883033</v>
      </c>
      <c r="H389" s="352">
        <v>82319574</v>
      </c>
      <c r="I389" s="352">
        <v>957000</v>
      </c>
      <c r="J389" t="s">
        <v>154</v>
      </c>
      <c r="K389" t="s">
        <v>1265</v>
      </c>
      <c r="L389" t="s">
        <v>468</v>
      </c>
      <c r="M389" t="s">
        <v>57</v>
      </c>
      <c r="N389" s="2"/>
      <c r="O389" s="4"/>
    </row>
    <row r="390" spans="1:15" ht="12.75" customHeight="1" x14ac:dyDescent="0.25">
      <c r="A390" s="380">
        <v>934711</v>
      </c>
      <c r="B390" t="s">
        <v>295</v>
      </c>
      <c r="C390" s="352">
        <v>488</v>
      </c>
      <c r="D390" s="352">
        <v>902</v>
      </c>
      <c r="E390" s="352">
        <v>1390</v>
      </c>
      <c r="F390" s="352">
        <v>40470387</v>
      </c>
      <c r="G390" s="352">
        <v>94188038</v>
      </c>
      <c r="H390" s="352">
        <v>134658425</v>
      </c>
      <c r="I390" s="352">
        <v>2853396</v>
      </c>
      <c r="J390" t="s">
        <v>599</v>
      </c>
      <c r="K390" t="s">
        <v>1266</v>
      </c>
      <c r="L390" t="s">
        <v>157</v>
      </c>
      <c r="M390" t="s">
        <v>136</v>
      </c>
      <c r="N390" s="2"/>
      <c r="O390" s="4"/>
    </row>
    <row r="391" spans="1:15" ht="12.75" customHeight="1" x14ac:dyDescent="0.25">
      <c r="A391" s="380">
        <v>673699</v>
      </c>
      <c r="B391" t="s">
        <v>575</v>
      </c>
      <c r="C391" s="352">
        <v>523</v>
      </c>
      <c r="D391" s="352">
        <v>852</v>
      </c>
      <c r="E391" s="352">
        <v>1375</v>
      </c>
      <c r="F391" s="352">
        <v>19552456</v>
      </c>
      <c r="G391" s="352">
        <v>40527211</v>
      </c>
      <c r="H391" s="352">
        <v>60079667</v>
      </c>
      <c r="I391" s="352">
        <v>-5813487</v>
      </c>
      <c r="J391" t="s">
        <v>259</v>
      </c>
      <c r="K391" t="s">
        <v>1265</v>
      </c>
      <c r="L391" t="s">
        <v>1279</v>
      </c>
      <c r="M391" t="s">
        <v>57</v>
      </c>
      <c r="N391" s="2"/>
      <c r="O391" s="4"/>
    </row>
    <row r="392" spans="1:15" ht="12.75" customHeight="1" x14ac:dyDescent="0.25">
      <c r="A392" s="380">
        <v>722454</v>
      </c>
      <c r="B392" t="s">
        <v>347</v>
      </c>
      <c r="C392" s="352">
        <v>675</v>
      </c>
      <c r="D392" s="352">
        <v>657</v>
      </c>
      <c r="E392" s="352">
        <v>1332</v>
      </c>
      <c r="F392" s="352">
        <v>23630622</v>
      </c>
      <c r="G392" s="352">
        <v>27132356</v>
      </c>
      <c r="H392" s="352">
        <v>50762977</v>
      </c>
      <c r="I392" s="352">
        <v>-612196</v>
      </c>
      <c r="J392" t="s">
        <v>602</v>
      </c>
      <c r="K392" t="s">
        <v>1262</v>
      </c>
      <c r="L392" t="s">
        <v>1273</v>
      </c>
      <c r="M392" t="s">
        <v>57</v>
      </c>
      <c r="N392" s="2"/>
      <c r="O392" s="4"/>
    </row>
    <row r="393" spans="1:15" ht="12.75" customHeight="1" x14ac:dyDescent="0.25">
      <c r="A393" s="380">
        <v>333633</v>
      </c>
      <c r="B393" t="s">
        <v>501</v>
      </c>
      <c r="C393" s="352">
        <v>595</v>
      </c>
      <c r="D393" s="352">
        <v>728</v>
      </c>
      <c r="E393" s="352">
        <v>1323</v>
      </c>
      <c r="F393" s="352">
        <v>23548283</v>
      </c>
      <c r="G393" s="352">
        <v>38075301</v>
      </c>
      <c r="H393" s="352">
        <v>61623584</v>
      </c>
      <c r="I393" s="352">
        <v>-1704380</v>
      </c>
      <c r="J393" t="s">
        <v>617</v>
      </c>
      <c r="K393" t="s">
        <v>1265</v>
      </c>
      <c r="L393" t="s">
        <v>1330</v>
      </c>
      <c r="M393" t="s">
        <v>57</v>
      </c>
      <c r="N393" s="2"/>
      <c r="O393" s="4"/>
    </row>
    <row r="394" spans="1:15" ht="12.75" customHeight="1" x14ac:dyDescent="0.25">
      <c r="A394" s="380">
        <v>992099</v>
      </c>
      <c r="B394" t="s">
        <v>554</v>
      </c>
      <c r="C394" s="352">
        <v>553</v>
      </c>
      <c r="D394" s="352">
        <v>722</v>
      </c>
      <c r="E394" s="352">
        <v>1275</v>
      </c>
      <c r="F394" s="352">
        <v>26752533</v>
      </c>
      <c r="G394" s="352">
        <v>44354616</v>
      </c>
      <c r="H394" s="352">
        <v>71107149</v>
      </c>
      <c r="I394" s="352">
        <v>561431</v>
      </c>
      <c r="J394" t="s">
        <v>609</v>
      </c>
      <c r="K394" t="s">
        <v>1265</v>
      </c>
      <c r="L394" t="s">
        <v>467</v>
      </c>
      <c r="M394" t="s">
        <v>57</v>
      </c>
      <c r="N394" s="2"/>
      <c r="O394" s="4"/>
    </row>
    <row r="395" spans="1:15" ht="12.75" customHeight="1" x14ac:dyDescent="0.25">
      <c r="A395" s="380">
        <v>707638</v>
      </c>
      <c r="B395" t="s">
        <v>508</v>
      </c>
      <c r="C395" s="352">
        <v>628</v>
      </c>
      <c r="D395" s="352">
        <v>647</v>
      </c>
      <c r="E395" s="352">
        <v>1275</v>
      </c>
      <c r="F395" s="352">
        <v>20769937</v>
      </c>
      <c r="G395" s="352">
        <v>24738123</v>
      </c>
      <c r="H395" s="352">
        <v>45508059</v>
      </c>
      <c r="I395" s="352">
        <v>528352</v>
      </c>
      <c r="J395" t="s">
        <v>178</v>
      </c>
      <c r="K395" t="s">
        <v>1265</v>
      </c>
      <c r="L395" t="s">
        <v>1268</v>
      </c>
      <c r="M395" t="s">
        <v>57</v>
      </c>
      <c r="N395" s="2"/>
      <c r="O395" s="4"/>
    </row>
    <row r="396" spans="1:15" ht="12.75" customHeight="1" x14ac:dyDescent="0.25">
      <c r="A396" s="380">
        <v>426726</v>
      </c>
      <c r="B396" t="s">
        <v>230</v>
      </c>
      <c r="C396" s="352">
        <v>617</v>
      </c>
      <c r="D396" s="352">
        <v>588</v>
      </c>
      <c r="E396" s="352">
        <v>1205</v>
      </c>
      <c r="F396" s="352">
        <v>23464941</v>
      </c>
      <c r="G396" s="352">
        <v>26764767</v>
      </c>
      <c r="H396" s="352">
        <v>50229707</v>
      </c>
      <c r="I396" s="352">
        <v>-3036228</v>
      </c>
      <c r="J396" t="s">
        <v>604</v>
      </c>
      <c r="K396" t="s">
        <v>1266</v>
      </c>
      <c r="L396" t="s">
        <v>164</v>
      </c>
      <c r="M396" t="s">
        <v>57</v>
      </c>
      <c r="N396" s="2"/>
      <c r="O396" s="4"/>
    </row>
    <row r="397" spans="1:15" ht="12.75" customHeight="1" x14ac:dyDescent="0.25">
      <c r="A397" s="380">
        <v>197517</v>
      </c>
      <c r="B397" t="s">
        <v>412</v>
      </c>
      <c r="C397" s="352">
        <v>616</v>
      </c>
      <c r="D397" s="352">
        <v>583</v>
      </c>
      <c r="E397" s="352">
        <v>1199</v>
      </c>
      <c r="F397" s="352">
        <v>38880780</v>
      </c>
      <c r="G397" s="352">
        <v>44464096</v>
      </c>
      <c r="H397" s="352">
        <v>83344876</v>
      </c>
      <c r="I397" s="352">
        <v>373396</v>
      </c>
      <c r="J397" t="s">
        <v>608</v>
      </c>
      <c r="K397" t="s">
        <v>1265</v>
      </c>
      <c r="L397" t="s">
        <v>1268</v>
      </c>
      <c r="M397" t="s">
        <v>57</v>
      </c>
      <c r="N397" s="2"/>
      <c r="O397" s="4"/>
    </row>
    <row r="398" spans="1:15" ht="12.75" customHeight="1" x14ac:dyDescent="0.25">
      <c r="A398" s="380">
        <v>170423</v>
      </c>
      <c r="B398" t="s">
        <v>386</v>
      </c>
      <c r="C398" s="352">
        <v>534</v>
      </c>
      <c r="D398" s="352">
        <v>661</v>
      </c>
      <c r="E398" s="352">
        <v>1195</v>
      </c>
      <c r="F398" s="352">
        <v>34164048</v>
      </c>
      <c r="G398" s="352">
        <v>50300911</v>
      </c>
      <c r="H398" s="352">
        <v>84464958</v>
      </c>
      <c r="I398" s="352">
        <v>296768</v>
      </c>
      <c r="J398" t="s">
        <v>182</v>
      </c>
      <c r="K398" t="s">
        <v>1265</v>
      </c>
      <c r="L398" t="s">
        <v>193</v>
      </c>
      <c r="M398" t="s">
        <v>136</v>
      </c>
      <c r="N398" s="2"/>
      <c r="O398" s="4"/>
    </row>
    <row r="399" spans="1:15" ht="12.75" customHeight="1" x14ac:dyDescent="0.25">
      <c r="A399" s="380">
        <v>447086</v>
      </c>
      <c r="B399" t="s">
        <v>346</v>
      </c>
      <c r="C399" s="352">
        <v>578</v>
      </c>
      <c r="D399" s="352">
        <v>610</v>
      </c>
      <c r="E399" s="352">
        <v>1188</v>
      </c>
      <c r="F399" s="352">
        <v>53545250</v>
      </c>
      <c r="G399" s="352">
        <v>50709822</v>
      </c>
      <c r="H399" s="352">
        <v>104255073</v>
      </c>
      <c r="I399" s="352">
        <v>878198</v>
      </c>
      <c r="J399" t="s">
        <v>597</v>
      </c>
      <c r="K399" t="s">
        <v>1262</v>
      </c>
      <c r="L399" t="s">
        <v>527</v>
      </c>
      <c r="M399" t="s">
        <v>136</v>
      </c>
      <c r="N399" s="2"/>
      <c r="O399" s="4"/>
    </row>
    <row r="400" spans="1:15" ht="12.75" customHeight="1" x14ac:dyDescent="0.25">
      <c r="A400" s="380">
        <v>625236</v>
      </c>
      <c r="B400" t="s">
        <v>475</v>
      </c>
      <c r="C400" s="352">
        <v>456</v>
      </c>
      <c r="D400" s="352">
        <v>728</v>
      </c>
      <c r="E400" s="352">
        <v>1184</v>
      </c>
      <c r="F400" s="352">
        <v>20415021</v>
      </c>
      <c r="G400" s="352">
        <v>41213267</v>
      </c>
      <c r="H400" s="352">
        <v>61628287</v>
      </c>
      <c r="I400" s="352">
        <v>1263652</v>
      </c>
      <c r="J400" t="s">
        <v>608</v>
      </c>
      <c r="K400" t="s">
        <v>1265</v>
      </c>
      <c r="L400" t="s">
        <v>369</v>
      </c>
      <c r="M400" t="s">
        <v>57</v>
      </c>
      <c r="N400" s="2"/>
      <c r="O400" s="4"/>
    </row>
    <row r="401" spans="1:15" ht="12.75" customHeight="1" x14ac:dyDescent="0.25">
      <c r="A401" s="380">
        <v>401695</v>
      </c>
      <c r="B401" t="s">
        <v>550</v>
      </c>
      <c r="C401" s="352">
        <v>469</v>
      </c>
      <c r="D401" s="352">
        <v>705</v>
      </c>
      <c r="E401" s="352">
        <v>1174</v>
      </c>
      <c r="F401" s="352">
        <v>33086495</v>
      </c>
      <c r="G401" s="352">
        <v>57373173</v>
      </c>
      <c r="H401" s="352">
        <v>90459668</v>
      </c>
      <c r="I401" s="352">
        <v>-241181</v>
      </c>
      <c r="J401" t="s">
        <v>204</v>
      </c>
      <c r="K401" t="s">
        <v>1265</v>
      </c>
      <c r="L401" t="s">
        <v>467</v>
      </c>
      <c r="M401" t="s">
        <v>57</v>
      </c>
      <c r="N401" s="2"/>
      <c r="O401" s="4"/>
    </row>
    <row r="402" spans="1:15" ht="12.75" customHeight="1" x14ac:dyDescent="0.25">
      <c r="A402" s="380">
        <v>322479</v>
      </c>
      <c r="B402" t="s">
        <v>652</v>
      </c>
      <c r="C402" s="352">
        <v>499</v>
      </c>
      <c r="D402" s="352">
        <v>675</v>
      </c>
      <c r="E402" s="352">
        <v>1174</v>
      </c>
      <c r="F402" s="352">
        <v>18969941</v>
      </c>
      <c r="G402" s="352">
        <v>30868359</v>
      </c>
      <c r="H402" s="352">
        <v>49838300</v>
      </c>
      <c r="I402" s="352">
        <v>405267</v>
      </c>
      <c r="J402" t="s">
        <v>178</v>
      </c>
      <c r="K402" t="s">
        <v>1265</v>
      </c>
      <c r="L402" t="s">
        <v>1273</v>
      </c>
      <c r="M402" t="s">
        <v>57</v>
      </c>
      <c r="N402" s="2"/>
      <c r="O402" s="4"/>
    </row>
    <row r="403" spans="1:15" ht="12.75" customHeight="1" x14ac:dyDescent="0.25">
      <c r="A403" s="380">
        <v>574582</v>
      </c>
      <c r="B403" t="s">
        <v>1307</v>
      </c>
      <c r="C403" s="352">
        <v>611</v>
      </c>
      <c r="D403" s="352">
        <v>560</v>
      </c>
      <c r="E403" s="352">
        <v>1171</v>
      </c>
      <c r="F403" s="352">
        <v>17115613</v>
      </c>
      <c r="G403" s="352">
        <v>23090370</v>
      </c>
      <c r="H403" s="352">
        <v>40205984</v>
      </c>
      <c r="I403" s="352">
        <v>576612</v>
      </c>
      <c r="J403" t="s">
        <v>605</v>
      </c>
      <c r="K403" t="s">
        <v>1266</v>
      </c>
      <c r="L403" t="s">
        <v>164</v>
      </c>
      <c r="M403" t="s">
        <v>57</v>
      </c>
      <c r="N403" s="2"/>
      <c r="O403" s="4"/>
    </row>
    <row r="404" spans="1:15" ht="12.75" customHeight="1" x14ac:dyDescent="0.25">
      <c r="A404" s="380">
        <v>159442</v>
      </c>
      <c r="B404" t="s">
        <v>479</v>
      </c>
      <c r="C404" s="352">
        <v>460</v>
      </c>
      <c r="D404" s="352">
        <v>662</v>
      </c>
      <c r="E404" s="352">
        <v>1122</v>
      </c>
      <c r="F404" s="352">
        <v>22332218</v>
      </c>
      <c r="G404" s="352">
        <v>40998987</v>
      </c>
      <c r="H404" s="352">
        <v>63331205</v>
      </c>
      <c r="I404" s="352">
        <v>-168901</v>
      </c>
      <c r="J404" t="s">
        <v>167</v>
      </c>
      <c r="K404" t="s">
        <v>1265</v>
      </c>
      <c r="L404" t="s">
        <v>369</v>
      </c>
      <c r="M404" t="s">
        <v>57</v>
      </c>
      <c r="N404" s="2"/>
      <c r="O404" s="4"/>
    </row>
    <row r="405" spans="1:15" ht="12.75" customHeight="1" x14ac:dyDescent="0.25">
      <c r="A405" s="380">
        <v>410258</v>
      </c>
      <c r="B405" t="s">
        <v>482</v>
      </c>
      <c r="C405" s="352">
        <v>362</v>
      </c>
      <c r="D405" s="352">
        <v>738</v>
      </c>
      <c r="E405" s="352">
        <v>1100</v>
      </c>
      <c r="F405" s="352">
        <v>20659285</v>
      </c>
      <c r="G405" s="352">
        <v>50914758</v>
      </c>
      <c r="H405" s="352">
        <v>71574042</v>
      </c>
      <c r="I405" s="352">
        <v>2381419</v>
      </c>
      <c r="J405" t="s">
        <v>223</v>
      </c>
      <c r="K405" t="s">
        <v>1265</v>
      </c>
      <c r="L405" t="s">
        <v>369</v>
      </c>
      <c r="M405" t="s">
        <v>57</v>
      </c>
      <c r="N405" s="2"/>
      <c r="O405" s="4"/>
    </row>
    <row r="406" spans="1:15" ht="12.75" customHeight="1" x14ac:dyDescent="0.25">
      <c r="A406" s="380">
        <v>878223</v>
      </c>
      <c r="B406" t="s">
        <v>625</v>
      </c>
      <c r="C406" s="352">
        <v>274</v>
      </c>
      <c r="D406" s="352">
        <v>796</v>
      </c>
      <c r="E406" s="352">
        <v>1070</v>
      </c>
      <c r="F406" s="352">
        <v>12422149</v>
      </c>
      <c r="G406" s="352">
        <v>44138594</v>
      </c>
      <c r="H406" s="352">
        <v>56560743</v>
      </c>
      <c r="I406" s="352">
        <v>-3556926</v>
      </c>
      <c r="J406" t="s">
        <v>228</v>
      </c>
      <c r="K406" t="s">
        <v>1265</v>
      </c>
      <c r="L406" t="s">
        <v>435</v>
      </c>
      <c r="M406" t="s">
        <v>136</v>
      </c>
      <c r="N406" s="2"/>
      <c r="O406" s="4"/>
    </row>
    <row r="407" spans="1:15" ht="12.75" customHeight="1" x14ac:dyDescent="0.25">
      <c r="A407" s="380">
        <v>554691</v>
      </c>
      <c r="B407" t="s">
        <v>570</v>
      </c>
      <c r="C407" s="352">
        <v>480</v>
      </c>
      <c r="D407" s="352">
        <v>574</v>
      </c>
      <c r="E407" s="352">
        <v>1054</v>
      </c>
      <c r="F407" s="352">
        <v>25392620</v>
      </c>
      <c r="G407" s="352">
        <v>42466282</v>
      </c>
      <c r="H407" s="352">
        <v>67858901</v>
      </c>
      <c r="I407" s="352">
        <v>5948352</v>
      </c>
      <c r="J407" t="s">
        <v>601</v>
      </c>
      <c r="K407" t="s">
        <v>1266</v>
      </c>
      <c r="L407" t="s">
        <v>188</v>
      </c>
      <c r="M407" t="s">
        <v>136</v>
      </c>
      <c r="N407" s="2"/>
      <c r="O407" s="4"/>
    </row>
    <row r="408" spans="1:15" ht="12.75" customHeight="1" x14ac:dyDescent="0.25">
      <c r="A408" s="380">
        <v>515973</v>
      </c>
      <c r="B408" t="s">
        <v>657</v>
      </c>
      <c r="C408" s="352">
        <v>533</v>
      </c>
      <c r="D408" s="352">
        <v>520</v>
      </c>
      <c r="E408" s="352">
        <v>1053</v>
      </c>
      <c r="F408" s="352">
        <v>19382534</v>
      </c>
      <c r="G408" s="352">
        <v>22568190</v>
      </c>
      <c r="H408" s="352">
        <v>41950724</v>
      </c>
      <c r="I408" s="352">
        <v>910424</v>
      </c>
      <c r="J408" t="s">
        <v>599</v>
      </c>
      <c r="K408" t="s">
        <v>1266</v>
      </c>
      <c r="L408" t="s">
        <v>1274</v>
      </c>
      <c r="M408" t="s">
        <v>57</v>
      </c>
      <c r="N408" s="2"/>
      <c r="O408" s="4"/>
    </row>
    <row r="409" spans="1:15" ht="12.75" customHeight="1" x14ac:dyDescent="0.25">
      <c r="A409" s="380">
        <v>256362</v>
      </c>
      <c r="B409" t="s">
        <v>210</v>
      </c>
      <c r="C409" s="352">
        <v>411</v>
      </c>
      <c r="D409" s="352">
        <v>625</v>
      </c>
      <c r="E409" s="352">
        <v>1036</v>
      </c>
      <c r="F409" s="352">
        <v>24369422</v>
      </c>
      <c r="G409" s="352">
        <v>46983465</v>
      </c>
      <c r="H409" s="352">
        <v>71352887</v>
      </c>
      <c r="I409" s="352">
        <v>3720231</v>
      </c>
      <c r="J409" t="s">
        <v>608</v>
      </c>
      <c r="K409" t="s">
        <v>1265</v>
      </c>
      <c r="L409" t="s">
        <v>185</v>
      </c>
      <c r="M409" t="s">
        <v>136</v>
      </c>
      <c r="N409" s="2"/>
      <c r="O409" s="4"/>
    </row>
    <row r="410" spans="1:15" ht="12.75" customHeight="1" x14ac:dyDescent="0.25">
      <c r="A410" s="380">
        <v>303230</v>
      </c>
      <c r="B410" t="s">
        <v>1334</v>
      </c>
      <c r="C410" s="352">
        <v>430</v>
      </c>
      <c r="D410" s="352">
        <v>591</v>
      </c>
      <c r="E410" s="352">
        <v>1021</v>
      </c>
      <c r="F410" s="352">
        <v>20233543</v>
      </c>
      <c r="G410" s="352">
        <v>37458175</v>
      </c>
      <c r="H410" s="352">
        <v>57691718</v>
      </c>
      <c r="I410" s="352">
        <v>-403929</v>
      </c>
      <c r="J410" t="s">
        <v>588</v>
      </c>
      <c r="K410" t="s">
        <v>1262</v>
      </c>
      <c r="L410" t="s">
        <v>1268</v>
      </c>
      <c r="M410" t="s">
        <v>57</v>
      </c>
      <c r="N410" s="2"/>
      <c r="O410" s="4"/>
    </row>
    <row r="411" spans="1:15" ht="12.75" customHeight="1" x14ac:dyDescent="0.25">
      <c r="A411" s="380">
        <v>444315</v>
      </c>
      <c r="B411" t="s">
        <v>324</v>
      </c>
      <c r="C411" s="352">
        <v>570</v>
      </c>
      <c r="D411" s="352">
        <v>444</v>
      </c>
      <c r="E411" s="352">
        <v>1014</v>
      </c>
      <c r="F411" s="352">
        <v>22741814</v>
      </c>
      <c r="G411" s="352">
        <v>22820048</v>
      </c>
      <c r="H411" s="352">
        <v>45561862</v>
      </c>
      <c r="I411" s="352">
        <v>445910</v>
      </c>
      <c r="J411" t="s">
        <v>602</v>
      </c>
      <c r="K411" t="s">
        <v>1262</v>
      </c>
      <c r="L411" t="s">
        <v>1274</v>
      </c>
      <c r="M411" t="s">
        <v>57</v>
      </c>
      <c r="N411" s="2"/>
      <c r="O411" s="4"/>
    </row>
    <row r="412" spans="1:15" ht="12.75" customHeight="1" x14ac:dyDescent="0.25">
      <c r="A412" s="380">
        <v>901603</v>
      </c>
      <c r="B412" t="s">
        <v>1155</v>
      </c>
      <c r="C412" s="352">
        <v>548</v>
      </c>
      <c r="D412" s="352">
        <v>461</v>
      </c>
      <c r="E412" s="352">
        <v>1009</v>
      </c>
      <c r="F412" s="352">
        <v>19963508</v>
      </c>
      <c r="G412" s="352">
        <v>22547546</v>
      </c>
      <c r="H412" s="352">
        <v>42511053</v>
      </c>
      <c r="I412" s="352">
        <v>84700</v>
      </c>
      <c r="J412" t="s">
        <v>601</v>
      </c>
      <c r="K412" t="s">
        <v>1266</v>
      </c>
      <c r="L412" t="s">
        <v>1277</v>
      </c>
      <c r="M412" t="s">
        <v>57</v>
      </c>
      <c r="N412" s="2"/>
      <c r="O412" s="4"/>
    </row>
    <row r="413" spans="1:15" ht="12.75" customHeight="1" x14ac:dyDescent="0.25">
      <c r="A413" s="380">
        <v>723270</v>
      </c>
      <c r="B413" t="s">
        <v>630</v>
      </c>
      <c r="C413" s="352">
        <v>360</v>
      </c>
      <c r="D413" s="352">
        <v>631</v>
      </c>
      <c r="E413" s="352">
        <v>991</v>
      </c>
      <c r="F413" s="352">
        <v>20741602</v>
      </c>
      <c r="G413" s="352">
        <v>44040195</v>
      </c>
      <c r="H413" s="352">
        <v>64781797</v>
      </c>
      <c r="I413" s="352">
        <v>2666179</v>
      </c>
      <c r="J413" t="s">
        <v>154</v>
      </c>
      <c r="K413" t="s">
        <v>1265</v>
      </c>
      <c r="L413" t="s">
        <v>332</v>
      </c>
      <c r="M413" t="s">
        <v>57</v>
      </c>
      <c r="N413" s="2"/>
      <c r="O413" s="4"/>
    </row>
    <row r="414" spans="1:15" ht="12.75" customHeight="1" x14ac:dyDescent="0.25">
      <c r="A414" s="380">
        <v>688986</v>
      </c>
      <c r="B414" t="s">
        <v>495</v>
      </c>
      <c r="C414" s="352">
        <v>440</v>
      </c>
      <c r="D414" s="352">
        <v>534</v>
      </c>
      <c r="E414" s="352">
        <v>974</v>
      </c>
      <c r="F414" s="352">
        <v>22892155</v>
      </c>
      <c r="G414" s="352">
        <v>33020510</v>
      </c>
      <c r="H414" s="352">
        <v>55912665</v>
      </c>
      <c r="I414" s="352">
        <v>196046</v>
      </c>
      <c r="J414" t="s">
        <v>612</v>
      </c>
      <c r="K414" t="s">
        <v>1265</v>
      </c>
      <c r="L414" t="s">
        <v>1278</v>
      </c>
      <c r="M414" t="s">
        <v>57</v>
      </c>
      <c r="N414" s="2"/>
      <c r="O414" s="4"/>
    </row>
    <row r="415" spans="1:15" ht="12.75" customHeight="1" x14ac:dyDescent="0.25">
      <c r="A415" s="380">
        <v>545426</v>
      </c>
      <c r="B415" t="s">
        <v>212</v>
      </c>
      <c r="C415" s="352">
        <v>390</v>
      </c>
      <c r="D415" s="352">
        <v>572</v>
      </c>
      <c r="E415" s="352">
        <v>962</v>
      </c>
      <c r="F415" s="352">
        <v>27460951</v>
      </c>
      <c r="G415" s="352">
        <v>47958366</v>
      </c>
      <c r="H415" s="352">
        <v>75419316</v>
      </c>
      <c r="I415" s="352">
        <v>2100422</v>
      </c>
      <c r="J415" t="s">
        <v>154</v>
      </c>
      <c r="K415" t="s">
        <v>1265</v>
      </c>
      <c r="L415" t="s">
        <v>185</v>
      </c>
      <c r="M415" t="s">
        <v>136</v>
      </c>
      <c r="N415" s="2"/>
      <c r="O415" s="4"/>
    </row>
    <row r="416" spans="1:15" ht="12.75" customHeight="1" x14ac:dyDescent="0.25">
      <c r="A416" s="380">
        <v>893396</v>
      </c>
      <c r="B416" t="s">
        <v>214</v>
      </c>
      <c r="C416" s="352">
        <v>467</v>
      </c>
      <c r="D416" s="352">
        <v>476</v>
      </c>
      <c r="E416" s="352">
        <v>943</v>
      </c>
      <c r="F416" s="352">
        <v>29481538</v>
      </c>
      <c r="G416" s="352">
        <v>35263796</v>
      </c>
      <c r="H416" s="352">
        <v>64745333</v>
      </c>
      <c r="I416" s="352">
        <v>-61272</v>
      </c>
      <c r="J416" t="s">
        <v>182</v>
      </c>
      <c r="K416" t="s">
        <v>1265</v>
      </c>
      <c r="L416" t="s">
        <v>537</v>
      </c>
      <c r="M416" t="s">
        <v>136</v>
      </c>
      <c r="N416" s="2"/>
      <c r="O416" s="4"/>
    </row>
    <row r="417" spans="1:15" ht="12.75" customHeight="1" x14ac:dyDescent="0.25">
      <c r="A417" s="380">
        <v>901181</v>
      </c>
      <c r="B417" t="s">
        <v>1297</v>
      </c>
      <c r="C417" s="352">
        <v>450</v>
      </c>
      <c r="D417" s="352">
        <v>485</v>
      </c>
      <c r="E417" s="352">
        <v>935</v>
      </c>
      <c r="F417" s="352">
        <v>23791095</v>
      </c>
      <c r="G417" s="352">
        <v>28423311</v>
      </c>
      <c r="H417" s="352">
        <v>52214406</v>
      </c>
      <c r="I417" s="352">
        <v>385825</v>
      </c>
      <c r="J417" t="s">
        <v>178</v>
      </c>
      <c r="K417" t="s">
        <v>1265</v>
      </c>
      <c r="L417" t="s">
        <v>1277</v>
      </c>
      <c r="M417" t="s">
        <v>57</v>
      </c>
      <c r="N417" s="2"/>
      <c r="O417" s="4"/>
    </row>
    <row r="418" spans="1:15" ht="12.75" customHeight="1" x14ac:dyDescent="0.25">
      <c r="A418" s="380">
        <v>173435</v>
      </c>
      <c r="B418" t="s">
        <v>399</v>
      </c>
      <c r="C418" s="352">
        <v>405</v>
      </c>
      <c r="D418" s="352">
        <v>528</v>
      </c>
      <c r="E418" s="352">
        <v>933</v>
      </c>
      <c r="F418" s="352">
        <v>19301135</v>
      </c>
      <c r="G418" s="352">
        <v>33107031</v>
      </c>
      <c r="H418" s="352">
        <v>52408166</v>
      </c>
      <c r="I418" s="352">
        <v>4568137</v>
      </c>
      <c r="J418" t="s">
        <v>596</v>
      </c>
      <c r="K418" t="s">
        <v>1266</v>
      </c>
      <c r="L418" t="s">
        <v>1278</v>
      </c>
      <c r="M418" t="s">
        <v>57</v>
      </c>
      <c r="N418" s="2"/>
      <c r="O418" s="4"/>
    </row>
    <row r="419" spans="1:15" ht="12.75" customHeight="1" x14ac:dyDescent="0.25">
      <c r="A419" s="380">
        <v>942623</v>
      </c>
      <c r="B419" t="s">
        <v>448</v>
      </c>
      <c r="C419" s="352">
        <v>357</v>
      </c>
      <c r="D419" s="352">
        <v>574</v>
      </c>
      <c r="E419" s="352">
        <v>931</v>
      </c>
      <c r="F419" s="352">
        <v>17093607</v>
      </c>
      <c r="G419" s="352">
        <v>31181616</v>
      </c>
      <c r="H419" s="352">
        <v>48275223</v>
      </c>
      <c r="I419" s="352">
        <v>-1481047</v>
      </c>
      <c r="J419" t="s">
        <v>178</v>
      </c>
      <c r="K419" t="s">
        <v>1265</v>
      </c>
      <c r="L419" t="s">
        <v>1272</v>
      </c>
      <c r="M419" t="s">
        <v>57</v>
      </c>
      <c r="N419" s="2"/>
      <c r="O419" s="4"/>
    </row>
    <row r="420" spans="1:15" ht="12.75" customHeight="1" x14ac:dyDescent="0.25">
      <c r="A420" s="380">
        <v>480145</v>
      </c>
      <c r="B420" t="s">
        <v>326</v>
      </c>
      <c r="C420" s="352">
        <v>495</v>
      </c>
      <c r="D420" s="352">
        <v>434</v>
      </c>
      <c r="E420" s="352">
        <v>929</v>
      </c>
      <c r="F420" s="352">
        <v>17252248</v>
      </c>
      <c r="G420" s="352">
        <v>16462810</v>
      </c>
      <c r="H420" s="352">
        <v>33715058</v>
      </c>
      <c r="I420" s="352">
        <v>246708</v>
      </c>
      <c r="J420" t="s">
        <v>597</v>
      </c>
      <c r="K420" t="s">
        <v>1262</v>
      </c>
      <c r="L420" t="s">
        <v>1274</v>
      </c>
      <c r="M420" t="s">
        <v>57</v>
      </c>
      <c r="N420" s="2"/>
      <c r="O420" s="4"/>
    </row>
    <row r="421" spans="1:15" ht="12.75" customHeight="1" x14ac:dyDescent="0.25">
      <c r="A421" s="380">
        <v>231100</v>
      </c>
      <c r="B421" t="s">
        <v>478</v>
      </c>
      <c r="C421" s="352">
        <v>353</v>
      </c>
      <c r="D421" s="352">
        <v>542</v>
      </c>
      <c r="E421" s="352">
        <v>895</v>
      </c>
      <c r="F421" s="352">
        <v>16544938</v>
      </c>
      <c r="G421" s="352">
        <v>31641839</v>
      </c>
      <c r="H421" s="352">
        <v>48186778</v>
      </c>
      <c r="I421" s="352">
        <v>-304322</v>
      </c>
      <c r="J421" t="s">
        <v>228</v>
      </c>
      <c r="K421" t="s">
        <v>1265</v>
      </c>
      <c r="L421" t="s">
        <v>369</v>
      </c>
      <c r="M421" t="s">
        <v>57</v>
      </c>
      <c r="N421" s="2"/>
      <c r="O421" s="4"/>
    </row>
    <row r="422" spans="1:15" ht="12.75" customHeight="1" x14ac:dyDescent="0.25">
      <c r="A422" s="380">
        <v>483800</v>
      </c>
      <c r="B422" t="s">
        <v>278</v>
      </c>
      <c r="C422" s="352">
        <v>411</v>
      </c>
      <c r="D422" s="352">
        <v>483</v>
      </c>
      <c r="E422" s="352">
        <v>894</v>
      </c>
      <c r="F422" s="352">
        <v>17703760</v>
      </c>
      <c r="G422" s="352">
        <v>27891545</v>
      </c>
      <c r="H422" s="352">
        <v>45595304</v>
      </c>
      <c r="I422" s="352">
        <v>-2071527</v>
      </c>
      <c r="J422" t="s">
        <v>599</v>
      </c>
      <c r="K422" t="s">
        <v>1266</v>
      </c>
      <c r="L422" t="s">
        <v>279</v>
      </c>
      <c r="M422" t="s">
        <v>57</v>
      </c>
      <c r="N422" s="2"/>
      <c r="O422" s="4"/>
    </row>
    <row r="423" spans="1:15" ht="12.75" customHeight="1" x14ac:dyDescent="0.25">
      <c r="A423" s="380">
        <v>558700</v>
      </c>
      <c r="B423" t="s">
        <v>651</v>
      </c>
      <c r="C423" s="352">
        <v>230</v>
      </c>
      <c r="D423" s="352">
        <v>662</v>
      </c>
      <c r="E423" s="352">
        <v>892</v>
      </c>
      <c r="F423" s="352">
        <v>13925892</v>
      </c>
      <c r="G423" s="352">
        <v>44684533</v>
      </c>
      <c r="H423" s="352">
        <v>58610425</v>
      </c>
      <c r="I423" s="352">
        <v>2229</v>
      </c>
      <c r="J423" t="s">
        <v>223</v>
      </c>
      <c r="K423" t="s">
        <v>1265</v>
      </c>
      <c r="L423" t="s">
        <v>1278</v>
      </c>
      <c r="M423" t="s">
        <v>57</v>
      </c>
      <c r="N423" s="2"/>
      <c r="O423" s="4"/>
    </row>
    <row r="424" spans="1:15" ht="12.75" customHeight="1" x14ac:dyDescent="0.25">
      <c r="A424" s="380">
        <v>759225</v>
      </c>
      <c r="B424" t="s">
        <v>449</v>
      </c>
      <c r="C424" s="352">
        <v>353</v>
      </c>
      <c r="D424" s="352">
        <v>534</v>
      </c>
      <c r="E424" s="352">
        <v>887</v>
      </c>
      <c r="F424" s="352">
        <v>18301221</v>
      </c>
      <c r="G424" s="352">
        <v>33179046</v>
      </c>
      <c r="H424" s="352">
        <v>51480268</v>
      </c>
      <c r="I424" s="352">
        <v>-1421954</v>
      </c>
      <c r="J424" t="s">
        <v>259</v>
      </c>
      <c r="K424" t="s">
        <v>1265</v>
      </c>
      <c r="L424" t="s">
        <v>1272</v>
      </c>
      <c r="M424" t="s">
        <v>57</v>
      </c>
      <c r="N424" s="2"/>
      <c r="O424" s="4"/>
    </row>
    <row r="425" spans="1:15" ht="12.75" customHeight="1" x14ac:dyDescent="0.25">
      <c r="A425" s="380">
        <v>652628</v>
      </c>
      <c r="B425" t="s">
        <v>513</v>
      </c>
      <c r="C425" s="352">
        <v>374</v>
      </c>
      <c r="D425" s="352">
        <v>503</v>
      </c>
      <c r="E425" s="352">
        <v>877</v>
      </c>
      <c r="F425" s="352">
        <v>17698621</v>
      </c>
      <c r="G425" s="352">
        <v>28957592</v>
      </c>
      <c r="H425" s="352">
        <v>46656214</v>
      </c>
      <c r="I425" s="352">
        <v>151612</v>
      </c>
      <c r="J425" t="s">
        <v>167</v>
      </c>
      <c r="K425" t="s">
        <v>1265</v>
      </c>
      <c r="L425" t="s">
        <v>350</v>
      </c>
      <c r="M425" t="s">
        <v>57</v>
      </c>
      <c r="N425" s="2"/>
      <c r="O425" s="4"/>
    </row>
    <row r="426" spans="1:15" ht="12.75" customHeight="1" x14ac:dyDescent="0.25">
      <c r="A426" s="380">
        <v>473702</v>
      </c>
      <c r="B426" t="s">
        <v>560</v>
      </c>
      <c r="C426" s="352">
        <v>391</v>
      </c>
      <c r="D426" s="352">
        <v>478</v>
      </c>
      <c r="E426" s="352">
        <v>869</v>
      </c>
      <c r="F426" s="352">
        <v>25633108</v>
      </c>
      <c r="G426" s="352">
        <v>36413920</v>
      </c>
      <c r="H426" s="352">
        <v>62047028</v>
      </c>
      <c r="I426" s="352">
        <v>4966091</v>
      </c>
      <c r="J426" t="s">
        <v>154</v>
      </c>
      <c r="K426" t="s">
        <v>1265</v>
      </c>
      <c r="L426" t="s">
        <v>152</v>
      </c>
      <c r="M426" t="s">
        <v>136</v>
      </c>
      <c r="N426" s="2"/>
      <c r="O426" s="4"/>
    </row>
    <row r="427" spans="1:15" ht="12.75" customHeight="1" x14ac:dyDescent="0.25">
      <c r="A427" s="380">
        <v>785493</v>
      </c>
      <c r="B427" t="s">
        <v>417</v>
      </c>
      <c r="C427" s="352">
        <v>378</v>
      </c>
      <c r="D427" s="352">
        <v>487</v>
      </c>
      <c r="E427" s="352">
        <v>865</v>
      </c>
      <c r="F427" s="352">
        <v>18598595</v>
      </c>
      <c r="G427" s="352">
        <v>30056631</v>
      </c>
      <c r="H427" s="352">
        <v>48655226</v>
      </c>
      <c r="I427" s="352">
        <v>26346</v>
      </c>
      <c r="J427" t="s">
        <v>244</v>
      </c>
      <c r="K427" t="s">
        <v>1265</v>
      </c>
      <c r="L427" t="s">
        <v>414</v>
      </c>
      <c r="M427" t="s">
        <v>57</v>
      </c>
      <c r="N427" s="2"/>
      <c r="O427" s="4"/>
    </row>
    <row r="428" spans="1:15" ht="12.75" customHeight="1" x14ac:dyDescent="0.25">
      <c r="A428" s="380">
        <v>377432</v>
      </c>
      <c r="B428" t="s">
        <v>298</v>
      </c>
      <c r="C428" s="352">
        <v>331</v>
      </c>
      <c r="D428" s="352">
        <v>531</v>
      </c>
      <c r="E428" s="352">
        <v>862</v>
      </c>
      <c r="F428" s="352">
        <v>13764405</v>
      </c>
      <c r="G428" s="352">
        <v>29684818</v>
      </c>
      <c r="H428" s="352">
        <v>43449223</v>
      </c>
      <c r="I428" s="352">
        <v>-471252</v>
      </c>
      <c r="J428" t="s">
        <v>167</v>
      </c>
      <c r="K428" t="s">
        <v>1265</v>
      </c>
      <c r="L428" t="s">
        <v>173</v>
      </c>
      <c r="M428" t="s">
        <v>136</v>
      </c>
      <c r="N428" s="2"/>
      <c r="O428" s="4"/>
    </row>
    <row r="429" spans="1:15" ht="12.75" customHeight="1" x14ac:dyDescent="0.25">
      <c r="A429" s="380">
        <v>963462</v>
      </c>
      <c r="B429" t="s">
        <v>1157</v>
      </c>
      <c r="C429" s="352">
        <v>413</v>
      </c>
      <c r="D429" s="352">
        <v>444</v>
      </c>
      <c r="E429" s="352">
        <v>857</v>
      </c>
      <c r="F429" s="352">
        <v>38465446</v>
      </c>
      <c r="G429" s="352">
        <v>44805161</v>
      </c>
      <c r="H429" s="352">
        <v>83270608</v>
      </c>
      <c r="I429" s="352">
        <v>3533617</v>
      </c>
      <c r="J429" t="s">
        <v>597</v>
      </c>
      <c r="K429" t="s">
        <v>1262</v>
      </c>
      <c r="L429" t="s">
        <v>1277</v>
      </c>
      <c r="M429" t="s">
        <v>57</v>
      </c>
      <c r="N429" s="2"/>
      <c r="O429" s="4"/>
    </row>
    <row r="430" spans="1:15" ht="12.75" customHeight="1" x14ac:dyDescent="0.25">
      <c r="A430" s="380">
        <v>987784</v>
      </c>
      <c r="B430" t="s">
        <v>494</v>
      </c>
      <c r="C430" s="352">
        <v>379</v>
      </c>
      <c r="D430" s="352">
        <v>475</v>
      </c>
      <c r="E430" s="352">
        <v>854</v>
      </c>
      <c r="F430" s="352">
        <v>14767430</v>
      </c>
      <c r="G430" s="352">
        <v>23292276</v>
      </c>
      <c r="H430" s="352">
        <v>38059706</v>
      </c>
      <c r="I430" s="352">
        <v>110373</v>
      </c>
      <c r="J430" t="s">
        <v>247</v>
      </c>
      <c r="K430" t="s">
        <v>1265</v>
      </c>
      <c r="L430" t="s">
        <v>369</v>
      </c>
      <c r="M430" t="s">
        <v>57</v>
      </c>
      <c r="N430" s="2"/>
      <c r="O430" s="4"/>
    </row>
    <row r="431" spans="1:15" ht="12.75" customHeight="1" x14ac:dyDescent="0.25">
      <c r="A431" s="380">
        <v>106492</v>
      </c>
      <c r="B431" t="s">
        <v>592</v>
      </c>
      <c r="C431" s="352">
        <v>442</v>
      </c>
      <c r="D431" s="352">
        <v>410</v>
      </c>
      <c r="E431" s="352">
        <v>852</v>
      </c>
      <c r="F431" s="352">
        <v>28902077</v>
      </c>
      <c r="G431" s="352">
        <v>30051916</v>
      </c>
      <c r="H431" s="352">
        <v>58953993</v>
      </c>
      <c r="I431" s="352">
        <v>2092076</v>
      </c>
      <c r="J431" t="s">
        <v>154</v>
      </c>
      <c r="K431" t="s">
        <v>1265</v>
      </c>
      <c r="L431" t="s">
        <v>1270</v>
      </c>
      <c r="M431" t="s">
        <v>57</v>
      </c>
      <c r="N431" s="2"/>
      <c r="O431" s="4"/>
    </row>
    <row r="432" spans="1:15" ht="12.75" customHeight="1" x14ac:dyDescent="0.25">
      <c r="A432" s="380">
        <v>150110</v>
      </c>
      <c r="B432" t="s">
        <v>451</v>
      </c>
      <c r="C432" s="352">
        <v>294</v>
      </c>
      <c r="D432" s="352">
        <v>549</v>
      </c>
      <c r="E432" s="352">
        <v>843</v>
      </c>
      <c r="F432" s="352">
        <v>19805840</v>
      </c>
      <c r="G432" s="352">
        <v>40123968</v>
      </c>
      <c r="H432" s="352">
        <v>59929808</v>
      </c>
      <c r="I432" s="352">
        <v>-375594</v>
      </c>
      <c r="J432" t="s">
        <v>228</v>
      </c>
      <c r="K432" t="s">
        <v>1265</v>
      </c>
      <c r="L432" t="s">
        <v>1272</v>
      </c>
      <c r="M432" t="s">
        <v>57</v>
      </c>
      <c r="N432" s="2"/>
      <c r="O432" s="4"/>
    </row>
    <row r="433" spans="1:15" ht="12.75" customHeight="1" x14ac:dyDescent="0.25">
      <c r="A433" s="380">
        <v>606467</v>
      </c>
      <c r="B433" t="s">
        <v>253</v>
      </c>
      <c r="C433" s="352">
        <v>427</v>
      </c>
      <c r="D433" s="352">
        <v>413</v>
      </c>
      <c r="E433" s="352">
        <v>840</v>
      </c>
      <c r="F433" s="352">
        <v>16072603</v>
      </c>
      <c r="G433" s="352">
        <v>18425518</v>
      </c>
      <c r="H433" s="352">
        <v>34498120</v>
      </c>
      <c r="I433" s="352">
        <v>396053</v>
      </c>
      <c r="J433" t="s">
        <v>167</v>
      </c>
      <c r="K433" t="s">
        <v>1265</v>
      </c>
      <c r="L433" t="s">
        <v>1269</v>
      </c>
      <c r="M433" t="s">
        <v>136</v>
      </c>
      <c r="N433" s="2"/>
      <c r="O433" s="4"/>
    </row>
    <row r="434" spans="1:15" ht="12.75" customHeight="1" x14ac:dyDescent="0.25">
      <c r="A434" s="380">
        <v>237834</v>
      </c>
      <c r="B434" t="s">
        <v>418</v>
      </c>
      <c r="C434" s="352">
        <v>371</v>
      </c>
      <c r="D434" s="352">
        <v>460</v>
      </c>
      <c r="E434" s="352">
        <v>831</v>
      </c>
      <c r="F434" s="352">
        <v>23235383</v>
      </c>
      <c r="G434" s="352">
        <v>36603784</v>
      </c>
      <c r="H434" s="352">
        <v>59839167</v>
      </c>
      <c r="I434" s="352">
        <v>54070</v>
      </c>
      <c r="J434" t="s">
        <v>244</v>
      </c>
      <c r="K434" t="s">
        <v>1265</v>
      </c>
      <c r="L434" t="s">
        <v>414</v>
      </c>
      <c r="M434" t="s">
        <v>57</v>
      </c>
      <c r="N434" s="2"/>
      <c r="O434" s="4"/>
    </row>
    <row r="435" spans="1:15" ht="12.75" customHeight="1" x14ac:dyDescent="0.25">
      <c r="A435" s="380">
        <v>368407</v>
      </c>
      <c r="B435" t="s">
        <v>549</v>
      </c>
      <c r="C435" s="352">
        <v>346</v>
      </c>
      <c r="D435" s="352">
        <v>464</v>
      </c>
      <c r="E435" s="352">
        <v>810</v>
      </c>
      <c r="F435" s="352">
        <v>12751773</v>
      </c>
      <c r="G435" s="352">
        <v>19916924</v>
      </c>
      <c r="H435" s="352">
        <v>32668698</v>
      </c>
      <c r="I435" s="352">
        <v>554516</v>
      </c>
      <c r="J435" t="s">
        <v>247</v>
      </c>
      <c r="K435" t="s">
        <v>1265</v>
      </c>
      <c r="L435" t="s">
        <v>1278</v>
      </c>
      <c r="M435" t="s">
        <v>57</v>
      </c>
      <c r="N435" s="2"/>
      <c r="O435" s="4"/>
    </row>
    <row r="436" spans="1:15" ht="12.75" customHeight="1" x14ac:dyDescent="0.25">
      <c r="A436" s="380">
        <v>259499</v>
      </c>
      <c r="B436" t="s">
        <v>1331</v>
      </c>
      <c r="C436" s="352">
        <v>394</v>
      </c>
      <c r="D436" s="352">
        <v>413</v>
      </c>
      <c r="E436" s="352">
        <v>807</v>
      </c>
      <c r="F436" s="352">
        <v>17619254</v>
      </c>
      <c r="G436" s="352">
        <v>25537354</v>
      </c>
      <c r="H436" s="352">
        <v>43156608</v>
      </c>
      <c r="I436" s="352">
        <v>1700438</v>
      </c>
      <c r="J436" t="s">
        <v>599</v>
      </c>
      <c r="K436" t="s">
        <v>1266</v>
      </c>
      <c r="L436" t="s">
        <v>1273</v>
      </c>
      <c r="M436" t="s">
        <v>57</v>
      </c>
      <c r="N436" s="2"/>
      <c r="O436" s="4"/>
    </row>
    <row r="437" spans="1:15" ht="12.75" customHeight="1" x14ac:dyDescent="0.25">
      <c r="A437" s="380">
        <v>134593</v>
      </c>
      <c r="B437" t="s">
        <v>580</v>
      </c>
      <c r="C437" s="352">
        <v>392</v>
      </c>
      <c r="D437" s="352">
        <v>408</v>
      </c>
      <c r="E437" s="352">
        <v>800</v>
      </c>
      <c r="F437" s="352">
        <v>18367899</v>
      </c>
      <c r="G437" s="352">
        <v>23811831</v>
      </c>
      <c r="H437" s="352">
        <v>42179730</v>
      </c>
      <c r="I437" s="352">
        <v>-93516</v>
      </c>
      <c r="J437" t="s">
        <v>593</v>
      </c>
      <c r="K437" t="s">
        <v>1266</v>
      </c>
      <c r="L437" t="s">
        <v>193</v>
      </c>
      <c r="M437" t="s">
        <v>136</v>
      </c>
      <c r="N437" s="2"/>
      <c r="O437" s="4"/>
    </row>
    <row r="438" spans="1:15" ht="12.75" customHeight="1" x14ac:dyDescent="0.25">
      <c r="A438" s="380">
        <v>309492</v>
      </c>
      <c r="B438" t="s">
        <v>434</v>
      </c>
      <c r="C438" s="352">
        <v>342</v>
      </c>
      <c r="D438" s="352">
        <v>458</v>
      </c>
      <c r="E438" s="352">
        <v>800</v>
      </c>
      <c r="F438" s="352">
        <v>15531028</v>
      </c>
      <c r="G438" s="352">
        <v>25790251</v>
      </c>
      <c r="H438" s="352">
        <v>41321279</v>
      </c>
      <c r="I438" s="352">
        <v>761610</v>
      </c>
      <c r="J438" t="s">
        <v>178</v>
      </c>
      <c r="K438" t="s">
        <v>1265</v>
      </c>
      <c r="L438" t="s">
        <v>1276</v>
      </c>
      <c r="M438" t="s">
        <v>57</v>
      </c>
      <c r="N438" s="2"/>
      <c r="O438" s="4"/>
    </row>
    <row r="439" spans="1:15" ht="12.75" customHeight="1" x14ac:dyDescent="0.25">
      <c r="A439" s="380">
        <v>772509</v>
      </c>
      <c r="B439" t="s">
        <v>528</v>
      </c>
      <c r="C439" s="352">
        <v>368</v>
      </c>
      <c r="D439" s="352">
        <v>427</v>
      </c>
      <c r="E439" s="352">
        <v>795</v>
      </c>
      <c r="F439" s="352">
        <v>14816163</v>
      </c>
      <c r="G439" s="352">
        <v>20791915</v>
      </c>
      <c r="H439" s="352">
        <v>35608078</v>
      </c>
      <c r="I439" s="352">
        <v>485446</v>
      </c>
      <c r="J439" t="s">
        <v>154</v>
      </c>
      <c r="K439" t="s">
        <v>1265</v>
      </c>
      <c r="L439" t="s">
        <v>1273</v>
      </c>
      <c r="M439" t="s">
        <v>57</v>
      </c>
      <c r="N439" s="2"/>
      <c r="O439" s="4"/>
    </row>
    <row r="440" spans="1:15" ht="12.75" customHeight="1" x14ac:dyDescent="0.25">
      <c r="A440" s="380">
        <v>296749</v>
      </c>
      <c r="B440" t="s">
        <v>572</v>
      </c>
      <c r="C440" s="352">
        <v>303</v>
      </c>
      <c r="D440" s="352">
        <v>486</v>
      </c>
      <c r="E440" s="352">
        <v>789</v>
      </c>
      <c r="F440" s="352">
        <v>20857362</v>
      </c>
      <c r="G440" s="352">
        <v>40465106</v>
      </c>
      <c r="H440" s="352">
        <v>61322468</v>
      </c>
      <c r="I440" s="352">
        <v>957413</v>
      </c>
      <c r="J440" t="s">
        <v>204</v>
      </c>
      <c r="K440" t="s">
        <v>1265</v>
      </c>
      <c r="L440" t="s">
        <v>1278</v>
      </c>
      <c r="M440" t="s">
        <v>57</v>
      </c>
      <c r="N440" s="2"/>
      <c r="O440" s="4"/>
    </row>
    <row r="441" spans="1:15" ht="12.75" customHeight="1" x14ac:dyDescent="0.25">
      <c r="A441" s="380">
        <v>971077</v>
      </c>
      <c r="B441" t="s">
        <v>1229</v>
      </c>
      <c r="C441" s="352">
        <v>271</v>
      </c>
      <c r="D441" s="352">
        <v>507</v>
      </c>
      <c r="E441" s="352">
        <v>778</v>
      </c>
      <c r="F441" s="352">
        <v>13735389</v>
      </c>
      <c r="G441" s="352">
        <v>28661310</v>
      </c>
      <c r="H441" s="352">
        <v>42396700</v>
      </c>
      <c r="I441" s="352">
        <v>-61893</v>
      </c>
      <c r="J441" t="s">
        <v>228</v>
      </c>
      <c r="K441" t="s">
        <v>1265</v>
      </c>
      <c r="L441" t="s">
        <v>152</v>
      </c>
      <c r="M441" t="s">
        <v>136</v>
      </c>
      <c r="N441" s="2"/>
      <c r="O441" s="4"/>
    </row>
    <row r="442" spans="1:15" ht="12.75" customHeight="1" x14ac:dyDescent="0.25">
      <c r="A442" s="380">
        <v>666313</v>
      </c>
      <c r="B442" t="s">
        <v>431</v>
      </c>
      <c r="C442" s="352">
        <v>297</v>
      </c>
      <c r="D442" s="352">
        <v>476</v>
      </c>
      <c r="E442" s="352">
        <v>773</v>
      </c>
      <c r="F442" s="352">
        <v>8667216</v>
      </c>
      <c r="G442" s="352">
        <v>16917530</v>
      </c>
      <c r="H442" s="352">
        <v>25584746</v>
      </c>
      <c r="I442" s="352">
        <v>-140288</v>
      </c>
      <c r="J442" t="s">
        <v>247</v>
      </c>
      <c r="K442" t="s">
        <v>1265</v>
      </c>
      <c r="L442" t="s">
        <v>496</v>
      </c>
      <c r="M442" t="s">
        <v>57</v>
      </c>
      <c r="N442" s="2"/>
      <c r="O442" s="4"/>
    </row>
    <row r="443" spans="1:15" ht="12.75" customHeight="1" x14ac:dyDescent="0.25">
      <c r="A443" s="380">
        <v>804385</v>
      </c>
      <c r="B443" t="s">
        <v>476</v>
      </c>
      <c r="C443" s="352">
        <v>281</v>
      </c>
      <c r="D443" s="352">
        <v>448</v>
      </c>
      <c r="E443" s="352">
        <v>729</v>
      </c>
      <c r="F443" s="352">
        <v>16099839</v>
      </c>
      <c r="G443" s="352">
        <v>30338281</v>
      </c>
      <c r="H443" s="352">
        <v>46438121</v>
      </c>
      <c r="I443" s="352">
        <v>506213</v>
      </c>
      <c r="J443" t="s">
        <v>608</v>
      </c>
      <c r="K443" t="s">
        <v>1265</v>
      </c>
      <c r="L443" t="s">
        <v>369</v>
      </c>
      <c r="M443" t="s">
        <v>57</v>
      </c>
      <c r="N443" s="2"/>
      <c r="O443" s="4"/>
    </row>
    <row r="444" spans="1:15" ht="12.75" customHeight="1" x14ac:dyDescent="0.25">
      <c r="A444" s="380">
        <v>294322</v>
      </c>
      <c r="B444" t="s">
        <v>505</v>
      </c>
      <c r="C444" s="352">
        <v>362</v>
      </c>
      <c r="D444" s="352">
        <v>362</v>
      </c>
      <c r="E444" s="352">
        <v>724</v>
      </c>
      <c r="F444" s="352">
        <v>16682108</v>
      </c>
      <c r="G444" s="352">
        <v>21910459</v>
      </c>
      <c r="H444" s="352">
        <v>38592567</v>
      </c>
      <c r="I444" s="352">
        <v>120589</v>
      </c>
      <c r="J444" t="s">
        <v>154</v>
      </c>
      <c r="K444" t="s">
        <v>1265</v>
      </c>
      <c r="L444" t="s">
        <v>350</v>
      </c>
      <c r="M444" t="s">
        <v>57</v>
      </c>
      <c r="N444" s="2"/>
      <c r="O444" s="4"/>
    </row>
    <row r="445" spans="1:15" ht="12.75" customHeight="1" x14ac:dyDescent="0.25">
      <c r="A445" s="380">
        <v>318469</v>
      </c>
      <c r="B445" t="s">
        <v>365</v>
      </c>
      <c r="C445" s="352">
        <v>282</v>
      </c>
      <c r="D445" s="352">
        <v>425</v>
      </c>
      <c r="E445" s="352">
        <v>707</v>
      </c>
      <c r="F445" s="352">
        <v>16322950</v>
      </c>
      <c r="G445" s="352">
        <v>32118406</v>
      </c>
      <c r="H445" s="352">
        <v>48441356</v>
      </c>
      <c r="I445" s="352">
        <v>3908742</v>
      </c>
      <c r="J445" t="s">
        <v>229</v>
      </c>
      <c r="K445" t="s">
        <v>1265</v>
      </c>
      <c r="L445" t="s">
        <v>268</v>
      </c>
      <c r="M445" t="s">
        <v>57</v>
      </c>
      <c r="N445" s="2"/>
      <c r="O445" s="4"/>
    </row>
    <row r="446" spans="1:15" ht="12.75" customHeight="1" x14ac:dyDescent="0.25">
      <c r="A446" s="380">
        <v>201111</v>
      </c>
      <c r="B446" t="s">
        <v>218</v>
      </c>
      <c r="C446" s="352">
        <v>381</v>
      </c>
      <c r="D446" s="352">
        <v>301</v>
      </c>
      <c r="E446" s="352">
        <v>682</v>
      </c>
      <c r="F446" s="352">
        <v>22269607</v>
      </c>
      <c r="G446" s="352">
        <v>23073725</v>
      </c>
      <c r="H446" s="352">
        <v>45343333</v>
      </c>
      <c r="I446" s="352">
        <v>730437</v>
      </c>
      <c r="J446" t="s">
        <v>590</v>
      </c>
      <c r="K446" t="s">
        <v>1265</v>
      </c>
      <c r="L446" t="s">
        <v>152</v>
      </c>
      <c r="M446" t="s">
        <v>136</v>
      </c>
      <c r="N446" s="2"/>
      <c r="O446" s="4"/>
    </row>
    <row r="447" spans="1:15" ht="12.75" customHeight="1" x14ac:dyDescent="0.25">
      <c r="A447" s="380">
        <v>336115</v>
      </c>
      <c r="B447" t="s">
        <v>1284</v>
      </c>
      <c r="C447" s="352">
        <v>260</v>
      </c>
      <c r="D447" s="352">
        <v>411</v>
      </c>
      <c r="E447" s="352">
        <v>671</v>
      </c>
      <c r="F447" s="352">
        <v>10947227</v>
      </c>
      <c r="G447" s="352">
        <v>22058949</v>
      </c>
      <c r="H447" s="352">
        <v>33006176</v>
      </c>
      <c r="I447" s="352">
        <v>-107411</v>
      </c>
      <c r="J447" t="s">
        <v>596</v>
      </c>
      <c r="K447" t="s">
        <v>1266</v>
      </c>
      <c r="L447" t="s">
        <v>1281</v>
      </c>
      <c r="M447" t="s">
        <v>57</v>
      </c>
      <c r="N447" s="2"/>
      <c r="O447" s="4"/>
    </row>
    <row r="448" spans="1:15" ht="12.75" customHeight="1" x14ac:dyDescent="0.25">
      <c r="A448" s="380">
        <v>384750</v>
      </c>
      <c r="B448" t="s">
        <v>219</v>
      </c>
      <c r="C448" s="352">
        <v>308</v>
      </c>
      <c r="D448" s="352">
        <v>359</v>
      </c>
      <c r="E448" s="352">
        <v>667</v>
      </c>
      <c r="F448" s="352">
        <v>16471471</v>
      </c>
      <c r="G448" s="352">
        <v>25259093</v>
      </c>
      <c r="H448" s="352">
        <v>41730564</v>
      </c>
      <c r="I448" s="352">
        <v>192093</v>
      </c>
      <c r="J448" t="s">
        <v>601</v>
      </c>
      <c r="K448" t="s">
        <v>1266</v>
      </c>
      <c r="L448" t="s">
        <v>220</v>
      </c>
      <c r="M448" t="s">
        <v>136</v>
      </c>
      <c r="N448" s="2"/>
      <c r="O448" s="4"/>
    </row>
    <row r="449" spans="1:15" ht="12.75" customHeight="1" x14ac:dyDescent="0.25">
      <c r="A449" s="380">
        <v>408898</v>
      </c>
      <c r="B449" t="s">
        <v>603</v>
      </c>
      <c r="C449" s="352">
        <v>317</v>
      </c>
      <c r="D449" s="352">
        <v>347</v>
      </c>
      <c r="E449" s="352">
        <v>664</v>
      </c>
      <c r="F449" s="352">
        <v>16574899</v>
      </c>
      <c r="G449" s="352">
        <v>20952710</v>
      </c>
      <c r="H449" s="352">
        <v>37527609</v>
      </c>
      <c r="I449" s="352">
        <v>1791870</v>
      </c>
      <c r="J449" t="s">
        <v>599</v>
      </c>
      <c r="K449" t="s">
        <v>1266</v>
      </c>
      <c r="L449" t="s">
        <v>1277</v>
      </c>
      <c r="M449" t="s">
        <v>57</v>
      </c>
      <c r="N449" s="2"/>
      <c r="O449" s="4"/>
    </row>
    <row r="450" spans="1:15" ht="12.75" customHeight="1" x14ac:dyDescent="0.25">
      <c r="A450" s="380">
        <v>440065</v>
      </c>
      <c r="B450" t="s">
        <v>446</v>
      </c>
      <c r="C450" s="352">
        <v>293</v>
      </c>
      <c r="D450" s="352">
        <v>357</v>
      </c>
      <c r="E450" s="352">
        <v>650</v>
      </c>
      <c r="F450" s="352">
        <v>16771376</v>
      </c>
      <c r="G450" s="352">
        <v>23878981</v>
      </c>
      <c r="H450" s="352">
        <v>40650357</v>
      </c>
      <c r="I450" s="352">
        <v>-381</v>
      </c>
      <c r="J450" t="s">
        <v>607</v>
      </c>
      <c r="K450" t="s">
        <v>1265</v>
      </c>
      <c r="L450" t="s">
        <v>1278</v>
      </c>
      <c r="M450" t="s">
        <v>57</v>
      </c>
      <c r="N450" s="2"/>
      <c r="O450" s="4"/>
    </row>
    <row r="451" spans="1:15" ht="12.75" customHeight="1" x14ac:dyDescent="0.25">
      <c r="A451" s="380">
        <v>311027</v>
      </c>
      <c r="B451" t="s">
        <v>311</v>
      </c>
      <c r="C451" s="352">
        <v>234</v>
      </c>
      <c r="D451" s="352">
        <v>414</v>
      </c>
      <c r="E451" s="352">
        <v>648</v>
      </c>
      <c r="F451" s="352">
        <v>13078235</v>
      </c>
      <c r="G451" s="352">
        <v>26251625</v>
      </c>
      <c r="H451" s="352">
        <v>39329860</v>
      </c>
      <c r="I451" s="352">
        <v>1165670</v>
      </c>
      <c r="J451" t="s">
        <v>610</v>
      </c>
      <c r="K451" t="s">
        <v>1265</v>
      </c>
      <c r="L451" t="s">
        <v>150</v>
      </c>
      <c r="M451" t="s">
        <v>57</v>
      </c>
      <c r="N451" s="2"/>
      <c r="O451" s="4"/>
    </row>
    <row r="452" spans="1:15" ht="12.75" customHeight="1" x14ac:dyDescent="0.25">
      <c r="A452" s="380">
        <v>887497</v>
      </c>
      <c r="B452" t="s">
        <v>441</v>
      </c>
      <c r="C452" s="352">
        <v>198</v>
      </c>
      <c r="D452" s="352">
        <v>448</v>
      </c>
      <c r="E452" s="352">
        <v>646</v>
      </c>
      <c r="F452" s="352">
        <v>7763204</v>
      </c>
      <c r="G452" s="352">
        <v>23177975</v>
      </c>
      <c r="H452" s="352">
        <v>30941179</v>
      </c>
      <c r="I452" s="352">
        <v>40125</v>
      </c>
      <c r="J452" t="s">
        <v>606</v>
      </c>
      <c r="K452" t="s">
        <v>1265</v>
      </c>
      <c r="L452" t="s">
        <v>1278</v>
      </c>
      <c r="M452" t="s">
        <v>57</v>
      </c>
      <c r="N452" s="2"/>
      <c r="O452" s="4"/>
    </row>
    <row r="453" spans="1:15" ht="12.75" customHeight="1" x14ac:dyDescent="0.25">
      <c r="A453" s="380">
        <v>242495</v>
      </c>
      <c r="B453" t="s">
        <v>1143</v>
      </c>
      <c r="C453" s="352">
        <v>272</v>
      </c>
      <c r="D453" s="352">
        <v>363</v>
      </c>
      <c r="E453" s="352">
        <v>635</v>
      </c>
      <c r="F453" s="352">
        <v>15457963</v>
      </c>
      <c r="G453" s="352">
        <v>23469041</v>
      </c>
      <c r="H453" s="352">
        <v>38927005</v>
      </c>
      <c r="I453" s="352">
        <v>525951</v>
      </c>
      <c r="J453" t="s">
        <v>244</v>
      </c>
      <c r="K453" t="s">
        <v>1265</v>
      </c>
      <c r="L453" t="s">
        <v>1282</v>
      </c>
      <c r="M453" t="s">
        <v>57</v>
      </c>
      <c r="N453" s="2"/>
      <c r="O453" s="4"/>
    </row>
    <row r="454" spans="1:15" ht="12.75" customHeight="1" x14ac:dyDescent="0.25">
      <c r="A454" s="380">
        <v>395434</v>
      </c>
      <c r="B454" t="s">
        <v>118</v>
      </c>
      <c r="C454" s="352">
        <v>206</v>
      </c>
      <c r="D454" s="352">
        <v>429</v>
      </c>
      <c r="E454" s="352">
        <v>635</v>
      </c>
      <c r="F454" s="352">
        <v>9610909</v>
      </c>
      <c r="G454" s="352">
        <v>27692824</v>
      </c>
      <c r="H454" s="352">
        <v>37303733</v>
      </c>
      <c r="I454" s="352">
        <v>-444426</v>
      </c>
      <c r="J454" t="s">
        <v>229</v>
      </c>
      <c r="K454" t="s">
        <v>1265</v>
      </c>
      <c r="L454" t="s">
        <v>464</v>
      </c>
      <c r="M454" t="s">
        <v>57</v>
      </c>
      <c r="N454" s="2"/>
      <c r="O454" s="4"/>
    </row>
    <row r="455" spans="1:15" ht="12.75" customHeight="1" x14ac:dyDescent="0.25">
      <c r="A455" s="380">
        <v>925099</v>
      </c>
      <c r="B455" t="s">
        <v>452</v>
      </c>
      <c r="C455" s="352">
        <v>228</v>
      </c>
      <c r="D455" s="352">
        <v>403</v>
      </c>
      <c r="E455" s="352">
        <v>631</v>
      </c>
      <c r="F455" s="352">
        <v>14208309</v>
      </c>
      <c r="G455" s="352">
        <v>32985655</v>
      </c>
      <c r="H455" s="352">
        <v>47193964</v>
      </c>
      <c r="I455" s="352">
        <v>-865421</v>
      </c>
      <c r="J455" t="s">
        <v>277</v>
      </c>
      <c r="K455" t="s">
        <v>1265</v>
      </c>
      <c r="L455" t="s">
        <v>1278</v>
      </c>
      <c r="M455" t="s">
        <v>57</v>
      </c>
      <c r="N455" s="2"/>
      <c r="O455" s="4"/>
    </row>
    <row r="456" spans="1:15" ht="12.75" customHeight="1" x14ac:dyDescent="0.25">
      <c r="A456" s="380">
        <v>316752</v>
      </c>
      <c r="B456" t="s">
        <v>263</v>
      </c>
      <c r="C456" s="352">
        <v>291</v>
      </c>
      <c r="D456" s="352">
        <v>335</v>
      </c>
      <c r="E456" s="352">
        <v>626</v>
      </c>
      <c r="F456" s="352">
        <v>13944505</v>
      </c>
      <c r="G456" s="352">
        <v>21942115</v>
      </c>
      <c r="H456" s="352">
        <v>35886621</v>
      </c>
      <c r="I456" s="352">
        <v>3475040</v>
      </c>
      <c r="J456" t="s">
        <v>599</v>
      </c>
      <c r="K456" t="s">
        <v>1266</v>
      </c>
      <c r="L456" t="s">
        <v>1278</v>
      </c>
      <c r="M456" t="s">
        <v>57</v>
      </c>
      <c r="N456" s="2"/>
      <c r="O456" s="4"/>
    </row>
    <row r="457" spans="1:15" ht="12.75" customHeight="1" x14ac:dyDescent="0.25">
      <c r="A457" s="380">
        <v>613729</v>
      </c>
      <c r="B457" t="s">
        <v>1148</v>
      </c>
      <c r="C457" s="352">
        <v>325</v>
      </c>
      <c r="D457" s="352">
        <v>292</v>
      </c>
      <c r="E457" s="352">
        <v>617</v>
      </c>
      <c r="F457" s="352">
        <v>24401549</v>
      </c>
      <c r="G457" s="352">
        <v>26621422</v>
      </c>
      <c r="H457" s="352">
        <v>51022972</v>
      </c>
      <c r="I457" s="352">
        <v>338124</v>
      </c>
      <c r="J457" t="s">
        <v>154</v>
      </c>
      <c r="K457" t="s">
        <v>1265</v>
      </c>
      <c r="L457" t="s">
        <v>1277</v>
      </c>
      <c r="M457" t="s">
        <v>57</v>
      </c>
      <c r="N457" s="2"/>
      <c r="O457" s="4"/>
    </row>
    <row r="458" spans="1:15" ht="12.75" customHeight="1" x14ac:dyDescent="0.25">
      <c r="A458" s="380">
        <v>502922</v>
      </c>
      <c r="B458" t="s">
        <v>406</v>
      </c>
      <c r="C458" s="352">
        <v>176</v>
      </c>
      <c r="D458" s="352">
        <v>439</v>
      </c>
      <c r="E458" s="352">
        <v>615</v>
      </c>
      <c r="F458" s="352">
        <v>9296137</v>
      </c>
      <c r="G458" s="352">
        <v>26923394</v>
      </c>
      <c r="H458" s="352">
        <v>36219530</v>
      </c>
      <c r="I458" s="352">
        <v>-1265175</v>
      </c>
      <c r="J458" t="s">
        <v>606</v>
      </c>
      <c r="K458" t="s">
        <v>1265</v>
      </c>
      <c r="L458" t="s">
        <v>464</v>
      </c>
      <c r="M458" t="s">
        <v>57</v>
      </c>
      <c r="N458" s="2"/>
      <c r="O458" s="4"/>
    </row>
    <row r="459" spans="1:15" ht="12.75" customHeight="1" x14ac:dyDescent="0.25">
      <c r="A459" s="380">
        <v>920439</v>
      </c>
      <c r="B459" t="s">
        <v>551</v>
      </c>
      <c r="C459" s="352">
        <v>252</v>
      </c>
      <c r="D459" s="352">
        <v>353</v>
      </c>
      <c r="E459" s="352">
        <v>605</v>
      </c>
      <c r="F459" s="352">
        <v>7854887</v>
      </c>
      <c r="G459" s="352">
        <v>14875886</v>
      </c>
      <c r="H459" s="352">
        <v>22730772</v>
      </c>
      <c r="I459" s="352">
        <v>100919</v>
      </c>
      <c r="J459" t="s">
        <v>167</v>
      </c>
      <c r="K459" t="s">
        <v>1265</v>
      </c>
      <c r="L459" t="s">
        <v>467</v>
      </c>
      <c r="M459" t="s">
        <v>57</v>
      </c>
      <c r="N459" s="2"/>
      <c r="O459" s="4"/>
    </row>
    <row r="460" spans="1:15" ht="12.75" customHeight="1" x14ac:dyDescent="0.25">
      <c r="A460" s="380">
        <v>304659</v>
      </c>
      <c r="B460" t="s">
        <v>1283</v>
      </c>
      <c r="C460" s="352">
        <v>229</v>
      </c>
      <c r="D460" s="352">
        <v>362</v>
      </c>
      <c r="E460" s="352">
        <v>591</v>
      </c>
      <c r="F460" s="352">
        <v>13787119</v>
      </c>
      <c r="G460" s="352">
        <v>28470489</v>
      </c>
      <c r="H460" s="352">
        <v>42257608</v>
      </c>
      <c r="I460" s="352">
        <v>417827</v>
      </c>
      <c r="J460" t="s">
        <v>608</v>
      </c>
      <c r="K460" t="s">
        <v>1265</v>
      </c>
      <c r="L460" t="s">
        <v>279</v>
      </c>
      <c r="M460" t="s">
        <v>57</v>
      </c>
      <c r="N460" s="2"/>
      <c r="O460" s="4"/>
    </row>
    <row r="461" spans="1:15" ht="12.75" customHeight="1" x14ac:dyDescent="0.25">
      <c r="A461" s="380">
        <v>682070</v>
      </c>
      <c r="B461" t="s">
        <v>407</v>
      </c>
      <c r="C461" s="352">
        <v>206</v>
      </c>
      <c r="D461" s="352">
        <v>384</v>
      </c>
      <c r="E461" s="352">
        <v>590</v>
      </c>
      <c r="F461" s="352">
        <v>10761475</v>
      </c>
      <c r="G461" s="352">
        <v>23742871</v>
      </c>
      <c r="H461" s="352">
        <v>34504346</v>
      </c>
      <c r="I461" s="352">
        <v>419001</v>
      </c>
      <c r="J461" t="s">
        <v>178</v>
      </c>
      <c r="K461" t="s">
        <v>1265</v>
      </c>
      <c r="L461" t="s">
        <v>464</v>
      </c>
      <c r="M461" t="s">
        <v>57</v>
      </c>
      <c r="N461" s="2"/>
      <c r="O461" s="4"/>
    </row>
    <row r="462" spans="1:15" ht="12.75" customHeight="1" x14ac:dyDescent="0.25">
      <c r="A462" s="380">
        <v>293902</v>
      </c>
      <c r="B462" t="s">
        <v>1189</v>
      </c>
      <c r="C462" s="352">
        <v>252</v>
      </c>
      <c r="D462" s="352">
        <v>332</v>
      </c>
      <c r="E462" s="352">
        <v>584</v>
      </c>
      <c r="F462" s="352">
        <v>10954421</v>
      </c>
      <c r="G462" s="352">
        <v>17931267</v>
      </c>
      <c r="H462" s="352">
        <v>28885688</v>
      </c>
      <c r="I462" s="352">
        <v>-291662</v>
      </c>
      <c r="J462" t="s">
        <v>587</v>
      </c>
      <c r="K462" t="s">
        <v>1262</v>
      </c>
      <c r="L462" t="s">
        <v>157</v>
      </c>
      <c r="M462" t="s">
        <v>136</v>
      </c>
      <c r="N462" s="2"/>
      <c r="O462" s="4"/>
    </row>
    <row r="463" spans="1:15" s="135" customFormat="1" ht="12.75" customHeight="1" x14ac:dyDescent="0.25">
      <c r="A463" s="380">
        <v>490706</v>
      </c>
      <c r="B463" t="s">
        <v>654</v>
      </c>
      <c r="C463" s="352">
        <v>327</v>
      </c>
      <c r="D463" s="352">
        <v>248</v>
      </c>
      <c r="E463" s="352">
        <v>575</v>
      </c>
      <c r="F463" s="352">
        <v>15162962</v>
      </c>
      <c r="G463" s="352">
        <v>13473725</v>
      </c>
      <c r="H463" s="352">
        <v>28636687</v>
      </c>
      <c r="I463" s="352">
        <v>-248913</v>
      </c>
      <c r="J463" t="s">
        <v>588</v>
      </c>
      <c r="K463" t="s">
        <v>1262</v>
      </c>
      <c r="L463" t="s">
        <v>193</v>
      </c>
      <c r="M463" t="s">
        <v>136</v>
      </c>
      <c r="N463" s="20"/>
    </row>
    <row r="464" spans="1:15" ht="12.75" customHeight="1" x14ac:dyDescent="0.25">
      <c r="A464" s="380">
        <v>356063</v>
      </c>
      <c r="B464" t="s">
        <v>416</v>
      </c>
      <c r="C464" s="352">
        <v>218</v>
      </c>
      <c r="D464" s="352">
        <v>335</v>
      </c>
      <c r="E464" s="352">
        <v>553</v>
      </c>
      <c r="F464" s="352">
        <v>12157552</v>
      </c>
      <c r="G464" s="352">
        <v>22102340</v>
      </c>
      <c r="H464" s="352">
        <v>34259891</v>
      </c>
      <c r="I464" s="352">
        <v>4321200</v>
      </c>
      <c r="J464" t="s">
        <v>607</v>
      </c>
      <c r="K464" t="s">
        <v>1265</v>
      </c>
      <c r="L464" t="s">
        <v>414</v>
      </c>
      <c r="M464" t="s">
        <v>57</v>
      </c>
      <c r="N464" s="2"/>
      <c r="O464" s="4"/>
    </row>
    <row r="465" spans="1:15" ht="12.75" customHeight="1" x14ac:dyDescent="0.25">
      <c r="A465" s="380">
        <v>843698</v>
      </c>
      <c r="B465" t="s">
        <v>381</v>
      </c>
      <c r="C465" s="352">
        <v>207</v>
      </c>
      <c r="D465" s="352">
        <v>325</v>
      </c>
      <c r="E465" s="352">
        <v>532</v>
      </c>
      <c r="F465" s="352">
        <v>10795839</v>
      </c>
      <c r="G465" s="352">
        <v>20676909</v>
      </c>
      <c r="H465" s="352">
        <v>31472749</v>
      </c>
      <c r="I465" s="352">
        <v>-7631573</v>
      </c>
      <c r="J465" t="s">
        <v>609</v>
      </c>
      <c r="K465" t="s">
        <v>1265</v>
      </c>
      <c r="L465" t="s">
        <v>1273</v>
      </c>
      <c r="M465" t="s">
        <v>57</v>
      </c>
      <c r="N465" s="2"/>
      <c r="O465" s="4"/>
    </row>
    <row r="466" spans="1:15" ht="12.75" customHeight="1" x14ac:dyDescent="0.25">
      <c r="A466" s="380">
        <v>757575</v>
      </c>
      <c r="B466" t="s">
        <v>1293</v>
      </c>
      <c r="C466" s="352">
        <v>207</v>
      </c>
      <c r="D466" s="352">
        <v>322</v>
      </c>
      <c r="E466" s="352">
        <v>529</v>
      </c>
      <c r="F466" s="352">
        <v>10991029</v>
      </c>
      <c r="G466" s="352">
        <v>19572500</v>
      </c>
      <c r="H466" s="352">
        <v>30563529</v>
      </c>
      <c r="I466" s="352">
        <v>260359</v>
      </c>
      <c r="J466" t="s">
        <v>167</v>
      </c>
      <c r="K466" t="s">
        <v>1265</v>
      </c>
      <c r="L466" t="s">
        <v>1281</v>
      </c>
      <c r="M466" t="s">
        <v>57</v>
      </c>
      <c r="N466" s="2"/>
      <c r="O466" s="4"/>
    </row>
    <row r="467" spans="1:15" ht="12.75" customHeight="1" x14ac:dyDescent="0.25">
      <c r="A467" s="380">
        <v>354290</v>
      </c>
      <c r="B467" t="s">
        <v>364</v>
      </c>
      <c r="C467" s="352">
        <v>249</v>
      </c>
      <c r="D467" s="352">
        <v>270</v>
      </c>
      <c r="E467" s="352">
        <v>519</v>
      </c>
      <c r="F467" s="352">
        <v>12368191</v>
      </c>
      <c r="G467" s="352">
        <v>15831515</v>
      </c>
      <c r="H467" s="352">
        <v>28199706</v>
      </c>
      <c r="I467" s="352">
        <v>-818971</v>
      </c>
      <c r="J467" t="s">
        <v>244</v>
      </c>
      <c r="K467" t="s">
        <v>1265</v>
      </c>
      <c r="L467" t="s">
        <v>268</v>
      </c>
      <c r="M467" t="s">
        <v>57</v>
      </c>
      <c r="N467" s="2"/>
      <c r="O467" s="4"/>
    </row>
    <row r="468" spans="1:15" ht="12.75" customHeight="1" x14ac:dyDescent="0.25">
      <c r="A468" s="380">
        <v>475897</v>
      </c>
      <c r="B468" t="s">
        <v>420</v>
      </c>
      <c r="C468" s="352">
        <v>245</v>
      </c>
      <c r="D468" s="352">
        <v>273</v>
      </c>
      <c r="E468" s="352">
        <v>518</v>
      </c>
      <c r="F468" s="352">
        <v>7918935</v>
      </c>
      <c r="G468" s="352">
        <v>11667597</v>
      </c>
      <c r="H468" s="352">
        <v>19586532</v>
      </c>
      <c r="I468" s="352">
        <v>80032</v>
      </c>
      <c r="J468" t="s">
        <v>178</v>
      </c>
      <c r="K468" t="s">
        <v>1265</v>
      </c>
      <c r="L468" t="s">
        <v>1278</v>
      </c>
      <c r="M468" t="s">
        <v>57</v>
      </c>
      <c r="N468" s="2"/>
      <c r="O468" s="4"/>
    </row>
    <row r="469" spans="1:15" ht="12.75" customHeight="1" x14ac:dyDescent="0.25">
      <c r="A469" s="380">
        <v>857037</v>
      </c>
      <c r="B469" t="s">
        <v>555</v>
      </c>
      <c r="C469" s="352">
        <v>296</v>
      </c>
      <c r="D469" s="352">
        <v>219</v>
      </c>
      <c r="E469" s="352">
        <v>515</v>
      </c>
      <c r="F469" s="352">
        <v>8369795</v>
      </c>
      <c r="G469" s="352">
        <v>7649991</v>
      </c>
      <c r="H469" s="352">
        <v>16019786</v>
      </c>
      <c r="I469" s="352">
        <v>131062</v>
      </c>
      <c r="J469" t="s">
        <v>588</v>
      </c>
      <c r="K469" t="s">
        <v>1262</v>
      </c>
      <c r="L469" t="s">
        <v>467</v>
      </c>
      <c r="M469" t="s">
        <v>57</v>
      </c>
      <c r="N469" s="2"/>
      <c r="O469" s="4"/>
    </row>
    <row r="470" spans="1:15" ht="12.75" customHeight="1" x14ac:dyDescent="0.25">
      <c r="A470" s="380">
        <v>807867</v>
      </c>
      <c r="B470" t="s">
        <v>378</v>
      </c>
      <c r="C470" s="352">
        <v>314</v>
      </c>
      <c r="D470" s="352">
        <v>199</v>
      </c>
      <c r="E470" s="352">
        <v>513</v>
      </c>
      <c r="F470" s="352">
        <v>9353740</v>
      </c>
      <c r="G470" s="352">
        <v>7188713</v>
      </c>
      <c r="H470" s="352">
        <v>16542453</v>
      </c>
      <c r="I470" s="352">
        <v>-246015</v>
      </c>
      <c r="J470" t="s">
        <v>228</v>
      </c>
      <c r="K470" t="s">
        <v>1265</v>
      </c>
      <c r="L470" t="s">
        <v>1273</v>
      </c>
      <c r="M470" t="s">
        <v>57</v>
      </c>
      <c r="N470" s="2"/>
      <c r="O470" s="4"/>
    </row>
    <row r="471" spans="1:15" ht="12.75" customHeight="1" x14ac:dyDescent="0.25">
      <c r="A471" s="380">
        <v>686626</v>
      </c>
      <c r="B471" t="s">
        <v>1345</v>
      </c>
      <c r="C471" s="352">
        <v>220</v>
      </c>
      <c r="D471" s="352">
        <v>289</v>
      </c>
      <c r="E471" s="352">
        <v>509</v>
      </c>
      <c r="F471" s="352">
        <v>13039644</v>
      </c>
      <c r="G471" s="352">
        <v>21820532</v>
      </c>
      <c r="H471" s="352">
        <v>34860176</v>
      </c>
      <c r="I471" s="352">
        <v>703926</v>
      </c>
      <c r="J471" t="s">
        <v>608</v>
      </c>
      <c r="K471" t="s">
        <v>1265</v>
      </c>
      <c r="L471" t="s">
        <v>1273</v>
      </c>
      <c r="M471" t="s">
        <v>57</v>
      </c>
      <c r="N471" s="2"/>
      <c r="O471" s="4"/>
    </row>
    <row r="472" spans="1:15" ht="12.75" customHeight="1" x14ac:dyDescent="0.25">
      <c r="A472" s="380">
        <v>657460</v>
      </c>
      <c r="B472" t="s">
        <v>368</v>
      </c>
      <c r="C472" s="352">
        <v>272</v>
      </c>
      <c r="D472" s="352">
        <v>237</v>
      </c>
      <c r="E472" s="352">
        <v>509</v>
      </c>
      <c r="F472" s="352">
        <v>12001059</v>
      </c>
      <c r="G472" s="352">
        <v>12446202</v>
      </c>
      <c r="H472" s="352">
        <v>24447261</v>
      </c>
      <c r="I472" s="352">
        <v>-968872</v>
      </c>
      <c r="J472" t="s">
        <v>588</v>
      </c>
      <c r="K472" t="s">
        <v>1262</v>
      </c>
      <c r="L472" t="s">
        <v>164</v>
      </c>
      <c r="M472" t="s">
        <v>57</v>
      </c>
      <c r="N472" s="2"/>
      <c r="O472" s="4"/>
    </row>
    <row r="473" spans="1:15" ht="12.75" customHeight="1" x14ac:dyDescent="0.25">
      <c r="A473" s="380">
        <v>906792</v>
      </c>
      <c r="B473" t="s">
        <v>423</v>
      </c>
      <c r="C473" s="352">
        <v>142</v>
      </c>
      <c r="D473" s="352">
        <v>341</v>
      </c>
      <c r="E473" s="352">
        <v>483</v>
      </c>
      <c r="F473" s="352">
        <v>11092913</v>
      </c>
      <c r="G473" s="352">
        <v>33550228</v>
      </c>
      <c r="H473" s="352">
        <v>44643141</v>
      </c>
      <c r="I473" s="352">
        <v>12611997</v>
      </c>
      <c r="J473" t="s">
        <v>599</v>
      </c>
      <c r="K473" t="s">
        <v>1266</v>
      </c>
      <c r="L473" t="s">
        <v>1272</v>
      </c>
      <c r="M473" t="s">
        <v>57</v>
      </c>
      <c r="N473" s="2"/>
      <c r="O473" s="4"/>
    </row>
    <row r="474" spans="1:15" ht="12.75" customHeight="1" x14ac:dyDescent="0.25">
      <c r="A474" s="380">
        <v>653501</v>
      </c>
      <c r="B474" t="s">
        <v>543</v>
      </c>
      <c r="C474" s="352">
        <v>217</v>
      </c>
      <c r="D474" s="352">
        <v>251</v>
      </c>
      <c r="E474" s="352">
        <v>468</v>
      </c>
      <c r="F474" s="352">
        <v>18002445</v>
      </c>
      <c r="G474" s="352">
        <v>26386634</v>
      </c>
      <c r="H474" s="352">
        <v>44389079</v>
      </c>
      <c r="I474" s="352">
        <v>3568800</v>
      </c>
      <c r="J474" t="s">
        <v>595</v>
      </c>
      <c r="K474" t="s">
        <v>1266</v>
      </c>
      <c r="L474" t="s">
        <v>161</v>
      </c>
      <c r="M474" t="s">
        <v>136</v>
      </c>
      <c r="N474" s="2"/>
      <c r="O474" s="4"/>
    </row>
    <row r="475" spans="1:15" ht="12.75" customHeight="1" x14ac:dyDescent="0.25">
      <c r="A475" s="380">
        <v>660704</v>
      </c>
      <c r="B475" t="s">
        <v>1203</v>
      </c>
      <c r="C475" s="352">
        <v>146</v>
      </c>
      <c r="D475" s="352">
        <v>321</v>
      </c>
      <c r="E475" s="352">
        <v>467</v>
      </c>
      <c r="F475" s="352">
        <v>8077626</v>
      </c>
      <c r="G475" s="352">
        <v>23003663</v>
      </c>
      <c r="H475" s="352">
        <v>31081289</v>
      </c>
      <c r="I475" s="352">
        <v>-57645</v>
      </c>
      <c r="J475" t="s">
        <v>247</v>
      </c>
      <c r="K475" t="s">
        <v>1265</v>
      </c>
      <c r="L475" t="s">
        <v>1291</v>
      </c>
      <c r="M475" t="s">
        <v>57</v>
      </c>
      <c r="N475" s="2"/>
      <c r="O475" s="4"/>
    </row>
    <row r="476" spans="1:15" ht="12.75" customHeight="1" x14ac:dyDescent="0.25">
      <c r="A476" s="380">
        <v>324665</v>
      </c>
      <c r="B476" t="s">
        <v>374</v>
      </c>
      <c r="C476" s="352">
        <v>217</v>
      </c>
      <c r="D476" s="352">
        <v>247</v>
      </c>
      <c r="E476" s="352">
        <v>464</v>
      </c>
      <c r="F476" s="352">
        <v>12089104</v>
      </c>
      <c r="G476" s="352">
        <v>15033061</v>
      </c>
      <c r="H476" s="352">
        <v>27122166</v>
      </c>
      <c r="I476" s="352">
        <v>111073</v>
      </c>
      <c r="J476" t="s">
        <v>229</v>
      </c>
      <c r="K476" t="s">
        <v>1265</v>
      </c>
      <c r="L476" t="s">
        <v>371</v>
      </c>
      <c r="M476" t="s">
        <v>57</v>
      </c>
      <c r="N476" s="2"/>
      <c r="O476" s="4"/>
    </row>
    <row r="477" spans="1:15" ht="12.75" customHeight="1" x14ac:dyDescent="0.25">
      <c r="A477" s="380">
        <v>916122</v>
      </c>
      <c r="B477" t="s">
        <v>484</v>
      </c>
      <c r="C477" s="352">
        <v>185</v>
      </c>
      <c r="D477" s="352">
        <v>279</v>
      </c>
      <c r="E477" s="352">
        <v>464</v>
      </c>
      <c r="F477" s="352">
        <v>8335058</v>
      </c>
      <c r="G477" s="352">
        <v>16178102</v>
      </c>
      <c r="H477" s="352">
        <v>24513160</v>
      </c>
      <c r="I477" s="352">
        <v>554159</v>
      </c>
      <c r="J477" t="s">
        <v>178</v>
      </c>
      <c r="K477" t="s">
        <v>1265</v>
      </c>
      <c r="L477" t="s">
        <v>369</v>
      </c>
      <c r="M477" t="s">
        <v>57</v>
      </c>
      <c r="N477" s="2"/>
      <c r="O477" s="4"/>
    </row>
    <row r="478" spans="1:15" ht="12.75" customHeight="1" x14ac:dyDescent="0.25">
      <c r="A478" s="380">
        <v>250878</v>
      </c>
      <c r="B478" t="s">
        <v>460</v>
      </c>
      <c r="C478" s="352">
        <v>142</v>
      </c>
      <c r="D478" s="352">
        <v>314</v>
      </c>
      <c r="E478" s="352">
        <v>456</v>
      </c>
      <c r="F478" s="352">
        <v>5407023</v>
      </c>
      <c r="G478" s="352">
        <v>14234883</v>
      </c>
      <c r="H478" s="352">
        <v>19641906</v>
      </c>
      <c r="I478" s="352">
        <v>11286</v>
      </c>
      <c r="J478" t="s">
        <v>609</v>
      </c>
      <c r="K478" t="s">
        <v>1265</v>
      </c>
      <c r="L478" t="s">
        <v>464</v>
      </c>
      <c r="M478" t="s">
        <v>57</v>
      </c>
      <c r="N478" s="2"/>
      <c r="O478" s="4"/>
    </row>
    <row r="479" spans="1:15" ht="12.75" customHeight="1" x14ac:dyDescent="0.25">
      <c r="A479" s="380">
        <v>616797</v>
      </c>
      <c r="B479" t="s">
        <v>510</v>
      </c>
      <c r="C479" s="352">
        <v>211</v>
      </c>
      <c r="D479" s="352">
        <v>234</v>
      </c>
      <c r="E479" s="352">
        <v>445</v>
      </c>
      <c r="F479" s="352">
        <v>13108536</v>
      </c>
      <c r="G479" s="352">
        <v>17827347</v>
      </c>
      <c r="H479" s="352">
        <v>30935883</v>
      </c>
      <c r="I479" s="352">
        <v>185035</v>
      </c>
      <c r="J479" t="s">
        <v>608</v>
      </c>
      <c r="K479" t="s">
        <v>1265</v>
      </c>
      <c r="L479" t="s">
        <v>350</v>
      </c>
      <c r="M479" t="s">
        <v>57</v>
      </c>
      <c r="N479" s="2"/>
      <c r="O479" s="4"/>
    </row>
    <row r="480" spans="1:15" ht="12.75" customHeight="1" x14ac:dyDescent="0.25">
      <c r="A480" s="380">
        <v>562421</v>
      </c>
      <c r="B480" t="s">
        <v>395</v>
      </c>
      <c r="C480" s="352">
        <v>159</v>
      </c>
      <c r="D480" s="352">
        <v>273</v>
      </c>
      <c r="E480" s="352">
        <v>432</v>
      </c>
      <c r="F480" s="352">
        <v>11332148</v>
      </c>
      <c r="G480" s="352">
        <v>20846113</v>
      </c>
      <c r="H480" s="352">
        <v>32178261</v>
      </c>
      <c r="I480" s="352">
        <v>10068002</v>
      </c>
      <c r="J480" t="s">
        <v>154</v>
      </c>
      <c r="K480" t="s">
        <v>1265</v>
      </c>
      <c r="L480" t="s">
        <v>391</v>
      </c>
      <c r="M480" t="s">
        <v>57</v>
      </c>
      <c r="N480" s="2"/>
      <c r="O480" s="4"/>
    </row>
    <row r="481" spans="1:15" ht="12.75" customHeight="1" x14ac:dyDescent="0.25">
      <c r="A481" s="380">
        <v>882126</v>
      </c>
      <c r="B481" t="s">
        <v>444</v>
      </c>
      <c r="C481" s="352">
        <v>150</v>
      </c>
      <c r="D481" s="352">
        <v>281</v>
      </c>
      <c r="E481" s="352">
        <v>431</v>
      </c>
      <c r="F481" s="352">
        <v>8718914</v>
      </c>
      <c r="G481" s="352">
        <v>19609460</v>
      </c>
      <c r="H481" s="352">
        <v>28328374</v>
      </c>
      <c r="I481" s="352">
        <v>-739399</v>
      </c>
      <c r="J481" t="s">
        <v>259</v>
      </c>
      <c r="K481" t="s">
        <v>1265</v>
      </c>
      <c r="L481" t="s">
        <v>1278</v>
      </c>
      <c r="M481" t="s">
        <v>57</v>
      </c>
      <c r="N481" s="2"/>
      <c r="O481" s="4"/>
    </row>
    <row r="482" spans="1:15" ht="12.75" customHeight="1" x14ac:dyDescent="0.25">
      <c r="A482" s="380">
        <v>976506</v>
      </c>
      <c r="B482" t="s">
        <v>656</v>
      </c>
      <c r="C482" s="352">
        <v>165</v>
      </c>
      <c r="D482" s="352">
        <v>257</v>
      </c>
      <c r="E482" s="352">
        <v>422</v>
      </c>
      <c r="F482" s="352">
        <v>8506623</v>
      </c>
      <c r="G482" s="352">
        <v>14225846</v>
      </c>
      <c r="H482" s="352">
        <v>22732469</v>
      </c>
      <c r="I482" s="352">
        <v>3479794</v>
      </c>
      <c r="J482" t="s">
        <v>223</v>
      </c>
      <c r="K482" t="s">
        <v>1265</v>
      </c>
      <c r="L482" t="s">
        <v>1271</v>
      </c>
      <c r="M482" t="s">
        <v>57</v>
      </c>
      <c r="N482" s="2"/>
      <c r="O482" s="4"/>
    </row>
    <row r="483" spans="1:15" ht="12.75" customHeight="1" x14ac:dyDescent="0.25">
      <c r="A483" s="380">
        <v>770263</v>
      </c>
      <c r="B483" t="s">
        <v>411</v>
      </c>
      <c r="C483" s="352">
        <v>155</v>
      </c>
      <c r="D483" s="352">
        <v>266</v>
      </c>
      <c r="E483" s="352">
        <v>421</v>
      </c>
      <c r="F483" s="352">
        <v>8295911</v>
      </c>
      <c r="G483" s="352">
        <v>17853535</v>
      </c>
      <c r="H483" s="352">
        <v>26149446</v>
      </c>
      <c r="I483" s="352">
        <v>93073</v>
      </c>
      <c r="J483" t="s">
        <v>277</v>
      </c>
      <c r="K483" t="s">
        <v>1265</v>
      </c>
      <c r="L483" t="s">
        <v>1273</v>
      </c>
      <c r="M483" t="s">
        <v>57</v>
      </c>
      <c r="N483" s="2"/>
      <c r="O483" s="4"/>
    </row>
    <row r="484" spans="1:15" ht="12.75" customHeight="1" x14ac:dyDescent="0.25">
      <c r="A484" s="380">
        <v>917955</v>
      </c>
      <c r="B484" t="s">
        <v>445</v>
      </c>
      <c r="C484" s="352">
        <v>179</v>
      </c>
      <c r="D484" s="352">
        <v>242</v>
      </c>
      <c r="E484" s="352">
        <v>421</v>
      </c>
      <c r="F484" s="352">
        <v>8509270</v>
      </c>
      <c r="G484" s="352">
        <v>14199785</v>
      </c>
      <c r="H484" s="352">
        <v>22709056</v>
      </c>
      <c r="I484" s="352">
        <v>-1046987</v>
      </c>
      <c r="J484" t="s">
        <v>609</v>
      </c>
      <c r="K484" t="s">
        <v>1265</v>
      </c>
      <c r="L484" t="s">
        <v>1278</v>
      </c>
      <c r="M484" t="s">
        <v>57</v>
      </c>
      <c r="N484" s="2"/>
      <c r="O484" s="4"/>
    </row>
    <row r="485" spans="1:15" ht="12.75" customHeight="1" x14ac:dyDescent="0.25">
      <c r="A485" s="380">
        <v>674101</v>
      </c>
      <c r="B485" t="s">
        <v>564</v>
      </c>
      <c r="C485" s="352">
        <v>128</v>
      </c>
      <c r="D485" s="352">
        <v>292</v>
      </c>
      <c r="E485" s="352">
        <v>420</v>
      </c>
      <c r="F485" s="352">
        <v>7955625</v>
      </c>
      <c r="G485" s="352">
        <v>19214381</v>
      </c>
      <c r="H485" s="352">
        <v>27170006</v>
      </c>
      <c r="I485" s="352">
        <v>-484257</v>
      </c>
      <c r="J485" t="s">
        <v>223</v>
      </c>
      <c r="K485" t="s">
        <v>1265</v>
      </c>
      <c r="L485" t="s">
        <v>268</v>
      </c>
      <c r="M485" t="s">
        <v>57</v>
      </c>
      <c r="N485" s="2"/>
      <c r="O485" s="4"/>
    </row>
    <row r="486" spans="1:15" ht="12.75" customHeight="1" x14ac:dyDescent="0.25">
      <c r="A486" s="380">
        <v>116293</v>
      </c>
      <c r="B486" t="s">
        <v>373</v>
      </c>
      <c r="C486" s="352">
        <v>164</v>
      </c>
      <c r="D486" s="352">
        <v>245</v>
      </c>
      <c r="E486" s="352">
        <v>409</v>
      </c>
      <c r="F486" s="352">
        <v>9452232</v>
      </c>
      <c r="G486" s="352">
        <v>17072730</v>
      </c>
      <c r="H486" s="352">
        <v>26524962</v>
      </c>
      <c r="I486" s="352">
        <v>366336</v>
      </c>
      <c r="J486" t="s">
        <v>607</v>
      </c>
      <c r="K486" t="s">
        <v>1265</v>
      </c>
      <c r="L486" t="s">
        <v>1273</v>
      </c>
      <c r="M486" t="s">
        <v>57</v>
      </c>
      <c r="N486" s="2"/>
      <c r="O486" s="4"/>
    </row>
    <row r="487" spans="1:15" ht="12.75" customHeight="1" x14ac:dyDescent="0.25">
      <c r="A487" s="380">
        <v>980284</v>
      </c>
      <c r="B487" t="s">
        <v>267</v>
      </c>
      <c r="C487" s="352">
        <v>133</v>
      </c>
      <c r="D487" s="352">
        <v>275</v>
      </c>
      <c r="E487" s="352">
        <v>408</v>
      </c>
      <c r="F487" s="352">
        <v>9308270</v>
      </c>
      <c r="G487" s="352">
        <v>24700274</v>
      </c>
      <c r="H487" s="352">
        <v>34008544</v>
      </c>
      <c r="I487" s="352">
        <v>2362930</v>
      </c>
      <c r="J487" t="s">
        <v>605</v>
      </c>
      <c r="K487" t="s">
        <v>1266</v>
      </c>
      <c r="L487" t="s">
        <v>268</v>
      </c>
      <c r="M487" t="s">
        <v>57</v>
      </c>
      <c r="N487" s="2"/>
      <c r="O487" s="4"/>
    </row>
    <row r="488" spans="1:15" ht="12.75" customHeight="1" x14ac:dyDescent="0.25">
      <c r="A488" s="380">
        <v>538751</v>
      </c>
      <c r="B488" t="s">
        <v>427</v>
      </c>
      <c r="C488" s="352">
        <v>147</v>
      </c>
      <c r="D488" s="352">
        <v>260</v>
      </c>
      <c r="E488" s="352">
        <v>407</v>
      </c>
      <c r="F488" s="352">
        <v>8535544</v>
      </c>
      <c r="G488" s="352">
        <v>15741713</v>
      </c>
      <c r="H488" s="352">
        <v>24277257</v>
      </c>
      <c r="I488" s="352">
        <v>168428</v>
      </c>
      <c r="J488" t="s">
        <v>607</v>
      </c>
      <c r="K488" t="s">
        <v>1265</v>
      </c>
      <c r="L488" t="s">
        <v>464</v>
      </c>
      <c r="M488" t="s">
        <v>57</v>
      </c>
      <c r="N488" s="2"/>
      <c r="O488" s="4"/>
    </row>
    <row r="489" spans="1:15" ht="12.75" customHeight="1" x14ac:dyDescent="0.25">
      <c r="A489" s="380">
        <v>755090</v>
      </c>
      <c r="B489" t="s">
        <v>402</v>
      </c>
      <c r="C489" s="352">
        <v>193</v>
      </c>
      <c r="D489" s="352">
        <v>207</v>
      </c>
      <c r="E489" s="352">
        <v>400</v>
      </c>
      <c r="F489" s="352">
        <v>9270606</v>
      </c>
      <c r="G489" s="352">
        <v>11777459</v>
      </c>
      <c r="H489" s="352">
        <v>21048065</v>
      </c>
      <c r="I489" s="352">
        <v>115285</v>
      </c>
      <c r="J489" t="s">
        <v>178</v>
      </c>
      <c r="K489" t="s">
        <v>1265</v>
      </c>
      <c r="L489" t="s">
        <v>371</v>
      </c>
      <c r="M489" t="s">
        <v>57</v>
      </c>
      <c r="N489" s="2"/>
      <c r="O489" s="4"/>
    </row>
    <row r="490" spans="1:15" ht="12.75" customHeight="1" x14ac:dyDescent="0.25">
      <c r="A490" s="380">
        <v>938902</v>
      </c>
      <c r="B490" t="s">
        <v>519</v>
      </c>
      <c r="C490" s="352">
        <v>161</v>
      </c>
      <c r="D490" s="352">
        <v>237</v>
      </c>
      <c r="E490" s="352">
        <v>398</v>
      </c>
      <c r="F490" s="352">
        <v>7906742</v>
      </c>
      <c r="G490" s="352">
        <v>15177974</v>
      </c>
      <c r="H490" s="352">
        <v>23084716</v>
      </c>
      <c r="I490" s="352">
        <v>-578120</v>
      </c>
      <c r="J490" t="s">
        <v>167</v>
      </c>
      <c r="K490" t="s">
        <v>1265</v>
      </c>
      <c r="L490" t="s">
        <v>1273</v>
      </c>
      <c r="M490" t="s">
        <v>57</v>
      </c>
      <c r="N490" s="2"/>
      <c r="O490" s="4"/>
    </row>
    <row r="491" spans="1:15" ht="12.75" customHeight="1" x14ac:dyDescent="0.25">
      <c r="A491" s="380">
        <v>467092</v>
      </c>
      <c r="B491" t="s">
        <v>348</v>
      </c>
      <c r="C491" s="352">
        <v>127</v>
      </c>
      <c r="D491" s="352">
        <v>269</v>
      </c>
      <c r="E491" s="352">
        <v>396</v>
      </c>
      <c r="F491" s="352">
        <v>7718329</v>
      </c>
      <c r="G491" s="352">
        <v>21700041</v>
      </c>
      <c r="H491" s="352">
        <v>29418370</v>
      </c>
      <c r="I491" s="352">
        <v>4187562</v>
      </c>
      <c r="J491" t="s">
        <v>595</v>
      </c>
      <c r="K491" t="s">
        <v>1266</v>
      </c>
      <c r="L491" t="s">
        <v>464</v>
      </c>
      <c r="M491" t="s">
        <v>57</v>
      </c>
      <c r="N491" s="2"/>
      <c r="O491" s="4"/>
    </row>
    <row r="492" spans="1:15" ht="12.75" customHeight="1" x14ac:dyDescent="0.25">
      <c r="A492" s="380">
        <v>273664</v>
      </c>
      <c r="B492" t="s">
        <v>415</v>
      </c>
      <c r="C492" s="352">
        <v>156</v>
      </c>
      <c r="D492" s="352">
        <v>223</v>
      </c>
      <c r="E492" s="352">
        <v>379</v>
      </c>
      <c r="F492" s="352">
        <v>8287372</v>
      </c>
      <c r="G492" s="352">
        <v>12569858</v>
      </c>
      <c r="H492" s="352">
        <v>20857230</v>
      </c>
      <c r="I492" s="352">
        <v>-496399</v>
      </c>
      <c r="J492" t="s">
        <v>229</v>
      </c>
      <c r="K492" t="s">
        <v>1265</v>
      </c>
      <c r="L492" t="s">
        <v>414</v>
      </c>
      <c r="M492" t="s">
        <v>57</v>
      </c>
      <c r="N492" s="2"/>
      <c r="O492" s="4"/>
    </row>
    <row r="493" spans="1:15" ht="12.75" customHeight="1" x14ac:dyDescent="0.25">
      <c r="A493" s="380">
        <v>473470</v>
      </c>
      <c r="B493" t="s">
        <v>509</v>
      </c>
      <c r="C493" s="352">
        <v>149</v>
      </c>
      <c r="D493" s="352">
        <v>224</v>
      </c>
      <c r="E493" s="352">
        <v>373</v>
      </c>
      <c r="F493" s="352">
        <v>5716090</v>
      </c>
      <c r="G493" s="352">
        <v>9846837</v>
      </c>
      <c r="H493" s="352">
        <v>15562927</v>
      </c>
      <c r="I493" s="352">
        <v>-379913</v>
      </c>
      <c r="J493" t="s">
        <v>178</v>
      </c>
      <c r="K493" t="s">
        <v>1265</v>
      </c>
      <c r="L493" t="s">
        <v>350</v>
      </c>
      <c r="M493" t="s">
        <v>57</v>
      </c>
      <c r="N493" s="2"/>
      <c r="O493" s="4"/>
    </row>
    <row r="494" spans="1:15" ht="12.75" customHeight="1" x14ac:dyDescent="0.25">
      <c r="A494" s="380">
        <v>706275</v>
      </c>
      <c r="B494" t="s">
        <v>626</v>
      </c>
      <c r="C494" s="352">
        <v>168</v>
      </c>
      <c r="D494" s="352">
        <v>204</v>
      </c>
      <c r="E494" s="352">
        <v>372</v>
      </c>
      <c r="F494" s="352">
        <v>8369794</v>
      </c>
      <c r="G494" s="352">
        <v>11117243</v>
      </c>
      <c r="H494" s="352">
        <v>19487037</v>
      </c>
      <c r="I494" s="352">
        <v>1765498</v>
      </c>
      <c r="J494" t="s">
        <v>182</v>
      </c>
      <c r="K494" t="s">
        <v>1265</v>
      </c>
      <c r="L494" t="s">
        <v>152</v>
      </c>
      <c r="M494" t="s">
        <v>136</v>
      </c>
      <c r="N494" s="2"/>
      <c r="O494" s="4"/>
    </row>
    <row r="495" spans="1:15" ht="12.75" customHeight="1" x14ac:dyDescent="0.25">
      <c r="A495" s="380">
        <v>390187</v>
      </c>
      <c r="B495" t="s">
        <v>1147</v>
      </c>
      <c r="C495" s="352">
        <v>159</v>
      </c>
      <c r="D495" s="352">
        <v>210</v>
      </c>
      <c r="E495" s="352">
        <v>369</v>
      </c>
      <c r="F495" s="352">
        <v>7684474</v>
      </c>
      <c r="G495" s="352">
        <v>11241630</v>
      </c>
      <c r="H495" s="352">
        <v>18926104</v>
      </c>
      <c r="I495" s="352">
        <v>-1317743</v>
      </c>
      <c r="J495" t="s">
        <v>154</v>
      </c>
      <c r="K495" t="s">
        <v>1265</v>
      </c>
      <c r="L495" t="s">
        <v>371</v>
      </c>
      <c r="M495" t="s">
        <v>57</v>
      </c>
      <c r="N495" s="2"/>
      <c r="O495" s="4"/>
    </row>
    <row r="496" spans="1:15" ht="12.75" customHeight="1" x14ac:dyDescent="0.25">
      <c r="A496" s="380">
        <v>369462</v>
      </c>
      <c r="B496" t="s">
        <v>502</v>
      </c>
      <c r="C496" s="352">
        <v>162</v>
      </c>
      <c r="D496" s="352">
        <v>202</v>
      </c>
      <c r="E496" s="352">
        <v>364</v>
      </c>
      <c r="F496" s="352">
        <v>6235306</v>
      </c>
      <c r="G496" s="352">
        <v>8857678</v>
      </c>
      <c r="H496" s="352">
        <v>15092984</v>
      </c>
      <c r="I496" s="352">
        <v>-1237316</v>
      </c>
      <c r="J496" t="s">
        <v>272</v>
      </c>
      <c r="K496" t="s">
        <v>1265</v>
      </c>
      <c r="L496" t="s">
        <v>1330</v>
      </c>
      <c r="M496" t="s">
        <v>57</v>
      </c>
      <c r="N496" s="2"/>
      <c r="O496" s="4"/>
    </row>
    <row r="497" spans="1:15" ht="12.75" customHeight="1" x14ac:dyDescent="0.25">
      <c r="A497" s="380">
        <v>696658</v>
      </c>
      <c r="B497" t="s">
        <v>1149</v>
      </c>
      <c r="C497" s="352">
        <v>192</v>
      </c>
      <c r="D497" s="352">
        <v>171</v>
      </c>
      <c r="E497" s="352">
        <v>363</v>
      </c>
      <c r="F497" s="352">
        <v>37251078</v>
      </c>
      <c r="G497" s="352">
        <v>30501075</v>
      </c>
      <c r="H497" s="352">
        <v>67752153</v>
      </c>
      <c r="I497" s="352">
        <v>1161339</v>
      </c>
      <c r="J497" t="s">
        <v>587</v>
      </c>
      <c r="K497" t="s">
        <v>1262</v>
      </c>
      <c r="L497" t="s">
        <v>1277</v>
      </c>
      <c r="M497" t="s">
        <v>57</v>
      </c>
      <c r="N497" s="2"/>
      <c r="O497" s="4"/>
    </row>
    <row r="498" spans="1:15" ht="12.75" customHeight="1" x14ac:dyDescent="0.25">
      <c r="A498" s="380">
        <v>832717</v>
      </c>
      <c r="B498" t="s">
        <v>270</v>
      </c>
      <c r="C498" s="352">
        <v>165</v>
      </c>
      <c r="D498" s="352">
        <v>187</v>
      </c>
      <c r="E498" s="352">
        <v>352</v>
      </c>
      <c r="F498" s="352">
        <v>10744554</v>
      </c>
      <c r="G498" s="352">
        <v>16546045</v>
      </c>
      <c r="H498" s="352">
        <v>27290599</v>
      </c>
      <c r="I498" s="352">
        <v>42131</v>
      </c>
      <c r="J498" t="s">
        <v>605</v>
      </c>
      <c r="K498" t="s">
        <v>1266</v>
      </c>
      <c r="L498" t="s">
        <v>157</v>
      </c>
      <c r="M498" t="s">
        <v>136</v>
      </c>
      <c r="N498" s="2"/>
      <c r="O498" s="4"/>
    </row>
    <row r="499" spans="1:15" ht="12.75" customHeight="1" x14ac:dyDescent="0.25">
      <c r="A499" s="380">
        <v>744581</v>
      </c>
      <c r="B499" t="s">
        <v>488</v>
      </c>
      <c r="C499" s="352">
        <v>88</v>
      </c>
      <c r="D499" s="352">
        <v>255</v>
      </c>
      <c r="E499" s="352">
        <v>343</v>
      </c>
      <c r="F499" s="352">
        <v>4422752</v>
      </c>
      <c r="G499" s="352">
        <v>12417442</v>
      </c>
      <c r="H499" s="352">
        <v>16840194</v>
      </c>
      <c r="I499" s="352">
        <v>-687531</v>
      </c>
      <c r="J499" t="s">
        <v>610</v>
      </c>
      <c r="K499" t="s">
        <v>1265</v>
      </c>
      <c r="L499" t="s">
        <v>470</v>
      </c>
      <c r="M499" t="s">
        <v>57</v>
      </c>
      <c r="N499" s="2"/>
      <c r="O499" s="4"/>
    </row>
    <row r="500" spans="1:15" ht="12.75" customHeight="1" x14ac:dyDescent="0.25">
      <c r="A500" s="380">
        <v>866715</v>
      </c>
      <c r="B500" t="s">
        <v>439</v>
      </c>
      <c r="C500" s="352">
        <v>126</v>
      </c>
      <c r="D500" s="352">
        <v>212</v>
      </c>
      <c r="E500" s="352">
        <v>338</v>
      </c>
      <c r="F500" s="352">
        <v>7135375</v>
      </c>
      <c r="G500" s="352">
        <v>13932011</v>
      </c>
      <c r="H500" s="352">
        <v>21067386</v>
      </c>
      <c r="I500" s="352">
        <v>-84483</v>
      </c>
      <c r="J500" t="s">
        <v>608</v>
      </c>
      <c r="K500" t="s">
        <v>1265</v>
      </c>
      <c r="L500" t="s">
        <v>1272</v>
      </c>
      <c r="M500" t="s">
        <v>57</v>
      </c>
      <c r="N500" s="2"/>
      <c r="O500" s="4"/>
    </row>
    <row r="501" spans="1:15" ht="12.75" customHeight="1" x14ac:dyDescent="0.25">
      <c r="A501" s="380">
        <v>792697</v>
      </c>
      <c r="B501" t="s">
        <v>589</v>
      </c>
      <c r="C501" s="352">
        <v>120</v>
      </c>
      <c r="D501" s="352">
        <v>212</v>
      </c>
      <c r="E501" s="352">
        <v>332</v>
      </c>
      <c r="F501" s="352">
        <v>6829076</v>
      </c>
      <c r="G501" s="352">
        <v>15142682</v>
      </c>
      <c r="H501" s="352">
        <v>21971758</v>
      </c>
      <c r="I501" s="352">
        <v>-337085</v>
      </c>
      <c r="J501" t="s">
        <v>182</v>
      </c>
      <c r="K501" t="s">
        <v>1265</v>
      </c>
      <c r="L501" t="s">
        <v>1270</v>
      </c>
      <c r="M501" t="s">
        <v>57</v>
      </c>
      <c r="N501" s="2"/>
      <c r="O501" s="4"/>
    </row>
    <row r="502" spans="1:15" ht="12.75" customHeight="1" x14ac:dyDescent="0.25">
      <c r="A502" s="380">
        <v>246868</v>
      </c>
      <c r="B502" t="s">
        <v>433</v>
      </c>
      <c r="C502" s="352">
        <v>129</v>
      </c>
      <c r="D502" s="352">
        <v>200</v>
      </c>
      <c r="E502" s="352">
        <v>329</v>
      </c>
      <c r="F502" s="352">
        <v>5692216</v>
      </c>
      <c r="G502" s="352">
        <v>10856723</v>
      </c>
      <c r="H502" s="352">
        <v>16548939</v>
      </c>
      <c r="I502" s="352">
        <v>151555</v>
      </c>
      <c r="J502" t="s">
        <v>259</v>
      </c>
      <c r="K502" t="s">
        <v>1265</v>
      </c>
      <c r="L502" t="s">
        <v>279</v>
      </c>
      <c r="M502" t="s">
        <v>57</v>
      </c>
      <c r="N502" s="2"/>
      <c r="O502" s="4"/>
    </row>
    <row r="503" spans="1:15" ht="12.75" customHeight="1" x14ac:dyDescent="0.25">
      <c r="A503" s="380">
        <v>384511</v>
      </c>
      <c r="B503" t="s">
        <v>389</v>
      </c>
      <c r="C503" s="352">
        <v>129</v>
      </c>
      <c r="D503" s="352">
        <v>196</v>
      </c>
      <c r="E503" s="352">
        <v>325</v>
      </c>
      <c r="F503" s="352">
        <v>6946246</v>
      </c>
      <c r="G503" s="352">
        <v>12068276</v>
      </c>
      <c r="H503" s="352">
        <v>19014522</v>
      </c>
      <c r="I503" s="352">
        <v>-196457</v>
      </c>
      <c r="J503" t="s">
        <v>178</v>
      </c>
      <c r="K503" t="s">
        <v>1265</v>
      </c>
      <c r="L503" t="s">
        <v>1273</v>
      </c>
      <c r="M503" t="s">
        <v>57</v>
      </c>
      <c r="N503" s="2"/>
      <c r="O503" s="4"/>
    </row>
    <row r="504" spans="1:15" ht="12.75" customHeight="1" x14ac:dyDescent="0.25">
      <c r="A504" s="380">
        <v>780411</v>
      </c>
      <c r="B504" t="s">
        <v>474</v>
      </c>
      <c r="C504" s="352">
        <v>82</v>
      </c>
      <c r="D504" s="352">
        <v>241</v>
      </c>
      <c r="E504" s="352">
        <v>323</v>
      </c>
      <c r="F504" s="352">
        <v>4594241</v>
      </c>
      <c r="G504" s="352">
        <v>15001840</v>
      </c>
      <c r="H504" s="352">
        <v>19596081</v>
      </c>
      <c r="I504" s="352">
        <v>-243801</v>
      </c>
      <c r="J504" t="s">
        <v>610</v>
      </c>
      <c r="K504" t="s">
        <v>1265</v>
      </c>
      <c r="L504" t="s">
        <v>470</v>
      </c>
      <c r="M504" t="s">
        <v>57</v>
      </c>
      <c r="N504" s="2"/>
      <c r="O504" s="4"/>
    </row>
    <row r="505" spans="1:15" ht="12.75" customHeight="1" x14ac:dyDescent="0.25">
      <c r="A505" s="380">
        <v>202002</v>
      </c>
      <c r="B505" t="s">
        <v>413</v>
      </c>
      <c r="C505" s="352">
        <v>136</v>
      </c>
      <c r="D505" s="352">
        <v>186</v>
      </c>
      <c r="E505" s="352">
        <v>322</v>
      </c>
      <c r="F505" s="352">
        <v>8645384</v>
      </c>
      <c r="G505" s="352">
        <v>12162784</v>
      </c>
      <c r="H505" s="352">
        <v>20808168</v>
      </c>
      <c r="I505" s="352">
        <v>377937</v>
      </c>
      <c r="J505" t="s">
        <v>154</v>
      </c>
      <c r="K505" t="s">
        <v>1265</v>
      </c>
      <c r="L505" t="s">
        <v>414</v>
      </c>
      <c r="M505" t="s">
        <v>57</v>
      </c>
      <c r="N505" s="2"/>
      <c r="O505" s="4"/>
    </row>
    <row r="506" spans="1:15" ht="12.75" customHeight="1" x14ac:dyDescent="0.25">
      <c r="A506" s="380">
        <v>923383</v>
      </c>
      <c r="B506" t="s">
        <v>443</v>
      </c>
      <c r="C506" s="352">
        <v>147</v>
      </c>
      <c r="D506" s="352">
        <v>174</v>
      </c>
      <c r="E506" s="352">
        <v>321</v>
      </c>
      <c r="F506" s="352">
        <v>7505086</v>
      </c>
      <c r="G506" s="352">
        <v>10131100</v>
      </c>
      <c r="H506" s="352">
        <v>17636186</v>
      </c>
      <c r="I506" s="352">
        <v>163527</v>
      </c>
      <c r="J506" t="s">
        <v>154</v>
      </c>
      <c r="K506" t="s">
        <v>1265</v>
      </c>
      <c r="L506" t="s">
        <v>1278</v>
      </c>
      <c r="M506" t="s">
        <v>57</v>
      </c>
      <c r="N506" s="2"/>
      <c r="O506" s="4"/>
    </row>
    <row r="507" spans="1:15" ht="12.75" customHeight="1" x14ac:dyDescent="0.25">
      <c r="A507" s="380">
        <v>910109</v>
      </c>
      <c r="B507" t="s">
        <v>421</v>
      </c>
      <c r="C507" s="352">
        <v>128</v>
      </c>
      <c r="D507" s="352">
        <v>192</v>
      </c>
      <c r="E507" s="352">
        <v>320</v>
      </c>
      <c r="F507" s="352">
        <v>5345209</v>
      </c>
      <c r="G507" s="352">
        <v>10217595</v>
      </c>
      <c r="H507" s="352">
        <v>15562804</v>
      </c>
      <c r="I507" s="352">
        <v>170294</v>
      </c>
      <c r="J507" t="s">
        <v>167</v>
      </c>
      <c r="K507" t="s">
        <v>1265</v>
      </c>
      <c r="L507" t="s">
        <v>1278</v>
      </c>
      <c r="M507" t="s">
        <v>57</v>
      </c>
      <c r="N507" s="2"/>
      <c r="O507" s="4"/>
    </row>
    <row r="508" spans="1:15" ht="12.75" customHeight="1" x14ac:dyDescent="0.25">
      <c r="A508" s="380">
        <v>651679</v>
      </c>
      <c r="B508" t="s">
        <v>457</v>
      </c>
      <c r="C508" s="352">
        <v>177</v>
      </c>
      <c r="D508" s="352">
        <v>116</v>
      </c>
      <c r="E508" s="352">
        <v>293</v>
      </c>
      <c r="F508" s="352">
        <v>15423784</v>
      </c>
      <c r="G508" s="352">
        <v>16131109</v>
      </c>
      <c r="H508" s="352">
        <v>31554892</v>
      </c>
      <c r="I508" s="352">
        <v>850866</v>
      </c>
      <c r="J508" t="s">
        <v>605</v>
      </c>
      <c r="K508" t="s">
        <v>1266</v>
      </c>
      <c r="L508" t="s">
        <v>173</v>
      </c>
      <c r="M508" t="s">
        <v>57</v>
      </c>
      <c r="N508" s="2"/>
      <c r="O508" s="4"/>
    </row>
    <row r="509" spans="1:15" ht="12.75" customHeight="1" x14ac:dyDescent="0.25">
      <c r="A509" s="380">
        <v>721506</v>
      </c>
      <c r="B509" t="s">
        <v>1313</v>
      </c>
      <c r="C509" s="352">
        <v>117</v>
      </c>
      <c r="D509" s="352">
        <v>156</v>
      </c>
      <c r="E509" s="352">
        <v>273</v>
      </c>
      <c r="F509" s="352">
        <v>7850254</v>
      </c>
      <c r="G509" s="352">
        <v>16604207</v>
      </c>
      <c r="H509" s="352">
        <v>24454461</v>
      </c>
      <c r="I509" s="352">
        <v>7826334</v>
      </c>
      <c r="J509" t="s">
        <v>595</v>
      </c>
      <c r="K509" t="s">
        <v>1266</v>
      </c>
      <c r="L509" t="s">
        <v>152</v>
      </c>
      <c r="M509" t="s">
        <v>136</v>
      </c>
      <c r="N509" s="2"/>
      <c r="O509" s="4"/>
    </row>
    <row r="510" spans="1:15" ht="12.75" customHeight="1" x14ac:dyDescent="0.25">
      <c r="A510" s="380">
        <v>857565</v>
      </c>
      <c r="B510" t="s">
        <v>239</v>
      </c>
      <c r="C510" s="352">
        <v>120</v>
      </c>
      <c r="D510" s="352">
        <v>148</v>
      </c>
      <c r="E510" s="352">
        <v>268</v>
      </c>
      <c r="F510" s="352">
        <v>6771421</v>
      </c>
      <c r="G510" s="352">
        <v>11562513</v>
      </c>
      <c r="H510" s="352">
        <v>18333934</v>
      </c>
      <c r="I510" s="352">
        <v>-2594568</v>
      </c>
      <c r="J510" t="s">
        <v>596</v>
      </c>
      <c r="K510" t="s">
        <v>1266</v>
      </c>
      <c r="L510" t="s">
        <v>161</v>
      </c>
      <c r="M510" t="s">
        <v>136</v>
      </c>
      <c r="N510" s="2"/>
      <c r="O510" s="4"/>
    </row>
    <row r="511" spans="1:15" ht="12.75" customHeight="1" x14ac:dyDescent="0.25">
      <c r="A511" s="380">
        <v>404236</v>
      </c>
      <c r="B511" t="s">
        <v>455</v>
      </c>
      <c r="C511" s="352">
        <v>115</v>
      </c>
      <c r="D511" s="352">
        <v>147</v>
      </c>
      <c r="E511" s="352">
        <v>262</v>
      </c>
      <c r="F511" s="352">
        <v>4502965</v>
      </c>
      <c r="G511" s="352">
        <v>7233786</v>
      </c>
      <c r="H511" s="352">
        <v>11736752</v>
      </c>
      <c r="I511" s="352">
        <v>30747</v>
      </c>
      <c r="J511" t="s">
        <v>228</v>
      </c>
      <c r="K511" t="s">
        <v>1265</v>
      </c>
      <c r="L511" t="s">
        <v>1278</v>
      </c>
      <c r="M511" t="s">
        <v>57</v>
      </c>
      <c r="N511" s="2"/>
      <c r="O511" s="4"/>
    </row>
    <row r="512" spans="1:15" ht="12.75" customHeight="1" x14ac:dyDescent="0.25">
      <c r="A512" s="380">
        <v>920074</v>
      </c>
      <c r="B512" t="s">
        <v>535</v>
      </c>
      <c r="C512" s="352">
        <v>104</v>
      </c>
      <c r="D512" s="352">
        <v>154</v>
      </c>
      <c r="E512" s="352">
        <v>258</v>
      </c>
      <c r="F512" s="352">
        <v>7114307</v>
      </c>
      <c r="G512" s="352">
        <v>11823669</v>
      </c>
      <c r="H512" s="352">
        <v>18937976</v>
      </c>
      <c r="I512" s="352">
        <v>-1415175</v>
      </c>
      <c r="J512" t="s">
        <v>588</v>
      </c>
      <c r="K512" t="s">
        <v>1262</v>
      </c>
      <c r="L512" t="s">
        <v>536</v>
      </c>
      <c r="M512" t="s">
        <v>136</v>
      </c>
      <c r="N512" s="2"/>
      <c r="O512" s="4"/>
    </row>
    <row r="513" spans="1:15" ht="12.75" customHeight="1" x14ac:dyDescent="0.25">
      <c r="A513" s="380">
        <v>968891</v>
      </c>
      <c r="B513" t="s">
        <v>442</v>
      </c>
      <c r="C513" s="352">
        <v>68</v>
      </c>
      <c r="D513" s="352">
        <v>186</v>
      </c>
      <c r="E513" s="352">
        <v>254</v>
      </c>
      <c r="F513" s="352">
        <v>4329007</v>
      </c>
      <c r="G513" s="352">
        <v>12831268</v>
      </c>
      <c r="H513" s="352">
        <v>17160274</v>
      </c>
      <c r="I513" s="352">
        <v>-353856</v>
      </c>
      <c r="J513" t="s">
        <v>223</v>
      </c>
      <c r="K513" t="s">
        <v>1265</v>
      </c>
      <c r="L513" t="s">
        <v>1278</v>
      </c>
      <c r="M513" t="s">
        <v>57</v>
      </c>
      <c r="N513" s="2"/>
      <c r="O513" s="4"/>
    </row>
    <row r="514" spans="1:15" ht="12.75" customHeight="1" x14ac:dyDescent="0.25">
      <c r="A514" s="380">
        <v>419101</v>
      </c>
      <c r="B514" t="s">
        <v>392</v>
      </c>
      <c r="C514" s="352">
        <v>92</v>
      </c>
      <c r="D514" s="352">
        <v>158</v>
      </c>
      <c r="E514" s="352">
        <v>250</v>
      </c>
      <c r="F514" s="352">
        <v>3540095</v>
      </c>
      <c r="G514" s="352">
        <v>7186541</v>
      </c>
      <c r="H514" s="352">
        <v>10726636</v>
      </c>
      <c r="I514" s="352">
        <v>-215596</v>
      </c>
      <c r="J514" t="s">
        <v>228</v>
      </c>
      <c r="K514" t="s">
        <v>1265</v>
      </c>
      <c r="L514" t="s">
        <v>391</v>
      </c>
      <c r="M514" t="s">
        <v>57</v>
      </c>
      <c r="N514" s="2"/>
      <c r="O514" s="4"/>
    </row>
    <row r="515" spans="1:15" ht="12.75" customHeight="1" x14ac:dyDescent="0.25">
      <c r="A515" s="380">
        <v>848770</v>
      </c>
      <c r="B515" t="s">
        <v>1208</v>
      </c>
      <c r="C515" s="352">
        <v>105</v>
      </c>
      <c r="D515" s="352">
        <v>142</v>
      </c>
      <c r="E515" s="352">
        <v>247</v>
      </c>
      <c r="F515" s="352">
        <v>3507183</v>
      </c>
      <c r="G515" s="352">
        <v>6303554</v>
      </c>
      <c r="H515" s="352">
        <v>9810737</v>
      </c>
      <c r="I515" s="352">
        <v>33240</v>
      </c>
      <c r="J515" t="s">
        <v>178</v>
      </c>
      <c r="K515" t="s">
        <v>1265</v>
      </c>
      <c r="L515" t="s">
        <v>467</v>
      </c>
      <c r="M515" t="s">
        <v>57</v>
      </c>
      <c r="N515" s="2"/>
      <c r="O515" s="4"/>
    </row>
    <row r="516" spans="1:15" ht="12.75" customHeight="1" x14ac:dyDescent="0.25">
      <c r="A516" s="380">
        <v>133116</v>
      </c>
      <c r="B516" t="s">
        <v>456</v>
      </c>
      <c r="C516" s="352">
        <v>91</v>
      </c>
      <c r="D516" s="352">
        <v>155</v>
      </c>
      <c r="E516" s="352">
        <v>246</v>
      </c>
      <c r="F516" s="352">
        <v>5754917</v>
      </c>
      <c r="G516" s="352">
        <v>12336788</v>
      </c>
      <c r="H516" s="352">
        <v>18091704</v>
      </c>
      <c r="I516" s="352">
        <v>-2480394</v>
      </c>
      <c r="J516" t="s">
        <v>602</v>
      </c>
      <c r="K516" t="s">
        <v>1262</v>
      </c>
      <c r="L516" t="s">
        <v>1271</v>
      </c>
      <c r="M516" t="s">
        <v>57</v>
      </c>
      <c r="N516" s="2"/>
      <c r="O516" s="4"/>
    </row>
    <row r="517" spans="1:15" ht="12.75" customHeight="1" x14ac:dyDescent="0.25">
      <c r="A517" s="380">
        <v>918367</v>
      </c>
      <c r="B517" t="s">
        <v>616</v>
      </c>
      <c r="C517" s="352">
        <v>94</v>
      </c>
      <c r="D517" s="352">
        <v>138</v>
      </c>
      <c r="E517" s="352">
        <v>232</v>
      </c>
      <c r="F517" s="352">
        <v>3975090</v>
      </c>
      <c r="G517" s="352">
        <v>6092012</v>
      </c>
      <c r="H517" s="352">
        <v>10067102</v>
      </c>
      <c r="I517" s="352">
        <v>-190028</v>
      </c>
      <c r="J517" t="s">
        <v>606</v>
      </c>
      <c r="K517" t="s">
        <v>1265</v>
      </c>
      <c r="L517" t="s">
        <v>1268</v>
      </c>
      <c r="M517" t="s">
        <v>57</v>
      </c>
      <c r="N517" s="2"/>
      <c r="O517" s="4"/>
    </row>
    <row r="518" spans="1:15" ht="12.75" customHeight="1" x14ac:dyDescent="0.25">
      <c r="A518" s="380">
        <v>233346</v>
      </c>
      <c r="B518" t="s">
        <v>643</v>
      </c>
      <c r="C518" s="352">
        <v>88</v>
      </c>
      <c r="D518" s="352">
        <v>142</v>
      </c>
      <c r="E518" s="352">
        <v>230</v>
      </c>
      <c r="F518" s="352">
        <v>6247186</v>
      </c>
      <c r="G518" s="352">
        <v>11302588</v>
      </c>
      <c r="H518" s="352">
        <v>17549775</v>
      </c>
      <c r="I518" s="352">
        <v>596932</v>
      </c>
      <c r="J518" t="s">
        <v>223</v>
      </c>
      <c r="K518" t="s">
        <v>1265</v>
      </c>
      <c r="L518" t="s">
        <v>1268</v>
      </c>
      <c r="M518" t="s">
        <v>57</v>
      </c>
      <c r="N518" s="2"/>
      <c r="O518" s="4"/>
    </row>
    <row r="519" spans="1:15" ht="12.75" customHeight="1" x14ac:dyDescent="0.25">
      <c r="A519" s="380">
        <v>899773</v>
      </c>
      <c r="B519" t="s">
        <v>1209</v>
      </c>
      <c r="C519" s="352">
        <v>114</v>
      </c>
      <c r="D519" s="352">
        <v>114</v>
      </c>
      <c r="E519" s="352">
        <v>228</v>
      </c>
      <c r="F519" s="352">
        <v>4479175</v>
      </c>
      <c r="G519" s="352">
        <v>5862837</v>
      </c>
      <c r="H519" s="352">
        <v>10342012</v>
      </c>
      <c r="I519" s="352">
        <v>124465</v>
      </c>
      <c r="J519" t="s">
        <v>178</v>
      </c>
      <c r="K519" t="s">
        <v>1265</v>
      </c>
      <c r="L519" t="s">
        <v>467</v>
      </c>
      <c r="M519" t="s">
        <v>57</v>
      </c>
      <c r="N519" s="2"/>
      <c r="O519" s="4"/>
    </row>
    <row r="520" spans="1:15" ht="12.75" customHeight="1" x14ac:dyDescent="0.25">
      <c r="A520" s="380">
        <v>696898</v>
      </c>
      <c r="B520" t="s">
        <v>480</v>
      </c>
      <c r="C520" s="352">
        <v>104</v>
      </c>
      <c r="D520" s="352">
        <v>117</v>
      </c>
      <c r="E520" s="352">
        <v>221</v>
      </c>
      <c r="F520" s="352">
        <v>5020076</v>
      </c>
      <c r="G520" s="352">
        <v>5927492</v>
      </c>
      <c r="H520" s="352">
        <v>10947568</v>
      </c>
      <c r="I520" s="352">
        <v>-210399</v>
      </c>
      <c r="J520" t="s">
        <v>178</v>
      </c>
      <c r="K520" t="s">
        <v>1265</v>
      </c>
      <c r="L520" t="s">
        <v>369</v>
      </c>
      <c r="M520" t="s">
        <v>57</v>
      </c>
      <c r="N520" s="2"/>
      <c r="O520" s="4"/>
    </row>
    <row r="521" spans="1:15" ht="12.75" customHeight="1" x14ac:dyDescent="0.25">
      <c r="A521" s="380">
        <v>339473</v>
      </c>
      <c r="B521" t="s">
        <v>584</v>
      </c>
      <c r="C521" s="352">
        <v>58</v>
      </c>
      <c r="D521" s="352">
        <v>158</v>
      </c>
      <c r="E521" s="352">
        <v>216</v>
      </c>
      <c r="F521" s="352">
        <v>2853971</v>
      </c>
      <c r="G521" s="352">
        <v>9304350</v>
      </c>
      <c r="H521" s="352">
        <v>12158321</v>
      </c>
      <c r="I521" s="352">
        <v>5973775</v>
      </c>
      <c r="J521" t="s">
        <v>244</v>
      </c>
      <c r="K521" t="s">
        <v>1265</v>
      </c>
      <c r="L521" t="s">
        <v>404</v>
      </c>
      <c r="M521" t="s">
        <v>57</v>
      </c>
      <c r="N521" s="2"/>
      <c r="O521" s="4"/>
    </row>
    <row r="522" spans="1:15" ht="12.75" customHeight="1" x14ac:dyDescent="0.25">
      <c r="A522" s="380">
        <v>526590</v>
      </c>
      <c r="B522" t="s">
        <v>540</v>
      </c>
      <c r="C522" s="352">
        <v>49</v>
      </c>
      <c r="D522" s="352">
        <v>164</v>
      </c>
      <c r="E522" s="352">
        <v>213</v>
      </c>
      <c r="F522" s="352">
        <v>2015085</v>
      </c>
      <c r="G522" s="352">
        <v>9205157</v>
      </c>
      <c r="H522" s="352">
        <v>11220242</v>
      </c>
      <c r="I522" s="352">
        <v>-534017</v>
      </c>
      <c r="J522" t="s">
        <v>606</v>
      </c>
      <c r="K522" t="s">
        <v>1265</v>
      </c>
      <c r="L522" t="s">
        <v>391</v>
      </c>
      <c r="M522" t="s">
        <v>57</v>
      </c>
      <c r="N522" s="2"/>
      <c r="O522" s="4"/>
    </row>
    <row r="523" spans="1:15" ht="12.75" customHeight="1" x14ac:dyDescent="0.25">
      <c r="A523" s="380">
        <v>367698</v>
      </c>
      <c r="B523" t="s">
        <v>1286</v>
      </c>
      <c r="C523" s="352">
        <v>82</v>
      </c>
      <c r="D523" s="352">
        <v>128</v>
      </c>
      <c r="E523" s="352">
        <v>210</v>
      </c>
      <c r="F523" s="352">
        <v>3842642</v>
      </c>
      <c r="G523" s="352">
        <v>7508181</v>
      </c>
      <c r="H523" s="352">
        <v>11350823</v>
      </c>
      <c r="I523" s="352">
        <v>486891</v>
      </c>
      <c r="J523" t="s">
        <v>178</v>
      </c>
      <c r="K523" t="s">
        <v>1265</v>
      </c>
      <c r="L523" t="s">
        <v>1281</v>
      </c>
      <c r="M523" t="s">
        <v>57</v>
      </c>
      <c r="N523" s="2"/>
      <c r="O523" s="4"/>
    </row>
    <row r="524" spans="1:15" ht="12.75" customHeight="1" x14ac:dyDescent="0.25">
      <c r="A524" s="380">
        <v>865063</v>
      </c>
      <c r="B524" t="s">
        <v>1295</v>
      </c>
      <c r="C524" s="352">
        <v>66</v>
      </c>
      <c r="D524" s="352">
        <v>130</v>
      </c>
      <c r="E524" s="352">
        <v>196</v>
      </c>
      <c r="F524" s="352">
        <v>5484844</v>
      </c>
      <c r="G524" s="352">
        <v>9687160</v>
      </c>
      <c r="H524" s="352">
        <v>15172004</v>
      </c>
      <c r="I524" s="352">
        <v>-20602</v>
      </c>
      <c r="J524" t="s">
        <v>178</v>
      </c>
      <c r="K524" t="s">
        <v>1265</v>
      </c>
      <c r="L524" t="s">
        <v>1281</v>
      </c>
      <c r="M524" t="s">
        <v>57</v>
      </c>
      <c r="N524" s="2"/>
      <c r="O524" s="4"/>
    </row>
    <row r="525" spans="1:15" ht="12.75" customHeight="1" x14ac:dyDescent="0.25">
      <c r="A525" s="380">
        <v>753731</v>
      </c>
      <c r="B525" t="s">
        <v>430</v>
      </c>
      <c r="C525" s="352">
        <v>62</v>
      </c>
      <c r="D525" s="352">
        <v>134</v>
      </c>
      <c r="E525" s="352">
        <v>196</v>
      </c>
      <c r="F525" s="352">
        <v>3449828</v>
      </c>
      <c r="G525" s="352">
        <v>7370174</v>
      </c>
      <c r="H525" s="352">
        <v>10820002</v>
      </c>
      <c r="I525" s="352">
        <v>-891760</v>
      </c>
      <c r="J525" t="s">
        <v>259</v>
      </c>
      <c r="K525" t="s">
        <v>1265</v>
      </c>
      <c r="L525" t="s">
        <v>464</v>
      </c>
      <c r="M525" t="s">
        <v>57</v>
      </c>
      <c r="N525" s="2"/>
      <c r="O525" s="4"/>
    </row>
    <row r="526" spans="1:15" ht="12.75" customHeight="1" x14ac:dyDescent="0.25">
      <c r="A526" s="380">
        <v>660290</v>
      </c>
      <c r="B526" t="s">
        <v>424</v>
      </c>
      <c r="C526" s="352">
        <v>69</v>
      </c>
      <c r="D526" s="352">
        <v>126</v>
      </c>
      <c r="E526" s="352">
        <v>195</v>
      </c>
      <c r="F526" s="352">
        <v>2634103</v>
      </c>
      <c r="G526" s="352">
        <v>7664624</v>
      </c>
      <c r="H526" s="352">
        <v>10298727</v>
      </c>
      <c r="I526" s="352">
        <v>-154680</v>
      </c>
      <c r="J526" t="s">
        <v>259</v>
      </c>
      <c r="K526" t="s">
        <v>1265</v>
      </c>
      <c r="L526" t="s">
        <v>157</v>
      </c>
      <c r="M526" t="s">
        <v>136</v>
      </c>
      <c r="N526" s="2"/>
      <c r="O526" s="4"/>
    </row>
    <row r="527" spans="1:15" ht="12.75" customHeight="1" x14ac:dyDescent="0.25">
      <c r="A527" s="380">
        <v>140905</v>
      </c>
      <c r="B527" t="s">
        <v>1186</v>
      </c>
      <c r="C527" s="352">
        <v>86</v>
      </c>
      <c r="D527" s="352">
        <v>100</v>
      </c>
      <c r="E527" s="352">
        <v>186</v>
      </c>
      <c r="F527" s="352">
        <v>9727199</v>
      </c>
      <c r="G527" s="352">
        <v>11211486</v>
      </c>
      <c r="H527" s="352">
        <v>20938685</v>
      </c>
      <c r="I527" s="352">
        <v>731571</v>
      </c>
      <c r="J527" t="s">
        <v>586</v>
      </c>
      <c r="K527" t="s">
        <v>1259</v>
      </c>
      <c r="L527" t="s">
        <v>149</v>
      </c>
      <c r="M527" t="s">
        <v>136</v>
      </c>
      <c r="N527" s="2"/>
      <c r="O527" s="4"/>
    </row>
    <row r="528" spans="1:15" ht="12.75" customHeight="1" x14ac:dyDescent="0.25">
      <c r="A528" s="380">
        <v>229625</v>
      </c>
      <c r="B528" t="s">
        <v>1303</v>
      </c>
      <c r="C528" s="352">
        <v>82</v>
      </c>
      <c r="D528" s="352">
        <v>100</v>
      </c>
      <c r="E528" s="352">
        <v>182</v>
      </c>
      <c r="F528" s="352">
        <v>3155619</v>
      </c>
      <c r="G528" s="352">
        <v>5642819</v>
      </c>
      <c r="H528" s="352">
        <v>8798438</v>
      </c>
      <c r="I528" s="352">
        <v>1191140</v>
      </c>
      <c r="J528" t="s">
        <v>596</v>
      </c>
      <c r="K528" t="s">
        <v>1266</v>
      </c>
      <c r="L528" t="s">
        <v>164</v>
      </c>
      <c r="M528" t="s">
        <v>57</v>
      </c>
      <c r="N528" s="2"/>
      <c r="O528" s="4"/>
    </row>
    <row r="529" spans="1:15" ht="12.75" customHeight="1" x14ac:dyDescent="0.25">
      <c r="A529" s="380">
        <v>755033</v>
      </c>
      <c r="B529" t="s">
        <v>438</v>
      </c>
      <c r="C529" s="352">
        <v>61</v>
      </c>
      <c r="D529" s="352">
        <v>118</v>
      </c>
      <c r="E529" s="352">
        <v>179</v>
      </c>
      <c r="F529" s="352">
        <v>2213186</v>
      </c>
      <c r="G529" s="352">
        <v>5925957</v>
      </c>
      <c r="H529" s="352">
        <v>8139144</v>
      </c>
      <c r="I529" s="352">
        <v>-514325</v>
      </c>
      <c r="J529" t="s">
        <v>606</v>
      </c>
      <c r="K529" t="s">
        <v>1265</v>
      </c>
      <c r="L529" t="s">
        <v>1278</v>
      </c>
      <c r="M529" t="s">
        <v>57</v>
      </c>
      <c r="N529" s="2"/>
      <c r="O529" s="4"/>
    </row>
    <row r="530" spans="1:15" ht="12.75" customHeight="1" x14ac:dyDescent="0.25">
      <c r="A530" s="380">
        <v>288001</v>
      </c>
      <c r="B530" t="s">
        <v>558</v>
      </c>
      <c r="C530" s="352">
        <v>77</v>
      </c>
      <c r="D530" s="352">
        <v>101</v>
      </c>
      <c r="E530" s="352">
        <v>178</v>
      </c>
      <c r="F530" s="352">
        <v>2496501</v>
      </c>
      <c r="G530" s="352">
        <v>4166625</v>
      </c>
      <c r="H530" s="352">
        <v>6663125</v>
      </c>
      <c r="I530" s="352">
        <v>0</v>
      </c>
      <c r="J530" t="s">
        <v>604</v>
      </c>
      <c r="K530" t="s">
        <v>1266</v>
      </c>
      <c r="L530" t="s">
        <v>467</v>
      </c>
      <c r="M530" t="s">
        <v>57</v>
      </c>
      <c r="N530" s="2"/>
      <c r="O530" s="4"/>
    </row>
    <row r="531" spans="1:15" ht="12.75" customHeight="1" x14ac:dyDescent="0.25">
      <c r="A531" s="380">
        <v>365981</v>
      </c>
      <c r="B531" t="s">
        <v>506</v>
      </c>
      <c r="C531" s="352">
        <v>68</v>
      </c>
      <c r="D531" s="352">
        <v>106</v>
      </c>
      <c r="E531" s="352">
        <v>174</v>
      </c>
      <c r="F531" s="352">
        <v>2871717</v>
      </c>
      <c r="G531" s="352">
        <v>4908012</v>
      </c>
      <c r="H531" s="352">
        <v>7779729</v>
      </c>
      <c r="I531" s="352">
        <v>47725</v>
      </c>
      <c r="J531" t="s">
        <v>167</v>
      </c>
      <c r="K531" t="s">
        <v>1265</v>
      </c>
      <c r="L531" t="s">
        <v>350</v>
      </c>
      <c r="M531" t="s">
        <v>57</v>
      </c>
      <c r="N531" s="2"/>
      <c r="O531" s="4"/>
    </row>
    <row r="532" spans="1:15" ht="12.75" customHeight="1" x14ac:dyDescent="0.25">
      <c r="A532" s="380">
        <v>874560</v>
      </c>
      <c r="B532" t="s">
        <v>209</v>
      </c>
      <c r="C532" s="352">
        <v>65</v>
      </c>
      <c r="D532" s="352">
        <v>106</v>
      </c>
      <c r="E532" s="352">
        <v>171</v>
      </c>
      <c r="F532" s="352">
        <v>5672843</v>
      </c>
      <c r="G532" s="352">
        <v>11112363</v>
      </c>
      <c r="H532" s="352">
        <v>16785206</v>
      </c>
      <c r="I532" s="352">
        <v>2062777</v>
      </c>
      <c r="J532" t="s">
        <v>605</v>
      </c>
      <c r="K532" t="s">
        <v>1266</v>
      </c>
      <c r="L532" t="s">
        <v>149</v>
      </c>
      <c r="M532" t="s">
        <v>136</v>
      </c>
      <c r="N532" s="2"/>
      <c r="O532" s="4"/>
    </row>
    <row r="533" spans="1:15" ht="12.75" customHeight="1" x14ac:dyDescent="0.25">
      <c r="A533" s="380">
        <v>802900</v>
      </c>
      <c r="B533" t="s">
        <v>341</v>
      </c>
      <c r="C533" s="352">
        <v>80</v>
      </c>
      <c r="D533" s="352">
        <v>91</v>
      </c>
      <c r="E533" s="352">
        <v>171</v>
      </c>
      <c r="F533" s="352">
        <v>3867803</v>
      </c>
      <c r="G533" s="352">
        <v>5150209</v>
      </c>
      <c r="H533" s="352">
        <v>9018012</v>
      </c>
      <c r="I533" s="352">
        <v>-1111925</v>
      </c>
      <c r="J533" t="s">
        <v>228</v>
      </c>
      <c r="K533" t="s">
        <v>1265</v>
      </c>
      <c r="L533" t="s">
        <v>185</v>
      </c>
      <c r="M533" t="s">
        <v>136</v>
      </c>
      <c r="N533" s="2"/>
      <c r="O533" s="4"/>
    </row>
    <row r="534" spans="1:15" ht="12.75" customHeight="1" x14ac:dyDescent="0.25">
      <c r="A534" s="380">
        <v>555466</v>
      </c>
      <c r="B534" t="s">
        <v>340</v>
      </c>
      <c r="C534" s="352">
        <v>84</v>
      </c>
      <c r="D534" s="352">
        <v>86</v>
      </c>
      <c r="E534" s="352">
        <v>170</v>
      </c>
      <c r="F534" s="352">
        <v>4719372</v>
      </c>
      <c r="G534" s="352">
        <v>5475993</v>
      </c>
      <c r="H534" s="352">
        <v>10195365</v>
      </c>
      <c r="I534" s="352">
        <v>171620</v>
      </c>
      <c r="J534" t="s">
        <v>154</v>
      </c>
      <c r="K534" t="s">
        <v>1265</v>
      </c>
      <c r="L534" t="s">
        <v>279</v>
      </c>
      <c r="M534" t="s">
        <v>57</v>
      </c>
      <c r="N534" s="2"/>
      <c r="O534" s="4"/>
    </row>
    <row r="535" spans="1:15" ht="12.75" customHeight="1" x14ac:dyDescent="0.25">
      <c r="A535" s="380">
        <v>666370</v>
      </c>
      <c r="B535" t="s">
        <v>1210</v>
      </c>
      <c r="C535" s="352">
        <v>47</v>
      </c>
      <c r="D535" s="352">
        <v>121</v>
      </c>
      <c r="E535" s="352">
        <v>168</v>
      </c>
      <c r="F535" s="352">
        <v>3165066</v>
      </c>
      <c r="G535" s="352">
        <v>7272900</v>
      </c>
      <c r="H535" s="352">
        <v>10437966</v>
      </c>
      <c r="I535" s="352">
        <v>-36826</v>
      </c>
      <c r="J535" t="s">
        <v>259</v>
      </c>
      <c r="K535" t="s">
        <v>1265</v>
      </c>
      <c r="L535" t="s">
        <v>467</v>
      </c>
      <c r="M535" t="s">
        <v>57</v>
      </c>
      <c r="N535" s="2"/>
      <c r="O535" s="4"/>
    </row>
    <row r="536" spans="1:15" ht="12.75" customHeight="1" x14ac:dyDescent="0.25">
      <c r="A536" s="380">
        <v>660829</v>
      </c>
      <c r="B536" t="s">
        <v>1225</v>
      </c>
      <c r="C536" s="352">
        <v>60</v>
      </c>
      <c r="D536" s="352">
        <v>107</v>
      </c>
      <c r="E536" s="352">
        <v>167</v>
      </c>
      <c r="F536" s="352">
        <v>5337522</v>
      </c>
      <c r="G536" s="352">
        <v>14246897</v>
      </c>
      <c r="H536" s="352">
        <v>19584419</v>
      </c>
      <c r="I536" s="352">
        <v>3747822</v>
      </c>
      <c r="J536" t="s">
        <v>593</v>
      </c>
      <c r="K536" t="s">
        <v>1266</v>
      </c>
      <c r="L536" t="s">
        <v>1269</v>
      </c>
      <c r="M536" t="s">
        <v>136</v>
      </c>
      <c r="N536" s="2"/>
      <c r="O536" s="4"/>
    </row>
    <row r="537" spans="1:15" ht="12.75" customHeight="1" x14ac:dyDescent="0.25">
      <c r="A537" s="380">
        <v>282632</v>
      </c>
      <c r="B537" t="s">
        <v>306</v>
      </c>
      <c r="C537" s="352">
        <v>54</v>
      </c>
      <c r="D537" s="352">
        <v>97</v>
      </c>
      <c r="E537" s="352">
        <v>151</v>
      </c>
      <c r="F537" s="352">
        <v>4020121</v>
      </c>
      <c r="G537" s="352">
        <v>7167177</v>
      </c>
      <c r="H537" s="352">
        <v>11187298</v>
      </c>
      <c r="I537" s="352">
        <v>-653131</v>
      </c>
      <c r="J537" t="s">
        <v>154</v>
      </c>
      <c r="K537" t="s">
        <v>1265</v>
      </c>
      <c r="L537" t="s">
        <v>268</v>
      </c>
      <c r="M537" t="s">
        <v>57</v>
      </c>
      <c r="N537" s="2"/>
      <c r="O537" s="4"/>
    </row>
    <row r="538" spans="1:15" ht="12.75" customHeight="1" x14ac:dyDescent="0.25">
      <c r="A538" s="380">
        <v>942508</v>
      </c>
      <c r="B538" t="s">
        <v>627</v>
      </c>
      <c r="C538" s="352">
        <v>51</v>
      </c>
      <c r="D538" s="352">
        <v>88</v>
      </c>
      <c r="E538" s="352">
        <v>139</v>
      </c>
      <c r="F538" s="352">
        <v>3839051</v>
      </c>
      <c r="G538" s="352">
        <v>9068219</v>
      </c>
      <c r="H538" s="352">
        <v>12907269</v>
      </c>
      <c r="I538" s="352">
        <v>-1480588</v>
      </c>
      <c r="J538" t="s">
        <v>602</v>
      </c>
      <c r="K538" t="s">
        <v>1262</v>
      </c>
      <c r="L538" t="s">
        <v>163</v>
      </c>
      <c r="M538" t="s">
        <v>136</v>
      </c>
      <c r="N538" s="2"/>
      <c r="O538" s="4"/>
    </row>
    <row r="539" spans="1:15" ht="12.75" customHeight="1" x14ac:dyDescent="0.25">
      <c r="A539" s="380">
        <v>432153</v>
      </c>
      <c r="B539" t="s">
        <v>401</v>
      </c>
      <c r="C539" s="352">
        <v>54</v>
      </c>
      <c r="D539" s="352">
        <v>83</v>
      </c>
      <c r="E539" s="352">
        <v>137</v>
      </c>
      <c r="F539" s="352">
        <v>2925684</v>
      </c>
      <c r="G539" s="352">
        <v>5289554</v>
      </c>
      <c r="H539" s="352">
        <v>8215238</v>
      </c>
      <c r="I539" s="352">
        <v>-1117178</v>
      </c>
      <c r="J539" t="s">
        <v>154</v>
      </c>
      <c r="K539" t="s">
        <v>1265</v>
      </c>
      <c r="L539" t="s">
        <v>371</v>
      </c>
      <c r="M539" t="s">
        <v>57</v>
      </c>
      <c r="N539" s="2"/>
      <c r="O539" s="4"/>
    </row>
    <row r="540" spans="1:15" ht="12.75" customHeight="1" x14ac:dyDescent="0.25">
      <c r="A540" s="380">
        <v>626705</v>
      </c>
      <c r="B540" t="s">
        <v>1170</v>
      </c>
      <c r="C540" s="352">
        <v>67</v>
      </c>
      <c r="D540" s="352">
        <v>66</v>
      </c>
      <c r="E540" s="352">
        <v>133</v>
      </c>
      <c r="F540" s="352">
        <v>12339889</v>
      </c>
      <c r="G540" s="352">
        <v>11598357</v>
      </c>
      <c r="H540" s="352">
        <v>23938246</v>
      </c>
      <c r="I540" s="352">
        <v>-39016</v>
      </c>
      <c r="J540" t="s">
        <v>587</v>
      </c>
      <c r="K540" t="s">
        <v>1262</v>
      </c>
      <c r="L540" t="s">
        <v>173</v>
      </c>
      <c r="M540" t="s">
        <v>57</v>
      </c>
      <c r="N540" s="2"/>
      <c r="O540" s="4"/>
    </row>
    <row r="541" spans="1:15" ht="12.75" customHeight="1" x14ac:dyDescent="0.25">
      <c r="A541" s="380">
        <v>717900</v>
      </c>
      <c r="B541" t="s">
        <v>345</v>
      </c>
      <c r="C541" s="352">
        <v>55</v>
      </c>
      <c r="D541" s="352">
        <v>75</v>
      </c>
      <c r="E541" s="352">
        <v>130</v>
      </c>
      <c r="F541" s="352">
        <v>2756901</v>
      </c>
      <c r="G541" s="352">
        <v>5952007</v>
      </c>
      <c r="H541" s="352">
        <v>8708908</v>
      </c>
      <c r="I541" s="352">
        <v>500040</v>
      </c>
      <c r="J541" t="s">
        <v>595</v>
      </c>
      <c r="K541" t="s">
        <v>1266</v>
      </c>
      <c r="L541" t="s">
        <v>464</v>
      </c>
      <c r="M541" t="s">
        <v>57</v>
      </c>
      <c r="N541" s="2"/>
      <c r="O541" s="4"/>
    </row>
    <row r="542" spans="1:15" ht="12.75" customHeight="1" x14ac:dyDescent="0.25">
      <c r="A542" s="380">
        <v>386870</v>
      </c>
      <c r="B542" t="s">
        <v>532</v>
      </c>
      <c r="C542" s="352">
        <v>45</v>
      </c>
      <c r="D542" s="352">
        <v>84</v>
      </c>
      <c r="E542" s="352">
        <v>129</v>
      </c>
      <c r="F542" s="352">
        <v>6284155</v>
      </c>
      <c r="G542" s="352">
        <v>12629375</v>
      </c>
      <c r="H542" s="352">
        <v>18913530</v>
      </c>
      <c r="I542" s="352">
        <v>3096789</v>
      </c>
      <c r="J542" t="s">
        <v>605</v>
      </c>
      <c r="K542" t="s">
        <v>1266</v>
      </c>
      <c r="L542" t="s">
        <v>1285</v>
      </c>
      <c r="M542" t="s">
        <v>57</v>
      </c>
      <c r="N542" s="2"/>
      <c r="O542" s="4"/>
    </row>
    <row r="543" spans="1:15" ht="12.75" customHeight="1" x14ac:dyDescent="0.25">
      <c r="A543" s="380">
        <v>352872</v>
      </c>
      <c r="B543" t="s">
        <v>516</v>
      </c>
      <c r="C543" s="352">
        <v>38</v>
      </c>
      <c r="D543" s="352">
        <v>90</v>
      </c>
      <c r="E543" s="352">
        <v>128</v>
      </c>
      <c r="F543" s="352">
        <v>2028534</v>
      </c>
      <c r="G543" s="352">
        <v>7140786</v>
      </c>
      <c r="H543" s="352">
        <v>9169321</v>
      </c>
      <c r="I543" s="352">
        <v>36354</v>
      </c>
      <c r="J543" t="s">
        <v>608</v>
      </c>
      <c r="K543" t="s">
        <v>1265</v>
      </c>
      <c r="L543" t="s">
        <v>350</v>
      </c>
      <c r="M543" t="s">
        <v>57</v>
      </c>
      <c r="N543" s="2"/>
      <c r="O543" s="4"/>
    </row>
    <row r="544" spans="1:15" ht="12.75" customHeight="1" x14ac:dyDescent="0.25">
      <c r="A544" s="380">
        <v>816249</v>
      </c>
      <c r="B544" t="s">
        <v>487</v>
      </c>
      <c r="C544" s="352">
        <v>45</v>
      </c>
      <c r="D544" s="352">
        <v>81</v>
      </c>
      <c r="E544" s="352">
        <v>126</v>
      </c>
      <c r="F544" s="352">
        <v>2841412</v>
      </c>
      <c r="G544" s="352">
        <v>5135748</v>
      </c>
      <c r="H544" s="352">
        <v>7977160</v>
      </c>
      <c r="I544" s="352">
        <v>-692471</v>
      </c>
      <c r="J544" t="s">
        <v>610</v>
      </c>
      <c r="K544" t="s">
        <v>1265</v>
      </c>
      <c r="L544" t="s">
        <v>470</v>
      </c>
      <c r="M544" t="s">
        <v>57</v>
      </c>
      <c r="N544" s="2"/>
      <c r="O544" s="4"/>
    </row>
    <row r="545" spans="1:15" ht="12.75" customHeight="1" x14ac:dyDescent="0.25">
      <c r="A545" s="380">
        <v>151001</v>
      </c>
      <c r="B545" t="s">
        <v>512</v>
      </c>
      <c r="C545" s="352">
        <v>51</v>
      </c>
      <c r="D545" s="352">
        <v>73</v>
      </c>
      <c r="E545" s="352">
        <v>124</v>
      </c>
      <c r="F545" s="352">
        <v>1551664</v>
      </c>
      <c r="G545" s="352">
        <v>3491719</v>
      </c>
      <c r="H545" s="352">
        <v>5043383</v>
      </c>
      <c r="I545" s="352">
        <v>36071</v>
      </c>
      <c r="J545" t="s">
        <v>178</v>
      </c>
      <c r="K545" t="s">
        <v>1265</v>
      </c>
      <c r="L545" t="s">
        <v>350</v>
      </c>
      <c r="M545" t="s">
        <v>57</v>
      </c>
      <c r="N545" s="2"/>
      <c r="O545" s="4"/>
    </row>
    <row r="546" spans="1:15" ht="12.75" customHeight="1" x14ac:dyDescent="0.25">
      <c r="A546" s="380">
        <v>105072</v>
      </c>
      <c r="B546" t="s">
        <v>1179</v>
      </c>
      <c r="C546" s="352">
        <v>57</v>
      </c>
      <c r="D546" s="352">
        <v>66</v>
      </c>
      <c r="E546" s="352">
        <v>123</v>
      </c>
      <c r="F546" s="352">
        <v>3831661</v>
      </c>
      <c r="G546" s="352">
        <v>6260283</v>
      </c>
      <c r="H546" s="352">
        <v>10091944</v>
      </c>
      <c r="I546" s="352">
        <v>313288</v>
      </c>
      <c r="J546" t="s">
        <v>586</v>
      </c>
      <c r="K546" t="s">
        <v>1259</v>
      </c>
      <c r="L546" t="s">
        <v>149</v>
      </c>
      <c r="M546" t="s">
        <v>136</v>
      </c>
      <c r="N546" s="2"/>
      <c r="O546" s="4"/>
    </row>
    <row r="547" spans="1:15" ht="12.75" customHeight="1" x14ac:dyDescent="0.25">
      <c r="A547" s="380">
        <v>432096</v>
      </c>
      <c r="B547" t="s">
        <v>585</v>
      </c>
      <c r="C547" s="352">
        <v>50</v>
      </c>
      <c r="D547" s="352">
        <v>71</v>
      </c>
      <c r="E547" s="352">
        <v>121</v>
      </c>
      <c r="F547" s="352">
        <v>3185138</v>
      </c>
      <c r="G547" s="352">
        <v>5300270</v>
      </c>
      <c r="H547" s="352">
        <v>8485408</v>
      </c>
      <c r="I547" s="352">
        <v>3666</v>
      </c>
      <c r="J547" t="s">
        <v>154</v>
      </c>
      <c r="K547" t="s">
        <v>1265</v>
      </c>
      <c r="L547" t="s">
        <v>1277</v>
      </c>
      <c r="M547" t="s">
        <v>57</v>
      </c>
      <c r="N547" s="2"/>
      <c r="O547" s="4"/>
    </row>
    <row r="548" spans="1:15" ht="12.75" customHeight="1" x14ac:dyDescent="0.25">
      <c r="A548" s="380">
        <v>388702</v>
      </c>
      <c r="B548" t="s">
        <v>618</v>
      </c>
      <c r="C548" s="352">
        <v>40</v>
      </c>
      <c r="D548" s="352">
        <v>80</v>
      </c>
      <c r="E548" s="352">
        <v>120</v>
      </c>
      <c r="F548" s="352">
        <v>1770861</v>
      </c>
      <c r="G548" s="352">
        <v>5173033</v>
      </c>
      <c r="H548" s="352">
        <v>6943894</v>
      </c>
      <c r="I548" s="352">
        <v>-225580</v>
      </c>
      <c r="J548" t="s">
        <v>608</v>
      </c>
      <c r="K548" t="s">
        <v>1265</v>
      </c>
      <c r="L548" t="s">
        <v>350</v>
      </c>
      <c r="M548" t="s">
        <v>57</v>
      </c>
      <c r="N548" s="2"/>
      <c r="O548" s="4"/>
    </row>
    <row r="549" spans="1:15" ht="12.75" customHeight="1" x14ac:dyDescent="0.25">
      <c r="A549" s="380">
        <v>759100</v>
      </c>
      <c r="B549" t="s">
        <v>636</v>
      </c>
      <c r="C549" s="352">
        <v>52</v>
      </c>
      <c r="D549" s="352">
        <v>68</v>
      </c>
      <c r="E549" s="352">
        <v>120</v>
      </c>
      <c r="F549" s="352">
        <v>2268409</v>
      </c>
      <c r="G549" s="352">
        <v>4193489</v>
      </c>
      <c r="H549" s="352">
        <v>6461898</v>
      </c>
      <c r="I549" s="352">
        <v>1315102</v>
      </c>
      <c r="J549" t="s">
        <v>244</v>
      </c>
      <c r="K549" t="s">
        <v>1265</v>
      </c>
      <c r="L549" t="s">
        <v>332</v>
      </c>
      <c r="M549" t="s">
        <v>57</v>
      </c>
      <c r="N549" s="2"/>
      <c r="O549" s="4"/>
    </row>
    <row r="550" spans="1:15" ht="12.75" customHeight="1" x14ac:dyDescent="0.25">
      <c r="A550" s="380">
        <v>606103</v>
      </c>
      <c r="B550" t="s">
        <v>541</v>
      </c>
      <c r="C550" s="352">
        <v>64</v>
      </c>
      <c r="D550" s="352">
        <v>54</v>
      </c>
      <c r="E550" s="352">
        <v>118</v>
      </c>
      <c r="F550" s="352">
        <v>2879476</v>
      </c>
      <c r="G550" s="352">
        <v>3563232</v>
      </c>
      <c r="H550" s="352">
        <v>6442707</v>
      </c>
      <c r="I550" s="352">
        <v>-73562</v>
      </c>
      <c r="J550" t="s">
        <v>599</v>
      </c>
      <c r="K550" t="s">
        <v>1266</v>
      </c>
      <c r="L550" t="s">
        <v>1271</v>
      </c>
      <c r="M550" t="s">
        <v>57</v>
      </c>
      <c r="N550" s="2"/>
      <c r="O550" s="4"/>
    </row>
    <row r="551" spans="1:15" ht="12.75" customHeight="1" x14ac:dyDescent="0.25">
      <c r="A551" s="380">
        <v>810101</v>
      </c>
      <c r="B551" t="s">
        <v>1171</v>
      </c>
      <c r="C551" s="352">
        <v>67</v>
      </c>
      <c r="D551" s="352">
        <v>49</v>
      </c>
      <c r="E551" s="352">
        <v>116</v>
      </c>
      <c r="F551" s="352">
        <v>12902924</v>
      </c>
      <c r="G551" s="352">
        <v>11183934</v>
      </c>
      <c r="H551" s="352">
        <v>24086858</v>
      </c>
      <c r="I551" s="352">
        <v>-203099</v>
      </c>
      <c r="J551" t="s">
        <v>587</v>
      </c>
      <c r="K551" t="s">
        <v>1262</v>
      </c>
      <c r="L551" t="s">
        <v>173</v>
      </c>
      <c r="M551" t="s">
        <v>57</v>
      </c>
      <c r="N551" s="2"/>
      <c r="O551" s="4"/>
    </row>
    <row r="552" spans="1:15" ht="12.75" customHeight="1" x14ac:dyDescent="0.25">
      <c r="A552" s="380">
        <v>647669</v>
      </c>
      <c r="B552" t="s">
        <v>325</v>
      </c>
      <c r="C552" s="352">
        <v>57</v>
      </c>
      <c r="D552" s="352">
        <v>58</v>
      </c>
      <c r="E552" s="352">
        <v>115</v>
      </c>
      <c r="F552" s="352">
        <v>2417894</v>
      </c>
      <c r="G552" s="352">
        <v>3156655</v>
      </c>
      <c r="H552" s="352">
        <v>5574549</v>
      </c>
      <c r="I552" s="352">
        <v>549222</v>
      </c>
      <c r="J552" t="s">
        <v>588</v>
      </c>
      <c r="K552" t="s">
        <v>1262</v>
      </c>
      <c r="L552" t="s">
        <v>1274</v>
      </c>
      <c r="M552" t="s">
        <v>57</v>
      </c>
      <c r="N552" s="2"/>
      <c r="O552" s="4"/>
    </row>
    <row r="553" spans="1:15" ht="12.75" customHeight="1" x14ac:dyDescent="0.25">
      <c r="A553" s="380">
        <v>360495</v>
      </c>
      <c r="B553" t="s">
        <v>370</v>
      </c>
      <c r="C553" s="352">
        <v>46</v>
      </c>
      <c r="D553" s="352">
        <v>66</v>
      </c>
      <c r="E553" s="352">
        <v>112</v>
      </c>
      <c r="F553" s="352">
        <v>3009705</v>
      </c>
      <c r="G553" s="352">
        <v>4231249</v>
      </c>
      <c r="H553" s="352">
        <v>7240954</v>
      </c>
      <c r="I553" s="352">
        <v>294012</v>
      </c>
      <c r="J553" t="s">
        <v>608</v>
      </c>
      <c r="K553" t="s">
        <v>1265</v>
      </c>
      <c r="L553" t="s">
        <v>371</v>
      </c>
      <c r="M553" t="s">
        <v>57</v>
      </c>
      <c r="N553" s="2"/>
      <c r="O553" s="4"/>
    </row>
    <row r="554" spans="1:15" ht="12.75" customHeight="1" x14ac:dyDescent="0.25">
      <c r="A554" s="380">
        <v>280925</v>
      </c>
      <c r="B554" t="s">
        <v>319</v>
      </c>
      <c r="C554" s="352">
        <v>47</v>
      </c>
      <c r="D554" s="352">
        <v>58</v>
      </c>
      <c r="E554" s="352">
        <v>105</v>
      </c>
      <c r="F554" s="352">
        <v>1891977</v>
      </c>
      <c r="G554" s="352">
        <v>4752820</v>
      </c>
      <c r="H554" s="352">
        <v>6644796</v>
      </c>
      <c r="I554" s="352">
        <v>1598462</v>
      </c>
      <c r="J554" t="s">
        <v>604</v>
      </c>
      <c r="K554" t="s">
        <v>1266</v>
      </c>
      <c r="L554" t="s">
        <v>1278</v>
      </c>
      <c r="M554" t="s">
        <v>57</v>
      </c>
      <c r="N554" s="2"/>
      <c r="O554" s="4"/>
    </row>
    <row r="555" spans="1:15" ht="12.75" customHeight="1" x14ac:dyDescent="0.25">
      <c r="A555" s="380">
        <v>212621</v>
      </c>
      <c r="B555" t="s">
        <v>466</v>
      </c>
      <c r="C555" s="352">
        <v>34</v>
      </c>
      <c r="D555" s="352">
        <v>68</v>
      </c>
      <c r="E555" s="352">
        <v>102</v>
      </c>
      <c r="F555" s="352">
        <v>2773786</v>
      </c>
      <c r="G555" s="352">
        <v>7746388</v>
      </c>
      <c r="H555" s="352">
        <v>10520174</v>
      </c>
      <c r="I555" s="352">
        <v>-356388</v>
      </c>
      <c r="J555" t="s">
        <v>599</v>
      </c>
      <c r="K555" t="s">
        <v>1266</v>
      </c>
      <c r="L555" t="s">
        <v>149</v>
      </c>
      <c r="M555" t="s">
        <v>136</v>
      </c>
      <c r="N555" s="2"/>
      <c r="O555" s="4"/>
    </row>
    <row r="556" spans="1:15" ht="12.75" customHeight="1" x14ac:dyDescent="0.25">
      <c r="A556" s="380">
        <v>607879</v>
      </c>
      <c r="B556" t="s">
        <v>1173</v>
      </c>
      <c r="C556" s="352">
        <v>25</v>
      </c>
      <c r="D556" s="352">
        <v>77</v>
      </c>
      <c r="E556" s="352">
        <v>102</v>
      </c>
      <c r="F556" s="352">
        <v>1856743</v>
      </c>
      <c r="G556" s="352">
        <v>5647253</v>
      </c>
      <c r="H556" s="352">
        <v>7503995</v>
      </c>
      <c r="I556" s="352">
        <v>-1377828</v>
      </c>
      <c r="J556" t="s">
        <v>154</v>
      </c>
      <c r="K556" t="s">
        <v>1265</v>
      </c>
      <c r="L556" t="s">
        <v>302</v>
      </c>
      <c r="M556" t="s">
        <v>136</v>
      </c>
      <c r="N556" s="2"/>
      <c r="O556" s="4"/>
    </row>
    <row r="557" spans="1:15" ht="12.75" customHeight="1" x14ac:dyDescent="0.25">
      <c r="A557" s="380">
        <v>167643</v>
      </c>
      <c r="B557" t="s">
        <v>542</v>
      </c>
      <c r="C557" s="352">
        <v>57</v>
      </c>
      <c r="D557" s="352">
        <v>45</v>
      </c>
      <c r="E557" s="352">
        <v>102</v>
      </c>
      <c r="F557" s="352">
        <v>2117570</v>
      </c>
      <c r="G557" s="352">
        <v>2318065</v>
      </c>
      <c r="H557" s="352">
        <v>4435635</v>
      </c>
      <c r="I557" s="352">
        <v>950195</v>
      </c>
      <c r="J557" t="s">
        <v>154</v>
      </c>
      <c r="K557" t="s">
        <v>1265</v>
      </c>
      <c r="L557" t="s">
        <v>547</v>
      </c>
      <c r="M557" t="s">
        <v>57</v>
      </c>
      <c r="N557" s="2"/>
      <c r="O557" s="4"/>
    </row>
    <row r="558" spans="1:15" ht="12.75" customHeight="1" x14ac:dyDescent="0.25">
      <c r="A558" s="380">
        <v>861104</v>
      </c>
      <c r="B558" t="s">
        <v>1227</v>
      </c>
      <c r="C558" s="352">
        <v>34</v>
      </c>
      <c r="D558" s="352">
        <v>65</v>
      </c>
      <c r="E558" s="352">
        <v>99</v>
      </c>
      <c r="F558" s="352">
        <v>2118169</v>
      </c>
      <c r="G558" s="352">
        <v>6049430</v>
      </c>
      <c r="H558" s="352">
        <v>8167599</v>
      </c>
      <c r="I558" s="352">
        <v>513964</v>
      </c>
      <c r="J558" t="s">
        <v>588</v>
      </c>
      <c r="K558" t="s">
        <v>1262</v>
      </c>
      <c r="L558" t="s">
        <v>163</v>
      </c>
      <c r="M558" t="s">
        <v>136</v>
      </c>
      <c r="N558" s="2"/>
      <c r="O558" s="4"/>
    </row>
    <row r="559" spans="1:15" ht="12.75" customHeight="1" x14ac:dyDescent="0.25">
      <c r="A559" s="380">
        <v>238832</v>
      </c>
      <c r="B559" t="s">
        <v>362</v>
      </c>
      <c r="C559" s="352">
        <v>34</v>
      </c>
      <c r="D559" s="352">
        <v>65</v>
      </c>
      <c r="E559" s="352">
        <v>99</v>
      </c>
      <c r="F559" s="352">
        <v>1675287</v>
      </c>
      <c r="G559" s="352">
        <v>5540227</v>
      </c>
      <c r="H559" s="352">
        <v>7215514</v>
      </c>
      <c r="I559" s="352">
        <v>140118</v>
      </c>
      <c r="J559" t="s">
        <v>178</v>
      </c>
      <c r="K559" t="s">
        <v>1265</v>
      </c>
      <c r="L559" t="s">
        <v>248</v>
      </c>
      <c r="M559" t="s">
        <v>57</v>
      </c>
      <c r="N559" s="2"/>
      <c r="O559" s="4"/>
    </row>
    <row r="560" spans="1:15" ht="12.75" customHeight="1" x14ac:dyDescent="0.25">
      <c r="A560" s="380">
        <v>938845</v>
      </c>
      <c r="B560" t="s">
        <v>1187</v>
      </c>
      <c r="C560" s="352">
        <v>27</v>
      </c>
      <c r="D560" s="352">
        <v>72</v>
      </c>
      <c r="E560" s="352">
        <v>99</v>
      </c>
      <c r="F560" s="352">
        <v>1255569</v>
      </c>
      <c r="G560" s="352">
        <v>5025000</v>
      </c>
      <c r="H560" s="352">
        <v>6280569</v>
      </c>
      <c r="I560" s="352">
        <v>-699380</v>
      </c>
      <c r="J560" t="s">
        <v>609</v>
      </c>
      <c r="K560" t="s">
        <v>1265</v>
      </c>
      <c r="L560" t="s">
        <v>1271</v>
      </c>
      <c r="M560" t="s">
        <v>57</v>
      </c>
      <c r="N560" s="2"/>
      <c r="O560" s="4"/>
    </row>
    <row r="561" spans="1:15" ht="12.75" customHeight="1" x14ac:dyDescent="0.25">
      <c r="A561" s="380">
        <v>611657</v>
      </c>
      <c r="B561" t="s">
        <v>312</v>
      </c>
      <c r="C561" s="352">
        <v>40</v>
      </c>
      <c r="D561" s="352">
        <v>57</v>
      </c>
      <c r="E561" s="352">
        <v>97</v>
      </c>
      <c r="F561" s="352">
        <v>3175832</v>
      </c>
      <c r="G561" s="352">
        <v>4815724</v>
      </c>
      <c r="H561" s="352">
        <v>7991556</v>
      </c>
      <c r="I561" s="352">
        <v>-615910</v>
      </c>
      <c r="J561" t="s">
        <v>244</v>
      </c>
      <c r="K561" t="s">
        <v>1265</v>
      </c>
      <c r="L561" t="s">
        <v>185</v>
      </c>
      <c r="M561" t="s">
        <v>136</v>
      </c>
      <c r="N561" s="2"/>
      <c r="O561" s="4"/>
    </row>
    <row r="562" spans="1:15" ht="12.75" customHeight="1" x14ac:dyDescent="0.25">
      <c r="A562" s="380">
        <v>838730</v>
      </c>
      <c r="B562" t="s">
        <v>158</v>
      </c>
      <c r="C562" s="352">
        <v>42</v>
      </c>
      <c r="D562" s="352">
        <v>54</v>
      </c>
      <c r="E562" s="352">
        <v>96</v>
      </c>
      <c r="F562" s="352">
        <v>4267377</v>
      </c>
      <c r="G562" s="352">
        <v>6770815</v>
      </c>
      <c r="H562" s="352">
        <v>11038192</v>
      </c>
      <c r="I562" s="352">
        <v>-264325</v>
      </c>
      <c r="J562" t="s">
        <v>593</v>
      </c>
      <c r="K562" t="s">
        <v>1266</v>
      </c>
      <c r="L562" t="s">
        <v>149</v>
      </c>
      <c r="M562" t="s">
        <v>136</v>
      </c>
      <c r="N562" s="2"/>
      <c r="O562" s="4"/>
    </row>
    <row r="563" spans="1:15" ht="12.75" customHeight="1" x14ac:dyDescent="0.25">
      <c r="A563" s="380">
        <v>392308</v>
      </c>
      <c r="B563" t="s">
        <v>631</v>
      </c>
      <c r="C563" s="352">
        <v>34</v>
      </c>
      <c r="D563" s="352">
        <v>62</v>
      </c>
      <c r="E563" s="352">
        <v>96</v>
      </c>
      <c r="F563" s="352">
        <v>1874831</v>
      </c>
      <c r="G563" s="352">
        <v>3571592</v>
      </c>
      <c r="H563" s="352">
        <v>5446423</v>
      </c>
      <c r="I563" s="352">
        <v>-596768</v>
      </c>
      <c r="J563" t="s">
        <v>607</v>
      </c>
      <c r="K563" t="s">
        <v>1265</v>
      </c>
      <c r="L563" t="s">
        <v>414</v>
      </c>
      <c r="M563" t="s">
        <v>57</v>
      </c>
      <c r="N563" s="2"/>
      <c r="O563" s="4"/>
    </row>
    <row r="564" spans="1:15" ht="12.75" customHeight="1" x14ac:dyDescent="0.25">
      <c r="A564" s="380">
        <v>664482</v>
      </c>
      <c r="B564" t="s">
        <v>1309</v>
      </c>
      <c r="C564" s="352">
        <v>33</v>
      </c>
      <c r="D564" s="352">
        <v>59</v>
      </c>
      <c r="E564" s="352">
        <v>92</v>
      </c>
      <c r="F564" s="352">
        <v>1413294</v>
      </c>
      <c r="G564" s="352">
        <v>4758427</v>
      </c>
      <c r="H564" s="352">
        <v>6171721</v>
      </c>
      <c r="I564" s="352">
        <v>642521</v>
      </c>
      <c r="J564" t="s">
        <v>604</v>
      </c>
      <c r="K564" t="s">
        <v>1266</v>
      </c>
      <c r="L564" t="s">
        <v>164</v>
      </c>
      <c r="M564" t="s">
        <v>57</v>
      </c>
      <c r="N564" s="2"/>
      <c r="O564" s="4"/>
    </row>
    <row r="565" spans="1:15" ht="12.75" customHeight="1" x14ac:dyDescent="0.25">
      <c r="A565" s="380">
        <v>191908</v>
      </c>
      <c r="B565" t="s">
        <v>611</v>
      </c>
      <c r="C565" s="352">
        <v>32</v>
      </c>
      <c r="D565" s="352">
        <v>56</v>
      </c>
      <c r="E565" s="352">
        <v>88</v>
      </c>
      <c r="F565" s="352">
        <v>3158605</v>
      </c>
      <c r="G565" s="352">
        <v>5190246</v>
      </c>
      <c r="H565" s="352">
        <v>8348851</v>
      </c>
      <c r="I565" s="352">
        <v>-2609523</v>
      </c>
      <c r="J565" t="s">
        <v>604</v>
      </c>
      <c r="K565" t="s">
        <v>1266</v>
      </c>
      <c r="L565" t="s">
        <v>371</v>
      </c>
      <c r="M565" t="s">
        <v>57</v>
      </c>
      <c r="N565" s="2"/>
      <c r="O565" s="4"/>
    </row>
    <row r="566" spans="1:15" ht="12.75" customHeight="1" x14ac:dyDescent="0.25">
      <c r="A566" s="380">
        <v>323832</v>
      </c>
      <c r="B566" t="s">
        <v>552</v>
      </c>
      <c r="C566" s="352">
        <v>33</v>
      </c>
      <c r="D566" s="352">
        <v>51</v>
      </c>
      <c r="E566" s="352">
        <v>84</v>
      </c>
      <c r="F566" s="352">
        <v>1336324</v>
      </c>
      <c r="G566" s="352">
        <v>3843148</v>
      </c>
      <c r="H566" s="352">
        <v>5179473</v>
      </c>
      <c r="I566" s="352">
        <v>308452</v>
      </c>
      <c r="J566" t="s">
        <v>596</v>
      </c>
      <c r="K566" t="s">
        <v>1266</v>
      </c>
      <c r="L566" t="s">
        <v>467</v>
      </c>
      <c r="M566" t="s">
        <v>57</v>
      </c>
      <c r="N566" s="2"/>
      <c r="O566" s="4"/>
    </row>
    <row r="567" spans="1:15" ht="12.75" customHeight="1" x14ac:dyDescent="0.25">
      <c r="A567" s="380">
        <v>594713</v>
      </c>
      <c r="B567" t="s">
        <v>557</v>
      </c>
      <c r="C567" s="352">
        <v>46</v>
      </c>
      <c r="D567" s="352">
        <v>35</v>
      </c>
      <c r="E567" s="352">
        <v>81</v>
      </c>
      <c r="F567" s="352">
        <v>2093777</v>
      </c>
      <c r="G567" s="352">
        <v>1793388</v>
      </c>
      <c r="H567" s="352">
        <v>3887164</v>
      </c>
      <c r="I567" s="352">
        <v>-228255</v>
      </c>
      <c r="J567" t="s">
        <v>154</v>
      </c>
      <c r="K567" t="s">
        <v>1265</v>
      </c>
      <c r="L567" t="s">
        <v>467</v>
      </c>
      <c r="M567" t="s">
        <v>57</v>
      </c>
      <c r="N567" s="2"/>
      <c r="O567" s="4"/>
    </row>
    <row r="568" spans="1:15" ht="12.75" customHeight="1" x14ac:dyDescent="0.25">
      <c r="A568" s="380">
        <v>116111</v>
      </c>
      <c r="B568" t="s">
        <v>305</v>
      </c>
      <c r="C568" s="352">
        <v>25</v>
      </c>
      <c r="D568" s="352">
        <v>55</v>
      </c>
      <c r="E568" s="352">
        <v>80</v>
      </c>
      <c r="F568" s="352">
        <v>1242332</v>
      </c>
      <c r="G568" s="352">
        <v>2668344</v>
      </c>
      <c r="H568" s="352">
        <v>3910675</v>
      </c>
      <c r="I568" s="352">
        <v>-43923</v>
      </c>
      <c r="J568" t="s">
        <v>228</v>
      </c>
      <c r="K568" t="s">
        <v>1265</v>
      </c>
      <c r="L568" t="s">
        <v>268</v>
      </c>
      <c r="M568" t="s">
        <v>57</v>
      </c>
      <c r="N568" s="2"/>
      <c r="O568" s="4"/>
    </row>
    <row r="569" spans="1:15" ht="12.75" customHeight="1" x14ac:dyDescent="0.25">
      <c r="A569" s="380">
        <v>687442</v>
      </c>
      <c r="B569" t="s">
        <v>632</v>
      </c>
      <c r="C569" s="352">
        <v>25</v>
      </c>
      <c r="D569" s="352">
        <v>51</v>
      </c>
      <c r="E569" s="352">
        <v>76</v>
      </c>
      <c r="F569" s="352">
        <v>1534726</v>
      </c>
      <c r="G569" s="352">
        <v>3059344</v>
      </c>
      <c r="H569" s="352">
        <v>4594070</v>
      </c>
      <c r="I569" s="352">
        <v>-101872</v>
      </c>
      <c r="J569" t="s">
        <v>229</v>
      </c>
      <c r="K569" t="s">
        <v>1265</v>
      </c>
      <c r="L569" t="s">
        <v>332</v>
      </c>
      <c r="M569" t="s">
        <v>57</v>
      </c>
      <c r="N569" s="2"/>
      <c r="O569" s="4"/>
    </row>
    <row r="570" spans="1:15" ht="12.75" customHeight="1" x14ac:dyDescent="0.25">
      <c r="A570" s="380">
        <v>732487</v>
      </c>
      <c r="B570" t="s">
        <v>1150</v>
      </c>
      <c r="C570" s="352">
        <v>29</v>
      </c>
      <c r="D570" s="352">
        <v>45</v>
      </c>
      <c r="E570" s="352">
        <v>74</v>
      </c>
      <c r="F570" s="352">
        <v>2324630</v>
      </c>
      <c r="G570" s="352">
        <v>5039250</v>
      </c>
      <c r="H570" s="352">
        <v>7363880</v>
      </c>
      <c r="I570" s="352">
        <v>1838410</v>
      </c>
      <c r="J570" t="s">
        <v>599</v>
      </c>
      <c r="K570" t="s">
        <v>1266</v>
      </c>
      <c r="L570" t="s">
        <v>1277</v>
      </c>
      <c r="M570" t="s">
        <v>57</v>
      </c>
      <c r="N570" s="2"/>
      <c r="O570" s="4"/>
    </row>
    <row r="571" spans="1:15" ht="12.75" customHeight="1" x14ac:dyDescent="0.25">
      <c r="A571" s="380">
        <v>290304</v>
      </c>
      <c r="B571" t="s">
        <v>553</v>
      </c>
      <c r="C571" s="352">
        <v>29</v>
      </c>
      <c r="D571" s="352">
        <v>45</v>
      </c>
      <c r="E571" s="352">
        <v>74</v>
      </c>
      <c r="F571" s="352">
        <v>1548811</v>
      </c>
      <c r="G571" s="352">
        <v>3007027</v>
      </c>
      <c r="H571" s="352">
        <v>4555837</v>
      </c>
      <c r="I571" s="352">
        <v>-486910</v>
      </c>
      <c r="J571" t="s">
        <v>182</v>
      </c>
      <c r="K571" t="s">
        <v>1265</v>
      </c>
      <c r="L571" t="s">
        <v>157</v>
      </c>
      <c r="M571" t="s">
        <v>136</v>
      </c>
      <c r="N571" s="2"/>
      <c r="O571" s="4"/>
    </row>
    <row r="572" spans="1:15" ht="12.75" customHeight="1" x14ac:dyDescent="0.25">
      <c r="A572" s="380">
        <v>810465</v>
      </c>
      <c r="B572" t="s">
        <v>372</v>
      </c>
      <c r="C572" s="352">
        <v>36</v>
      </c>
      <c r="D572" s="352">
        <v>38</v>
      </c>
      <c r="E572" s="352">
        <v>74</v>
      </c>
      <c r="F572" s="352">
        <v>1737039</v>
      </c>
      <c r="G572" s="352">
        <v>1708261</v>
      </c>
      <c r="H572" s="352">
        <v>3445301</v>
      </c>
      <c r="I572" s="352">
        <v>68270</v>
      </c>
      <c r="J572" t="s">
        <v>178</v>
      </c>
      <c r="K572" t="s">
        <v>1265</v>
      </c>
      <c r="L572" t="s">
        <v>1278</v>
      </c>
      <c r="M572" t="s">
        <v>57</v>
      </c>
      <c r="N572" s="2"/>
      <c r="O572" s="4"/>
    </row>
    <row r="573" spans="1:15" ht="12.75" customHeight="1" x14ac:dyDescent="0.25">
      <c r="A573" s="380">
        <v>589101</v>
      </c>
      <c r="B573" t="s">
        <v>526</v>
      </c>
      <c r="C573" s="352">
        <v>20</v>
      </c>
      <c r="D573" s="352">
        <v>53</v>
      </c>
      <c r="E573" s="352">
        <v>73</v>
      </c>
      <c r="F573" s="352">
        <v>1970869</v>
      </c>
      <c r="G573" s="352">
        <v>4136585</v>
      </c>
      <c r="H573" s="352">
        <v>6107453</v>
      </c>
      <c r="I573" s="352">
        <v>-874753</v>
      </c>
      <c r="J573" t="s">
        <v>208</v>
      </c>
      <c r="K573" t="s">
        <v>1265</v>
      </c>
      <c r="L573" t="s">
        <v>193</v>
      </c>
      <c r="M573" t="s">
        <v>136</v>
      </c>
      <c r="N573" s="2"/>
      <c r="O573" s="4"/>
    </row>
    <row r="574" spans="1:15" ht="12.75" customHeight="1" x14ac:dyDescent="0.25">
      <c r="A574" s="380">
        <v>823500</v>
      </c>
      <c r="B574" t="s">
        <v>637</v>
      </c>
      <c r="C574" s="352">
        <v>26</v>
      </c>
      <c r="D574" s="352">
        <v>46</v>
      </c>
      <c r="E574" s="352">
        <v>72</v>
      </c>
      <c r="F574" s="352">
        <v>1122929</v>
      </c>
      <c r="G574" s="352">
        <v>2743251</v>
      </c>
      <c r="H574" s="352">
        <v>3866181</v>
      </c>
      <c r="I574" s="352">
        <v>-420343</v>
      </c>
      <c r="J574" t="s">
        <v>609</v>
      </c>
      <c r="K574" t="s">
        <v>1265</v>
      </c>
      <c r="L574" t="s">
        <v>1273</v>
      </c>
      <c r="M574" t="s">
        <v>57</v>
      </c>
      <c r="N574" s="2"/>
      <c r="O574" s="4"/>
    </row>
    <row r="575" spans="1:15" ht="12.75" customHeight="1" x14ac:dyDescent="0.25">
      <c r="A575" s="380">
        <v>793109</v>
      </c>
      <c r="B575" t="s">
        <v>1315</v>
      </c>
      <c r="C575" s="352">
        <v>27</v>
      </c>
      <c r="D575" s="352">
        <v>35</v>
      </c>
      <c r="E575" s="352">
        <v>62</v>
      </c>
      <c r="F575" s="352">
        <v>1515222</v>
      </c>
      <c r="G575" s="352">
        <v>2041715</v>
      </c>
      <c r="H575" s="352">
        <v>3556937</v>
      </c>
      <c r="I575" s="352">
        <v>89835</v>
      </c>
      <c r="J575" t="s">
        <v>154</v>
      </c>
      <c r="K575" t="s">
        <v>1265</v>
      </c>
      <c r="L575" t="s">
        <v>164</v>
      </c>
      <c r="M575" t="s">
        <v>57</v>
      </c>
      <c r="N575" s="2"/>
      <c r="O575" s="4"/>
    </row>
    <row r="576" spans="1:15" ht="12.75" customHeight="1" x14ac:dyDescent="0.25">
      <c r="A576" s="380">
        <v>405290</v>
      </c>
      <c r="B576" t="s">
        <v>503</v>
      </c>
      <c r="C576" s="352">
        <v>23</v>
      </c>
      <c r="D576" s="352">
        <v>37</v>
      </c>
      <c r="E576" s="352">
        <v>60</v>
      </c>
      <c r="F576" s="352">
        <v>1456009</v>
      </c>
      <c r="G576" s="352">
        <v>3028377</v>
      </c>
      <c r="H576" s="352">
        <v>4484386</v>
      </c>
      <c r="I576" s="352">
        <v>-472144</v>
      </c>
      <c r="J576" t="s">
        <v>154</v>
      </c>
      <c r="K576" t="s">
        <v>1265</v>
      </c>
      <c r="L576" t="s">
        <v>1330</v>
      </c>
      <c r="M576" t="s">
        <v>57</v>
      </c>
      <c r="N576" s="2"/>
      <c r="O576" s="4"/>
    </row>
    <row r="577" spans="1:15" ht="12.75" customHeight="1" x14ac:dyDescent="0.25">
      <c r="A577" s="380">
        <v>969246</v>
      </c>
      <c r="B577" t="s">
        <v>1184</v>
      </c>
      <c r="C577" s="352">
        <v>29</v>
      </c>
      <c r="D577" s="352">
        <v>30</v>
      </c>
      <c r="E577" s="352">
        <v>59</v>
      </c>
      <c r="F577" s="352">
        <v>1909496</v>
      </c>
      <c r="G577" s="352">
        <v>1397754</v>
      </c>
      <c r="H577" s="352">
        <v>3307250</v>
      </c>
      <c r="I577" s="352">
        <v>-299398</v>
      </c>
      <c r="J577" t="s">
        <v>586</v>
      </c>
      <c r="K577" t="s">
        <v>1259</v>
      </c>
      <c r="L577" t="s">
        <v>149</v>
      </c>
      <c r="M577" t="s">
        <v>136</v>
      </c>
      <c r="N577" s="2"/>
      <c r="O577" s="4"/>
    </row>
    <row r="578" spans="1:15" ht="12.75" customHeight="1" x14ac:dyDescent="0.25">
      <c r="A578" s="380">
        <v>369876</v>
      </c>
      <c r="B578" t="s">
        <v>523</v>
      </c>
      <c r="C578" s="352">
        <v>25</v>
      </c>
      <c r="D578" s="352">
        <v>34</v>
      </c>
      <c r="E578" s="352">
        <v>59</v>
      </c>
      <c r="F578" s="352">
        <v>1291629</v>
      </c>
      <c r="G578" s="352">
        <v>1982754</v>
      </c>
      <c r="H578" s="352">
        <v>3274383</v>
      </c>
      <c r="I578" s="352">
        <v>-398839</v>
      </c>
      <c r="J578" t="s">
        <v>610</v>
      </c>
      <c r="K578" t="s">
        <v>1265</v>
      </c>
      <c r="L578" t="s">
        <v>470</v>
      </c>
      <c r="M578" t="s">
        <v>57</v>
      </c>
      <c r="N578" s="2"/>
      <c r="O578" s="4"/>
    </row>
    <row r="579" spans="1:15" ht="12.75" customHeight="1" x14ac:dyDescent="0.25">
      <c r="A579" s="380">
        <v>317040</v>
      </c>
      <c r="B579" t="s">
        <v>517</v>
      </c>
      <c r="C579" s="352">
        <v>16</v>
      </c>
      <c r="D579" s="352">
        <v>40</v>
      </c>
      <c r="E579" s="352">
        <v>56</v>
      </c>
      <c r="F579" s="352">
        <v>886603</v>
      </c>
      <c r="G579" s="352">
        <v>2054712</v>
      </c>
      <c r="H579" s="352">
        <v>2941315</v>
      </c>
      <c r="I579" s="352">
        <v>-14975</v>
      </c>
      <c r="J579" t="s">
        <v>154</v>
      </c>
      <c r="K579" t="s">
        <v>1265</v>
      </c>
      <c r="L579" t="s">
        <v>350</v>
      </c>
      <c r="M579" t="s">
        <v>57</v>
      </c>
      <c r="N579" s="2"/>
      <c r="O579" s="4"/>
    </row>
    <row r="580" spans="1:15" ht="12.75" customHeight="1" x14ac:dyDescent="0.25">
      <c r="A580" s="380">
        <v>245381</v>
      </c>
      <c r="B580" t="s">
        <v>629</v>
      </c>
      <c r="C580" s="352">
        <v>21</v>
      </c>
      <c r="D580" s="352">
        <v>34</v>
      </c>
      <c r="E580" s="352">
        <v>55</v>
      </c>
      <c r="F580" s="352">
        <v>1063238</v>
      </c>
      <c r="G580" s="352">
        <v>2186946</v>
      </c>
      <c r="H580" s="352">
        <v>3250184</v>
      </c>
      <c r="I580" s="352">
        <v>-11407</v>
      </c>
      <c r="J580" t="s">
        <v>609</v>
      </c>
      <c r="K580" t="s">
        <v>1265</v>
      </c>
      <c r="L580" t="s">
        <v>350</v>
      </c>
      <c r="M580" t="s">
        <v>57</v>
      </c>
      <c r="N580" s="2"/>
      <c r="O580" s="4"/>
    </row>
    <row r="581" spans="1:15" ht="12.75" customHeight="1" x14ac:dyDescent="0.25">
      <c r="A581" s="380">
        <v>458471</v>
      </c>
      <c r="B581" t="s">
        <v>1214</v>
      </c>
      <c r="C581" s="352">
        <v>19</v>
      </c>
      <c r="D581" s="352">
        <v>35</v>
      </c>
      <c r="E581" s="352">
        <v>54</v>
      </c>
      <c r="F581" s="352">
        <v>894522</v>
      </c>
      <c r="G581" s="352">
        <v>2417399</v>
      </c>
      <c r="H581" s="352">
        <v>3311921</v>
      </c>
      <c r="I581" s="352">
        <v>-180592</v>
      </c>
      <c r="J581" t="s">
        <v>154</v>
      </c>
      <c r="K581" t="s">
        <v>1265</v>
      </c>
      <c r="L581" t="s">
        <v>149</v>
      </c>
      <c r="M581" t="s">
        <v>136</v>
      </c>
      <c r="N581" s="2"/>
      <c r="O581" s="4"/>
    </row>
    <row r="582" spans="1:15" ht="12.75" customHeight="1" x14ac:dyDescent="0.25">
      <c r="A582" s="380">
        <v>494302</v>
      </c>
      <c r="B582" t="s">
        <v>1217</v>
      </c>
      <c r="C582" s="352">
        <v>20</v>
      </c>
      <c r="D582" s="352">
        <v>33</v>
      </c>
      <c r="E582" s="352">
        <v>53</v>
      </c>
      <c r="F582" s="352">
        <v>1856144</v>
      </c>
      <c r="G582" s="352">
        <v>3113764</v>
      </c>
      <c r="H582" s="352">
        <v>4969908</v>
      </c>
      <c r="I582" s="352">
        <v>-558969</v>
      </c>
      <c r="J582" t="s">
        <v>610</v>
      </c>
      <c r="K582" t="s">
        <v>1265</v>
      </c>
      <c r="L582" t="s">
        <v>149</v>
      </c>
      <c r="M582" t="s">
        <v>136</v>
      </c>
      <c r="N582" s="2"/>
      <c r="O582" s="4"/>
    </row>
    <row r="583" spans="1:15" ht="12.75" customHeight="1" x14ac:dyDescent="0.25">
      <c r="A583" s="380">
        <v>908509</v>
      </c>
      <c r="B583" t="s">
        <v>578</v>
      </c>
      <c r="C583" s="352">
        <v>19</v>
      </c>
      <c r="D583" s="352">
        <v>31</v>
      </c>
      <c r="E583" s="352">
        <v>50</v>
      </c>
      <c r="F583" s="352">
        <v>1482172</v>
      </c>
      <c r="G583" s="352">
        <v>2635705</v>
      </c>
      <c r="H583" s="352">
        <v>4117878</v>
      </c>
      <c r="I583" s="352">
        <v>-123894</v>
      </c>
      <c r="J583" t="s">
        <v>208</v>
      </c>
      <c r="K583" t="s">
        <v>1265</v>
      </c>
      <c r="L583" t="s">
        <v>157</v>
      </c>
      <c r="M583" t="s">
        <v>136</v>
      </c>
      <c r="N583" s="2"/>
      <c r="O583" s="4"/>
    </row>
    <row r="584" spans="1:15" ht="12.75" customHeight="1" x14ac:dyDescent="0.25">
      <c r="A584" s="380">
        <v>558882</v>
      </c>
      <c r="B584" t="s">
        <v>556</v>
      </c>
      <c r="C584" s="352">
        <v>20</v>
      </c>
      <c r="D584" s="352">
        <v>28</v>
      </c>
      <c r="E584" s="352">
        <v>48</v>
      </c>
      <c r="F584" s="352">
        <v>1050648</v>
      </c>
      <c r="G584" s="352">
        <v>1489240</v>
      </c>
      <c r="H584" s="352">
        <v>2539888</v>
      </c>
      <c r="I584" s="352">
        <v>-38995</v>
      </c>
      <c r="J584" t="s">
        <v>610</v>
      </c>
      <c r="K584" t="s">
        <v>1265</v>
      </c>
      <c r="L584" t="s">
        <v>467</v>
      </c>
      <c r="M584" t="s">
        <v>57</v>
      </c>
      <c r="N584" s="2"/>
      <c r="O584" s="4"/>
    </row>
    <row r="585" spans="1:15" ht="12.75" customHeight="1" x14ac:dyDescent="0.25">
      <c r="A585" s="380">
        <v>161687</v>
      </c>
      <c r="B585" t="s">
        <v>1324</v>
      </c>
      <c r="C585" s="352">
        <v>13</v>
      </c>
      <c r="D585" s="352">
        <v>31</v>
      </c>
      <c r="E585" s="352">
        <v>44</v>
      </c>
      <c r="F585" s="352">
        <v>663944</v>
      </c>
      <c r="G585" s="352">
        <v>1579844</v>
      </c>
      <c r="H585" s="352">
        <v>2243787</v>
      </c>
      <c r="I585" s="352">
        <v>26673</v>
      </c>
      <c r="J585" t="s">
        <v>228</v>
      </c>
      <c r="K585" t="s">
        <v>1265</v>
      </c>
      <c r="L585" t="s">
        <v>1268</v>
      </c>
      <c r="M585" t="s">
        <v>57</v>
      </c>
      <c r="N585" s="2"/>
      <c r="O585" s="4"/>
    </row>
    <row r="586" spans="1:15" ht="12.75" customHeight="1" x14ac:dyDescent="0.25">
      <c r="A586" s="380">
        <v>852079</v>
      </c>
      <c r="B586" t="s">
        <v>469</v>
      </c>
      <c r="C586" s="352">
        <v>13</v>
      </c>
      <c r="D586" s="352">
        <v>30</v>
      </c>
      <c r="E586" s="352">
        <v>43</v>
      </c>
      <c r="F586" s="352">
        <v>854545</v>
      </c>
      <c r="G586" s="352">
        <v>1318469</v>
      </c>
      <c r="H586" s="352">
        <v>2173013</v>
      </c>
      <c r="I586" s="352">
        <v>500648</v>
      </c>
      <c r="J586" t="s">
        <v>610</v>
      </c>
      <c r="K586" t="s">
        <v>1265</v>
      </c>
      <c r="L586" t="s">
        <v>470</v>
      </c>
      <c r="M586" t="s">
        <v>57</v>
      </c>
      <c r="N586" s="2"/>
      <c r="O586" s="4"/>
    </row>
    <row r="587" spans="1:15" ht="12.75" customHeight="1" x14ac:dyDescent="0.25">
      <c r="A587" s="380">
        <v>887901</v>
      </c>
      <c r="B587" t="s">
        <v>473</v>
      </c>
      <c r="C587" s="352">
        <v>9</v>
      </c>
      <c r="D587" s="352">
        <v>32</v>
      </c>
      <c r="E587" s="352">
        <v>41</v>
      </c>
      <c r="F587" s="352">
        <v>476705</v>
      </c>
      <c r="G587" s="352">
        <v>1607933</v>
      </c>
      <c r="H587" s="352">
        <v>2084638</v>
      </c>
      <c r="I587" s="352">
        <v>384037</v>
      </c>
      <c r="J587" t="s">
        <v>610</v>
      </c>
      <c r="K587" t="s">
        <v>1265</v>
      </c>
      <c r="L587" t="s">
        <v>470</v>
      </c>
      <c r="M587" t="s">
        <v>57</v>
      </c>
      <c r="N587" s="2"/>
      <c r="O587" s="4"/>
    </row>
    <row r="588" spans="1:15" ht="12.75" customHeight="1" x14ac:dyDescent="0.25">
      <c r="A588" s="380">
        <v>352583</v>
      </c>
      <c r="B588" t="s">
        <v>344</v>
      </c>
      <c r="C588" s="352">
        <v>15</v>
      </c>
      <c r="D588" s="352">
        <v>23</v>
      </c>
      <c r="E588" s="352">
        <v>38</v>
      </c>
      <c r="F588" s="352">
        <v>518262</v>
      </c>
      <c r="G588" s="352">
        <v>1737634</v>
      </c>
      <c r="H588" s="352">
        <v>2255896</v>
      </c>
      <c r="I588" s="352">
        <v>0</v>
      </c>
      <c r="J588" t="s">
        <v>595</v>
      </c>
      <c r="K588" t="s">
        <v>1266</v>
      </c>
      <c r="L588" t="s">
        <v>1278</v>
      </c>
      <c r="M588" t="s">
        <v>57</v>
      </c>
      <c r="N588" s="2"/>
      <c r="O588" s="4"/>
    </row>
    <row r="589" spans="1:15" ht="12.75" customHeight="1" x14ac:dyDescent="0.25">
      <c r="A589" s="380">
        <v>460303</v>
      </c>
      <c r="B589" t="s">
        <v>1161</v>
      </c>
      <c r="C589" s="352">
        <v>31</v>
      </c>
      <c r="D589" s="352">
        <v>6</v>
      </c>
      <c r="E589" s="352">
        <v>37</v>
      </c>
      <c r="F589" s="352">
        <v>914245</v>
      </c>
      <c r="G589" s="352">
        <v>492599</v>
      </c>
      <c r="H589" s="352">
        <v>1406844</v>
      </c>
      <c r="I589" s="352">
        <v>-383041</v>
      </c>
      <c r="J589" t="s">
        <v>182</v>
      </c>
      <c r="K589" t="s">
        <v>1265</v>
      </c>
      <c r="L589" t="s">
        <v>563</v>
      </c>
      <c r="M589" t="s">
        <v>136</v>
      </c>
      <c r="N589" s="2"/>
      <c r="O589" s="4"/>
    </row>
    <row r="590" spans="1:15" ht="12.75" customHeight="1" x14ac:dyDescent="0.25">
      <c r="A590" s="380">
        <v>690693</v>
      </c>
      <c r="B590" t="s">
        <v>453</v>
      </c>
      <c r="C590" s="352">
        <v>10</v>
      </c>
      <c r="D590" s="352">
        <v>25</v>
      </c>
      <c r="E590" s="352">
        <v>35</v>
      </c>
      <c r="F590" s="352">
        <v>603196</v>
      </c>
      <c r="G590" s="352">
        <v>1555848</v>
      </c>
      <c r="H590" s="352">
        <v>2159044</v>
      </c>
      <c r="I590" s="352">
        <v>201543</v>
      </c>
      <c r="J590" t="s">
        <v>154</v>
      </c>
      <c r="K590" t="s">
        <v>1265</v>
      </c>
      <c r="L590" t="s">
        <v>1278</v>
      </c>
      <c r="M590" t="s">
        <v>57</v>
      </c>
      <c r="N590" s="2"/>
      <c r="O590" s="4"/>
    </row>
    <row r="591" spans="1:15" ht="12.75" customHeight="1" x14ac:dyDescent="0.25">
      <c r="A591" s="380">
        <v>809699</v>
      </c>
      <c r="B591" t="s">
        <v>1212</v>
      </c>
      <c r="C591" s="352">
        <v>7</v>
      </c>
      <c r="D591" s="352">
        <v>24</v>
      </c>
      <c r="E591" s="352">
        <v>31</v>
      </c>
      <c r="F591" s="352">
        <v>399506</v>
      </c>
      <c r="G591" s="352">
        <v>1673126</v>
      </c>
      <c r="H591" s="352">
        <v>2072632</v>
      </c>
      <c r="I591" s="352">
        <v>-282899</v>
      </c>
      <c r="J591" t="s">
        <v>588</v>
      </c>
      <c r="K591" t="s">
        <v>1262</v>
      </c>
      <c r="L591" t="s">
        <v>467</v>
      </c>
      <c r="M591" t="s">
        <v>57</v>
      </c>
      <c r="N591" s="2"/>
      <c r="O591" s="4"/>
    </row>
    <row r="592" spans="1:15" ht="12.75" customHeight="1" x14ac:dyDescent="0.25">
      <c r="A592" s="380">
        <v>866897</v>
      </c>
      <c r="B592" t="s">
        <v>422</v>
      </c>
      <c r="C592" s="352">
        <v>11</v>
      </c>
      <c r="D592" s="352">
        <v>19</v>
      </c>
      <c r="E592" s="352">
        <v>30</v>
      </c>
      <c r="F592" s="352">
        <v>270108</v>
      </c>
      <c r="G592" s="352">
        <v>1037715</v>
      </c>
      <c r="H592" s="352">
        <v>1307823</v>
      </c>
      <c r="I592" s="352">
        <v>0</v>
      </c>
      <c r="J592" t="s">
        <v>167</v>
      </c>
      <c r="K592" t="s">
        <v>1265</v>
      </c>
      <c r="L592" t="s">
        <v>1278</v>
      </c>
      <c r="M592" t="s">
        <v>57</v>
      </c>
      <c r="N592" s="2"/>
      <c r="O592" s="4"/>
    </row>
    <row r="593" spans="1:15" ht="12.75" customHeight="1" x14ac:dyDescent="0.25">
      <c r="A593" s="380">
        <v>281212</v>
      </c>
      <c r="B593" t="s">
        <v>518</v>
      </c>
      <c r="C593" s="352">
        <v>6</v>
      </c>
      <c r="D593" s="352">
        <v>23</v>
      </c>
      <c r="E593" s="352">
        <v>29</v>
      </c>
      <c r="F593" s="352">
        <v>421187</v>
      </c>
      <c r="G593" s="352">
        <v>1547352</v>
      </c>
      <c r="H593" s="352">
        <v>1968539</v>
      </c>
      <c r="I593" s="352">
        <v>-67316</v>
      </c>
      <c r="J593" t="s">
        <v>609</v>
      </c>
      <c r="K593" t="s">
        <v>1265</v>
      </c>
      <c r="L593" t="s">
        <v>350</v>
      </c>
      <c r="M593" t="s">
        <v>57</v>
      </c>
      <c r="N593" s="2"/>
      <c r="O593" s="4"/>
    </row>
    <row r="594" spans="1:15" ht="12.75" customHeight="1" x14ac:dyDescent="0.25">
      <c r="A594" s="380">
        <v>140434</v>
      </c>
      <c r="B594" t="s">
        <v>1211</v>
      </c>
      <c r="C594" s="352">
        <v>3</v>
      </c>
      <c r="D594" s="352">
        <v>17</v>
      </c>
      <c r="E594" s="352">
        <v>20</v>
      </c>
      <c r="F594" s="352">
        <v>199947</v>
      </c>
      <c r="G594" s="352">
        <v>810850</v>
      </c>
      <c r="H594" s="352">
        <v>1010797</v>
      </c>
      <c r="I594" s="352">
        <v>0</v>
      </c>
      <c r="J594" t="s">
        <v>596</v>
      </c>
      <c r="K594" t="s">
        <v>1266</v>
      </c>
      <c r="L594" t="s">
        <v>467</v>
      </c>
      <c r="M594" t="s">
        <v>57</v>
      </c>
      <c r="N594" s="2"/>
      <c r="O594" s="4"/>
    </row>
    <row r="595" spans="1:15" ht="12.75" customHeight="1" x14ac:dyDescent="0.25">
      <c r="A595" s="380">
        <v>443309</v>
      </c>
      <c r="B595" t="s">
        <v>655</v>
      </c>
      <c r="C595" s="352">
        <v>6</v>
      </c>
      <c r="D595" s="352">
        <v>13</v>
      </c>
      <c r="E595" s="352">
        <v>19</v>
      </c>
      <c r="F595" s="352">
        <v>352116</v>
      </c>
      <c r="G595" s="352">
        <v>1293074</v>
      </c>
      <c r="H595" s="352">
        <v>1645190</v>
      </c>
      <c r="I595" s="352">
        <v>-233720</v>
      </c>
      <c r="J595" t="s">
        <v>154</v>
      </c>
      <c r="K595" t="s">
        <v>1265</v>
      </c>
      <c r="L595" t="s">
        <v>429</v>
      </c>
      <c r="M595" t="s">
        <v>136</v>
      </c>
      <c r="N595" s="2"/>
      <c r="O595" s="4"/>
    </row>
    <row r="596" spans="1:15" ht="12.75" customHeight="1" x14ac:dyDescent="0.25">
      <c r="A596" s="380">
        <v>724633</v>
      </c>
      <c r="B596" t="s">
        <v>1346</v>
      </c>
      <c r="C596" s="352">
        <v>9</v>
      </c>
      <c r="D596" s="352">
        <v>9</v>
      </c>
      <c r="E596" s="352">
        <v>18</v>
      </c>
      <c r="F596" s="352">
        <v>310997</v>
      </c>
      <c r="G596" s="352">
        <v>378103</v>
      </c>
      <c r="H596" s="352">
        <v>689100</v>
      </c>
      <c r="I596" s="352">
        <v>-187506</v>
      </c>
      <c r="J596" t="s">
        <v>178</v>
      </c>
      <c r="K596" t="s">
        <v>1265</v>
      </c>
      <c r="L596" t="s">
        <v>414</v>
      </c>
      <c r="M596" t="s">
        <v>57</v>
      </c>
      <c r="N596" s="2"/>
      <c r="O596" s="4"/>
    </row>
    <row r="597" spans="1:15" ht="12.75" customHeight="1" x14ac:dyDescent="0.25">
      <c r="A597" s="380">
        <v>827105</v>
      </c>
      <c r="B597" t="s">
        <v>1180</v>
      </c>
      <c r="C597" s="352">
        <v>10</v>
      </c>
      <c r="D597" s="352">
        <v>7</v>
      </c>
      <c r="E597" s="352">
        <v>17</v>
      </c>
      <c r="F597" s="352">
        <v>407755</v>
      </c>
      <c r="G597" s="352">
        <v>598246</v>
      </c>
      <c r="H597" s="352">
        <v>1006002</v>
      </c>
      <c r="I597" s="352">
        <v>-180914</v>
      </c>
      <c r="J597" t="s">
        <v>182</v>
      </c>
      <c r="K597" t="s">
        <v>1265</v>
      </c>
      <c r="L597" t="s">
        <v>185</v>
      </c>
      <c r="M597" t="s">
        <v>136</v>
      </c>
      <c r="N597" s="2"/>
      <c r="O597" s="4"/>
    </row>
    <row r="598" spans="1:15" ht="12.75" customHeight="1" x14ac:dyDescent="0.25">
      <c r="A598" s="380">
        <v>643700</v>
      </c>
      <c r="B598" t="s">
        <v>1174</v>
      </c>
      <c r="C598" s="352">
        <v>7</v>
      </c>
      <c r="D598" s="352">
        <v>9</v>
      </c>
      <c r="E598" s="352">
        <v>16</v>
      </c>
      <c r="F598" s="352">
        <v>325687</v>
      </c>
      <c r="G598" s="352">
        <v>1025864</v>
      </c>
      <c r="H598" s="352">
        <v>1351551</v>
      </c>
      <c r="I598" s="352">
        <v>86485</v>
      </c>
      <c r="J598" t="s">
        <v>182</v>
      </c>
      <c r="K598" t="s">
        <v>1265</v>
      </c>
      <c r="L598" t="s">
        <v>193</v>
      </c>
      <c r="M598" t="s">
        <v>136</v>
      </c>
      <c r="N598" s="2"/>
      <c r="O598" s="4"/>
    </row>
    <row r="599" spans="1:15" ht="12.75" customHeight="1" x14ac:dyDescent="0.25">
      <c r="A599" s="380">
        <v>356477</v>
      </c>
      <c r="B599" t="s">
        <v>628</v>
      </c>
      <c r="C599" s="352">
        <v>3</v>
      </c>
      <c r="D599" s="352">
        <v>9</v>
      </c>
      <c r="E599" s="352">
        <v>12</v>
      </c>
      <c r="F599" s="352">
        <v>327901</v>
      </c>
      <c r="G599" s="352">
        <v>1660706</v>
      </c>
      <c r="H599" s="352">
        <v>1988607</v>
      </c>
      <c r="I599" s="352">
        <v>-7659</v>
      </c>
      <c r="J599" t="s">
        <v>595</v>
      </c>
      <c r="K599" t="s">
        <v>1266</v>
      </c>
      <c r="L599" t="s">
        <v>193</v>
      </c>
      <c r="M599" t="s">
        <v>136</v>
      </c>
      <c r="N599" s="2"/>
      <c r="O599" s="4"/>
    </row>
    <row r="600" spans="1:15" ht="12.75" customHeight="1" x14ac:dyDescent="0.25">
      <c r="A600" s="380">
        <v>523050</v>
      </c>
      <c r="B600" t="s">
        <v>622</v>
      </c>
      <c r="C600" s="352">
        <v>4</v>
      </c>
      <c r="D600" s="352">
        <v>8</v>
      </c>
      <c r="E600" s="352">
        <v>12</v>
      </c>
      <c r="F600" s="352">
        <v>133500</v>
      </c>
      <c r="G600" s="352">
        <v>717593</v>
      </c>
      <c r="H600" s="352">
        <v>851093</v>
      </c>
      <c r="I600" s="352">
        <v>7645</v>
      </c>
      <c r="J600" t="s">
        <v>154</v>
      </c>
      <c r="K600" t="s">
        <v>1265</v>
      </c>
      <c r="L600" t="s">
        <v>467</v>
      </c>
      <c r="M600" t="s">
        <v>57</v>
      </c>
      <c r="N600" s="2"/>
      <c r="O600" s="4"/>
    </row>
    <row r="601" spans="1:15" ht="12.75" customHeight="1" x14ac:dyDescent="0.25">
      <c r="A601" s="380">
        <v>239301</v>
      </c>
      <c r="B601" t="s">
        <v>531</v>
      </c>
      <c r="C601" s="352">
        <v>4</v>
      </c>
      <c r="D601" s="352">
        <v>7</v>
      </c>
      <c r="E601" s="352">
        <v>11</v>
      </c>
      <c r="F601" s="352">
        <v>405075</v>
      </c>
      <c r="G601" s="352">
        <v>535662</v>
      </c>
      <c r="H601" s="352">
        <v>940737</v>
      </c>
      <c r="I601" s="352">
        <v>-528340</v>
      </c>
      <c r="J601" t="s">
        <v>597</v>
      </c>
      <c r="K601" t="s">
        <v>1262</v>
      </c>
      <c r="L601" t="s">
        <v>248</v>
      </c>
      <c r="M601" t="s">
        <v>57</v>
      </c>
      <c r="N601" s="2"/>
      <c r="O601" s="4"/>
    </row>
    <row r="602" spans="1:15" ht="12.75" customHeight="1" x14ac:dyDescent="0.25">
      <c r="A602" s="380"/>
      <c r="B602"/>
      <c r="C602" s="352"/>
      <c r="D602" s="352"/>
      <c r="E602" s="352"/>
      <c r="F602" s="352"/>
      <c r="G602" s="352"/>
      <c r="H602" s="352"/>
      <c r="I602" s="352"/>
      <c r="K602"/>
      <c r="L602"/>
      <c r="M602"/>
      <c r="N602" s="2"/>
      <c r="O602" s="4"/>
    </row>
    <row r="603" spans="1:15" ht="12.75" customHeight="1" x14ac:dyDescent="0.25">
      <c r="A603" s="380"/>
      <c r="B603"/>
      <c r="C603" s="352"/>
      <c r="D603" s="352"/>
      <c r="E603" s="352"/>
      <c r="F603" s="352"/>
      <c r="G603" s="352"/>
      <c r="H603" s="352"/>
      <c r="I603" s="352"/>
      <c r="K603"/>
      <c r="L603"/>
      <c r="M603"/>
      <c r="N603" s="2"/>
      <c r="O603" s="4"/>
    </row>
    <row r="604" spans="1:15" ht="12.75" customHeight="1" x14ac:dyDescent="0.25">
      <c r="A604" s="380"/>
      <c r="B604"/>
      <c r="C604" s="352"/>
      <c r="D604" s="352"/>
      <c r="E604" s="352"/>
      <c r="F604" s="352"/>
      <c r="G604" s="352"/>
      <c r="H604" s="352"/>
      <c r="I604" s="352"/>
      <c r="K604"/>
      <c r="L604"/>
      <c r="M604"/>
      <c r="N604" s="2"/>
      <c r="O604" s="4"/>
    </row>
    <row r="605" spans="1:15" ht="12.75" customHeight="1" x14ac:dyDescent="0.25">
      <c r="A605" s="380"/>
      <c r="B605"/>
      <c r="C605" s="352"/>
      <c r="D605" s="352"/>
      <c r="E605" s="352"/>
      <c r="F605" s="352"/>
      <c r="G605" s="352"/>
      <c r="H605" s="352"/>
      <c r="I605" s="352"/>
      <c r="K605"/>
      <c r="L605"/>
      <c r="M605"/>
      <c r="N605" s="2"/>
      <c r="O605" s="4"/>
    </row>
    <row r="606" spans="1:15" ht="12.75" customHeight="1" x14ac:dyDescent="0.25">
      <c r="A606" s="380"/>
      <c r="B606"/>
      <c r="C606" s="352"/>
      <c r="D606" s="352"/>
      <c r="E606" s="352"/>
      <c r="F606" s="352"/>
      <c r="G606" s="352"/>
      <c r="H606" s="352"/>
      <c r="I606" s="352"/>
      <c r="K606"/>
      <c r="L606"/>
      <c r="M606"/>
      <c r="N606" s="2"/>
      <c r="O606" s="4"/>
    </row>
    <row r="607" spans="1:15" ht="12.75" customHeight="1" x14ac:dyDescent="0.25">
      <c r="A607" s="380"/>
      <c r="B607"/>
      <c r="C607" s="352"/>
      <c r="D607" s="352"/>
      <c r="E607" s="352"/>
      <c r="F607" s="352"/>
      <c r="G607" s="352"/>
      <c r="H607" s="352"/>
      <c r="I607" s="352"/>
      <c r="K607"/>
      <c r="L607"/>
      <c r="M607"/>
      <c r="N607" s="2"/>
      <c r="O607" s="4"/>
    </row>
    <row r="608" spans="1:15" ht="12.75" customHeight="1" x14ac:dyDescent="0.25">
      <c r="A608" s="380"/>
      <c r="B608"/>
      <c r="C608" s="352"/>
      <c r="D608" s="352"/>
      <c r="E608" s="352"/>
      <c r="F608" s="352"/>
      <c r="G608" s="352"/>
      <c r="H608" s="352"/>
      <c r="I608" s="352"/>
      <c r="K608"/>
      <c r="L608"/>
      <c r="M608"/>
      <c r="N608" s="2"/>
      <c r="O608" s="4"/>
    </row>
    <row r="609" spans="1:15" ht="12.75" customHeight="1" x14ac:dyDescent="0.25">
      <c r="A609" s="380"/>
      <c r="B609"/>
      <c r="C609" s="352"/>
      <c r="D609" s="352"/>
      <c r="E609" s="352"/>
      <c r="F609" s="352"/>
      <c r="G609" s="352"/>
      <c r="H609" s="352"/>
      <c r="I609" s="352"/>
      <c r="K609"/>
      <c r="L609"/>
      <c r="M609"/>
      <c r="N609" s="2"/>
      <c r="O609" s="4"/>
    </row>
    <row r="610" spans="1:15" ht="12.75" customHeight="1" x14ac:dyDescent="0.25">
      <c r="A610" s="380"/>
      <c r="B610"/>
      <c r="C610" s="352"/>
      <c r="D610" s="352"/>
      <c r="E610" s="352"/>
      <c r="F610" s="352"/>
      <c r="G610" s="352"/>
      <c r="H610" s="352"/>
      <c r="I610" s="352"/>
      <c r="K610"/>
      <c r="L610"/>
      <c r="M610"/>
      <c r="N610" s="2"/>
      <c r="O610" s="4"/>
    </row>
    <row r="611" spans="1:15" ht="12.75" customHeight="1" x14ac:dyDescent="0.25">
      <c r="A611" s="380"/>
      <c r="B611"/>
      <c r="C611" s="352"/>
      <c r="D611" s="352"/>
      <c r="E611" s="352"/>
      <c r="F611" s="352"/>
      <c r="G611" s="352"/>
      <c r="H611" s="352"/>
      <c r="I611" s="352"/>
      <c r="K611"/>
      <c r="L611"/>
      <c r="M611"/>
      <c r="N611" s="2"/>
      <c r="O611" s="4"/>
    </row>
    <row r="612" spans="1:15" ht="12.75" customHeight="1" x14ac:dyDescent="0.25">
      <c r="A612" s="380"/>
      <c r="B612"/>
      <c r="C612" s="352"/>
      <c r="D612" s="352"/>
      <c r="E612" s="352"/>
      <c r="F612" s="352"/>
      <c r="G612" s="352"/>
      <c r="H612" s="352"/>
      <c r="I612" s="352"/>
      <c r="K612"/>
      <c r="L612"/>
      <c r="M612"/>
      <c r="N612" s="2"/>
      <c r="O612" s="4"/>
    </row>
    <row r="613" spans="1:15" ht="12.75" customHeight="1" x14ac:dyDescent="0.25">
      <c r="A613" s="380"/>
      <c r="B613"/>
      <c r="C613" s="352"/>
      <c r="D613" s="352"/>
      <c r="E613" s="352"/>
      <c r="F613" s="352"/>
      <c r="G613" s="352"/>
      <c r="H613" s="352"/>
      <c r="I613" s="352"/>
      <c r="K613"/>
      <c r="L613"/>
      <c r="M613"/>
      <c r="N613" s="2"/>
      <c r="O613" s="4"/>
    </row>
    <row r="614" spans="1:15" ht="12.75" customHeight="1" x14ac:dyDescent="0.25">
      <c r="A614" s="380"/>
      <c r="B614"/>
      <c r="C614" s="352"/>
      <c r="D614" s="352"/>
      <c r="E614" s="352"/>
      <c r="F614" s="352"/>
      <c r="G614" s="352"/>
      <c r="H614" s="352"/>
      <c r="I614" s="352"/>
      <c r="K614"/>
      <c r="L614"/>
      <c r="M614"/>
      <c r="N614" s="2"/>
      <c r="O614" s="4"/>
    </row>
    <row r="615" spans="1:15" ht="12.75" customHeight="1" x14ac:dyDescent="0.25">
      <c r="A615" s="380"/>
      <c r="B615"/>
      <c r="C615" s="352"/>
      <c r="D615" s="352"/>
      <c r="E615" s="352"/>
      <c r="F615" s="352"/>
      <c r="G615" s="352"/>
      <c r="H615" s="352"/>
      <c r="I615" s="352"/>
      <c r="K615"/>
      <c r="L615"/>
      <c r="M615"/>
      <c r="N615" s="2"/>
      <c r="O615" s="4"/>
    </row>
    <row r="616" spans="1:15" ht="12.75" customHeight="1" x14ac:dyDescent="0.25">
      <c r="A616" s="380"/>
      <c r="B616"/>
      <c r="C616" s="352"/>
      <c r="D616" s="352"/>
      <c r="E616" s="352"/>
      <c r="F616" s="352"/>
      <c r="G616" s="352"/>
      <c r="H616" s="352"/>
      <c r="I616" s="352"/>
      <c r="K616"/>
      <c r="L616"/>
      <c r="M616"/>
      <c r="N616" s="2"/>
      <c r="O616" s="4"/>
    </row>
    <row r="617" spans="1:15" ht="12.75" customHeight="1" x14ac:dyDescent="0.25">
      <c r="A617" s="380"/>
      <c r="B617"/>
      <c r="C617" s="352"/>
      <c r="D617" s="352"/>
      <c r="E617" s="352"/>
      <c r="F617" s="352"/>
      <c r="G617" s="352"/>
      <c r="H617" s="352"/>
      <c r="I617" s="352"/>
      <c r="K617"/>
      <c r="L617"/>
      <c r="M617"/>
      <c r="N617" s="2"/>
      <c r="O617" s="4"/>
    </row>
    <row r="618" spans="1:15" ht="12.75" customHeight="1" x14ac:dyDescent="0.25">
      <c r="A618" s="380"/>
      <c r="B618"/>
      <c r="C618" s="352"/>
      <c r="D618" s="352"/>
      <c r="E618" s="352"/>
      <c r="F618" s="352"/>
      <c r="G618" s="352"/>
      <c r="H618" s="352"/>
      <c r="I618" s="352"/>
      <c r="K618"/>
      <c r="L618"/>
      <c r="M618"/>
      <c r="N618" s="2"/>
      <c r="O618" s="4"/>
    </row>
    <row r="619" spans="1:15" ht="12.75" customHeight="1" x14ac:dyDescent="0.25">
      <c r="A619" s="380"/>
      <c r="B619"/>
      <c r="C619" s="352"/>
      <c r="D619" s="352"/>
      <c r="E619" s="352"/>
      <c r="F619" s="352"/>
      <c r="G619" s="352"/>
      <c r="H619" s="352"/>
      <c r="I619" s="352"/>
      <c r="K619"/>
      <c r="L619"/>
      <c r="M619"/>
      <c r="N619" s="2"/>
      <c r="O619" s="4"/>
    </row>
    <row r="620" spans="1:15" ht="12.75" customHeight="1" x14ac:dyDescent="0.25">
      <c r="A620" s="380"/>
      <c r="B620"/>
      <c r="C620" s="352"/>
      <c r="D620" s="352"/>
      <c r="E620" s="352"/>
      <c r="F620" s="352"/>
      <c r="G620" s="352"/>
      <c r="H620" s="352"/>
      <c r="I620" s="352"/>
      <c r="K620"/>
      <c r="L620"/>
      <c r="M620"/>
      <c r="N620" s="2"/>
      <c r="O620" s="4"/>
    </row>
    <row r="621" spans="1:15" ht="12.75" customHeight="1" x14ac:dyDescent="0.25">
      <c r="A621" s="380"/>
      <c r="B621"/>
      <c r="C621" s="352"/>
      <c r="D621" s="352"/>
      <c r="E621" s="352"/>
      <c r="F621" s="352"/>
      <c r="G621" s="352"/>
      <c r="H621" s="352"/>
      <c r="I621" s="352"/>
      <c r="K621"/>
      <c r="L621"/>
      <c r="M621"/>
      <c r="N621" s="2"/>
      <c r="O621" s="4"/>
    </row>
    <row r="622" spans="1:15" ht="12.75" customHeight="1" x14ac:dyDescent="0.25">
      <c r="A622" s="380"/>
      <c r="B622"/>
      <c r="C622" s="352"/>
      <c r="D622" s="352"/>
      <c r="E622" s="352"/>
      <c r="F622" s="352"/>
      <c r="G622" s="352"/>
      <c r="H622" s="352"/>
      <c r="I622" s="352"/>
      <c r="K622"/>
      <c r="L622"/>
      <c r="M622"/>
      <c r="N622" s="2"/>
      <c r="O622" s="4"/>
    </row>
    <row r="623" spans="1:15" ht="12.75" customHeight="1" x14ac:dyDescent="0.25">
      <c r="A623" s="380"/>
      <c r="B623"/>
      <c r="C623" s="352"/>
      <c r="D623" s="352"/>
      <c r="E623" s="352"/>
      <c r="F623" s="352"/>
      <c r="G623" s="352"/>
      <c r="H623" s="352"/>
      <c r="I623" s="352"/>
      <c r="K623"/>
      <c r="L623"/>
      <c r="M623"/>
      <c r="N623" s="2"/>
      <c r="O623" s="4"/>
    </row>
    <row r="624" spans="1:15" ht="12.75" customHeight="1" x14ac:dyDescent="0.25">
      <c r="A624" s="380"/>
      <c r="B624"/>
      <c r="C624" s="352"/>
      <c r="D624" s="352"/>
      <c r="E624" s="352"/>
      <c r="F624" s="352"/>
      <c r="G624" s="352"/>
      <c r="H624" s="352"/>
      <c r="I624" s="352"/>
      <c r="K624"/>
      <c r="L624"/>
      <c r="M624"/>
      <c r="N624" s="2"/>
      <c r="O624" s="4"/>
    </row>
    <row r="625" spans="1:15" ht="12.75" customHeight="1" x14ac:dyDescent="0.25">
      <c r="A625" s="380"/>
      <c r="B625"/>
      <c r="C625" s="352"/>
      <c r="D625" s="352"/>
      <c r="E625" s="352"/>
      <c r="F625" s="352"/>
      <c r="G625" s="352"/>
      <c r="H625" s="352"/>
      <c r="I625" s="352"/>
      <c r="K625"/>
      <c r="L625"/>
      <c r="M625"/>
      <c r="N625" s="2"/>
      <c r="O625" s="4"/>
    </row>
    <row r="626" spans="1:15" ht="12.75" customHeight="1" x14ac:dyDescent="0.25">
      <c r="A626" s="380"/>
      <c r="B626"/>
      <c r="C626" s="352"/>
      <c r="D626" s="352"/>
      <c r="E626" s="352"/>
      <c r="F626" s="352"/>
      <c r="G626" s="352"/>
      <c r="H626" s="352"/>
      <c r="I626" s="352"/>
      <c r="K626"/>
      <c r="L626"/>
      <c r="M626"/>
      <c r="N626" s="2"/>
      <c r="O626" s="4"/>
    </row>
    <row r="627" spans="1:15" ht="12.75" customHeight="1" x14ac:dyDescent="0.25">
      <c r="A627" s="380"/>
      <c r="B627"/>
      <c r="C627" s="352"/>
      <c r="D627" s="352"/>
      <c r="E627" s="352"/>
      <c r="F627" s="352"/>
      <c r="G627" s="352"/>
      <c r="H627" s="352"/>
      <c r="I627" s="352"/>
      <c r="K627"/>
      <c r="L627"/>
      <c r="M627"/>
      <c r="N627" s="2"/>
      <c r="O627" s="4"/>
    </row>
    <row r="628" spans="1:15" ht="12.75" customHeight="1" x14ac:dyDescent="0.25">
      <c r="A628" s="380"/>
      <c r="B628"/>
      <c r="C628" s="352"/>
      <c r="D628" s="352"/>
      <c r="E628" s="352"/>
      <c r="F628" s="352"/>
      <c r="G628" s="352"/>
      <c r="H628" s="352"/>
      <c r="I628" s="352"/>
      <c r="K628"/>
      <c r="L628"/>
      <c r="M628"/>
      <c r="N628" s="2"/>
      <c r="O628" s="4"/>
    </row>
    <row r="629" spans="1:15" ht="12.75" customHeight="1" x14ac:dyDescent="0.25">
      <c r="A629" s="380"/>
      <c r="B629"/>
      <c r="C629" s="352"/>
      <c r="D629" s="352"/>
      <c r="E629" s="352"/>
      <c r="F629" s="352"/>
      <c r="G629" s="352"/>
      <c r="H629" s="352"/>
      <c r="I629" s="352"/>
      <c r="K629"/>
      <c r="L629"/>
      <c r="M629"/>
      <c r="N629" s="2"/>
      <c r="O629" s="4"/>
    </row>
    <row r="630" spans="1:15" ht="12.75" customHeight="1" x14ac:dyDescent="0.25">
      <c r="A630" s="380"/>
      <c r="B630"/>
      <c r="C630" s="352"/>
      <c r="D630" s="352"/>
      <c r="E630" s="352"/>
      <c r="F630" s="352"/>
      <c r="G630" s="352"/>
      <c r="H630" s="352"/>
      <c r="I630" s="352"/>
      <c r="K630"/>
      <c r="L630"/>
      <c r="M630"/>
      <c r="N630" s="2"/>
      <c r="O630" s="4"/>
    </row>
    <row r="631" spans="1:15" ht="12.75" customHeight="1" x14ac:dyDescent="0.25">
      <c r="A631" s="380"/>
      <c r="B631"/>
      <c r="C631" s="352"/>
      <c r="D631" s="352"/>
      <c r="E631" s="352"/>
      <c r="F631" s="352"/>
      <c r="G631" s="352"/>
      <c r="H631" s="352"/>
      <c r="I631" s="352"/>
      <c r="K631"/>
      <c r="L631"/>
      <c r="M631"/>
      <c r="N631" s="2"/>
      <c r="O631" s="4"/>
    </row>
    <row r="632" spans="1:15" ht="12.75" customHeight="1" x14ac:dyDescent="0.25">
      <c r="A632" s="380"/>
      <c r="B632"/>
      <c r="C632" s="352"/>
      <c r="D632" s="352"/>
      <c r="E632" s="352"/>
      <c r="F632" s="352"/>
      <c r="G632" s="352"/>
      <c r="H632" s="352"/>
      <c r="I632" s="352"/>
      <c r="K632"/>
      <c r="L632"/>
      <c r="M632"/>
      <c r="N632" s="2"/>
      <c r="O632" s="4"/>
    </row>
    <row r="633" spans="1:15" ht="12.75" customHeight="1" x14ac:dyDescent="0.25">
      <c r="A633" s="380"/>
      <c r="B633"/>
      <c r="C633" s="352"/>
      <c r="D633" s="352"/>
      <c r="E633" s="352"/>
      <c r="F633" s="352"/>
      <c r="G633" s="352"/>
      <c r="H633" s="352"/>
      <c r="I633" s="352"/>
      <c r="K633"/>
      <c r="L633"/>
      <c r="M633"/>
      <c r="N633" s="2"/>
      <c r="O633" s="4"/>
    </row>
    <row r="634" spans="1:15" ht="12.75" customHeight="1" x14ac:dyDescent="0.25">
      <c r="A634" s="380"/>
      <c r="B634"/>
      <c r="C634" s="352"/>
      <c r="D634" s="352"/>
      <c r="E634" s="352"/>
      <c r="F634" s="352"/>
      <c r="G634" s="352"/>
      <c r="H634" s="352"/>
      <c r="I634" s="352"/>
      <c r="K634"/>
      <c r="L634"/>
      <c r="M634"/>
      <c r="N634" s="2"/>
      <c r="O634" s="4"/>
    </row>
    <row r="635" spans="1:15" ht="12.75" customHeight="1" x14ac:dyDescent="0.25">
      <c r="A635" s="380"/>
      <c r="B635"/>
      <c r="C635" s="352"/>
      <c r="D635" s="352"/>
      <c r="E635" s="352"/>
      <c r="F635" s="352"/>
      <c r="G635" s="352"/>
      <c r="H635" s="352"/>
      <c r="I635" s="352"/>
      <c r="K635"/>
      <c r="L635"/>
      <c r="M635"/>
      <c r="N635" s="2"/>
      <c r="O635" s="4"/>
    </row>
    <row r="636" spans="1:15" ht="12.75" customHeight="1" x14ac:dyDescent="0.25">
      <c r="A636" s="380"/>
      <c r="B636"/>
      <c r="C636" s="352"/>
      <c r="D636" s="352"/>
      <c r="E636" s="352"/>
      <c r="F636" s="352"/>
      <c r="G636" s="352"/>
      <c r="H636" s="352"/>
      <c r="I636" s="352"/>
      <c r="K636"/>
      <c r="L636"/>
      <c r="M636"/>
      <c r="N636" s="2"/>
      <c r="O636" s="4"/>
    </row>
    <row r="637" spans="1:15" ht="12.75" customHeight="1" x14ac:dyDescent="0.25">
      <c r="A637" s="380"/>
      <c r="B637"/>
      <c r="C637" s="352"/>
      <c r="D637" s="352"/>
      <c r="E637" s="352"/>
      <c r="F637" s="352"/>
      <c r="G637" s="352"/>
      <c r="H637" s="352"/>
      <c r="I637" s="352"/>
      <c r="K637"/>
      <c r="L637"/>
      <c r="M637"/>
      <c r="N637" s="2"/>
      <c r="O637" s="4"/>
    </row>
    <row r="638" spans="1:15" ht="12.75" customHeight="1" x14ac:dyDescent="0.3">
      <c r="N638" s="2"/>
      <c r="O638" s="4"/>
    </row>
    <row r="639" spans="1:15" ht="12.75" customHeight="1" x14ac:dyDescent="0.25">
      <c r="A639" s="380"/>
      <c r="B639"/>
      <c r="C639" s="352"/>
      <c r="D639" s="352"/>
      <c r="E639" s="352"/>
      <c r="F639" s="352"/>
      <c r="G639" s="352"/>
      <c r="H639" s="352"/>
      <c r="I639" s="352"/>
      <c r="K639"/>
      <c r="L639"/>
      <c r="M639"/>
      <c r="N639" s="2"/>
      <c r="O639" s="4"/>
    </row>
    <row r="640" spans="1:15" ht="12.75" customHeight="1" x14ac:dyDescent="0.25">
      <c r="A640" s="380"/>
      <c r="B640"/>
      <c r="C640" s="352"/>
      <c r="D640" s="352"/>
      <c r="E640" s="352"/>
      <c r="F640" s="352"/>
      <c r="G640" s="352"/>
      <c r="H640" s="352"/>
      <c r="I640" s="352"/>
      <c r="K640"/>
      <c r="L640"/>
      <c r="M640"/>
      <c r="N640" s="2"/>
      <c r="O640" s="4"/>
    </row>
    <row r="641" spans="1:15" ht="12.75" customHeight="1" x14ac:dyDescent="0.25">
      <c r="A641" s="380"/>
      <c r="B641"/>
      <c r="C641" s="352"/>
      <c r="D641" s="352"/>
      <c r="E641" s="352"/>
      <c r="F641" s="352"/>
      <c r="G641" s="352"/>
      <c r="H641" s="352"/>
      <c r="I641" s="352"/>
      <c r="K641"/>
      <c r="L641"/>
      <c r="M641"/>
      <c r="N641" s="2"/>
      <c r="O641" s="4"/>
    </row>
    <row r="642" spans="1:15" ht="12.75" customHeight="1" x14ac:dyDescent="0.25">
      <c r="A642" s="380"/>
      <c r="B642"/>
      <c r="C642" s="352"/>
      <c r="D642" s="352"/>
      <c r="E642" s="352"/>
      <c r="F642" s="352"/>
      <c r="G642" s="352"/>
      <c r="H642" s="352"/>
      <c r="I642" s="352"/>
      <c r="K642"/>
      <c r="L642"/>
      <c r="M642"/>
      <c r="N642" s="2"/>
      <c r="O642" s="4"/>
    </row>
    <row r="643" spans="1:15" ht="12.75" customHeight="1" x14ac:dyDescent="0.25">
      <c r="A643" s="380"/>
      <c r="B643"/>
      <c r="C643" s="352"/>
      <c r="D643" s="352"/>
      <c r="E643" s="352"/>
      <c r="F643" s="352"/>
      <c r="G643" s="352"/>
      <c r="H643" s="352"/>
      <c r="I643" s="352"/>
      <c r="K643"/>
      <c r="L643"/>
      <c r="M643"/>
      <c r="N643" s="2"/>
      <c r="O643" s="4"/>
    </row>
    <row r="644" spans="1:15" ht="12.75" customHeight="1" x14ac:dyDescent="0.25">
      <c r="A644" s="380"/>
      <c r="B644"/>
      <c r="C644" s="352"/>
      <c r="D644" s="352"/>
      <c r="E644" s="352"/>
      <c r="F644" s="352"/>
      <c r="G644" s="352"/>
      <c r="H644" s="352"/>
      <c r="I644" s="352"/>
      <c r="K644"/>
      <c r="L644"/>
      <c r="M644"/>
      <c r="N644" s="2"/>
      <c r="O644" s="4"/>
    </row>
    <row r="645" spans="1:15" ht="12.75" customHeight="1" x14ac:dyDescent="0.25">
      <c r="A645" s="380"/>
      <c r="B645"/>
      <c r="C645" s="352"/>
      <c r="D645" s="352"/>
      <c r="E645" s="352"/>
      <c r="F645" s="352"/>
      <c r="G645" s="352"/>
      <c r="H645" s="352"/>
      <c r="I645" s="352"/>
      <c r="K645"/>
      <c r="L645"/>
      <c r="M645"/>
      <c r="N645" s="2"/>
      <c r="O645" s="4"/>
    </row>
    <row r="646" spans="1:15" ht="12.75" customHeight="1" x14ac:dyDescent="0.25">
      <c r="A646" s="380"/>
      <c r="B646"/>
      <c r="C646" s="352"/>
      <c r="D646" s="352"/>
      <c r="E646" s="352"/>
      <c r="F646" s="352"/>
      <c r="G646" s="352"/>
      <c r="H646" s="352"/>
      <c r="I646" s="352"/>
      <c r="K646"/>
      <c r="L646"/>
      <c r="M646"/>
      <c r="N646" s="2"/>
      <c r="O646" s="4"/>
    </row>
    <row r="647" spans="1:15" ht="12.75" customHeight="1" x14ac:dyDescent="0.25">
      <c r="A647" s="380"/>
      <c r="B647"/>
      <c r="C647" s="352"/>
      <c r="D647" s="352"/>
      <c r="E647" s="352"/>
      <c r="F647" s="352"/>
      <c r="G647" s="352"/>
      <c r="H647" s="352"/>
      <c r="I647" s="352"/>
      <c r="K647"/>
      <c r="L647"/>
      <c r="M647"/>
      <c r="N647" s="2"/>
      <c r="O647" s="4"/>
    </row>
    <row r="648" spans="1:15" ht="12.75" customHeight="1" x14ac:dyDescent="0.25">
      <c r="A648" s="380"/>
      <c r="B648"/>
      <c r="C648" s="352"/>
      <c r="D648" s="352"/>
      <c r="E648" s="352"/>
      <c r="F648" s="352"/>
      <c r="G648" s="352"/>
      <c r="H648" s="352"/>
      <c r="I648" s="352"/>
      <c r="K648"/>
      <c r="L648"/>
      <c r="M648"/>
      <c r="N648" s="2"/>
      <c r="O648" s="4"/>
    </row>
    <row r="649" spans="1:15" ht="12.75" customHeight="1" x14ac:dyDescent="0.25">
      <c r="A649" s="380"/>
      <c r="B649"/>
      <c r="C649" s="352"/>
      <c r="D649" s="352"/>
      <c r="E649" s="352"/>
      <c r="F649" s="352"/>
      <c r="G649" s="352"/>
      <c r="H649" s="352"/>
      <c r="I649" s="352"/>
      <c r="K649"/>
      <c r="L649"/>
      <c r="M649"/>
      <c r="N649" s="2"/>
      <c r="O649" s="4"/>
    </row>
    <row r="650" spans="1:15" ht="12.75" customHeight="1" x14ac:dyDescent="0.25">
      <c r="A650" s="380"/>
      <c r="B650"/>
      <c r="C650" s="352"/>
      <c r="D650" s="352"/>
      <c r="E650" s="352"/>
      <c r="F650" s="352"/>
      <c r="G650" s="352"/>
      <c r="H650" s="352"/>
      <c r="I650" s="352"/>
      <c r="K650"/>
      <c r="L650"/>
      <c r="M650"/>
      <c r="N650" s="2"/>
      <c r="O650" s="4"/>
    </row>
    <row r="651" spans="1:15" ht="12.75" customHeight="1" x14ac:dyDescent="0.25">
      <c r="A651" s="380"/>
      <c r="B651"/>
      <c r="C651" s="352"/>
      <c r="D651" s="352"/>
      <c r="E651" s="352"/>
      <c r="F651" s="352"/>
      <c r="G651" s="352"/>
      <c r="H651" s="352"/>
      <c r="I651" s="352"/>
      <c r="K651"/>
      <c r="L651"/>
      <c r="M651"/>
      <c r="N651" s="2"/>
      <c r="O651" s="4"/>
    </row>
    <row r="652" spans="1:15" ht="12.75" customHeight="1" x14ac:dyDescent="0.25">
      <c r="A652" s="380"/>
      <c r="B652"/>
      <c r="C652" s="352"/>
      <c r="D652" s="352"/>
      <c r="E652" s="352"/>
      <c r="F652" s="352"/>
      <c r="G652" s="352"/>
      <c r="H652" s="352"/>
      <c r="I652" s="352"/>
      <c r="K652"/>
      <c r="L652"/>
      <c r="M652"/>
      <c r="N652" s="2"/>
      <c r="O652" s="4"/>
    </row>
    <row r="653" spans="1:15" ht="12.75" customHeight="1" x14ac:dyDescent="0.25">
      <c r="A653" s="380"/>
      <c r="B653"/>
      <c r="C653" s="352"/>
      <c r="D653" s="352"/>
      <c r="E653" s="352"/>
      <c r="F653" s="352"/>
      <c r="G653" s="352"/>
      <c r="H653" s="352"/>
      <c r="I653" s="352"/>
      <c r="K653"/>
      <c r="L653"/>
      <c r="M653"/>
      <c r="N653" s="2"/>
      <c r="O653" s="4"/>
    </row>
    <row r="654" spans="1:15" ht="12.75" customHeight="1" x14ac:dyDescent="0.25">
      <c r="A654" s="380"/>
      <c r="B654"/>
      <c r="C654" s="352"/>
      <c r="D654" s="352"/>
      <c r="E654" s="352"/>
      <c r="F654" s="352"/>
      <c r="G654" s="352"/>
      <c r="H654" s="352"/>
      <c r="I654" s="352"/>
      <c r="K654"/>
      <c r="L654"/>
      <c r="M654"/>
      <c r="N654" s="2"/>
      <c r="O654" s="4"/>
    </row>
    <row r="655" spans="1:15" ht="12.75" customHeight="1" x14ac:dyDescent="0.25">
      <c r="A655" s="380"/>
      <c r="B655"/>
      <c r="C655" s="352"/>
      <c r="D655" s="352"/>
      <c r="E655" s="352"/>
      <c r="F655" s="352"/>
      <c r="G655" s="352"/>
      <c r="H655" s="352"/>
      <c r="I655" s="352"/>
      <c r="K655"/>
      <c r="L655"/>
      <c r="M655"/>
      <c r="N655" s="2"/>
      <c r="O655" s="4"/>
    </row>
    <row r="656" spans="1:15" ht="12.75" customHeight="1" x14ac:dyDescent="0.25">
      <c r="A656" s="380"/>
      <c r="B656"/>
      <c r="C656" s="352"/>
      <c r="D656" s="352"/>
      <c r="E656" s="352"/>
      <c r="F656" s="352"/>
      <c r="G656" s="352"/>
      <c r="H656" s="352"/>
      <c r="I656" s="352"/>
      <c r="K656"/>
      <c r="L656"/>
      <c r="M656"/>
      <c r="N656" s="2"/>
      <c r="O656" s="4"/>
    </row>
    <row r="657" spans="1:15" ht="12.75" customHeight="1" x14ac:dyDescent="0.25">
      <c r="A657" s="380"/>
      <c r="B657"/>
      <c r="C657" s="352"/>
      <c r="D657" s="352"/>
      <c r="E657" s="352"/>
      <c r="F657" s="352"/>
      <c r="G657" s="352"/>
      <c r="H657" s="352"/>
      <c r="I657" s="352"/>
      <c r="K657"/>
      <c r="L657"/>
      <c r="M657"/>
      <c r="N657" s="2"/>
      <c r="O657" s="4"/>
    </row>
    <row r="658" spans="1:15" ht="12.75" customHeight="1" x14ac:dyDescent="0.25">
      <c r="A658" s="380"/>
      <c r="B658"/>
      <c r="C658" s="352"/>
      <c r="D658" s="352"/>
      <c r="E658" s="352"/>
      <c r="F658" s="352"/>
      <c r="G658" s="352"/>
      <c r="H658" s="352"/>
      <c r="I658" s="352"/>
      <c r="K658"/>
      <c r="L658"/>
      <c r="M658"/>
      <c r="N658" s="2"/>
      <c r="O658" s="4"/>
    </row>
    <row r="659" spans="1:15" ht="12.75" customHeight="1" x14ac:dyDescent="0.25">
      <c r="A659" s="380"/>
      <c r="B659"/>
      <c r="C659" s="352"/>
      <c r="D659" s="352"/>
      <c r="E659" s="352"/>
      <c r="F659" s="352"/>
      <c r="G659" s="352"/>
      <c r="H659" s="352"/>
      <c r="I659" s="352"/>
      <c r="K659"/>
      <c r="L659"/>
      <c r="M659"/>
      <c r="N659" s="2"/>
      <c r="O659" s="4"/>
    </row>
    <row r="660" spans="1:15" ht="12.75" customHeight="1" x14ac:dyDescent="0.25">
      <c r="A660" s="380"/>
      <c r="B660"/>
      <c r="C660" s="352"/>
      <c r="D660" s="352"/>
      <c r="E660" s="352"/>
      <c r="F660" s="352"/>
      <c r="G660" s="352"/>
      <c r="H660" s="352"/>
      <c r="I660" s="352"/>
      <c r="K660"/>
      <c r="L660"/>
      <c r="M660"/>
      <c r="N660" s="2"/>
      <c r="O660" s="4"/>
    </row>
    <row r="661" spans="1:15" ht="12.75" customHeight="1" x14ac:dyDescent="0.25">
      <c r="A661" s="380"/>
      <c r="B661"/>
      <c r="C661" s="352"/>
      <c r="D661" s="352"/>
      <c r="E661" s="352"/>
      <c r="F661" s="352"/>
      <c r="G661" s="352"/>
      <c r="H661" s="352"/>
      <c r="I661" s="352"/>
      <c r="K661"/>
      <c r="L661"/>
      <c r="M661"/>
      <c r="N661" s="2"/>
      <c r="O661" s="4"/>
    </row>
    <row r="662" spans="1:15" ht="12.75" customHeight="1" x14ac:dyDescent="0.25">
      <c r="A662" s="380"/>
      <c r="B662"/>
      <c r="C662" s="352"/>
      <c r="D662" s="352"/>
      <c r="E662" s="352"/>
      <c r="F662" s="352"/>
      <c r="G662" s="352"/>
      <c r="H662" s="352"/>
      <c r="I662" s="352"/>
      <c r="K662"/>
      <c r="L662"/>
      <c r="M662"/>
      <c r="N662" s="2"/>
      <c r="O662" s="4"/>
    </row>
    <row r="663" spans="1:15" ht="12.75" customHeight="1" x14ac:dyDescent="0.25">
      <c r="A663" s="380"/>
      <c r="B663"/>
      <c r="C663" s="352"/>
      <c r="D663" s="352"/>
      <c r="E663" s="352"/>
      <c r="F663" s="352"/>
      <c r="G663" s="352"/>
      <c r="H663" s="352"/>
      <c r="I663" s="352"/>
      <c r="K663"/>
      <c r="L663"/>
      <c r="M663"/>
      <c r="N663" s="2"/>
      <c r="O663" s="4"/>
    </row>
    <row r="664" spans="1:15" ht="12.75" customHeight="1" x14ac:dyDescent="0.25">
      <c r="A664" s="380"/>
      <c r="B664"/>
      <c r="C664" s="352"/>
      <c r="D664" s="352"/>
      <c r="E664" s="352"/>
      <c r="F664" s="352"/>
      <c r="G664" s="352"/>
      <c r="H664" s="352"/>
      <c r="I664" s="352"/>
      <c r="K664"/>
      <c r="L664"/>
      <c r="M664"/>
      <c r="N664" s="2"/>
      <c r="O664" s="4"/>
    </row>
    <row r="665" spans="1:15" ht="12.75" customHeight="1" x14ac:dyDescent="0.25">
      <c r="A665" s="380"/>
      <c r="B665"/>
      <c r="C665" s="352"/>
      <c r="D665" s="352"/>
      <c r="E665" s="352"/>
      <c r="F665" s="352"/>
      <c r="G665" s="352"/>
      <c r="H665" s="352"/>
      <c r="I665" s="352"/>
      <c r="K665"/>
      <c r="L665"/>
      <c r="M665"/>
      <c r="N665" s="2"/>
      <c r="O665" s="4"/>
    </row>
    <row r="666" spans="1:15" ht="12.75" customHeight="1" x14ac:dyDescent="0.25">
      <c r="A666" s="380"/>
      <c r="B666"/>
      <c r="C666" s="352"/>
      <c r="D666" s="352"/>
      <c r="E666" s="352"/>
      <c r="F666" s="352"/>
      <c r="G666" s="352"/>
      <c r="H666" s="352"/>
      <c r="I666" s="352"/>
      <c r="K666"/>
      <c r="L666"/>
      <c r="M666"/>
      <c r="N666" s="2"/>
      <c r="O666" s="4"/>
    </row>
    <row r="667" spans="1:15" ht="12.75" customHeight="1" x14ac:dyDescent="0.25">
      <c r="A667" s="380"/>
      <c r="B667"/>
      <c r="C667" s="352"/>
      <c r="D667" s="352"/>
      <c r="E667" s="352"/>
      <c r="F667" s="352"/>
      <c r="G667" s="352"/>
      <c r="H667" s="352"/>
      <c r="I667" s="352"/>
      <c r="K667"/>
      <c r="L667"/>
      <c r="M667"/>
      <c r="N667" s="2"/>
      <c r="O667" s="4"/>
    </row>
    <row r="668" spans="1:15" ht="12.75" customHeight="1" x14ac:dyDescent="0.25">
      <c r="A668" s="380"/>
      <c r="B668"/>
      <c r="C668" s="352"/>
      <c r="D668" s="352"/>
      <c r="E668" s="352"/>
      <c r="F668" s="352"/>
      <c r="G668" s="352"/>
      <c r="H668" s="352"/>
      <c r="I668" s="352"/>
      <c r="K668"/>
      <c r="L668"/>
      <c r="M668"/>
      <c r="N668" s="2"/>
      <c r="O668" s="4"/>
    </row>
    <row r="669" spans="1:15" ht="12.75" customHeight="1" x14ac:dyDescent="0.25">
      <c r="A669" s="380"/>
      <c r="B669"/>
      <c r="C669" s="352"/>
      <c r="D669" s="352"/>
      <c r="E669" s="352"/>
      <c r="F669" s="352"/>
      <c r="G669" s="352"/>
      <c r="H669" s="352"/>
      <c r="I669" s="352"/>
      <c r="K669"/>
      <c r="L669"/>
      <c r="M669"/>
      <c r="N669" s="2"/>
      <c r="O669" s="4"/>
    </row>
    <row r="670" spans="1:15" ht="12.75" customHeight="1" x14ac:dyDescent="0.25">
      <c r="A670" s="380"/>
      <c r="B670"/>
      <c r="C670" s="352"/>
      <c r="D670" s="352"/>
      <c r="E670" s="352"/>
      <c r="F670" s="352"/>
      <c r="G670" s="352"/>
      <c r="H670" s="352"/>
      <c r="I670" s="352"/>
      <c r="K670"/>
      <c r="L670"/>
      <c r="M670"/>
      <c r="N670" s="2"/>
      <c r="O670" s="4"/>
    </row>
    <row r="671" spans="1:15" ht="12.75" customHeight="1" x14ac:dyDescent="0.25">
      <c r="A671" s="380"/>
      <c r="B671"/>
      <c r="C671" s="352"/>
      <c r="D671" s="352"/>
      <c r="E671" s="352"/>
      <c r="F671" s="352"/>
      <c r="G671" s="352"/>
      <c r="H671" s="352"/>
      <c r="I671" s="352"/>
      <c r="K671"/>
      <c r="L671"/>
      <c r="M671"/>
      <c r="N671" s="2"/>
      <c r="O671" s="4"/>
    </row>
    <row r="672" spans="1:15" ht="12.75" customHeight="1" x14ac:dyDescent="0.25">
      <c r="A672" s="380"/>
      <c r="B672"/>
      <c r="C672" s="352"/>
      <c r="D672" s="352"/>
      <c r="E672" s="352"/>
      <c r="F672" s="352"/>
      <c r="G672" s="352"/>
      <c r="H672" s="352"/>
      <c r="I672" s="352"/>
      <c r="K672"/>
      <c r="L672"/>
      <c r="M672"/>
      <c r="N672" s="2"/>
      <c r="O672" s="4"/>
    </row>
    <row r="673" spans="1:15" ht="12.75" customHeight="1" x14ac:dyDescent="0.25">
      <c r="A673" s="380"/>
      <c r="B673"/>
      <c r="C673" s="352"/>
      <c r="D673" s="352"/>
      <c r="E673" s="352"/>
      <c r="F673" s="352"/>
      <c r="G673" s="352"/>
      <c r="H673" s="352"/>
      <c r="I673" s="352"/>
      <c r="K673"/>
      <c r="L673"/>
      <c r="M673"/>
      <c r="N673" s="2"/>
      <c r="O673" s="4"/>
    </row>
    <row r="674" spans="1:15" ht="12.75" customHeight="1" x14ac:dyDescent="0.25">
      <c r="A674" s="380"/>
      <c r="B674"/>
      <c r="C674" s="352"/>
      <c r="D674" s="352"/>
      <c r="E674" s="352"/>
      <c r="F674" s="352"/>
      <c r="G674" s="352"/>
      <c r="H674" s="352"/>
      <c r="I674" s="352"/>
      <c r="K674"/>
      <c r="L674"/>
      <c r="M674"/>
      <c r="N674" s="2"/>
      <c r="O674" s="4"/>
    </row>
    <row r="675" spans="1:15" ht="12.75" customHeight="1" x14ac:dyDescent="0.25">
      <c r="A675" s="380"/>
      <c r="B675"/>
      <c r="C675" s="352"/>
      <c r="D675" s="352"/>
      <c r="E675" s="352"/>
      <c r="F675" s="352"/>
      <c r="G675" s="352"/>
      <c r="H675" s="352"/>
      <c r="I675" s="352"/>
      <c r="K675"/>
      <c r="L675"/>
      <c r="M675"/>
      <c r="N675" s="2"/>
      <c r="O675" s="4"/>
    </row>
    <row r="676" spans="1:15" ht="12.75" customHeight="1" x14ac:dyDescent="0.25">
      <c r="A676" s="380"/>
      <c r="B676"/>
      <c r="C676" s="352"/>
      <c r="D676" s="352"/>
      <c r="E676" s="352"/>
      <c r="F676" s="352"/>
      <c r="G676" s="352"/>
      <c r="H676" s="352"/>
      <c r="I676" s="352"/>
      <c r="K676"/>
      <c r="L676"/>
      <c r="M676"/>
      <c r="N676" s="2"/>
      <c r="O676" s="4"/>
    </row>
    <row r="677" spans="1:15" ht="12.75" customHeight="1" x14ac:dyDescent="0.25">
      <c r="A677" s="380"/>
      <c r="B677"/>
      <c r="C677" s="352"/>
      <c r="D677" s="352"/>
      <c r="E677" s="352"/>
      <c r="F677" s="352"/>
      <c r="G677" s="352"/>
      <c r="H677" s="352"/>
      <c r="I677" s="352"/>
      <c r="K677"/>
      <c r="L677"/>
      <c r="M677"/>
      <c r="N677" s="2"/>
      <c r="O677" s="4"/>
    </row>
    <row r="678" spans="1:15" ht="12.75" customHeight="1" x14ac:dyDescent="0.25">
      <c r="A678" s="380"/>
      <c r="B678"/>
      <c r="C678" s="352"/>
      <c r="D678" s="352"/>
      <c r="E678" s="352"/>
      <c r="F678" s="352"/>
      <c r="G678" s="352"/>
      <c r="H678" s="352"/>
      <c r="I678" s="352"/>
      <c r="K678"/>
      <c r="L678"/>
      <c r="M678"/>
      <c r="N678" s="2"/>
      <c r="O678" s="4"/>
    </row>
    <row r="679" spans="1:15" ht="12.75" customHeight="1" x14ac:dyDescent="0.25">
      <c r="A679" s="380"/>
      <c r="B679"/>
      <c r="C679" s="352"/>
      <c r="D679" s="352"/>
      <c r="E679" s="352"/>
      <c r="F679" s="352"/>
      <c r="G679" s="352"/>
      <c r="H679" s="352"/>
      <c r="I679" s="352"/>
      <c r="K679"/>
      <c r="L679"/>
      <c r="M679"/>
      <c r="N679" s="2"/>
      <c r="O679" s="4"/>
    </row>
    <row r="680" spans="1:15" ht="12.75" customHeight="1" x14ac:dyDescent="0.25">
      <c r="A680" s="380"/>
      <c r="B680"/>
      <c r="C680" s="352"/>
      <c r="D680" s="352"/>
      <c r="E680" s="352"/>
      <c r="F680" s="352"/>
      <c r="G680" s="352"/>
      <c r="H680" s="352"/>
      <c r="I680" s="352"/>
      <c r="K680"/>
      <c r="L680"/>
      <c r="M680"/>
      <c r="N680" s="2"/>
      <c r="O680" s="4"/>
    </row>
    <row r="681" spans="1:15" ht="12.75" customHeight="1" x14ac:dyDescent="0.25">
      <c r="A681" s="380"/>
      <c r="B681"/>
      <c r="C681" s="352"/>
      <c r="D681" s="352"/>
      <c r="E681" s="352"/>
      <c r="F681" s="352"/>
      <c r="G681" s="352"/>
      <c r="H681" s="352"/>
      <c r="I681" s="352"/>
      <c r="K681"/>
      <c r="L681"/>
      <c r="M681"/>
      <c r="N681" s="2"/>
      <c r="O681" s="4"/>
    </row>
    <row r="682" spans="1:15" ht="12.75" customHeight="1" x14ac:dyDescent="0.25">
      <c r="A682" s="380"/>
      <c r="B682"/>
      <c r="C682" s="352"/>
      <c r="D682" s="352"/>
      <c r="E682" s="352"/>
      <c r="F682" s="352"/>
      <c r="G682" s="352"/>
      <c r="H682" s="352"/>
      <c r="I682" s="352"/>
      <c r="K682"/>
      <c r="L682"/>
      <c r="M682"/>
      <c r="N682" s="2"/>
      <c r="O682" s="4"/>
    </row>
    <row r="683" spans="1:15" ht="12.75" customHeight="1" x14ac:dyDescent="0.25">
      <c r="A683" s="380"/>
      <c r="B683"/>
      <c r="C683" s="352"/>
      <c r="D683" s="352"/>
      <c r="E683" s="352"/>
      <c r="F683" s="352"/>
      <c r="G683" s="352"/>
      <c r="H683" s="352"/>
      <c r="I683" s="352"/>
      <c r="K683"/>
      <c r="L683"/>
      <c r="M683"/>
      <c r="N683" s="2"/>
      <c r="O683" s="4"/>
    </row>
    <row r="684" spans="1:15" ht="12.75" customHeight="1" x14ac:dyDescent="0.25">
      <c r="A684" s="380"/>
      <c r="B684"/>
      <c r="C684" s="352"/>
      <c r="D684" s="352"/>
      <c r="E684" s="352"/>
      <c r="F684" s="352"/>
      <c r="G684" s="352"/>
      <c r="H684" s="352"/>
      <c r="I684" s="352"/>
      <c r="K684"/>
      <c r="L684"/>
      <c r="M684"/>
      <c r="N684" s="2"/>
      <c r="O684" s="4"/>
    </row>
    <row r="685" spans="1:15" ht="12.75" customHeight="1" x14ac:dyDescent="0.25">
      <c r="A685" s="380"/>
      <c r="B685"/>
      <c r="C685" s="352"/>
      <c r="D685" s="352"/>
      <c r="E685" s="352"/>
      <c r="F685" s="352"/>
      <c r="G685" s="352"/>
      <c r="H685" s="352"/>
      <c r="I685" s="352"/>
      <c r="K685"/>
      <c r="L685"/>
      <c r="M685"/>
      <c r="N685" s="2"/>
      <c r="O685" s="4"/>
    </row>
    <row r="686" spans="1:15" ht="12.75" customHeight="1" x14ac:dyDescent="0.25">
      <c r="A686" s="380"/>
      <c r="B686"/>
      <c r="C686" s="352"/>
      <c r="D686" s="352"/>
      <c r="E686" s="352"/>
      <c r="F686" s="352"/>
      <c r="G686" s="352"/>
      <c r="H686" s="352"/>
      <c r="I686" s="352"/>
      <c r="K686"/>
      <c r="L686"/>
      <c r="M686"/>
      <c r="N686" s="2"/>
      <c r="O686" s="4"/>
    </row>
    <row r="687" spans="1:15" ht="12.75" customHeight="1" x14ac:dyDescent="0.25">
      <c r="A687" s="380"/>
      <c r="B687"/>
      <c r="C687" s="352"/>
      <c r="D687" s="352"/>
      <c r="E687" s="352"/>
      <c r="F687" s="352"/>
      <c r="G687" s="352"/>
      <c r="H687" s="352"/>
      <c r="I687" s="352"/>
      <c r="K687"/>
      <c r="L687"/>
      <c r="M687"/>
      <c r="N687" s="2"/>
      <c r="O687" s="4"/>
    </row>
    <row r="688" spans="1:15" ht="12.75" customHeight="1" x14ac:dyDescent="0.25">
      <c r="A688" s="380"/>
      <c r="B688"/>
      <c r="C688" s="352"/>
      <c r="D688" s="352"/>
      <c r="E688" s="352"/>
      <c r="F688" s="352"/>
      <c r="G688" s="352"/>
      <c r="H688" s="352"/>
      <c r="I688" s="352"/>
      <c r="K688"/>
      <c r="L688"/>
      <c r="M688"/>
      <c r="N688" s="2"/>
      <c r="O688" s="4"/>
    </row>
    <row r="689" spans="1:15" ht="12.75" customHeight="1" x14ac:dyDescent="0.25">
      <c r="A689" s="380"/>
      <c r="B689"/>
      <c r="C689" s="352"/>
      <c r="D689" s="352"/>
      <c r="E689" s="352"/>
      <c r="F689" s="352"/>
      <c r="G689" s="352"/>
      <c r="H689" s="352"/>
      <c r="I689" s="352"/>
      <c r="K689"/>
      <c r="L689"/>
      <c r="M689"/>
      <c r="N689" s="2"/>
      <c r="O689" s="4"/>
    </row>
    <row r="690" spans="1:15" ht="12.75" customHeight="1" x14ac:dyDescent="0.25">
      <c r="A690" s="380"/>
      <c r="B690"/>
      <c r="C690" s="352"/>
      <c r="D690" s="352"/>
      <c r="E690" s="352"/>
      <c r="F690" s="352"/>
      <c r="G690" s="352"/>
      <c r="H690" s="352"/>
      <c r="I690" s="352"/>
      <c r="K690"/>
      <c r="L690"/>
      <c r="M690"/>
      <c r="N690" s="2"/>
      <c r="O690" s="4"/>
    </row>
    <row r="691" spans="1:15" ht="12.75" customHeight="1" x14ac:dyDescent="0.25">
      <c r="A691" s="380"/>
      <c r="B691"/>
      <c r="C691" s="352"/>
      <c r="D691" s="352"/>
      <c r="E691" s="352"/>
      <c r="F691" s="352"/>
      <c r="G691" s="352"/>
      <c r="H691" s="352"/>
      <c r="I691" s="352"/>
      <c r="K691"/>
      <c r="L691"/>
      <c r="M691"/>
      <c r="N691" s="2"/>
      <c r="O691" s="4"/>
    </row>
    <row r="692" spans="1:15" ht="12.75" customHeight="1" x14ac:dyDescent="0.25">
      <c r="A692" s="380"/>
      <c r="B692"/>
      <c r="C692" s="352"/>
      <c r="D692" s="352"/>
      <c r="E692" s="352"/>
      <c r="F692" s="352"/>
      <c r="G692" s="352"/>
      <c r="H692" s="352"/>
      <c r="I692" s="352"/>
      <c r="K692"/>
      <c r="L692"/>
      <c r="M692"/>
      <c r="N692" s="2"/>
      <c r="O692" s="4"/>
    </row>
    <row r="693" spans="1:15" ht="12.75" customHeight="1" x14ac:dyDescent="0.25">
      <c r="A693" s="380"/>
      <c r="B693"/>
      <c r="C693" s="352"/>
      <c r="D693" s="352"/>
      <c r="E693" s="352"/>
      <c r="F693" s="352"/>
      <c r="G693" s="352"/>
      <c r="H693" s="352"/>
      <c r="I693" s="352"/>
      <c r="K693"/>
      <c r="L693"/>
      <c r="M693"/>
      <c r="N693" s="2"/>
      <c r="O693" s="4"/>
    </row>
    <row r="694" spans="1:15" ht="12.75" customHeight="1" x14ac:dyDescent="0.25">
      <c r="A694" s="380"/>
      <c r="B694"/>
      <c r="C694" s="352"/>
      <c r="D694" s="352"/>
      <c r="E694" s="352"/>
      <c r="F694" s="352"/>
      <c r="G694" s="352"/>
      <c r="H694" s="352"/>
      <c r="I694" s="352"/>
      <c r="K694"/>
      <c r="L694"/>
      <c r="M694"/>
      <c r="N694" s="2"/>
      <c r="O694" s="4"/>
    </row>
    <row r="695" spans="1:15" ht="12.75" customHeight="1" x14ac:dyDescent="0.25">
      <c r="A695" s="380"/>
      <c r="B695"/>
      <c r="C695" s="352"/>
      <c r="D695" s="352"/>
      <c r="E695" s="352"/>
      <c r="F695" s="352"/>
      <c r="G695" s="352"/>
      <c r="H695" s="352"/>
      <c r="I695" s="352"/>
      <c r="K695"/>
      <c r="L695"/>
      <c r="M695"/>
      <c r="N695" s="2"/>
      <c r="O695" s="4"/>
    </row>
    <row r="696" spans="1:15" ht="12.75" customHeight="1" x14ac:dyDescent="0.25">
      <c r="A696" s="380"/>
      <c r="B696"/>
      <c r="C696" s="352"/>
      <c r="D696" s="352"/>
      <c r="E696" s="352"/>
      <c r="F696" s="352"/>
      <c r="G696" s="352"/>
      <c r="H696" s="352"/>
      <c r="I696" s="352"/>
      <c r="K696"/>
      <c r="L696"/>
      <c r="M696"/>
      <c r="N696" s="2"/>
      <c r="O696" s="4"/>
    </row>
    <row r="697" spans="1:15" ht="12.75" customHeight="1" x14ac:dyDescent="0.25">
      <c r="A697" s="380"/>
      <c r="B697"/>
      <c r="C697" s="352"/>
      <c r="D697" s="352"/>
      <c r="E697" s="352"/>
      <c r="F697" s="352"/>
      <c r="G697" s="352"/>
      <c r="H697" s="352"/>
      <c r="I697" s="352"/>
      <c r="K697"/>
      <c r="L697"/>
      <c r="M697"/>
      <c r="N697" s="2"/>
      <c r="O697" s="4"/>
    </row>
    <row r="698" spans="1:15" ht="12.75" customHeight="1" x14ac:dyDescent="0.25">
      <c r="A698" s="380"/>
      <c r="B698"/>
      <c r="C698" s="352"/>
      <c r="D698" s="352"/>
      <c r="E698" s="352"/>
      <c r="F698" s="352"/>
      <c r="G698" s="352"/>
      <c r="H698" s="352"/>
      <c r="I698" s="352"/>
      <c r="K698"/>
      <c r="L698"/>
      <c r="M698"/>
      <c r="N698" s="2"/>
      <c r="O698" s="4"/>
    </row>
    <row r="699" spans="1:15" ht="12.75" customHeight="1" x14ac:dyDescent="0.25">
      <c r="A699" s="380"/>
      <c r="B699"/>
      <c r="C699" s="352"/>
      <c r="D699" s="352"/>
      <c r="E699" s="352"/>
      <c r="F699" s="352"/>
      <c r="G699" s="352"/>
      <c r="H699" s="352"/>
      <c r="I699" s="352"/>
      <c r="K699"/>
      <c r="L699"/>
      <c r="M699"/>
      <c r="N699" s="2"/>
      <c r="O699" s="4"/>
    </row>
    <row r="700" spans="1:15" ht="12.75" customHeight="1" x14ac:dyDescent="0.25">
      <c r="A700" s="380"/>
      <c r="B700"/>
      <c r="C700" s="352"/>
      <c r="D700" s="352"/>
      <c r="E700" s="352"/>
      <c r="F700" s="352"/>
      <c r="G700" s="352"/>
      <c r="H700" s="352"/>
      <c r="I700" s="352"/>
      <c r="K700"/>
      <c r="L700"/>
      <c r="M700"/>
      <c r="N700" s="2"/>
      <c r="O700" s="4"/>
    </row>
    <row r="701" spans="1:15" ht="12.75" customHeight="1" x14ac:dyDescent="0.25">
      <c r="A701" s="380"/>
      <c r="B701"/>
      <c r="C701" s="352"/>
      <c r="D701" s="352"/>
      <c r="E701" s="352"/>
      <c r="F701" s="352"/>
      <c r="G701" s="352"/>
      <c r="H701" s="352"/>
      <c r="I701" s="352"/>
      <c r="K701"/>
      <c r="L701"/>
      <c r="M701"/>
      <c r="N701" s="2"/>
      <c r="O701" s="4"/>
    </row>
    <row r="702" spans="1:15" ht="12.75" customHeight="1" x14ac:dyDescent="0.25">
      <c r="A702" s="380"/>
      <c r="B702"/>
      <c r="C702" s="352"/>
      <c r="D702" s="352"/>
      <c r="E702" s="352"/>
      <c r="F702" s="352"/>
      <c r="G702" s="352"/>
      <c r="H702" s="352"/>
      <c r="I702" s="352"/>
      <c r="K702"/>
      <c r="L702"/>
      <c r="M702"/>
      <c r="N702" s="2"/>
      <c r="O702" s="4"/>
    </row>
    <row r="703" spans="1:15" ht="12.75" customHeight="1" x14ac:dyDescent="0.25">
      <c r="A703" s="380"/>
      <c r="B703"/>
      <c r="C703" s="352"/>
      <c r="D703" s="352"/>
      <c r="E703" s="352"/>
      <c r="F703" s="352"/>
      <c r="G703" s="352"/>
      <c r="H703" s="352"/>
      <c r="I703" s="352"/>
      <c r="K703"/>
      <c r="L703"/>
      <c r="M703"/>
      <c r="N703" s="2"/>
      <c r="O703" s="4"/>
    </row>
    <row r="704" spans="1:15" ht="12.75" customHeight="1" x14ac:dyDescent="0.25">
      <c r="A704" s="380"/>
      <c r="B704"/>
      <c r="C704" s="352"/>
      <c r="D704" s="352"/>
      <c r="E704" s="352"/>
      <c r="F704" s="352"/>
      <c r="G704" s="352"/>
      <c r="H704" s="352"/>
      <c r="I704" s="352"/>
      <c r="K704"/>
      <c r="L704"/>
      <c r="M704"/>
      <c r="N704" s="2"/>
      <c r="O704" s="4"/>
    </row>
    <row r="705" spans="1:15" ht="12.75" customHeight="1" x14ac:dyDescent="0.25">
      <c r="A705" s="380"/>
      <c r="B705"/>
      <c r="C705" s="352"/>
      <c r="D705" s="352"/>
      <c r="E705" s="352"/>
      <c r="F705" s="352"/>
      <c r="G705" s="352"/>
      <c r="H705" s="352"/>
      <c r="I705" s="352"/>
      <c r="K705"/>
      <c r="L705"/>
      <c r="M705"/>
      <c r="N705" s="2"/>
      <c r="O705" s="4"/>
    </row>
    <row r="706" spans="1:15" ht="12.75" customHeight="1" x14ac:dyDescent="0.25">
      <c r="A706" s="380"/>
      <c r="B706"/>
      <c r="C706" s="352"/>
      <c r="D706" s="352"/>
      <c r="E706" s="352"/>
      <c r="F706" s="352"/>
      <c r="G706" s="352"/>
      <c r="H706" s="352"/>
      <c r="I706" s="352"/>
      <c r="K706"/>
      <c r="L706"/>
      <c r="M706"/>
      <c r="N706" s="2"/>
      <c r="O706" s="4"/>
    </row>
    <row r="707" spans="1:15" ht="12.75" customHeight="1" x14ac:dyDescent="0.25">
      <c r="A707" s="380"/>
      <c r="B707"/>
      <c r="C707" s="352"/>
      <c r="D707" s="352"/>
      <c r="E707" s="352"/>
      <c r="F707" s="352"/>
      <c r="G707" s="352"/>
      <c r="H707" s="352"/>
      <c r="I707" s="352"/>
      <c r="K707"/>
      <c r="L707"/>
      <c r="M707"/>
      <c r="N707" s="2"/>
      <c r="O707" s="4"/>
    </row>
    <row r="708" spans="1:15" ht="12.75" customHeight="1" x14ac:dyDescent="0.25">
      <c r="A708" s="380"/>
      <c r="B708"/>
      <c r="C708" s="352"/>
      <c r="D708" s="352"/>
      <c r="E708" s="352"/>
      <c r="F708" s="352"/>
      <c r="G708" s="352"/>
      <c r="H708" s="352"/>
      <c r="I708" s="352"/>
      <c r="K708"/>
      <c r="L708"/>
      <c r="M708"/>
      <c r="N708" s="2"/>
      <c r="O708" s="4"/>
    </row>
    <row r="709" spans="1:15" ht="12.75" customHeight="1" x14ac:dyDescent="0.25">
      <c r="A709" s="380"/>
      <c r="B709"/>
      <c r="C709" s="352"/>
      <c r="D709" s="352"/>
      <c r="E709" s="352"/>
      <c r="F709" s="352"/>
      <c r="G709" s="352"/>
      <c r="H709" s="352"/>
      <c r="I709" s="352"/>
      <c r="K709"/>
      <c r="L709"/>
      <c r="M709"/>
      <c r="N709" s="2"/>
      <c r="O709" s="4"/>
    </row>
    <row r="710" spans="1:15" ht="12.75" customHeight="1" x14ac:dyDescent="0.25">
      <c r="A710" s="380"/>
      <c r="B710"/>
      <c r="C710" s="352"/>
      <c r="D710" s="352"/>
      <c r="E710" s="352"/>
      <c r="F710" s="352"/>
      <c r="G710" s="352"/>
      <c r="H710" s="352"/>
      <c r="I710" s="352"/>
      <c r="K710"/>
      <c r="L710"/>
      <c r="M710"/>
      <c r="N710" s="2"/>
      <c r="O710" s="4"/>
    </row>
    <row r="711" spans="1:15" ht="12.75" customHeight="1" x14ac:dyDescent="0.25">
      <c r="A711" s="380"/>
      <c r="B711"/>
      <c r="C711" s="352"/>
      <c r="D711" s="352"/>
      <c r="E711" s="352"/>
      <c r="F711" s="352"/>
      <c r="G711" s="352"/>
      <c r="H711" s="352"/>
      <c r="I711" s="352"/>
      <c r="K711"/>
      <c r="L711"/>
      <c r="M711"/>
      <c r="N711" s="2"/>
      <c r="O711" s="4"/>
    </row>
    <row r="712" spans="1:15" ht="12.75" customHeight="1" x14ac:dyDescent="0.25">
      <c r="A712" s="380"/>
      <c r="B712"/>
      <c r="C712" s="352"/>
      <c r="D712" s="352"/>
      <c r="E712" s="352"/>
      <c r="F712" s="352"/>
      <c r="G712" s="352"/>
      <c r="H712" s="352"/>
      <c r="I712" s="352"/>
      <c r="K712"/>
      <c r="L712"/>
      <c r="M712"/>
      <c r="N712" s="2"/>
      <c r="O712" s="4"/>
    </row>
    <row r="713" spans="1:15" ht="12.75" customHeight="1" x14ac:dyDescent="0.25">
      <c r="A713" s="380"/>
      <c r="B713"/>
      <c r="C713" s="352"/>
      <c r="D713" s="352"/>
      <c r="E713" s="352"/>
      <c r="F713" s="352"/>
      <c r="G713" s="352"/>
      <c r="H713" s="352"/>
      <c r="I713" s="352"/>
      <c r="K713"/>
      <c r="L713"/>
      <c r="M713"/>
      <c r="N713" s="2"/>
      <c r="O713" s="4"/>
    </row>
    <row r="714" spans="1:15" ht="12.75" customHeight="1" x14ac:dyDescent="0.25">
      <c r="A714" s="380"/>
      <c r="B714"/>
      <c r="C714" s="352"/>
      <c r="D714" s="352"/>
      <c r="E714" s="352"/>
      <c r="F714" s="352"/>
      <c r="G714" s="352"/>
      <c r="H714" s="352"/>
      <c r="I714" s="352"/>
      <c r="K714"/>
      <c r="L714"/>
      <c r="M714"/>
      <c r="N714" s="2"/>
      <c r="O714" s="4"/>
    </row>
    <row r="715" spans="1:15" ht="12.75" customHeight="1" x14ac:dyDescent="0.25">
      <c r="A715" s="380"/>
      <c r="B715"/>
      <c r="C715" s="352"/>
      <c r="D715" s="352"/>
      <c r="E715" s="352"/>
      <c r="F715" s="352"/>
      <c r="G715" s="352"/>
      <c r="H715" s="352"/>
      <c r="I715" s="352"/>
      <c r="K715"/>
      <c r="L715"/>
      <c r="M715"/>
      <c r="N715" s="2"/>
      <c r="O715" s="4"/>
    </row>
    <row r="716" spans="1:15" ht="12.75" customHeight="1" x14ac:dyDescent="0.25">
      <c r="A716" s="380"/>
      <c r="B716"/>
      <c r="C716" s="352"/>
      <c r="D716" s="352"/>
      <c r="E716" s="352"/>
      <c r="F716" s="352"/>
      <c r="G716" s="352"/>
      <c r="H716" s="352"/>
      <c r="I716" s="352"/>
      <c r="K716"/>
      <c r="L716"/>
      <c r="M716"/>
      <c r="N716" s="2"/>
      <c r="O716" s="4"/>
    </row>
    <row r="717" spans="1:15" ht="12.75" customHeight="1" x14ac:dyDescent="0.25">
      <c r="A717" s="380"/>
      <c r="B717"/>
      <c r="C717" s="352"/>
      <c r="D717" s="352"/>
      <c r="E717" s="352"/>
      <c r="F717" s="352"/>
      <c r="G717" s="352"/>
      <c r="H717" s="352"/>
      <c r="I717" s="352"/>
      <c r="K717"/>
      <c r="L717"/>
      <c r="M717"/>
      <c r="N717" s="2"/>
      <c r="O717" s="4"/>
    </row>
    <row r="718" spans="1:15" ht="12.75" customHeight="1" x14ac:dyDescent="0.25">
      <c r="A718" s="380"/>
      <c r="B718"/>
      <c r="C718" s="352"/>
      <c r="D718" s="352"/>
      <c r="E718" s="352"/>
      <c r="F718" s="352"/>
      <c r="G718" s="352"/>
      <c r="H718" s="352"/>
      <c r="I718" s="352"/>
      <c r="K718"/>
      <c r="L718"/>
      <c r="M718"/>
      <c r="N718" s="2"/>
      <c r="O718" s="4"/>
    </row>
    <row r="719" spans="1:15" ht="12.75" customHeight="1" x14ac:dyDescent="0.25">
      <c r="A719" s="380"/>
      <c r="B719"/>
      <c r="C719" s="352"/>
      <c r="D719" s="352"/>
      <c r="E719" s="352"/>
      <c r="F719" s="352"/>
      <c r="G719" s="352"/>
      <c r="H719" s="352"/>
      <c r="I719" s="352"/>
      <c r="K719"/>
      <c r="L719"/>
      <c r="M719"/>
      <c r="N719" s="2"/>
      <c r="O719" s="4"/>
    </row>
    <row r="720" spans="1:15" ht="12.75" customHeight="1" x14ac:dyDescent="0.25">
      <c r="A720" s="380"/>
      <c r="B720"/>
      <c r="C720" s="352"/>
      <c r="D720" s="352"/>
      <c r="E720" s="352"/>
      <c r="F720" s="352"/>
      <c r="G720" s="352"/>
      <c r="H720" s="352"/>
      <c r="I720" s="352"/>
      <c r="K720"/>
      <c r="L720"/>
      <c r="M720"/>
      <c r="N720" s="2"/>
      <c r="O720" s="4"/>
    </row>
    <row r="721" spans="1:15" ht="12.75" customHeight="1" x14ac:dyDescent="0.25">
      <c r="A721" s="380"/>
      <c r="B721"/>
      <c r="C721" s="352"/>
      <c r="D721" s="352"/>
      <c r="E721" s="352"/>
      <c r="F721" s="352"/>
      <c r="G721" s="352"/>
      <c r="H721" s="352"/>
      <c r="I721" s="352"/>
      <c r="K721"/>
      <c r="L721"/>
      <c r="M721"/>
      <c r="N721" s="2"/>
      <c r="O721" s="4"/>
    </row>
    <row r="722" spans="1:15" ht="12.75" customHeight="1" x14ac:dyDescent="0.25">
      <c r="A722" s="380"/>
      <c r="B722"/>
      <c r="C722" s="352"/>
      <c r="D722" s="352"/>
      <c r="E722" s="352"/>
      <c r="F722" s="352"/>
      <c r="G722" s="352"/>
      <c r="H722" s="352"/>
      <c r="I722" s="352"/>
      <c r="K722"/>
      <c r="L722"/>
      <c r="M722"/>
      <c r="N722" s="2"/>
      <c r="O722" s="4"/>
    </row>
    <row r="723" spans="1:15" ht="12.75" customHeight="1" x14ac:dyDescent="0.25">
      <c r="A723" s="380"/>
      <c r="B723"/>
      <c r="C723" s="352"/>
      <c r="D723" s="352"/>
      <c r="E723" s="352"/>
      <c r="F723" s="352"/>
      <c r="G723" s="352"/>
      <c r="H723" s="352"/>
      <c r="I723" s="352"/>
      <c r="K723"/>
      <c r="L723"/>
      <c r="M723"/>
      <c r="N723" s="2"/>
      <c r="O723" s="4"/>
    </row>
    <row r="724" spans="1:15" ht="12.75" customHeight="1" x14ac:dyDescent="0.25">
      <c r="A724" s="380"/>
      <c r="B724"/>
      <c r="C724" s="352"/>
      <c r="D724" s="352"/>
      <c r="E724" s="352"/>
      <c r="F724" s="352"/>
      <c r="G724" s="352"/>
      <c r="H724" s="352"/>
      <c r="I724" s="352"/>
      <c r="K724"/>
      <c r="L724"/>
      <c r="M724"/>
      <c r="N724" s="2"/>
      <c r="O724" s="4"/>
    </row>
    <row r="725" spans="1:15" ht="12.75" customHeight="1" x14ac:dyDescent="0.25">
      <c r="A725" s="380"/>
      <c r="B725"/>
      <c r="C725" s="352"/>
      <c r="D725" s="352"/>
      <c r="E725" s="352"/>
      <c r="F725" s="352"/>
      <c r="G725" s="352"/>
      <c r="H725" s="352"/>
      <c r="I725" s="352"/>
      <c r="K725"/>
      <c r="L725"/>
      <c r="M725"/>
      <c r="N725" s="2"/>
      <c r="O725" s="4"/>
    </row>
    <row r="726" spans="1:15" ht="12.75" customHeight="1" x14ac:dyDescent="0.25">
      <c r="A726" s="380"/>
      <c r="B726"/>
      <c r="C726" s="352"/>
      <c r="D726" s="352"/>
      <c r="E726" s="352"/>
      <c r="F726" s="352"/>
      <c r="G726" s="352"/>
      <c r="H726" s="352"/>
      <c r="I726" s="352"/>
      <c r="K726"/>
      <c r="L726"/>
      <c r="M726"/>
      <c r="N726" s="2"/>
      <c r="O726" s="4"/>
    </row>
    <row r="727" spans="1:15" ht="12.75" customHeight="1" x14ac:dyDescent="0.25">
      <c r="A727" s="380"/>
      <c r="B727"/>
      <c r="C727" s="352"/>
      <c r="D727" s="352"/>
      <c r="E727" s="352"/>
      <c r="F727" s="352"/>
      <c r="G727" s="352"/>
      <c r="H727" s="352"/>
      <c r="I727" s="352"/>
      <c r="K727"/>
      <c r="L727"/>
      <c r="M727"/>
      <c r="N727" s="2"/>
      <c r="O727" s="4"/>
    </row>
    <row r="728" spans="1:15" ht="12.75" customHeight="1" x14ac:dyDescent="0.25">
      <c r="A728" s="380"/>
      <c r="B728"/>
      <c r="C728" s="352"/>
      <c r="D728" s="352"/>
      <c r="E728" s="352"/>
      <c r="F728" s="352"/>
      <c r="G728" s="352"/>
      <c r="H728" s="352"/>
      <c r="I728" s="352"/>
      <c r="K728"/>
      <c r="L728"/>
      <c r="M728"/>
      <c r="N728" s="2"/>
      <c r="O728" s="4"/>
    </row>
    <row r="729" spans="1:15" ht="12.75" customHeight="1" x14ac:dyDescent="0.25">
      <c r="A729" s="380"/>
      <c r="B729"/>
      <c r="C729" s="352"/>
      <c r="D729" s="352"/>
      <c r="E729" s="352"/>
      <c r="F729" s="352"/>
      <c r="G729" s="352"/>
      <c r="H729" s="352"/>
      <c r="I729" s="352"/>
      <c r="K729"/>
      <c r="L729"/>
      <c r="M729"/>
      <c r="N729" s="2"/>
      <c r="O729" s="4"/>
    </row>
    <row r="730" spans="1:15" ht="12.75" customHeight="1" x14ac:dyDescent="0.25">
      <c r="A730" s="380"/>
      <c r="B730"/>
      <c r="C730" s="352"/>
      <c r="D730" s="352"/>
      <c r="E730" s="352"/>
      <c r="F730" s="352"/>
      <c r="G730" s="352"/>
      <c r="H730" s="352"/>
      <c r="I730" s="352"/>
      <c r="K730"/>
      <c r="L730"/>
      <c r="M730"/>
      <c r="N730" s="2"/>
      <c r="O730" s="4"/>
    </row>
    <row r="731" spans="1:15" ht="12.75" customHeight="1" x14ac:dyDescent="0.25">
      <c r="A731" s="380"/>
      <c r="B731"/>
      <c r="C731" s="352"/>
      <c r="D731" s="352"/>
      <c r="E731" s="352"/>
      <c r="F731" s="352"/>
      <c r="G731" s="352"/>
      <c r="H731" s="352"/>
      <c r="I731" s="352"/>
      <c r="K731"/>
      <c r="L731"/>
      <c r="M731"/>
      <c r="N731" s="2"/>
      <c r="O731" s="4"/>
    </row>
    <row r="732" spans="1:15" ht="12.75" customHeight="1" x14ac:dyDescent="0.25">
      <c r="A732" s="380"/>
      <c r="B732"/>
      <c r="C732" s="352"/>
      <c r="D732" s="352"/>
      <c r="E732" s="352"/>
      <c r="F732" s="352"/>
      <c r="G732" s="352"/>
      <c r="H732" s="352"/>
      <c r="I732" s="352"/>
      <c r="K732"/>
      <c r="L732"/>
      <c r="M732"/>
      <c r="N732" s="2"/>
      <c r="O732" s="4"/>
    </row>
    <row r="733" spans="1:15" ht="12.75" customHeight="1" x14ac:dyDescent="0.25">
      <c r="A733" s="380"/>
      <c r="B733"/>
      <c r="C733" s="352"/>
      <c r="D733" s="352"/>
      <c r="E733" s="352"/>
      <c r="F733" s="352"/>
      <c r="G733" s="352"/>
      <c r="H733" s="352"/>
      <c r="I733" s="352"/>
      <c r="K733"/>
      <c r="L733"/>
      <c r="M733"/>
      <c r="N733" s="2"/>
      <c r="O733" s="4"/>
    </row>
    <row r="734" spans="1:15" ht="12.75" customHeight="1" x14ac:dyDescent="0.25">
      <c r="A734" s="380"/>
      <c r="B734"/>
      <c r="C734" s="352"/>
      <c r="D734" s="352"/>
      <c r="E734" s="352"/>
      <c r="F734" s="352"/>
      <c r="G734" s="352"/>
      <c r="H734" s="352"/>
      <c r="I734" s="352"/>
      <c r="K734"/>
      <c r="L734"/>
      <c r="M734"/>
      <c r="N734" s="2"/>
      <c r="O734" s="4"/>
    </row>
    <row r="735" spans="1:15" ht="12.75" customHeight="1" x14ac:dyDescent="0.25">
      <c r="A735" s="380"/>
      <c r="B735"/>
      <c r="C735" s="352"/>
      <c r="D735" s="352"/>
      <c r="E735" s="352"/>
      <c r="F735" s="352"/>
      <c r="G735" s="352"/>
      <c r="H735" s="352"/>
      <c r="I735" s="352"/>
      <c r="K735"/>
      <c r="L735"/>
      <c r="M735"/>
      <c r="N735" s="2"/>
      <c r="O735" s="4"/>
    </row>
    <row r="736" spans="1:15" ht="12.75" customHeight="1" x14ac:dyDescent="0.25">
      <c r="A736" s="380"/>
      <c r="B736"/>
      <c r="C736" s="352"/>
      <c r="D736" s="352"/>
      <c r="E736" s="352"/>
      <c r="F736" s="352"/>
      <c r="G736" s="352"/>
      <c r="H736" s="352"/>
      <c r="I736" s="352"/>
      <c r="K736"/>
      <c r="L736"/>
      <c r="M736"/>
      <c r="N736" s="2"/>
      <c r="O736" s="4"/>
    </row>
    <row r="737" spans="1:15" ht="12.75" customHeight="1" x14ac:dyDescent="0.25">
      <c r="A737" s="380"/>
      <c r="B737"/>
      <c r="C737" s="352"/>
      <c r="D737" s="352"/>
      <c r="E737" s="352"/>
      <c r="F737" s="352"/>
      <c r="G737" s="352"/>
      <c r="H737" s="352"/>
      <c r="I737" s="352"/>
      <c r="K737"/>
      <c r="L737"/>
      <c r="M737"/>
      <c r="N737" s="2"/>
      <c r="O737" s="4"/>
    </row>
    <row r="738" spans="1:15" ht="12.75" customHeight="1" x14ac:dyDescent="0.25">
      <c r="A738" s="380"/>
      <c r="B738"/>
      <c r="C738" s="352"/>
      <c r="D738" s="352"/>
      <c r="E738" s="352"/>
      <c r="F738" s="352"/>
      <c r="G738" s="352"/>
      <c r="H738" s="352"/>
      <c r="I738" s="352"/>
      <c r="K738"/>
      <c r="L738"/>
      <c r="M738"/>
      <c r="N738" s="2"/>
      <c r="O738" s="4"/>
    </row>
    <row r="739" spans="1:15" ht="12.75" customHeight="1" x14ac:dyDescent="0.25">
      <c r="A739" s="380"/>
      <c r="B739"/>
      <c r="C739" s="352"/>
      <c r="D739" s="352"/>
      <c r="E739" s="352"/>
      <c r="F739" s="352"/>
      <c r="G739" s="352"/>
      <c r="H739" s="352"/>
      <c r="I739" s="352"/>
      <c r="K739"/>
      <c r="L739"/>
      <c r="M739"/>
      <c r="N739" s="2"/>
      <c r="O739" s="4"/>
    </row>
    <row r="740" spans="1:15" ht="12.75" customHeight="1" x14ac:dyDescent="0.25">
      <c r="A740" s="380"/>
      <c r="B740"/>
      <c r="C740" s="352"/>
      <c r="D740" s="352"/>
      <c r="E740" s="352"/>
      <c r="F740" s="352"/>
      <c r="G740" s="352"/>
      <c r="H740" s="352"/>
      <c r="I740" s="352"/>
      <c r="K740"/>
      <c r="L740"/>
      <c r="M740"/>
      <c r="N740" s="2"/>
      <c r="O740" s="4"/>
    </row>
    <row r="741" spans="1:15" ht="12.75" customHeight="1" x14ac:dyDescent="0.25">
      <c r="A741" s="380"/>
      <c r="B741"/>
      <c r="C741" s="352"/>
      <c r="D741" s="352"/>
      <c r="E741" s="352"/>
      <c r="F741" s="352"/>
      <c r="G741" s="352"/>
      <c r="H741" s="352"/>
      <c r="I741" s="352"/>
      <c r="K741"/>
      <c r="L741"/>
      <c r="M741"/>
      <c r="N741" s="2"/>
      <c r="O741" s="4"/>
    </row>
    <row r="742" spans="1:15" ht="12.75" customHeight="1" x14ac:dyDescent="0.25">
      <c r="A742" s="380"/>
      <c r="B742"/>
      <c r="C742" s="352"/>
      <c r="D742" s="352"/>
      <c r="E742" s="352"/>
      <c r="F742" s="352"/>
      <c r="G742" s="352"/>
      <c r="H742" s="352"/>
      <c r="I742" s="352"/>
      <c r="K742"/>
      <c r="L742"/>
      <c r="M742"/>
      <c r="N742" s="2"/>
      <c r="O742" s="4"/>
    </row>
    <row r="743" spans="1:15" ht="12.75" customHeight="1" x14ac:dyDescent="0.25">
      <c r="A743" s="380"/>
      <c r="B743"/>
      <c r="C743" s="352"/>
      <c r="D743" s="352"/>
      <c r="E743" s="352"/>
      <c r="F743" s="352"/>
      <c r="G743" s="352"/>
      <c r="H743" s="352"/>
      <c r="I743" s="352"/>
      <c r="K743"/>
      <c r="L743"/>
      <c r="M743"/>
      <c r="N743" s="2"/>
      <c r="O743" s="4"/>
    </row>
    <row r="744" spans="1:15" ht="12.75" customHeight="1" x14ac:dyDescent="0.25">
      <c r="A744" s="380"/>
      <c r="B744"/>
      <c r="C744" s="352"/>
      <c r="D744" s="352"/>
      <c r="E744" s="352"/>
      <c r="F744" s="352"/>
      <c r="G744" s="352"/>
      <c r="H744" s="352"/>
      <c r="I744" s="352"/>
      <c r="K744"/>
      <c r="L744"/>
      <c r="M744"/>
      <c r="N744" s="2"/>
      <c r="O744" s="4"/>
    </row>
    <row r="745" spans="1:15" ht="12.75" customHeight="1" x14ac:dyDescent="0.25">
      <c r="A745" s="380"/>
      <c r="B745"/>
      <c r="C745" s="352"/>
      <c r="D745" s="352"/>
      <c r="E745" s="352"/>
      <c r="F745" s="352"/>
      <c r="G745" s="352"/>
      <c r="H745" s="352"/>
      <c r="I745" s="352"/>
      <c r="K745"/>
      <c r="L745"/>
      <c r="M745"/>
      <c r="N745" s="2"/>
      <c r="O745" s="4"/>
    </row>
    <row r="746" spans="1:15" ht="12.75" customHeight="1" x14ac:dyDescent="0.25">
      <c r="A746" s="380"/>
      <c r="B746"/>
      <c r="C746" s="352"/>
      <c r="D746" s="352"/>
      <c r="E746" s="352"/>
      <c r="F746" s="352"/>
      <c r="G746" s="352"/>
      <c r="H746" s="352"/>
      <c r="I746" s="352"/>
      <c r="K746"/>
      <c r="L746"/>
      <c r="M746"/>
      <c r="N746" s="2"/>
      <c r="O746" s="4"/>
    </row>
    <row r="747" spans="1:15" ht="12.75" customHeight="1" x14ac:dyDescent="0.25">
      <c r="A747" s="380"/>
      <c r="B747"/>
      <c r="C747" s="352"/>
      <c r="D747" s="352"/>
      <c r="E747" s="352"/>
      <c r="F747" s="352"/>
      <c r="G747" s="352"/>
      <c r="H747" s="352"/>
      <c r="I747" s="352"/>
      <c r="K747"/>
      <c r="L747"/>
      <c r="M747"/>
      <c r="N747" s="2"/>
      <c r="O747" s="4"/>
    </row>
    <row r="748" spans="1:15" ht="12.75" customHeight="1" x14ac:dyDescent="0.25">
      <c r="A748" s="380"/>
      <c r="B748"/>
      <c r="C748" s="352"/>
      <c r="D748" s="352"/>
      <c r="E748" s="352"/>
      <c r="F748" s="352"/>
      <c r="G748" s="352"/>
      <c r="H748" s="352"/>
      <c r="I748" s="352"/>
      <c r="K748"/>
      <c r="L748"/>
      <c r="M748"/>
      <c r="N748" s="2"/>
      <c r="O748" s="4"/>
    </row>
    <row r="749" spans="1:15" ht="12.75" customHeight="1" x14ac:dyDescent="0.25">
      <c r="A749" s="380"/>
      <c r="B749"/>
      <c r="C749" s="352"/>
      <c r="D749" s="352"/>
      <c r="E749" s="352"/>
      <c r="F749" s="352"/>
      <c r="G749" s="352"/>
      <c r="H749" s="352"/>
      <c r="I749" s="352"/>
      <c r="K749"/>
      <c r="L749"/>
      <c r="M749"/>
      <c r="N749" s="2"/>
      <c r="O749" s="4"/>
    </row>
    <row r="750" spans="1:15" ht="12.75" customHeight="1" x14ac:dyDescent="0.25">
      <c r="A750" s="380"/>
      <c r="B750"/>
      <c r="C750" s="352"/>
      <c r="D750" s="352"/>
      <c r="E750" s="352"/>
      <c r="F750" s="352"/>
      <c r="G750" s="352"/>
      <c r="H750" s="352"/>
      <c r="I750" s="352"/>
      <c r="K750"/>
      <c r="L750"/>
      <c r="M750"/>
      <c r="N750" s="2"/>
      <c r="O750" s="4"/>
    </row>
    <row r="751" spans="1:15" ht="12.75" customHeight="1" x14ac:dyDescent="0.25">
      <c r="A751" s="380"/>
      <c r="B751"/>
      <c r="C751" s="352"/>
      <c r="D751" s="352"/>
      <c r="E751" s="352"/>
      <c r="F751" s="352"/>
      <c r="G751" s="352"/>
      <c r="H751" s="352"/>
      <c r="I751" s="352"/>
      <c r="K751"/>
      <c r="L751"/>
      <c r="M751"/>
      <c r="N751" s="2"/>
      <c r="O751" s="4"/>
    </row>
    <row r="752" spans="1:15" ht="12.75" customHeight="1" x14ac:dyDescent="0.25">
      <c r="A752" s="380"/>
      <c r="B752"/>
      <c r="C752" s="352"/>
      <c r="D752" s="352"/>
      <c r="E752" s="352"/>
      <c r="F752" s="352"/>
      <c r="G752" s="352"/>
      <c r="H752" s="352"/>
      <c r="I752" s="352"/>
      <c r="K752"/>
      <c r="L752"/>
      <c r="M752"/>
      <c r="N752" s="2"/>
      <c r="O752" s="4"/>
    </row>
    <row r="753" spans="1:15" ht="12.75" customHeight="1" x14ac:dyDescent="0.25">
      <c r="A753" s="380"/>
      <c r="B753"/>
      <c r="C753" s="352"/>
      <c r="D753" s="352"/>
      <c r="E753" s="352"/>
      <c r="F753" s="352"/>
      <c r="G753" s="352"/>
      <c r="H753" s="352"/>
      <c r="I753" s="352"/>
      <c r="K753"/>
      <c r="L753"/>
      <c r="M753"/>
      <c r="N753" s="2"/>
      <c r="O753" s="4"/>
    </row>
    <row r="754" spans="1:15" ht="12.75" customHeight="1" x14ac:dyDescent="0.25">
      <c r="A754" s="380"/>
      <c r="B754"/>
      <c r="C754" s="352"/>
      <c r="D754" s="352"/>
      <c r="E754" s="352"/>
      <c r="F754" s="352"/>
      <c r="G754" s="352"/>
      <c r="H754" s="352"/>
      <c r="I754" s="352"/>
      <c r="K754"/>
      <c r="L754"/>
      <c r="M754"/>
      <c r="N754" s="2"/>
      <c r="O754" s="4"/>
    </row>
    <row r="755" spans="1:15" ht="12.75" customHeight="1" x14ac:dyDescent="0.25">
      <c r="A755" s="380"/>
      <c r="B755"/>
      <c r="C755" s="352"/>
      <c r="D755" s="352"/>
      <c r="E755" s="352"/>
      <c r="F755" s="352"/>
      <c r="G755" s="352"/>
      <c r="H755" s="352"/>
      <c r="I755" s="352"/>
      <c r="K755"/>
      <c r="L755"/>
      <c r="M755"/>
      <c r="N755" s="2"/>
      <c r="O755" s="4"/>
    </row>
    <row r="756" spans="1:15" ht="12.75" customHeight="1" x14ac:dyDescent="0.25">
      <c r="A756" s="380"/>
      <c r="B756"/>
      <c r="C756" s="352"/>
      <c r="D756" s="352"/>
      <c r="E756" s="352"/>
      <c r="F756" s="352"/>
      <c r="G756" s="352"/>
      <c r="H756" s="352"/>
      <c r="I756" s="352"/>
      <c r="K756"/>
      <c r="L756"/>
      <c r="M756"/>
      <c r="N756" s="2"/>
      <c r="O756" s="4"/>
    </row>
    <row r="757" spans="1:15" ht="12.75" customHeight="1" x14ac:dyDescent="0.25">
      <c r="A757" s="380"/>
      <c r="B757"/>
      <c r="C757" s="352"/>
      <c r="D757" s="352"/>
      <c r="E757" s="352"/>
      <c r="F757" s="352"/>
      <c r="G757" s="352"/>
      <c r="H757" s="352"/>
      <c r="I757" s="352"/>
      <c r="K757"/>
      <c r="L757"/>
      <c r="M757"/>
      <c r="N757" s="2"/>
      <c r="O757" s="4"/>
    </row>
    <row r="758" spans="1:15" ht="12.75" customHeight="1" x14ac:dyDescent="0.25">
      <c r="A758" s="380"/>
      <c r="B758"/>
      <c r="C758" s="352"/>
      <c r="D758" s="352"/>
      <c r="E758" s="352"/>
      <c r="F758" s="352"/>
      <c r="G758" s="352"/>
      <c r="H758" s="352"/>
      <c r="I758" s="352"/>
      <c r="K758"/>
      <c r="L758"/>
      <c r="M758"/>
      <c r="N758" s="2"/>
      <c r="O758" s="4"/>
    </row>
    <row r="759" spans="1:15" ht="12.75" customHeight="1" x14ac:dyDescent="0.25">
      <c r="A759" s="380"/>
      <c r="B759"/>
      <c r="C759" s="352"/>
      <c r="D759" s="352"/>
      <c r="E759" s="352"/>
      <c r="F759" s="352"/>
      <c r="G759" s="352"/>
      <c r="H759" s="352"/>
      <c r="I759" s="352"/>
      <c r="K759"/>
      <c r="L759"/>
      <c r="M759"/>
      <c r="N759" s="2"/>
      <c r="O759" s="4"/>
    </row>
    <row r="760" spans="1:15" ht="12.75" customHeight="1" x14ac:dyDescent="0.25">
      <c r="A760" s="380"/>
      <c r="B760"/>
      <c r="C760" s="352"/>
      <c r="D760" s="352"/>
      <c r="E760" s="352"/>
      <c r="F760" s="352"/>
      <c r="G760" s="352"/>
      <c r="H760" s="352"/>
      <c r="I760" s="352"/>
      <c r="K760"/>
      <c r="L760"/>
      <c r="M760"/>
      <c r="N760" s="2"/>
      <c r="O760" s="4"/>
    </row>
    <row r="761" spans="1:15" ht="12.75" customHeight="1" x14ac:dyDescent="0.25">
      <c r="A761" s="380"/>
      <c r="B761"/>
      <c r="C761" s="352"/>
      <c r="D761" s="352"/>
      <c r="E761" s="352"/>
      <c r="F761" s="352"/>
      <c r="G761" s="352"/>
      <c r="H761" s="352"/>
      <c r="I761" s="352"/>
      <c r="K761"/>
      <c r="L761"/>
      <c r="M761"/>
      <c r="N761" s="2"/>
      <c r="O761" s="4"/>
    </row>
    <row r="762" spans="1:15" ht="12.75" customHeight="1" x14ac:dyDescent="0.25">
      <c r="A762" s="380"/>
      <c r="B762"/>
      <c r="C762" s="352"/>
      <c r="D762" s="352"/>
      <c r="E762" s="352"/>
      <c r="F762" s="352"/>
      <c r="G762" s="352"/>
      <c r="H762" s="352"/>
      <c r="I762" s="352"/>
      <c r="K762"/>
      <c r="L762"/>
      <c r="M762"/>
      <c r="N762" s="2"/>
      <c r="O762" s="4"/>
    </row>
    <row r="763" spans="1:15" ht="12.75" customHeight="1" x14ac:dyDescent="0.25">
      <c r="A763" s="380"/>
      <c r="B763"/>
      <c r="C763" s="352"/>
      <c r="D763" s="352"/>
      <c r="E763" s="352"/>
      <c r="F763" s="352"/>
      <c r="G763" s="352"/>
      <c r="H763" s="352"/>
      <c r="I763" s="352"/>
      <c r="K763"/>
      <c r="L763"/>
      <c r="M763"/>
      <c r="N763" s="2"/>
      <c r="O763" s="4"/>
    </row>
    <row r="764" spans="1:15" ht="12.75" customHeight="1" x14ac:dyDescent="0.25">
      <c r="A764" s="380"/>
      <c r="B764"/>
      <c r="C764" s="352"/>
      <c r="D764" s="352"/>
      <c r="E764" s="352"/>
      <c r="F764" s="352"/>
      <c r="G764" s="352"/>
      <c r="H764" s="352"/>
      <c r="I764" s="352"/>
      <c r="K764"/>
      <c r="L764"/>
      <c r="M764"/>
      <c r="N764" s="2"/>
      <c r="O764" s="4"/>
    </row>
    <row r="765" spans="1:15" ht="12.75" customHeight="1" x14ac:dyDescent="0.25">
      <c r="A765" s="380"/>
      <c r="B765"/>
      <c r="C765" s="352"/>
      <c r="D765" s="352"/>
      <c r="E765" s="352"/>
      <c r="F765" s="352"/>
      <c r="G765" s="352"/>
      <c r="H765" s="352"/>
      <c r="I765" s="352"/>
      <c r="K765"/>
      <c r="L765"/>
      <c r="M765"/>
      <c r="N765" s="2"/>
      <c r="O765" s="4"/>
    </row>
    <row r="766" spans="1:15" ht="12.75" customHeight="1" x14ac:dyDescent="0.25">
      <c r="A766" s="380"/>
      <c r="B766"/>
      <c r="C766" s="352"/>
      <c r="D766" s="352"/>
      <c r="E766" s="352"/>
      <c r="F766" s="352"/>
      <c r="G766" s="352"/>
      <c r="H766" s="352"/>
      <c r="I766" s="352"/>
      <c r="K766"/>
      <c r="L766"/>
      <c r="M766"/>
      <c r="N766" s="2"/>
      <c r="O766" s="4"/>
    </row>
    <row r="767" spans="1:15" ht="12.75" customHeight="1" x14ac:dyDescent="0.25">
      <c r="A767" s="380"/>
      <c r="B767"/>
      <c r="C767" s="352"/>
      <c r="D767" s="352"/>
      <c r="E767" s="352"/>
      <c r="F767" s="352"/>
      <c r="G767" s="352"/>
      <c r="H767" s="352"/>
      <c r="I767" s="352"/>
      <c r="K767"/>
      <c r="L767"/>
      <c r="M767"/>
      <c r="N767" s="2"/>
      <c r="O767" s="4"/>
    </row>
    <row r="768" spans="1:15" ht="12.75" customHeight="1" x14ac:dyDescent="0.25">
      <c r="A768" s="380"/>
      <c r="B768"/>
      <c r="C768" s="352"/>
      <c r="D768" s="352"/>
      <c r="E768" s="352"/>
      <c r="F768" s="352"/>
      <c r="G768" s="352"/>
      <c r="H768" s="352"/>
      <c r="I768" s="352"/>
      <c r="K768"/>
      <c r="L768"/>
      <c r="M768"/>
      <c r="N768" s="2"/>
      <c r="O768" s="4"/>
    </row>
    <row r="769" spans="1:15" ht="12.75" customHeight="1" x14ac:dyDescent="0.25">
      <c r="A769" s="380"/>
      <c r="B769"/>
      <c r="C769" s="352"/>
      <c r="D769" s="352"/>
      <c r="E769" s="352"/>
      <c r="F769" s="352"/>
      <c r="G769" s="352"/>
      <c r="H769" s="352"/>
      <c r="I769" s="352"/>
      <c r="K769"/>
      <c r="L769"/>
      <c r="M769"/>
      <c r="N769" s="2"/>
      <c r="O769" s="4"/>
    </row>
    <row r="770" spans="1:15" ht="12.75" customHeight="1" x14ac:dyDescent="0.25">
      <c r="A770" s="380"/>
      <c r="B770"/>
      <c r="C770" s="352"/>
      <c r="D770" s="352"/>
      <c r="E770" s="352"/>
      <c r="F770" s="352"/>
      <c r="G770" s="352"/>
      <c r="H770" s="352"/>
      <c r="I770" s="352"/>
      <c r="K770"/>
      <c r="L770"/>
      <c r="M770"/>
      <c r="N770" s="2"/>
      <c r="O770" s="4"/>
    </row>
    <row r="771" spans="1:15" ht="12.75" customHeight="1" x14ac:dyDescent="0.25">
      <c r="A771" s="380"/>
      <c r="B771"/>
      <c r="C771" s="352"/>
      <c r="D771" s="352"/>
      <c r="E771" s="352"/>
      <c r="F771" s="352"/>
      <c r="G771" s="352"/>
      <c r="H771" s="352"/>
      <c r="I771" s="352"/>
      <c r="K771"/>
      <c r="L771"/>
      <c r="M771"/>
      <c r="N771" s="2"/>
      <c r="O771" s="4"/>
    </row>
    <row r="772" spans="1:15" ht="12.75" customHeight="1" x14ac:dyDescent="0.25">
      <c r="A772" s="380"/>
      <c r="B772"/>
      <c r="C772" s="352"/>
      <c r="D772" s="352"/>
      <c r="E772" s="352"/>
      <c r="F772" s="352"/>
      <c r="G772" s="352"/>
      <c r="H772" s="352"/>
      <c r="I772" s="352"/>
      <c r="K772"/>
      <c r="L772"/>
      <c r="M772"/>
      <c r="N772" s="2"/>
      <c r="O772" s="4"/>
    </row>
    <row r="773" spans="1:15" ht="12.75" customHeight="1" x14ac:dyDescent="0.25">
      <c r="A773" s="380"/>
      <c r="B773"/>
      <c r="C773" s="352"/>
      <c r="D773" s="352"/>
      <c r="E773" s="352"/>
      <c r="F773" s="352"/>
      <c r="G773" s="352"/>
      <c r="H773" s="352"/>
      <c r="I773" s="352"/>
      <c r="K773"/>
      <c r="L773"/>
      <c r="M773"/>
      <c r="N773" s="2"/>
      <c r="O773" s="4"/>
    </row>
    <row r="774" spans="1:15" ht="12.75" customHeight="1" x14ac:dyDescent="0.25">
      <c r="A774" s="380"/>
      <c r="B774"/>
      <c r="C774" s="352"/>
      <c r="D774" s="352"/>
      <c r="E774" s="352"/>
      <c r="F774" s="352"/>
      <c r="G774" s="352"/>
      <c r="H774" s="352"/>
      <c r="I774" s="352"/>
      <c r="K774"/>
      <c r="L774"/>
      <c r="M774"/>
      <c r="N774" s="2"/>
      <c r="O774" s="4"/>
    </row>
    <row r="775" spans="1:15" ht="12.75" customHeight="1" x14ac:dyDescent="0.25">
      <c r="A775" s="380"/>
      <c r="B775"/>
      <c r="C775" s="352"/>
      <c r="D775" s="352"/>
      <c r="E775" s="352"/>
      <c r="F775" s="352"/>
      <c r="G775" s="352"/>
      <c r="H775" s="352"/>
      <c r="I775" s="352"/>
      <c r="K775"/>
      <c r="L775"/>
      <c r="M775"/>
      <c r="N775" s="2"/>
      <c r="O775" s="4"/>
    </row>
    <row r="776" spans="1:15" ht="12.75" customHeight="1" x14ac:dyDescent="0.25">
      <c r="A776" s="380"/>
      <c r="B776"/>
      <c r="C776" s="352"/>
      <c r="D776" s="352"/>
      <c r="E776" s="352"/>
      <c r="F776" s="352"/>
      <c r="G776" s="352"/>
      <c r="H776" s="352"/>
      <c r="I776" s="352"/>
      <c r="K776"/>
      <c r="L776"/>
      <c r="M776"/>
      <c r="N776" s="2"/>
      <c r="O776" s="4"/>
    </row>
    <row r="777" spans="1:15" ht="12.75" customHeight="1" x14ac:dyDescent="0.25">
      <c r="A777" s="380"/>
      <c r="B777"/>
      <c r="C777" s="352"/>
      <c r="D777" s="352"/>
      <c r="E777" s="352"/>
      <c r="F777" s="352"/>
      <c r="G777" s="352"/>
      <c r="H777" s="352"/>
      <c r="I777" s="352"/>
      <c r="K777"/>
      <c r="L777"/>
      <c r="M777"/>
      <c r="N777" s="2"/>
      <c r="O777" s="4"/>
    </row>
    <row r="778" spans="1:15" ht="12.75" customHeight="1" x14ac:dyDescent="0.25">
      <c r="A778" s="380"/>
      <c r="B778"/>
      <c r="C778" s="352"/>
      <c r="D778" s="352"/>
      <c r="E778" s="352"/>
      <c r="F778" s="352"/>
      <c r="G778" s="352"/>
      <c r="H778" s="352"/>
      <c r="I778" s="352"/>
      <c r="K778"/>
      <c r="L778"/>
      <c r="M778"/>
      <c r="N778" s="2"/>
      <c r="O778" s="4"/>
    </row>
    <row r="779" spans="1:15" ht="12.75" customHeight="1" x14ac:dyDescent="0.25">
      <c r="A779" s="380"/>
      <c r="B779"/>
      <c r="C779" s="352"/>
      <c r="D779" s="352"/>
      <c r="E779" s="352"/>
      <c r="F779" s="352"/>
      <c r="G779" s="352"/>
      <c r="H779" s="352"/>
      <c r="I779" s="352"/>
      <c r="K779"/>
      <c r="L779"/>
      <c r="M779"/>
      <c r="N779" s="2"/>
      <c r="O779" s="4"/>
    </row>
    <row r="780" spans="1:15" ht="12.75" customHeight="1" x14ac:dyDescent="0.25">
      <c r="A780" s="380"/>
      <c r="B780"/>
      <c r="C780" s="352"/>
      <c r="D780" s="352"/>
      <c r="E780" s="352"/>
      <c r="F780" s="352"/>
      <c r="G780" s="352"/>
      <c r="H780" s="352"/>
      <c r="I780" s="352"/>
      <c r="K780"/>
      <c r="L780"/>
      <c r="M780"/>
      <c r="N780" s="2"/>
      <c r="O780" s="4"/>
    </row>
    <row r="781" spans="1:15" ht="12.75" customHeight="1" x14ac:dyDescent="0.25">
      <c r="A781" s="380"/>
      <c r="B781"/>
      <c r="C781" s="352"/>
      <c r="D781" s="352"/>
      <c r="E781" s="352"/>
      <c r="F781" s="352"/>
      <c r="G781" s="352"/>
      <c r="H781" s="352"/>
      <c r="I781" s="352"/>
      <c r="K781"/>
      <c r="L781"/>
      <c r="M781"/>
      <c r="N781" s="2"/>
      <c r="O781" s="4"/>
    </row>
    <row r="782" spans="1:15" ht="12.75" customHeight="1" x14ac:dyDescent="0.25">
      <c r="A782" s="380"/>
      <c r="B782"/>
      <c r="C782" s="352"/>
      <c r="D782" s="352"/>
      <c r="E782" s="352"/>
      <c r="F782" s="352"/>
      <c r="G782" s="352"/>
      <c r="H782" s="352"/>
      <c r="I782" s="352"/>
      <c r="K782"/>
      <c r="L782"/>
      <c r="M782"/>
      <c r="N782" s="2"/>
      <c r="O782" s="4"/>
    </row>
    <row r="783" spans="1:15" ht="12.75" customHeight="1" x14ac:dyDescent="0.25">
      <c r="A783" s="380"/>
      <c r="B783"/>
      <c r="C783" s="352"/>
      <c r="D783" s="352"/>
      <c r="E783" s="352"/>
      <c r="F783" s="352"/>
      <c r="G783" s="352"/>
      <c r="H783" s="352"/>
      <c r="I783" s="352"/>
      <c r="K783"/>
      <c r="L783"/>
      <c r="M783"/>
      <c r="N783" s="2"/>
      <c r="O783" s="4"/>
    </row>
    <row r="784" spans="1:15" ht="12.75" customHeight="1" x14ac:dyDescent="0.25">
      <c r="A784" s="380"/>
      <c r="B784"/>
      <c r="C784" s="352"/>
      <c r="D784" s="352"/>
      <c r="E784" s="352"/>
      <c r="F784" s="352"/>
      <c r="G784" s="352"/>
      <c r="H784" s="352"/>
      <c r="I784" s="352"/>
      <c r="K784"/>
      <c r="L784"/>
      <c r="M784"/>
      <c r="N784" s="2"/>
      <c r="O784" s="4"/>
    </row>
    <row r="785" spans="1:15" ht="12.75" customHeight="1" x14ac:dyDescent="0.25">
      <c r="A785" s="380"/>
      <c r="B785"/>
      <c r="C785" s="352"/>
      <c r="D785" s="352"/>
      <c r="E785" s="352"/>
      <c r="F785" s="352"/>
      <c r="G785" s="352"/>
      <c r="H785" s="352"/>
      <c r="I785" s="352"/>
      <c r="K785"/>
      <c r="L785"/>
      <c r="M785"/>
      <c r="N785" s="2"/>
      <c r="O785" s="4"/>
    </row>
    <row r="786" spans="1:15" ht="12.75" customHeight="1" x14ac:dyDescent="0.25">
      <c r="A786" s="380"/>
      <c r="B786"/>
      <c r="C786" s="352"/>
      <c r="D786" s="352"/>
      <c r="E786" s="352"/>
      <c r="F786" s="352"/>
      <c r="G786" s="352"/>
      <c r="H786" s="352"/>
      <c r="I786" s="352"/>
      <c r="K786"/>
      <c r="L786"/>
      <c r="M786"/>
      <c r="N786" s="2"/>
      <c r="O786" s="4"/>
    </row>
    <row r="787" spans="1:15" ht="12.75" customHeight="1" x14ac:dyDescent="0.25">
      <c r="A787" s="380"/>
      <c r="B787"/>
      <c r="C787" s="352"/>
      <c r="D787" s="352"/>
      <c r="E787" s="352"/>
      <c r="F787" s="352"/>
      <c r="G787" s="352"/>
      <c r="H787" s="352"/>
      <c r="I787" s="352"/>
      <c r="K787"/>
      <c r="L787"/>
      <c r="M787"/>
      <c r="N787" s="2"/>
      <c r="O787" s="4"/>
    </row>
    <row r="788" spans="1:15" ht="12.75" customHeight="1" x14ac:dyDescent="0.25">
      <c r="A788" s="380"/>
      <c r="B788"/>
      <c r="C788" s="352"/>
      <c r="D788" s="352"/>
      <c r="E788" s="352"/>
      <c r="F788" s="352"/>
      <c r="G788" s="352"/>
      <c r="H788" s="352"/>
      <c r="I788" s="352"/>
      <c r="K788"/>
      <c r="L788"/>
      <c r="M788"/>
      <c r="N788" s="2"/>
      <c r="O788" s="4"/>
    </row>
    <row r="789" spans="1:15" ht="12.75" customHeight="1" x14ac:dyDescent="0.25">
      <c r="A789" s="380"/>
      <c r="B789"/>
      <c r="C789" s="352"/>
      <c r="D789" s="352"/>
      <c r="E789" s="352"/>
      <c r="F789" s="352"/>
      <c r="G789" s="352"/>
      <c r="H789" s="352"/>
      <c r="I789" s="352"/>
      <c r="K789"/>
      <c r="L789"/>
      <c r="M789"/>
      <c r="N789" s="2"/>
      <c r="O789" s="4"/>
    </row>
    <row r="790" spans="1:15" ht="12.75" customHeight="1" x14ac:dyDescent="0.25">
      <c r="A790" s="380"/>
      <c r="B790"/>
      <c r="C790" s="352"/>
      <c r="D790" s="352"/>
      <c r="E790" s="352"/>
      <c r="F790" s="352"/>
      <c r="G790" s="352"/>
      <c r="H790" s="352"/>
      <c r="I790" s="352"/>
      <c r="K790"/>
      <c r="L790"/>
      <c r="M790"/>
      <c r="N790" s="2"/>
      <c r="O790" s="4"/>
    </row>
    <row r="791" spans="1:15" ht="12.75" customHeight="1" x14ac:dyDescent="0.25">
      <c r="A791" s="305"/>
      <c r="B791" s="380"/>
      <c r="C791" s="352"/>
      <c r="D791" s="352"/>
      <c r="E791" s="352"/>
      <c r="F791" s="352"/>
      <c r="G791" s="352"/>
      <c r="H791" s="352"/>
      <c r="I791" s="352"/>
      <c r="K791"/>
      <c r="L791"/>
      <c r="M791"/>
      <c r="N791" s="2"/>
      <c r="O791" s="4"/>
    </row>
    <row r="792" spans="1:15" ht="12.75" customHeight="1" x14ac:dyDescent="0.25">
      <c r="A792" s="305"/>
      <c r="B792" s="380"/>
      <c r="C792" s="352"/>
      <c r="D792" s="352"/>
      <c r="E792" s="352"/>
      <c r="F792" s="352"/>
      <c r="G792" s="352"/>
      <c r="H792" s="352"/>
      <c r="I792" s="352"/>
      <c r="K792"/>
      <c r="L792"/>
      <c r="M792"/>
      <c r="N792" s="2"/>
      <c r="O792" s="4"/>
    </row>
    <row r="793" spans="1:15" ht="12.75" customHeight="1" x14ac:dyDescent="0.25">
      <c r="A793" s="305"/>
      <c r="B793" s="380"/>
      <c r="C793" s="352"/>
      <c r="D793" s="352"/>
      <c r="E793" s="352"/>
      <c r="F793" s="352"/>
      <c r="G793" s="352"/>
      <c r="H793" s="352"/>
      <c r="I793" s="352"/>
      <c r="K793"/>
      <c r="L793"/>
      <c r="M793"/>
      <c r="N793" s="2"/>
      <c r="O793" s="4"/>
    </row>
    <row r="794" spans="1:15" ht="12.75" customHeight="1" x14ac:dyDescent="0.25">
      <c r="A794" s="305"/>
      <c r="B794" s="380"/>
      <c r="C794" s="352"/>
      <c r="D794" s="352"/>
      <c r="E794" s="352"/>
      <c r="F794" s="352"/>
      <c r="G794" s="352"/>
      <c r="H794" s="352"/>
      <c r="I794" s="352"/>
      <c r="K794"/>
      <c r="L794"/>
      <c r="M794"/>
      <c r="N794" s="2"/>
      <c r="O794" s="4"/>
    </row>
    <row r="795" spans="1:15" ht="12.75" customHeight="1" x14ac:dyDescent="0.25">
      <c r="A795" s="305"/>
      <c r="B795" s="380"/>
      <c r="C795" s="352"/>
      <c r="D795" s="352"/>
      <c r="E795" s="352"/>
      <c r="F795" s="352"/>
      <c r="G795" s="352"/>
      <c r="H795" s="352"/>
      <c r="I795" s="352"/>
      <c r="K795"/>
      <c r="L795"/>
      <c r="M795"/>
      <c r="N795" s="2"/>
      <c r="O795" s="4"/>
    </row>
    <row r="796" spans="1:15" ht="12.75" customHeight="1" x14ac:dyDescent="0.25">
      <c r="A796" s="305"/>
      <c r="B796" s="380"/>
      <c r="C796" s="352"/>
      <c r="D796" s="352"/>
      <c r="E796" s="352"/>
      <c r="F796" s="352"/>
      <c r="G796" s="352"/>
      <c r="H796" s="352"/>
      <c r="I796" s="352"/>
      <c r="K796"/>
      <c r="L796"/>
      <c r="M796"/>
      <c r="N796" s="2"/>
      <c r="O796" s="4"/>
    </row>
    <row r="797" spans="1:15" ht="12.75" customHeight="1" x14ac:dyDescent="0.25">
      <c r="A797" s="305"/>
      <c r="B797" s="380"/>
      <c r="C797" s="352"/>
      <c r="D797" s="352"/>
      <c r="E797" s="352"/>
      <c r="F797" s="352"/>
      <c r="G797" s="352"/>
      <c r="H797" s="352"/>
      <c r="I797" s="352"/>
      <c r="K797"/>
      <c r="L797"/>
      <c r="M797"/>
      <c r="N797" s="2"/>
      <c r="O797" s="4"/>
    </row>
    <row r="798" spans="1:15" ht="12.75" customHeight="1" x14ac:dyDescent="0.25">
      <c r="A798" s="305"/>
      <c r="B798" s="380"/>
      <c r="C798" s="352"/>
      <c r="D798" s="352"/>
      <c r="E798" s="352"/>
      <c r="F798" s="352"/>
      <c r="G798" s="352"/>
      <c r="H798" s="352"/>
      <c r="I798" s="352"/>
      <c r="K798"/>
      <c r="L798"/>
      <c r="M798"/>
      <c r="N798" s="2"/>
      <c r="O798" s="4"/>
    </row>
    <row r="799" spans="1:15" ht="12.75" customHeight="1" x14ac:dyDescent="0.25">
      <c r="A799" s="305"/>
      <c r="B799" s="380"/>
      <c r="C799" s="352"/>
      <c r="D799" s="352"/>
      <c r="E799" s="352"/>
      <c r="F799" s="352"/>
      <c r="G799" s="352"/>
      <c r="H799" s="352"/>
      <c r="I799" s="352"/>
      <c r="K799"/>
      <c r="L799"/>
      <c r="M799"/>
      <c r="N799" s="2"/>
      <c r="O799" s="4"/>
    </row>
    <row r="800" spans="1:15" ht="12.75" customHeight="1" x14ac:dyDescent="0.25">
      <c r="A800" s="305"/>
      <c r="B800" s="380"/>
      <c r="C800" s="352"/>
      <c r="D800" s="352"/>
      <c r="E800" s="352"/>
      <c r="F800" s="352"/>
      <c r="G800" s="352"/>
      <c r="H800" s="352"/>
      <c r="I800" s="352"/>
      <c r="K800"/>
      <c r="L800"/>
      <c r="M800"/>
      <c r="N800" s="2"/>
      <c r="O800" s="4"/>
    </row>
    <row r="801" spans="1:15" ht="12.75" customHeight="1" x14ac:dyDescent="0.25">
      <c r="A801" s="305"/>
      <c r="B801" s="380"/>
      <c r="C801" s="352"/>
      <c r="D801" s="352"/>
      <c r="E801" s="352"/>
      <c r="F801" s="352"/>
      <c r="G801" s="352"/>
      <c r="H801" s="352"/>
      <c r="I801" s="352"/>
      <c r="K801"/>
      <c r="L801"/>
      <c r="M801"/>
      <c r="N801" s="2"/>
      <c r="O801" s="4"/>
    </row>
    <row r="802" spans="1:15" ht="12.75" customHeight="1" x14ac:dyDescent="0.25">
      <c r="A802" s="305"/>
      <c r="B802" s="380"/>
      <c r="C802" s="352"/>
      <c r="D802" s="352"/>
      <c r="E802" s="352"/>
      <c r="F802" s="352"/>
      <c r="G802" s="352"/>
      <c r="H802" s="352"/>
      <c r="I802" s="352"/>
      <c r="K802"/>
      <c r="L802"/>
      <c r="M802"/>
      <c r="N802" s="2"/>
      <c r="O802" s="4"/>
    </row>
    <row r="803" spans="1:15" ht="12.75" customHeight="1" x14ac:dyDescent="0.25">
      <c r="A803" s="305"/>
      <c r="B803" s="380"/>
      <c r="C803" s="352"/>
      <c r="D803" s="352"/>
      <c r="E803" s="352"/>
      <c r="F803" s="352"/>
      <c r="G803" s="352"/>
      <c r="H803" s="352"/>
      <c r="I803" s="352"/>
      <c r="K803"/>
      <c r="L803"/>
      <c r="M803"/>
      <c r="N803" s="2"/>
      <c r="O803" s="4"/>
    </row>
    <row r="804" spans="1:15" ht="12.75" customHeight="1" x14ac:dyDescent="0.25">
      <c r="A804" s="305"/>
      <c r="B804" s="380"/>
      <c r="C804" s="352"/>
      <c r="D804" s="352"/>
      <c r="E804" s="352"/>
      <c r="F804" s="352"/>
      <c r="G804" s="352"/>
      <c r="H804" s="352"/>
      <c r="I804" s="352"/>
      <c r="K804"/>
      <c r="L804"/>
      <c r="M804"/>
      <c r="N804" s="2"/>
      <c r="O804" s="4"/>
    </row>
    <row r="805" spans="1:15" ht="12.75" customHeight="1" x14ac:dyDescent="0.25">
      <c r="A805" s="305"/>
      <c r="B805" s="380"/>
      <c r="C805" s="352"/>
      <c r="D805" s="352"/>
      <c r="E805" s="352"/>
      <c r="F805" s="352"/>
      <c r="G805" s="352"/>
      <c r="H805" s="352"/>
      <c r="I805" s="352"/>
      <c r="K805"/>
      <c r="L805"/>
      <c r="M805"/>
      <c r="N805" s="2"/>
      <c r="O805" s="4"/>
    </row>
    <row r="806" spans="1:15" ht="12.75" customHeight="1" x14ac:dyDescent="0.25">
      <c r="A806" s="305"/>
      <c r="B806" s="380"/>
      <c r="C806" s="352"/>
      <c r="D806" s="352"/>
      <c r="E806" s="352"/>
      <c r="F806" s="352"/>
      <c r="G806" s="352"/>
      <c r="H806" s="352"/>
      <c r="I806" s="352"/>
      <c r="K806"/>
      <c r="L806"/>
      <c r="M806"/>
      <c r="N806" s="2"/>
      <c r="O806" s="4"/>
    </row>
    <row r="807" spans="1:15" ht="12.75" customHeight="1" x14ac:dyDescent="0.25">
      <c r="A807" s="305"/>
      <c r="B807" s="380"/>
      <c r="C807" s="352"/>
      <c r="D807" s="352"/>
      <c r="E807" s="352"/>
      <c r="F807" s="352"/>
      <c r="G807" s="352"/>
      <c r="H807" s="352"/>
      <c r="I807" s="352"/>
      <c r="K807"/>
      <c r="L807"/>
      <c r="M807"/>
      <c r="N807" s="2"/>
      <c r="O807" s="4"/>
    </row>
    <row r="808" spans="1:15" ht="12.75" customHeight="1" x14ac:dyDescent="0.25">
      <c r="A808" s="305"/>
      <c r="B808" s="380"/>
      <c r="C808" s="352"/>
      <c r="D808" s="352"/>
      <c r="E808" s="352"/>
      <c r="F808" s="352"/>
      <c r="G808" s="352"/>
      <c r="H808" s="352"/>
      <c r="I808" s="352"/>
      <c r="K808"/>
      <c r="L808"/>
      <c r="M808"/>
      <c r="N808" s="2"/>
      <c r="O808" s="4"/>
    </row>
    <row r="809" spans="1:15" ht="12.75" customHeight="1" x14ac:dyDescent="0.25">
      <c r="A809" s="305"/>
      <c r="B809" s="380"/>
      <c r="C809" s="352"/>
      <c r="D809" s="352"/>
      <c r="E809" s="352"/>
      <c r="F809" s="352"/>
      <c r="G809" s="352"/>
      <c r="H809" s="352"/>
      <c r="I809" s="352"/>
      <c r="K809"/>
      <c r="L809"/>
      <c r="M809"/>
      <c r="N809" s="2"/>
      <c r="O809" s="4"/>
    </row>
    <row r="810" spans="1:15" ht="12.75" customHeight="1" x14ac:dyDescent="0.25">
      <c r="A810" s="305"/>
      <c r="B810" s="380"/>
      <c r="C810" s="352"/>
      <c r="D810" s="352"/>
      <c r="E810" s="352"/>
      <c r="F810" s="352"/>
      <c r="G810" s="352"/>
      <c r="H810" s="352"/>
      <c r="I810" s="352"/>
      <c r="K810"/>
      <c r="L810"/>
      <c r="M810"/>
      <c r="N810" s="2"/>
      <c r="O810" s="4"/>
    </row>
    <row r="811" spans="1:15" ht="12.75" customHeight="1" x14ac:dyDescent="0.25">
      <c r="A811" s="305"/>
      <c r="B811" s="380"/>
      <c r="C811" s="352"/>
      <c r="D811" s="352"/>
      <c r="E811" s="352"/>
      <c r="F811" s="352"/>
      <c r="G811" s="352"/>
      <c r="H811" s="352"/>
      <c r="I811" s="352"/>
      <c r="K811"/>
      <c r="L811"/>
      <c r="M811"/>
      <c r="N811" s="2"/>
      <c r="O811" s="4"/>
    </row>
    <row r="812" spans="1:15" ht="12.75" customHeight="1" x14ac:dyDescent="0.25">
      <c r="A812" s="305"/>
      <c r="B812" s="380"/>
      <c r="C812" s="352"/>
      <c r="D812" s="352"/>
      <c r="E812" s="352"/>
      <c r="F812" s="352"/>
      <c r="G812" s="352"/>
      <c r="H812" s="352"/>
      <c r="I812" s="352"/>
      <c r="K812"/>
      <c r="L812"/>
      <c r="M812"/>
      <c r="N812" s="2"/>
      <c r="O812" s="4"/>
    </row>
    <row r="813" spans="1:15" ht="12.75" customHeight="1" x14ac:dyDescent="0.25">
      <c r="A813" s="305"/>
      <c r="B813" s="380"/>
      <c r="C813" s="352"/>
      <c r="D813" s="352"/>
      <c r="E813" s="352"/>
      <c r="F813" s="352"/>
      <c r="G813" s="352"/>
      <c r="H813" s="352"/>
      <c r="I813" s="352"/>
      <c r="K813"/>
      <c r="L813"/>
      <c r="M813"/>
      <c r="N813" s="2"/>
      <c r="O813" s="4"/>
    </row>
    <row r="814" spans="1:15" ht="12.75" customHeight="1" x14ac:dyDescent="0.25">
      <c r="A814" s="305"/>
      <c r="B814" s="380"/>
      <c r="C814" s="352"/>
      <c r="D814" s="352"/>
      <c r="E814" s="352"/>
      <c r="F814" s="352"/>
      <c r="G814" s="352"/>
      <c r="H814" s="352"/>
      <c r="I814" s="352"/>
      <c r="K814"/>
      <c r="L814"/>
      <c r="M814"/>
      <c r="N814" s="2"/>
      <c r="O814" s="4"/>
    </row>
    <row r="815" spans="1:15" ht="12.75" customHeight="1" x14ac:dyDescent="0.25">
      <c r="A815" s="305"/>
      <c r="B815" s="380"/>
      <c r="C815" s="352"/>
      <c r="D815" s="352"/>
      <c r="E815" s="352"/>
      <c r="F815" s="352"/>
      <c r="G815" s="352"/>
      <c r="H815" s="352"/>
      <c r="I815" s="352"/>
      <c r="K815"/>
      <c r="L815"/>
      <c r="M815"/>
      <c r="N815" s="2"/>
      <c r="O815" s="4"/>
    </row>
    <row r="816" spans="1:15" ht="12.75" customHeight="1" x14ac:dyDescent="0.25">
      <c r="A816" s="305"/>
      <c r="B816" s="380"/>
      <c r="C816" s="352"/>
      <c r="D816" s="352"/>
      <c r="E816" s="352"/>
      <c r="F816" s="352"/>
      <c r="G816" s="352"/>
      <c r="H816" s="352"/>
      <c r="I816" s="352"/>
      <c r="K816"/>
      <c r="L816"/>
      <c r="M816"/>
      <c r="N816" s="2"/>
      <c r="O816" s="4"/>
    </row>
    <row r="817" spans="1:15" ht="12.75" customHeight="1" x14ac:dyDescent="0.25">
      <c r="A817" s="305"/>
      <c r="B817" s="380"/>
      <c r="C817" s="352"/>
      <c r="D817" s="352"/>
      <c r="E817" s="352"/>
      <c r="F817" s="352"/>
      <c r="G817" s="352"/>
      <c r="H817" s="352"/>
      <c r="I817" s="352"/>
      <c r="K817"/>
      <c r="L817"/>
      <c r="M817"/>
      <c r="N817" s="2"/>
      <c r="O817" s="4"/>
    </row>
    <row r="818" spans="1:15" ht="12.75" customHeight="1" x14ac:dyDescent="0.25">
      <c r="A818" s="305"/>
      <c r="B818" s="380"/>
      <c r="C818" s="352"/>
      <c r="D818" s="352"/>
      <c r="E818" s="352"/>
      <c r="F818" s="352"/>
      <c r="G818" s="352"/>
      <c r="H818" s="352"/>
      <c r="I818" s="352"/>
      <c r="K818"/>
      <c r="L818"/>
      <c r="M818"/>
      <c r="N818" s="2"/>
      <c r="O818" s="4"/>
    </row>
    <row r="819" spans="1:15" ht="12.75" customHeight="1" x14ac:dyDescent="0.25">
      <c r="A819" s="305"/>
      <c r="B819" s="380"/>
      <c r="C819" s="352"/>
      <c r="D819" s="352"/>
      <c r="E819" s="352"/>
      <c r="F819" s="352"/>
      <c r="G819" s="352"/>
      <c r="H819" s="352"/>
      <c r="I819" s="352"/>
      <c r="K819"/>
      <c r="L819"/>
      <c r="M819"/>
      <c r="N819" s="2"/>
      <c r="O819" s="4"/>
    </row>
    <row r="820" spans="1:15" ht="12.75" customHeight="1" x14ac:dyDescent="0.25">
      <c r="A820" s="305"/>
      <c r="B820" s="380"/>
      <c r="C820" s="352"/>
      <c r="D820" s="352"/>
      <c r="E820" s="352"/>
      <c r="F820" s="352"/>
      <c r="G820" s="352"/>
      <c r="H820" s="352"/>
      <c r="I820" s="352"/>
      <c r="K820"/>
      <c r="L820"/>
      <c r="M820"/>
      <c r="N820" s="2"/>
      <c r="O820" s="4"/>
    </row>
    <row r="821" spans="1:15" ht="12.75" customHeight="1" x14ac:dyDescent="0.25">
      <c r="A821" s="305"/>
      <c r="B821" s="380"/>
      <c r="C821" s="352"/>
      <c r="D821" s="352"/>
      <c r="E821" s="352"/>
      <c r="F821" s="352"/>
      <c r="G821" s="352"/>
      <c r="H821" s="352"/>
      <c r="I821" s="352"/>
      <c r="K821"/>
      <c r="L821"/>
      <c r="M821"/>
      <c r="N821" s="2"/>
      <c r="O821" s="4"/>
    </row>
    <row r="822" spans="1:15" ht="12.75" customHeight="1" x14ac:dyDescent="0.25">
      <c r="A822" s="305"/>
      <c r="B822" s="380"/>
      <c r="C822" s="352"/>
      <c r="D822" s="352"/>
      <c r="E822" s="352"/>
      <c r="F822" s="352"/>
      <c r="G822" s="352"/>
      <c r="H822" s="352"/>
      <c r="I822" s="352"/>
      <c r="K822"/>
      <c r="L822"/>
      <c r="M822"/>
      <c r="N822" s="2"/>
      <c r="O822" s="4"/>
    </row>
    <row r="823" spans="1:15" ht="12.75" customHeight="1" x14ac:dyDescent="0.25">
      <c r="A823" s="305"/>
      <c r="B823" s="380"/>
      <c r="C823" s="352"/>
      <c r="D823" s="352"/>
      <c r="E823" s="352"/>
      <c r="F823" s="352"/>
      <c r="G823" s="352"/>
      <c r="H823" s="352"/>
      <c r="I823" s="352"/>
      <c r="K823"/>
      <c r="L823"/>
      <c r="M823"/>
      <c r="N823" s="2"/>
      <c r="O823" s="4"/>
    </row>
    <row r="824" spans="1:15" ht="12.75" customHeight="1" x14ac:dyDescent="0.25">
      <c r="A824" s="305"/>
      <c r="B824" s="380"/>
      <c r="C824" s="352"/>
      <c r="D824" s="352"/>
      <c r="E824" s="352"/>
      <c r="F824" s="352"/>
      <c r="G824" s="352"/>
      <c r="H824" s="352"/>
      <c r="I824" s="352"/>
      <c r="K824"/>
      <c r="L824"/>
      <c r="M824"/>
      <c r="N824" s="2"/>
      <c r="O824" s="4"/>
    </row>
    <row r="825" spans="1:15" ht="12.75" customHeight="1" x14ac:dyDescent="0.25">
      <c r="A825" s="305"/>
      <c r="B825" s="380"/>
      <c r="C825" s="352"/>
      <c r="D825" s="352"/>
      <c r="E825" s="352"/>
      <c r="F825" s="352"/>
      <c r="G825" s="352"/>
      <c r="H825" s="352"/>
      <c r="I825" s="352"/>
      <c r="K825"/>
      <c r="L825"/>
      <c r="M825"/>
      <c r="N825" s="2"/>
      <c r="O825" s="4"/>
    </row>
    <row r="826" spans="1:15" ht="12.75" customHeight="1" x14ac:dyDescent="0.25">
      <c r="A826" s="305"/>
      <c r="B826" s="380"/>
      <c r="C826" s="352"/>
      <c r="D826" s="352"/>
      <c r="E826" s="352"/>
      <c r="F826" s="352"/>
      <c r="G826" s="352"/>
      <c r="H826" s="352"/>
      <c r="I826" s="352"/>
      <c r="K826"/>
      <c r="L826"/>
      <c r="M826"/>
      <c r="N826" s="2"/>
      <c r="O826" s="4"/>
    </row>
    <row r="827" spans="1:15" ht="12.75" customHeight="1" x14ac:dyDescent="0.25">
      <c r="A827" s="305"/>
      <c r="B827" s="380"/>
      <c r="C827" s="352"/>
      <c r="D827" s="352"/>
      <c r="E827" s="352"/>
      <c r="F827" s="352"/>
      <c r="G827" s="352"/>
      <c r="H827" s="352"/>
      <c r="I827" s="352"/>
      <c r="K827"/>
      <c r="L827"/>
      <c r="M827"/>
      <c r="N827" s="2"/>
      <c r="O827" s="4"/>
    </row>
    <row r="828" spans="1:15" ht="12.75" customHeight="1" x14ac:dyDescent="0.25">
      <c r="A828" s="305"/>
      <c r="B828" s="380"/>
      <c r="C828" s="352"/>
      <c r="D828" s="352"/>
      <c r="E828" s="352"/>
      <c r="F828" s="352"/>
      <c r="G828" s="352"/>
      <c r="H828" s="352"/>
      <c r="I828" s="352"/>
      <c r="K828"/>
      <c r="L828"/>
      <c r="M828"/>
      <c r="N828" s="2"/>
      <c r="O828" s="4"/>
    </row>
    <row r="829" spans="1:15" ht="12.75" customHeight="1" x14ac:dyDescent="0.25">
      <c r="A829" s="305"/>
      <c r="B829" s="380"/>
      <c r="C829" s="352"/>
      <c r="D829" s="352"/>
      <c r="E829" s="352"/>
      <c r="F829" s="352"/>
      <c r="G829" s="352"/>
      <c r="H829" s="352"/>
      <c r="I829" s="352"/>
      <c r="K829"/>
      <c r="L829"/>
      <c r="M829"/>
      <c r="N829" s="2"/>
      <c r="O829" s="4"/>
    </row>
    <row r="830" spans="1:15" ht="12.75" customHeight="1" x14ac:dyDescent="0.25">
      <c r="A830" s="305"/>
      <c r="B830" s="380"/>
      <c r="C830" s="352"/>
      <c r="D830" s="352"/>
      <c r="E830" s="352"/>
      <c r="F830" s="352"/>
      <c r="G830" s="352"/>
      <c r="H830" s="352"/>
      <c r="I830" s="352"/>
      <c r="K830"/>
      <c r="L830"/>
      <c r="M830"/>
      <c r="N830" s="2"/>
      <c r="O830" s="4"/>
    </row>
    <row r="831" spans="1:15" ht="12.75" customHeight="1" x14ac:dyDescent="0.25">
      <c r="A831" s="305"/>
      <c r="B831" s="380"/>
      <c r="C831" s="352"/>
      <c r="D831" s="352"/>
      <c r="E831" s="352"/>
      <c r="F831" s="352"/>
      <c r="G831" s="352"/>
      <c r="H831" s="352"/>
      <c r="I831" s="352"/>
      <c r="K831"/>
      <c r="L831"/>
      <c r="M831"/>
      <c r="N831" s="2"/>
      <c r="O831" s="4"/>
    </row>
    <row r="832" spans="1:15" ht="12.75" customHeight="1" x14ac:dyDescent="0.25">
      <c r="A832" s="305"/>
      <c r="B832" s="380"/>
      <c r="C832" s="352"/>
      <c r="D832" s="352"/>
      <c r="E832" s="352"/>
      <c r="F832" s="352"/>
      <c r="G832" s="352"/>
      <c r="H832" s="352"/>
      <c r="I832" s="352"/>
      <c r="K832"/>
      <c r="L832"/>
      <c r="M832"/>
      <c r="N832" s="2"/>
      <c r="O832" s="4"/>
    </row>
    <row r="833" spans="1:15" ht="12.75" customHeight="1" x14ac:dyDescent="0.25">
      <c r="A833" s="305"/>
      <c r="B833" s="380"/>
      <c r="C833" s="352"/>
      <c r="D833" s="352"/>
      <c r="E833" s="352"/>
      <c r="F833" s="352"/>
      <c r="G833" s="352"/>
      <c r="H833" s="352"/>
      <c r="I833" s="352"/>
      <c r="K833"/>
      <c r="L833"/>
      <c r="M833"/>
      <c r="N833" s="2"/>
      <c r="O833" s="4"/>
    </row>
    <row r="834" spans="1:15" ht="12.75" customHeight="1" x14ac:dyDescent="0.25">
      <c r="A834" s="305"/>
      <c r="B834" s="380"/>
      <c r="C834" s="352"/>
      <c r="D834" s="352"/>
      <c r="E834" s="352"/>
      <c r="F834" s="352"/>
      <c r="G834" s="352"/>
      <c r="H834" s="352"/>
      <c r="I834" s="352"/>
      <c r="K834"/>
      <c r="L834"/>
      <c r="M834"/>
      <c r="N834" s="2"/>
      <c r="O834" s="4"/>
    </row>
    <row r="835" spans="1:15" ht="12.75" customHeight="1" x14ac:dyDescent="0.25">
      <c r="A835" s="305"/>
      <c r="B835" s="380"/>
      <c r="C835" s="352"/>
      <c r="D835" s="352"/>
      <c r="E835" s="352"/>
      <c r="F835" s="352"/>
      <c r="G835" s="352"/>
      <c r="H835" s="352"/>
      <c r="I835" s="352"/>
      <c r="K835"/>
      <c r="L835"/>
      <c r="M835"/>
      <c r="N835" s="2"/>
      <c r="O835" s="4"/>
    </row>
    <row r="836" spans="1:15" ht="12.75" customHeight="1" x14ac:dyDescent="0.25">
      <c r="A836" s="305"/>
      <c r="B836" s="380"/>
      <c r="C836" s="352"/>
      <c r="D836" s="352"/>
      <c r="E836" s="352"/>
      <c r="F836" s="352"/>
      <c r="G836" s="352"/>
      <c r="H836" s="352"/>
      <c r="I836" s="352"/>
      <c r="K836"/>
      <c r="L836"/>
      <c r="M836"/>
      <c r="N836" s="2"/>
      <c r="O836" s="4"/>
    </row>
    <row r="837" spans="1:15" ht="12.75" customHeight="1" x14ac:dyDescent="0.25">
      <c r="A837" s="305"/>
      <c r="B837" s="380"/>
      <c r="C837" s="352"/>
      <c r="D837" s="352"/>
      <c r="E837" s="352"/>
      <c r="F837" s="352"/>
      <c r="G837" s="352"/>
      <c r="H837" s="352"/>
      <c r="I837" s="352"/>
      <c r="K837"/>
      <c r="L837"/>
      <c r="M837"/>
      <c r="N837" s="2"/>
      <c r="O837" s="4"/>
    </row>
    <row r="838" spans="1:15" ht="12.75" customHeight="1" x14ac:dyDescent="0.25">
      <c r="A838" s="305"/>
      <c r="B838" s="380"/>
      <c r="C838" s="352"/>
      <c r="D838" s="352"/>
      <c r="E838" s="352"/>
      <c r="F838" s="352"/>
      <c r="G838" s="352"/>
      <c r="H838" s="352"/>
      <c r="I838" s="352"/>
      <c r="K838"/>
      <c r="L838"/>
      <c r="M838"/>
      <c r="N838" s="2"/>
      <c r="O838" s="4"/>
    </row>
    <row r="839" spans="1:15" ht="12.75" customHeight="1" x14ac:dyDescent="0.25">
      <c r="A839" s="293"/>
      <c r="B839"/>
      <c r="C839" s="352"/>
      <c r="D839" s="352"/>
      <c r="E839" s="352"/>
      <c r="F839" s="352"/>
      <c r="G839" s="352"/>
      <c r="H839" s="352"/>
      <c r="I839" s="352"/>
      <c r="K839"/>
      <c r="L839"/>
      <c r="M839"/>
      <c r="N839" s="2"/>
      <c r="O839" s="4"/>
    </row>
    <row r="840" spans="1:15" ht="12.75" customHeight="1" x14ac:dyDescent="0.25">
      <c r="A840" s="293"/>
      <c r="B840"/>
      <c r="C840" s="352"/>
      <c r="D840" s="352"/>
      <c r="E840" s="352"/>
      <c r="F840" s="352"/>
      <c r="G840" s="352"/>
      <c r="H840" s="352"/>
      <c r="I840" s="352"/>
      <c r="K840"/>
      <c r="L840"/>
      <c r="M840"/>
      <c r="N840" s="2"/>
      <c r="O840" s="4"/>
    </row>
    <row r="841" spans="1:15" ht="12.75" customHeight="1" x14ac:dyDescent="0.25">
      <c r="A841" s="293"/>
      <c r="B841"/>
      <c r="C841" s="352"/>
      <c r="D841" s="352"/>
      <c r="E841" s="352"/>
      <c r="F841" s="352"/>
      <c r="G841" s="352"/>
      <c r="H841" s="352"/>
      <c r="I841" s="352"/>
      <c r="K841"/>
      <c r="L841"/>
      <c r="M841"/>
      <c r="N841" s="2"/>
      <c r="O841" s="4"/>
    </row>
    <row r="842" spans="1:15" ht="12.75" customHeight="1" x14ac:dyDescent="0.25">
      <c r="A842" s="293"/>
      <c r="B842"/>
      <c r="C842" s="352"/>
      <c r="D842" s="352"/>
      <c r="E842" s="352"/>
      <c r="F842" s="352"/>
      <c r="G842" s="352"/>
      <c r="H842" s="352"/>
      <c r="I842" s="352"/>
      <c r="K842"/>
      <c r="L842"/>
      <c r="M842"/>
      <c r="N842" s="2"/>
      <c r="O842" s="4"/>
    </row>
    <row r="843" spans="1:15" ht="12.75" customHeight="1" x14ac:dyDescent="0.25">
      <c r="A843" s="293"/>
      <c r="B843"/>
      <c r="C843" s="352"/>
      <c r="D843" s="352"/>
      <c r="E843" s="352"/>
      <c r="F843" s="352"/>
      <c r="G843" s="352"/>
      <c r="H843" s="352"/>
      <c r="I843" s="352"/>
      <c r="K843"/>
      <c r="L843"/>
      <c r="M843"/>
      <c r="N843" s="2"/>
      <c r="O843" s="4"/>
    </row>
    <row r="844" spans="1:15" ht="12.75" customHeight="1" x14ac:dyDescent="0.25">
      <c r="A844" s="293"/>
      <c r="B844"/>
      <c r="C844" s="352"/>
      <c r="D844" s="352"/>
      <c r="E844" s="352"/>
      <c r="F844" s="352"/>
      <c r="G844" s="352"/>
      <c r="H844" s="352"/>
      <c r="I844" s="352"/>
      <c r="K844"/>
      <c r="L844"/>
      <c r="M844"/>
      <c r="N844" s="2"/>
      <c r="O844" s="4"/>
    </row>
    <row r="845" spans="1:15" ht="12.75" customHeight="1" x14ac:dyDescent="0.25">
      <c r="A845" s="293"/>
      <c r="B845"/>
      <c r="C845" s="352"/>
      <c r="D845" s="352"/>
      <c r="E845" s="352"/>
      <c r="F845" s="352"/>
      <c r="G845" s="352"/>
      <c r="H845" s="352"/>
      <c r="I845" s="352"/>
      <c r="K845"/>
      <c r="L845"/>
      <c r="M845"/>
      <c r="N845" s="2"/>
      <c r="O845" s="4"/>
    </row>
    <row r="846" spans="1:15" ht="12.75" customHeight="1" x14ac:dyDescent="0.25">
      <c r="A846" s="293"/>
      <c r="B846"/>
      <c r="C846" s="352"/>
      <c r="D846" s="352"/>
      <c r="E846" s="352"/>
      <c r="F846" s="352"/>
      <c r="G846" s="352"/>
      <c r="H846" s="352"/>
      <c r="I846" s="352"/>
      <c r="K846"/>
      <c r="L846"/>
      <c r="M846"/>
      <c r="N846" s="2"/>
      <c r="O846" s="4"/>
    </row>
    <row r="847" spans="1:15" ht="12.75" customHeight="1" x14ac:dyDescent="0.25">
      <c r="A847" s="293"/>
      <c r="B847"/>
      <c r="C847" s="352"/>
      <c r="D847" s="352"/>
      <c r="E847" s="352"/>
      <c r="F847" s="352"/>
      <c r="G847" s="352"/>
      <c r="H847" s="352"/>
      <c r="I847" s="352"/>
      <c r="K847"/>
      <c r="L847"/>
      <c r="M847"/>
      <c r="N847" s="2"/>
      <c r="O847" s="4"/>
    </row>
    <row r="848" spans="1:15" ht="12.75" customHeight="1" x14ac:dyDescent="0.25">
      <c r="A848" s="293"/>
      <c r="B848"/>
      <c r="C848" s="352"/>
      <c r="D848" s="352"/>
      <c r="E848" s="352"/>
      <c r="F848" s="352"/>
      <c r="G848" s="352"/>
      <c r="H848" s="352"/>
      <c r="I848" s="352"/>
      <c r="K848"/>
      <c r="L848"/>
      <c r="M848"/>
      <c r="N848" s="2"/>
      <c r="O848" s="4"/>
    </row>
    <row r="849" spans="1:15" ht="12.75" customHeight="1" x14ac:dyDescent="0.25">
      <c r="A849" s="293"/>
      <c r="B849"/>
      <c r="C849" s="352"/>
      <c r="D849" s="352"/>
      <c r="E849" s="352"/>
      <c r="F849" s="352"/>
      <c r="G849" s="352"/>
      <c r="H849" s="352"/>
      <c r="I849" s="352"/>
      <c r="K849"/>
      <c r="L849"/>
      <c r="M849"/>
      <c r="N849" s="2"/>
      <c r="O849" s="4"/>
    </row>
    <row r="850" spans="1:15" ht="12.75" customHeight="1" x14ac:dyDescent="0.25">
      <c r="A850" s="293"/>
      <c r="B850"/>
      <c r="C850" s="352"/>
      <c r="D850" s="352"/>
      <c r="E850" s="352"/>
      <c r="F850" s="352"/>
      <c r="G850" s="352"/>
      <c r="H850" s="352"/>
      <c r="I850" s="352"/>
      <c r="K850"/>
      <c r="L850"/>
      <c r="M850"/>
      <c r="N850" s="2"/>
      <c r="O850" s="4"/>
    </row>
    <row r="851" spans="1:15" ht="12.75" customHeight="1" x14ac:dyDescent="0.25">
      <c r="A851" s="293"/>
      <c r="B851"/>
      <c r="C851" s="352"/>
      <c r="D851" s="352"/>
      <c r="E851" s="352"/>
      <c r="F851" s="352"/>
      <c r="G851" s="352"/>
      <c r="H851" s="352"/>
      <c r="I851" s="352"/>
      <c r="K851"/>
      <c r="L851"/>
      <c r="M851"/>
      <c r="N851" s="2"/>
      <c r="O851" s="4"/>
    </row>
    <row r="852" spans="1:15" ht="12.75" customHeight="1" x14ac:dyDescent="0.25">
      <c r="A852" s="293"/>
      <c r="B852"/>
      <c r="C852" s="352"/>
      <c r="D852" s="352"/>
      <c r="E852" s="352"/>
      <c r="F852" s="352"/>
      <c r="G852" s="352"/>
      <c r="H852" s="352"/>
      <c r="I852" s="352"/>
      <c r="K852"/>
      <c r="L852"/>
      <c r="M852"/>
      <c r="N852" s="2"/>
      <c r="O852" s="4"/>
    </row>
    <row r="853" spans="1:15" ht="12.75" customHeight="1" x14ac:dyDescent="0.25">
      <c r="A853" s="293"/>
      <c r="B853"/>
      <c r="C853" s="352"/>
      <c r="D853" s="352"/>
      <c r="E853" s="352"/>
      <c r="F853" s="352"/>
      <c r="G853" s="352"/>
      <c r="H853" s="352"/>
      <c r="I853" s="352"/>
      <c r="K853"/>
      <c r="L853"/>
      <c r="M853"/>
      <c r="N853" s="2"/>
      <c r="O853" s="4"/>
    </row>
    <row r="854" spans="1:15" ht="12.75" customHeight="1" x14ac:dyDescent="0.25">
      <c r="A854" s="293"/>
      <c r="B854"/>
      <c r="C854" s="352"/>
      <c r="D854" s="352"/>
      <c r="E854" s="352"/>
      <c r="F854" s="352"/>
      <c r="G854" s="352"/>
      <c r="H854" s="352"/>
      <c r="I854" s="352"/>
      <c r="K854"/>
      <c r="L854"/>
      <c r="M854"/>
      <c r="N854" s="2"/>
      <c r="O854" s="4"/>
    </row>
    <row r="855" spans="1:15" ht="12.75" customHeight="1" x14ac:dyDescent="0.25">
      <c r="A855" s="293"/>
      <c r="B855"/>
      <c r="C855" s="352"/>
      <c r="D855" s="352"/>
      <c r="E855" s="352"/>
      <c r="F855" s="352"/>
      <c r="G855" s="352"/>
      <c r="H855" s="352"/>
      <c r="I855" s="352"/>
      <c r="K855"/>
      <c r="L855"/>
      <c r="M855"/>
      <c r="N855" s="2"/>
      <c r="O855" s="4"/>
    </row>
    <row r="856" spans="1:15" ht="12.75" customHeight="1" x14ac:dyDescent="0.25">
      <c r="A856" s="293"/>
      <c r="B856"/>
      <c r="C856" s="352"/>
      <c r="D856" s="352"/>
      <c r="E856" s="352"/>
      <c r="F856" s="352"/>
      <c r="G856" s="352"/>
      <c r="H856" s="352"/>
      <c r="I856" s="352"/>
      <c r="K856"/>
      <c r="L856"/>
      <c r="M856"/>
      <c r="N856" s="2"/>
      <c r="O856" s="4"/>
    </row>
    <row r="857" spans="1:15" ht="12.75" customHeight="1" x14ac:dyDescent="0.25">
      <c r="A857" s="293"/>
      <c r="B857"/>
      <c r="C857" s="352"/>
      <c r="D857" s="352"/>
      <c r="E857" s="352"/>
      <c r="F857" s="352"/>
      <c r="G857" s="352"/>
      <c r="H857" s="352"/>
      <c r="I857" s="352"/>
      <c r="K857"/>
      <c r="L857"/>
      <c r="M857"/>
      <c r="N857" s="2"/>
      <c r="O857" s="4"/>
    </row>
    <row r="858" spans="1:15" ht="12.75" customHeight="1" x14ac:dyDescent="0.25">
      <c r="A858" s="293"/>
      <c r="B858"/>
      <c r="C858" s="352"/>
      <c r="D858" s="352"/>
      <c r="E858" s="352"/>
      <c r="F858" s="352"/>
      <c r="G858" s="352"/>
      <c r="H858" s="352"/>
      <c r="I858" s="352"/>
      <c r="K858"/>
      <c r="L858"/>
      <c r="M858"/>
      <c r="N858" s="2"/>
      <c r="O858" s="4"/>
    </row>
    <row r="859" spans="1:15" ht="12.75" customHeight="1" x14ac:dyDescent="0.25">
      <c r="A859" s="293"/>
      <c r="B859"/>
      <c r="C859" s="352"/>
      <c r="D859" s="352"/>
      <c r="E859" s="352"/>
      <c r="F859" s="352"/>
      <c r="G859" s="352"/>
      <c r="H859" s="352"/>
      <c r="I859" s="352"/>
      <c r="K859"/>
      <c r="L859"/>
      <c r="M859"/>
      <c r="N859" s="4"/>
      <c r="O859" s="4"/>
    </row>
    <row r="860" spans="1:15" ht="12.75" customHeight="1" x14ac:dyDescent="0.25">
      <c r="A860" s="293"/>
      <c r="B860"/>
      <c r="C860" s="352"/>
      <c r="D860" s="352"/>
      <c r="E860" s="352"/>
      <c r="F860" s="352"/>
      <c r="G860" s="352"/>
      <c r="H860" s="352"/>
      <c r="I860" s="352"/>
      <c r="K860"/>
      <c r="L860"/>
      <c r="M860"/>
      <c r="N860" s="4"/>
      <c r="O860" s="4"/>
    </row>
    <row r="861" spans="1:15" ht="12.75" customHeight="1" x14ac:dyDescent="0.25">
      <c r="A861" s="293"/>
      <c r="B861"/>
      <c r="C861" s="352"/>
      <c r="D861" s="352"/>
      <c r="E861" s="352"/>
      <c r="F861" s="352"/>
      <c r="G861" s="352"/>
      <c r="H861" s="352"/>
      <c r="I861" s="352"/>
      <c r="K861"/>
      <c r="L861"/>
      <c r="M861"/>
      <c r="N861" s="4"/>
      <c r="O861" s="4"/>
    </row>
    <row r="862" spans="1:15" ht="12.75" customHeight="1" x14ac:dyDescent="0.25">
      <c r="A862" s="293"/>
      <c r="B862"/>
      <c r="C862" s="352"/>
      <c r="D862" s="352"/>
      <c r="E862" s="352"/>
      <c r="F862" s="352"/>
      <c r="G862" s="352"/>
      <c r="H862" s="352"/>
      <c r="I862" s="352"/>
      <c r="K862"/>
      <c r="L862"/>
      <c r="M862"/>
      <c r="N862" s="4"/>
      <c r="O862" s="4"/>
    </row>
    <row r="863" spans="1:15" ht="12.75" customHeight="1" x14ac:dyDescent="0.25">
      <c r="A863" s="293"/>
      <c r="B863"/>
      <c r="C863" s="352"/>
      <c r="D863" s="352"/>
      <c r="E863" s="352"/>
      <c r="F863" s="352"/>
      <c r="G863" s="352"/>
      <c r="H863" s="352"/>
      <c r="I863" s="352"/>
      <c r="K863"/>
      <c r="L863"/>
      <c r="M863"/>
      <c r="N863" s="4"/>
      <c r="O863" s="4"/>
    </row>
    <row r="864" spans="1:15" ht="12.75" customHeight="1" x14ac:dyDescent="0.25">
      <c r="A864" s="293"/>
      <c r="B864"/>
      <c r="C864" s="352"/>
      <c r="D864" s="352"/>
      <c r="E864" s="352"/>
      <c r="F864" s="352"/>
      <c r="G864" s="352"/>
      <c r="H864" s="352"/>
      <c r="I864" s="352"/>
      <c r="K864"/>
      <c r="L864"/>
      <c r="M864"/>
      <c r="N864" s="4"/>
      <c r="O864" s="4"/>
    </row>
    <row r="865" spans="1:15" ht="12.75" customHeight="1" x14ac:dyDescent="0.25">
      <c r="A865" s="293"/>
      <c r="B865"/>
      <c r="C865" s="352"/>
      <c r="D865" s="352"/>
      <c r="E865" s="352"/>
      <c r="F865" s="352"/>
      <c r="G865" s="352"/>
      <c r="H865" s="352"/>
      <c r="I865" s="352"/>
      <c r="K865"/>
      <c r="L865"/>
      <c r="M865"/>
      <c r="N865" s="4"/>
      <c r="O865" s="4"/>
    </row>
    <row r="866" spans="1:15" ht="12.75" customHeight="1" x14ac:dyDescent="0.25">
      <c r="A866" s="293"/>
      <c r="B866"/>
      <c r="C866" s="352"/>
      <c r="D866" s="352"/>
      <c r="E866" s="352"/>
      <c r="F866" s="352"/>
      <c r="G866" s="352"/>
      <c r="H866" s="352"/>
      <c r="I866" s="352"/>
      <c r="K866"/>
      <c r="L866"/>
      <c r="M866"/>
      <c r="N866" s="4"/>
      <c r="O866" s="4"/>
    </row>
    <row r="867" spans="1:15" ht="12.75" customHeight="1" x14ac:dyDescent="0.25">
      <c r="A867" s="293"/>
      <c r="B867"/>
      <c r="C867" s="352"/>
      <c r="D867" s="352"/>
      <c r="E867" s="352"/>
      <c r="F867" s="352"/>
      <c r="G867" s="352"/>
      <c r="H867" s="352"/>
      <c r="I867" s="352"/>
      <c r="K867"/>
      <c r="L867"/>
      <c r="M867"/>
      <c r="N867" s="4"/>
      <c r="O867" s="4"/>
    </row>
    <row r="868" spans="1:15" ht="12.75" customHeight="1" x14ac:dyDescent="0.25">
      <c r="A868" s="293"/>
      <c r="B868"/>
      <c r="C868" s="352"/>
      <c r="D868" s="352"/>
      <c r="E868" s="352"/>
      <c r="F868" s="352"/>
      <c r="G868" s="352"/>
      <c r="H868" s="352"/>
      <c r="I868" s="352"/>
      <c r="K868"/>
      <c r="L868"/>
      <c r="M868"/>
      <c r="N868" s="4"/>
      <c r="O868" s="4"/>
    </row>
    <row r="869" spans="1:15" ht="12.75" customHeight="1" x14ac:dyDescent="0.25">
      <c r="A869" s="293"/>
      <c r="B869"/>
      <c r="C869" s="352"/>
      <c r="D869" s="352"/>
      <c r="E869" s="352"/>
      <c r="F869" s="352"/>
      <c r="G869" s="352"/>
      <c r="H869" s="352"/>
      <c r="I869" s="352"/>
      <c r="K869"/>
      <c r="L869"/>
      <c r="M869"/>
      <c r="N869" s="4"/>
      <c r="O869" s="4"/>
    </row>
    <row r="870" spans="1:15" ht="12.75" customHeight="1" x14ac:dyDescent="0.25">
      <c r="A870" s="293"/>
      <c r="B870"/>
      <c r="C870" s="352"/>
      <c r="D870" s="352"/>
      <c r="E870" s="352"/>
      <c r="F870" s="352"/>
      <c r="G870" s="352"/>
      <c r="H870" s="352"/>
      <c r="I870" s="352"/>
      <c r="K870"/>
      <c r="L870"/>
      <c r="M870"/>
      <c r="N870" s="4"/>
      <c r="O870" s="4"/>
    </row>
    <row r="871" spans="1:15" ht="12.75" customHeight="1" x14ac:dyDescent="0.3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3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3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3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3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3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3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3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3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5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5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5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5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5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5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5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5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5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5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5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5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5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5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5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5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5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5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5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5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3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3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3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3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3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3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3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3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3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3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3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3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3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3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3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3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3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3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3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3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3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3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3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3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3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3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3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3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3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3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3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3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3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3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3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3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3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3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3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3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3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3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3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3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3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3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3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3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3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3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3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3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3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3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3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3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3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3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3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3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3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3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3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3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3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3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3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3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3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3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3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3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3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3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3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3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3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3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3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3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3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3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3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3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3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3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3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3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3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3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3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3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3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3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3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3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3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3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3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3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3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3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3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3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3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3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3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3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3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3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3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3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3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3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3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3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3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3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3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3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3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3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3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3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3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3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3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3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3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3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3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3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3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3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3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3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3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3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3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3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3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3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3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3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3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3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3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3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3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3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3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3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3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3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3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3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3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3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3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3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3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3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3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3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3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3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3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3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3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3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3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3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3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3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3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3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3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3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3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3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3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3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3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3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3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3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3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3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3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3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3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3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3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3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3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3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3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3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3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3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3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3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3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3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3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3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3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3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3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3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3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3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3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3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3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3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3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3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3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3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3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3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3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3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3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3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3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3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3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3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3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3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3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3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3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3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3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3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3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3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3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3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3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3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3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3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3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3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3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3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3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3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3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3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3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3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3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3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3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3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3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3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3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3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3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3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3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3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3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3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3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3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3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3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3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3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3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3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3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3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3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3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3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3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3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3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3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3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3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3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3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3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3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3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3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3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3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3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3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3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3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3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3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3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3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3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3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3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3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3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3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3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3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3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3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3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3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3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3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3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3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3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3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3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3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3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3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3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3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3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3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3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3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3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3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3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3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3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3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3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3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3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3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3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3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3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3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3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3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3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3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3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3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3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3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3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3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3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3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3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3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3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3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3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3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3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3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3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3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3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3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3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3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3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3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3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3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3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3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3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3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3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3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3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3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3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3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3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3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3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3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3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3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3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3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3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3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3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3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3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3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3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3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3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3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3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3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3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3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3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3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3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3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3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3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3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3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3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3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3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3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3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3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3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3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3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3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3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3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3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3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3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3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3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3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3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3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3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3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3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3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3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3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3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3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3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3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3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3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3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3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3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3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3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3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3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3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3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3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3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3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3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3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3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3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3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3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3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3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3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3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3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3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3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3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3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3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3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3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3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3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3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3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3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3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3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3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3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3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3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3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3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3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3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3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3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3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3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3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3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3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3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3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3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3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3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3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3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3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3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3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3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3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3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3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3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3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3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3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3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3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3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3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3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3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3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3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3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3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3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3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3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3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3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3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3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3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3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3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3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3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3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3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3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3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3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3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3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3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3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3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3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3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3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3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3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3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3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3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3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3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3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3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3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3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3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3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3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3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3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3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3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3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3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3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3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3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3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3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3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3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3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3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3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3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3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3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3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3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3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3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3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3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3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3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3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3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3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3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3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3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3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3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3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3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3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3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3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3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3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3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3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3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3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3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3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3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3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3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3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3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3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3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3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3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3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3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3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3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3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3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3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3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3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3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3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3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3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3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3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3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3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3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3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3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3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3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3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3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3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3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3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3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3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3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3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3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3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3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3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3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3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3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3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3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3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3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3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3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3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3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3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3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3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3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3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3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3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3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3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3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3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3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3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3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3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3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3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3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3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3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3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3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3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3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3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3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3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3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3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3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3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3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3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3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3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3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3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3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3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3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3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3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3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3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3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3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3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3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3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3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3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3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3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3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3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3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3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3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3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3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3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3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3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3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3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3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3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3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3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3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3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3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3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3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3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3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3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3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3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3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3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3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3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3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3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3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3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3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3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3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3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3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3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3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3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3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3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3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3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3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3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3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3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3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3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3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3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3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3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3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3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3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3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3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3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3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3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3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3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3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3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3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3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3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3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3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3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3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3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3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3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3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3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3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3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3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3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3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3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3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3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3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3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3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3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3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3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3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3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3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3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3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3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3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3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3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3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3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3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3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3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3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3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3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3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3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3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3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3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3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3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3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3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3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3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3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3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3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3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3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3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3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3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3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3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3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3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3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3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3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3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3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3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3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3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3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3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3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3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3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3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3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3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3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3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3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3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3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3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3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3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3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3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3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3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3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3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3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3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3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3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3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3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3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3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3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3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3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3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3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3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3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3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3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3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3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3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3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3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3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3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3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3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3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3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3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3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3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3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3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3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3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3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3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3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3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3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3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3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3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3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3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3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3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3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3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3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3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3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3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3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3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3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3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3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3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3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3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3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3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3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3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3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3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3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3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3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3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3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3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3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3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3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3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3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3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3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3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3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3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3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3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3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3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3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3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3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3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3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3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3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3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3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3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3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3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3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3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3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3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3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3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3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3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3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3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3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3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3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3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3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3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3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3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3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3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3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3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3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3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3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3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3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3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3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3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3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3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3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3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3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3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3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3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3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3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3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3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3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3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3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3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3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3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3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3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3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3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3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3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3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3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3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3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3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3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3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3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3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3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3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3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3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3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3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3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3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3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3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3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3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3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3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3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3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3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3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3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3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3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3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3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3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3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3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3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3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3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3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3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3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3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3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3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3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3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3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3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3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3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3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3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3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3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3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3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3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3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3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3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3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3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3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3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3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3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3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3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3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3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3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3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3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3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3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3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3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3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3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3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3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3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3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3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3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3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3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3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3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3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3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3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3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3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3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3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3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3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3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3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3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3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3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3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3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3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3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3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3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3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3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3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3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3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3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3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3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3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3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3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3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3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3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3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3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3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3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3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3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3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3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3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3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3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3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3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3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3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3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3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3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3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3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3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3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3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3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3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3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3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3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3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3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3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3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3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3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3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3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3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3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3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3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3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3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3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3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3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3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3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3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3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3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3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3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3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3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3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3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3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3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3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3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3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3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3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3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3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3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3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3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3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3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3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3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3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3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3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3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3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3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3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3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3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3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3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3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3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3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3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3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3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3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3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3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3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3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3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3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3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3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3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3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3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3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3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3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3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3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3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3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3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3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3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3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3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3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3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3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3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3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3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3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3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3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3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3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3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3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3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3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3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3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3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3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3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3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3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3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3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3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3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3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3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3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3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3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3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3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3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3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3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3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3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3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3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3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3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3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3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3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3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3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3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3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3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3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3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3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3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3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3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3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3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3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3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3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3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3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3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3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3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3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3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3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3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3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3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3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3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3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3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3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3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3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3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3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3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3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3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3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3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3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3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3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3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3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3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3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3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3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3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3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3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3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3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3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3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3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3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3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3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3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3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3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3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3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3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3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3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3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3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3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3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3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3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3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3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3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3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3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3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3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3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3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3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3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3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3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3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3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3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3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3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3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3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3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3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3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3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3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3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3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3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3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3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3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3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3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3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3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3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3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3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3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3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3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3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3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3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3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3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3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3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3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3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3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3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3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3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3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3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3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3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3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3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3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3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3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3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3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3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3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3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3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3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3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3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3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3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3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3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3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3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3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3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3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3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3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3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3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3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3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3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3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3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3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3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3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3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3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3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3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3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3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3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3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3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3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3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3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3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3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3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3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3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3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3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3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3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3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3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3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3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3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3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3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3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3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3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3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3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3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3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3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3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3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3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3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3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3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3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3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3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3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3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3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3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3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3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3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3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3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3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3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3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3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3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3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3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3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3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3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3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3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3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3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3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3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3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3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3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3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3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3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3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3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3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3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3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3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3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3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3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3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3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3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3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3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3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3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3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3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3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3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3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3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3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3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3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3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3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3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3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3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3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3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3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3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3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3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3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3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3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3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3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3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3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3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3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3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3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3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3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3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3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3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3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3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3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3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3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3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3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3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3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3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3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3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3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3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3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3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3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3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3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3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3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3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3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3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3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3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3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3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3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3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3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3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3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3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3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3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3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3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3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3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3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3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3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3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3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3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3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3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3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3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3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3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3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3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3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3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3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3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3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3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3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3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3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3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3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3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3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3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3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3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3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3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3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3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3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3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3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3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3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3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3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3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3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3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3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3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3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3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3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3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3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3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3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3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3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3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3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3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3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3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3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3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3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3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3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3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3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3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3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3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3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3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3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3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3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3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3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3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3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3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3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3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3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3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3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3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3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3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3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3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3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3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3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3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3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3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3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3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3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3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3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3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3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3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3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3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3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3">
      <c r="N2665" s="5"/>
      <c r="O2665" s="4"/>
    </row>
  </sheetData>
  <sheetProtection formatColumns="0" selectLockedCells="1" sort="0"/>
  <sortState ref="A23:M602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349250</xdr:colOff>
                    <xdr:row>15</xdr:row>
                    <xdr:rowOff>44450</xdr:rowOff>
                  </from>
                  <to>
                    <xdr:col>1</xdr:col>
                    <xdr:colOff>717550</xdr:colOff>
                    <xdr:row>16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08984375" defaultRowHeight="12.5" x14ac:dyDescent="0.25"/>
  <cols>
    <col min="1" max="1" width="2.6328125" style="97" customWidth="1"/>
    <col min="2" max="2" width="56.90625" style="97" customWidth="1"/>
    <col min="3" max="3" width="13.453125" style="97" bestFit="1" customWidth="1"/>
    <col min="4" max="5" width="10.6328125" style="97" customWidth="1"/>
    <col min="6" max="7" width="16.08984375" style="97" customWidth="1"/>
    <col min="8" max="8" width="16.54296875" style="97" customWidth="1"/>
    <col min="9" max="9" width="15.90625" style="97" bestFit="1" customWidth="1"/>
    <col min="10" max="10" width="12" style="97" customWidth="1"/>
    <col min="11" max="11" width="12.90625" style="97" bestFit="1" customWidth="1"/>
    <col min="12" max="12" width="11.54296875" style="97" customWidth="1"/>
    <col min="13" max="13" width="20.36328125" style="97" customWidth="1"/>
    <col min="14" max="14" width="18.6328125" style="97" customWidth="1"/>
    <col min="15" max="15" width="13.54296875" style="97" bestFit="1" customWidth="1"/>
    <col min="16" max="16384" width="9.08984375" style="97"/>
  </cols>
  <sheetData>
    <row r="2" spans="1:16" ht="24.9" customHeight="1" x14ac:dyDescent="0.25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" customHeight="1" x14ac:dyDescent="0.25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5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5" x14ac:dyDescent="0.35">
      <c r="B5" s="301" t="str">
        <f>Fondstatistik!A5</f>
        <v>Fondstatistik per 2019-05-31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5">
      <c r="B6" s="279" t="str">
        <f>'Fondval &amp; marknadsvärde'!A7</f>
        <v>Nästa uppdatering: 2019-07-08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5">
      <c r="B7" s="103"/>
      <c r="C7" s="103"/>
      <c r="D7" s="103"/>
      <c r="E7" s="103"/>
      <c r="F7" s="103"/>
      <c r="G7" s="103"/>
      <c r="H7" s="103"/>
      <c r="I7" s="103"/>
      <c r="J7" s="103"/>
    </row>
    <row r="8" spans="1:16" ht="13" x14ac:dyDescent="0.3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5" x14ac:dyDescent="0.35">
      <c r="B9" s="114" t="s">
        <v>19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ht="13" x14ac:dyDescent="0.3">
      <c r="B10" s="116" t="s">
        <v>58</v>
      </c>
      <c r="C10" s="392" t="s">
        <v>98</v>
      </c>
      <c r="D10" s="393"/>
      <c r="E10" s="394"/>
      <c r="F10" s="392" t="s">
        <v>61</v>
      </c>
      <c r="G10" s="393"/>
      <c r="H10" s="394"/>
      <c r="I10" s="117" t="s">
        <v>73</v>
      </c>
      <c r="J10" s="106"/>
      <c r="L10" s="347"/>
      <c r="M10" s="338"/>
      <c r="N10" s="338"/>
      <c r="O10" s="338"/>
      <c r="P10" s="338"/>
    </row>
    <row r="11" spans="1:16" ht="15" customHeight="1" x14ac:dyDescent="0.3">
      <c r="A11" s="108"/>
      <c r="B11" s="116"/>
      <c r="C11" s="118" t="s">
        <v>63</v>
      </c>
      <c r="D11" s="119" t="s">
        <v>64</v>
      </c>
      <c r="E11" s="119" t="s">
        <v>65</v>
      </c>
      <c r="F11" s="119" t="s">
        <v>63</v>
      </c>
      <c r="G11" s="119" t="s">
        <v>64</v>
      </c>
      <c r="H11" s="119" t="s">
        <v>65</v>
      </c>
      <c r="I11" s="120">
        <v>2019</v>
      </c>
      <c r="J11" s="103"/>
      <c r="L11" s="107"/>
      <c r="M11" s="338"/>
      <c r="N11" s="348"/>
      <c r="O11" s="338"/>
      <c r="P11" s="338"/>
    </row>
    <row r="12" spans="1:16" ht="12.75" customHeight="1" x14ac:dyDescent="0.3">
      <c r="A12" s="108"/>
      <c r="B12" t="s">
        <v>1257</v>
      </c>
      <c r="C12" s="352">
        <v>2123671</v>
      </c>
      <c r="D12" s="352">
        <v>2311059</v>
      </c>
      <c r="E12" s="352">
        <v>4434730</v>
      </c>
      <c r="F12" s="352">
        <v>229382135051</v>
      </c>
      <c r="G12" s="352">
        <v>284750873917</v>
      </c>
      <c r="H12" s="352">
        <v>514133008968</v>
      </c>
      <c r="I12" s="345"/>
      <c r="J12" s="103"/>
      <c r="L12" s="349"/>
      <c r="M12" s="338"/>
      <c r="N12" s="338"/>
      <c r="O12" s="338"/>
      <c r="P12" s="338"/>
    </row>
    <row r="13" spans="1:16" ht="12.75" customHeight="1" x14ac:dyDescent="0.25">
      <c r="A13" s="108"/>
      <c r="B13" t="s">
        <v>115</v>
      </c>
      <c r="C13" s="352">
        <v>140361</v>
      </c>
      <c r="D13" s="352">
        <v>155706</v>
      </c>
      <c r="E13" s="352">
        <v>296067</v>
      </c>
      <c r="F13" s="352">
        <v>12521170392</v>
      </c>
      <c r="G13" s="352">
        <v>17446978342</v>
      </c>
      <c r="H13" s="352">
        <v>29968148734</v>
      </c>
      <c r="I13" s="115">
        <f>VLOOKUP($B$12:$B$21,Fondstatistik!$B$24:$Q$998,2,FALSE)</f>
        <v>24</v>
      </c>
      <c r="J13" s="103"/>
      <c r="L13" s="107"/>
      <c r="M13" s="338"/>
      <c r="N13" s="338"/>
      <c r="O13" s="338"/>
      <c r="P13" s="338"/>
    </row>
    <row r="14" spans="1:16" ht="12.75" customHeight="1" x14ac:dyDescent="0.25">
      <c r="A14" s="108"/>
      <c r="B14" t="s">
        <v>96</v>
      </c>
      <c r="C14" s="352">
        <v>103503</v>
      </c>
      <c r="D14" s="352">
        <v>108862</v>
      </c>
      <c r="E14" s="352">
        <v>212365</v>
      </c>
      <c r="F14" s="352">
        <v>8627387615</v>
      </c>
      <c r="G14" s="352">
        <v>11330941357</v>
      </c>
      <c r="H14" s="352">
        <v>19958328971</v>
      </c>
      <c r="I14" s="115">
        <f>VLOOKUP($B$12:$B$21,Fondstatistik!$B$24:$Q$998,2,FALSE)</f>
        <v>9</v>
      </c>
      <c r="J14" s="103"/>
      <c r="L14" s="340"/>
      <c r="M14" s="339"/>
      <c r="N14" s="339"/>
      <c r="O14" s="339"/>
      <c r="P14" s="339"/>
    </row>
    <row r="15" spans="1:16" ht="12.75" customHeight="1" x14ac:dyDescent="0.25">
      <c r="A15" s="108"/>
      <c r="B15" t="s">
        <v>85</v>
      </c>
      <c r="C15" s="352">
        <v>101079</v>
      </c>
      <c r="D15" s="352">
        <v>109780</v>
      </c>
      <c r="E15" s="352">
        <v>210859</v>
      </c>
      <c r="F15" s="352">
        <v>9152602713</v>
      </c>
      <c r="G15" s="352">
        <v>11907570561</v>
      </c>
      <c r="H15" s="352">
        <v>21060173274</v>
      </c>
      <c r="I15" s="115">
        <f>VLOOKUP($B$12:$B$21,Fondstatistik!$B$24:$Q$998,2,FALSE)</f>
        <v>9</v>
      </c>
      <c r="J15" s="103"/>
      <c r="M15" s="339"/>
      <c r="N15" s="339"/>
      <c r="O15" s="339"/>
      <c r="P15" s="339"/>
    </row>
    <row r="16" spans="1:16" ht="12.75" customHeight="1" x14ac:dyDescent="0.25">
      <c r="A16" s="108"/>
      <c r="B16" t="s">
        <v>95</v>
      </c>
      <c r="C16" s="352">
        <v>96661</v>
      </c>
      <c r="D16" s="352">
        <v>98786</v>
      </c>
      <c r="E16" s="352">
        <v>195447</v>
      </c>
      <c r="F16" s="352">
        <v>7843986607</v>
      </c>
      <c r="G16" s="352">
        <v>10096811203</v>
      </c>
      <c r="H16" s="352">
        <v>17940797811</v>
      </c>
      <c r="I16" s="115">
        <f>VLOOKUP($B$12:$B$21,Fondstatistik!$B$24:$Q$998,2,FALSE)</f>
        <v>12</v>
      </c>
      <c r="J16" s="103"/>
    </row>
    <row r="17" spans="1:10" ht="12.75" customHeight="1" x14ac:dyDescent="0.25">
      <c r="A17" s="108"/>
      <c r="B17" t="s">
        <v>521</v>
      </c>
      <c r="C17" s="352">
        <v>85267</v>
      </c>
      <c r="D17" s="352">
        <v>75251</v>
      </c>
      <c r="E17" s="352">
        <v>160518</v>
      </c>
      <c r="F17" s="352">
        <v>5651372114</v>
      </c>
      <c r="G17" s="352">
        <v>6062435060</v>
      </c>
      <c r="H17" s="352">
        <v>11713807173</v>
      </c>
      <c r="I17" s="115">
        <f>VLOOKUP($B$12:$B$21,Fondstatistik!$B$24:$Q$998,2,FALSE)</f>
        <v>11</v>
      </c>
      <c r="J17" s="103"/>
    </row>
    <row r="18" spans="1:10" ht="12.75" customHeight="1" x14ac:dyDescent="0.25">
      <c r="A18" s="108"/>
      <c r="B18" t="s">
        <v>49</v>
      </c>
      <c r="C18" s="352">
        <v>83632</v>
      </c>
      <c r="D18" s="352">
        <v>72028</v>
      </c>
      <c r="E18" s="352">
        <v>155660</v>
      </c>
      <c r="F18" s="352">
        <v>8155641286</v>
      </c>
      <c r="G18" s="352">
        <v>8501206226</v>
      </c>
      <c r="H18" s="352">
        <v>16656847512</v>
      </c>
      <c r="I18" s="115">
        <f>VLOOKUP($B$12:$B$21,Fondstatistik!$B$24:$Q$998,2,FALSE)</f>
        <v>11</v>
      </c>
      <c r="J18" s="103"/>
    </row>
    <row r="19" spans="1:10" ht="12.75" customHeight="1" x14ac:dyDescent="0.25">
      <c r="A19" s="108"/>
      <c r="B19" t="s">
        <v>153</v>
      </c>
      <c r="C19" s="352">
        <v>56947</v>
      </c>
      <c r="D19" s="352">
        <v>83934</v>
      </c>
      <c r="E19" s="352">
        <v>140881</v>
      </c>
      <c r="F19" s="352">
        <v>7811636373</v>
      </c>
      <c r="G19" s="352">
        <v>12650522890</v>
      </c>
      <c r="H19" s="352">
        <v>20462159263</v>
      </c>
      <c r="I19" s="115">
        <f>VLOOKUP($B$12:$B$21,Fondstatistik!$B$24:$Q$998,2,FALSE)</f>
        <v>17</v>
      </c>
      <c r="J19" s="103"/>
    </row>
    <row r="20" spans="1:10" ht="12.75" customHeight="1" x14ac:dyDescent="0.25">
      <c r="A20" s="108"/>
      <c r="B20" t="s">
        <v>529</v>
      </c>
      <c r="C20" s="352">
        <v>69397</v>
      </c>
      <c r="D20" s="352">
        <v>61018</v>
      </c>
      <c r="E20" s="352">
        <v>130415</v>
      </c>
      <c r="F20" s="352">
        <v>5414363611</v>
      </c>
      <c r="G20" s="352">
        <v>5795860445</v>
      </c>
      <c r="H20" s="352">
        <v>11210224056</v>
      </c>
      <c r="I20" s="115">
        <f>VLOOKUP($B$12:$B$21,Fondstatistik!$B$24:$Q$998,2,FALSE)</f>
        <v>17</v>
      </c>
      <c r="J20" s="103"/>
    </row>
    <row r="21" spans="1:10" ht="12.75" customHeight="1" x14ac:dyDescent="0.25">
      <c r="A21" s="108"/>
      <c r="B21" t="s">
        <v>47</v>
      </c>
      <c r="C21" s="352">
        <v>64346</v>
      </c>
      <c r="D21" s="352">
        <v>63808</v>
      </c>
      <c r="E21" s="352">
        <v>128154</v>
      </c>
      <c r="F21" s="352">
        <v>11105221815</v>
      </c>
      <c r="G21" s="352">
        <v>13510524238</v>
      </c>
      <c r="H21" s="352">
        <v>24615746053</v>
      </c>
      <c r="I21" s="115">
        <f>VLOOKUP($B$12:$B$21,Fondstatistik!$B$24:$Q$998,2,FALSE)</f>
        <v>12</v>
      </c>
      <c r="J21" s="103"/>
    </row>
    <row r="22" spans="1:10" x14ac:dyDescent="0.25">
      <c r="A22" s="108"/>
    </row>
    <row r="23" spans="1:10" ht="15.5" x14ac:dyDescent="0.35">
      <c r="A23" s="108"/>
      <c r="B23" s="114" t="s">
        <v>20</v>
      </c>
      <c r="C23" s="103"/>
      <c r="D23" s="103"/>
      <c r="E23" s="103"/>
      <c r="F23" s="103"/>
      <c r="G23" s="103"/>
      <c r="H23" s="103"/>
      <c r="I23" s="115"/>
      <c r="J23" s="103"/>
    </row>
    <row r="24" spans="1:10" ht="13" x14ac:dyDescent="0.3">
      <c r="A24" s="108"/>
      <c r="B24" s="116" t="s">
        <v>58</v>
      </c>
      <c r="C24" s="392" t="s">
        <v>98</v>
      </c>
      <c r="D24" s="393"/>
      <c r="E24" s="394"/>
      <c r="F24" s="392" t="s">
        <v>61</v>
      </c>
      <c r="G24" s="393"/>
      <c r="H24" s="394"/>
      <c r="I24" s="117" t="s">
        <v>73</v>
      </c>
      <c r="J24" s="103"/>
    </row>
    <row r="25" spans="1:10" ht="13" x14ac:dyDescent="0.3">
      <c r="A25" s="108"/>
      <c r="B25" s="116"/>
      <c r="C25" s="118" t="s">
        <v>63</v>
      </c>
      <c r="D25" s="119" t="s">
        <v>64</v>
      </c>
      <c r="E25" s="119" t="s">
        <v>65</v>
      </c>
      <c r="F25" s="119" t="s">
        <v>63</v>
      </c>
      <c r="G25" s="119" t="s">
        <v>64</v>
      </c>
      <c r="H25" s="119" t="s">
        <v>65</v>
      </c>
      <c r="I25" s="120">
        <v>2019</v>
      </c>
      <c r="J25" s="103"/>
    </row>
    <row r="26" spans="1:10" ht="12.75" customHeight="1" x14ac:dyDescent="0.25">
      <c r="A26" s="108"/>
      <c r="B26" t="s">
        <v>1257</v>
      </c>
      <c r="C26" s="352">
        <v>2123671</v>
      </c>
      <c r="D26" s="352">
        <v>2311059</v>
      </c>
      <c r="E26" s="352">
        <v>4434730</v>
      </c>
      <c r="F26" s="352">
        <v>229382135051</v>
      </c>
      <c r="G26" s="352">
        <v>284750873917</v>
      </c>
      <c r="H26" s="352">
        <v>514133008968</v>
      </c>
      <c r="I26" s="341"/>
      <c r="J26" s="103"/>
    </row>
    <row r="27" spans="1:10" ht="12.75" customHeight="1" x14ac:dyDescent="0.25">
      <c r="A27" s="108"/>
      <c r="B27" t="s">
        <v>115</v>
      </c>
      <c r="C27" s="352">
        <v>140361</v>
      </c>
      <c r="D27" s="352">
        <v>155706</v>
      </c>
      <c r="E27" s="352">
        <v>296067</v>
      </c>
      <c r="F27" s="352">
        <v>12521170392</v>
      </c>
      <c r="G27" s="352">
        <v>17446978342</v>
      </c>
      <c r="H27" s="352">
        <v>29968148734</v>
      </c>
      <c r="I27" s="341">
        <f>VLOOKUP($B$27:$B$35,Fondstatistik!$B$24:$Q$998,2,FALSE)</f>
        <v>24</v>
      </c>
      <c r="J27" s="103"/>
    </row>
    <row r="28" spans="1:10" ht="12.75" customHeight="1" x14ac:dyDescent="0.25">
      <c r="A28" s="108"/>
      <c r="B28" t="s">
        <v>47</v>
      </c>
      <c r="C28" s="352">
        <v>64346</v>
      </c>
      <c r="D28" s="352">
        <v>63808</v>
      </c>
      <c r="E28" s="352">
        <v>128154</v>
      </c>
      <c r="F28" s="352">
        <v>11105221815</v>
      </c>
      <c r="G28" s="352">
        <v>13510524238</v>
      </c>
      <c r="H28" s="352">
        <v>24615746053</v>
      </c>
      <c r="I28" s="341">
        <f>VLOOKUP($B$27:$B$35,Fondstatistik!$B$24:$Q$998,2,FALSE)</f>
        <v>12</v>
      </c>
      <c r="J28" s="103"/>
    </row>
    <row r="29" spans="1:10" ht="12.75" customHeight="1" x14ac:dyDescent="0.25">
      <c r="A29" s="108"/>
      <c r="B29" t="s">
        <v>48</v>
      </c>
      <c r="C29" s="352">
        <v>65893</v>
      </c>
      <c r="D29" s="352">
        <v>50846</v>
      </c>
      <c r="E29" s="352">
        <v>116739</v>
      </c>
      <c r="F29" s="352">
        <v>11997541400</v>
      </c>
      <c r="G29" s="352">
        <v>10860717810</v>
      </c>
      <c r="H29" s="352">
        <v>22858259210</v>
      </c>
      <c r="I29" s="341">
        <f>VLOOKUP($B$27:$B$35,Fondstatistik!$B$24:$Q$998,2,FALSE)</f>
        <v>12</v>
      </c>
      <c r="J29" s="103"/>
    </row>
    <row r="30" spans="1:10" ht="12.75" customHeight="1" x14ac:dyDescent="0.25">
      <c r="A30" s="108"/>
      <c r="B30" t="s">
        <v>85</v>
      </c>
      <c r="C30" s="352">
        <v>101079</v>
      </c>
      <c r="D30" s="352">
        <v>109780</v>
      </c>
      <c r="E30" s="352">
        <v>210859</v>
      </c>
      <c r="F30" s="352">
        <v>9152602713</v>
      </c>
      <c r="G30" s="352">
        <v>11907570561</v>
      </c>
      <c r="H30" s="352">
        <v>21060173274</v>
      </c>
      <c r="I30" s="341">
        <f>VLOOKUP($B$27:$B$35,Fondstatistik!$B$24:$Q$998,2,FALSE)</f>
        <v>9</v>
      </c>
      <c r="J30" s="103"/>
    </row>
    <row r="31" spans="1:10" ht="12.75" customHeight="1" x14ac:dyDescent="0.25">
      <c r="A31" s="108"/>
      <c r="B31" t="s">
        <v>153</v>
      </c>
      <c r="C31" s="352">
        <v>56947</v>
      </c>
      <c r="D31" s="352">
        <v>83934</v>
      </c>
      <c r="E31" s="352">
        <v>140881</v>
      </c>
      <c r="F31" s="352">
        <v>7811636373</v>
      </c>
      <c r="G31" s="352">
        <v>12650522890</v>
      </c>
      <c r="H31" s="352">
        <v>20462159263</v>
      </c>
      <c r="I31" s="341">
        <f>VLOOKUP($B$27:$B$35,Fondstatistik!$B$24:$Q$998,2,FALSE)</f>
        <v>17</v>
      </c>
      <c r="J31" s="103"/>
    </row>
    <row r="32" spans="1:10" ht="12.75" customHeight="1" x14ac:dyDescent="0.25">
      <c r="A32" s="108"/>
      <c r="B32" t="s">
        <v>96</v>
      </c>
      <c r="C32" s="352">
        <v>103503</v>
      </c>
      <c r="D32" s="352">
        <v>108862</v>
      </c>
      <c r="E32" s="352">
        <v>212365</v>
      </c>
      <c r="F32" s="352">
        <v>8627387615</v>
      </c>
      <c r="G32" s="352">
        <v>11330941357</v>
      </c>
      <c r="H32" s="352">
        <v>19958328971</v>
      </c>
      <c r="I32" s="341">
        <f>VLOOKUP($B$27:$B$35,Fondstatistik!$B$24:$Q$998,2,FALSE)</f>
        <v>9</v>
      </c>
      <c r="J32" s="103"/>
    </row>
    <row r="33" spans="1:13" ht="12.75" customHeight="1" x14ac:dyDescent="0.25">
      <c r="A33" s="108"/>
      <c r="B33" t="s">
        <v>117</v>
      </c>
      <c r="C33" s="352">
        <v>45641</v>
      </c>
      <c r="D33" s="352">
        <v>36300</v>
      </c>
      <c r="E33" s="352">
        <v>81941</v>
      </c>
      <c r="F33" s="352">
        <v>10111060177</v>
      </c>
      <c r="G33" s="352">
        <v>9444467816</v>
      </c>
      <c r="H33" s="352">
        <v>19555527993</v>
      </c>
      <c r="I33" s="341">
        <f>VLOOKUP($B$27:$B$35,Fondstatistik!$B$24:$Q$998,2,FALSE)</f>
        <v>13</v>
      </c>
      <c r="J33" s="103"/>
    </row>
    <row r="34" spans="1:13" ht="12.75" customHeight="1" x14ac:dyDescent="0.25">
      <c r="A34" s="108"/>
      <c r="B34" t="s">
        <v>95</v>
      </c>
      <c r="C34" s="352">
        <v>96661</v>
      </c>
      <c r="D34" s="352">
        <v>98786</v>
      </c>
      <c r="E34" s="352">
        <v>195447</v>
      </c>
      <c r="F34" s="352">
        <v>7843986607</v>
      </c>
      <c r="G34" s="352">
        <v>10096811203</v>
      </c>
      <c r="H34" s="352">
        <v>17940797811</v>
      </c>
      <c r="I34" s="341">
        <f>VLOOKUP($B$27:$B$35,Fondstatistik!$B$24:$Q$998,2,FALSE)</f>
        <v>12</v>
      </c>
      <c r="J34" s="103"/>
    </row>
    <row r="35" spans="1:13" ht="12.75" customHeight="1" x14ac:dyDescent="0.25">
      <c r="A35" s="108"/>
      <c r="B35" t="s">
        <v>49</v>
      </c>
      <c r="C35" s="352">
        <v>83632</v>
      </c>
      <c r="D35" s="352">
        <v>72028</v>
      </c>
      <c r="E35" s="352">
        <v>155660</v>
      </c>
      <c r="F35" s="352">
        <v>8155641286</v>
      </c>
      <c r="G35" s="352">
        <v>8501206226</v>
      </c>
      <c r="H35" s="352">
        <v>16656847512</v>
      </c>
      <c r="I35" s="341">
        <f>VLOOKUP($B$27:$B$35,Fondstatistik!$B$24:$Q$998,2,FALSE)</f>
        <v>11</v>
      </c>
      <c r="J35" s="106"/>
    </row>
    <row r="36" spans="1:13" x14ac:dyDescent="0.25">
      <c r="A36" s="108"/>
    </row>
    <row r="37" spans="1:13" ht="15.5" x14ac:dyDescent="0.35">
      <c r="A37" s="108"/>
      <c r="B37" s="290" t="s">
        <v>21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3">
      <c r="A38" s="108"/>
      <c r="B38" s="121" t="s">
        <v>58</v>
      </c>
      <c r="C38" s="122">
        <v>2019</v>
      </c>
      <c r="D38" s="122" t="s">
        <v>1142</v>
      </c>
      <c r="E38" s="123" t="s">
        <v>30</v>
      </c>
      <c r="F38" s="123" t="s">
        <v>31</v>
      </c>
      <c r="G38" s="123" t="s">
        <v>32</v>
      </c>
      <c r="H38" s="123" t="s">
        <v>33</v>
      </c>
      <c r="I38" s="123" t="s">
        <v>34</v>
      </c>
      <c r="J38" s="120" t="s">
        <v>92</v>
      </c>
    </row>
    <row r="39" spans="1:13" ht="12.75" customHeight="1" x14ac:dyDescent="0.25">
      <c r="A39" s="108"/>
      <c r="B39" t="s">
        <v>485</v>
      </c>
      <c r="C39" s="305">
        <v>30</v>
      </c>
      <c r="D39" s="305">
        <v>-7</v>
      </c>
      <c r="E39" s="305">
        <v>6</v>
      </c>
      <c r="F39" s="305">
        <v>19</v>
      </c>
      <c r="G39" s="305">
        <v>14</v>
      </c>
      <c r="H39" s="305">
        <v>135</v>
      </c>
      <c r="I39" s="305">
        <v>219</v>
      </c>
      <c r="J39" s="305">
        <v>26.1</v>
      </c>
    </row>
    <row r="40" spans="1:13" ht="12.75" customHeight="1" x14ac:dyDescent="0.25">
      <c r="A40" s="108"/>
      <c r="B40" t="s">
        <v>577</v>
      </c>
      <c r="C40" s="305">
        <v>19</v>
      </c>
      <c r="D40" s="305">
        <v>-7</v>
      </c>
      <c r="E40" s="305">
        <v>2</v>
      </c>
      <c r="F40" s="305">
        <v>7</v>
      </c>
      <c r="G40" s="305">
        <v>15</v>
      </c>
      <c r="H40" s="305">
        <v>95</v>
      </c>
      <c r="I40" s="305">
        <v>202</v>
      </c>
      <c r="J40" s="305">
        <v>24.7</v>
      </c>
    </row>
    <row r="41" spans="1:13" ht="12.75" customHeight="1" x14ac:dyDescent="0.25">
      <c r="A41" s="108"/>
      <c r="B41" t="s">
        <v>321</v>
      </c>
      <c r="C41" s="305">
        <v>19</v>
      </c>
      <c r="D41" s="305">
        <v>-8</v>
      </c>
      <c r="E41" s="305">
        <v>3</v>
      </c>
      <c r="F41" s="305">
        <v>8</v>
      </c>
      <c r="G41" s="305">
        <v>15</v>
      </c>
      <c r="H41" s="305">
        <v>98</v>
      </c>
      <c r="I41" s="305">
        <v>200</v>
      </c>
      <c r="J41" s="305">
        <v>24.5</v>
      </c>
    </row>
    <row r="42" spans="1:13" ht="12.75" customHeight="1" x14ac:dyDescent="0.25">
      <c r="A42" s="108"/>
      <c r="B42" t="s">
        <v>115</v>
      </c>
      <c r="C42" s="305">
        <v>24</v>
      </c>
      <c r="D42" s="305">
        <v>-8</v>
      </c>
      <c r="E42" s="305">
        <v>5</v>
      </c>
      <c r="F42" s="305">
        <v>14</v>
      </c>
      <c r="G42" s="305">
        <v>10</v>
      </c>
      <c r="H42" s="305">
        <v>101</v>
      </c>
      <c r="I42" s="305">
        <v>182</v>
      </c>
      <c r="J42" s="305">
        <v>23</v>
      </c>
    </row>
    <row r="43" spans="1:13" ht="12.75" customHeight="1" x14ac:dyDescent="0.25">
      <c r="A43" s="108"/>
      <c r="B43" t="s">
        <v>336</v>
      </c>
      <c r="C43" s="305">
        <v>19</v>
      </c>
      <c r="D43" s="305">
        <v>-5</v>
      </c>
      <c r="E43" s="305">
        <v>3</v>
      </c>
      <c r="F43" s="305">
        <v>10</v>
      </c>
      <c r="G43" s="305">
        <v>8</v>
      </c>
      <c r="H43" s="305">
        <v>66</v>
      </c>
      <c r="I43" s="305">
        <v>182</v>
      </c>
      <c r="J43" s="305">
        <v>23</v>
      </c>
      <c r="M43" s="109"/>
    </row>
    <row r="44" spans="1:13" ht="12.75" customHeight="1" x14ac:dyDescent="0.25">
      <c r="A44" s="108"/>
      <c r="B44" t="s">
        <v>1220</v>
      </c>
      <c r="C44" s="305">
        <v>24</v>
      </c>
      <c r="D44" s="305">
        <v>-11</v>
      </c>
      <c r="E44" s="305">
        <v>2</v>
      </c>
      <c r="F44" s="305">
        <v>13</v>
      </c>
      <c r="G44" s="305">
        <v>1</v>
      </c>
      <c r="H44" s="305">
        <v>92</v>
      </c>
      <c r="I44" s="305">
        <v>167</v>
      </c>
      <c r="J44" s="305">
        <v>21.7</v>
      </c>
      <c r="L44" s="109"/>
      <c r="M44" s="109"/>
    </row>
    <row r="45" spans="1:13" ht="12.75" customHeight="1" x14ac:dyDescent="0.25">
      <c r="A45" s="108"/>
      <c r="B45" t="s">
        <v>409</v>
      </c>
      <c r="C45" s="305">
        <v>24</v>
      </c>
      <c r="D45" s="305">
        <v>-10</v>
      </c>
      <c r="E45" s="305">
        <v>2</v>
      </c>
      <c r="F45" s="305">
        <v>16</v>
      </c>
      <c r="G45" s="305">
        <v>-2</v>
      </c>
      <c r="H45" s="305">
        <v>90</v>
      </c>
      <c r="I45" s="305">
        <v>167</v>
      </c>
      <c r="J45" s="305">
        <v>21.7</v>
      </c>
      <c r="L45" s="109"/>
      <c r="M45" s="109"/>
    </row>
    <row r="46" spans="1:13" ht="12.75" customHeight="1" x14ac:dyDescent="0.25">
      <c r="A46" s="108"/>
      <c r="B46" t="s">
        <v>550</v>
      </c>
      <c r="C46" s="305">
        <v>23</v>
      </c>
      <c r="D46" s="305">
        <v>-7</v>
      </c>
      <c r="E46" s="305">
        <v>4</v>
      </c>
      <c r="F46" s="305">
        <v>10</v>
      </c>
      <c r="G46" s="305">
        <v>9</v>
      </c>
      <c r="H46" s="305">
        <v>80</v>
      </c>
      <c r="I46" s="305">
        <v>160</v>
      </c>
      <c r="J46" s="305">
        <v>21.1</v>
      </c>
      <c r="L46" s="109"/>
      <c r="M46" s="109"/>
    </row>
    <row r="47" spans="1:13" ht="12.75" customHeight="1" x14ac:dyDescent="0.25">
      <c r="A47" s="108"/>
      <c r="B47" t="s">
        <v>17</v>
      </c>
      <c r="C47" s="305">
        <v>22</v>
      </c>
      <c r="D47" s="305">
        <v>3</v>
      </c>
      <c r="E47" s="305">
        <v>10</v>
      </c>
      <c r="F47" s="305">
        <v>22</v>
      </c>
      <c r="G47" s="305">
        <v>27</v>
      </c>
      <c r="H47" s="305">
        <v>63</v>
      </c>
      <c r="I47" s="305">
        <v>144</v>
      </c>
      <c r="J47" s="305">
        <v>19.600000000000001</v>
      </c>
      <c r="L47" s="109"/>
      <c r="M47" s="109"/>
    </row>
    <row r="48" spans="1:13" ht="12.75" customHeight="1" x14ac:dyDescent="0.25">
      <c r="A48" s="108"/>
      <c r="B48" t="s">
        <v>572</v>
      </c>
      <c r="C48" s="305">
        <v>18</v>
      </c>
      <c r="D48" s="305">
        <v>-8</v>
      </c>
      <c r="E48" s="305">
        <v>2</v>
      </c>
      <c r="F48" s="305">
        <v>9</v>
      </c>
      <c r="G48" s="305">
        <v>5</v>
      </c>
      <c r="H48" s="305">
        <v>70</v>
      </c>
      <c r="I48" s="305">
        <v>144</v>
      </c>
      <c r="J48" s="305">
        <v>19.600000000000001</v>
      </c>
      <c r="L48" s="109"/>
      <c r="M48" s="109"/>
    </row>
    <row r="49" spans="2:14" x14ac:dyDescent="0.25">
      <c r="L49" s="111"/>
      <c r="M49" s="109"/>
      <c r="N49" s="109"/>
    </row>
    <row r="50" spans="2:14" x14ac:dyDescent="0.25">
      <c r="L50" s="111"/>
      <c r="M50" s="109"/>
      <c r="N50" s="109"/>
    </row>
    <row r="51" spans="2:14" x14ac:dyDescent="0.25">
      <c r="L51" s="111"/>
      <c r="M51" s="109"/>
    </row>
    <row r="52" spans="2:14" ht="12.75" customHeight="1" x14ac:dyDescent="0.25">
      <c r="B52" s="107" t="s">
        <v>80</v>
      </c>
      <c r="L52" s="111"/>
    </row>
    <row r="53" spans="2:14" ht="12.75" customHeight="1" x14ac:dyDescent="0.25"/>
    <row r="54" spans="2:14" ht="12.75" customHeight="1" x14ac:dyDescent="0.25"/>
    <row r="55" spans="2:14" ht="12.75" customHeight="1" x14ac:dyDescent="0.25"/>
    <row r="56" spans="2:14" ht="12.75" customHeight="1" x14ac:dyDescent="0.25"/>
    <row r="57" spans="2:14" ht="12.75" customHeight="1" x14ac:dyDescent="0.25"/>
    <row r="58" spans="2:14" ht="12.75" customHeight="1" x14ac:dyDescent="0.25"/>
    <row r="59" spans="2:14" ht="12.75" customHeight="1" x14ac:dyDescent="0.25"/>
    <row r="60" spans="2:14" ht="12.75" customHeight="1" x14ac:dyDescent="0.25"/>
    <row r="61" spans="2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08984375" defaultRowHeight="12.5" x14ac:dyDescent="0.25"/>
  <cols>
    <col min="1" max="1" width="14.90625" style="39" bestFit="1" customWidth="1"/>
    <col min="2" max="2" width="61" style="54" customWidth="1"/>
    <col min="3" max="9" width="8" style="38" customWidth="1"/>
    <col min="10" max="10" width="9.36328125" style="39" customWidth="1"/>
    <col min="11" max="11" width="9.453125" style="39" customWidth="1"/>
    <col min="12" max="12" width="13.08984375" style="39" customWidth="1"/>
    <col min="13" max="13" width="6" style="40" bestFit="1" customWidth="1"/>
    <col min="14" max="14" width="8.08984375" style="41" bestFit="1" customWidth="1"/>
    <col min="15" max="15" width="11.54296875" style="41" bestFit="1" customWidth="1"/>
    <col min="16" max="16" width="14.453125" style="39" bestFit="1" customWidth="1"/>
    <col min="17" max="17" width="11" style="39" bestFit="1" customWidth="1"/>
    <col min="18" max="18" width="16" style="42" bestFit="1" customWidth="1"/>
    <col min="19" max="19" width="44.54296875" style="329" customWidth="1"/>
    <col min="20" max="20" width="25.54296875" style="43" bestFit="1" customWidth="1"/>
    <col min="21" max="21" width="34.90625" style="326" bestFit="1" customWidth="1"/>
    <col min="22" max="16384" width="9.089843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26"/>
    </row>
    <row r="5" spans="1:21" ht="20" x14ac:dyDescent="0.4">
      <c r="A5" s="307" t="s">
        <v>1321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" x14ac:dyDescent="0.3">
      <c r="A6" s="309" t="str">
        <f>'Fondval &amp; marknadsvärde'!A7</f>
        <v>Nästa uppdatering: 2019-07-08</v>
      </c>
      <c r="B6" s="38"/>
      <c r="I6" s="39"/>
      <c r="L6" s="40"/>
      <c r="M6" s="41"/>
      <c r="O6" s="39"/>
      <c r="Q6" s="44"/>
      <c r="R6" s="46"/>
      <c r="T6" s="326"/>
    </row>
    <row r="7" spans="1:21" ht="13" x14ac:dyDescent="0.3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ht="13" x14ac:dyDescent="0.3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ht="13" x14ac:dyDescent="0.3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ht="13" x14ac:dyDescent="0.3">
      <c r="A10" s="295" t="s">
        <v>42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ht="13" x14ac:dyDescent="0.3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ht="13" x14ac:dyDescent="0.3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ht="13" x14ac:dyDescent="0.3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3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3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3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3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3">
      <c r="A18" s="302" t="s">
        <v>659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5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3">
      <c r="A20" s="304"/>
      <c r="B20" s="299"/>
      <c r="C20" s="395" t="s">
        <v>67</v>
      </c>
      <c r="D20" s="396"/>
      <c r="E20" s="396"/>
      <c r="F20" s="396"/>
      <c r="G20" s="396"/>
      <c r="H20" s="396"/>
      <c r="I20" s="396"/>
      <c r="J20" s="397"/>
      <c r="K20" s="395" t="s">
        <v>82</v>
      </c>
      <c r="L20" s="396"/>
      <c r="M20" s="74"/>
      <c r="N20" s="75" t="s">
        <v>68</v>
      </c>
      <c r="O20" s="76" t="s">
        <v>71</v>
      </c>
      <c r="P20" s="304"/>
      <c r="Q20" s="76" t="s">
        <v>81</v>
      </c>
      <c r="R20" s="76"/>
      <c r="S20" s="330"/>
      <c r="T20" s="382"/>
      <c r="U20" s="385"/>
    </row>
    <row r="21" spans="1:21" s="1" customFormat="1" ht="13" x14ac:dyDescent="0.3">
      <c r="A21" s="77" t="s">
        <v>72</v>
      </c>
      <c r="B21" s="300" t="s">
        <v>58</v>
      </c>
      <c r="C21" s="355" t="s">
        <v>29</v>
      </c>
      <c r="D21" s="79" t="s">
        <v>661</v>
      </c>
      <c r="E21" s="79" t="s">
        <v>30</v>
      </c>
      <c r="F21" s="77" t="s">
        <v>31</v>
      </c>
      <c r="G21" s="77" t="s">
        <v>32</v>
      </c>
      <c r="H21" s="77" t="s">
        <v>33</v>
      </c>
      <c r="I21" s="77" t="s">
        <v>34</v>
      </c>
      <c r="J21" s="77" t="s">
        <v>92</v>
      </c>
      <c r="K21" s="77" t="s">
        <v>40</v>
      </c>
      <c r="L21" s="77" t="s">
        <v>41</v>
      </c>
      <c r="M21" s="78" t="s">
        <v>60</v>
      </c>
      <c r="N21" s="79" t="s">
        <v>69</v>
      </c>
      <c r="O21" s="77" t="s">
        <v>70</v>
      </c>
      <c r="P21" s="77" t="s">
        <v>112</v>
      </c>
      <c r="Q21" s="77" t="s">
        <v>57</v>
      </c>
      <c r="R21" s="77" t="s">
        <v>660</v>
      </c>
      <c r="S21" s="328" t="s">
        <v>62</v>
      </c>
      <c r="T21" s="383" t="s">
        <v>59</v>
      </c>
      <c r="U21" s="386"/>
    </row>
    <row r="22" spans="1:21" x14ac:dyDescent="0.25">
      <c r="A22">
        <v>243022</v>
      </c>
      <c r="B22" t="s">
        <v>640</v>
      </c>
      <c r="C22">
        <v>15</v>
      </c>
      <c r="D22">
        <v>-6</v>
      </c>
      <c r="E22">
        <v>1</v>
      </c>
      <c r="F22">
        <v>6</v>
      </c>
      <c r="G22">
        <v>4</v>
      </c>
      <c r="H22">
        <v>43</v>
      </c>
      <c r="I22">
        <v>67</v>
      </c>
      <c r="J22">
        <v>10.8</v>
      </c>
      <c r="K22">
        <v>0</v>
      </c>
      <c r="L22">
        <v>0</v>
      </c>
      <c r="M22">
        <v>11.3</v>
      </c>
      <c r="N22">
        <v>1.1000000000000001</v>
      </c>
      <c r="O22" t="s">
        <v>135</v>
      </c>
      <c r="P22" s="379">
        <v>41158</v>
      </c>
      <c r="Q22" t="s">
        <v>136</v>
      </c>
      <c r="R22" t="s">
        <v>1237</v>
      </c>
      <c r="S22" t="s">
        <v>537</v>
      </c>
      <c r="T22" t="s">
        <v>586</v>
      </c>
      <c r="U22" s="384"/>
    </row>
    <row r="23" spans="1:21" x14ac:dyDescent="0.25">
      <c r="A23">
        <v>278853</v>
      </c>
      <c r="B23" t="s">
        <v>641</v>
      </c>
      <c r="C23">
        <v>15</v>
      </c>
      <c r="D23">
        <v>-6</v>
      </c>
      <c r="E23">
        <v>1</v>
      </c>
      <c r="F23">
        <v>6</v>
      </c>
      <c r="G23">
        <v>4</v>
      </c>
      <c r="H23">
        <v>43</v>
      </c>
      <c r="I23">
        <v>66</v>
      </c>
      <c r="J23">
        <v>10.7</v>
      </c>
      <c r="K23">
        <v>0</v>
      </c>
      <c r="L23">
        <v>0</v>
      </c>
      <c r="M23">
        <v>11.4</v>
      </c>
      <c r="N23">
        <v>1.1000000000000001</v>
      </c>
      <c r="O23" t="s">
        <v>135</v>
      </c>
      <c r="P23" s="379">
        <v>41158</v>
      </c>
      <c r="Q23" t="s">
        <v>136</v>
      </c>
      <c r="R23" t="s">
        <v>1238</v>
      </c>
      <c r="S23" t="s">
        <v>537</v>
      </c>
      <c r="T23" t="s">
        <v>586</v>
      </c>
      <c r="U23" s="384"/>
    </row>
    <row r="24" spans="1:21" x14ac:dyDescent="0.25">
      <c r="A24">
        <v>350512</v>
      </c>
      <c r="B24" t="s">
        <v>642</v>
      </c>
      <c r="C24">
        <v>13</v>
      </c>
      <c r="D24">
        <v>-5</v>
      </c>
      <c r="E24">
        <v>1</v>
      </c>
      <c r="F24">
        <v>5</v>
      </c>
      <c r="G24">
        <v>4</v>
      </c>
      <c r="H24">
        <v>39</v>
      </c>
      <c r="I24">
        <v>61</v>
      </c>
      <c r="J24">
        <v>10</v>
      </c>
      <c r="K24">
        <v>0</v>
      </c>
      <c r="L24">
        <v>0</v>
      </c>
      <c r="M24">
        <v>10.199999999999999</v>
      </c>
      <c r="N24">
        <v>1.2</v>
      </c>
      <c r="O24" t="s">
        <v>135</v>
      </c>
      <c r="P24" s="379">
        <v>41158</v>
      </c>
      <c r="Q24" t="s">
        <v>136</v>
      </c>
      <c r="R24" t="s">
        <v>1241</v>
      </c>
      <c r="S24" t="s">
        <v>537</v>
      </c>
      <c r="T24" t="s">
        <v>586</v>
      </c>
      <c r="U24" s="384"/>
    </row>
    <row r="25" spans="1:21" x14ac:dyDescent="0.25">
      <c r="A25">
        <v>314682</v>
      </c>
      <c r="B25" t="s">
        <v>648</v>
      </c>
      <c r="C25">
        <v>8</v>
      </c>
      <c r="D25">
        <v>-3</v>
      </c>
      <c r="E25">
        <v>1</v>
      </c>
      <c r="F25">
        <v>3</v>
      </c>
      <c r="G25">
        <v>3</v>
      </c>
      <c r="H25">
        <v>24</v>
      </c>
      <c r="I25">
        <v>39</v>
      </c>
      <c r="J25">
        <v>6.9</v>
      </c>
      <c r="K25">
        <v>0</v>
      </c>
      <c r="L25">
        <v>0</v>
      </c>
      <c r="M25">
        <v>6</v>
      </c>
      <c r="N25">
        <v>1.3</v>
      </c>
      <c r="O25" t="s">
        <v>135</v>
      </c>
      <c r="P25" s="379">
        <v>41158</v>
      </c>
      <c r="Q25" t="s">
        <v>136</v>
      </c>
      <c r="R25" t="s">
        <v>1239</v>
      </c>
      <c r="S25" t="s">
        <v>537</v>
      </c>
      <c r="T25" t="s">
        <v>139</v>
      </c>
      <c r="U25" s="384"/>
    </row>
    <row r="26" spans="1:21" x14ac:dyDescent="0.25">
      <c r="A26">
        <v>734491</v>
      </c>
      <c r="B26" t="s">
        <v>137</v>
      </c>
      <c r="C26">
        <v>11</v>
      </c>
      <c r="D26">
        <v>-9</v>
      </c>
      <c r="E26">
        <v>-1</v>
      </c>
      <c r="F26">
        <v>3</v>
      </c>
      <c r="G26">
        <v>1</v>
      </c>
      <c r="H26">
        <v>26</v>
      </c>
      <c r="I26">
        <v>32</v>
      </c>
      <c r="J26">
        <v>5.7</v>
      </c>
      <c r="K26">
        <v>0</v>
      </c>
      <c r="L26">
        <v>0</v>
      </c>
      <c r="M26">
        <v>12.9</v>
      </c>
      <c r="N26">
        <v>0.7</v>
      </c>
      <c r="O26" t="s">
        <v>135</v>
      </c>
      <c r="P26" s="379">
        <v>38868</v>
      </c>
      <c r="Q26" t="s">
        <v>136</v>
      </c>
      <c r="R26" t="s">
        <v>743</v>
      </c>
      <c r="S26" t="s">
        <v>138</v>
      </c>
      <c r="T26" t="s">
        <v>182</v>
      </c>
      <c r="U26" s="384"/>
    </row>
    <row r="27" spans="1:21" x14ac:dyDescent="0.25">
      <c r="A27">
        <v>167114</v>
      </c>
      <c r="B27" t="s">
        <v>649</v>
      </c>
      <c r="C27">
        <v>4</v>
      </c>
      <c r="D27">
        <v>-1</v>
      </c>
      <c r="E27">
        <v>1</v>
      </c>
      <c r="F27">
        <v>2</v>
      </c>
      <c r="G27">
        <v>2</v>
      </c>
      <c r="H27">
        <v>13</v>
      </c>
      <c r="I27">
        <v>21</v>
      </c>
      <c r="J27">
        <v>3.8</v>
      </c>
      <c r="K27">
        <v>0</v>
      </c>
      <c r="L27">
        <v>0</v>
      </c>
      <c r="M27">
        <v>3</v>
      </c>
      <c r="N27">
        <v>1.5</v>
      </c>
      <c r="O27" t="s">
        <v>135</v>
      </c>
      <c r="P27" s="379">
        <v>41158</v>
      </c>
      <c r="Q27" t="s">
        <v>136</v>
      </c>
      <c r="R27" t="s">
        <v>1236</v>
      </c>
      <c r="S27" t="s">
        <v>537</v>
      </c>
      <c r="T27" t="s">
        <v>139</v>
      </c>
      <c r="U27" s="384"/>
    </row>
    <row r="28" spans="1:21" x14ac:dyDescent="0.25">
      <c r="A28">
        <v>337709</v>
      </c>
      <c r="B28" t="s">
        <v>653</v>
      </c>
      <c r="C28">
        <v>15</v>
      </c>
      <c r="D28">
        <v>-6</v>
      </c>
      <c r="E28">
        <v>1</v>
      </c>
      <c r="F28">
        <v>6</v>
      </c>
      <c r="G28">
        <v>5</v>
      </c>
      <c r="H28">
        <v>44</v>
      </c>
      <c r="I28"/>
      <c r="J28"/>
      <c r="K28">
        <v>0</v>
      </c>
      <c r="L28">
        <v>0</v>
      </c>
      <c r="M28">
        <v>11.2</v>
      </c>
      <c r="N28">
        <v>1.2</v>
      </c>
      <c r="O28" t="s">
        <v>135</v>
      </c>
      <c r="P28" s="379">
        <v>42068</v>
      </c>
      <c r="Q28" t="s">
        <v>136</v>
      </c>
      <c r="R28" t="s">
        <v>1240</v>
      </c>
      <c r="S28" t="s">
        <v>537</v>
      </c>
      <c r="T28" t="s">
        <v>586</v>
      </c>
      <c r="U28" s="384"/>
    </row>
    <row r="29" spans="1:21" x14ac:dyDescent="0.25">
      <c r="A29">
        <v>545541</v>
      </c>
      <c r="B29" t="s">
        <v>140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3</v>
      </c>
      <c r="J29">
        <v>0.6</v>
      </c>
      <c r="K29">
        <v>0.04</v>
      </c>
      <c r="L29">
        <v>0.04</v>
      </c>
      <c r="M29">
        <v>0.4</v>
      </c>
      <c r="N29">
        <v>1</v>
      </c>
      <c r="O29" t="s">
        <v>135</v>
      </c>
      <c r="P29" s="379">
        <v>40290</v>
      </c>
      <c r="Q29" t="s">
        <v>136</v>
      </c>
      <c r="R29" t="s">
        <v>809</v>
      </c>
      <c r="S29" t="s">
        <v>141</v>
      </c>
      <c r="T29" t="s">
        <v>601</v>
      </c>
      <c r="U29" s="384"/>
    </row>
    <row r="30" spans="1:21" x14ac:dyDescent="0.25">
      <c r="A30">
        <v>581371</v>
      </c>
      <c r="B30" t="s">
        <v>153</v>
      </c>
      <c r="C30">
        <v>17</v>
      </c>
      <c r="D30">
        <v>-7</v>
      </c>
      <c r="E30">
        <v>1</v>
      </c>
      <c r="F30">
        <v>6</v>
      </c>
      <c r="G30">
        <v>5</v>
      </c>
      <c r="H30">
        <v>58</v>
      </c>
      <c r="I30">
        <v>99</v>
      </c>
      <c r="J30">
        <v>14.8</v>
      </c>
      <c r="K30">
        <v>0.09</v>
      </c>
      <c r="L30">
        <v>0.09</v>
      </c>
      <c r="M30">
        <v>13.4</v>
      </c>
      <c r="N30">
        <v>1.2</v>
      </c>
      <c r="O30" t="s">
        <v>135</v>
      </c>
      <c r="P30" s="379">
        <v>40290</v>
      </c>
      <c r="Q30" t="s">
        <v>136</v>
      </c>
      <c r="R30" t="s">
        <v>710</v>
      </c>
      <c r="S30" t="s">
        <v>141</v>
      </c>
      <c r="T30" t="s">
        <v>154</v>
      </c>
      <c r="U30"/>
    </row>
    <row r="31" spans="1:21" x14ac:dyDescent="0.25">
      <c r="A31">
        <v>574293</v>
      </c>
      <c r="B31" t="s">
        <v>146</v>
      </c>
      <c r="C31">
        <v>2</v>
      </c>
      <c r="D31">
        <v>0</v>
      </c>
      <c r="E31">
        <v>1</v>
      </c>
      <c r="F31">
        <v>2</v>
      </c>
      <c r="G31">
        <v>2</v>
      </c>
      <c r="H31">
        <v>5</v>
      </c>
      <c r="I31">
        <v>12</v>
      </c>
      <c r="J31">
        <v>2.4</v>
      </c>
      <c r="K31">
        <v>0.1</v>
      </c>
      <c r="L31">
        <v>0.1</v>
      </c>
      <c r="M31">
        <v>1.5</v>
      </c>
      <c r="N31">
        <v>1.2</v>
      </c>
      <c r="O31" t="s">
        <v>135</v>
      </c>
      <c r="P31" s="379">
        <v>36790</v>
      </c>
      <c r="Q31" t="s">
        <v>136</v>
      </c>
      <c r="R31" t="s">
        <v>887</v>
      </c>
      <c r="S31" t="s">
        <v>144</v>
      </c>
      <c r="T31" t="s">
        <v>601</v>
      </c>
      <c r="U31"/>
    </row>
    <row r="32" spans="1:21" x14ac:dyDescent="0.25">
      <c r="A32">
        <v>265512</v>
      </c>
      <c r="B32" t="s">
        <v>155</v>
      </c>
      <c r="C32">
        <v>2</v>
      </c>
      <c r="D32">
        <v>1</v>
      </c>
      <c r="E32">
        <v>2</v>
      </c>
      <c r="F32">
        <v>2</v>
      </c>
      <c r="G32">
        <v>2</v>
      </c>
      <c r="H32">
        <v>1</v>
      </c>
      <c r="I32">
        <v>10</v>
      </c>
      <c r="J32">
        <v>1.9</v>
      </c>
      <c r="K32">
        <v>0.1</v>
      </c>
      <c r="L32">
        <v>0.1</v>
      </c>
      <c r="M32">
        <v>1.9</v>
      </c>
      <c r="N32">
        <v>0.4</v>
      </c>
      <c r="O32" t="s">
        <v>135</v>
      </c>
      <c r="P32" s="379">
        <v>40924</v>
      </c>
      <c r="Q32" t="s">
        <v>136</v>
      </c>
      <c r="R32" t="s">
        <v>805</v>
      </c>
      <c r="S32" t="s">
        <v>144</v>
      </c>
      <c r="T32" t="s">
        <v>601</v>
      </c>
      <c r="U32"/>
    </row>
    <row r="33" spans="1:21" x14ac:dyDescent="0.25">
      <c r="A33">
        <v>972497</v>
      </c>
      <c r="B33" t="s">
        <v>142</v>
      </c>
      <c r="C33">
        <v>1</v>
      </c>
      <c r="D33">
        <v>0</v>
      </c>
      <c r="E33">
        <v>1</v>
      </c>
      <c r="F33">
        <v>1</v>
      </c>
      <c r="G33">
        <v>1</v>
      </c>
      <c r="H33">
        <v>5</v>
      </c>
      <c r="I33">
        <v>7</v>
      </c>
      <c r="J33">
        <v>1.5</v>
      </c>
      <c r="K33">
        <v>0.1</v>
      </c>
      <c r="L33">
        <v>0.1</v>
      </c>
      <c r="M33">
        <v>0.4</v>
      </c>
      <c r="N33">
        <v>4.9000000000000004</v>
      </c>
      <c r="O33" t="s">
        <v>135</v>
      </c>
      <c r="P33" s="379">
        <v>39555</v>
      </c>
      <c r="Q33" t="s">
        <v>136</v>
      </c>
      <c r="R33" t="s">
        <v>794</v>
      </c>
      <c r="S33" t="s">
        <v>143</v>
      </c>
      <c r="T33" t="s">
        <v>593</v>
      </c>
      <c r="U33"/>
    </row>
    <row r="34" spans="1:21" x14ac:dyDescent="0.25">
      <c r="A34">
        <v>305185</v>
      </c>
      <c r="B34" t="s">
        <v>1304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0</v>
      </c>
      <c r="J34">
        <v>-0.1</v>
      </c>
      <c r="K34">
        <v>0.1</v>
      </c>
      <c r="L34">
        <v>0.1</v>
      </c>
      <c r="M34">
        <v>0.1</v>
      </c>
      <c r="N34">
        <v>-0.2</v>
      </c>
      <c r="O34" t="s">
        <v>135</v>
      </c>
      <c r="P34" s="379">
        <v>38124</v>
      </c>
      <c r="Q34" t="s">
        <v>136</v>
      </c>
      <c r="R34" t="s">
        <v>898</v>
      </c>
      <c r="S34" t="s">
        <v>144</v>
      </c>
      <c r="T34" t="s">
        <v>593</v>
      </c>
      <c r="U34"/>
    </row>
    <row r="35" spans="1:21" x14ac:dyDescent="0.25">
      <c r="A35">
        <v>717611</v>
      </c>
      <c r="B35" t="s">
        <v>1312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-0.1</v>
      </c>
      <c r="K35">
        <v>0.1</v>
      </c>
      <c r="L35">
        <v>0.1</v>
      </c>
      <c r="M35">
        <v>0.1</v>
      </c>
      <c r="N35">
        <v>0.5</v>
      </c>
      <c r="O35" t="s">
        <v>135</v>
      </c>
      <c r="P35" s="379">
        <v>36790</v>
      </c>
      <c r="Q35" t="s">
        <v>136</v>
      </c>
      <c r="R35" t="s">
        <v>867</v>
      </c>
      <c r="S35" t="s">
        <v>147</v>
      </c>
      <c r="T35" t="s">
        <v>599</v>
      </c>
      <c r="U35"/>
    </row>
    <row r="36" spans="1:21" x14ac:dyDescent="0.25">
      <c r="A36">
        <v>294918</v>
      </c>
      <c r="B36" t="s">
        <v>1247</v>
      </c>
      <c r="C36">
        <v>0</v>
      </c>
      <c r="D36">
        <v>0</v>
      </c>
      <c r="E36">
        <v>0</v>
      </c>
      <c r="F36">
        <v>0</v>
      </c>
      <c r="G36">
        <v>-1</v>
      </c>
      <c r="H36">
        <v>-2</v>
      </c>
      <c r="I36">
        <v>-2</v>
      </c>
      <c r="J36">
        <v>-0.5</v>
      </c>
      <c r="K36">
        <v>0.1</v>
      </c>
      <c r="L36">
        <v>0.11</v>
      </c>
      <c r="M36">
        <v>0.1</v>
      </c>
      <c r="N36">
        <v>-3.9</v>
      </c>
      <c r="O36" t="s">
        <v>135</v>
      </c>
      <c r="P36" s="379">
        <v>37207</v>
      </c>
      <c r="Q36" t="s">
        <v>136</v>
      </c>
      <c r="R36" t="s">
        <v>927</v>
      </c>
      <c r="S36" t="s">
        <v>1269</v>
      </c>
      <c r="T36" t="s">
        <v>593</v>
      </c>
      <c r="U36"/>
    </row>
    <row r="37" spans="1:21" x14ac:dyDescent="0.25">
      <c r="A37">
        <v>534800</v>
      </c>
      <c r="B37" t="s">
        <v>151</v>
      </c>
      <c r="C37">
        <v>2</v>
      </c>
      <c r="D37">
        <v>1</v>
      </c>
      <c r="E37">
        <v>2</v>
      </c>
      <c r="F37">
        <v>2</v>
      </c>
      <c r="G37">
        <v>2</v>
      </c>
      <c r="H37">
        <v>5</v>
      </c>
      <c r="I37">
        <v>12</v>
      </c>
      <c r="J37">
        <v>2.2999999999999998</v>
      </c>
      <c r="K37">
        <v>0.11</v>
      </c>
      <c r="L37">
        <v>0.21</v>
      </c>
      <c r="M37">
        <v>1.7</v>
      </c>
      <c r="N37">
        <v>1.1000000000000001</v>
      </c>
      <c r="O37" t="s">
        <v>135</v>
      </c>
      <c r="P37" s="379">
        <v>36790</v>
      </c>
      <c r="Q37" t="s">
        <v>136</v>
      </c>
      <c r="R37" t="s">
        <v>901</v>
      </c>
      <c r="S37" t="s">
        <v>152</v>
      </c>
      <c r="T37" t="s">
        <v>601</v>
      </c>
      <c r="U37"/>
    </row>
    <row r="38" spans="1:21" x14ac:dyDescent="0.25">
      <c r="A38">
        <v>330746</v>
      </c>
      <c r="B38" t="s">
        <v>145</v>
      </c>
      <c r="C38">
        <v>1</v>
      </c>
      <c r="D38">
        <v>0</v>
      </c>
      <c r="E38">
        <v>1</v>
      </c>
      <c r="F38">
        <v>1</v>
      </c>
      <c r="G38">
        <v>1</v>
      </c>
      <c r="H38">
        <v>3</v>
      </c>
      <c r="I38">
        <v>9</v>
      </c>
      <c r="J38">
        <v>1.7</v>
      </c>
      <c r="K38">
        <v>0.11</v>
      </c>
      <c r="L38">
        <v>0.13</v>
      </c>
      <c r="M38">
        <v>1.4</v>
      </c>
      <c r="N38">
        <v>1</v>
      </c>
      <c r="O38" t="s">
        <v>135</v>
      </c>
      <c r="P38" s="379">
        <v>37207</v>
      </c>
      <c r="Q38" t="s">
        <v>136</v>
      </c>
      <c r="R38" t="s">
        <v>995</v>
      </c>
      <c r="S38" t="s">
        <v>1269</v>
      </c>
      <c r="T38" t="s">
        <v>601</v>
      </c>
      <c r="U38"/>
    </row>
    <row r="39" spans="1:21" x14ac:dyDescent="0.25">
      <c r="A39">
        <v>718205</v>
      </c>
      <c r="B39" t="s">
        <v>1244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0.1</v>
      </c>
      <c r="K39">
        <v>0.11</v>
      </c>
      <c r="L39">
        <v>0.15</v>
      </c>
      <c r="M39">
        <v>0.1</v>
      </c>
      <c r="N39">
        <v>2.2999999999999998</v>
      </c>
      <c r="O39" t="s">
        <v>135</v>
      </c>
      <c r="P39" s="379">
        <v>36790</v>
      </c>
      <c r="Q39" t="s">
        <v>136</v>
      </c>
      <c r="R39" t="s">
        <v>1245</v>
      </c>
      <c r="S39" t="s">
        <v>161</v>
      </c>
      <c r="T39" t="s">
        <v>593</v>
      </c>
      <c r="U39"/>
    </row>
    <row r="40" spans="1:21" x14ac:dyDescent="0.25">
      <c r="A40">
        <v>442897</v>
      </c>
      <c r="B40" t="s">
        <v>1224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-0.1</v>
      </c>
      <c r="K40">
        <v>0.11</v>
      </c>
      <c r="L40">
        <v>0.21</v>
      </c>
      <c r="M40">
        <v>0.1</v>
      </c>
      <c r="N40">
        <v>0.6</v>
      </c>
      <c r="O40" t="s">
        <v>135</v>
      </c>
      <c r="P40" s="379">
        <v>40343</v>
      </c>
      <c r="Q40" t="s">
        <v>136</v>
      </c>
      <c r="R40" t="s">
        <v>789</v>
      </c>
      <c r="S40" t="s">
        <v>152</v>
      </c>
      <c r="T40" t="s">
        <v>593</v>
      </c>
      <c r="U40"/>
    </row>
    <row r="41" spans="1:21" x14ac:dyDescent="0.25">
      <c r="A41">
        <v>418699</v>
      </c>
      <c r="B41" t="s">
        <v>156</v>
      </c>
      <c r="C41">
        <v>1</v>
      </c>
      <c r="D41">
        <v>0</v>
      </c>
      <c r="E41">
        <v>0</v>
      </c>
      <c r="F41">
        <v>0</v>
      </c>
      <c r="G41">
        <v>0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3.7</v>
      </c>
      <c r="O41" t="s">
        <v>135</v>
      </c>
      <c r="P41" s="379">
        <v>39021</v>
      </c>
      <c r="Q41" t="s">
        <v>136</v>
      </c>
      <c r="R41" t="s">
        <v>807</v>
      </c>
      <c r="S41" t="s">
        <v>157</v>
      </c>
      <c r="T41" t="s">
        <v>601</v>
      </c>
      <c r="U41"/>
    </row>
    <row r="42" spans="1:21" x14ac:dyDescent="0.25">
      <c r="A42">
        <v>478313</v>
      </c>
      <c r="B42" t="s">
        <v>162</v>
      </c>
      <c r="C42">
        <v>1</v>
      </c>
      <c r="D42">
        <v>0</v>
      </c>
      <c r="E42">
        <v>0</v>
      </c>
      <c r="F42">
        <v>1</v>
      </c>
      <c r="G42">
        <v>0</v>
      </c>
      <c r="H42">
        <v>1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135</v>
      </c>
      <c r="P42" s="379">
        <v>37242</v>
      </c>
      <c r="Q42" t="s">
        <v>136</v>
      </c>
      <c r="R42" t="s">
        <v>790</v>
      </c>
      <c r="S42" t="s">
        <v>163</v>
      </c>
      <c r="T42" t="s">
        <v>593</v>
      </c>
      <c r="U42"/>
    </row>
    <row r="43" spans="1:21" x14ac:dyDescent="0.25">
      <c r="A43">
        <v>613133</v>
      </c>
      <c r="B43" t="s">
        <v>594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1.9</v>
      </c>
      <c r="O43" t="s">
        <v>135</v>
      </c>
      <c r="P43" s="379">
        <v>37004</v>
      </c>
      <c r="Q43" t="s">
        <v>136</v>
      </c>
      <c r="R43" t="s">
        <v>1082</v>
      </c>
      <c r="S43" t="s">
        <v>1323</v>
      </c>
      <c r="T43" t="s">
        <v>593</v>
      </c>
      <c r="U43"/>
    </row>
    <row r="44" spans="1:21" x14ac:dyDescent="0.25">
      <c r="A44">
        <v>420646</v>
      </c>
      <c r="B44" t="s">
        <v>148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0</v>
      </c>
      <c r="J44">
        <v>-0.1</v>
      </c>
      <c r="K44">
        <v>0.12</v>
      </c>
      <c r="L44">
        <v>0.23</v>
      </c>
      <c r="M44">
        <v>0.1</v>
      </c>
      <c r="N44">
        <v>0.4</v>
      </c>
      <c r="O44" t="s">
        <v>135</v>
      </c>
      <c r="P44" s="379">
        <v>36790</v>
      </c>
      <c r="Q44" t="s">
        <v>136</v>
      </c>
      <c r="R44" t="s">
        <v>788</v>
      </c>
      <c r="S44" t="s">
        <v>149</v>
      </c>
      <c r="T44" t="s">
        <v>593</v>
      </c>
      <c r="U44"/>
    </row>
    <row r="45" spans="1:21" x14ac:dyDescent="0.25">
      <c r="A45">
        <v>843284</v>
      </c>
      <c r="B45" t="s">
        <v>172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-0.2</v>
      </c>
      <c r="K45">
        <v>0.12</v>
      </c>
      <c r="L45">
        <v>0.2</v>
      </c>
      <c r="M45">
        <v>0.2</v>
      </c>
      <c r="N45">
        <v>0.5</v>
      </c>
      <c r="O45" t="s">
        <v>135</v>
      </c>
      <c r="P45" s="379">
        <v>37573</v>
      </c>
      <c r="Q45" t="s">
        <v>136</v>
      </c>
      <c r="R45" t="s">
        <v>1434</v>
      </c>
      <c r="S45" t="s">
        <v>173</v>
      </c>
      <c r="T45" t="s">
        <v>593</v>
      </c>
      <c r="U45"/>
    </row>
    <row r="46" spans="1:21" x14ac:dyDescent="0.25">
      <c r="A46">
        <v>677534</v>
      </c>
      <c r="B46" t="s">
        <v>559</v>
      </c>
      <c r="C46">
        <v>1</v>
      </c>
      <c r="D46">
        <v>0</v>
      </c>
      <c r="E46">
        <v>1</v>
      </c>
      <c r="F46">
        <v>1</v>
      </c>
      <c r="G46">
        <v>1</v>
      </c>
      <c r="H46">
        <v>3</v>
      </c>
      <c r="I46">
        <v>9</v>
      </c>
      <c r="J46">
        <v>1.7</v>
      </c>
      <c r="K46">
        <v>0.13</v>
      </c>
      <c r="L46">
        <v>0.4</v>
      </c>
      <c r="M46">
        <v>1.4</v>
      </c>
      <c r="N46">
        <v>0.9</v>
      </c>
      <c r="O46" t="s">
        <v>135</v>
      </c>
      <c r="P46" s="379">
        <v>36790</v>
      </c>
      <c r="Q46" t="s">
        <v>136</v>
      </c>
      <c r="R46" t="s">
        <v>869</v>
      </c>
      <c r="S46" t="s">
        <v>147</v>
      </c>
      <c r="T46" t="s">
        <v>601</v>
      </c>
      <c r="U46"/>
    </row>
    <row r="47" spans="1:21" x14ac:dyDescent="0.25">
      <c r="A47">
        <v>214163</v>
      </c>
      <c r="B47" t="s">
        <v>159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0.2</v>
      </c>
      <c r="K47">
        <v>0.13</v>
      </c>
      <c r="L47">
        <v>0.3</v>
      </c>
      <c r="M47">
        <v>0.2</v>
      </c>
      <c r="N47">
        <v>1.6</v>
      </c>
      <c r="O47" t="s">
        <v>135</v>
      </c>
      <c r="P47" s="379">
        <v>36790</v>
      </c>
      <c r="Q47" t="s">
        <v>136</v>
      </c>
      <c r="R47" t="s">
        <v>888</v>
      </c>
      <c r="S47" t="s">
        <v>160</v>
      </c>
      <c r="T47" t="s">
        <v>593</v>
      </c>
      <c r="U47"/>
    </row>
    <row r="48" spans="1:21" x14ac:dyDescent="0.25">
      <c r="A48">
        <v>865774</v>
      </c>
      <c r="B48" t="s">
        <v>1153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0.2</v>
      </c>
      <c r="K48">
        <v>0.13</v>
      </c>
      <c r="L48">
        <v>0.2</v>
      </c>
      <c r="M48">
        <v>0.2</v>
      </c>
      <c r="N48">
        <v>2</v>
      </c>
      <c r="O48" t="s">
        <v>135</v>
      </c>
      <c r="P48" s="379">
        <v>36790</v>
      </c>
      <c r="Q48" t="s">
        <v>57</v>
      </c>
      <c r="R48" t="s">
        <v>1160</v>
      </c>
      <c r="S48" t="s">
        <v>1277</v>
      </c>
      <c r="T48" t="s">
        <v>593</v>
      </c>
      <c r="U48"/>
    </row>
    <row r="49" spans="1:21" x14ac:dyDescent="0.25">
      <c r="A49">
        <v>838730</v>
      </c>
      <c r="B49" t="s">
        <v>158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0.2</v>
      </c>
      <c r="K49">
        <v>0.13</v>
      </c>
      <c r="L49">
        <v>0.32</v>
      </c>
      <c r="M49">
        <v>0.3</v>
      </c>
      <c r="N49">
        <v>1.3</v>
      </c>
      <c r="O49" t="s">
        <v>135</v>
      </c>
      <c r="P49" s="379">
        <v>41703</v>
      </c>
      <c r="Q49" t="s">
        <v>136</v>
      </c>
      <c r="R49" t="s">
        <v>1433</v>
      </c>
      <c r="S49" t="s">
        <v>149</v>
      </c>
      <c r="T49" t="s">
        <v>593</v>
      </c>
      <c r="U49"/>
    </row>
    <row r="50" spans="1:21" x14ac:dyDescent="0.25">
      <c r="A50">
        <v>721506</v>
      </c>
      <c r="B50" t="s">
        <v>1313</v>
      </c>
      <c r="C50">
        <v>1</v>
      </c>
      <c r="D50">
        <v>0</v>
      </c>
      <c r="E50">
        <v>1</v>
      </c>
      <c r="F50">
        <v>1</v>
      </c>
      <c r="G50">
        <v>1</v>
      </c>
      <c r="H50">
        <v>3</v>
      </c>
      <c r="I50"/>
      <c r="J50"/>
      <c r="K50">
        <v>0.13</v>
      </c>
      <c r="L50">
        <v>0.31</v>
      </c>
      <c r="M50">
        <v>0.7</v>
      </c>
      <c r="N50">
        <v>1.6</v>
      </c>
      <c r="O50" t="s">
        <v>135</v>
      </c>
      <c r="P50" s="379">
        <v>42137</v>
      </c>
      <c r="Q50" t="s">
        <v>136</v>
      </c>
      <c r="R50" t="s">
        <v>879</v>
      </c>
      <c r="S50" t="s">
        <v>152</v>
      </c>
      <c r="T50" t="s">
        <v>595</v>
      </c>
      <c r="U50"/>
    </row>
    <row r="51" spans="1:21" x14ac:dyDescent="0.25">
      <c r="A51">
        <v>331686</v>
      </c>
      <c r="B51" t="s">
        <v>1336</v>
      </c>
      <c r="C51">
        <v>2</v>
      </c>
      <c r="D51">
        <v>0</v>
      </c>
      <c r="E51">
        <v>1</v>
      </c>
      <c r="F51">
        <v>1</v>
      </c>
      <c r="G51">
        <v>0</v>
      </c>
      <c r="H51">
        <v>4</v>
      </c>
      <c r="I51">
        <v>4</v>
      </c>
      <c r="J51">
        <v>0.8</v>
      </c>
      <c r="K51">
        <v>0.14000000000000001</v>
      </c>
      <c r="L51">
        <v>0.41</v>
      </c>
      <c r="M51">
        <v>1</v>
      </c>
      <c r="N51">
        <v>1.5</v>
      </c>
      <c r="O51" t="s">
        <v>135</v>
      </c>
      <c r="P51" s="379">
        <v>41197</v>
      </c>
      <c r="Q51" t="s">
        <v>136</v>
      </c>
      <c r="R51" t="s">
        <v>918</v>
      </c>
      <c r="S51" t="s">
        <v>152</v>
      </c>
      <c r="T51" t="s">
        <v>605</v>
      </c>
      <c r="U51"/>
    </row>
    <row r="52" spans="1:21" x14ac:dyDescent="0.25">
      <c r="A52">
        <v>331983</v>
      </c>
      <c r="B52" t="s">
        <v>1242</v>
      </c>
      <c r="C52">
        <v>0</v>
      </c>
      <c r="D52">
        <v>0</v>
      </c>
      <c r="E52">
        <v>0</v>
      </c>
      <c r="F52">
        <v>0</v>
      </c>
      <c r="G52">
        <v>0</v>
      </c>
      <c r="H52">
        <v>-1</v>
      </c>
      <c r="I52">
        <v>-1</v>
      </c>
      <c r="J52">
        <v>-0.1</v>
      </c>
      <c r="K52">
        <v>0.14000000000000001</v>
      </c>
      <c r="L52">
        <v>0.3</v>
      </c>
      <c r="M52">
        <v>0.2</v>
      </c>
      <c r="N52">
        <v>0.2</v>
      </c>
      <c r="O52" t="s">
        <v>135</v>
      </c>
      <c r="P52" s="379">
        <v>36790</v>
      </c>
      <c r="Q52" t="s">
        <v>136</v>
      </c>
      <c r="R52" t="s">
        <v>855</v>
      </c>
      <c r="S52" t="s">
        <v>185</v>
      </c>
      <c r="T52" t="s">
        <v>593</v>
      </c>
      <c r="U52"/>
    </row>
    <row r="53" spans="1:21" x14ac:dyDescent="0.25">
      <c r="A53">
        <v>929224</v>
      </c>
      <c r="B53" t="s">
        <v>1318</v>
      </c>
      <c r="C53">
        <v>19</v>
      </c>
      <c r="D53">
        <v>-5</v>
      </c>
      <c r="E53">
        <v>3</v>
      </c>
      <c r="F53">
        <v>7</v>
      </c>
      <c r="G53">
        <v>12</v>
      </c>
      <c r="H53">
        <v>61</v>
      </c>
      <c r="I53">
        <v>124</v>
      </c>
      <c r="J53">
        <v>17.5</v>
      </c>
      <c r="K53">
        <v>0.16</v>
      </c>
      <c r="L53">
        <v>0.2</v>
      </c>
      <c r="M53">
        <v>14.1</v>
      </c>
      <c r="N53">
        <v>1.2</v>
      </c>
      <c r="O53" t="s">
        <v>135</v>
      </c>
      <c r="P53" s="379">
        <v>41607</v>
      </c>
      <c r="Q53" t="s">
        <v>136</v>
      </c>
      <c r="R53" t="s">
        <v>882</v>
      </c>
      <c r="S53" t="s">
        <v>537</v>
      </c>
      <c r="T53" t="s">
        <v>608</v>
      </c>
      <c r="U53"/>
    </row>
    <row r="54" spans="1:21" x14ac:dyDescent="0.25">
      <c r="A54">
        <v>248161</v>
      </c>
      <c r="B54" t="s">
        <v>171</v>
      </c>
      <c r="C54">
        <v>18</v>
      </c>
      <c r="D54">
        <v>-5</v>
      </c>
      <c r="E54">
        <v>3</v>
      </c>
      <c r="F54">
        <v>7</v>
      </c>
      <c r="G54">
        <v>12</v>
      </c>
      <c r="H54">
        <v>60</v>
      </c>
      <c r="I54">
        <v>122</v>
      </c>
      <c r="J54">
        <v>17.3</v>
      </c>
      <c r="K54">
        <v>0.16</v>
      </c>
      <c r="L54">
        <v>0.21</v>
      </c>
      <c r="M54">
        <v>14</v>
      </c>
      <c r="N54">
        <v>1.2</v>
      </c>
      <c r="O54" t="s">
        <v>135</v>
      </c>
      <c r="P54" s="379">
        <v>36789</v>
      </c>
      <c r="Q54" t="s">
        <v>136</v>
      </c>
      <c r="R54" t="s">
        <v>1094</v>
      </c>
      <c r="S54" t="s">
        <v>152</v>
      </c>
      <c r="T54" t="s">
        <v>608</v>
      </c>
      <c r="U54"/>
    </row>
    <row r="55" spans="1:21" x14ac:dyDescent="0.25">
      <c r="A55">
        <v>551507</v>
      </c>
      <c r="B55" t="s">
        <v>568</v>
      </c>
      <c r="C55">
        <v>18</v>
      </c>
      <c r="D55">
        <v>-5</v>
      </c>
      <c r="E55">
        <v>3</v>
      </c>
      <c r="F55">
        <v>6</v>
      </c>
      <c r="G55">
        <v>12</v>
      </c>
      <c r="H55">
        <v>59</v>
      </c>
      <c r="I55">
        <v>121</v>
      </c>
      <c r="J55">
        <v>17.2</v>
      </c>
      <c r="K55">
        <v>0.16</v>
      </c>
      <c r="L55">
        <v>0.2</v>
      </c>
      <c r="M55">
        <v>13.8</v>
      </c>
      <c r="N55">
        <v>1.2</v>
      </c>
      <c r="O55" t="s">
        <v>135</v>
      </c>
      <c r="P55" s="379">
        <v>41467</v>
      </c>
      <c r="Q55" t="s">
        <v>136</v>
      </c>
      <c r="R55" t="s">
        <v>1135</v>
      </c>
      <c r="S55" t="s">
        <v>149</v>
      </c>
      <c r="T55" t="s">
        <v>608</v>
      </c>
      <c r="U55"/>
    </row>
    <row r="56" spans="1:21" x14ac:dyDescent="0.25">
      <c r="A56">
        <v>658997</v>
      </c>
      <c r="B56" t="s">
        <v>565</v>
      </c>
      <c r="C56">
        <v>17</v>
      </c>
      <c r="D56">
        <v>-5</v>
      </c>
      <c r="E56">
        <v>2</v>
      </c>
      <c r="F56">
        <v>7</v>
      </c>
      <c r="G56">
        <v>7</v>
      </c>
      <c r="H56">
        <v>49</v>
      </c>
      <c r="I56">
        <v>89</v>
      </c>
      <c r="J56">
        <v>13.5</v>
      </c>
      <c r="K56">
        <v>0.16</v>
      </c>
      <c r="L56">
        <v>0.2</v>
      </c>
      <c r="M56">
        <v>12.4</v>
      </c>
      <c r="N56">
        <v>1.2</v>
      </c>
      <c r="O56" t="s">
        <v>135</v>
      </c>
      <c r="P56" s="379">
        <v>41467</v>
      </c>
      <c r="Q56" t="s">
        <v>136</v>
      </c>
      <c r="R56" t="s">
        <v>816</v>
      </c>
      <c r="S56" t="s">
        <v>149</v>
      </c>
      <c r="T56" t="s">
        <v>154</v>
      </c>
      <c r="U56"/>
    </row>
    <row r="57" spans="1:21" x14ac:dyDescent="0.25">
      <c r="A57">
        <v>176503</v>
      </c>
      <c r="B57" t="s">
        <v>166</v>
      </c>
      <c r="C57">
        <v>11</v>
      </c>
      <c r="D57">
        <v>-4</v>
      </c>
      <c r="E57">
        <v>1</v>
      </c>
      <c r="F57">
        <v>1</v>
      </c>
      <c r="G57">
        <v>-3</v>
      </c>
      <c r="H57">
        <v>40</v>
      </c>
      <c r="I57">
        <v>84</v>
      </c>
      <c r="J57">
        <v>13</v>
      </c>
      <c r="K57">
        <v>0.16</v>
      </c>
      <c r="L57">
        <v>0.22</v>
      </c>
      <c r="M57">
        <v>12.3</v>
      </c>
      <c r="N57">
        <v>1</v>
      </c>
      <c r="O57" t="s">
        <v>135</v>
      </c>
      <c r="P57" s="379">
        <v>36790</v>
      </c>
      <c r="Q57" t="s">
        <v>136</v>
      </c>
      <c r="R57" t="s">
        <v>827</v>
      </c>
      <c r="S57" t="s">
        <v>152</v>
      </c>
      <c r="T57" t="s">
        <v>167</v>
      </c>
      <c r="U57"/>
    </row>
    <row r="58" spans="1:21" x14ac:dyDescent="0.25">
      <c r="A58">
        <v>212332</v>
      </c>
      <c r="B58" t="s">
        <v>174</v>
      </c>
      <c r="C58">
        <v>11</v>
      </c>
      <c r="D58">
        <v>-8</v>
      </c>
      <c r="E58">
        <v>0</v>
      </c>
      <c r="F58">
        <v>5</v>
      </c>
      <c r="G58">
        <v>2</v>
      </c>
      <c r="H58">
        <v>30</v>
      </c>
      <c r="I58">
        <v>46</v>
      </c>
      <c r="J58">
        <v>7.8</v>
      </c>
      <c r="K58">
        <v>0.16</v>
      </c>
      <c r="L58">
        <v>0.21</v>
      </c>
      <c r="M58">
        <v>12.5</v>
      </c>
      <c r="N58">
        <v>0.8</v>
      </c>
      <c r="O58" t="s">
        <v>135</v>
      </c>
      <c r="P58" s="379">
        <v>36790</v>
      </c>
      <c r="Q58" t="s">
        <v>136</v>
      </c>
      <c r="R58" t="s">
        <v>722</v>
      </c>
      <c r="S58" t="s">
        <v>152</v>
      </c>
      <c r="T58" t="s">
        <v>182</v>
      </c>
      <c r="U58"/>
    </row>
    <row r="59" spans="1:21" x14ac:dyDescent="0.25">
      <c r="A59">
        <v>479840</v>
      </c>
      <c r="B59" t="s">
        <v>645</v>
      </c>
      <c r="C59">
        <v>15</v>
      </c>
      <c r="D59">
        <v>-5</v>
      </c>
      <c r="E59">
        <v>2</v>
      </c>
      <c r="F59">
        <v>8</v>
      </c>
      <c r="G59">
        <v>2</v>
      </c>
      <c r="H59">
        <v>34</v>
      </c>
      <c r="I59">
        <v>44</v>
      </c>
      <c r="J59">
        <v>7.5</v>
      </c>
      <c r="K59">
        <v>0.16</v>
      </c>
      <c r="L59">
        <v>0.21</v>
      </c>
      <c r="M59">
        <v>11.6</v>
      </c>
      <c r="N59">
        <v>0.9</v>
      </c>
      <c r="O59" t="s">
        <v>135</v>
      </c>
      <c r="P59" s="379">
        <v>41467</v>
      </c>
      <c r="Q59" t="s">
        <v>136</v>
      </c>
      <c r="R59" t="s">
        <v>1116</v>
      </c>
      <c r="S59" t="s">
        <v>149</v>
      </c>
      <c r="T59" t="s">
        <v>178</v>
      </c>
      <c r="U59"/>
    </row>
    <row r="60" spans="1:21" x14ac:dyDescent="0.25">
      <c r="A60">
        <v>465914</v>
      </c>
      <c r="B60" t="s">
        <v>192</v>
      </c>
      <c r="C60">
        <v>11</v>
      </c>
      <c r="D60">
        <v>-8</v>
      </c>
      <c r="E60">
        <v>0</v>
      </c>
      <c r="F60">
        <v>5</v>
      </c>
      <c r="G60">
        <v>2</v>
      </c>
      <c r="H60">
        <v>29</v>
      </c>
      <c r="I60">
        <v>42</v>
      </c>
      <c r="J60">
        <v>7.3</v>
      </c>
      <c r="K60">
        <v>0.16</v>
      </c>
      <c r="L60">
        <v>0.2</v>
      </c>
      <c r="M60">
        <v>12.5</v>
      </c>
      <c r="N60">
        <v>0.8</v>
      </c>
      <c r="O60" t="s">
        <v>135</v>
      </c>
      <c r="P60" s="379">
        <v>40988</v>
      </c>
      <c r="Q60" t="s">
        <v>136</v>
      </c>
      <c r="R60" t="s">
        <v>733</v>
      </c>
      <c r="S60" t="s">
        <v>537</v>
      </c>
      <c r="T60" t="s">
        <v>182</v>
      </c>
      <c r="U60"/>
    </row>
    <row r="61" spans="1:21" x14ac:dyDescent="0.25">
      <c r="A61">
        <v>587337</v>
      </c>
      <c r="B61" t="s">
        <v>639</v>
      </c>
      <c r="C61">
        <v>11</v>
      </c>
      <c r="D61">
        <v>-8</v>
      </c>
      <c r="E61">
        <v>0</v>
      </c>
      <c r="F61">
        <v>5</v>
      </c>
      <c r="G61">
        <v>2</v>
      </c>
      <c r="H61">
        <v>29</v>
      </c>
      <c r="I61">
        <v>42</v>
      </c>
      <c r="J61">
        <v>7.3</v>
      </c>
      <c r="K61">
        <v>0.16</v>
      </c>
      <c r="L61">
        <v>0.21</v>
      </c>
      <c r="M61">
        <v>12.5</v>
      </c>
      <c r="N61">
        <v>0.8</v>
      </c>
      <c r="O61" t="s">
        <v>135</v>
      </c>
      <c r="P61" s="379">
        <v>41467</v>
      </c>
      <c r="Q61" t="s">
        <v>136</v>
      </c>
      <c r="R61" t="s">
        <v>993</v>
      </c>
      <c r="S61" t="s">
        <v>149</v>
      </c>
      <c r="T61" t="s">
        <v>182</v>
      </c>
      <c r="U61"/>
    </row>
    <row r="62" spans="1:21" x14ac:dyDescent="0.25">
      <c r="A62">
        <v>140673</v>
      </c>
      <c r="B62" t="s">
        <v>165</v>
      </c>
      <c r="C62">
        <v>15</v>
      </c>
      <c r="D62">
        <v>-5</v>
      </c>
      <c r="E62">
        <v>2</v>
      </c>
      <c r="F62">
        <v>7</v>
      </c>
      <c r="G62">
        <v>2</v>
      </c>
      <c r="H62">
        <v>33</v>
      </c>
      <c r="I62">
        <v>42</v>
      </c>
      <c r="J62">
        <v>7.2</v>
      </c>
      <c r="K62">
        <v>0.16</v>
      </c>
      <c r="L62">
        <v>0.22</v>
      </c>
      <c r="M62">
        <v>11.6</v>
      </c>
      <c r="N62">
        <v>0.9</v>
      </c>
      <c r="O62" t="s">
        <v>135</v>
      </c>
      <c r="P62" s="379">
        <v>36790</v>
      </c>
      <c r="Q62" t="s">
        <v>136</v>
      </c>
      <c r="R62" t="s">
        <v>767</v>
      </c>
      <c r="S62" t="s">
        <v>152</v>
      </c>
      <c r="T62" t="s">
        <v>178</v>
      </c>
      <c r="U62"/>
    </row>
    <row r="63" spans="1:21" x14ac:dyDescent="0.25">
      <c r="A63">
        <v>629543</v>
      </c>
      <c r="B63" t="s">
        <v>1317</v>
      </c>
      <c r="C63">
        <v>16</v>
      </c>
      <c r="D63">
        <v>-5</v>
      </c>
      <c r="E63">
        <v>3</v>
      </c>
      <c r="F63">
        <v>8</v>
      </c>
      <c r="G63">
        <v>2</v>
      </c>
      <c r="H63">
        <v>31</v>
      </c>
      <c r="I63">
        <v>41</v>
      </c>
      <c r="J63">
        <v>7.1</v>
      </c>
      <c r="K63">
        <v>0.16</v>
      </c>
      <c r="L63">
        <v>0.2</v>
      </c>
      <c r="M63">
        <v>11.7</v>
      </c>
      <c r="N63">
        <v>0.9</v>
      </c>
      <c r="O63" t="s">
        <v>135</v>
      </c>
      <c r="P63" s="379">
        <v>36790</v>
      </c>
      <c r="Q63" t="s">
        <v>136</v>
      </c>
      <c r="R63" t="s">
        <v>1006</v>
      </c>
      <c r="S63" t="s">
        <v>537</v>
      </c>
      <c r="T63" t="s">
        <v>178</v>
      </c>
      <c r="U63"/>
    </row>
    <row r="64" spans="1:21" x14ac:dyDescent="0.25">
      <c r="A64">
        <v>443721</v>
      </c>
      <c r="B64" t="s">
        <v>168</v>
      </c>
      <c r="C64">
        <v>7</v>
      </c>
      <c r="D64">
        <v>1</v>
      </c>
      <c r="E64">
        <v>4</v>
      </c>
      <c r="F64">
        <v>7</v>
      </c>
      <c r="G64">
        <v>8</v>
      </c>
      <c r="H64">
        <v>20</v>
      </c>
      <c r="I64">
        <v>36</v>
      </c>
      <c r="J64">
        <v>6.4</v>
      </c>
      <c r="K64">
        <v>0.16</v>
      </c>
      <c r="L64">
        <v>0.28000000000000003</v>
      </c>
      <c r="M64">
        <v>6.9</v>
      </c>
      <c r="N64">
        <v>0.9</v>
      </c>
      <c r="O64" t="s">
        <v>169</v>
      </c>
      <c r="P64" s="379">
        <v>36790</v>
      </c>
      <c r="Q64" t="s">
        <v>57</v>
      </c>
      <c r="R64" t="s">
        <v>903</v>
      </c>
      <c r="S64" t="s">
        <v>170</v>
      </c>
      <c r="T64" t="s">
        <v>604</v>
      </c>
      <c r="U64"/>
    </row>
    <row r="65" spans="1:21" x14ac:dyDescent="0.25">
      <c r="A65">
        <v>405704</v>
      </c>
      <c r="B65" t="s">
        <v>520</v>
      </c>
      <c r="C65">
        <v>1</v>
      </c>
      <c r="D65">
        <v>0</v>
      </c>
      <c r="E65">
        <v>1</v>
      </c>
      <c r="F65">
        <v>1</v>
      </c>
      <c r="G65">
        <v>1</v>
      </c>
      <c r="H65">
        <v>-1</v>
      </c>
      <c r="I65">
        <v>22</v>
      </c>
      <c r="J65">
        <v>4</v>
      </c>
      <c r="K65">
        <v>0.16</v>
      </c>
      <c r="L65">
        <v>0.48</v>
      </c>
      <c r="M65">
        <v>1.1000000000000001</v>
      </c>
      <c r="N65">
        <v>0</v>
      </c>
      <c r="O65" t="s">
        <v>135</v>
      </c>
      <c r="P65" s="379">
        <v>42251</v>
      </c>
      <c r="Q65" t="s">
        <v>57</v>
      </c>
      <c r="R65" t="s">
        <v>902</v>
      </c>
      <c r="S65" t="s">
        <v>173</v>
      </c>
      <c r="T65" t="s">
        <v>599</v>
      </c>
      <c r="U65"/>
    </row>
    <row r="66" spans="1:21" x14ac:dyDescent="0.25">
      <c r="A66">
        <v>131409</v>
      </c>
      <c r="B66" t="s">
        <v>1322</v>
      </c>
      <c r="C66">
        <v>3</v>
      </c>
      <c r="D66">
        <v>1</v>
      </c>
      <c r="E66">
        <v>3</v>
      </c>
      <c r="F66">
        <v>3</v>
      </c>
      <c r="G66">
        <v>2</v>
      </c>
      <c r="H66">
        <v>7</v>
      </c>
      <c r="I66">
        <v>17</v>
      </c>
      <c r="J66">
        <v>3.2</v>
      </c>
      <c r="K66">
        <v>0.16</v>
      </c>
      <c r="L66">
        <v>0.65</v>
      </c>
      <c r="M66">
        <v>2.6</v>
      </c>
      <c r="N66">
        <v>0.9</v>
      </c>
      <c r="O66" t="s">
        <v>135</v>
      </c>
      <c r="P66" s="379">
        <v>39540</v>
      </c>
      <c r="Q66" t="s">
        <v>57</v>
      </c>
      <c r="R66" t="s">
        <v>1080</v>
      </c>
      <c r="S66" t="s">
        <v>1323</v>
      </c>
      <c r="T66" t="s">
        <v>601</v>
      </c>
      <c r="U66"/>
    </row>
    <row r="67" spans="1:21" x14ac:dyDescent="0.25">
      <c r="A67">
        <v>648964</v>
      </c>
      <c r="B67" t="s">
        <v>190</v>
      </c>
      <c r="C67">
        <v>3</v>
      </c>
      <c r="D67">
        <v>1</v>
      </c>
      <c r="E67">
        <v>3</v>
      </c>
      <c r="F67">
        <v>3</v>
      </c>
      <c r="G67">
        <v>3</v>
      </c>
      <c r="H67">
        <v>6</v>
      </c>
      <c r="I67">
        <v>15</v>
      </c>
      <c r="J67">
        <v>2.8</v>
      </c>
      <c r="K67">
        <v>0.16</v>
      </c>
      <c r="L67">
        <v>0.65</v>
      </c>
      <c r="M67">
        <v>2.9</v>
      </c>
      <c r="N67">
        <v>0.8</v>
      </c>
      <c r="O67" t="s">
        <v>135</v>
      </c>
      <c r="P67" s="379">
        <v>37004</v>
      </c>
      <c r="Q67" t="s">
        <v>136</v>
      </c>
      <c r="R67" t="s">
        <v>1069</v>
      </c>
      <c r="S67" t="s">
        <v>1323</v>
      </c>
      <c r="T67" t="s">
        <v>601</v>
      </c>
      <c r="U67"/>
    </row>
    <row r="68" spans="1:21" x14ac:dyDescent="0.25">
      <c r="A68">
        <v>242081</v>
      </c>
      <c r="B68" t="s">
        <v>175</v>
      </c>
      <c r="C68">
        <v>2</v>
      </c>
      <c r="D68">
        <v>1</v>
      </c>
      <c r="E68">
        <v>2</v>
      </c>
      <c r="F68">
        <v>2</v>
      </c>
      <c r="G68">
        <v>2</v>
      </c>
      <c r="H68">
        <v>4</v>
      </c>
      <c r="I68">
        <v>10</v>
      </c>
      <c r="J68">
        <v>1.9</v>
      </c>
      <c r="K68">
        <v>0.16</v>
      </c>
      <c r="L68">
        <v>0.52</v>
      </c>
      <c r="M68">
        <v>1.6</v>
      </c>
      <c r="N68">
        <v>1</v>
      </c>
      <c r="O68" t="s">
        <v>135</v>
      </c>
      <c r="P68" s="379">
        <v>37005</v>
      </c>
      <c r="Q68" t="s">
        <v>136</v>
      </c>
      <c r="R68" t="s">
        <v>804</v>
      </c>
      <c r="S68" t="s">
        <v>149</v>
      </c>
      <c r="T68" t="s">
        <v>601</v>
      </c>
      <c r="U68"/>
    </row>
    <row r="69" spans="1:21" x14ac:dyDescent="0.25">
      <c r="A69">
        <v>574582</v>
      </c>
      <c r="B69" t="s">
        <v>1307</v>
      </c>
      <c r="C69">
        <v>1</v>
      </c>
      <c r="D69">
        <v>0</v>
      </c>
      <c r="E69">
        <v>0</v>
      </c>
      <c r="F69">
        <v>1</v>
      </c>
      <c r="G69">
        <v>1</v>
      </c>
      <c r="H69">
        <v>1</v>
      </c>
      <c r="I69">
        <v>3</v>
      </c>
      <c r="J69">
        <v>0.6</v>
      </c>
      <c r="K69">
        <v>0.16</v>
      </c>
      <c r="L69">
        <v>0.3</v>
      </c>
      <c r="M69">
        <v>0.2</v>
      </c>
      <c r="N69">
        <v>3</v>
      </c>
      <c r="O69" t="s">
        <v>135</v>
      </c>
      <c r="P69" s="379">
        <v>41410</v>
      </c>
      <c r="Q69" t="s">
        <v>57</v>
      </c>
      <c r="R69" t="s">
        <v>844</v>
      </c>
      <c r="S69" t="s">
        <v>164</v>
      </c>
      <c r="T69" t="s">
        <v>605</v>
      </c>
      <c r="U69"/>
    </row>
    <row r="70" spans="1:21" x14ac:dyDescent="0.25">
      <c r="A70">
        <v>470104</v>
      </c>
      <c r="B70" t="s">
        <v>621</v>
      </c>
      <c r="C70">
        <v>11</v>
      </c>
      <c r="D70">
        <v>-4</v>
      </c>
      <c r="E70">
        <v>1</v>
      </c>
      <c r="F70">
        <v>1</v>
      </c>
      <c r="G70">
        <v>-3</v>
      </c>
      <c r="H70">
        <v>44</v>
      </c>
      <c r="I70"/>
      <c r="J70"/>
      <c r="K70">
        <v>0.16</v>
      </c>
      <c r="L70">
        <v>0.2</v>
      </c>
      <c r="M70">
        <v>12.4</v>
      </c>
      <c r="N70">
        <v>1.1000000000000001</v>
      </c>
      <c r="O70" t="s">
        <v>135</v>
      </c>
      <c r="P70" s="379">
        <v>41913</v>
      </c>
      <c r="Q70" t="s">
        <v>136</v>
      </c>
      <c r="R70" t="s">
        <v>893</v>
      </c>
      <c r="S70" t="s">
        <v>149</v>
      </c>
      <c r="T70" t="s">
        <v>167</v>
      </c>
      <c r="U70"/>
    </row>
    <row r="71" spans="1:21" x14ac:dyDescent="0.25">
      <c r="A71">
        <v>978981</v>
      </c>
      <c r="B71" t="s">
        <v>522</v>
      </c>
      <c r="C71">
        <v>10</v>
      </c>
      <c r="D71">
        <v>-8</v>
      </c>
      <c r="E71">
        <v>-2</v>
      </c>
      <c r="F71">
        <v>6</v>
      </c>
      <c r="G71">
        <v>-4</v>
      </c>
      <c r="H71">
        <v>52</v>
      </c>
      <c r="I71"/>
      <c r="J71"/>
      <c r="K71">
        <v>0.16</v>
      </c>
      <c r="L71">
        <v>0.2</v>
      </c>
      <c r="M71">
        <v>13.3</v>
      </c>
      <c r="N71">
        <v>1.1000000000000001</v>
      </c>
      <c r="O71" t="s">
        <v>135</v>
      </c>
      <c r="P71" s="379">
        <v>42269</v>
      </c>
      <c r="Q71" t="s">
        <v>136</v>
      </c>
      <c r="R71" t="s">
        <v>1037</v>
      </c>
      <c r="S71" t="s">
        <v>147</v>
      </c>
      <c r="T71" t="s">
        <v>609</v>
      </c>
      <c r="U71"/>
    </row>
    <row r="72" spans="1:21" x14ac:dyDescent="0.25">
      <c r="A72">
        <v>755504</v>
      </c>
      <c r="B72" t="s">
        <v>524</v>
      </c>
      <c r="C72">
        <v>14</v>
      </c>
      <c r="D72">
        <v>-5</v>
      </c>
      <c r="E72">
        <v>2</v>
      </c>
      <c r="F72">
        <v>7</v>
      </c>
      <c r="G72">
        <v>1</v>
      </c>
      <c r="H72">
        <v>32</v>
      </c>
      <c r="I72"/>
      <c r="J72"/>
      <c r="K72">
        <v>0.16</v>
      </c>
      <c r="L72">
        <v>0.2</v>
      </c>
      <c r="M72">
        <v>11.6</v>
      </c>
      <c r="N72">
        <v>0.9</v>
      </c>
      <c r="O72" t="s">
        <v>135</v>
      </c>
      <c r="P72" s="379">
        <v>42255</v>
      </c>
      <c r="Q72" t="s">
        <v>136</v>
      </c>
      <c r="R72" t="s">
        <v>912</v>
      </c>
      <c r="S72" t="s">
        <v>147</v>
      </c>
      <c r="T72" t="s">
        <v>178</v>
      </c>
      <c r="U72"/>
    </row>
    <row r="73" spans="1:21" x14ac:dyDescent="0.25">
      <c r="A73">
        <v>114819</v>
      </c>
      <c r="B73" t="s">
        <v>529</v>
      </c>
      <c r="C73">
        <v>17</v>
      </c>
      <c r="D73">
        <v>-5</v>
      </c>
      <c r="E73">
        <v>2</v>
      </c>
      <c r="F73">
        <v>6</v>
      </c>
      <c r="G73">
        <v>7</v>
      </c>
      <c r="H73">
        <v>50</v>
      </c>
      <c r="I73"/>
      <c r="J73"/>
      <c r="K73">
        <v>0.16</v>
      </c>
      <c r="L73">
        <v>0.2</v>
      </c>
      <c r="M73">
        <v>12.4</v>
      </c>
      <c r="N73">
        <v>1.2</v>
      </c>
      <c r="O73" t="s">
        <v>135</v>
      </c>
      <c r="P73" s="379">
        <v>42283</v>
      </c>
      <c r="Q73" t="s">
        <v>136</v>
      </c>
      <c r="R73" t="s">
        <v>705</v>
      </c>
      <c r="S73" t="s">
        <v>147</v>
      </c>
      <c r="T73" t="s">
        <v>154</v>
      </c>
      <c r="U73"/>
    </row>
    <row r="74" spans="1:21" x14ac:dyDescent="0.25">
      <c r="A74">
        <v>943159</v>
      </c>
      <c r="B74" t="s">
        <v>530</v>
      </c>
      <c r="C74">
        <v>13</v>
      </c>
      <c r="D74">
        <v>-2</v>
      </c>
      <c r="E74">
        <v>3</v>
      </c>
      <c r="F74">
        <v>3</v>
      </c>
      <c r="G74">
        <v>-1</v>
      </c>
      <c r="H74">
        <v>38</v>
      </c>
      <c r="I74"/>
      <c r="J74"/>
      <c r="K74">
        <v>0.16</v>
      </c>
      <c r="L74">
        <v>0.2</v>
      </c>
      <c r="M74">
        <v>12.2</v>
      </c>
      <c r="N74">
        <v>1</v>
      </c>
      <c r="O74" t="s">
        <v>135</v>
      </c>
      <c r="P74" s="379">
        <v>42283</v>
      </c>
      <c r="Q74" t="s">
        <v>136</v>
      </c>
      <c r="R74" t="s">
        <v>820</v>
      </c>
      <c r="S74" t="s">
        <v>147</v>
      </c>
      <c r="T74" t="s">
        <v>167</v>
      </c>
      <c r="U74"/>
    </row>
    <row r="75" spans="1:21" x14ac:dyDescent="0.25">
      <c r="A75">
        <v>719674</v>
      </c>
      <c r="B75" t="s">
        <v>521</v>
      </c>
      <c r="C75">
        <v>11</v>
      </c>
      <c r="D75">
        <v>-8</v>
      </c>
      <c r="E75">
        <v>0</v>
      </c>
      <c r="F75">
        <v>5</v>
      </c>
      <c r="G75">
        <v>2</v>
      </c>
      <c r="H75">
        <v>29</v>
      </c>
      <c r="I75"/>
      <c r="J75"/>
      <c r="K75">
        <v>0.16</v>
      </c>
      <c r="L75">
        <v>0.2</v>
      </c>
      <c r="M75">
        <v>12.6</v>
      </c>
      <c r="N75">
        <v>0.8</v>
      </c>
      <c r="O75" t="s">
        <v>135</v>
      </c>
      <c r="P75" s="379">
        <v>42255</v>
      </c>
      <c r="Q75" t="s">
        <v>136</v>
      </c>
      <c r="R75" t="s">
        <v>851</v>
      </c>
      <c r="S75" t="s">
        <v>147</v>
      </c>
      <c r="T75" t="s">
        <v>182</v>
      </c>
      <c r="U75"/>
    </row>
    <row r="76" spans="1:21" x14ac:dyDescent="0.25">
      <c r="A76">
        <v>150649</v>
      </c>
      <c r="B76" t="s">
        <v>525</v>
      </c>
      <c r="C76">
        <v>18</v>
      </c>
      <c r="D76">
        <v>-5</v>
      </c>
      <c r="E76">
        <v>3</v>
      </c>
      <c r="F76">
        <v>6</v>
      </c>
      <c r="G76">
        <v>12</v>
      </c>
      <c r="H76">
        <v>61</v>
      </c>
      <c r="I76"/>
      <c r="J76"/>
      <c r="K76">
        <v>0.16</v>
      </c>
      <c r="L76">
        <v>0.2</v>
      </c>
      <c r="M76">
        <v>13.9</v>
      </c>
      <c r="N76">
        <v>1.2</v>
      </c>
      <c r="O76" t="s">
        <v>135</v>
      </c>
      <c r="P76" s="379">
        <v>42269</v>
      </c>
      <c r="Q76" t="s">
        <v>136</v>
      </c>
      <c r="R76" t="s">
        <v>1092</v>
      </c>
      <c r="S76" t="s">
        <v>147</v>
      </c>
      <c r="T76" t="s">
        <v>608</v>
      </c>
      <c r="U76"/>
    </row>
    <row r="77" spans="1:21" x14ac:dyDescent="0.25">
      <c r="A77">
        <v>256362</v>
      </c>
      <c r="B77" t="s">
        <v>210</v>
      </c>
      <c r="C77">
        <v>18</v>
      </c>
      <c r="D77">
        <v>-6</v>
      </c>
      <c r="E77">
        <v>3</v>
      </c>
      <c r="F77">
        <v>6</v>
      </c>
      <c r="G77">
        <v>11</v>
      </c>
      <c r="H77">
        <v>58</v>
      </c>
      <c r="I77">
        <v>115</v>
      </c>
      <c r="J77">
        <v>16.600000000000001</v>
      </c>
      <c r="K77">
        <v>0.17</v>
      </c>
      <c r="L77">
        <v>0.25</v>
      </c>
      <c r="M77">
        <v>14</v>
      </c>
      <c r="N77">
        <v>1.2</v>
      </c>
      <c r="O77" t="s">
        <v>135</v>
      </c>
      <c r="P77" s="379">
        <v>41410</v>
      </c>
      <c r="Q77" t="s">
        <v>136</v>
      </c>
      <c r="R77" t="s">
        <v>1105</v>
      </c>
      <c r="S77" t="s">
        <v>185</v>
      </c>
      <c r="T77" t="s">
        <v>608</v>
      </c>
      <c r="U77"/>
    </row>
    <row r="78" spans="1:21" x14ac:dyDescent="0.25">
      <c r="A78">
        <v>545426</v>
      </c>
      <c r="B78" t="s">
        <v>212</v>
      </c>
      <c r="C78">
        <v>17</v>
      </c>
      <c r="D78">
        <v>-5</v>
      </c>
      <c r="E78">
        <v>2</v>
      </c>
      <c r="F78">
        <v>7</v>
      </c>
      <c r="G78">
        <v>7</v>
      </c>
      <c r="H78">
        <v>50</v>
      </c>
      <c r="I78">
        <v>89</v>
      </c>
      <c r="J78">
        <v>13.5</v>
      </c>
      <c r="K78">
        <v>0.17</v>
      </c>
      <c r="L78">
        <v>0.26</v>
      </c>
      <c r="M78">
        <v>12.5</v>
      </c>
      <c r="N78">
        <v>1.2</v>
      </c>
      <c r="O78" t="s">
        <v>135</v>
      </c>
      <c r="P78" s="379">
        <v>41547</v>
      </c>
      <c r="Q78" t="s">
        <v>136</v>
      </c>
      <c r="R78" t="s">
        <v>701</v>
      </c>
      <c r="S78" t="s">
        <v>185</v>
      </c>
      <c r="T78" t="s">
        <v>154</v>
      </c>
      <c r="U78"/>
    </row>
    <row r="79" spans="1:21" x14ac:dyDescent="0.25">
      <c r="A79">
        <v>407064</v>
      </c>
      <c r="B79" t="s">
        <v>1305</v>
      </c>
      <c r="C79">
        <v>16</v>
      </c>
      <c r="D79">
        <v>-5</v>
      </c>
      <c r="E79">
        <v>2</v>
      </c>
      <c r="F79">
        <v>6</v>
      </c>
      <c r="G79">
        <v>7</v>
      </c>
      <c r="H79">
        <v>49</v>
      </c>
      <c r="I79">
        <v>84</v>
      </c>
      <c r="J79">
        <v>13</v>
      </c>
      <c r="K79">
        <v>0.17</v>
      </c>
      <c r="L79">
        <v>0.32</v>
      </c>
      <c r="M79">
        <v>12.1</v>
      </c>
      <c r="N79">
        <v>1.2</v>
      </c>
      <c r="O79" t="s">
        <v>135</v>
      </c>
      <c r="P79" s="379">
        <v>40343</v>
      </c>
      <c r="Q79" t="s">
        <v>136</v>
      </c>
      <c r="R79" t="s">
        <v>828</v>
      </c>
      <c r="S79" t="s">
        <v>152</v>
      </c>
      <c r="T79" t="s">
        <v>154</v>
      </c>
      <c r="U79"/>
    </row>
    <row r="80" spans="1:21" x14ac:dyDescent="0.25">
      <c r="A80">
        <v>582791</v>
      </c>
      <c r="B80" t="s">
        <v>213</v>
      </c>
      <c r="C80">
        <v>11</v>
      </c>
      <c r="D80">
        <v>-4</v>
      </c>
      <c r="E80">
        <v>1</v>
      </c>
      <c r="F80">
        <v>1</v>
      </c>
      <c r="G80">
        <v>-3</v>
      </c>
      <c r="H80">
        <v>38</v>
      </c>
      <c r="I80">
        <v>82</v>
      </c>
      <c r="J80">
        <v>12.7</v>
      </c>
      <c r="K80">
        <v>0.17</v>
      </c>
      <c r="L80">
        <v>0.26</v>
      </c>
      <c r="M80">
        <v>12.4</v>
      </c>
      <c r="N80">
        <v>1</v>
      </c>
      <c r="O80" t="s">
        <v>135</v>
      </c>
      <c r="P80" s="379">
        <v>36790</v>
      </c>
      <c r="Q80" t="s">
        <v>136</v>
      </c>
      <c r="R80" t="s">
        <v>689</v>
      </c>
      <c r="S80" t="s">
        <v>185</v>
      </c>
      <c r="T80" t="s">
        <v>167</v>
      </c>
      <c r="U80"/>
    </row>
    <row r="81" spans="1:21" x14ac:dyDescent="0.25">
      <c r="A81">
        <v>654459</v>
      </c>
      <c r="B81" t="s">
        <v>211</v>
      </c>
      <c r="C81">
        <v>15</v>
      </c>
      <c r="D81">
        <v>-5</v>
      </c>
      <c r="E81">
        <v>2</v>
      </c>
      <c r="F81">
        <v>8</v>
      </c>
      <c r="G81">
        <v>2</v>
      </c>
      <c r="H81">
        <v>34</v>
      </c>
      <c r="I81">
        <v>43</v>
      </c>
      <c r="J81">
        <v>7.4</v>
      </c>
      <c r="K81">
        <v>0.17</v>
      </c>
      <c r="L81">
        <v>0.26</v>
      </c>
      <c r="M81">
        <v>11.6</v>
      </c>
      <c r="N81">
        <v>0.9</v>
      </c>
      <c r="O81" t="s">
        <v>135</v>
      </c>
      <c r="P81" s="379">
        <v>36790</v>
      </c>
      <c r="Q81" t="s">
        <v>136</v>
      </c>
      <c r="R81" t="s">
        <v>1013</v>
      </c>
      <c r="S81" t="s">
        <v>185</v>
      </c>
      <c r="T81" t="s">
        <v>178</v>
      </c>
      <c r="U81"/>
    </row>
    <row r="82" spans="1:21" x14ac:dyDescent="0.25">
      <c r="A82">
        <v>292193</v>
      </c>
      <c r="B82" t="s">
        <v>206</v>
      </c>
      <c r="C82">
        <v>12</v>
      </c>
      <c r="D82">
        <v>-7</v>
      </c>
      <c r="E82">
        <v>1</v>
      </c>
      <c r="F82">
        <v>6</v>
      </c>
      <c r="G82">
        <v>3</v>
      </c>
      <c r="H82">
        <v>30</v>
      </c>
      <c r="I82">
        <v>43</v>
      </c>
      <c r="J82">
        <v>7.4</v>
      </c>
      <c r="K82">
        <v>0.17</v>
      </c>
      <c r="L82">
        <v>0.25</v>
      </c>
      <c r="M82">
        <v>12.3</v>
      </c>
      <c r="N82">
        <v>0.8</v>
      </c>
      <c r="O82" t="s">
        <v>135</v>
      </c>
      <c r="P82" s="379">
        <v>41410</v>
      </c>
      <c r="Q82" t="s">
        <v>136</v>
      </c>
      <c r="R82" t="s">
        <v>726</v>
      </c>
      <c r="S82" t="s">
        <v>185</v>
      </c>
      <c r="T82" t="s">
        <v>182</v>
      </c>
      <c r="U82"/>
    </row>
    <row r="83" spans="1:21" x14ac:dyDescent="0.25">
      <c r="A83">
        <v>496497</v>
      </c>
      <c r="B83" t="s">
        <v>191</v>
      </c>
      <c r="C83">
        <v>2</v>
      </c>
      <c r="D83">
        <v>1</v>
      </c>
      <c r="E83">
        <v>3</v>
      </c>
      <c r="F83">
        <v>2</v>
      </c>
      <c r="G83">
        <v>2</v>
      </c>
      <c r="H83">
        <v>4</v>
      </c>
      <c r="I83">
        <v>13</v>
      </c>
      <c r="J83">
        <v>2.5</v>
      </c>
      <c r="K83">
        <v>0.17</v>
      </c>
      <c r="L83">
        <v>0.55000000000000004</v>
      </c>
      <c r="M83">
        <v>2.2999999999999998</v>
      </c>
      <c r="N83">
        <v>0.7</v>
      </c>
      <c r="O83" t="s">
        <v>135</v>
      </c>
      <c r="P83" s="379">
        <v>37971</v>
      </c>
      <c r="Q83" t="s">
        <v>57</v>
      </c>
      <c r="R83" t="s">
        <v>848</v>
      </c>
      <c r="S83" t="s">
        <v>173</v>
      </c>
      <c r="T83" t="s">
        <v>601</v>
      </c>
      <c r="U83"/>
    </row>
    <row r="84" spans="1:21" x14ac:dyDescent="0.25">
      <c r="A84">
        <v>706275</v>
      </c>
      <c r="B84" t="s">
        <v>626</v>
      </c>
      <c r="C84">
        <v>12</v>
      </c>
      <c r="D84">
        <v>-7</v>
      </c>
      <c r="E84">
        <v>1</v>
      </c>
      <c r="F84">
        <v>6</v>
      </c>
      <c r="G84">
        <v>5</v>
      </c>
      <c r="H84"/>
      <c r="I84"/>
      <c r="J84"/>
      <c r="K84">
        <v>0.17</v>
      </c>
      <c r="L84">
        <v>0.31</v>
      </c>
      <c r="M84"/>
      <c r="N84"/>
      <c r="O84" t="s">
        <v>135</v>
      </c>
      <c r="P84" s="379">
        <v>42758</v>
      </c>
      <c r="Q84" t="s">
        <v>136</v>
      </c>
      <c r="R84" t="s">
        <v>1089</v>
      </c>
      <c r="S84" t="s">
        <v>152</v>
      </c>
      <c r="T84" t="s">
        <v>182</v>
      </c>
      <c r="U84"/>
    </row>
    <row r="85" spans="1:21" x14ac:dyDescent="0.25">
      <c r="A85">
        <v>520692</v>
      </c>
      <c r="B85" t="s">
        <v>181</v>
      </c>
      <c r="C85">
        <v>18</v>
      </c>
      <c r="D85">
        <v>-5</v>
      </c>
      <c r="E85">
        <v>4</v>
      </c>
      <c r="F85">
        <v>8</v>
      </c>
      <c r="G85">
        <v>15</v>
      </c>
      <c r="H85">
        <v>58</v>
      </c>
      <c r="I85">
        <v>123</v>
      </c>
      <c r="J85">
        <v>17.399999999999999</v>
      </c>
      <c r="K85">
        <v>0.18</v>
      </c>
      <c r="L85">
        <v>0.4</v>
      </c>
      <c r="M85">
        <v>13</v>
      </c>
      <c r="N85">
        <v>1.3</v>
      </c>
      <c r="O85" t="s">
        <v>135</v>
      </c>
      <c r="P85" s="379">
        <v>39351</v>
      </c>
      <c r="Q85" t="s">
        <v>136</v>
      </c>
      <c r="R85" t="s">
        <v>1134</v>
      </c>
      <c r="S85" t="s">
        <v>144</v>
      </c>
      <c r="T85" t="s">
        <v>608</v>
      </c>
      <c r="U85"/>
    </row>
    <row r="86" spans="1:21" x14ac:dyDescent="0.25">
      <c r="A86">
        <v>269357</v>
      </c>
      <c r="B86" t="s">
        <v>207</v>
      </c>
      <c r="C86">
        <v>19</v>
      </c>
      <c r="D86">
        <v>-3</v>
      </c>
      <c r="E86">
        <v>5</v>
      </c>
      <c r="F86">
        <v>12</v>
      </c>
      <c r="G86">
        <v>9</v>
      </c>
      <c r="H86">
        <v>43</v>
      </c>
      <c r="I86">
        <v>93</v>
      </c>
      <c r="J86">
        <v>14.1</v>
      </c>
      <c r="K86">
        <v>0.18</v>
      </c>
      <c r="L86">
        <v>0.4</v>
      </c>
      <c r="M86">
        <v>13.1</v>
      </c>
      <c r="N86">
        <v>1</v>
      </c>
      <c r="O86" t="s">
        <v>135</v>
      </c>
      <c r="P86" s="379">
        <v>38124</v>
      </c>
      <c r="Q86" t="s">
        <v>136</v>
      </c>
      <c r="R86" t="s">
        <v>678</v>
      </c>
      <c r="S86" t="s">
        <v>144</v>
      </c>
      <c r="T86" t="s">
        <v>208</v>
      </c>
      <c r="U86"/>
    </row>
    <row r="87" spans="1:21" x14ac:dyDescent="0.25">
      <c r="A87">
        <v>908277</v>
      </c>
      <c r="B87" t="s">
        <v>179</v>
      </c>
      <c r="C87">
        <v>17</v>
      </c>
      <c r="D87">
        <v>-5</v>
      </c>
      <c r="E87">
        <v>3</v>
      </c>
      <c r="F87">
        <v>8</v>
      </c>
      <c r="G87">
        <v>9</v>
      </c>
      <c r="H87">
        <v>48</v>
      </c>
      <c r="I87">
        <v>87</v>
      </c>
      <c r="J87">
        <v>13.3</v>
      </c>
      <c r="K87">
        <v>0.18</v>
      </c>
      <c r="L87">
        <v>0.4</v>
      </c>
      <c r="M87">
        <v>11.5</v>
      </c>
      <c r="N87">
        <v>1.2</v>
      </c>
      <c r="O87" t="s">
        <v>135</v>
      </c>
      <c r="P87" s="379">
        <v>37229</v>
      </c>
      <c r="Q87" t="s">
        <v>136</v>
      </c>
      <c r="R87" t="s">
        <v>719</v>
      </c>
      <c r="S87" t="s">
        <v>144</v>
      </c>
      <c r="T87" t="s">
        <v>154</v>
      </c>
      <c r="U87"/>
    </row>
    <row r="88" spans="1:21" x14ac:dyDescent="0.25">
      <c r="A88">
        <v>785907</v>
      </c>
      <c r="B88" t="s">
        <v>217</v>
      </c>
      <c r="C88">
        <v>17</v>
      </c>
      <c r="D88">
        <v>-5</v>
      </c>
      <c r="E88">
        <v>2</v>
      </c>
      <c r="F88">
        <v>7</v>
      </c>
      <c r="G88">
        <v>7</v>
      </c>
      <c r="H88">
        <v>51</v>
      </c>
      <c r="I88">
        <v>86</v>
      </c>
      <c r="J88">
        <v>13.2</v>
      </c>
      <c r="K88">
        <v>0.18</v>
      </c>
      <c r="L88">
        <v>0.4</v>
      </c>
      <c r="M88">
        <v>12.5</v>
      </c>
      <c r="N88">
        <v>1.2</v>
      </c>
      <c r="O88" t="s">
        <v>135</v>
      </c>
      <c r="P88" s="379">
        <v>41607</v>
      </c>
      <c r="Q88" t="s">
        <v>136</v>
      </c>
      <c r="R88" t="s">
        <v>1251</v>
      </c>
      <c r="S88" t="s">
        <v>537</v>
      </c>
      <c r="T88" t="s">
        <v>154</v>
      </c>
      <c r="U88"/>
    </row>
    <row r="89" spans="1:21" x14ac:dyDescent="0.25">
      <c r="A89">
        <v>941096</v>
      </c>
      <c r="B89" t="s">
        <v>187</v>
      </c>
      <c r="C89">
        <v>17</v>
      </c>
      <c r="D89">
        <v>-6</v>
      </c>
      <c r="E89">
        <v>3</v>
      </c>
      <c r="F89">
        <v>6</v>
      </c>
      <c r="G89">
        <v>10</v>
      </c>
      <c r="H89">
        <v>50</v>
      </c>
      <c r="I89">
        <v>85</v>
      </c>
      <c r="J89">
        <v>13.1</v>
      </c>
      <c r="K89">
        <v>0.18</v>
      </c>
      <c r="L89">
        <v>0.4</v>
      </c>
      <c r="M89">
        <v>12.9</v>
      </c>
      <c r="N89">
        <v>1.1000000000000001</v>
      </c>
      <c r="O89" t="s">
        <v>135</v>
      </c>
      <c r="P89" s="379">
        <v>36790</v>
      </c>
      <c r="Q89" t="s">
        <v>136</v>
      </c>
      <c r="R89" t="s">
        <v>672</v>
      </c>
      <c r="S89" t="s">
        <v>147</v>
      </c>
      <c r="T89" t="s">
        <v>154</v>
      </c>
      <c r="U89"/>
    </row>
    <row r="90" spans="1:21" x14ac:dyDescent="0.25">
      <c r="A90">
        <v>823096</v>
      </c>
      <c r="B90" t="s">
        <v>203</v>
      </c>
      <c r="C90">
        <v>12</v>
      </c>
      <c r="D90">
        <v>-5</v>
      </c>
      <c r="E90">
        <v>0</v>
      </c>
      <c r="F90">
        <v>5</v>
      </c>
      <c r="G90">
        <v>0</v>
      </c>
      <c r="H90">
        <v>43</v>
      </c>
      <c r="I90">
        <v>67</v>
      </c>
      <c r="J90">
        <v>10.8</v>
      </c>
      <c r="K90">
        <v>0.18</v>
      </c>
      <c r="L90">
        <v>0.4</v>
      </c>
      <c r="M90">
        <v>11.4</v>
      </c>
      <c r="N90">
        <v>1.1000000000000001</v>
      </c>
      <c r="O90" t="s">
        <v>135</v>
      </c>
      <c r="P90" s="379">
        <v>39716</v>
      </c>
      <c r="Q90" t="s">
        <v>136</v>
      </c>
      <c r="R90" t="s">
        <v>1028</v>
      </c>
      <c r="S90" t="s">
        <v>144</v>
      </c>
      <c r="T90" t="s">
        <v>609</v>
      </c>
      <c r="U90"/>
    </row>
    <row r="91" spans="1:21" x14ac:dyDescent="0.25">
      <c r="A91">
        <v>785022</v>
      </c>
      <c r="B91" t="s">
        <v>49</v>
      </c>
      <c r="C91">
        <v>11</v>
      </c>
      <c r="D91">
        <v>-7</v>
      </c>
      <c r="E91">
        <v>0</v>
      </c>
      <c r="F91">
        <v>3</v>
      </c>
      <c r="G91">
        <v>2</v>
      </c>
      <c r="H91">
        <v>42</v>
      </c>
      <c r="I91">
        <v>66</v>
      </c>
      <c r="J91">
        <v>10.7</v>
      </c>
      <c r="K91">
        <v>0.18</v>
      </c>
      <c r="L91">
        <v>0.42</v>
      </c>
      <c r="M91">
        <v>11.8</v>
      </c>
      <c r="N91">
        <v>1.1000000000000001</v>
      </c>
      <c r="O91" t="s">
        <v>135</v>
      </c>
      <c r="P91" s="379">
        <v>36790</v>
      </c>
      <c r="Q91" t="s">
        <v>136</v>
      </c>
      <c r="R91" t="s">
        <v>863</v>
      </c>
      <c r="S91" t="s">
        <v>147</v>
      </c>
      <c r="T91" t="s">
        <v>590</v>
      </c>
      <c r="U91"/>
    </row>
    <row r="92" spans="1:21" x14ac:dyDescent="0.25">
      <c r="A92">
        <v>844522</v>
      </c>
      <c r="B92" t="s">
        <v>189</v>
      </c>
      <c r="C92">
        <v>13</v>
      </c>
      <c r="D92">
        <v>-6</v>
      </c>
      <c r="E92">
        <v>1</v>
      </c>
      <c r="F92">
        <v>5</v>
      </c>
      <c r="G92">
        <v>4</v>
      </c>
      <c r="H92">
        <v>40</v>
      </c>
      <c r="I92">
        <v>65</v>
      </c>
      <c r="J92">
        <v>10.5</v>
      </c>
      <c r="K92">
        <v>0.18</v>
      </c>
      <c r="L92">
        <v>0.41</v>
      </c>
      <c r="M92">
        <v>11</v>
      </c>
      <c r="N92">
        <v>1.1000000000000001</v>
      </c>
      <c r="O92" t="s">
        <v>135</v>
      </c>
      <c r="P92" s="379">
        <v>36790</v>
      </c>
      <c r="Q92" t="s">
        <v>136</v>
      </c>
      <c r="R92" t="s">
        <v>860</v>
      </c>
      <c r="S92" t="s">
        <v>152</v>
      </c>
      <c r="T92" t="s">
        <v>586</v>
      </c>
      <c r="U92"/>
    </row>
    <row r="93" spans="1:21" x14ac:dyDescent="0.25">
      <c r="A93">
        <v>498972</v>
      </c>
      <c r="B93" t="s">
        <v>197</v>
      </c>
      <c r="C93">
        <v>13</v>
      </c>
      <c r="D93">
        <v>-6</v>
      </c>
      <c r="E93">
        <v>1</v>
      </c>
      <c r="F93">
        <v>5</v>
      </c>
      <c r="G93">
        <v>4</v>
      </c>
      <c r="H93">
        <v>39</v>
      </c>
      <c r="I93">
        <v>64</v>
      </c>
      <c r="J93">
        <v>10.4</v>
      </c>
      <c r="K93">
        <v>0.18</v>
      </c>
      <c r="L93">
        <v>0.41</v>
      </c>
      <c r="M93">
        <v>11</v>
      </c>
      <c r="N93">
        <v>1.1000000000000001</v>
      </c>
      <c r="O93" t="s">
        <v>135</v>
      </c>
      <c r="P93" s="379">
        <v>36790</v>
      </c>
      <c r="Q93" t="s">
        <v>136</v>
      </c>
      <c r="R93" t="s">
        <v>859</v>
      </c>
      <c r="S93" t="s">
        <v>152</v>
      </c>
      <c r="T93" t="s">
        <v>586</v>
      </c>
      <c r="U93"/>
    </row>
    <row r="94" spans="1:21" x14ac:dyDescent="0.25">
      <c r="A94">
        <v>296152</v>
      </c>
      <c r="B94" t="s">
        <v>183</v>
      </c>
      <c r="C94">
        <v>14</v>
      </c>
      <c r="D94">
        <v>-6</v>
      </c>
      <c r="E94">
        <v>2</v>
      </c>
      <c r="F94">
        <v>6</v>
      </c>
      <c r="G94">
        <v>7</v>
      </c>
      <c r="H94">
        <v>39</v>
      </c>
      <c r="I94">
        <v>63</v>
      </c>
      <c r="J94">
        <v>10.3</v>
      </c>
      <c r="K94">
        <v>0.18</v>
      </c>
      <c r="L94">
        <v>0.4</v>
      </c>
      <c r="M94">
        <v>11.7</v>
      </c>
      <c r="N94">
        <v>1</v>
      </c>
      <c r="O94" t="s">
        <v>135</v>
      </c>
      <c r="P94" s="379">
        <v>36790</v>
      </c>
      <c r="Q94" t="s">
        <v>136</v>
      </c>
      <c r="R94" t="s">
        <v>976</v>
      </c>
      <c r="S94" t="s">
        <v>147</v>
      </c>
      <c r="T94" t="s">
        <v>590</v>
      </c>
      <c r="U94"/>
    </row>
    <row r="95" spans="1:21" x14ac:dyDescent="0.25">
      <c r="A95">
        <v>463141</v>
      </c>
      <c r="B95" t="s">
        <v>196</v>
      </c>
      <c r="C95">
        <v>12</v>
      </c>
      <c r="D95">
        <v>-5</v>
      </c>
      <c r="E95">
        <v>1</v>
      </c>
      <c r="F95">
        <v>4</v>
      </c>
      <c r="G95">
        <v>4</v>
      </c>
      <c r="H95">
        <v>36</v>
      </c>
      <c r="I95">
        <v>60</v>
      </c>
      <c r="J95">
        <v>9.8000000000000007</v>
      </c>
      <c r="K95">
        <v>0.18</v>
      </c>
      <c r="L95">
        <v>0.41</v>
      </c>
      <c r="M95">
        <v>10.1</v>
      </c>
      <c r="N95">
        <v>1.1000000000000001</v>
      </c>
      <c r="O95" t="s">
        <v>135</v>
      </c>
      <c r="P95" s="379">
        <v>36790</v>
      </c>
      <c r="Q95" t="s">
        <v>136</v>
      </c>
      <c r="R95" t="s">
        <v>890</v>
      </c>
      <c r="S95" t="s">
        <v>152</v>
      </c>
      <c r="T95" t="s">
        <v>586</v>
      </c>
      <c r="U95"/>
    </row>
    <row r="96" spans="1:21" x14ac:dyDescent="0.25">
      <c r="A96">
        <v>645952</v>
      </c>
      <c r="B96" t="s">
        <v>95</v>
      </c>
      <c r="C96">
        <v>12</v>
      </c>
      <c r="D96">
        <v>-7</v>
      </c>
      <c r="E96">
        <v>1</v>
      </c>
      <c r="F96">
        <v>5</v>
      </c>
      <c r="G96">
        <v>3</v>
      </c>
      <c r="H96">
        <v>33</v>
      </c>
      <c r="I96">
        <v>59</v>
      </c>
      <c r="J96">
        <v>9.6999999999999993</v>
      </c>
      <c r="K96">
        <v>0.18</v>
      </c>
      <c r="L96">
        <v>0.4</v>
      </c>
      <c r="M96">
        <v>11.2</v>
      </c>
      <c r="N96">
        <v>0.9</v>
      </c>
      <c r="O96" t="s">
        <v>135</v>
      </c>
      <c r="P96" s="379">
        <v>36790</v>
      </c>
      <c r="Q96" t="s">
        <v>136</v>
      </c>
      <c r="R96" t="s">
        <v>761</v>
      </c>
      <c r="S96" t="s">
        <v>144</v>
      </c>
      <c r="T96" t="s">
        <v>590</v>
      </c>
      <c r="U96"/>
    </row>
    <row r="97" spans="1:21" x14ac:dyDescent="0.25">
      <c r="A97">
        <v>229682</v>
      </c>
      <c r="B97" t="s">
        <v>180</v>
      </c>
      <c r="C97">
        <v>12</v>
      </c>
      <c r="D97">
        <v>-6</v>
      </c>
      <c r="E97">
        <v>1</v>
      </c>
      <c r="F97">
        <v>4</v>
      </c>
      <c r="G97">
        <v>3</v>
      </c>
      <c r="H97">
        <v>31</v>
      </c>
      <c r="I97">
        <v>54</v>
      </c>
      <c r="J97">
        <v>9</v>
      </c>
      <c r="K97">
        <v>0.18</v>
      </c>
      <c r="L97">
        <v>0.4</v>
      </c>
      <c r="M97">
        <v>10.4</v>
      </c>
      <c r="N97">
        <v>1</v>
      </c>
      <c r="O97" t="s">
        <v>135</v>
      </c>
      <c r="P97" s="379">
        <v>40924</v>
      </c>
      <c r="Q97" t="s">
        <v>136</v>
      </c>
      <c r="R97" t="s">
        <v>906</v>
      </c>
      <c r="S97" t="s">
        <v>144</v>
      </c>
      <c r="T97" t="s">
        <v>590</v>
      </c>
      <c r="U97"/>
    </row>
    <row r="98" spans="1:21" x14ac:dyDescent="0.25">
      <c r="A98">
        <v>976928</v>
      </c>
      <c r="B98" t="s">
        <v>186</v>
      </c>
      <c r="C98">
        <v>11</v>
      </c>
      <c r="D98">
        <v>-8</v>
      </c>
      <c r="E98">
        <v>0</v>
      </c>
      <c r="F98">
        <v>4</v>
      </c>
      <c r="G98">
        <v>-1</v>
      </c>
      <c r="H98">
        <v>28</v>
      </c>
      <c r="I98">
        <v>47</v>
      </c>
      <c r="J98">
        <v>8</v>
      </c>
      <c r="K98">
        <v>0.18</v>
      </c>
      <c r="L98">
        <v>0.4</v>
      </c>
      <c r="M98">
        <v>13.1</v>
      </c>
      <c r="N98">
        <v>0.7</v>
      </c>
      <c r="O98" t="s">
        <v>135</v>
      </c>
      <c r="P98" s="379">
        <v>36790</v>
      </c>
      <c r="Q98" t="s">
        <v>136</v>
      </c>
      <c r="R98" t="s">
        <v>756</v>
      </c>
      <c r="S98" t="s">
        <v>147</v>
      </c>
      <c r="T98" t="s">
        <v>182</v>
      </c>
      <c r="U98"/>
    </row>
    <row r="99" spans="1:21" x14ac:dyDescent="0.25">
      <c r="A99">
        <v>224493</v>
      </c>
      <c r="B99" t="s">
        <v>184</v>
      </c>
      <c r="C99">
        <v>9</v>
      </c>
      <c r="D99">
        <v>-4</v>
      </c>
      <c r="E99">
        <v>1</v>
      </c>
      <c r="F99">
        <v>3</v>
      </c>
      <c r="G99">
        <v>2</v>
      </c>
      <c r="H99">
        <v>25</v>
      </c>
      <c r="I99">
        <v>45</v>
      </c>
      <c r="J99">
        <v>7.7</v>
      </c>
      <c r="K99">
        <v>0.18</v>
      </c>
      <c r="L99">
        <v>0.4</v>
      </c>
      <c r="M99">
        <v>8.1999999999999993</v>
      </c>
      <c r="N99">
        <v>1</v>
      </c>
      <c r="O99" t="s">
        <v>135</v>
      </c>
      <c r="P99" s="379">
        <v>36790</v>
      </c>
      <c r="Q99" t="s">
        <v>136</v>
      </c>
      <c r="R99" t="s">
        <v>975</v>
      </c>
      <c r="S99" t="s">
        <v>147</v>
      </c>
      <c r="T99" t="s">
        <v>587</v>
      </c>
      <c r="U99"/>
    </row>
    <row r="100" spans="1:21" x14ac:dyDescent="0.25">
      <c r="A100">
        <v>538462</v>
      </c>
      <c r="B100" t="s">
        <v>177</v>
      </c>
      <c r="C100">
        <v>16</v>
      </c>
      <c r="D100">
        <v>-5</v>
      </c>
      <c r="E100">
        <v>2</v>
      </c>
      <c r="F100">
        <v>8</v>
      </c>
      <c r="G100">
        <v>4</v>
      </c>
      <c r="H100">
        <v>29</v>
      </c>
      <c r="I100">
        <v>44</v>
      </c>
      <c r="J100">
        <v>7.6</v>
      </c>
      <c r="K100">
        <v>0.18</v>
      </c>
      <c r="L100">
        <v>0.4</v>
      </c>
      <c r="M100">
        <v>12.5</v>
      </c>
      <c r="N100">
        <v>0.8</v>
      </c>
      <c r="O100" t="s">
        <v>135</v>
      </c>
      <c r="P100" s="379">
        <v>36790</v>
      </c>
      <c r="Q100" t="s">
        <v>136</v>
      </c>
      <c r="R100" t="s">
        <v>1003</v>
      </c>
      <c r="S100" t="s">
        <v>144</v>
      </c>
      <c r="T100" t="s">
        <v>178</v>
      </c>
      <c r="U100"/>
    </row>
    <row r="101" spans="1:21" x14ac:dyDescent="0.25">
      <c r="A101">
        <v>681783</v>
      </c>
      <c r="B101" t="s">
        <v>96</v>
      </c>
      <c r="C101">
        <v>9</v>
      </c>
      <c r="D101">
        <v>-8</v>
      </c>
      <c r="E101">
        <v>0</v>
      </c>
      <c r="F101">
        <v>3</v>
      </c>
      <c r="G101">
        <v>0</v>
      </c>
      <c r="H101">
        <v>26</v>
      </c>
      <c r="I101">
        <v>43</v>
      </c>
      <c r="J101">
        <v>7.4</v>
      </c>
      <c r="K101">
        <v>0.18</v>
      </c>
      <c r="L101">
        <v>0.4</v>
      </c>
      <c r="M101">
        <v>12.1</v>
      </c>
      <c r="N101">
        <v>0.7</v>
      </c>
      <c r="O101" t="s">
        <v>135</v>
      </c>
      <c r="P101" s="379">
        <v>36790</v>
      </c>
      <c r="Q101" t="s">
        <v>136</v>
      </c>
      <c r="R101" t="s">
        <v>742</v>
      </c>
      <c r="S101" t="s">
        <v>144</v>
      </c>
      <c r="T101" t="s">
        <v>182</v>
      </c>
      <c r="U101"/>
    </row>
    <row r="102" spans="1:21" x14ac:dyDescent="0.25">
      <c r="A102">
        <v>749192</v>
      </c>
      <c r="B102" t="s">
        <v>176</v>
      </c>
      <c r="C102">
        <v>8</v>
      </c>
      <c r="D102">
        <v>-3</v>
      </c>
      <c r="E102">
        <v>1</v>
      </c>
      <c r="F102">
        <v>4</v>
      </c>
      <c r="G102">
        <v>2</v>
      </c>
      <c r="H102">
        <v>22</v>
      </c>
      <c r="I102">
        <v>39</v>
      </c>
      <c r="J102">
        <v>6.8</v>
      </c>
      <c r="K102">
        <v>0.18</v>
      </c>
      <c r="L102">
        <v>0.42</v>
      </c>
      <c r="M102">
        <v>6.4</v>
      </c>
      <c r="N102">
        <v>1.1000000000000001</v>
      </c>
      <c r="O102" t="s">
        <v>135</v>
      </c>
      <c r="P102" s="379">
        <v>36790</v>
      </c>
      <c r="Q102" t="s">
        <v>136</v>
      </c>
      <c r="R102" t="s">
        <v>865</v>
      </c>
      <c r="S102" t="s">
        <v>147</v>
      </c>
      <c r="T102" t="s">
        <v>588</v>
      </c>
      <c r="U102"/>
    </row>
    <row r="103" spans="1:21" x14ac:dyDescent="0.25">
      <c r="A103">
        <v>610121</v>
      </c>
      <c r="B103" t="s">
        <v>94</v>
      </c>
      <c r="C103">
        <v>8</v>
      </c>
      <c r="D103">
        <v>-4</v>
      </c>
      <c r="E103">
        <v>1</v>
      </c>
      <c r="F103">
        <v>3</v>
      </c>
      <c r="G103">
        <v>2</v>
      </c>
      <c r="H103">
        <v>21</v>
      </c>
      <c r="I103">
        <v>38</v>
      </c>
      <c r="J103">
        <v>6.6</v>
      </c>
      <c r="K103">
        <v>0.18</v>
      </c>
      <c r="L103">
        <v>0.4</v>
      </c>
      <c r="M103">
        <v>6.9</v>
      </c>
      <c r="N103">
        <v>1</v>
      </c>
      <c r="O103" t="s">
        <v>135</v>
      </c>
      <c r="P103" s="379">
        <v>36790</v>
      </c>
      <c r="Q103" t="s">
        <v>136</v>
      </c>
      <c r="R103" t="s">
        <v>745</v>
      </c>
      <c r="S103" t="s">
        <v>144</v>
      </c>
      <c r="T103" t="s">
        <v>588</v>
      </c>
      <c r="U103"/>
    </row>
    <row r="104" spans="1:21" x14ac:dyDescent="0.25">
      <c r="A104">
        <v>427310</v>
      </c>
      <c r="B104" t="s">
        <v>195</v>
      </c>
      <c r="C104">
        <v>6</v>
      </c>
      <c r="D104">
        <v>-2</v>
      </c>
      <c r="E104">
        <v>1</v>
      </c>
      <c r="F104">
        <v>2</v>
      </c>
      <c r="G104">
        <v>2</v>
      </c>
      <c r="H104">
        <v>20</v>
      </c>
      <c r="I104">
        <v>36</v>
      </c>
      <c r="J104">
        <v>6.3</v>
      </c>
      <c r="K104">
        <v>0.18</v>
      </c>
      <c r="L104">
        <v>0.41</v>
      </c>
      <c r="M104">
        <v>5.3</v>
      </c>
      <c r="N104">
        <v>1.2</v>
      </c>
      <c r="O104" t="s">
        <v>135</v>
      </c>
      <c r="P104" s="379">
        <v>36790</v>
      </c>
      <c r="Q104" t="s">
        <v>136</v>
      </c>
      <c r="R104" t="s">
        <v>858</v>
      </c>
      <c r="S104" t="s">
        <v>152</v>
      </c>
      <c r="T104" t="s">
        <v>139</v>
      </c>
      <c r="U104"/>
    </row>
    <row r="105" spans="1:21" x14ac:dyDescent="0.25">
      <c r="A105">
        <v>252296</v>
      </c>
      <c r="B105" t="s">
        <v>231</v>
      </c>
      <c r="C105">
        <v>8</v>
      </c>
      <c r="D105">
        <v>0</v>
      </c>
      <c r="E105">
        <v>2</v>
      </c>
      <c r="F105">
        <v>7</v>
      </c>
      <c r="G105">
        <v>7</v>
      </c>
      <c r="H105">
        <v>22</v>
      </c>
      <c r="I105">
        <v>34</v>
      </c>
      <c r="J105">
        <v>6</v>
      </c>
      <c r="K105">
        <v>0.18</v>
      </c>
      <c r="L105">
        <v>0.8</v>
      </c>
      <c r="M105">
        <v>6.4</v>
      </c>
      <c r="N105">
        <v>1.1000000000000001</v>
      </c>
      <c r="O105" t="s">
        <v>226</v>
      </c>
      <c r="P105" s="379">
        <v>39015</v>
      </c>
      <c r="Q105" t="s">
        <v>57</v>
      </c>
      <c r="R105" t="s">
        <v>1060</v>
      </c>
      <c r="S105" t="s">
        <v>150</v>
      </c>
      <c r="T105" t="s">
        <v>599</v>
      </c>
      <c r="U105"/>
    </row>
    <row r="106" spans="1:21" x14ac:dyDescent="0.25">
      <c r="A106">
        <v>391482</v>
      </c>
      <c r="B106" t="s">
        <v>194</v>
      </c>
      <c r="C106">
        <v>4</v>
      </c>
      <c r="D106">
        <v>-1</v>
      </c>
      <c r="E106">
        <v>1</v>
      </c>
      <c r="F106">
        <v>2</v>
      </c>
      <c r="G106">
        <v>1</v>
      </c>
      <c r="H106">
        <v>11</v>
      </c>
      <c r="I106">
        <v>21</v>
      </c>
      <c r="J106">
        <v>4</v>
      </c>
      <c r="K106">
        <v>0.18</v>
      </c>
      <c r="L106">
        <v>0.41</v>
      </c>
      <c r="M106">
        <v>3.2</v>
      </c>
      <c r="N106">
        <v>1.2</v>
      </c>
      <c r="O106" t="s">
        <v>135</v>
      </c>
      <c r="P106" s="379">
        <v>36790</v>
      </c>
      <c r="Q106" t="s">
        <v>136</v>
      </c>
      <c r="R106" t="s">
        <v>857</v>
      </c>
      <c r="S106" t="s">
        <v>152</v>
      </c>
      <c r="T106" t="s">
        <v>139</v>
      </c>
      <c r="U106"/>
    </row>
    <row r="107" spans="1:21" x14ac:dyDescent="0.25">
      <c r="A107">
        <v>844100</v>
      </c>
      <c r="B107" t="s">
        <v>1207</v>
      </c>
      <c r="C107">
        <v>3</v>
      </c>
      <c r="D107">
        <v>1</v>
      </c>
      <c r="E107">
        <v>3</v>
      </c>
      <c r="F107">
        <v>3</v>
      </c>
      <c r="G107">
        <v>2</v>
      </c>
      <c r="H107">
        <v>6</v>
      </c>
      <c r="I107">
        <v>15</v>
      </c>
      <c r="J107">
        <v>2.9</v>
      </c>
      <c r="K107">
        <v>0.18</v>
      </c>
      <c r="L107">
        <v>0.52</v>
      </c>
      <c r="M107">
        <v>2.6</v>
      </c>
      <c r="N107">
        <v>0.9</v>
      </c>
      <c r="O107" t="s">
        <v>135</v>
      </c>
      <c r="P107" s="379">
        <v>43215</v>
      </c>
      <c r="Q107" t="s">
        <v>136</v>
      </c>
      <c r="R107" t="s">
        <v>1213</v>
      </c>
      <c r="S107" t="s">
        <v>1269</v>
      </c>
      <c r="T107" t="s">
        <v>601</v>
      </c>
      <c r="U107"/>
    </row>
    <row r="108" spans="1:21" x14ac:dyDescent="0.25">
      <c r="A108">
        <v>840090</v>
      </c>
      <c r="B108" t="s">
        <v>1350</v>
      </c>
      <c r="C108">
        <v>3</v>
      </c>
      <c r="D108">
        <v>0</v>
      </c>
      <c r="E108">
        <v>1</v>
      </c>
      <c r="F108">
        <v>3</v>
      </c>
      <c r="G108">
        <v>2</v>
      </c>
      <c r="H108">
        <v>5</v>
      </c>
      <c r="I108">
        <v>10</v>
      </c>
      <c r="J108">
        <v>2</v>
      </c>
      <c r="K108">
        <v>0.18</v>
      </c>
      <c r="L108">
        <v>0.78</v>
      </c>
      <c r="M108">
        <v>1.7</v>
      </c>
      <c r="N108">
        <v>1.1000000000000001</v>
      </c>
      <c r="O108" t="s">
        <v>135</v>
      </c>
      <c r="P108" s="379">
        <v>41597</v>
      </c>
      <c r="Q108" t="s">
        <v>57</v>
      </c>
      <c r="R108" t="s">
        <v>883</v>
      </c>
      <c r="S108" t="s">
        <v>1323</v>
      </c>
      <c r="T108" t="s">
        <v>595</v>
      </c>
      <c r="U108"/>
    </row>
    <row r="109" spans="1:21" x14ac:dyDescent="0.25">
      <c r="A109">
        <v>524702</v>
      </c>
      <c r="B109" t="s">
        <v>1341</v>
      </c>
      <c r="C109">
        <v>2</v>
      </c>
      <c r="D109">
        <v>1</v>
      </c>
      <c r="E109">
        <v>2</v>
      </c>
      <c r="F109">
        <v>2</v>
      </c>
      <c r="G109">
        <v>1</v>
      </c>
      <c r="H109">
        <v>5</v>
      </c>
      <c r="I109">
        <v>8</v>
      </c>
      <c r="J109">
        <v>1.6</v>
      </c>
      <c r="K109">
        <v>0.18</v>
      </c>
      <c r="L109">
        <v>0.75</v>
      </c>
      <c r="M109">
        <v>2</v>
      </c>
      <c r="N109">
        <v>0.9</v>
      </c>
      <c r="O109" t="s">
        <v>135</v>
      </c>
      <c r="P109" s="379">
        <v>42649</v>
      </c>
      <c r="Q109" t="s">
        <v>136</v>
      </c>
      <c r="R109" t="s">
        <v>850</v>
      </c>
      <c r="S109" t="s">
        <v>161</v>
      </c>
      <c r="T109" t="s">
        <v>601</v>
      </c>
      <c r="U109"/>
    </row>
    <row r="110" spans="1:21" x14ac:dyDescent="0.25">
      <c r="A110">
        <v>361733</v>
      </c>
      <c r="B110" t="s">
        <v>1223</v>
      </c>
      <c r="C110">
        <v>0</v>
      </c>
      <c r="D110">
        <v>0</v>
      </c>
      <c r="E110">
        <v>0</v>
      </c>
      <c r="F110">
        <v>0</v>
      </c>
      <c r="G110">
        <v>-1</v>
      </c>
      <c r="H110">
        <v>-2</v>
      </c>
      <c r="I110">
        <v>-2</v>
      </c>
      <c r="J110">
        <v>-0.5</v>
      </c>
      <c r="K110">
        <v>0.18</v>
      </c>
      <c r="L110">
        <v>0.35</v>
      </c>
      <c r="M110">
        <v>0.1</v>
      </c>
      <c r="N110">
        <v>-4.8</v>
      </c>
      <c r="O110" t="s">
        <v>135</v>
      </c>
      <c r="P110" s="379">
        <v>36790</v>
      </c>
      <c r="Q110" t="s">
        <v>136</v>
      </c>
      <c r="R110" t="s">
        <v>786</v>
      </c>
      <c r="S110" t="s">
        <v>188</v>
      </c>
      <c r="T110" t="s">
        <v>593</v>
      </c>
      <c r="U110"/>
    </row>
    <row r="111" spans="1:21" x14ac:dyDescent="0.25">
      <c r="A111">
        <v>473702</v>
      </c>
      <c r="B111" t="s">
        <v>560</v>
      </c>
      <c r="C111">
        <v>17</v>
      </c>
      <c r="D111">
        <v>-5</v>
      </c>
      <c r="E111">
        <v>3</v>
      </c>
      <c r="F111">
        <v>7</v>
      </c>
      <c r="G111">
        <v>8</v>
      </c>
      <c r="H111">
        <v>50</v>
      </c>
      <c r="I111"/>
      <c r="J111"/>
      <c r="K111">
        <v>0.18</v>
      </c>
      <c r="L111">
        <v>0.41</v>
      </c>
      <c r="M111">
        <v>12.5</v>
      </c>
      <c r="N111">
        <v>1.2</v>
      </c>
      <c r="O111" t="s">
        <v>135</v>
      </c>
      <c r="P111" s="379">
        <v>42478</v>
      </c>
      <c r="Q111" t="s">
        <v>136</v>
      </c>
      <c r="R111" t="s">
        <v>775</v>
      </c>
      <c r="S111" t="s">
        <v>152</v>
      </c>
      <c r="T111" t="s">
        <v>154</v>
      </c>
      <c r="U111"/>
    </row>
    <row r="112" spans="1:21" x14ac:dyDescent="0.25">
      <c r="A112">
        <v>723270</v>
      </c>
      <c r="B112" t="s">
        <v>630</v>
      </c>
      <c r="C112">
        <v>17</v>
      </c>
      <c r="D112">
        <v>-5</v>
      </c>
      <c r="E112">
        <v>2</v>
      </c>
      <c r="F112">
        <v>6</v>
      </c>
      <c r="G112">
        <v>7</v>
      </c>
      <c r="H112">
        <v>50</v>
      </c>
      <c r="I112">
        <v>88</v>
      </c>
      <c r="J112">
        <v>13.5</v>
      </c>
      <c r="K112">
        <v>0.19</v>
      </c>
      <c r="L112">
        <v>0.31</v>
      </c>
      <c r="M112">
        <v>12.8</v>
      </c>
      <c r="N112">
        <v>1.1000000000000001</v>
      </c>
      <c r="O112" t="s">
        <v>226</v>
      </c>
      <c r="P112" s="379">
        <v>42849</v>
      </c>
      <c r="Q112" t="s">
        <v>57</v>
      </c>
      <c r="R112" t="s">
        <v>928</v>
      </c>
      <c r="S112" t="s">
        <v>332</v>
      </c>
      <c r="T112" t="s">
        <v>154</v>
      </c>
      <c r="U112"/>
    </row>
    <row r="113" spans="1:21" x14ac:dyDescent="0.25">
      <c r="A113">
        <v>359315</v>
      </c>
      <c r="B113" t="s">
        <v>117</v>
      </c>
      <c r="C113">
        <v>13</v>
      </c>
      <c r="D113">
        <v>-5</v>
      </c>
      <c r="E113">
        <v>1</v>
      </c>
      <c r="F113">
        <v>5</v>
      </c>
      <c r="G113">
        <v>3</v>
      </c>
      <c r="H113">
        <v>40</v>
      </c>
      <c r="I113">
        <v>64</v>
      </c>
      <c r="J113">
        <v>10.5</v>
      </c>
      <c r="K113">
        <v>0.19</v>
      </c>
      <c r="L113">
        <v>0.49</v>
      </c>
      <c r="M113">
        <v>11.1</v>
      </c>
      <c r="N113">
        <v>1.1000000000000001</v>
      </c>
      <c r="O113" t="s">
        <v>135</v>
      </c>
      <c r="P113" s="379">
        <v>36790</v>
      </c>
      <c r="Q113" t="s">
        <v>136</v>
      </c>
      <c r="R113" t="s">
        <v>1064</v>
      </c>
      <c r="S113" t="s">
        <v>1323</v>
      </c>
      <c r="T113" t="s">
        <v>586</v>
      </c>
      <c r="U113"/>
    </row>
    <row r="114" spans="1:21" x14ac:dyDescent="0.25">
      <c r="A114">
        <v>287656</v>
      </c>
      <c r="B114" t="s">
        <v>200</v>
      </c>
      <c r="C114">
        <v>13</v>
      </c>
      <c r="D114">
        <v>-5</v>
      </c>
      <c r="E114">
        <v>1</v>
      </c>
      <c r="F114">
        <v>5</v>
      </c>
      <c r="G114">
        <v>3</v>
      </c>
      <c r="H114">
        <v>40</v>
      </c>
      <c r="I114">
        <v>64</v>
      </c>
      <c r="J114">
        <v>10.4</v>
      </c>
      <c r="K114">
        <v>0.19</v>
      </c>
      <c r="L114">
        <v>0.49</v>
      </c>
      <c r="M114">
        <v>11.1</v>
      </c>
      <c r="N114">
        <v>1.1000000000000001</v>
      </c>
      <c r="O114" t="s">
        <v>135</v>
      </c>
      <c r="P114" s="379">
        <v>36790</v>
      </c>
      <c r="Q114" t="s">
        <v>136</v>
      </c>
      <c r="R114" t="s">
        <v>1065</v>
      </c>
      <c r="S114" t="s">
        <v>1323</v>
      </c>
      <c r="T114" t="s">
        <v>586</v>
      </c>
      <c r="U114"/>
    </row>
    <row r="115" spans="1:21" x14ac:dyDescent="0.25">
      <c r="A115">
        <v>215996</v>
      </c>
      <c r="B115" t="s">
        <v>201</v>
      </c>
      <c r="C115">
        <v>13</v>
      </c>
      <c r="D115">
        <v>-5</v>
      </c>
      <c r="E115">
        <v>1</v>
      </c>
      <c r="F115">
        <v>5</v>
      </c>
      <c r="G115">
        <v>3</v>
      </c>
      <c r="H115">
        <v>40</v>
      </c>
      <c r="I115">
        <v>64</v>
      </c>
      <c r="J115">
        <v>10.4</v>
      </c>
      <c r="K115">
        <v>0.19</v>
      </c>
      <c r="L115">
        <v>0.49</v>
      </c>
      <c r="M115">
        <v>11.1</v>
      </c>
      <c r="N115">
        <v>1.1000000000000001</v>
      </c>
      <c r="O115" t="s">
        <v>135</v>
      </c>
      <c r="P115" s="379">
        <v>36790</v>
      </c>
      <c r="Q115" t="s">
        <v>136</v>
      </c>
      <c r="R115" t="s">
        <v>1066</v>
      </c>
      <c r="S115" t="s">
        <v>1323</v>
      </c>
      <c r="T115" t="s">
        <v>586</v>
      </c>
      <c r="U115"/>
    </row>
    <row r="116" spans="1:21" x14ac:dyDescent="0.25">
      <c r="A116">
        <v>596429</v>
      </c>
      <c r="B116" t="s">
        <v>202</v>
      </c>
      <c r="C116">
        <v>14</v>
      </c>
      <c r="D116">
        <v>-6</v>
      </c>
      <c r="E116">
        <v>1</v>
      </c>
      <c r="F116">
        <v>5</v>
      </c>
      <c r="G116">
        <v>4</v>
      </c>
      <c r="H116">
        <v>39</v>
      </c>
      <c r="I116">
        <v>63</v>
      </c>
      <c r="J116">
        <v>10.199999999999999</v>
      </c>
      <c r="K116">
        <v>0.19</v>
      </c>
      <c r="L116">
        <v>0.49</v>
      </c>
      <c r="M116">
        <v>11.1</v>
      </c>
      <c r="N116">
        <v>1.1000000000000001</v>
      </c>
      <c r="O116" t="s">
        <v>135</v>
      </c>
      <c r="P116" s="379">
        <v>41802</v>
      </c>
      <c r="Q116" t="s">
        <v>136</v>
      </c>
      <c r="R116" t="s">
        <v>1067</v>
      </c>
      <c r="S116" t="s">
        <v>1323</v>
      </c>
      <c r="T116" t="s">
        <v>586</v>
      </c>
      <c r="U116"/>
    </row>
    <row r="117" spans="1:21" x14ac:dyDescent="0.25">
      <c r="A117">
        <v>459891</v>
      </c>
      <c r="B117" t="s">
        <v>238</v>
      </c>
      <c r="C117">
        <v>11</v>
      </c>
      <c r="D117">
        <v>-7</v>
      </c>
      <c r="E117">
        <v>-2</v>
      </c>
      <c r="F117">
        <v>6</v>
      </c>
      <c r="G117">
        <v>-1</v>
      </c>
      <c r="H117">
        <v>49</v>
      </c>
      <c r="I117">
        <v>50</v>
      </c>
      <c r="J117">
        <v>8.5</v>
      </c>
      <c r="K117">
        <v>0.19</v>
      </c>
      <c r="L117">
        <v>0.46</v>
      </c>
      <c r="M117">
        <v>12.6</v>
      </c>
      <c r="N117">
        <v>1.1000000000000001</v>
      </c>
      <c r="O117" t="s">
        <v>135</v>
      </c>
      <c r="P117" s="379">
        <v>40886</v>
      </c>
      <c r="Q117" t="s">
        <v>136</v>
      </c>
      <c r="R117" t="s">
        <v>829</v>
      </c>
      <c r="S117" t="s">
        <v>152</v>
      </c>
      <c r="T117" t="s">
        <v>228</v>
      </c>
      <c r="U117"/>
    </row>
    <row r="118" spans="1:21" x14ac:dyDescent="0.25">
      <c r="A118">
        <v>320762</v>
      </c>
      <c r="B118" t="s">
        <v>234</v>
      </c>
      <c r="C118">
        <v>12</v>
      </c>
      <c r="D118">
        <v>-6</v>
      </c>
      <c r="E118">
        <v>0</v>
      </c>
      <c r="F118">
        <v>4</v>
      </c>
      <c r="G118">
        <v>3</v>
      </c>
      <c r="H118">
        <v>34</v>
      </c>
      <c r="I118">
        <v>49</v>
      </c>
      <c r="J118">
        <v>8.3000000000000007</v>
      </c>
      <c r="K118">
        <v>0.19</v>
      </c>
      <c r="L118">
        <v>0.5</v>
      </c>
      <c r="M118">
        <v>11.1</v>
      </c>
      <c r="N118">
        <v>1</v>
      </c>
      <c r="O118" t="s">
        <v>135</v>
      </c>
      <c r="P118" s="379">
        <v>41080</v>
      </c>
      <c r="Q118" t="s">
        <v>136</v>
      </c>
      <c r="R118" t="s">
        <v>774</v>
      </c>
      <c r="S118" t="s">
        <v>147</v>
      </c>
      <c r="T118" t="s">
        <v>586</v>
      </c>
      <c r="U118"/>
    </row>
    <row r="119" spans="1:21" x14ac:dyDescent="0.25">
      <c r="A119">
        <v>747899</v>
      </c>
      <c r="B119" t="s">
        <v>47</v>
      </c>
      <c r="C119">
        <v>12</v>
      </c>
      <c r="D119">
        <v>-5</v>
      </c>
      <c r="E119">
        <v>0</v>
      </c>
      <c r="F119">
        <v>4</v>
      </c>
      <c r="G119">
        <v>3</v>
      </c>
      <c r="H119">
        <v>32</v>
      </c>
      <c r="I119">
        <v>46</v>
      </c>
      <c r="J119">
        <v>7.8</v>
      </c>
      <c r="K119">
        <v>0.19</v>
      </c>
      <c r="L119">
        <v>0.5</v>
      </c>
      <c r="M119">
        <v>10.5</v>
      </c>
      <c r="N119">
        <v>1</v>
      </c>
      <c r="O119" t="s">
        <v>135</v>
      </c>
      <c r="P119" s="379">
        <v>38149</v>
      </c>
      <c r="Q119" t="s">
        <v>136</v>
      </c>
      <c r="R119" t="s">
        <v>974</v>
      </c>
      <c r="S119" t="s">
        <v>147</v>
      </c>
      <c r="T119" t="s">
        <v>586</v>
      </c>
      <c r="U119"/>
    </row>
    <row r="120" spans="1:21" x14ac:dyDescent="0.25">
      <c r="A120">
        <v>783720</v>
      </c>
      <c r="B120" t="s">
        <v>48</v>
      </c>
      <c r="C120">
        <v>12</v>
      </c>
      <c r="D120">
        <v>-5</v>
      </c>
      <c r="E120">
        <v>0</v>
      </c>
      <c r="F120">
        <v>4</v>
      </c>
      <c r="G120">
        <v>3</v>
      </c>
      <c r="H120">
        <v>28</v>
      </c>
      <c r="I120">
        <v>38</v>
      </c>
      <c r="J120">
        <v>6.7</v>
      </c>
      <c r="K120">
        <v>0.19</v>
      </c>
      <c r="L120">
        <v>0.5</v>
      </c>
      <c r="M120">
        <v>10.199999999999999</v>
      </c>
      <c r="N120">
        <v>0.9</v>
      </c>
      <c r="O120" t="s">
        <v>135</v>
      </c>
      <c r="P120" s="379">
        <v>38149</v>
      </c>
      <c r="Q120" t="s">
        <v>136</v>
      </c>
      <c r="R120" t="s">
        <v>926</v>
      </c>
      <c r="S120" t="s">
        <v>147</v>
      </c>
      <c r="T120" t="s">
        <v>586</v>
      </c>
      <c r="U120"/>
    </row>
    <row r="121" spans="1:21" x14ac:dyDescent="0.25">
      <c r="A121">
        <v>430975</v>
      </c>
      <c r="B121" t="s">
        <v>199</v>
      </c>
      <c r="C121">
        <v>6</v>
      </c>
      <c r="D121">
        <v>-3</v>
      </c>
      <c r="E121">
        <v>0</v>
      </c>
      <c r="F121">
        <v>2</v>
      </c>
      <c r="G121">
        <v>0</v>
      </c>
      <c r="H121">
        <v>19</v>
      </c>
      <c r="I121">
        <v>35</v>
      </c>
      <c r="J121">
        <v>6.2</v>
      </c>
      <c r="K121">
        <v>0.19</v>
      </c>
      <c r="L121">
        <v>0.49</v>
      </c>
      <c r="M121">
        <v>6.1</v>
      </c>
      <c r="N121">
        <v>1</v>
      </c>
      <c r="O121" t="s">
        <v>135</v>
      </c>
      <c r="P121" s="379">
        <v>36790</v>
      </c>
      <c r="Q121" t="s">
        <v>136</v>
      </c>
      <c r="R121" t="s">
        <v>1063</v>
      </c>
      <c r="S121" t="s">
        <v>1323</v>
      </c>
      <c r="T121" t="s">
        <v>139</v>
      </c>
      <c r="U121"/>
    </row>
    <row r="122" spans="1:21" x14ac:dyDescent="0.25">
      <c r="A122">
        <v>290072</v>
      </c>
      <c r="B122" t="s">
        <v>198</v>
      </c>
      <c r="C122">
        <v>11</v>
      </c>
      <c r="D122">
        <v>-9</v>
      </c>
      <c r="E122">
        <v>-1</v>
      </c>
      <c r="F122">
        <v>3</v>
      </c>
      <c r="G122">
        <v>1</v>
      </c>
      <c r="H122">
        <v>25</v>
      </c>
      <c r="I122">
        <v>30</v>
      </c>
      <c r="J122">
        <v>5.4</v>
      </c>
      <c r="K122">
        <v>0.19</v>
      </c>
      <c r="L122">
        <v>0.31</v>
      </c>
      <c r="M122">
        <v>13</v>
      </c>
      <c r="N122">
        <v>0.7</v>
      </c>
      <c r="O122" t="s">
        <v>135</v>
      </c>
      <c r="P122" s="379">
        <v>36790</v>
      </c>
      <c r="Q122" t="s">
        <v>136</v>
      </c>
      <c r="R122" t="s">
        <v>724</v>
      </c>
      <c r="S122" t="s">
        <v>220</v>
      </c>
      <c r="T122" t="s">
        <v>182</v>
      </c>
      <c r="U122"/>
    </row>
    <row r="123" spans="1:21" x14ac:dyDescent="0.25">
      <c r="A123">
        <v>819557</v>
      </c>
      <c r="B123" t="s">
        <v>233</v>
      </c>
      <c r="C123">
        <v>8</v>
      </c>
      <c r="D123">
        <v>-4</v>
      </c>
      <c r="E123">
        <v>0</v>
      </c>
      <c r="F123">
        <v>3</v>
      </c>
      <c r="G123">
        <v>2</v>
      </c>
      <c r="H123">
        <v>17</v>
      </c>
      <c r="I123">
        <v>24</v>
      </c>
      <c r="J123">
        <v>4.3</v>
      </c>
      <c r="K123">
        <v>0.19</v>
      </c>
      <c r="L123">
        <v>0.5</v>
      </c>
      <c r="M123">
        <v>6.8</v>
      </c>
      <c r="N123">
        <v>0.9</v>
      </c>
      <c r="O123" t="s">
        <v>135</v>
      </c>
      <c r="P123" s="379">
        <v>38149</v>
      </c>
      <c r="Q123" t="s">
        <v>136</v>
      </c>
      <c r="R123" t="s">
        <v>925</v>
      </c>
      <c r="S123" t="s">
        <v>147</v>
      </c>
      <c r="T123" t="s">
        <v>586</v>
      </c>
      <c r="U123"/>
    </row>
    <row r="124" spans="1:21" x14ac:dyDescent="0.25">
      <c r="A124">
        <v>855387</v>
      </c>
      <c r="B124" t="s">
        <v>232</v>
      </c>
      <c r="C124">
        <v>4</v>
      </c>
      <c r="D124">
        <v>-1</v>
      </c>
      <c r="E124">
        <v>1</v>
      </c>
      <c r="F124">
        <v>2</v>
      </c>
      <c r="G124">
        <v>1</v>
      </c>
      <c r="H124">
        <v>9</v>
      </c>
      <c r="I124">
        <v>15</v>
      </c>
      <c r="J124">
        <v>2.8</v>
      </c>
      <c r="K124">
        <v>0.19</v>
      </c>
      <c r="L124">
        <v>0.5</v>
      </c>
      <c r="M124">
        <v>2.9</v>
      </c>
      <c r="N124">
        <v>1.1000000000000001</v>
      </c>
      <c r="O124" t="s">
        <v>135</v>
      </c>
      <c r="P124" s="379">
        <v>38149</v>
      </c>
      <c r="Q124" t="s">
        <v>136</v>
      </c>
      <c r="R124" t="s">
        <v>924</v>
      </c>
      <c r="S124" t="s">
        <v>147</v>
      </c>
      <c r="T124" t="s">
        <v>139</v>
      </c>
      <c r="U124"/>
    </row>
    <row r="125" spans="1:21" x14ac:dyDescent="0.25">
      <c r="A125">
        <v>502633</v>
      </c>
      <c r="B125" t="s">
        <v>205</v>
      </c>
      <c r="C125">
        <v>3</v>
      </c>
      <c r="D125">
        <v>-1</v>
      </c>
      <c r="E125">
        <v>0</v>
      </c>
      <c r="F125">
        <v>1</v>
      </c>
      <c r="G125">
        <v>0</v>
      </c>
      <c r="H125">
        <v>6</v>
      </c>
      <c r="I125">
        <v>13</v>
      </c>
      <c r="J125">
        <v>2.4</v>
      </c>
      <c r="K125">
        <v>0.19</v>
      </c>
      <c r="L125">
        <v>0.49</v>
      </c>
      <c r="M125">
        <v>2.2000000000000002</v>
      </c>
      <c r="N125">
        <v>1</v>
      </c>
      <c r="O125" t="s">
        <v>135</v>
      </c>
      <c r="P125" s="379">
        <v>36790</v>
      </c>
      <c r="Q125" t="s">
        <v>136</v>
      </c>
      <c r="R125" t="s">
        <v>886</v>
      </c>
      <c r="S125" t="s">
        <v>1323</v>
      </c>
      <c r="T125" t="s">
        <v>139</v>
      </c>
      <c r="U125"/>
    </row>
    <row r="126" spans="1:21" x14ac:dyDescent="0.25">
      <c r="A126">
        <v>660829</v>
      </c>
      <c r="B126" t="s">
        <v>1225</v>
      </c>
      <c r="C126">
        <v>1</v>
      </c>
      <c r="D126">
        <v>0</v>
      </c>
      <c r="E126">
        <v>1</v>
      </c>
      <c r="F126">
        <v>1</v>
      </c>
      <c r="G126">
        <v>1</v>
      </c>
      <c r="H126">
        <v>4</v>
      </c>
      <c r="I126">
        <v>5</v>
      </c>
      <c r="J126">
        <v>0.9</v>
      </c>
      <c r="K126">
        <v>0.19</v>
      </c>
      <c r="L126">
        <v>0.61</v>
      </c>
      <c r="M126">
        <v>0.6</v>
      </c>
      <c r="N126">
        <v>2.9</v>
      </c>
      <c r="O126" t="s">
        <v>135</v>
      </c>
      <c r="P126" s="379">
        <v>41325</v>
      </c>
      <c r="Q126" t="s">
        <v>136</v>
      </c>
      <c r="R126" t="s">
        <v>791</v>
      </c>
      <c r="S126" t="s">
        <v>1269</v>
      </c>
      <c r="T126" t="s">
        <v>593</v>
      </c>
      <c r="U126"/>
    </row>
    <row r="127" spans="1:21" x14ac:dyDescent="0.25">
      <c r="A127">
        <v>434274</v>
      </c>
      <c r="B127" t="s">
        <v>566</v>
      </c>
      <c r="C127">
        <v>11</v>
      </c>
      <c r="D127">
        <v>-7</v>
      </c>
      <c r="E127">
        <v>-1</v>
      </c>
      <c r="F127">
        <v>6</v>
      </c>
      <c r="G127">
        <v>-2</v>
      </c>
      <c r="H127">
        <v>49</v>
      </c>
      <c r="I127"/>
      <c r="J127"/>
      <c r="K127">
        <v>0.19</v>
      </c>
      <c r="L127">
        <v>0.41</v>
      </c>
      <c r="M127">
        <v>12.8</v>
      </c>
      <c r="N127">
        <v>1.1000000000000001</v>
      </c>
      <c r="O127" t="s">
        <v>135</v>
      </c>
      <c r="P127" s="379">
        <v>41913</v>
      </c>
      <c r="Q127" t="s">
        <v>136</v>
      </c>
      <c r="R127" t="s">
        <v>817</v>
      </c>
      <c r="S127" t="s">
        <v>149</v>
      </c>
      <c r="T127" t="s">
        <v>228</v>
      </c>
      <c r="U127"/>
    </row>
    <row r="128" spans="1:21" x14ac:dyDescent="0.25">
      <c r="A128">
        <v>832360</v>
      </c>
      <c r="B128" t="s">
        <v>1185</v>
      </c>
      <c r="C128">
        <v>14</v>
      </c>
      <c r="D128">
        <v>-6</v>
      </c>
      <c r="E128">
        <v>1</v>
      </c>
      <c r="F128">
        <v>6</v>
      </c>
      <c r="G128">
        <v>6</v>
      </c>
      <c r="H128">
        <v>42</v>
      </c>
      <c r="I128">
        <v>67</v>
      </c>
      <c r="J128">
        <v>10.8</v>
      </c>
      <c r="K128">
        <v>0.2</v>
      </c>
      <c r="L128">
        <v>0.5</v>
      </c>
      <c r="M128">
        <v>11</v>
      </c>
      <c r="N128">
        <v>1.1000000000000001</v>
      </c>
      <c r="O128" t="s">
        <v>135</v>
      </c>
      <c r="P128" s="379">
        <v>37111</v>
      </c>
      <c r="Q128" t="s">
        <v>136</v>
      </c>
      <c r="R128" t="s">
        <v>713</v>
      </c>
      <c r="S128" t="s">
        <v>149</v>
      </c>
      <c r="T128" t="s">
        <v>586</v>
      </c>
      <c r="U128"/>
    </row>
    <row r="129" spans="1:21" x14ac:dyDescent="0.25">
      <c r="A129">
        <v>635623</v>
      </c>
      <c r="B129" t="s">
        <v>1183</v>
      </c>
      <c r="C129">
        <v>14</v>
      </c>
      <c r="D129">
        <v>-6</v>
      </c>
      <c r="E129">
        <v>1</v>
      </c>
      <c r="F129">
        <v>6</v>
      </c>
      <c r="G129">
        <v>5</v>
      </c>
      <c r="H129">
        <v>41</v>
      </c>
      <c r="I129">
        <v>66</v>
      </c>
      <c r="J129">
        <v>10.7</v>
      </c>
      <c r="K129">
        <v>0.2</v>
      </c>
      <c r="L129">
        <v>0.5</v>
      </c>
      <c r="M129">
        <v>10.7</v>
      </c>
      <c r="N129">
        <v>1.1000000000000001</v>
      </c>
      <c r="O129" t="s">
        <v>135</v>
      </c>
      <c r="P129" s="379">
        <v>36790</v>
      </c>
      <c r="Q129" t="s">
        <v>136</v>
      </c>
      <c r="R129" t="s">
        <v>778</v>
      </c>
      <c r="S129" t="s">
        <v>149</v>
      </c>
      <c r="T129" t="s">
        <v>586</v>
      </c>
      <c r="U129"/>
    </row>
    <row r="130" spans="1:21" x14ac:dyDescent="0.25">
      <c r="A130">
        <v>671453</v>
      </c>
      <c r="B130" t="s">
        <v>1176</v>
      </c>
      <c r="C130">
        <v>13</v>
      </c>
      <c r="D130">
        <v>-5</v>
      </c>
      <c r="E130">
        <v>1</v>
      </c>
      <c r="F130">
        <v>6</v>
      </c>
      <c r="G130">
        <v>5</v>
      </c>
      <c r="H130">
        <v>40</v>
      </c>
      <c r="I130">
        <v>65</v>
      </c>
      <c r="J130">
        <v>10.5</v>
      </c>
      <c r="K130">
        <v>0.2</v>
      </c>
      <c r="L130">
        <v>0.5</v>
      </c>
      <c r="M130">
        <v>10.199999999999999</v>
      </c>
      <c r="N130">
        <v>1.2</v>
      </c>
      <c r="O130" t="s">
        <v>135</v>
      </c>
      <c r="P130" s="379">
        <v>36790</v>
      </c>
      <c r="Q130" t="s">
        <v>136</v>
      </c>
      <c r="R130" t="s">
        <v>779</v>
      </c>
      <c r="S130" t="s">
        <v>149</v>
      </c>
      <c r="T130" t="s">
        <v>586</v>
      </c>
      <c r="U130"/>
    </row>
    <row r="131" spans="1:21" x14ac:dyDescent="0.25">
      <c r="A131">
        <v>707281</v>
      </c>
      <c r="B131" t="s">
        <v>1181</v>
      </c>
      <c r="C131">
        <v>13</v>
      </c>
      <c r="D131">
        <v>-5</v>
      </c>
      <c r="E131">
        <v>2</v>
      </c>
      <c r="F131">
        <v>6</v>
      </c>
      <c r="G131">
        <v>5</v>
      </c>
      <c r="H131">
        <v>38</v>
      </c>
      <c r="I131">
        <v>63</v>
      </c>
      <c r="J131">
        <v>10.3</v>
      </c>
      <c r="K131">
        <v>0.2</v>
      </c>
      <c r="L131">
        <v>0.51</v>
      </c>
      <c r="M131">
        <v>9.5</v>
      </c>
      <c r="N131">
        <v>1.2</v>
      </c>
      <c r="O131" t="s">
        <v>135</v>
      </c>
      <c r="P131" s="379">
        <v>36790</v>
      </c>
      <c r="Q131" t="s">
        <v>136</v>
      </c>
      <c r="R131" t="s">
        <v>780</v>
      </c>
      <c r="S131" t="s">
        <v>149</v>
      </c>
      <c r="T131" t="s">
        <v>586</v>
      </c>
      <c r="U131"/>
    </row>
    <row r="132" spans="1:21" x14ac:dyDescent="0.25">
      <c r="A132">
        <v>743112</v>
      </c>
      <c r="B132" t="s">
        <v>1182</v>
      </c>
      <c r="C132">
        <v>12</v>
      </c>
      <c r="D132">
        <v>-4</v>
      </c>
      <c r="E132">
        <v>2</v>
      </c>
      <c r="F132">
        <v>6</v>
      </c>
      <c r="G132">
        <v>5</v>
      </c>
      <c r="H132">
        <v>34</v>
      </c>
      <c r="I132">
        <v>59</v>
      </c>
      <c r="J132">
        <v>9.6999999999999993</v>
      </c>
      <c r="K132">
        <v>0.2</v>
      </c>
      <c r="L132">
        <v>0.51</v>
      </c>
      <c r="M132">
        <v>8.4</v>
      </c>
      <c r="N132">
        <v>1.2</v>
      </c>
      <c r="O132" t="s">
        <v>135</v>
      </c>
      <c r="P132" s="379">
        <v>36790</v>
      </c>
      <c r="Q132" t="s">
        <v>136</v>
      </c>
      <c r="R132" t="s">
        <v>781</v>
      </c>
      <c r="S132" t="s">
        <v>149</v>
      </c>
      <c r="T132" t="s">
        <v>586</v>
      </c>
      <c r="U132"/>
    </row>
    <row r="133" spans="1:21" x14ac:dyDescent="0.25">
      <c r="A133">
        <v>778944</v>
      </c>
      <c r="B133" t="s">
        <v>1178</v>
      </c>
      <c r="C133">
        <v>9</v>
      </c>
      <c r="D133">
        <v>-2</v>
      </c>
      <c r="E133">
        <v>2</v>
      </c>
      <c r="F133">
        <v>5</v>
      </c>
      <c r="G133">
        <v>4</v>
      </c>
      <c r="H133">
        <v>24</v>
      </c>
      <c r="I133">
        <v>45</v>
      </c>
      <c r="J133">
        <v>7.7</v>
      </c>
      <c r="K133">
        <v>0.2</v>
      </c>
      <c r="L133">
        <v>0.52</v>
      </c>
      <c r="M133">
        <v>6</v>
      </c>
      <c r="N133">
        <v>1.3</v>
      </c>
      <c r="O133" t="s">
        <v>135</v>
      </c>
      <c r="P133" s="379">
        <v>36790</v>
      </c>
      <c r="Q133" t="s">
        <v>136</v>
      </c>
      <c r="R133" t="s">
        <v>799</v>
      </c>
      <c r="S133" t="s">
        <v>149</v>
      </c>
      <c r="T133" t="s">
        <v>139</v>
      </c>
      <c r="U133"/>
    </row>
    <row r="134" spans="1:21" x14ac:dyDescent="0.25">
      <c r="A134">
        <v>814772</v>
      </c>
      <c r="B134" t="s">
        <v>1177</v>
      </c>
      <c r="C134">
        <v>8</v>
      </c>
      <c r="D134">
        <v>-2</v>
      </c>
      <c r="E134">
        <v>2</v>
      </c>
      <c r="F134">
        <v>5</v>
      </c>
      <c r="G134">
        <v>3</v>
      </c>
      <c r="H134">
        <v>18</v>
      </c>
      <c r="I134">
        <v>35</v>
      </c>
      <c r="J134">
        <v>6.1</v>
      </c>
      <c r="K134">
        <v>0.2</v>
      </c>
      <c r="L134">
        <v>0.52</v>
      </c>
      <c r="M134">
        <v>5</v>
      </c>
      <c r="N134">
        <v>1.2</v>
      </c>
      <c r="O134" t="s">
        <v>135</v>
      </c>
      <c r="P134" s="379">
        <v>36790</v>
      </c>
      <c r="Q134" t="s">
        <v>136</v>
      </c>
      <c r="R134" t="s">
        <v>798</v>
      </c>
      <c r="S134" t="s">
        <v>149</v>
      </c>
      <c r="T134" t="s">
        <v>139</v>
      </c>
      <c r="U134"/>
    </row>
    <row r="135" spans="1:21" x14ac:dyDescent="0.25">
      <c r="A135">
        <v>469817</v>
      </c>
      <c r="B135" t="s">
        <v>216</v>
      </c>
      <c r="C135">
        <v>3</v>
      </c>
      <c r="D135">
        <v>1</v>
      </c>
      <c r="E135">
        <v>3</v>
      </c>
      <c r="F135">
        <v>3</v>
      </c>
      <c r="G135">
        <v>3</v>
      </c>
      <c r="H135">
        <v>7</v>
      </c>
      <c r="I135">
        <v>17</v>
      </c>
      <c r="J135">
        <v>3.2</v>
      </c>
      <c r="K135">
        <v>0.2</v>
      </c>
      <c r="L135">
        <v>0.6</v>
      </c>
      <c r="M135">
        <v>2.5</v>
      </c>
      <c r="N135">
        <v>1</v>
      </c>
      <c r="O135" t="s">
        <v>135</v>
      </c>
      <c r="P135" s="379">
        <v>37005</v>
      </c>
      <c r="Q135" t="s">
        <v>136</v>
      </c>
      <c r="R135" t="s">
        <v>856</v>
      </c>
      <c r="S135" t="s">
        <v>185</v>
      </c>
      <c r="T135" t="s">
        <v>601</v>
      </c>
      <c r="U135"/>
    </row>
    <row r="136" spans="1:21" x14ac:dyDescent="0.25">
      <c r="A136">
        <v>726117</v>
      </c>
      <c r="B136" t="s">
        <v>215</v>
      </c>
      <c r="C136">
        <v>1</v>
      </c>
      <c r="D136">
        <v>0</v>
      </c>
      <c r="E136">
        <v>1</v>
      </c>
      <c r="F136">
        <v>1</v>
      </c>
      <c r="G136">
        <v>1</v>
      </c>
      <c r="H136">
        <v>3</v>
      </c>
      <c r="I136">
        <v>9</v>
      </c>
      <c r="J136">
        <v>1.7</v>
      </c>
      <c r="K136">
        <v>0.2</v>
      </c>
      <c r="L136">
        <v>0.6</v>
      </c>
      <c r="M136">
        <v>1.6</v>
      </c>
      <c r="N136">
        <v>0.8</v>
      </c>
      <c r="O136" t="s">
        <v>135</v>
      </c>
      <c r="P136" s="379">
        <v>36790</v>
      </c>
      <c r="Q136" t="s">
        <v>136</v>
      </c>
      <c r="R136" t="s">
        <v>900</v>
      </c>
      <c r="S136" t="s">
        <v>185</v>
      </c>
      <c r="T136" t="s">
        <v>601</v>
      </c>
      <c r="U136"/>
    </row>
    <row r="137" spans="1:21" x14ac:dyDescent="0.25">
      <c r="A137">
        <v>874560</v>
      </c>
      <c r="B137" t="s">
        <v>209</v>
      </c>
      <c r="C137">
        <v>2</v>
      </c>
      <c r="D137">
        <v>0</v>
      </c>
      <c r="E137">
        <v>1</v>
      </c>
      <c r="F137">
        <v>1</v>
      </c>
      <c r="G137">
        <v>1</v>
      </c>
      <c r="H137">
        <v>5</v>
      </c>
      <c r="I137">
        <v>6</v>
      </c>
      <c r="J137">
        <v>1.1000000000000001</v>
      </c>
      <c r="K137">
        <v>0.2</v>
      </c>
      <c r="L137">
        <v>0.82</v>
      </c>
      <c r="M137">
        <v>1.6</v>
      </c>
      <c r="N137">
        <v>1.3</v>
      </c>
      <c r="O137" t="s">
        <v>135</v>
      </c>
      <c r="P137" s="379">
        <v>41703</v>
      </c>
      <c r="Q137" t="s">
        <v>136</v>
      </c>
      <c r="R137" t="s">
        <v>885</v>
      </c>
      <c r="S137" t="s">
        <v>149</v>
      </c>
      <c r="T137" t="s">
        <v>605</v>
      </c>
      <c r="U137"/>
    </row>
    <row r="138" spans="1:21" x14ac:dyDescent="0.25">
      <c r="A138">
        <v>384750</v>
      </c>
      <c r="B138" t="s">
        <v>219</v>
      </c>
      <c r="C138">
        <v>1</v>
      </c>
      <c r="D138">
        <v>0</v>
      </c>
      <c r="E138">
        <v>1</v>
      </c>
      <c r="F138">
        <v>1</v>
      </c>
      <c r="G138">
        <v>1</v>
      </c>
      <c r="H138">
        <v>4</v>
      </c>
      <c r="I138">
        <v>5</v>
      </c>
      <c r="J138">
        <v>1</v>
      </c>
      <c r="K138">
        <v>0.2</v>
      </c>
      <c r="L138">
        <v>0.52</v>
      </c>
      <c r="M138">
        <v>0.6</v>
      </c>
      <c r="N138">
        <v>2.9</v>
      </c>
      <c r="O138" t="s">
        <v>135</v>
      </c>
      <c r="P138" s="379">
        <v>37953</v>
      </c>
      <c r="Q138" t="s">
        <v>136</v>
      </c>
      <c r="R138" t="s">
        <v>806</v>
      </c>
      <c r="S138" t="s">
        <v>220</v>
      </c>
      <c r="T138" t="s">
        <v>601</v>
      </c>
      <c r="U138"/>
    </row>
    <row r="139" spans="1:21" x14ac:dyDescent="0.25">
      <c r="A139">
        <v>460303</v>
      </c>
      <c r="B139" t="s">
        <v>1161</v>
      </c>
      <c r="C139">
        <v>14</v>
      </c>
      <c r="D139">
        <v>-6</v>
      </c>
      <c r="E139">
        <v>1</v>
      </c>
      <c r="F139">
        <v>6</v>
      </c>
      <c r="G139">
        <v>3</v>
      </c>
      <c r="H139"/>
      <c r="I139"/>
      <c r="J139"/>
      <c r="K139">
        <v>0.2</v>
      </c>
      <c r="L139">
        <v>0.5</v>
      </c>
      <c r="M139"/>
      <c r="N139"/>
      <c r="O139" t="s">
        <v>135</v>
      </c>
      <c r="P139" s="379">
        <v>43061</v>
      </c>
      <c r="Q139" t="s">
        <v>136</v>
      </c>
      <c r="R139" t="s">
        <v>1398</v>
      </c>
      <c r="S139" t="s">
        <v>563</v>
      </c>
      <c r="T139" t="s">
        <v>182</v>
      </c>
      <c r="U139"/>
    </row>
    <row r="140" spans="1:21" x14ac:dyDescent="0.25">
      <c r="A140">
        <v>140905</v>
      </c>
      <c r="B140" t="s">
        <v>1186</v>
      </c>
      <c r="C140">
        <v>14</v>
      </c>
      <c r="D140">
        <v>-6</v>
      </c>
      <c r="E140">
        <v>1</v>
      </c>
      <c r="F140">
        <v>6</v>
      </c>
      <c r="G140">
        <v>6</v>
      </c>
      <c r="H140">
        <v>41</v>
      </c>
      <c r="I140"/>
      <c r="J140"/>
      <c r="K140">
        <v>0.2</v>
      </c>
      <c r="L140">
        <v>0.5</v>
      </c>
      <c r="M140">
        <v>11</v>
      </c>
      <c r="N140">
        <v>1.1000000000000001</v>
      </c>
      <c r="O140" t="s">
        <v>135</v>
      </c>
      <c r="P140" s="379">
        <v>42600</v>
      </c>
      <c r="Q140" t="s">
        <v>136</v>
      </c>
      <c r="R140" t="s">
        <v>773</v>
      </c>
      <c r="S140" t="s">
        <v>149</v>
      </c>
      <c r="T140" t="s">
        <v>586</v>
      </c>
      <c r="U140"/>
    </row>
    <row r="141" spans="1:21" x14ac:dyDescent="0.25">
      <c r="A141">
        <v>105072</v>
      </c>
      <c r="B141" t="s">
        <v>1179</v>
      </c>
      <c r="C141">
        <v>14</v>
      </c>
      <c r="D141">
        <v>-6</v>
      </c>
      <c r="E141">
        <v>1</v>
      </c>
      <c r="F141">
        <v>6</v>
      </c>
      <c r="G141">
        <v>6</v>
      </c>
      <c r="H141">
        <v>40</v>
      </c>
      <c r="I141"/>
      <c r="J141"/>
      <c r="K141">
        <v>0.2</v>
      </c>
      <c r="L141">
        <v>0.5</v>
      </c>
      <c r="M141">
        <v>11</v>
      </c>
      <c r="N141">
        <v>1.1000000000000001</v>
      </c>
      <c r="O141" t="s">
        <v>135</v>
      </c>
      <c r="P141" s="379">
        <v>42600</v>
      </c>
      <c r="Q141" t="s">
        <v>136</v>
      </c>
      <c r="R141" t="s">
        <v>772</v>
      </c>
      <c r="S141" t="s">
        <v>149</v>
      </c>
      <c r="T141" t="s">
        <v>586</v>
      </c>
      <c r="U141"/>
    </row>
    <row r="142" spans="1:21" x14ac:dyDescent="0.25">
      <c r="A142">
        <v>969246</v>
      </c>
      <c r="B142" t="s">
        <v>1184</v>
      </c>
      <c r="C142">
        <v>14</v>
      </c>
      <c r="D142">
        <v>-6</v>
      </c>
      <c r="E142">
        <v>1</v>
      </c>
      <c r="F142">
        <v>6</v>
      </c>
      <c r="G142">
        <v>6</v>
      </c>
      <c r="H142">
        <v>39</v>
      </c>
      <c r="I142"/>
      <c r="J142"/>
      <c r="K142">
        <v>0.2</v>
      </c>
      <c r="L142">
        <v>0.5</v>
      </c>
      <c r="M142">
        <v>10.9</v>
      </c>
      <c r="N142">
        <v>1.1000000000000001</v>
      </c>
      <c r="O142" t="s">
        <v>135</v>
      </c>
      <c r="P142" s="379">
        <v>42600</v>
      </c>
      <c r="Q142" t="s">
        <v>136</v>
      </c>
      <c r="R142" t="s">
        <v>715</v>
      </c>
      <c r="S142" t="s">
        <v>149</v>
      </c>
      <c r="T142" t="s">
        <v>586</v>
      </c>
      <c r="U142"/>
    </row>
    <row r="143" spans="1:21" x14ac:dyDescent="0.25">
      <c r="A143">
        <v>651679</v>
      </c>
      <c r="B143" t="s">
        <v>457</v>
      </c>
      <c r="C143">
        <v>1</v>
      </c>
      <c r="D143">
        <v>0</v>
      </c>
      <c r="E143">
        <v>0</v>
      </c>
      <c r="F143">
        <v>1</v>
      </c>
      <c r="G143">
        <v>0</v>
      </c>
      <c r="H143">
        <v>2</v>
      </c>
      <c r="I143"/>
      <c r="J143"/>
      <c r="K143">
        <v>0.2</v>
      </c>
      <c r="L143">
        <v>0.76</v>
      </c>
      <c r="M143">
        <v>0.6</v>
      </c>
      <c r="N143">
        <v>1.4</v>
      </c>
      <c r="O143" t="s">
        <v>135</v>
      </c>
      <c r="P143" s="379">
        <v>41970</v>
      </c>
      <c r="Q143" t="s">
        <v>57</v>
      </c>
      <c r="R143" t="s">
        <v>969</v>
      </c>
      <c r="S143" t="s">
        <v>173</v>
      </c>
      <c r="T143" t="s">
        <v>605</v>
      </c>
      <c r="U143"/>
    </row>
    <row r="144" spans="1:21" x14ac:dyDescent="0.25">
      <c r="A144">
        <v>971077</v>
      </c>
      <c r="B144" t="s">
        <v>1229</v>
      </c>
      <c r="C144">
        <v>11</v>
      </c>
      <c r="D144">
        <v>-7</v>
      </c>
      <c r="E144">
        <v>-2</v>
      </c>
      <c r="F144">
        <v>7</v>
      </c>
      <c r="G144">
        <v>-1</v>
      </c>
      <c r="H144"/>
      <c r="I144"/>
      <c r="J144"/>
      <c r="K144">
        <v>0.2</v>
      </c>
      <c r="L144">
        <v>0.56000000000000005</v>
      </c>
      <c r="M144"/>
      <c r="N144"/>
      <c r="O144" t="s">
        <v>135</v>
      </c>
      <c r="P144" s="379">
        <v>42522</v>
      </c>
      <c r="Q144" t="s">
        <v>136</v>
      </c>
      <c r="R144" t="s">
        <v>776</v>
      </c>
      <c r="S144" t="s">
        <v>152</v>
      </c>
      <c r="T144" t="s">
        <v>228</v>
      </c>
      <c r="U144"/>
    </row>
    <row r="145" spans="1:21" x14ac:dyDescent="0.25">
      <c r="A145">
        <v>750075</v>
      </c>
      <c r="B145" t="s">
        <v>1249</v>
      </c>
      <c r="C145">
        <v>10</v>
      </c>
      <c r="D145">
        <v>-8</v>
      </c>
      <c r="E145">
        <v>-2</v>
      </c>
      <c r="F145">
        <v>5</v>
      </c>
      <c r="G145">
        <v>-4</v>
      </c>
      <c r="H145">
        <v>43</v>
      </c>
      <c r="I145">
        <v>45</v>
      </c>
      <c r="J145">
        <v>7.7</v>
      </c>
      <c r="K145">
        <v>0.21</v>
      </c>
      <c r="L145">
        <v>0.6</v>
      </c>
      <c r="M145">
        <v>13</v>
      </c>
      <c r="N145">
        <v>1</v>
      </c>
      <c r="O145" t="s">
        <v>135</v>
      </c>
      <c r="P145" s="379">
        <v>41606</v>
      </c>
      <c r="Q145" t="s">
        <v>136</v>
      </c>
      <c r="R145" t="s">
        <v>1250</v>
      </c>
      <c r="S145" t="s">
        <v>537</v>
      </c>
      <c r="T145" t="s">
        <v>228</v>
      </c>
      <c r="U145"/>
    </row>
    <row r="146" spans="1:21" x14ac:dyDescent="0.25">
      <c r="A146">
        <v>893396</v>
      </c>
      <c r="B146" t="s">
        <v>214</v>
      </c>
      <c r="C146">
        <v>12</v>
      </c>
      <c r="D146">
        <v>-7</v>
      </c>
      <c r="E146">
        <v>1</v>
      </c>
      <c r="F146">
        <v>6</v>
      </c>
      <c r="G146">
        <v>3</v>
      </c>
      <c r="H146">
        <v>26</v>
      </c>
      <c r="I146">
        <v>44</v>
      </c>
      <c r="J146">
        <v>7.6</v>
      </c>
      <c r="K146">
        <v>0.21</v>
      </c>
      <c r="L146">
        <v>0.65</v>
      </c>
      <c r="M146">
        <v>11.9</v>
      </c>
      <c r="N146">
        <v>0.7</v>
      </c>
      <c r="O146" t="s">
        <v>135</v>
      </c>
      <c r="P146" s="379">
        <v>41606</v>
      </c>
      <c r="Q146" t="s">
        <v>136</v>
      </c>
      <c r="R146" t="s">
        <v>750</v>
      </c>
      <c r="S146" t="s">
        <v>537</v>
      </c>
      <c r="T146" t="s">
        <v>182</v>
      </c>
      <c r="U146"/>
    </row>
    <row r="147" spans="1:21" x14ac:dyDescent="0.25">
      <c r="A147">
        <v>577833</v>
      </c>
      <c r="B147" t="s">
        <v>221</v>
      </c>
      <c r="C147">
        <v>11</v>
      </c>
      <c r="D147">
        <v>-8</v>
      </c>
      <c r="E147">
        <v>0</v>
      </c>
      <c r="F147">
        <v>5</v>
      </c>
      <c r="G147">
        <v>2</v>
      </c>
      <c r="H147">
        <v>29</v>
      </c>
      <c r="I147">
        <v>39</v>
      </c>
      <c r="J147">
        <v>6.9</v>
      </c>
      <c r="K147">
        <v>0.21</v>
      </c>
      <c r="L147">
        <v>0.49</v>
      </c>
      <c r="M147">
        <v>12.5</v>
      </c>
      <c r="N147">
        <v>0.8</v>
      </c>
      <c r="O147" t="s">
        <v>135</v>
      </c>
      <c r="P147" s="379">
        <v>38657</v>
      </c>
      <c r="Q147" t="s">
        <v>136</v>
      </c>
      <c r="R147" t="s">
        <v>739</v>
      </c>
      <c r="S147" t="s">
        <v>1269</v>
      </c>
      <c r="T147" t="s">
        <v>182</v>
      </c>
      <c r="U147"/>
    </row>
    <row r="148" spans="1:21" x14ac:dyDescent="0.25">
      <c r="A148">
        <v>901603</v>
      </c>
      <c r="B148" t="s">
        <v>1155</v>
      </c>
      <c r="C148">
        <v>1</v>
      </c>
      <c r="D148">
        <v>0</v>
      </c>
      <c r="E148">
        <v>1</v>
      </c>
      <c r="F148">
        <v>1</v>
      </c>
      <c r="G148">
        <v>1</v>
      </c>
      <c r="H148">
        <v>2</v>
      </c>
      <c r="I148">
        <v>11</v>
      </c>
      <c r="J148">
        <v>2.1</v>
      </c>
      <c r="K148">
        <v>0.21</v>
      </c>
      <c r="L148">
        <v>0.5</v>
      </c>
      <c r="M148">
        <v>1.2</v>
      </c>
      <c r="N148">
        <v>0.7</v>
      </c>
      <c r="O148" t="s">
        <v>135</v>
      </c>
      <c r="P148" s="379">
        <v>36790</v>
      </c>
      <c r="Q148" t="s">
        <v>57</v>
      </c>
      <c r="R148" t="s">
        <v>1165</v>
      </c>
      <c r="S148" t="s">
        <v>1277</v>
      </c>
      <c r="T148" t="s">
        <v>601</v>
      </c>
      <c r="U148"/>
    </row>
    <row r="149" spans="1:21" x14ac:dyDescent="0.25">
      <c r="A149">
        <v>144501</v>
      </c>
      <c r="B149" t="s">
        <v>1221</v>
      </c>
      <c r="C149">
        <v>2</v>
      </c>
      <c r="D149">
        <v>0</v>
      </c>
      <c r="E149">
        <v>1</v>
      </c>
      <c r="F149">
        <v>2</v>
      </c>
      <c r="G149"/>
      <c r="H149">
        <v>5</v>
      </c>
      <c r="I149">
        <v>9</v>
      </c>
      <c r="J149">
        <v>1.7</v>
      </c>
      <c r="K149">
        <v>0.21</v>
      </c>
      <c r="L149">
        <v>0.69</v>
      </c>
      <c r="M149">
        <v>1.1000000000000001</v>
      </c>
      <c r="N149">
        <v>1.7</v>
      </c>
      <c r="O149" t="s">
        <v>135</v>
      </c>
      <c r="P149" s="379">
        <v>43353</v>
      </c>
      <c r="Q149" t="s">
        <v>57</v>
      </c>
      <c r="R149" t="s">
        <v>1222</v>
      </c>
      <c r="S149" t="s">
        <v>248</v>
      </c>
      <c r="T149" t="s">
        <v>604</v>
      </c>
      <c r="U149"/>
    </row>
    <row r="150" spans="1:21" x14ac:dyDescent="0.25">
      <c r="A150">
        <v>653501</v>
      </c>
      <c r="B150" t="s">
        <v>543</v>
      </c>
      <c r="C150">
        <v>2</v>
      </c>
      <c r="D150">
        <v>0</v>
      </c>
      <c r="E150">
        <v>1</v>
      </c>
      <c r="F150">
        <v>1</v>
      </c>
      <c r="G150">
        <v>1</v>
      </c>
      <c r="H150">
        <v>5</v>
      </c>
      <c r="I150"/>
      <c r="J150"/>
      <c r="K150">
        <v>0.21</v>
      </c>
      <c r="L150">
        <v>0.95</v>
      </c>
      <c r="M150">
        <v>1.1000000000000001</v>
      </c>
      <c r="N150">
        <v>1.7</v>
      </c>
      <c r="O150" t="s">
        <v>135</v>
      </c>
      <c r="P150" s="379">
        <v>41915</v>
      </c>
      <c r="Q150" t="s">
        <v>136</v>
      </c>
      <c r="R150" t="s">
        <v>826</v>
      </c>
      <c r="S150" t="s">
        <v>161</v>
      </c>
      <c r="T150" t="s">
        <v>595</v>
      </c>
      <c r="U150"/>
    </row>
    <row r="151" spans="1:21" x14ac:dyDescent="0.25">
      <c r="A151">
        <v>184119</v>
      </c>
      <c r="B151" t="s">
        <v>1300</v>
      </c>
      <c r="C151">
        <v>15</v>
      </c>
      <c r="D151">
        <v>-5</v>
      </c>
      <c r="E151">
        <v>1</v>
      </c>
      <c r="F151">
        <v>6</v>
      </c>
      <c r="G151">
        <v>6</v>
      </c>
      <c r="H151">
        <v>55</v>
      </c>
      <c r="I151">
        <v>86</v>
      </c>
      <c r="J151">
        <v>13.2</v>
      </c>
      <c r="K151">
        <v>0.22</v>
      </c>
      <c r="L151">
        <v>0.76</v>
      </c>
      <c r="M151">
        <v>12.3</v>
      </c>
      <c r="N151">
        <v>1.3</v>
      </c>
      <c r="O151" t="s">
        <v>135</v>
      </c>
      <c r="P151" s="379">
        <v>41178</v>
      </c>
      <c r="Q151" t="s">
        <v>136</v>
      </c>
      <c r="R151" t="s">
        <v>825</v>
      </c>
      <c r="S151" t="s">
        <v>152</v>
      </c>
      <c r="T151" t="s">
        <v>154</v>
      </c>
      <c r="U151"/>
    </row>
    <row r="152" spans="1:21" x14ac:dyDescent="0.25">
      <c r="A152">
        <v>912220</v>
      </c>
      <c r="B152" t="s">
        <v>1316</v>
      </c>
      <c r="C152">
        <v>18</v>
      </c>
      <c r="D152">
        <v>-2</v>
      </c>
      <c r="E152">
        <v>4</v>
      </c>
      <c r="F152">
        <v>9</v>
      </c>
      <c r="G152">
        <v>16</v>
      </c>
      <c r="H152">
        <v>40</v>
      </c>
      <c r="I152">
        <v>80</v>
      </c>
      <c r="J152">
        <v>12.5</v>
      </c>
      <c r="K152">
        <v>0.22</v>
      </c>
      <c r="L152">
        <v>0.71</v>
      </c>
      <c r="M152">
        <v>10.4</v>
      </c>
      <c r="N152">
        <v>1.2</v>
      </c>
      <c r="O152" t="s">
        <v>135</v>
      </c>
      <c r="P152" s="379">
        <v>41571</v>
      </c>
      <c r="Q152" t="s">
        <v>136</v>
      </c>
      <c r="R152" t="s">
        <v>824</v>
      </c>
      <c r="S152" t="s">
        <v>152</v>
      </c>
      <c r="T152" t="s">
        <v>154</v>
      </c>
      <c r="U152"/>
    </row>
    <row r="153" spans="1:21" x14ac:dyDescent="0.25">
      <c r="A153">
        <v>857565</v>
      </c>
      <c r="B153" t="s">
        <v>239</v>
      </c>
      <c r="C153">
        <v>9</v>
      </c>
      <c r="D153">
        <v>0</v>
      </c>
      <c r="E153">
        <v>2</v>
      </c>
      <c r="F153">
        <v>8</v>
      </c>
      <c r="G153">
        <v>2</v>
      </c>
      <c r="H153">
        <v>17</v>
      </c>
      <c r="I153">
        <v>18</v>
      </c>
      <c r="J153">
        <v>3.3</v>
      </c>
      <c r="K153">
        <v>0.22</v>
      </c>
      <c r="L153">
        <v>1.1000000000000001</v>
      </c>
      <c r="M153">
        <v>8.8000000000000007</v>
      </c>
      <c r="N153">
        <v>0.7</v>
      </c>
      <c r="O153" t="s">
        <v>135</v>
      </c>
      <c r="P153" s="379">
        <v>41606</v>
      </c>
      <c r="Q153" t="s">
        <v>136</v>
      </c>
      <c r="R153" t="s">
        <v>1435</v>
      </c>
      <c r="S153" t="s">
        <v>161</v>
      </c>
      <c r="T153" t="s">
        <v>596</v>
      </c>
      <c r="U153"/>
    </row>
    <row r="154" spans="1:21" x14ac:dyDescent="0.25">
      <c r="A154">
        <v>554691</v>
      </c>
      <c r="B154" t="s">
        <v>570</v>
      </c>
      <c r="C154">
        <v>3</v>
      </c>
      <c r="D154">
        <v>1</v>
      </c>
      <c r="E154">
        <v>2</v>
      </c>
      <c r="F154">
        <v>3</v>
      </c>
      <c r="G154">
        <v>2</v>
      </c>
      <c r="H154">
        <v>6</v>
      </c>
      <c r="I154">
        <v>15</v>
      </c>
      <c r="J154">
        <v>2.9</v>
      </c>
      <c r="K154">
        <v>0.22</v>
      </c>
      <c r="L154">
        <v>0.5</v>
      </c>
      <c r="M154">
        <v>2.5</v>
      </c>
      <c r="N154">
        <v>0.8</v>
      </c>
      <c r="O154" t="s">
        <v>135</v>
      </c>
      <c r="P154" s="379">
        <v>39386</v>
      </c>
      <c r="Q154" t="s">
        <v>136</v>
      </c>
      <c r="R154" t="s">
        <v>810</v>
      </c>
      <c r="S154" t="s">
        <v>188</v>
      </c>
      <c r="T154" t="s">
        <v>601</v>
      </c>
      <c r="U154"/>
    </row>
    <row r="155" spans="1:21" x14ac:dyDescent="0.25">
      <c r="A155">
        <v>111518</v>
      </c>
      <c r="B155" t="s">
        <v>225</v>
      </c>
      <c r="C155">
        <v>7</v>
      </c>
      <c r="D155">
        <v>-1</v>
      </c>
      <c r="E155">
        <v>2</v>
      </c>
      <c r="F155">
        <v>4</v>
      </c>
      <c r="G155">
        <v>3</v>
      </c>
      <c r="H155">
        <v>17</v>
      </c>
      <c r="I155">
        <v>10</v>
      </c>
      <c r="J155">
        <v>2</v>
      </c>
      <c r="K155">
        <v>0.22</v>
      </c>
      <c r="L155">
        <v>0.5</v>
      </c>
      <c r="M155">
        <v>6.7</v>
      </c>
      <c r="N155">
        <v>0.9</v>
      </c>
      <c r="O155" t="s">
        <v>226</v>
      </c>
      <c r="P155" s="379">
        <v>37193</v>
      </c>
      <c r="Q155" t="s">
        <v>57</v>
      </c>
      <c r="R155" t="s">
        <v>841</v>
      </c>
      <c r="S155" t="s">
        <v>227</v>
      </c>
      <c r="T155" t="s">
        <v>605</v>
      </c>
      <c r="U155"/>
    </row>
    <row r="156" spans="1:21" x14ac:dyDescent="0.25">
      <c r="A156">
        <v>110098</v>
      </c>
      <c r="B156" t="s">
        <v>222</v>
      </c>
      <c r="C156">
        <v>12</v>
      </c>
      <c r="D156">
        <v>-7</v>
      </c>
      <c r="E156">
        <v>-1</v>
      </c>
      <c r="F156">
        <v>6</v>
      </c>
      <c r="G156">
        <v>-3</v>
      </c>
      <c r="H156">
        <v>43</v>
      </c>
      <c r="I156">
        <v>0</v>
      </c>
      <c r="J156">
        <v>-0.1</v>
      </c>
      <c r="K156">
        <v>0.22</v>
      </c>
      <c r="L156">
        <v>0.7</v>
      </c>
      <c r="M156">
        <v>14.2</v>
      </c>
      <c r="N156">
        <v>0.9</v>
      </c>
      <c r="O156" t="s">
        <v>135</v>
      </c>
      <c r="P156" s="379">
        <v>40435</v>
      </c>
      <c r="Q156" t="s">
        <v>136</v>
      </c>
      <c r="R156" t="s">
        <v>1246</v>
      </c>
      <c r="S156" t="s">
        <v>537</v>
      </c>
      <c r="T156" t="s">
        <v>606</v>
      </c>
      <c r="U156"/>
    </row>
    <row r="157" spans="1:21" x14ac:dyDescent="0.25">
      <c r="A157">
        <v>212621</v>
      </c>
      <c r="B157" t="s">
        <v>466</v>
      </c>
      <c r="C157">
        <v>2</v>
      </c>
      <c r="D157">
        <v>0</v>
      </c>
      <c r="E157">
        <v>1</v>
      </c>
      <c r="F157">
        <v>1</v>
      </c>
      <c r="G157">
        <v>-1</v>
      </c>
      <c r="H157">
        <v>1</v>
      </c>
      <c r="I157">
        <v>-1</v>
      </c>
      <c r="J157">
        <v>-0.2</v>
      </c>
      <c r="K157">
        <v>0.22</v>
      </c>
      <c r="L157">
        <v>1.1599999999999999</v>
      </c>
      <c r="M157">
        <v>1.6</v>
      </c>
      <c r="N157">
        <v>0.4</v>
      </c>
      <c r="O157" t="s">
        <v>135</v>
      </c>
      <c r="P157" s="379">
        <v>41614</v>
      </c>
      <c r="Q157" t="s">
        <v>136</v>
      </c>
      <c r="R157" t="s">
        <v>1375</v>
      </c>
      <c r="S157" t="s">
        <v>149</v>
      </c>
      <c r="T157" t="s">
        <v>599</v>
      </c>
      <c r="U157"/>
    </row>
    <row r="158" spans="1:21" x14ac:dyDescent="0.25">
      <c r="A158">
        <v>458471</v>
      </c>
      <c r="B158" t="s">
        <v>1214</v>
      </c>
      <c r="C158">
        <v>18</v>
      </c>
      <c r="D158">
        <v>-5</v>
      </c>
      <c r="E158">
        <v>3</v>
      </c>
      <c r="F158">
        <v>7</v>
      </c>
      <c r="G158">
        <v>9</v>
      </c>
      <c r="H158"/>
      <c r="I158"/>
      <c r="J158"/>
      <c r="K158">
        <v>0.22</v>
      </c>
      <c r="L158">
        <v>0.7</v>
      </c>
      <c r="M158"/>
      <c r="N158"/>
      <c r="O158" t="s">
        <v>135</v>
      </c>
      <c r="P158" s="379">
        <v>43241</v>
      </c>
      <c r="Q158" t="s">
        <v>136</v>
      </c>
      <c r="R158" t="s">
        <v>1397</v>
      </c>
      <c r="S158" t="s">
        <v>149</v>
      </c>
      <c r="T158" t="s">
        <v>154</v>
      </c>
      <c r="U158"/>
    </row>
    <row r="159" spans="1:21" x14ac:dyDescent="0.25">
      <c r="A159">
        <v>152835</v>
      </c>
      <c r="B159" t="s">
        <v>235</v>
      </c>
      <c r="C159">
        <v>14</v>
      </c>
      <c r="D159">
        <v>-7</v>
      </c>
      <c r="E159">
        <v>-1</v>
      </c>
      <c r="F159">
        <v>5</v>
      </c>
      <c r="G159">
        <v>3</v>
      </c>
      <c r="H159">
        <v>41</v>
      </c>
      <c r="I159">
        <v>60</v>
      </c>
      <c r="J159">
        <v>9.9</v>
      </c>
      <c r="K159">
        <v>0.23</v>
      </c>
      <c r="L159">
        <v>0.6</v>
      </c>
      <c r="M159">
        <v>12.4</v>
      </c>
      <c r="N159">
        <v>1</v>
      </c>
      <c r="O159" t="s">
        <v>135</v>
      </c>
      <c r="P159" s="379">
        <v>36790</v>
      </c>
      <c r="Q159" t="s">
        <v>136</v>
      </c>
      <c r="R159" t="s">
        <v>757</v>
      </c>
      <c r="S159" t="s">
        <v>1269</v>
      </c>
      <c r="T159" t="s">
        <v>590</v>
      </c>
      <c r="U159"/>
    </row>
    <row r="160" spans="1:21" x14ac:dyDescent="0.25">
      <c r="A160">
        <v>117002</v>
      </c>
      <c r="B160" t="s">
        <v>236</v>
      </c>
      <c r="C160">
        <v>10</v>
      </c>
      <c r="D160">
        <v>-5</v>
      </c>
      <c r="E160">
        <v>0</v>
      </c>
      <c r="F160">
        <v>4</v>
      </c>
      <c r="G160">
        <v>2</v>
      </c>
      <c r="H160">
        <v>29</v>
      </c>
      <c r="I160">
        <v>42</v>
      </c>
      <c r="J160">
        <v>7.3</v>
      </c>
      <c r="K160">
        <v>0.23</v>
      </c>
      <c r="L160">
        <v>0.59</v>
      </c>
      <c r="M160">
        <v>8.8000000000000007</v>
      </c>
      <c r="N160">
        <v>1</v>
      </c>
      <c r="O160" t="s">
        <v>135</v>
      </c>
      <c r="P160" s="379">
        <v>36790</v>
      </c>
      <c r="Q160" t="s">
        <v>136</v>
      </c>
      <c r="R160" t="s">
        <v>720</v>
      </c>
      <c r="S160" t="s">
        <v>1269</v>
      </c>
      <c r="T160" t="s">
        <v>588</v>
      </c>
      <c r="U160"/>
    </row>
    <row r="161" spans="1:21" x14ac:dyDescent="0.25">
      <c r="A161">
        <v>621631</v>
      </c>
      <c r="B161" t="s">
        <v>1308</v>
      </c>
      <c r="C161">
        <v>6</v>
      </c>
      <c r="D161">
        <v>0</v>
      </c>
      <c r="E161">
        <v>2</v>
      </c>
      <c r="F161">
        <v>5</v>
      </c>
      <c r="G161">
        <v>5</v>
      </c>
      <c r="H161">
        <v>20</v>
      </c>
      <c r="I161">
        <v>26</v>
      </c>
      <c r="J161">
        <v>4.8</v>
      </c>
      <c r="K161">
        <v>0.23</v>
      </c>
      <c r="L161">
        <v>0.55000000000000004</v>
      </c>
      <c r="M161">
        <v>5.7</v>
      </c>
      <c r="N161">
        <v>1.1000000000000001</v>
      </c>
      <c r="O161" t="s">
        <v>169</v>
      </c>
      <c r="P161" s="379">
        <v>37242</v>
      </c>
      <c r="Q161" t="s">
        <v>57</v>
      </c>
      <c r="R161" t="s">
        <v>966</v>
      </c>
      <c r="S161" t="s">
        <v>164</v>
      </c>
      <c r="T161" t="s">
        <v>604</v>
      </c>
      <c r="U161"/>
    </row>
    <row r="162" spans="1:21" x14ac:dyDescent="0.25">
      <c r="A162">
        <v>981175</v>
      </c>
      <c r="B162" t="s">
        <v>237</v>
      </c>
      <c r="C162">
        <v>4</v>
      </c>
      <c r="D162">
        <v>-2</v>
      </c>
      <c r="E162">
        <v>0</v>
      </c>
      <c r="F162">
        <v>2</v>
      </c>
      <c r="G162">
        <v>1</v>
      </c>
      <c r="H162">
        <v>10</v>
      </c>
      <c r="I162">
        <v>16</v>
      </c>
      <c r="J162">
        <v>3</v>
      </c>
      <c r="K162">
        <v>0.23</v>
      </c>
      <c r="L162">
        <v>0.6</v>
      </c>
      <c r="M162">
        <v>3.8</v>
      </c>
      <c r="N162">
        <v>1</v>
      </c>
      <c r="O162" t="s">
        <v>135</v>
      </c>
      <c r="P162" s="379">
        <v>36790</v>
      </c>
      <c r="Q162" t="s">
        <v>136</v>
      </c>
      <c r="R162" t="s">
        <v>768</v>
      </c>
      <c r="S162" t="s">
        <v>1269</v>
      </c>
      <c r="T162" t="s">
        <v>588</v>
      </c>
      <c r="U162"/>
    </row>
    <row r="163" spans="1:21" x14ac:dyDescent="0.25">
      <c r="A163">
        <v>678128</v>
      </c>
      <c r="B163" t="s">
        <v>249</v>
      </c>
      <c r="C163">
        <v>18</v>
      </c>
      <c r="D163">
        <v>-6</v>
      </c>
      <c r="E163">
        <v>3</v>
      </c>
      <c r="F163">
        <v>5</v>
      </c>
      <c r="G163">
        <v>13</v>
      </c>
      <c r="H163">
        <v>61</v>
      </c>
      <c r="I163">
        <v>123</v>
      </c>
      <c r="J163">
        <v>17.399999999999999</v>
      </c>
      <c r="K163">
        <v>0.24</v>
      </c>
      <c r="L163">
        <v>0.66</v>
      </c>
      <c r="M163">
        <v>13.8</v>
      </c>
      <c r="N163">
        <v>1.2</v>
      </c>
      <c r="O163" t="s">
        <v>135</v>
      </c>
      <c r="P163" s="379">
        <v>36790</v>
      </c>
      <c r="Q163" t="s">
        <v>136</v>
      </c>
      <c r="R163" t="s">
        <v>994</v>
      </c>
      <c r="S163" t="s">
        <v>1269</v>
      </c>
      <c r="T163" t="s">
        <v>608</v>
      </c>
      <c r="U163"/>
    </row>
    <row r="164" spans="1:21" x14ac:dyDescent="0.25">
      <c r="A164">
        <v>252411</v>
      </c>
      <c r="B164" t="s">
        <v>1146</v>
      </c>
      <c r="C164">
        <v>17</v>
      </c>
      <c r="D164">
        <v>-6</v>
      </c>
      <c r="E164">
        <v>2</v>
      </c>
      <c r="F164">
        <v>6</v>
      </c>
      <c r="G164">
        <v>7</v>
      </c>
      <c r="H164">
        <v>48</v>
      </c>
      <c r="I164">
        <v>86</v>
      </c>
      <c r="J164">
        <v>13.2</v>
      </c>
      <c r="K164">
        <v>0.24</v>
      </c>
      <c r="L164">
        <v>0.47</v>
      </c>
      <c r="M164">
        <v>12.4</v>
      </c>
      <c r="N164">
        <v>1.1000000000000001</v>
      </c>
      <c r="O164" t="s">
        <v>135</v>
      </c>
      <c r="P164" s="379">
        <v>36790</v>
      </c>
      <c r="Q164" t="s">
        <v>57</v>
      </c>
      <c r="R164" t="s">
        <v>1163</v>
      </c>
      <c r="S164" t="s">
        <v>1277</v>
      </c>
      <c r="T164" t="s">
        <v>154</v>
      </c>
      <c r="U164"/>
    </row>
    <row r="165" spans="1:21" x14ac:dyDescent="0.25">
      <c r="A165">
        <v>282517</v>
      </c>
      <c r="B165" t="s">
        <v>1332</v>
      </c>
      <c r="C165">
        <v>16</v>
      </c>
      <c r="D165">
        <v>-5</v>
      </c>
      <c r="E165">
        <v>2</v>
      </c>
      <c r="F165">
        <v>5</v>
      </c>
      <c r="G165">
        <v>5</v>
      </c>
      <c r="H165">
        <v>49</v>
      </c>
      <c r="I165">
        <v>82</v>
      </c>
      <c r="J165">
        <v>12.8</v>
      </c>
      <c r="K165">
        <v>0.24</v>
      </c>
      <c r="L165">
        <v>0.98</v>
      </c>
      <c r="M165">
        <v>12.9</v>
      </c>
      <c r="N165">
        <v>1.1000000000000001</v>
      </c>
      <c r="O165" t="s">
        <v>135</v>
      </c>
      <c r="P165" s="379">
        <v>40982</v>
      </c>
      <c r="Q165" t="s">
        <v>57</v>
      </c>
      <c r="R165" t="s">
        <v>891</v>
      </c>
      <c r="S165" t="s">
        <v>1323</v>
      </c>
      <c r="T165" t="s">
        <v>154</v>
      </c>
      <c r="U165"/>
    </row>
    <row r="166" spans="1:21" x14ac:dyDescent="0.25">
      <c r="A166">
        <v>201111</v>
      </c>
      <c r="B166" t="s">
        <v>218</v>
      </c>
      <c r="C166">
        <v>13</v>
      </c>
      <c r="D166">
        <v>-7</v>
      </c>
      <c r="E166">
        <v>1</v>
      </c>
      <c r="F166">
        <v>5</v>
      </c>
      <c r="G166">
        <v>3</v>
      </c>
      <c r="H166">
        <v>38</v>
      </c>
      <c r="I166">
        <v>55</v>
      </c>
      <c r="J166">
        <v>9.1999999999999993</v>
      </c>
      <c r="K166">
        <v>0.24</v>
      </c>
      <c r="L166">
        <v>0.88</v>
      </c>
      <c r="M166">
        <v>11.5</v>
      </c>
      <c r="N166">
        <v>1</v>
      </c>
      <c r="O166" t="s">
        <v>135</v>
      </c>
      <c r="P166" s="379">
        <v>41247</v>
      </c>
      <c r="Q166" t="s">
        <v>136</v>
      </c>
      <c r="R166" t="s">
        <v>758</v>
      </c>
      <c r="S166" t="s">
        <v>152</v>
      </c>
      <c r="T166" t="s">
        <v>590</v>
      </c>
      <c r="U166"/>
    </row>
    <row r="167" spans="1:21" x14ac:dyDescent="0.25">
      <c r="A167">
        <v>191908</v>
      </c>
      <c r="B167" t="s">
        <v>611</v>
      </c>
      <c r="C167">
        <v>7</v>
      </c>
      <c r="D167">
        <v>1</v>
      </c>
      <c r="E167">
        <v>4</v>
      </c>
      <c r="F167">
        <v>8</v>
      </c>
      <c r="G167">
        <v>8</v>
      </c>
      <c r="H167">
        <v>20</v>
      </c>
      <c r="I167">
        <v>35</v>
      </c>
      <c r="J167">
        <v>6.3</v>
      </c>
      <c r="K167">
        <v>0.24</v>
      </c>
      <c r="L167">
        <v>0.51</v>
      </c>
      <c r="M167">
        <v>7</v>
      </c>
      <c r="N167">
        <v>0.9</v>
      </c>
      <c r="O167" t="s">
        <v>169</v>
      </c>
      <c r="P167" s="379">
        <v>42727</v>
      </c>
      <c r="Q167" t="s">
        <v>57</v>
      </c>
      <c r="R167" t="s">
        <v>1374</v>
      </c>
      <c r="S167" t="s">
        <v>371</v>
      </c>
      <c r="T167" t="s">
        <v>604</v>
      </c>
      <c r="U167"/>
    </row>
    <row r="168" spans="1:21" x14ac:dyDescent="0.25">
      <c r="A168">
        <v>537639</v>
      </c>
      <c r="B168" t="s">
        <v>1342</v>
      </c>
      <c r="C168">
        <v>3</v>
      </c>
      <c r="D168">
        <v>0</v>
      </c>
      <c r="E168">
        <v>1</v>
      </c>
      <c r="F168">
        <v>2</v>
      </c>
      <c r="G168">
        <v>2</v>
      </c>
      <c r="H168">
        <v>9</v>
      </c>
      <c r="I168">
        <v>11</v>
      </c>
      <c r="J168">
        <v>2.1</v>
      </c>
      <c r="K168">
        <v>0.24</v>
      </c>
      <c r="L168">
        <v>1.1100000000000001</v>
      </c>
      <c r="M168">
        <v>1.3</v>
      </c>
      <c r="N168">
        <v>2.6</v>
      </c>
      <c r="O168" t="s">
        <v>135</v>
      </c>
      <c r="P168" s="379">
        <v>40190</v>
      </c>
      <c r="Q168" t="s">
        <v>57</v>
      </c>
      <c r="R168" t="s">
        <v>822</v>
      </c>
      <c r="S168" t="s">
        <v>160</v>
      </c>
      <c r="T168" t="s">
        <v>605</v>
      </c>
      <c r="U168"/>
    </row>
    <row r="169" spans="1:21" x14ac:dyDescent="0.25">
      <c r="A169">
        <v>358309</v>
      </c>
      <c r="B169" t="s">
        <v>574</v>
      </c>
      <c r="C169">
        <v>19</v>
      </c>
      <c r="D169">
        <v>-5</v>
      </c>
      <c r="E169">
        <v>3</v>
      </c>
      <c r="F169">
        <v>7</v>
      </c>
      <c r="G169">
        <v>10</v>
      </c>
      <c r="H169"/>
      <c r="I169"/>
      <c r="J169"/>
      <c r="K169">
        <v>0.24</v>
      </c>
      <c r="L169">
        <v>0.5</v>
      </c>
      <c r="M169"/>
      <c r="N169"/>
      <c r="O169" t="s">
        <v>135</v>
      </c>
      <c r="P169" s="379">
        <v>42683</v>
      </c>
      <c r="Q169" t="s">
        <v>136</v>
      </c>
      <c r="R169" t="s">
        <v>831</v>
      </c>
      <c r="S169" t="s">
        <v>143</v>
      </c>
      <c r="T169" t="s">
        <v>154</v>
      </c>
      <c r="U169"/>
    </row>
    <row r="170" spans="1:21" x14ac:dyDescent="0.25">
      <c r="A170">
        <v>182287</v>
      </c>
      <c r="B170" t="s">
        <v>1299</v>
      </c>
      <c r="C170">
        <v>16</v>
      </c>
      <c r="D170">
        <v>-5</v>
      </c>
      <c r="E170">
        <v>1</v>
      </c>
      <c r="F170">
        <v>3</v>
      </c>
      <c r="G170">
        <v>9</v>
      </c>
      <c r="H170">
        <v>51</v>
      </c>
      <c r="I170">
        <v>101</v>
      </c>
      <c r="J170">
        <v>15</v>
      </c>
      <c r="K170">
        <v>0.25</v>
      </c>
      <c r="L170">
        <v>1.01</v>
      </c>
      <c r="M170">
        <v>14.5</v>
      </c>
      <c r="N170">
        <v>1</v>
      </c>
      <c r="O170" t="s">
        <v>135</v>
      </c>
      <c r="P170" s="379">
        <v>41284</v>
      </c>
      <c r="Q170" t="s">
        <v>57</v>
      </c>
      <c r="R170" t="s">
        <v>1373</v>
      </c>
      <c r="S170" t="s">
        <v>1323</v>
      </c>
      <c r="T170" t="s">
        <v>608</v>
      </c>
      <c r="U170"/>
    </row>
    <row r="171" spans="1:21" x14ac:dyDescent="0.25">
      <c r="A171">
        <v>606467</v>
      </c>
      <c r="B171" t="s">
        <v>253</v>
      </c>
      <c r="C171">
        <v>12</v>
      </c>
      <c r="D171">
        <v>-4</v>
      </c>
      <c r="E171">
        <v>2</v>
      </c>
      <c r="F171">
        <v>2</v>
      </c>
      <c r="G171">
        <v>-3</v>
      </c>
      <c r="H171">
        <v>36</v>
      </c>
      <c r="I171">
        <v>79</v>
      </c>
      <c r="J171">
        <v>12.4</v>
      </c>
      <c r="K171">
        <v>0.25</v>
      </c>
      <c r="L171">
        <v>0.7</v>
      </c>
      <c r="M171">
        <v>12.5</v>
      </c>
      <c r="N171">
        <v>0.9</v>
      </c>
      <c r="O171" t="s">
        <v>135</v>
      </c>
      <c r="P171" s="379">
        <v>36790</v>
      </c>
      <c r="Q171" t="s">
        <v>136</v>
      </c>
      <c r="R171" t="s">
        <v>694</v>
      </c>
      <c r="S171" t="s">
        <v>1269</v>
      </c>
      <c r="T171" t="s">
        <v>167</v>
      </c>
      <c r="U171"/>
    </row>
    <row r="172" spans="1:21" x14ac:dyDescent="0.25">
      <c r="A172">
        <v>218115</v>
      </c>
      <c r="B172" t="s">
        <v>1302</v>
      </c>
      <c r="C172">
        <v>10</v>
      </c>
      <c r="D172">
        <v>-3</v>
      </c>
      <c r="E172">
        <v>-1</v>
      </c>
      <c r="F172">
        <v>-2</v>
      </c>
      <c r="G172">
        <v>-8</v>
      </c>
      <c r="H172">
        <v>29</v>
      </c>
      <c r="I172">
        <v>62</v>
      </c>
      <c r="J172">
        <v>10.199999999999999</v>
      </c>
      <c r="K172">
        <v>0.25</v>
      </c>
      <c r="L172">
        <v>0.99</v>
      </c>
      <c r="M172">
        <v>13.2</v>
      </c>
      <c r="N172">
        <v>0.7</v>
      </c>
      <c r="O172" t="s">
        <v>135</v>
      </c>
      <c r="P172" s="379">
        <v>41284</v>
      </c>
      <c r="Q172" t="s">
        <v>57</v>
      </c>
      <c r="R172" t="s">
        <v>1376</v>
      </c>
      <c r="S172" t="s">
        <v>1323</v>
      </c>
      <c r="T172" t="s">
        <v>167</v>
      </c>
      <c r="U172"/>
    </row>
    <row r="173" spans="1:21" x14ac:dyDescent="0.25">
      <c r="A173">
        <v>984187</v>
      </c>
      <c r="B173" t="s">
        <v>271</v>
      </c>
      <c r="C173">
        <v>21</v>
      </c>
      <c r="D173">
        <v>-3</v>
      </c>
      <c r="E173">
        <v>5</v>
      </c>
      <c r="F173">
        <v>9</v>
      </c>
      <c r="G173">
        <v>12</v>
      </c>
      <c r="H173">
        <v>49</v>
      </c>
      <c r="I173">
        <v>63</v>
      </c>
      <c r="J173">
        <v>10.199999999999999</v>
      </c>
      <c r="K173">
        <v>0.25</v>
      </c>
      <c r="L173">
        <v>1</v>
      </c>
      <c r="M173">
        <v>13.2</v>
      </c>
      <c r="N173">
        <v>1.1000000000000001</v>
      </c>
      <c r="O173" t="s">
        <v>226</v>
      </c>
      <c r="P173" s="379">
        <v>37270</v>
      </c>
      <c r="Q173" t="s">
        <v>57</v>
      </c>
      <c r="R173" t="s">
        <v>1053</v>
      </c>
      <c r="S173" t="s">
        <v>150</v>
      </c>
      <c r="T173" t="s">
        <v>154</v>
      </c>
      <c r="U173"/>
    </row>
    <row r="174" spans="1:21" x14ac:dyDescent="0.25">
      <c r="A174">
        <v>642298</v>
      </c>
      <c r="B174" t="s">
        <v>254</v>
      </c>
      <c r="C174">
        <v>20</v>
      </c>
      <c r="D174">
        <v>-1</v>
      </c>
      <c r="E174">
        <v>4</v>
      </c>
      <c r="F174">
        <v>14</v>
      </c>
      <c r="G174">
        <v>10</v>
      </c>
      <c r="H174">
        <v>49</v>
      </c>
      <c r="I174">
        <v>63</v>
      </c>
      <c r="J174">
        <v>10.199999999999999</v>
      </c>
      <c r="K174">
        <v>0.25</v>
      </c>
      <c r="L174">
        <v>0.69</v>
      </c>
      <c r="M174">
        <v>11.7</v>
      </c>
      <c r="N174">
        <v>1.2</v>
      </c>
      <c r="O174" t="s">
        <v>135</v>
      </c>
      <c r="P174" s="379">
        <v>36790</v>
      </c>
      <c r="Q174" t="s">
        <v>136</v>
      </c>
      <c r="R174" t="s">
        <v>1023</v>
      </c>
      <c r="S174" t="s">
        <v>1269</v>
      </c>
      <c r="T174" t="s">
        <v>609</v>
      </c>
      <c r="U174"/>
    </row>
    <row r="175" spans="1:21" x14ac:dyDescent="0.25">
      <c r="A175">
        <v>570630</v>
      </c>
      <c r="B175" t="s">
        <v>255</v>
      </c>
      <c r="C175">
        <v>15</v>
      </c>
      <c r="D175">
        <v>-5</v>
      </c>
      <c r="E175">
        <v>2</v>
      </c>
      <c r="F175">
        <v>8</v>
      </c>
      <c r="G175">
        <v>3</v>
      </c>
      <c r="H175">
        <v>33</v>
      </c>
      <c r="I175">
        <v>40</v>
      </c>
      <c r="J175">
        <v>7</v>
      </c>
      <c r="K175">
        <v>0.25</v>
      </c>
      <c r="L175">
        <v>0.68</v>
      </c>
      <c r="M175">
        <v>12.2</v>
      </c>
      <c r="N175">
        <v>0.9</v>
      </c>
      <c r="O175" t="s">
        <v>135</v>
      </c>
      <c r="P175" s="379">
        <v>36790</v>
      </c>
      <c r="Q175" t="s">
        <v>136</v>
      </c>
      <c r="R175" t="s">
        <v>872</v>
      </c>
      <c r="S175" t="s">
        <v>1269</v>
      </c>
      <c r="T175" t="s">
        <v>178</v>
      </c>
      <c r="U175"/>
    </row>
    <row r="176" spans="1:21" x14ac:dyDescent="0.25">
      <c r="A176">
        <v>120014</v>
      </c>
      <c r="B176" t="s">
        <v>269</v>
      </c>
      <c r="C176">
        <v>16</v>
      </c>
      <c r="D176">
        <v>-6</v>
      </c>
      <c r="E176">
        <v>3</v>
      </c>
      <c r="F176">
        <v>5</v>
      </c>
      <c r="G176">
        <v>-1</v>
      </c>
      <c r="H176">
        <v>37</v>
      </c>
      <c r="I176">
        <v>34</v>
      </c>
      <c r="J176">
        <v>6.1</v>
      </c>
      <c r="K176">
        <v>0.25</v>
      </c>
      <c r="L176">
        <v>1</v>
      </c>
      <c r="M176">
        <v>13.2</v>
      </c>
      <c r="N176">
        <v>0.9</v>
      </c>
      <c r="O176" t="s">
        <v>226</v>
      </c>
      <c r="P176" s="379">
        <v>37270</v>
      </c>
      <c r="Q176" t="s">
        <v>57</v>
      </c>
      <c r="R176" t="s">
        <v>1072</v>
      </c>
      <c r="S176" t="s">
        <v>150</v>
      </c>
      <c r="T176" t="s">
        <v>590</v>
      </c>
      <c r="U176"/>
    </row>
    <row r="177" spans="1:21" x14ac:dyDescent="0.25">
      <c r="A177">
        <v>610410</v>
      </c>
      <c r="B177" t="s">
        <v>224</v>
      </c>
      <c r="C177">
        <v>10</v>
      </c>
      <c r="D177">
        <v>-9</v>
      </c>
      <c r="E177">
        <v>-1</v>
      </c>
      <c r="F177">
        <v>3</v>
      </c>
      <c r="G177">
        <v>0</v>
      </c>
      <c r="H177">
        <v>25</v>
      </c>
      <c r="I177">
        <v>32</v>
      </c>
      <c r="J177">
        <v>5.7</v>
      </c>
      <c r="K177">
        <v>0.25</v>
      </c>
      <c r="L177">
        <v>0.5</v>
      </c>
      <c r="M177">
        <v>12.9</v>
      </c>
      <c r="N177">
        <v>0.7</v>
      </c>
      <c r="O177" t="s">
        <v>135</v>
      </c>
      <c r="P177" s="379">
        <v>41422</v>
      </c>
      <c r="Q177" t="s">
        <v>57</v>
      </c>
      <c r="R177" t="s">
        <v>740</v>
      </c>
      <c r="S177" t="s">
        <v>164</v>
      </c>
      <c r="T177" t="s">
        <v>182</v>
      </c>
      <c r="U177"/>
    </row>
    <row r="178" spans="1:21" x14ac:dyDescent="0.25">
      <c r="A178">
        <v>613729</v>
      </c>
      <c r="B178" t="s">
        <v>1148</v>
      </c>
      <c r="C178">
        <v>16</v>
      </c>
      <c r="D178">
        <v>-6</v>
      </c>
      <c r="E178">
        <v>2</v>
      </c>
      <c r="F178">
        <v>5</v>
      </c>
      <c r="G178">
        <v>7</v>
      </c>
      <c r="H178">
        <v>48</v>
      </c>
      <c r="I178">
        <v>85</v>
      </c>
      <c r="J178">
        <v>13.1</v>
      </c>
      <c r="K178">
        <v>0.26</v>
      </c>
      <c r="L178">
        <v>0.53</v>
      </c>
      <c r="M178">
        <v>12.2</v>
      </c>
      <c r="N178">
        <v>1.2</v>
      </c>
      <c r="O178" t="s">
        <v>135</v>
      </c>
      <c r="P178" s="379">
        <v>37607</v>
      </c>
      <c r="Q178" t="s">
        <v>57</v>
      </c>
      <c r="R178" t="s">
        <v>1172</v>
      </c>
      <c r="S178" t="s">
        <v>1277</v>
      </c>
      <c r="T178" t="s">
        <v>154</v>
      </c>
      <c r="U178"/>
    </row>
    <row r="179" spans="1:21" x14ac:dyDescent="0.25">
      <c r="A179">
        <v>916189</v>
      </c>
      <c r="B179" t="s">
        <v>1354</v>
      </c>
      <c r="C179">
        <v>17</v>
      </c>
      <c r="D179">
        <v>-7</v>
      </c>
      <c r="E179">
        <v>3</v>
      </c>
      <c r="F179">
        <v>10</v>
      </c>
      <c r="G179">
        <v>-1</v>
      </c>
      <c r="H179">
        <v>29</v>
      </c>
      <c r="I179">
        <v>46</v>
      </c>
      <c r="J179">
        <v>7.9</v>
      </c>
      <c r="K179">
        <v>0.26</v>
      </c>
      <c r="L179">
        <v>1.01</v>
      </c>
      <c r="M179">
        <v>13.9</v>
      </c>
      <c r="N179">
        <v>0.7</v>
      </c>
      <c r="O179" t="s">
        <v>135</v>
      </c>
      <c r="P179" s="379">
        <v>36790</v>
      </c>
      <c r="Q179" t="s">
        <v>136</v>
      </c>
      <c r="R179" t="s">
        <v>754</v>
      </c>
      <c r="S179" t="s">
        <v>161</v>
      </c>
      <c r="T179" t="s">
        <v>182</v>
      </c>
      <c r="U179"/>
    </row>
    <row r="180" spans="1:21" x14ac:dyDescent="0.25">
      <c r="A180">
        <v>955435</v>
      </c>
      <c r="B180" t="s">
        <v>290</v>
      </c>
      <c r="C180">
        <v>7</v>
      </c>
      <c r="D180">
        <v>0</v>
      </c>
      <c r="E180">
        <v>3</v>
      </c>
      <c r="F180">
        <v>6</v>
      </c>
      <c r="G180">
        <v>6</v>
      </c>
      <c r="H180">
        <v>30</v>
      </c>
      <c r="I180">
        <v>39</v>
      </c>
      <c r="J180">
        <v>6.7</v>
      </c>
      <c r="K180">
        <v>0.26</v>
      </c>
      <c r="L180">
        <v>1</v>
      </c>
      <c r="M180">
        <v>6.2</v>
      </c>
      <c r="N180">
        <v>1.5</v>
      </c>
      <c r="O180" t="s">
        <v>169</v>
      </c>
      <c r="P180" s="379">
        <v>40487</v>
      </c>
      <c r="Q180" t="s">
        <v>57</v>
      </c>
      <c r="R180" t="s">
        <v>934</v>
      </c>
      <c r="S180" t="s">
        <v>248</v>
      </c>
      <c r="T180" t="s">
        <v>604</v>
      </c>
      <c r="U180"/>
    </row>
    <row r="181" spans="1:21" x14ac:dyDescent="0.25">
      <c r="A181">
        <v>426726</v>
      </c>
      <c r="B181" t="s">
        <v>230</v>
      </c>
      <c r="C181">
        <v>7</v>
      </c>
      <c r="D181">
        <v>1</v>
      </c>
      <c r="E181">
        <v>4</v>
      </c>
      <c r="F181">
        <v>7</v>
      </c>
      <c r="G181">
        <v>7</v>
      </c>
      <c r="H181">
        <v>18</v>
      </c>
      <c r="I181">
        <v>32</v>
      </c>
      <c r="J181">
        <v>5.7</v>
      </c>
      <c r="K181">
        <v>0.26</v>
      </c>
      <c r="L181">
        <v>0.65</v>
      </c>
      <c r="M181">
        <v>6.6</v>
      </c>
      <c r="N181">
        <v>0.9</v>
      </c>
      <c r="O181" t="s">
        <v>169</v>
      </c>
      <c r="P181" s="379">
        <v>36790</v>
      </c>
      <c r="Q181" t="s">
        <v>57</v>
      </c>
      <c r="R181" t="s">
        <v>1392</v>
      </c>
      <c r="S181" t="s">
        <v>164</v>
      </c>
      <c r="T181" t="s">
        <v>604</v>
      </c>
      <c r="U181"/>
    </row>
    <row r="182" spans="1:21" x14ac:dyDescent="0.25">
      <c r="A182">
        <v>283408</v>
      </c>
      <c r="B182" t="s">
        <v>115</v>
      </c>
      <c r="C182">
        <v>24</v>
      </c>
      <c r="D182">
        <v>-8</v>
      </c>
      <c r="E182">
        <v>5</v>
      </c>
      <c r="F182">
        <v>14</v>
      </c>
      <c r="G182">
        <v>10</v>
      </c>
      <c r="H182">
        <v>101</v>
      </c>
      <c r="I182">
        <v>182</v>
      </c>
      <c r="J182">
        <v>23</v>
      </c>
      <c r="K182">
        <v>0.27</v>
      </c>
      <c r="L182">
        <v>1.25</v>
      </c>
      <c r="M182">
        <v>17.8</v>
      </c>
      <c r="N182">
        <v>1.4</v>
      </c>
      <c r="O182" t="s">
        <v>135</v>
      </c>
      <c r="P182" s="379">
        <v>36790</v>
      </c>
      <c r="Q182" t="s">
        <v>136</v>
      </c>
      <c r="R182" t="s">
        <v>737</v>
      </c>
      <c r="S182" t="s">
        <v>147</v>
      </c>
      <c r="T182" t="s">
        <v>204</v>
      </c>
      <c r="U182"/>
    </row>
    <row r="183" spans="1:21" x14ac:dyDescent="0.25">
      <c r="A183">
        <v>968420</v>
      </c>
      <c r="B183" t="s">
        <v>1206</v>
      </c>
      <c r="C183">
        <v>23</v>
      </c>
      <c r="D183">
        <v>2</v>
      </c>
      <c r="E183">
        <v>8</v>
      </c>
      <c r="F183">
        <v>17</v>
      </c>
      <c r="G183">
        <v>24</v>
      </c>
      <c r="H183">
        <v>49</v>
      </c>
      <c r="I183">
        <v>109</v>
      </c>
      <c r="J183">
        <v>15.9</v>
      </c>
      <c r="K183">
        <v>0.27</v>
      </c>
      <c r="L183">
        <v>1.26</v>
      </c>
      <c r="M183">
        <v>11.7</v>
      </c>
      <c r="N183">
        <v>1.2</v>
      </c>
      <c r="O183" t="s">
        <v>135</v>
      </c>
      <c r="P183" s="379">
        <v>36790</v>
      </c>
      <c r="Q183" t="s">
        <v>136</v>
      </c>
      <c r="R183" t="s">
        <v>868</v>
      </c>
      <c r="S183" t="s">
        <v>147</v>
      </c>
      <c r="T183" t="s">
        <v>610</v>
      </c>
      <c r="U183"/>
    </row>
    <row r="184" spans="1:21" x14ac:dyDescent="0.25">
      <c r="A184">
        <v>856682</v>
      </c>
      <c r="B184" t="s">
        <v>245</v>
      </c>
      <c r="C184">
        <v>18</v>
      </c>
      <c r="D184">
        <v>-3</v>
      </c>
      <c r="E184">
        <v>5</v>
      </c>
      <c r="F184">
        <v>11</v>
      </c>
      <c r="G184">
        <v>4</v>
      </c>
      <c r="H184">
        <v>39</v>
      </c>
      <c r="I184">
        <v>93</v>
      </c>
      <c r="J184">
        <v>14</v>
      </c>
      <c r="K184">
        <v>0.27</v>
      </c>
      <c r="L184">
        <v>1.25</v>
      </c>
      <c r="M184">
        <v>14.4</v>
      </c>
      <c r="N184">
        <v>0.9</v>
      </c>
      <c r="O184" t="s">
        <v>135</v>
      </c>
      <c r="P184" s="379">
        <v>36790</v>
      </c>
      <c r="Q184" t="s">
        <v>136</v>
      </c>
      <c r="R184" t="s">
        <v>914</v>
      </c>
      <c r="S184" t="s">
        <v>147</v>
      </c>
      <c r="T184" t="s">
        <v>208</v>
      </c>
      <c r="U184"/>
    </row>
    <row r="185" spans="1:21" x14ac:dyDescent="0.25">
      <c r="A185">
        <v>860932</v>
      </c>
      <c r="B185" t="s">
        <v>243</v>
      </c>
      <c r="C185">
        <v>20</v>
      </c>
      <c r="D185">
        <v>-1</v>
      </c>
      <c r="E185">
        <v>7</v>
      </c>
      <c r="F185">
        <v>14</v>
      </c>
      <c r="G185">
        <v>2</v>
      </c>
      <c r="H185">
        <v>41</v>
      </c>
      <c r="I185">
        <v>74</v>
      </c>
      <c r="J185">
        <v>11.7</v>
      </c>
      <c r="K185">
        <v>0.27</v>
      </c>
      <c r="L185">
        <v>1.25</v>
      </c>
      <c r="M185">
        <v>13.5</v>
      </c>
      <c r="N185">
        <v>0.9</v>
      </c>
      <c r="O185" t="s">
        <v>135</v>
      </c>
      <c r="P185" s="379">
        <v>36790</v>
      </c>
      <c r="Q185" t="s">
        <v>136</v>
      </c>
      <c r="R185" t="s">
        <v>871</v>
      </c>
      <c r="S185" t="s">
        <v>147</v>
      </c>
      <c r="T185" t="s">
        <v>244</v>
      </c>
      <c r="U185"/>
    </row>
    <row r="186" spans="1:21" x14ac:dyDescent="0.25">
      <c r="A186">
        <v>928341</v>
      </c>
      <c r="B186" t="s">
        <v>50</v>
      </c>
      <c r="C186">
        <v>10</v>
      </c>
      <c r="D186">
        <v>-4</v>
      </c>
      <c r="E186">
        <v>-3</v>
      </c>
      <c r="F186">
        <v>-1</v>
      </c>
      <c r="G186">
        <v>11</v>
      </c>
      <c r="H186">
        <v>25</v>
      </c>
      <c r="I186">
        <v>69</v>
      </c>
      <c r="J186">
        <v>11.1</v>
      </c>
      <c r="K186">
        <v>0.27</v>
      </c>
      <c r="L186">
        <v>1.25</v>
      </c>
      <c r="M186">
        <v>12.5</v>
      </c>
      <c r="N186">
        <v>0.7</v>
      </c>
      <c r="O186" t="s">
        <v>135</v>
      </c>
      <c r="P186" s="379">
        <v>36790</v>
      </c>
      <c r="Q186" t="s">
        <v>136</v>
      </c>
      <c r="R186" t="s">
        <v>864</v>
      </c>
      <c r="S186" t="s">
        <v>147</v>
      </c>
      <c r="T186" t="s">
        <v>612</v>
      </c>
      <c r="U186"/>
    </row>
    <row r="187" spans="1:21" x14ac:dyDescent="0.25">
      <c r="A187">
        <v>896761</v>
      </c>
      <c r="B187" t="s">
        <v>242</v>
      </c>
      <c r="C187">
        <v>18</v>
      </c>
      <c r="D187">
        <v>-7</v>
      </c>
      <c r="E187">
        <v>2</v>
      </c>
      <c r="F187">
        <v>9</v>
      </c>
      <c r="G187">
        <v>-9</v>
      </c>
      <c r="H187">
        <v>29</v>
      </c>
      <c r="I187">
        <v>53</v>
      </c>
      <c r="J187">
        <v>8.9</v>
      </c>
      <c r="K187">
        <v>0.27</v>
      </c>
      <c r="L187">
        <v>1.25</v>
      </c>
      <c r="M187">
        <v>17.399999999999999</v>
      </c>
      <c r="N187">
        <v>0.6</v>
      </c>
      <c r="O187" t="s">
        <v>135</v>
      </c>
      <c r="P187" s="379">
        <v>36790</v>
      </c>
      <c r="Q187" t="s">
        <v>136</v>
      </c>
      <c r="R187" t="s">
        <v>913</v>
      </c>
      <c r="S187" t="s">
        <v>147</v>
      </c>
      <c r="T187" t="s">
        <v>607</v>
      </c>
      <c r="U187"/>
    </row>
    <row r="188" spans="1:21" x14ac:dyDescent="0.25">
      <c r="A188">
        <v>820852</v>
      </c>
      <c r="B188" t="s">
        <v>252</v>
      </c>
      <c r="C188">
        <v>12</v>
      </c>
      <c r="D188">
        <v>-7</v>
      </c>
      <c r="E188">
        <v>-1</v>
      </c>
      <c r="F188">
        <v>4</v>
      </c>
      <c r="G188">
        <v>-3</v>
      </c>
      <c r="H188">
        <v>18</v>
      </c>
      <c r="I188">
        <v>35</v>
      </c>
      <c r="J188">
        <v>6.2</v>
      </c>
      <c r="K188">
        <v>0.27</v>
      </c>
      <c r="L188">
        <v>1.25</v>
      </c>
      <c r="M188">
        <v>12.4</v>
      </c>
      <c r="N188">
        <v>0.5</v>
      </c>
      <c r="O188" t="s">
        <v>135</v>
      </c>
      <c r="P188" s="379">
        <v>36790</v>
      </c>
      <c r="Q188" t="s">
        <v>136</v>
      </c>
      <c r="R188" t="s">
        <v>915</v>
      </c>
      <c r="S188" t="s">
        <v>147</v>
      </c>
      <c r="T188" t="s">
        <v>244</v>
      </c>
      <c r="U188"/>
    </row>
    <row r="189" spans="1:21" x14ac:dyDescent="0.25">
      <c r="A189">
        <v>560599</v>
      </c>
      <c r="B189" t="s">
        <v>256</v>
      </c>
      <c r="C189">
        <v>2</v>
      </c>
      <c r="D189">
        <v>0</v>
      </c>
      <c r="E189">
        <v>1</v>
      </c>
      <c r="F189">
        <v>2</v>
      </c>
      <c r="G189">
        <v>2</v>
      </c>
      <c r="H189">
        <v>14</v>
      </c>
      <c r="I189">
        <v>15</v>
      </c>
      <c r="J189">
        <v>2.7</v>
      </c>
      <c r="K189">
        <v>0.27</v>
      </c>
      <c r="L189">
        <v>0.75</v>
      </c>
      <c r="M189">
        <v>1.1000000000000001</v>
      </c>
      <c r="N189">
        <v>4.5</v>
      </c>
      <c r="O189" t="s">
        <v>135</v>
      </c>
      <c r="P189" s="379">
        <v>41802</v>
      </c>
      <c r="Q189" t="s">
        <v>136</v>
      </c>
      <c r="R189" t="s">
        <v>881</v>
      </c>
      <c r="S189" t="s">
        <v>143</v>
      </c>
      <c r="T189" t="s">
        <v>605</v>
      </c>
      <c r="U189"/>
    </row>
    <row r="190" spans="1:21" x14ac:dyDescent="0.25">
      <c r="A190">
        <v>732487</v>
      </c>
      <c r="B190" t="s">
        <v>1150</v>
      </c>
      <c r="C190">
        <v>2</v>
      </c>
      <c r="D190">
        <v>0</v>
      </c>
      <c r="E190">
        <v>1</v>
      </c>
      <c r="F190">
        <v>2</v>
      </c>
      <c r="G190">
        <v>2</v>
      </c>
      <c r="H190">
        <v>5</v>
      </c>
      <c r="I190">
        <v>8</v>
      </c>
      <c r="J190">
        <v>1.5</v>
      </c>
      <c r="K190">
        <v>0.27</v>
      </c>
      <c r="L190">
        <v>0.72</v>
      </c>
      <c r="M190">
        <v>1.5</v>
      </c>
      <c r="N190">
        <v>1.2</v>
      </c>
      <c r="O190" t="s">
        <v>135</v>
      </c>
      <c r="P190" s="379">
        <v>41310</v>
      </c>
      <c r="Q190" t="s">
        <v>57</v>
      </c>
      <c r="R190" t="s">
        <v>1168</v>
      </c>
      <c r="S190" t="s">
        <v>1277</v>
      </c>
      <c r="T190" t="s">
        <v>599</v>
      </c>
      <c r="U190"/>
    </row>
    <row r="191" spans="1:21" x14ac:dyDescent="0.25">
      <c r="A191">
        <v>104786</v>
      </c>
      <c r="B191" t="s">
        <v>273</v>
      </c>
      <c r="C191">
        <v>2</v>
      </c>
      <c r="D191">
        <v>0</v>
      </c>
      <c r="E191">
        <v>1</v>
      </c>
      <c r="F191">
        <v>2</v>
      </c>
      <c r="G191">
        <v>1</v>
      </c>
      <c r="H191">
        <v>5</v>
      </c>
      <c r="I191">
        <v>8</v>
      </c>
      <c r="J191">
        <v>1.5</v>
      </c>
      <c r="K191">
        <v>0.27</v>
      </c>
      <c r="L191">
        <v>1.02</v>
      </c>
      <c r="M191">
        <v>1.1000000000000001</v>
      </c>
      <c r="N191">
        <v>1.9</v>
      </c>
      <c r="O191" t="s">
        <v>135</v>
      </c>
      <c r="P191" s="379">
        <v>38012</v>
      </c>
      <c r="Q191" t="s">
        <v>136</v>
      </c>
      <c r="R191" t="s">
        <v>854</v>
      </c>
      <c r="S191" t="s">
        <v>1269</v>
      </c>
      <c r="T191" t="s">
        <v>605</v>
      </c>
      <c r="U191"/>
    </row>
    <row r="192" spans="1:21" x14ac:dyDescent="0.25">
      <c r="A192">
        <v>112755</v>
      </c>
      <c r="B192" t="s">
        <v>250</v>
      </c>
      <c r="C192">
        <v>1</v>
      </c>
      <c r="D192">
        <v>0</v>
      </c>
      <c r="E192">
        <v>1</v>
      </c>
      <c r="F192">
        <v>0</v>
      </c>
      <c r="G192">
        <v>0</v>
      </c>
      <c r="H192">
        <v>1</v>
      </c>
      <c r="I192">
        <v>2</v>
      </c>
      <c r="J192">
        <v>0.5</v>
      </c>
      <c r="K192">
        <v>0.28000000000000003</v>
      </c>
      <c r="L192">
        <v>0.71</v>
      </c>
      <c r="M192">
        <v>0.6</v>
      </c>
      <c r="N192">
        <v>1.4</v>
      </c>
      <c r="O192" t="s">
        <v>135</v>
      </c>
      <c r="P192" s="379">
        <v>36790</v>
      </c>
      <c r="Q192" t="s">
        <v>136</v>
      </c>
      <c r="R192" t="s">
        <v>796</v>
      </c>
      <c r="S192" t="s">
        <v>251</v>
      </c>
      <c r="T192" t="s">
        <v>595</v>
      </c>
      <c r="U192"/>
    </row>
    <row r="193" spans="1:21" x14ac:dyDescent="0.25">
      <c r="A193">
        <v>308908</v>
      </c>
      <c r="B193" t="s">
        <v>240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1</v>
      </c>
      <c r="I193">
        <v>2</v>
      </c>
      <c r="J193">
        <v>0.3</v>
      </c>
      <c r="K193">
        <v>0.28000000000000003</v>
      </c>
      <c r="L193">
        <v>0.62</v>
      </c>
      <c r="M193">
        <v>0.3</v>
      </c>
      <c r="N193">
        <v>2</v>
      </c>
      <c r="O193" t="s">
        <v>135</v>
      </c>
      <c r="P193" s="379">
        <v>36790</v>
      </c>
      <c r="Q193" t="s">
        <v>136</v>
      </c>
      <c r="R193" t="s">
        <v>785</v>
      </c>
      <c r="S193" t="s">
        <v>241</v>
      </c>
      <c r="T193" t="s">
        <v>593</v>
      </c>
      <c r="U193"/>
    </row>
    <row r="194" spans="1:21" x14ac:dyDescent="0.25">
      <c r="A194">
        <v>479550</v>
      </c>
      <c r="B194" t="s">
        <v>257</v>
      </c>
      <c r="C194">
        <v>19</v>
      </c>
      <c r="D194">
        <v>-5</v>
      </c>
      <c r="E194">
        <v>7</v>
      </c>
      <c r="F194">
        <v>10</v>
      </c>
      <c r="G194">
        <v>14</v>
      </c>
      <c r="H194">
        <v>61</v>
      </c>
      <c r="I194">
        <v>115</v>
      </c>
      <c r="J194">
        <v>16.600000000000001</v>
      </c>
      <c r="K194">
        <v>0.28999999999999998</v>
      </c>
      <c r="L194">
        <v>0.6</v>
      </c>
      <c r="M194">
        <v>12.4</v>
      </c>
      <c r="N194">
        <v>1.4</v>
      </c>
      <c r="O194" t="s">
        <v>169</v>
      </c>
      <c r="P194" s="379">
        <v>36790</v>
      </c>
      <c r="Q194" t="s">
        <v>57</v>
      </c>
      <c r="R194" t="s">
        <v>1012</v>
      </c>
      <c r="S194" t="s">
        <v>170</v>
      </c>
      <c r="T194" t="s">
        <v>154</v>
      </c>
      <c r="U194"/>
    </row>
    <row r="195" spans="1:21" x14ac:dyDescent="0.25">
      <c r="A195">
        <v>295857</v>
      </c>
      <c r="B195" t="s">
        <v>646</v>
      </c>
      <c r="C195">
        <v>11</v>
      </c>
      <c r="D195">
        <v>-9</v>
      </c>
      <c r="E195">
        <v>-3</v>
      </c>
      <c r="F195">
        <v>6</v>
      </c>
      <c r="G195">
        <v>-3</v>
      </c>
      <c r="H195">
        <v>61</v>
      </c>
      <c r="I195">
        <v>68</v>
      </c>
      <c r="J195">
        <v>10.9</v>
      </c>
      <c r="K195">
        <v>0.28999999999999998</v>
      </c>
      <c r="L195">
        <v>0.93</v>
      </c>
      <c r="M195">
        <v>14.1</v>
      </c>
      <c r="N195">
        <v>1.2</v>
      </c>
      <c r="O195" t="s">
        <v>135</v>
      </c>
      <c r="P195" s="379">
        <v>41194</v>
      </c>
      <c r="Q195" t="s">
        <v>136</v>
      </c>
      <c r="R195" t="s">
        <v>1104</v>
      </c>
      <c r="S195" t="s">
        <v>1269</v>
      </c>
      <c r="T195" t="s">
        <v>228</v>
      </c>
      <c r="U195"/>
    </row>
    <row r="196" spans="1:21" x14ac:dyDescent="0.25">
      <c r="A196">
        <v>416982</v>
      </c>
      <c r="B196" t="s">
        <v>15</v>
      </c>
      <c r="C196">
        <v>6</v>
      </c>
      <c r="D196">
        <v>-4</v>
      </c>
      <c r="E196">
        <v>-5</v>
      </c>
      <c r="F196">
        <v>-4</v>
      </c>
      <c r="G196">
        <v>9</v>
      </c>
      <c r="H196">
        <v>21</v>
      </c>
      <c r="I196">
        <v>67</v>
      </c>
      <c r="J196">
        <v>10.8</v>
      </c>
      <c r="K196">
        <v>0.28999999999999998</v>
      </c>
      <c r="L196">
        <v>0.61</v>
      </c>
      <c r="M196">
        <v>13.3</v>
      </c>
      <c r="N196">
        <v>0.6</v>
      </c>
      <c r="O196" t="s">
        <v>169</v>
      </c>
      <c r="P196" s="379">
        <v>36906</v>
      </c>
      <c r="Q196" t="s">
        <v>57</v>
      </c>
      <c r="R196" t="s">
        <v>904</v>
      </c>
      <c r="S196" t="s">
        <v>170</v>
      </c>
      <c r="T196" t="s">
        <v>612</v>
      </c>
      <c r="U196"/>
    </row>
    <row r="197" spans="1:21" x14ac:dyDescent="0.25">
      <c r="A197">
        <v>838441</v>
      </c>
      <c r="B197" t="s">
        <v>1226</v>
      </c>
      <c r="C197">
        <v>13</v>
      </c>
      <c r="D197">
        <v>-7</v>
      </c>
      <c r="E197">
        <v>1</v>
      </c>
      <c r="F197">
        <v>6</v>
      </c>
      <c r="G197">
        <v>4</v>
      </c>
      <c r="H197">
        <v>31</v>
      </c>
      <c r="I197">
        <v>49</v>
      </c>
      <c r="J197">
        <v>8.3000000000000007</v>
      </c>
      <c r="K197">
        <v>0.28999999999999998</v>
      </c>
      <c r="L197">
        <v>0.62</v>
      </c>
      <c r="M197">
        <v>12.1</v>
      </c>
      <c r="N197">
        <v>0.8</v>
      </c>
      <c r="O197" t="s">
        <v>135</v>
      </c>
      <c r="P197" s="379">
        <v>36790</v>
      </c>
      <c r="Q197" t="s">
        <v>136</v>
      </c>
      <c r="R197" t="s">
        <v>749</v>
      </c>
      <c r="S197" t="s">
        <v>251</v>
      </c>
      <c r="T197" t="s">
        <v>182</v>
      </c>
      <c r="U197"/>
    </row>
    <row r="198" spans="1:21" x14ac:dyDescent="0.25">
      <c r="A198">
        <v>203067</v>
      </c>
      <c r="B198" t="s">
        <v>262</v>
      </c>
      <c r="C198">
        <v>13</v>
      </c>
      <c r="D198">
        <v>-8</v>
      </c>
      <c r="E198">
        <v>0</v>
      </c>
      <c r="F198">
        <v>3</v>
      </c>
      <c r="G198">
        <v>-4</v>
      </c>
      <c r="H198">
        <v>32</v>
      </c>
      <c r="I198">
        <v>46</v>
      </c>
      <c r="J198">
        <v>7.9</v>
      </c>
      <c r="K198">
        <v>0.28999999999999998</v>
      </c>
      <c r="L198">
        <v>1.4</v>
      </c>
      <c r="M198">
        <v>13.7</v>
      </c>
      <c r="N198">
        <v>0.8</v>
      </c>
      <c r="O198" t="s">
        <v>135</v>
      </c>
      <c r="P198" s="379">
        <v>39540</v>
      </c>
      <c r="Q198" t="s">
        <v>136</v>
      </c>
      <c r="R198" t="s">
        <v>917</v>
      </c>
      <c r="S198" t="s">
        <v>1323</v>
      </c>
      <c r="T198" t="s">
        <v>182</v>
      </c>
      <c r="U198"/>
    </row>
    <row r="199" spans="1:21" x14ac:dyDescent="0.25">
      <c r="A199">
        <v>861757</v>
      </c>
      <c r="B199" t="s">
        <v>1351</v>
      </c>
      <c r="C199">
        <v>15</v>
      </c>
      <c r="D199">
        <v>-5</v>
      </c>
      <c r="E199">
        <v>1</v>
      </c>
      <c r="F199">
        <v>8</v>
      </c>
      <c r="G199">
        <v>2</v>
      </c>
      <c r="H199">
        <v>31</v>
      </c>
      <c r="I199">
        <v>45</v>
      </c>
      <c r="J199">
        <v>7.7</v>
      </c>
      <c r="K199">
        <v>0.28999999999999998</v>
      </c>
      <c r="L199">
        <v>1.4</v>
      </c>
      <c r="M199">
        <v>10.9</v>
      </c>
      <c r="N199">
        <v>0.9</v>
      </c>
      <c r="O199" t="s">
        <v>135</v>
      </c>
      <c r="P199" s="379">
        <v>42607</v>
      </c>
      <c r="Q199" t="s">
        <v>57</v>
      </c>
      <c r="R199" t="s">
        <v>1068</v>
      </c>
      <c r="S199" t="s">
        <v>1323</v>
      </c>
      <c r="T199" t="s">
        <v>244</v>
      </c>
      <c r="U199"/>
    </row>
    <row r="200" spans="1:21" x14ac:dyDescent="0.25">
      <c r="A200">
        <v>825109</v>
      </c>
      <c r="B200" t="s">
        <v>246</v>
      </c>
      <c r="C200">
        <v>19</v>
      </c>
      <c r="D200">
        <v>0</v>
      </c>
      <c r="E200">
        <v>4</v>
      </c>
      <c r="F200">
        <v>13</v>
      </c>
      <c r="G200">
        <v>13</v>
      </c>
      <c r="H200">
        <v>56</v>
      </c>
      <c r="I200">
        <v>37</v>
      </c>
      <c r="J200">
        <v>6.6</v>
      </c>
      <c r="K200">
        <v>0.28999999999999998</v>
      </c>
      <c r="L200">
        <v>1.43</v>
      </c>
      <c r="M200">
        <v>11.5</v>
      </c>
      <c r="N200">
        <v>1.4</v>
      </c>
      <c r="O200" t="s">
        <v>135</v>
      </c>
      <c r="P200" s="379">
        <v>36790</v>
      </c>
      <c r="Q200" t="s">
        <v>136</v>
      </c>
      <c r="R200" t="s">
        <v>866</v>
      </c>
      <c r="S200" t="s">
        <v>147</v>
      </c>
      <c r="T200" t="s">
        <v>247</v>
      </c>
      <c r="U200"/>
    </row>
    <row r="201" spans="1:21" x14ac:dyDescent="0.25">
      <c r="A201">
        <v>403642</v>
      </c>
      <c r="B201" t="s">
        <v>265</v>
      </c>
      <c r="C201">
        <v>3</v>
      </c>
      <c r="D201">
        <v>0</v>
      </c>
      <c r="E201">
        <v>1</v>
      </c>
      <c r="F201">
        <v>2</v>
      </c>
      <c r="G201">
        <v>1</v>
      </c>
      <c r="H201">
        <v>6</v>
      </c>
      <c r="I201">
        <v>12</v>
      </c>
      <c r="J201">
        <v>2.2000000000000002</v>
      </c>
      <c r="K201">
        <v>0.28999999999999998</v>
      </c>
      <c r="L201">
        <v>0.9</v>
      </c>
      <c r="M201">
        <v>1.9</v>
      </c>
      <c r="N201">
        <v>1.3</v>
      </c>
      <c r="O201" t="s">
        <v>135</v>
      </c>
      <c r="P201" s="379">
        <v>36790</v>
      </c>
      <c r="Q201" t="s">
        <v>136</v>
      </c>
      <c r="R201" t="s">
        <v>889</v>
      </c>
      <c r="S201" t="s">
        <v>185</v>
      </c>
      <c r="T201" t="s">
        <v>597</v>
      </c>
      <c r="U201"/>
    </row>
    <row r="202" spans="1:21" x14ac:dyDescent="0.25">
      <c r="A202">
        <v>291906</v>
      </c>
      <c r="B202" t="s">
        <v>85</v>
      </c>
      <c r="C202">
        <v>9</v>
      </c>
      <c r="D202">
        <v>-9</v>
      </c>
      <c r="E202">
        <v>-3</v>
      </c>
      <c r="F202">
        <v>2</v>
      </c>
      <c r="G202">
        <v>-9</v>
      </c>
      <c r="H202">
        <v>16</v>
      </c>
      <c r="I202">
        <v>33</v>
      </c>
      <c r="J202">
        <v>5.8</v>
      </c>
      <c r="K202">
        <v>0.3</v>
      </c>
      <c r="L202">
        <v>1.22</v>
      </c>
      <c r="M202">
        <v>15.1</v>
      </c>
      <c r="N202">
        <v>0.4</v>
      </c>
      <c r="O202" t="s">
        <v>135</v>
      </c>
      <c r="P202" s="379">
        <v>36790</v>
      </c>
      <c r="Q202" t="s">
        <v>136</v>
      </c>
      <c r="R202" t="s">
        <v>725</v>
      </c>
      <c r="S202" t="s">
        <v>258</v>
      </c>
      <c r="T202" t="s">
        <v>182</v>
      </c>
      <c r="U202"/>
    </row>
    <row r="203" spans="1:21" x14ac:dyDescent="0.25">
      <c r="A203">
        <v>639633</v>
      </c>
      <c r="B203" t="s">
        <v>266</v>
      </c>
      <c r="C203">
        <v>2</v>
      </c>
      <c r="D203">
        <v>0</v>
      </c>
      <c r="E203">
        <v>6</v>
      </c>
      <c r="F203">
        <v>5</v>
      </c>
      <c r="G203">
        <v>2</v>
      </c>
      <c r="H203">
        <v>-2</v>
      </c>
      <c r="I203">
        <v>9</v>
      </c>
      <c r="J203">
        <v>1.8</v>
      </c>
      <c r="K203">
        <v>0.3</v>
      </c>
      <c r="L203">
        <v>1.1499999999999999</v>
      </c>
      <c r="M203">
        <v>7.9</v>
      </c>
      <c r="N203">
        <v>0</v>
      </c>
      <c r="O203" t="s">
        <v>135</v>
      </c>
      <c r="P203" s="379">
        <v>40569</v>
      </c>
      <c r="Q203" t="s">
        <v>57</v>
      </c>
      <c r="R203" t="s">
        <v>895</v>
      </c>
      <c r="S203" t="s">
        <v>173</v>
      </c>
      <c r="T203" t="s">
        <v>588</v>
      </c>
      <c r="U203"/>
    </row>
    <row r="204" spans="1:21" x14ac:dyDescent="0.25">
      <c r="A204">
        <v>134593</v>
      </c>
      <c r="B204" t="s">
        <v>580</v>
      </c>
      <c r="C204">
        <v>1</v>
      </c>
      <c r="D204">
        <v>0</v>
      </c>
      <c r="E204">
        <v>1</v>
      </c>
      <c r="F204">
        <v>0</v>
      </c>
      <c r="G204">
        <v>0</v>
      </c>
      <c r="H204">
        <v>2</v>
      </c>
      <c r="I204">
        <v>3</v>
      </c>
      <c r="J204">
        <v>0.5</v>
      </c>
      <c r="K204">
        <v>0.3</v>
      </c>
      <c r="L204">
        <v>0.68</v>
      </c>
      <c r="M204">
        <v>0.4</v>
      </c>
      <c r="N204">
        <v>2.6</v>
      </c>
      <c r="O204" t="s">
        <v>135</v>
      </c>
      <c r="P204" s="379">
        <v>36998</v>
      </c>
      <c r="Q204" t="s">
        <v>136</v>
      </c>
      <c r="R204" t="s">
        <v>784</v>
      </c>
      <c r="S204" t="s">
        <v>193</v>
      </c>
      <c r="T204" t="s">
        <v>593</v>
      </c>
      <c r="U204"/>
    </row>
    <row r="205" spans="1:21" x14ac:dyDescent="0.25">
      <c r="A205">
        <v>356477</v>
      </c>
      <c r="B205" t="s">
        <v>628</v>
      </c>
      <c r="C205">
        <v>1</v>
      </c>
      <c r="D205">
        <v>0</v>
      </c>
      <c r="E205">
        <v>0</v>
      </c>
      <c r="F205">
        <v>0</v>
      </c>
      <c r="G205">
        <v>0</v>
      </c>
      <c r="H205">
        <v>1</v>
      </c>
      <c r="I205">
        <v>2</v>
      </c>
      <c r="J205">
        <v>0.5</v>
      </c>
      <c r="K205">
        <v>0.3</v>
      </c>
      <c r="L205">
        <v>0.68</v>
      </c>
      <c r="M205">
        <v>0.4</v>
      </c>
      <c r="N205">
        <v>1.6</v>
      </c>
      <c r="O205" t="s">
        <v>135</v>
      </c>
      <c r="P205" s="379">
        <v>42837</v>
      </c>
      <c r="Q205" t="s">
        <v>136</v>
      </c>
      <c r="R205" t="s">
        <v>1386</v>
      </c>
      <c r="S205" t="s">
        <v>193</v>
      </c>
      <c r="T205" t="s">
        <v>595</v>
      </c>
      <c r="U205"/>
    </row>
    <row r="206" spans="1:21" x14ac:dyDescent="0.25">
      <c r="A206">
        <v>311027</v>
      </c>
      <c r="B206" t="s">
        <v>311</v>
      </c>
      <c r="C206">
        <v>17</v>
      </c>
      <c r="D206">
        <v>0</v>
      </c>
      <c r="E206">
        <v>4</v>
      </c>
      <c r="F206">
        <v>12</v>
      </c>
      <c r="G206">
        <v>8</v>
      </c>
      <c r="H206">
        <v>59</v>
      </c>
      <c r="I206">
        <v>85</v>
      </c>
      <c r="J206">
        <v>13</v>
      </c>
      <c r="K206">
        <v>0.31</v>
      </c>
      <c r="L206">
        <v>1.5</v>
      </c>
      <c r="M206">
        <v>11.1</v>
      </c>
      <c r="N206">
        <v>1.5</v>
      </c>
      <c r="O206" t="s">
        <v>226</v>
      </c>
      <c r="P206" s="379">
        <v>41348</v>
      </c>
      <c r="Q206" t="s">
        <v>57</v>
      </c>
      <c r="R206" t="s">
        <v>1035</v>
      </c>
      <c r="S206" t="s">
        <v>150</v>
      </c>
      <c r="T206" t="s">
        <v>610</v>
      </c>
      <c r="U206"/>
    </row>
    <row r="207" spans="1:21" x14ac:dyDescent="0.25">
      <c r="A207">
        <v>123679</v>
      </c>
      <c r="B207" t="s">
        <v>638</v>
      </c>
      <c r="C207">
        <v>20</v>
      </c>
      <c r="D207">
        <v>-5</v>
      </c>
      <c r="E207">
        <v>4</v>
      </c>
      <c r="F207">
        <v>9</v>
      </c>
      <c r="G207">
        <v>3</v>
      </c>
      <c r="H207">
        <v>46</v>
      </c>
      <c r="I207">
        <v>84</v>
      </c>
      <c r="J207">
        <v>12.9</v>
      </c>
      <c r="K207">
        <v>0.31</v>
      </c>
      <c r="L207">
        <v>1.41</v>
      </c>
      <c r="M207">
        <v>13.7</v>
      </c>
      <c r="N207">
        <v>1</v>
      </c>
      <c r="O207" t="s">
        <v>135</v>
      </c>
      <c r="P207" s="379">
        <v>36790</v>
      </c>
      <c r="Q207" t="s">
        <v>136</v>
      </c>
      <c r="R207" t="s">
        <v>935</v>
      </c>
      <c r="S207" t="s">
        <v>161</v>
      </c>
      <c r="T207" t="s">
        <v>154</v>
      </c>
      <c r="U207"/>
    </row>
    <row r="208" spans="1:21" x14ac:dyDescent="0.25">
      <c r="A208">
        <v>520759</v>
      </c>
      <c r="B208" t="s">
        <v>458</v>
      </c>
      <c r="C208">
        <v>11</v>
      </c>
      <c r="D208">
        <v>-6</v>
      </c>
      <c r="E208">
        <v>-3</v>
      </c>
      <c r="F208">
        <v>2</v>
      </c>
      <c r="G208">
        <v>-3</v>
      </c>
      <c r="H208">
        <v>40</v>
      </c>
      <c r="I208">
        <v>73</v>
      </c>
      <c r="J208">
        <v>11.6</v>
      </c>
      <c r="K208">
        <v>0.31</v>
      </c>
      <c r="L208">
        <v>1.25</v>
      </c>
      <c r="M208">
        <v>12.7</v>
      </c>
      <c r="N208">
        <v>1</v>
      </c>
      <c r="O208" t="s">
        <v>135</v>
      </c>
      <c r="P208" s="379">
        <v>38394</v>
      </c>
      <c r="Q208" t="s">
        <v>136</v>
      </c>
      <c r="R208" t="s">
        <v>704</v>
      </c>
      <c r="S208" t="s">
        <v>173</v>
      </c>
      <c r="T208" t="s">
        <v>154</v>
      </c>
      <c r="U208"/>
    </row>
    <row r="209" spans="1:21" x14ac:dyDescent="0.25">
      <c r="A209">
        <v>528133</v>
      </c>
      <c r="B209" t="s">
        <v>264</v>
      </c>
      <c r="C209">
        <v>11</v>
      </c>
      <c r="D209">
        <v>-8</v>
      </c>
      <c r="E209">
        <v>1</v>
      </c>
      <c r="F209">
        <v>4</v>
      </c>
      <c r="G209">
        <v>0</v>
      </c>
      <c r="H209">
        <v>30</v>
      </c>
      <c r="I209">
        <v>59</v>
      </c>
      <c r="J209">
        <v>9.8000000000000007</v>
      </c>
      <c r="K209">
        <v>0.31</v>
      </c>
      <c r="L209">
        <v>1.37</v>
      </c>
      <c r="M209">
        <v>13.8</v>
      </c>
      <c r="N209">
        <v>0.7</v>
      </c>
      <c r="O209" t="s">
        <v>135</v>
      </c>
      <c r="P209" s="379">
        <v>36790</v>
      </c>
      <c r="Q209" t="s">
        <v>136</v>
      </c>
      <c r="R209" t="s">
        <v>738</v>
      </c>
      <c r="S209" t="s">
        <v>149</v>
      </c>
      <c r="T209" t="s">
        <v>182</v>
      </c>
      <c r="U209"/>
    </row>
    <row r="210" spans="1:21" x14ac:dyDescent="0.25">
      <c r="A210">
        <v>158261</v>
      </c>
      <c r="B210" t="s">
        <v>548</v>
      </c>
      <c r="C210">
        <v>11</v>
      </c>
      <c r="D210">
        <v>-7</v>
      </c>
      <c r="E210">
        <v>-1</v>
      </c>
      <c r="F210">
        <v>5</v>
      </c>
      <c r="G210">
        <v>-3</v>
      </c>
      <c r="H210">
        <v>25</v>
      </c>
      <c r="I210">
        <v>41</v>
      </c>
      <c r="J210">
        <v>7.1</v>
      </c>
      <c r="K210">
        <v>0.31</v>
      </c>
      <c r="L210">
        <v>1.25</v>
      </c>
      <c r="M210">
        <v>12</v>
      </c>
      <c r="N210">
        <v>0.7</v>
      </c>
      <c r="O210" t="s">
        <v>135</v>
      </c>
      <c r="P210" s="379">
        <v>37573</v>
      </c>
      <c r="Q210" t="s">
        <v>136</v>
      </c>
      <c r="R210" t="s">
        <v>717</v>
      </c>
      <c r="S210" t="s">
        <v>173</v>
      </c>
      <c r="T210" t="s">
        <v>182</v>
      </c>
      <c r="U210"/>
    </row>
    <row r="211" spans="1:21" x14ac:dyDescent="0.25">
      <c r="A211">
        <v>879114</v>
      </c>
      <c r="B211" t="s">
        <v>1352</v>
      </c>
      <c r="C211">
        <v>7</v>
      </c>
      <c r="D211">
        <v>-5</v>
      </c>
      <c r="E211">
        <v>-2</v>
      </c>
      <c r="F211">
        <v>1</v>
      </c>
      <c r="G211">
        <v>-3</v>
      </c>
      <c r="H211">
        <v>20</v>
      </c>
      <c r="I211">
        <v>40</v>
      </c>
      <c r="J211">
        <v>6.9</v>
      </c>
      <c r="K211">
        <v>0.31</v>
      </c>
      <c r="L211">
        <v>1.25</v>
      </c>
      <c r="M211">
        <v>7.9</v>
      </c>
      <c r="N211">
        <v>0.8</v>
      </c>
      <c r="O211" t="s">
        <v>135</v>
      </c>
      <c r="P211" s="379">
        <v>37573</v>
      </c>
      <c r="Q211" t="s">
        <v>136</v>
      </c>
      <c r="R211" t="s">
        <v>892</v>
      </c>
      <c r="S211" t="s">
        <v>173</v>
      </c>
      <c r="T211" t="s">
        <v>587</v>
      </c>
      <c r="U211"/>
    </row>
    <row r="212" spans="1:21" x14ac:dyDescent="0.25">
      <c r="A212">
        <v>515973</v>
      </c>
      <c r="B212" t="s">
        <v>657</v>
      </c>
      <c r="C212">
        <v>5</v>
      </c>
      <c r="D212">
        <v>0</v>
      </c>
      <c r="E212">
        <v>3</v>
      </c>
      <c r="F212">
        <v>4</v>
      </c>
      <c r="G212">
        <v>5</v>
      </c>
      <c r="H212">
        <v>16</v>
      </c>
      <c r="I212">
        <v>23</v>
      </c>
      <c r="J212">
        <v>4.2</v>
      </c>
      <c r="K212">
        <v>0.31</v>
      </c>
      <c r="L212">
        <v>0.79</v>
      </c>
      <c r="M212">
        <v>5.8</v>
      </c>
      <c r="N212">
        <v>0.9</v>
      </c>
      <c r="O212" t="s">
        <v>169</v>
      </c>
      <c r="P212" s="379">
        <v>36790</v>
      </c>
      <c r="Q212" t="s">
        <v>57</v>
      </c>
      <c r="R212" t="s">
        <v>909</v>
      </c>
      <c r="S212" t="s">
        <v>1274</v>
      </c>
      <c r="T212" t="s">
        <v>599</v>
      </c>
      <c r="U212"/>
    </row>
    <row r="213" spans="1:21" x14ac:dyDescent="0.25">
      <c r="A213">
        <v>564849</v>
      </c>
      <c r="B213" t="s">
        <v>1343</v>
      </c>
      <c r="C213">
        <v>19</v>
      </c>
      <c r="D213">
        <v>-5</v>
      </c>
      <c r="E213">
        <v>4</v>
      </c>
      <c r="F213">
        <v>10</v>
      </c>
      <c r="G213">
        <v>-3</v>
      </c>
      <c r="H213">
        <v>21</v>
      </c>
      <c r="I213"/>
      <c r="J213"/>
      <c r="K213">
        <v>0.31</v>
      </c>
      <c r="L213">
        <v>1.51</v>
      </c>
      <c r="M213">
        <v>13.2</v>
      </c>
      <c r="N213">
        <v>0.6</v>
      </c>
      <c r="O213" t="s">
        <v>135</v>
      </c>
      <c r="P213" s="379">
        <v>41849</v>
      </c>
      <c r="Q213" t="s">
        <v>57</v>
      </c>
      <c r="R213" t="s">
        <v>1062</v>
      </c>
      <c r="S213" t="s">
        <v>1323</v>
      </c>
      <c r="T213" t="s">
        <v>178</v>
      </c>
      <c r="U213"/>
    </row>
    <row r="214" spans="1:21" x14ac:dyDescent="0.25">
      <c r="A214">
        <v>443309</v>
      </c>
      <c r="B214" t="s">
        <v>655</v>
      </c>
      <c r="C214">
        <v>15</v>
      </c>
      <c r="D214">
        <v>-5</v>
      </c>
      <c r="E214">
        <v>2</v>
      </c>
      <c r="F214">
        <v>6</v>
      </c>
      <c r="G214">
        <v>14</v>
      </c>
      <c r="H214">
        <v>49</v>
      </c>
      <c r="I214"/>
      <c r="J214"/>
      <c r="K214">
        <v>0.31</v>
      </c>
      <c r="L214">
        <v>1.2</v>
      </c>
      <c r="M214">
        <v>11.4</v>
      </c>
      <c r="N214">
        <v>1.3</v>
      </c>
      <c r="O214" t="s">
        <v>135</v>
      </c>
      <c r="P214" s="379">
        <v>42970</v>
      </c>
      <c r="Q214" t="s">
        <v>136</v>
      </c>
      <c r="R214" t="s">
        <v>1394</v>
      </c>
      <c r="S214" t="s">
        <v>429</v>
      </c>
      <c r="T214" t="s">
        <v>154</v>
      </c>
      <c r="U214"/>
    </row>
    <row r="215" spans="1:21" x14ac:dyDescent="0.25">
      <c r="A215">
        <v>313742</v>
      </c>
      <c r="B215" t="s">
        <v>17</v>
      </c>
      <c r="C215">
        <v>22</v>
      </c>
      <c r="D215">
        <v>3</v>
      </c>
      <c r="E215">
        <v>10</v>
      </c>
      <c r="F215">
        <v>22</v>
      </c>
      <c r="G215">
        <v>27</v>
      </c>
      <c r="H215">
        <v>63</v>
      </c>
      <c r="I215">
        <v>144</v>
      </c>
      <c r="J215">
        <v>19.600000000000001</v>
      </c>
      <c r="K215">
        <v>0.32</v>
      </c>
      <c r="L215">
        <v>1.44</v>
      </c>
      <c r="M215">
        <v>13.7</v>
      </c>
      <c r="N215">
        <v>1.3</v>
      </c>
      <c r="O215" t="s">
        <v>135</v>
      </c>
      <c r="P215" s="379">
        <v>37005</v>
      </c>
      <c r="Q215" t="s">
        <v>136</v>
      </c>
      <c r="R215" t="s">
        <v>1024</v>
      </c>
      <c r="S215" t="s">
        <v>149</v>
      </c>
      <c r="T215" t="s">
        <v>610</v>
      </c>
      <c r="U215"/>
    </row>
    <row r="216" spans="1:21" x14ac:dyDescent="0.25">
      <c r="A216">
        <v>821736</v>
      </c>
      <c r="B216" t="s">
        <v>1252</v>
      </c>
      <c r="C216">
        <v>19</v>
      </c>
      <c r="D216">
        <v>-5</v>
      </c>
      <c r="E216">
        <v>1</v>
      </c>
      <c r="F216">
        <v>4</v>
      </c>
      <c r="G216">
        <v>4</v>
      </c>
      <c r="H216">
        <v>60</v>
      </c>
      <c r="I216">
        <v>117</v>
      </c>
      <c r="J216">
        <v>16.8</v>
      </c>
      <c r="K216">
        <v>0.32</v>
      </c>
      <c r="L216">
        <v>1.5</v>
      </c>
      <c r="M216">
        <v>16.3</v>
      </c>
      <c r="N216">
        <v>1.1000000000000001</v>
      </c>
      <c r="O216" t="s">
        <v>135</v>
      </c>
      <c r="P216" s="379">
        <v>41607</v>
      </c>
      <c r="Q216" t="s">
        <v>136</v>
      </c>
      <c r="R216" t="s">
        <v>1253</v>
      </c>
      <c r="S216" t="s">
        <v>161</v>
      </c>
      <c r="T216" t="s">
        <v>608</v>
      </c>
      <c r="U216"/>
    </row>
    <row r="217" spans="1:21" x14ac:dyDescent="0.25">
      <c r="A217">
        <v>644005</v>
      </c>
      <c r="B217" t="s">
        <v>1215</v>
      </c>
      <c r="C217">
        <v>11</v>
      </c>
      <c r="D217">
        <v>-2</v>
      </c>
      <c r="E217">
        <v>-1</v>
      </c>
      <c r="F217">
        <v>1</v>
      </c>
      <c r="G217">
        <v>11</v>
      </c>
      <c r="H217">
        <v>53</v>
      </c>
      <c r="I217">
        <v>111</v>
      </c>
      <c r="J217">
        <v>16.100000000000001</v>
      </c>
      <c r="K217">
        <v>0.32</v>
      </c>
      <c r="L217">
        <v>1.51</v>
      </c>
      <c r="M217">
        <v>13.3</v>
      </c>
      <c r="N217">
        <v>1.2</v>
      </c>
      <c r="O217" t="s">
        <v>135</v>
      </c>
      <c r="P217" s="379">
        <v>38904</v>
      </c>
      <c r="Q217" t="s">
        <v>136</v>
      </c>
      <c r="R217" t="s">
        <v>1138</v>
      </c>
      <c r="S217" t="s">
        <v>161</v>
      </c>
      <c r="T217" t="s">
        <v>587</v>
      </c>
      <c r="U217"/>
    </row>
    <row r="218" spans="1:21" x14ac:dyDescent="0.25">
      <c r="A218">
        <v>952010</v>
      </c>
      <c r="B218" t="s">
        <v>1356</v>
      </c>
      <c r="C218">
        <v>17</v>
      </c>
      <c r="D218">
        <v>-3</v>
      </c>
      <c r="E218">
        <v>3</v>
      </c>
      <c r="F218">
        <v>10</v>
      </c>
      <c r="G218">
        <v>6</v>
      </c>
      <c r="H218">
        <v>40</v>
      </c>
      <c r="I218">
        <v>97</v>
      </c>
      <c r="J218">
        <v>14.5</v>
      </c>
      <c r="K218">
        <v>0.32</v>
      </c>
      <c r="L218">
        <v>1.51</v>
      </c>
      <c r="M218">
        <v>13.9</v>
      </c>
      <c r="N218">
        <v>0.9</v>
      </c>
      <c r="O218" t="s">
        <v>135</v>
      </c>
      <c r="P218" s="379">
        <v>36790</v>
      </c>
      <c r="Q218" t="s">
        <v>136</v>
      </c>
      <c r="R218" t="s">
        <v>667</v>
      </c>
      <c r="S218" t="s">
        <v>161</v>
      </c>
      <c r="T218" t="s">
        <v>208</v>
      </c>
      <c r="U218"/>
    </row>
    <row r="219" spans="1:21" x14ac:dyDescent="0.25">
      <c r="A219">
        <v>504100</v>
      </c>
      <c r="B219" t="s">
        <v>614</v>
      </c>
      <c r="C219">
        <v>13</v>
      </c>
      <c r="D219">
        <v>-9</v>
      </c>
      <c r="E219">
        <v>-2</v>
      </c>
      <c r="F219">
        <v>7</v>
      </c>
      <c r="G219">
        <v>-5</v>
      </c>
      <c r="H219">
        <v>63</v>
      </c>
      <c r="I219">
        <v>91</v>
      </c>
      <c r="J219">
        <v>13.8</v>
      </c>
      <c r="K219">
        <v>0.32</v>
      </c>
      <c r="L219">
        <v>1.5</v>
      </c>
      <c r="M219">
        <v>14.2</v>
      </c>
      <c r="N219">
        <v>1.2</v>
      </c>
      <c r="O219" t="s">
        <v>135</v>
      </c>
      <c r="P219" s="379">
        <v>41963</v>
      </c>
      <c r="Q219" t="s">
        <v>136</v>
      </c>
      <c r="R219" t="s">
        <v>1015</v>
      </c>
      <c r="S219" t="s">
        <v>161</v>
      </c>
      <c r="T219" t="s">
        <v>609</v>
      </c>
      <c r="U219"/>
    </row>
    <row r="220" spans="1:21" x14ac:dyDescent="0.25">
      <c r="A220">
        <v>286294</v>
      </c>
      <c r="B220" t="s">
        <v>1333</v>
      </c>
      <c r="C220">
        <v>17</v>
      </c>
      <c r="D220">
        <v>-4</v>
      </c>
      <c r="E220">
        <v>4</v>
      </c>
      <c r="F220">
        <v>9</v>
      </c>
      <c r="G220">
        <v>2</v>
      </c>
      <c r="H220">
        <v>49</v>
      </c>
      <c r="I220">
        <v>88</v>
      </c>
      <c r="J220">
        <v>13.5</v>
      </c>
      <c r="K220">
        <v>0.32</v>
      </c>
      <c r="L220">
        <v>1.6</v>
      </c>
      <c r="M220">
        <v>12</v>
      </c>
      <c r="N220">
        <v>1.2</v>
      </c>
      <c r="O220" t="s">
        <v>135</v>
      </c>
      <c r="P220" s="379">
        <v>39101</v>
      </c>
      <c r="Q220" t="s">
        <v>57</v>
      </c>
      <c r="R220" t="s">
        <v>1081</v>
      </c>
      <c r="S220" t="s">
        <v>1323</v>
      </c>
      <c r="T220" t="s">
        <v>244</v>
      </c>
      <c r="U220"/>
    </row>
    <row r="221" spans="1:21" x14ac:dyDescent="0.25">
      <c r="A221">
        <v>140491</v>
      </c>
      <c r="B221" t="s">
        <v>88</v>
      </c>
      <c r="C221">
        <v>12</v>
      </c>
      <c r="D221">
        <v>-4</v>
      </c>
      <c r="E221">
        <v>2</v>
      </c>
      <c r="F221">
        <v>3</v>
      </c>
      <c r="G221">
        <v>-3</v>
      </c>
      <c r="H221">
        <v>26</v>
      </c>
      <c r="I221">
        <v>80</v>
      </c>
      <c r="J221">
        <v>12.5</v>
      </c>
      <c r="K221">
        <v>0.32</v>
      </c>
      <c r="L221">
        <v>1.4</v>
      </c>
      <c r="M221">
        <v>12.9</v>
      </c>
      <c r="N221">
        <v>0.7</v>
      </c>
      <c r="O221" t="s">
        <v>135</v>
      </c>
      <c r="P221" s="379">
        <v>39827</v>
      </c>
      <c r="Q221" t="s">
        <v>136</v>
      </c>
      <c r="R221" t="s">
        <v>681</v>
      </c>
      <c r="S221" t="s">
        <v>258</v>
      </c>
      <c r="T221" t="s">
        <v>244</v>
      </c>
      <c r="U221"/>
    </row>
    <row r="222" spans="1:21" x14ac:dyDescent="0.25">
      <c r="A222">
        <v>494427</v>
      </c>
      <c r="B222" t="s">
        <v>1340</v>
      </c>
      <c r="C222">
        <v>14</v>
      </c>
      <c r="D222">
        <v>-9</v>
      </c>
      <c r="E222">
        <v>0</v>
      </c>
      <c r="F222">
        <v>8</v>
      </c>
      <c r="G222">
        <v>-6</v>
      </c>
      <c r="H222">
        <v>55</v>
      </c>
      <c r="I222">
        <v>76</v>
      </c>
      <c r="J222">
        <v>11.9</v>
      </c>
      <c r="K222">
        <v>0.32</v>
      </c>
      <c r="L222">
        <v>1.63</v>
      </c>
      <c r="M222">
        <v>14.8</v>
      </c>
      <c r="N222">
        <v>1.1000000000000001</v>
      </c>
      <c r="O222" t="s">
        <v>135</v>
      </c>
      <c r="P222" s="379">
        <v>41369</v>
      </c>
      <c r="Q222" t="s">
        <v>57</v>
      </c>
      <c r="R222" t="s">
        <v>931</v>
      </c>
      <c r="S222" t="s">
        <v>1323</v>
      </c>
      <c r="T222" t="s">
        <v>609</v>
      </c>
      <c r="U222"/>
    </row>
    <row r="223" spans="1:21" x14ac:dyDescent="0.25">
      <c r="A223">
        <v>490292</v>
      </c>
      <c r="B223" t="s">
        <v>514</v>
      </c>
      <c r="C223">
        <v>5</v>
      </c>
      <c r="D223">
        <v>-9</v>
      </c>
      <c r="E223">
        <v>-5</v>
      </c>
      <c r="F223">
        <v>-3</v>
      </c>
      <c r="G223">
        <v>-1</v>
      </c>
      <c r="H223">
        <v>29</v>
      </c>
      <c r="I223">
        <v>56</v>
      </c>
      <c r="J223">
        <v>9.4</v>
      </c>
      <c r="K223">
        <v>0.32</v>
      </c>
      <c r="L223">
        <v>1</v>
      </c>
      <c r="M223">
        <v>13.3</v>
      </c>
      <c r="N223">
        <v>0.7</v>
      </c>
      <c r="O223" t="s">
        <v>135</v>
      </c>
      <c r="P223" s="379">
        <v>39799</v>
      </c>
      <c r="Q223" t="s">
        <v>136</v>
      </c>
      <c r="R223" t="s">
        <v>734</v>
      </c>
      <c r="S223" t="s">
        <v>163</v>
      </c>
      <c r="T223" t="s">
        <v>182</v>
      </c>
      <c r="U223"/>
    </row>
    <row r="224" spans="1:21" x14ac:dyDescent="0.25">
      <c r="A224">
        <v>484923</v>
      </c>
      <c r="B224" t="s">
        <v>275</v>
      </c>
      <c r="C224">
        <v>12</v>
      </c>
      <c r="D224">
        <v>-8</v>
      </c>
      <c r="E224">
        <v>0</v>
      </c>
      <c r="F224">
        <v>3</v>
      </c>
      <c r="G224">
        <v>-4</v>
      </c>
      <c r="H224">
        <v>31</v>
      </c>
      <c r="I224">
        <v>53</v>
      </c>
      <c r="J224">
        <v>8.9</v>
      </c>
      <c r="K224">
        <v>0.32</v>
      </c>
      <c r="L224">
        <v>1.3</v>
      </c>
      <c r="M224">
        <v>13.2</v>
      </c>
      <c r="N224">
        <v>0.8</v>
      </c>
      <c r="O224" t="s">
        <v>135</v>
      </c>
      <c r="P224" s="379">
        <v>38394</v>
      </c>
      <c r="Q224" t="s">
        <v>136</v>
      </c>
      <c r="R224" t="s">
        <v>766</v>
      </c>
      <c r="S224" t="s">
        <v>173</v>
      </c>
      <c r="T224" t="s">
        <v>244</v>
      </c>
      <c r="U224"/>
    </row>
    <row r="225" spans="1:21" x14ac:dyDescent="0.25">
      <c r="A225">
        <v>551804</v>
      </c>
      <c r="B225" t="s">
        <v>260</v>
      </c>
      <c r="C225">
        <v>10</v>
      </c>
      <c r="D225">
        <v>2</v>
      </c>
      <c r="E225">
        <v>7</v>
      </c>
      <c r="F225">
        <v>10</v>
      </c>
      <c r="G225">
        <v>14</v>
      </c>
      <c r="H225">
        <v>16</v>
      </c>
      <c r="I225">
        <v>52</v>
      </c>
      <c r="J225">
        <v>8.6999999999999993</v>
      </c>
      <c r="K225">
        <v>0.32</v>
      </c>
      <c r="L225">
        <v>0.82</v>
      </c>
      <c r="M225">
        <v>8.8000000000000007</v>
      </c>
      <c r="N225">
        <v>0.7</v>
      </c>
      <c r="O225" t="s">
        <v>261</v>
      </c>
      <c r="P225" s="379">
        <v>36790</v>
      </c>
      <c r="Q225" t="s">
        <v>57</v>
      </c>
      <c r="R225" t="s">
        <v>899</v>
      </c>
      <c r="S225" t="s">
        <v>1274</v>
      </c>
      <c r="T225" t="s">
        <v>595</v>
      </c>
      <c r="U225"/>
    </row>
    <row r="226" spans="1:21" x14ac:dyDescent="0.25">
      <c r="A226">
        <v>811117</v>
      </c>
      <c r="B226" t="s">
        <v>1349</v>
      </c>
      <c r="C226">
        <v>10</v>
      </c>
      <c r="D226">
        <v>-6</v>
      </c>
      <c r="E226">
        <v>-1</v>
      </c>
      <c r="F226">
        <v>4</v>
      </c>
      <c r="G226">
        <v>-2</v>
      </c>
      <c r="H226">
        <v>30</v>
      </c>
      <c r="I226">
        <v>52</v>
      </c>
      <c r="J226">
        <v>8.6999999999999993</v>
      </c>
      <c r="K226">
        <v>0.32</v>
      </c>
      <c r="L226">
        <v>1.5</v>
      </c>
      <c r="M226">
        <v>11.2</v>
      </c>
      <c r="N226">
        <v>0.9</v>
      </c>
      <c r="O226" t="s">
        <v>135</v>
      </c>
      <c r="P226" s="379">
        <v>36846</v>
      </c>
      <c r="Q226" t="s">
        <v>136</v>
      </c>
      <c r="R226" t="s">
        <v>664</v>
      </c>
      <c r="S226" t="s">
        <v>161</v>
      </c>
      <c r="T226" t="s">
        <v>244</v>
      </c>
      <c r="U226"/>
    </row>
    <row r="227" spans="1:21" x14ac:dyDescent="0.25">
      <c r="A227">
        <v>995571</v>
      </c>
      <c r="B227" t="s">
        <v>1358</v>
      </c>
      <c r="C227">
        <v>13</v>
      </c>
      <c r="D227">
        <v>-7</v>
      </c>
      <c r="E227">
        <v>-1</v>
      </c>
      <c r="F227">
        <v>7</v>
      </c>
      <c r="G227">
        <v>-1</v>
      </c>
      <c r="H227">
        <v>45</v>
      </c>
      <c r="I227">
        <v>42</v>
      </c>
      <c r="J227">
        <v>7.3</v>
      </c>
      <c r="K227">
        <v>0.32</v>
      </c>
      <c r="L227">
        <v>1.6</v>
      </c>
      <c r="M227">
        <v>13.2</v>
      </c>
      <c r="N227">
        <v>1</v>
      </c>
      <c r="O227" t="s">
        <v>135</v>
      </c>
      <c r="P227" s="379">
        <v>39540</v>
      </c>
      <c r="Q227" t="s">
        <v>57</v>
      </c>
      <c r="R227" t="s">
        <v>970</v>
      </c>
      <c r="S227" t="s">
        <v>1323</v>
      </c>
      <c r="T227" t="s">
        <v>228</v>
      </c>
      <c r="U227"/>
    </row>
    <row r="228" spans="1:21" x14ac:dyDescent="0.25">
      <c r="A228">
        <v>154302</v>
      </c>
      <c r="B228" t="s">
        <v>623</v>
      </c>
      <c r="C228">
        <v>7</v>
      </c>
      <c r="D228">
        <v>-3</v>
      </c>
      <c r="E228">
        <v>0</v>
      </c>
      <c r="F228">
        <v>3</v>
      </c>
      <c r="G228">
        <v>0</v>
      </c>
      <c r="H228">
        <v>20</v>
      </c>
      <c r="I228">
        <v>34</v>
      </c>
      <c r="J228">
        <v>5.9</v>
      </c>
      <c r="K228">
        <v>0.32</v>
      </c>
      <c r="L228">
        <v>1.5</v>
      </c>
      <c r="M228">
        <v>6</v>
      </c>
      <c r="N228">
        <v>1.1000000000000001</v>
      </c>
      <c r="O228" t="s">
        <v>135</v>
      </c>
      <c r="P228" s="379">
        <v>42046</v>
      </c>
      <c r="Q228" t="s">
        <v>136</v>
      </c>
      <c r="R228" t="s">
        <v>1048</v>
      </c>
      <c r="S228" t="s">
        <v>161</v>
      </c>
      <c r="T228" t="s">
        <v>602</v>
      </c>
      <c r="U228"/>
    </row>
    <row r="229" spans="1:21" x14ac:dyDescent="0.25">
      <c r="A229">
        <v>664482</v>
      </c>
      <c r="B229" t="s">
        <v>1309</v>
      </c>
      <c r="C229">
        <v>3</v>
      </c>
      <c r="D229">
        <v>0</v>
      </c>
      <c r="E229">
        <v>1</v>
      </c>
      <c r="F229">
        <v>3</v>
      </c>
      <c r="G229">
        <v>1</v>
      </c>
      <c r="H229">
        <v>8</v>
      </c>
      <c r="I229">
        <v>11</v>
      </c>
      <c r="J229">
        <v>2.2000000000000002</v>
      </c>
      <c r="K229">
        <v>0.32</v>
      </c>
      <c r="L229">
        <v>0.85</v>
      </c>
      <c r="M229">
        <v>2.1</v>
      </c>
      <c r="N229">
        <v>1.3</v>
      </c>
      <c r="O229" t="s">
        <v>135</v>
      </c>
      <c r="P229" s="379">
        <v>41141</v>
      </c>
      <c r="Q229" t="s">
        <v>57</v>
      </c>
      <c r="R229" t="s">
        <v>842</v>
      </c>
      <c r="S229" t="s">
        <v>164</v>
      </c>
      <c r="T229" t="s">
        <v>604</v>
      </c>
      <c r="U229"/>
    </row>
    <row r="230" spans="1:21" x14ac:dyDescent="0.25">
      <c r="A230">
        <v>715664</v>
      </c>
      <c r="B230" t="s">
        <v>1216</v>
      </c>
      <c r="C230">
        <v>13</v>
      </c>
      <c r="D230">
        <v>-5</v>
      </c>
      <c r="E230">
        <v>1</v>
      </c>
      <c r="F230">
        <v>6</v>
      </c>
      <c r="G230">
        <v>-5</v>
      </c>
      <c r="H230">
        <v>24</v>
      </c>
      <c r="I230">
        <v>9</v>
      </c>
      <c r="J230">
        <v>1.7</v>
      </c>
      <c r="K230">
        <v>0.32</v>
      </c>
      <c r="L230">
        <v>1.6</v>
      </c>
      <c r="M230">
        <v>13.8</v>
      </c>
      <c r="N230">
        <v>0.6</v>
      </c>
      <c r="O230" t="s">
        <v>135</v>
      </c>
      <c r="P230" s="379">
        <v>38904</v>
      </c>
      <c r="Q230" t="s">
        <v>136</v>
      </c>
      <c r="R230" t="s">
        <v>753</v>
      </c>
      <c r="S230" t="s">
        <v>161</v>
      </c>
      <c r="T230" t="s">
        <v>587</v>
      </c>
      <c r="U230"/>
    </row>
    <row r="231" spans="1:21" x14ac:dyDescent="0.25">
      <c r="A231">
        <v>494302</v>
      </c>
      <c r="B231" t="s">
        <v>1217</v>
      </c>
      <c r="C231">
        <v>21</v>
      </c>
      <c r="D231">
        <v>2</v>
      </c>
      <c r="E231">
        <v>7</v>
      </c>
      <c r="F231">
        <v>15</v>
      </c>
      <c r="G231">
        <v>13</v>
      </c>
      <c r="H231"/>
      <c r="I231"/>
      <c r="J231"/>
      <c r="K231">
        <v>0.32</v>
      </c>
      <c r="L231">
        <v>1.43</v>
      </c>
      <c r="M231"/>
      <c r="N231"/>
      <c r="O231" t="s">
        <v>135</v>
      </c>
      <c r="P231" s="379">
        <v>43241</v>
      </c>
      <c r="Q231" t="s">
        <v>136</v>
      </c>
      <c r="R231" t="s">
        <v>1403</v>
      </c>
      <c r="S231" t="s">
        <v>149</v>
      </c>
      <c r="T231" t="s">
        <v>610</v>
      </c>
      <c r="U231"/>
    </row>
    <row r="232" spans="1:21" x14ac:dyDescent="0.25">
      <c r="A232">
        <v>563965</v>
      </c>
      <c r="B232" t="s">
        <v>569</v>
      </c>
      <c r="C232">
        <v>17</v>
      </c>
      <c r="D232">
        <v>-6</v>
      </c>
      <c r="E232">
        <v>2</v>
      </c>
      <c r="F232">
        <v>6</v>
      </c>
      <c r="G232">
        <v>4</v>
      </c>
      <c r="H232">
        <v>44</v>
      </c>
      <c r="I232">
        <v>63</v>
      </c>
      <c r="J232">
        <v>10.3</v>
      </c>
      <c r="K232">
        <v>0.33</v>
      </c>
      <c r="L232">
        <v>1.5</v>
      </c>
      <c r="M232">
        <v>13.6</v>
      </c>
      <c r="N232">
        <v>1</v>
      </c>
      <c r="O232" t="s">
        <v>135</v>
      </c>
      <c r="P232" s="379">
        <v>36790</v>
      </c>
      <c r="Q232" t="s">
        <v>136</v>
      </c>
      <c r="R232" t="s">
        <v>744</v>
      </c>
      <c r="S232" t="s">
        <v>149</v>
      </c>
      <c r="T232" t="s">
        <v>154</v>
      </c>
      <c r="U232"/>
    </row>
    <row r="233" spans="1:21" x14ac:dyDescent="0.25">
      <c r="A233">
        <v>301580</v>
      </c>
      <c r="B233" t="s">
        <v>284</v>
      </c>
      <c r="C233">
        <v>8</v>
      </c>
      <c r="D233">
        <v>-7</v>
      </c>
      <c r="E233">
        <v>-3</v>
      </c>
      <c r="F233">
        <v>1</v>
      </c>
      <c r="G233">
        <v>-3</v>
      </c>
      <c r="H233">
        <v>26</v>
      </c>
      <c r="I233">
        <v>51</v>
      </c>
      <c r="J233">
        <v>8.6</v>
      </c>
      <c r="K233">
        <v>0.33</v>
      </c>
      <c r="L233">
        <v>1.4</v>
      </c>
      <c r="M233">
        <v>10.5</v>
      </c>
      <c r="N233">
        <v>0.8</v>
      </c>
      <c r="O233" t="s">
        <v>135</v>
      </c>
      <c r="P233" s="379">
        <v>37573</v>
      </c>
      <c r="Q233" t="s">
        <v>136</v>
      </c>
      <c r="R233" t="s">
        <v>702</v>
      </c>
      <c r="S233" t="s">
        <v>173</v>
      </c>
      <c r="T233" t="s">
        <v>154</v>
      </c>
      <c r="U233"/>
    </row>
    <row r="234" spans="1:21" x14ac:dyDescent="0.25">
      <c r="A234">
        <v>122432</v>
      </c>
      <c r="B234" t="s">
        <v>285</v>
      </c>
      <c r="C234">
        <v>13</v>
      </c>
      <c r="D234">
        <v>-6</v>
      </c>
      <c r="E234">
        <v>-1</v>
      </c>
      <c r="F234">
        <v>6</v>
      </c>
      <c r="G234">
        <v>-1</v>
      </c>
      <c r="H234">
        <v>30</v>
      </c>
      <c r="I234">
        <v>51</v>
      </c>
      <c r="J234">
        <v>8.6</v>
      </c>
      <c r="K234">
        <v>0.33</v>
      </c>
      <c r="L234">
        <v>1.4</v>
      </c>
      <c r="M234">
        <v>11.6</v>
      </c>
      <c r="N234">
        <v>0.8</v>
      </c>
      <c r="O234" t="s">
        <v>135</v>
      </c>
      <c r="P234" s="379">
        <v>37573</v>
      </c>
      <c r="Q234" t="s">
        <v>136</v>
      </c>
      <c r="R234" t="s">
        <v>762</v>
      </c>
      <c r="S234" t="s">
        <v>173</v>
      </c>
      <c r="T234" t="s">
        <v>178</v>
      </c>
      <c r="U234"/>
    </row>
    <row r="235" spans="1:21" x14ac:dyDescent="0.25">
      <c r="A235">
        <v>997403</v>
      </c>
      <c r="B235" t="s">
        <v>280</v>
      </c>
      <c r="C235">
        <v>6</v>
      </c>
      <c r="D235">
        <v>-4</v>
      </c>
      <c r="E235">
        <v>-1</v>
      </c>
      <c r="F235">
        <v>1</v>
      </c>
      <c r="G235">
        <v>-1</v>
      </c>
      <c r="H235">
        <v>15</v>
      </c>
      <c r="I235">
        <v>31</v>
      </c>
      <c r="J235">
        <v>5.5</v>
      </c>
      <c r="K235">
        <v>0.33</v>
      </c>
      <c r="L235">
        <v>1.38</v>
      </c>
      <c r="M235">
        <v>6.4</v>
      </c>
      <c r="N235">
        <v>0.8</v>
      </c>
      <c r="O235" t="s">
        <v>135</v>
      </c>
      <c r="P235" s="379">
        <v>41522</v>
      </c>
      <c r="Q235" t="s">
        <v>57</v>
      </c>
      <c r="R235" t="s">
        <v>983</v>
      </c>
      <c r="S235" t="s">
        <v>173</v>
      </c>
      <c r="T235" t="s">
        <v>602</v>
      </c>
      <c r="U235"/>
    </row>
    <row r="236" spans="1:21" x14ac:dyDescent="0.25">
      <c r="A236">
        <v>259499</v>
      </c>
      <c r="B236" t="s">
        <v>1331</v>
      </c>
      <c r="C236">
        <v>8</v>
      </c>
      <c r="D236">
        <v>1</v>
      </c>
      <c r="E236">
        <v>4</v>
      </c>
      <c r="F236">
        <v>8</v>
      </c>
      <c r="G236">
        <v>8</v>
      </c>
      <c r="H236">
        <v>18</v>
      </c>
      <c r="I236">
        <v>30</v>
      </c>
      <c r="J236">
        <v>5.4</v>
      </c>
      <c r="K236">
        <v>0.33</v>
      </c>
      <c r="L236">
        <v>1.21</v>
      </c>
      <c r="M236">
        <v>5.6</v>
      </c>
      <c r="N236">
        <v>1.1000000000000001</v>
      </c>
      <c r="O236" t="s">
        <v>169</v>
      </c>
      <c r="P236" s="379">
        <v>40312</v>
      </c>
      <c r="Q236" t="s">
        <v>57</v>
      </c>
      <c r="R236" t="s">
        <v>930</v>
      </c>
      <c r="S236" t="s">
        <v>1273</v>
      </c>
      <c r="T236" t="s">
        <v>599</v>
      </c>
      <c r="U236"/>
    </row>
    <row r="237" spans="1:21" x14ac:dyDescent="0.25">
      <c r="A237">
        <v>599795</v>
      </c>
      <c r="B237" t="s">
        <v>1290</v>
      </c>
      <c r="C237">
        <v>12</v>
      </c>
      <c r="D237">
        <v>-3</v>
      </c>
      <c r="E237">
        <v>2</v>
      </c>
      <c r="F237">
        <v>6</v>
      </c>
      <c r="G237">
        <v>3</v>
      </c>
      <c r="H237">
        <v>20</v>
      </c>
      <c r="I237">
        <v>27</v>
      </c>
      <c r="J237">
        <v>4.9000000000000004</v>
      </c>
      <c r="K237">
        <v>0.33</v>
      </c>
      <c r="L237">
        <v>1.6</v>
      </c>
      <c r="M237">
        <v>7.4</v>
      </c>
      <c r="N237">
        <v>0.9</v>
      </c>
      <c r="O237" t="s">
        <v>135</v>
      </c>
      <c r="P237" s="379">
        <v>36790</v>
      </c>
      <c r="Q237" t="s">
        <v>136</v>
      </c>
      <c r="R237" t="s">
        <v>819</v>
      </c>
      <c r="S237" t="s">
        <v>149</v>
      </c>
      <c r="T237" t="s">
        <v>602</v>
      </c>
      <c r="U237"/>
    </row>
    <row r="238" spans="1:21" x14ac:dyDescent="0.25">
      <c r="A238">
        <v>687509</v>
      </c>
      <c r="B238" t="s">
        <v>463</v>
      </c>
      <c r="C238">
        <v>19</v>
      </c>
      <c r="D238">
        <v>-6</v>
      </c>
      <c r="E238">
        <v>0</v>
      </c>
      <c r="F238">
        <v>7</v>
      </c>
      <c r="G238">
        <v>-5</v>
      </c>
      <c r="H238">
        <v>37</v>
      </c>
      <c r="I238"/>
      <c r="J238"/>
      <c r="K238">
        <v>0.33</v>
      </c>
      <c r="L238">
        <v>1.56</v>
      </c>
      <c r="M238">
        <v>15.6</v>
      </c>
      <c r="N238">
        <v>0.8</v>
      </c>
      <c r="O238" t="s">
        <v>135</v>
      </c>
      <c r="P238" s="379">
        <v>41970</v>
      </c>
      <c r="Q238" t="s">
        <v>136</v>
      </c>
      <c r="R238" t="s">
        <v>1019</v>
      </c>
      <c r="S238" t="s">
        <v>161</v>
      </c>
      <c r="T238" t="s">
        <v>606</v>
      </c>
      <c r="U238"/>
    </row>
    <row r="239" spans="1:21" x14ac:dyDescent="0.25">
      <c r="A239">
        <v>840033</v>
      </c>
      <c r="B239" t="s">
        <v>544</v>
      </c>
      <c r="C239">
        <v>21</v>
      </c>
      <c r="D239">
        <v>-5</v>
      </c>
      <c r="E239">
        <v>4</v>
      </c>
      <c r="F239">
        <v>7</v>
      </c>
      <c r="G239">
        <v>9</v>
      </c>
      <c r="H239">
        <v>62</v>
      </c>
      <c r="I239">
        <v>116</v>
      </c>
      <c r="J239">
        <v>16.600000000000001</v>
      </c>
      <c r="K239">
        <v>0.34</v>
      </c>
      <c r="L239">
        <v>1.6</v>
      </c>
      <c r="M239">
        <v>14.8</v>
      </c>
      <c r="N239">
        <v>1.2</v>
      </c>
      <c r="O239" t="s">
        <v>135</v>
      </c>
      <c r="P239" s="379">
        <v>40598</v>
      </c>
      <c r="Q239" t="s">
        <v>136</v>
      </c>
      <c r="R239" t="s">
        <v>985</v>
      </c>
      <c r="S239" t="s">
        <v>161</v>
      </c>
      <c r="T239" t="s">
        <v>608</v>
      </c>
      <c r="U239"/>
    </row>
    <row r="240" spans="1:21" x14ac:dyDescent="0.25">
      <c r="A240">
        <v>456475</v>
      </c>
      <c r="B240" t="s">
        <v>283</v>
      </c>
      <c r="C240">
        <v>15</v>
      </c>
      <c r="D240">
        <v>-7</v>
      </c>
      <c r="E240">
        <v>0</v>
      </c>
      <c r="F240">
        <v>3</v>
      </c>
      <c r="G240">
        <v>8</v>
      </c>
      <c r="H240">
        <v>49</v>
      </c>
      <c r="I240">
        <v>102</v>
      </c>
      <c r="J240">
        <v>15.1</v>
      </c>
      <c r="K240">
        <v>0.34</v>
      </c>
      <c r="L240">
        <v>1.55</v>
      </c>
      <c r="M240">
        <v>14.7</v>
      </c>
      <c r="N240">
        <v>1</v>
      </c>
      <c r="O240" t="s">
        <v>135</v>
      </c>
      <c r="P240" s="379">
        <v>36790</v>
      </c>
      <c r="Q240" t="s">
        <v>136</v>
      </c>
      <c r="R240" t="s">
        <v>1124</v>
      </c>
      <c r="S240" t="s">
        <v>149</v>
      </c>
      <c r="T240" t="s">
        <v>608</v>
      </c>
      <c r="U240"/>
    </row>
    <row r="241" spans="1:21" x14ac:dyDescent="0.25">
      <c r="A241">
        <v>751495</v>
      </c>
      <c r="B241" t="s">
        <v>1348</v>
      </c>
      <c r="C241">
        <v>15</v>
      </c>
      <c r="D241">
        <v>-5</v>
      </c>
      <c r="E241">
        <v>2</v>
      </c>
      <c r="F241">
        <v>9</v>
      </c>
      <c r="G241">
        <v>1</v>
      </c>
      <c r="H241">
        <v>51</v>
      </c>
      <c r="I241">
        <v>96</v>
      </c>
      <c r="J241">
        <v>14.4</v>
      </c>
      <c r="K241">
        <v>0.34</v>
      </c>
      <c r="L241">
        <v>1.62</v>
      </c>
      <c r="M241">
        <v>12.8</v>
      </c>
      <c r="N241">
        <v>1.2</v>
      </c>
      <c r="O241" t="s">
        <v>135</v>
      </c>
      <c r="P241" s="379">
        <v>38904</v>
      </c>
      <c r="Q241" t="s">
        <v>136</v>
      </c>
      <c r="R241" t="s">
        <v>708</v>
      </c>
      <c r="S241" t="s">
        <v>161</v>
      </c>
      <c r="T241" t="s">
        <v>244</v>
      </c>
      <c r="U241"/>
    </row>
    <row r="242" spans="1:21" x14ac:dyDescent="0.25">
      <c r="A242">
        <v>653097</v>
      </c>
      <c r="B242" t="s">
        <v>1344</v>
      </c>
      <c r="C242">
        <v>15</v>
      </c>
      <c r="D242">
        <v>-11</v>
      </c>
      <c r="E242">
        <v>-3</v>
      </c>
      <c r="F242">
        <v>7</v>
      </c>
      <c r="G242">
        <v>-11</v>
      </c>
      <c r="H242">
        <v>53</v>
      </c>
      <c r="I242">
        <v>85</v>
      </c>
      <c r="J242">
        <v>13.1</v>
      </c>
      <c r="K242">
        <v>0.34</v>
      </c>
      <c r="L242">
        <v>1.83</v>
      </c>
      <c r="M242">
        <v>16</v>
      </c>
      <c r="N242">
        <v>1</v>
      </c>
      <c r="O242" t="s">
        <v>135</v>
      </c>
      <c r="P242" s="379">
        <v>39101</v>
      </c>
      <c r="Q242" t="s">
        <v>57</v>
      </c>
      <c r="R242" t="s">
        <v>991</v>
      </c>
      <c r="S242" t="s">
        <v>1323</v>
      </c>
      <c r="T242" t="s">
        <v>259</v>
      </c>
      <c r="U242"/>
    </row>
    <row r="243" spans="1:21" x14ac:dyDescent="0.25">
      <c r="A243">
        <v>203182</v>
      </c>
      <c r="B243" t="s">
        <v>600</v>
      </c>
      <c r="C243">
        <v>18</v>
      </c>
      <c r="D243">
        <v>-3</v>
      </c>
      <c r="E243">
        <v>6</v>
      </c>
      <c r="F243">
        <v>5</v>
      </c>
      <c r="G243">
        <v>-7</v>
      </c>
      <c r="H243">
        <v>34</v>
      </c>
      <c r="I243">
        <v>79</v>
      </c>
      <c r="J243">
        <v>12.4</v>
      </c>
      <c r="K243">
        <v>0.34</v>
      </c>
      <c r="L243">
        <v>1.61</v>
      </c>
      <c r="M243">
        <v>15.2</v>
      </c>
      <c r="N243">
        <v>0.7</v>
      </c>
      <c r="O243" t="s">
        <v>135</v>
      </c>
      <c r="P243" s="379">
        <v>37754</v>
      </c>
      <c r="Q243" t="s">
        <v>136</v>
      </c>
      <c r="R243" t="s">
        <v>801</v>
      </c>
      <c r="S243" t="s">
        <v>161</v>
      </c>
      <c r="T243" t="s">
        <v>167</v>
      </c>
      <c r="U243"/>
    </row>
    <row r="244" spans="1:21" x14ac:dyDescent="0.25">
      <c r="A244">
        <v>987842</v>
      </c>
      <c r="B244" t="s">
        <v>546</v>
      </c>
      <c r="C244">
        <v>13</v>
      </c>
      <c r="D244">
        <v>-7</v>
      </c>
      <c r="E244">
        <v>-1</v>
      </c>
      <c r="F244">
        <v>8</v>
      </c>
      <c r="G244">
        <v>0</v>
      </c>
      <c r="H244">
        <v>54</v>
      </c>
      <c r="I244">
        <v>63</v>
      </c>
      <c r="J244">
        <v>10.199999999999999</v>
      </c>
      <c r="K244">
        <v>0.34</v>
      </c>
      <c r="L244">
        <v>1.6</v>
      </c>
      <c r="M244">
        <v>12.7</v>
      </c>
      <c r="N244">
        <v>1.2</v>
      </c>
      <c r="O244" t="s">
        <v>135</v>
      </c>
      <c r="P244" s="379">
        <v>36790</v>
      </c>
      <c r="Q244" t="s">
        <v>136</v>
      </c>
      <c r="R244" t="s">
        <v>712</v>
      </c>
      <c r="S244" t="s">
        <v>161</v>
      </c>
      <c r="T244" t="s">
        <v>228</v>
      </c>
      <c r="U244"/>
    </row>
    <row r="245" spans="1:21" x14ac:dyDescent="0.25">
      <c r="A245">
        <v>393314</v>
      </c>
      <c r="B245" t="s">
        <v>274</v>
      </c>
      <c r="C245">
        <v>12</v>
      </c>
      <c r="D245">
        <v>-8</v>
      </c>
      <c r="E245">
        <v>2</v>
      </c>
      <c r="F245">
        <v>5</v>
      </c>
      <c r="G245">
        <v>2</v>
      </c>
      <c r="H245">
        <v>28</v>
      </c>
      <c r="I245">
        <v>49</v>
      </c>
      <c r="J245">
        <v>8.3000000000000007</v>
      </c>
      <c r="K245">
        <v>0.34</v>
      </c>
      <c r="L245">
        <v>1.42</v>
      </c>
      <c r="M245">
        <v>13.8</v>
      </c>
      <c r="N245">
        <v>0.7</v>
      </c>
      <c r="O245" t="s">
        <v>135</v>
      </c>
      <c r="P245" s="379">
        <v>36790</v>
      </c>
      <c r="Q245" t="s">
        <v>136</v>
      </c>
      <c r="R245" t="s">
        <v>732</v>
      </c>
      <c r="S245" t="s">
        <v>160</v>
      </c>
      <c r="T245" t="s">
        <v>182</v>
      </c>
      <c r="U245"/>
    </row>
    <row r="246" spans="1:21" x14ac:dyDescent="0.25">
      <c r="A246">
        <v>362020</v>
      </c>
      <c r="B246" t="s">
        <v>545</v>
      </c>
      <c r="C246">
        <v>18</v>
      </c>
      <c r="D246">
        <v>-5</v>
      </c>
      <c r="E246">
        <v>3</v>
      </c>
      <c r="F246">
        <v>9</v>
      </c>
      <c r="G246">
        <v>2</v>
      </c>
      <c r="H246">
        <v>31</v>
      </c>
      <c r="I246">
        <v>44</v>
      </c>
      <c r="J246">
        <v>7.5</v>
      </c>
      <c r="K246">
        <v>0.34</v>
      </c>
      <c r="L246">
        <v>1.6</v>
      </c>
      <c r="M246">
        <v>13.2</v>
      </c>
      <c r="N246">
        <v>0.8</v>
      </c>
      <c r="O246" t="s">
        <v>135</v>
      </c>
      <c r="P246" s="379">
        <v>41536</v>
      </c>
      <c r="Q246" t="s">
        <v>136</v>
      </c>
      <c r="R246" t="s">
        <v>777</v>
      </c>
      <c r="S246" t="s">
        <v>161</v>
      </c>
      <c r="T246" t="s">
        <v>178</v>
      </c>
      <c r="U246"/>
    </row>
    <row r="247" spans="1:21" x14ac:dyDescent="0.25">
      <c r="A247">
        <v>492306</v>
      </c>
      <c r="B247" t="s">
        <v>287</v>
      </c>
      <c r="C247">
        <v>13</v>
      </c>
      <c r="D247">
        <v>-5</v>
      </c>
      <c r="E247">
        <v>1</v>
      </c>
      <c r="F247">
        <v>7</v>
      </c>
      <c r="G247">
        <v>6</v>
      </c>
      <c r="H247">
        <v>26</v>
      </c>
      <c r="I247">
        <v>42</v>
      </c>
      <c r="J247">
        <v>7.2</v>
      </c>
      <c r="K247">
        <v>0.34</v>
      </c>
      <c r="L247">
        <v>1.55</v>
      </c>
      <c r="M247">
        <v>10.9</v>
      </c>
      <c r="N247">
        <v>0.8</v>
      </c>
      <c r="O247" t="s">
        <v>135</v>
      </c>
      <c r="P247" s="379">
        <v>36790</v>
      </c>
      <c r="Q247" t="s">
        <v>136</v>
      </c>
      <c r="R247" t="s">
        <v>1002</v>
      </c>
      <c r="S247" t="s">
        <v>149</v>
      </c>
      <c r="T247" t="s">
        <v>178</v>
      </c>
      <c r="U247"/>
    </row>
    <row r="248" spans="1:21" x14ac:dyDescent="0.25">
      <c r="A248">
        <v>679837</v>
      </c>
      <c r="B248" t="s">
        <v>582</v>
      </c>
      <c r="C248">
        <v>14</v>
      </c>
      <c r="D248">
        <v>1</v>
      </c>
      <c r="E248">
        <v>-1</v>
      </c>
      <c r="F248">
        <v>13</v>
      </c>
      <c r="G248">
        <v>18</v>
      </c>
      <c r="H248">
        <v>45</v>
      </c>
      <c r="I248">
        <v>24</v>
      </c>
      <c r="J248">
        <v>4.5</v>
      </c>
      <c r="K248">
        <v>0.34</v>
      </c>
      <c r="L248">
        <v>1.6</v>
      </c>
      <c r="M248">
        <v>21</v>
      </c>
      <c r="N248">
        <v>0.7</v>
      </c>
      <c r="O248" t="s">
        <v>135</v>
      </c>
      <c r="P248" s="379">
        <v>38904</v>
      </c>
      <c r="Q248" t="s">
        <v>136</v>
      </c>
      <c r="R248" t="s">
        <v>830</v>
      </c>
      <c r="S248" t="s">
        <v>161</v>
      </c>
      <c r="T248" t="s">
        <v>272</v>
      </c>
      <c r="U248"/>
    </row>
    <row r="249" spans="1:21" x14ac:dyDescent="0.25">
      <c r="A249">
        <v>832717</v>
      </c>
      <c r="B249" t="s">
        <v>270</v>
      </c>
      <c r="C249">
        <v>2</v>
      </c>
      <c r="D249">
        <v>0</v>
      </c>
      <c r="E249">
        <v>1</v>
      </c>
      <c r="F249">
        <v>1</v>
      </c>
      <c r="G249">
        <v>1</v>
      </c>
      <c r="H249">
        <v>8</v>
      </c>
      <c r="I249">
        <v>9</v>
      </c>
      <c r="J249">
        <v>1.8</v>
      </c>
      <c r="K249">
        <v>0.34</v>
      </c>
      <c r="L249">
        <v>0.82</v>
      </c>
      <c r="M249">
        <v>1</v>
      </c>
      <c r="N249">
        <v>2.9</v>
      </c>
      <c r="O249" t="s">
        <v>135</v>
      </c>
      <c r="P249" s="379">
        <v>40998</v>
      </c>
      <c r="Q249" t="s">
        <v>136</v>
      </c>
      <c r="R249" t="s">
        <v>823</v>
      </c>
      <c r="S249" t="s">
        <v>157</v>
      </c>
      <c r="T249" t="s">
        <v>605</v>
      </c>
      <c r="U249"/>
    </row>
    <row r="250" spans="1:21" x14ac:dyDescent="0.25">
      <c r="A250">
        <v>194092</v>
      </c>
      <c r="B250" t="s">
        <v>294</v>
      </c>
      <c r="C250">
        <v>24</v>
      </c>
      <c r="D250">
        <v>-8</v>
      </c>
      <c r="E250">
        <v>4</v>
      </c>
      <c r="F250">
        <v>12</v>
      </c>
      <c r="G250">
        <v>8</v>
      </c>
      <c r="H250">
        <v>73</v>
      </c>
      <c r="I250">
        <v>133</v>
      </c>
      <c r="J250">
        <v>18.5</v>
      </c>
      <c r="K250">
        <v>0.35</v>
      </c>
      <c r="L250">
        <v>1.5</v>
      </c>
      <c r="M250">
        <v>17.100000000000001</v>
      </c>
      <c r="N250">
        <v>1.2</v>
      </c>
      <c r="O250" t="s">
        <v>135</v>
      </c>
      <c r="P250" s="379">
        <v>37573</v>
      </c>
      <c r="Q250" t="s">
        <v>136</v>
      </c>
      <c r="R250" t="s">
        <v>703</v>
      </c>
      <c r="S250" t="s">
        <v>173</v>
      </c>
      <c r="T250" t="s">
        <v>204</v>
      </c>
      <c r="U250"/>
    </row>
    <row r="251" spans="1:21" x14ac:dyDescent="0.25">
      <c r="A251">
        <v>515676</v>
      </c>
      <c r="B251" t="s">
        <v>286</v>
      </c>
      <c r="C251">
        <v>23</v>
      </c>
      <c r="D251">
        <v>-1</v>
      </c>
      <c r="E251">
        <v>8</v>
      </c>
      <c r="F251">
        <v>20</v>
      </c>
      <c r="G251">
        <v>18</v>
      </c>
      <c r="H251">
        <v>57</v>
      </c>
      <c r="I251">
        <v>114</v>
      </c>
      <c r="J251">
        <v>16.5</v>
      </c>
      <c r="K251">
        <v>0.35</v>
      </c>
      <c r="L251">
        <v>1.66</v>
      </c>
      <c r="M251">
        <v>12.6</v>
      </c>
      <c r="N251">
        <v>1.3</v>
      </c>
      <c r="O251" t="s">
        <v>135</v>
      </c>
      <c r="P251" s="379">
        <v>41467</v>
      </c>
      <c r="Q251" t="s">
        <v>136</v>
      </c>
      <c r="R251" t="s">
        <v>696</v>
      </c>
      <c r="S251" t="s">
        <v>149</v>
      </c>
      <c r="T251" t="s">
        <v>208</v>
      </c>
      <c r="U251"/>
    </row>
    <row r="252" spans="1:21" x14ac:dyDescent="0.25">
      <c r="A252">
        <v>469692</v>
      </c>
      <c r="B252" t="s">
        <v>1339</v>
      </c>
      <c r="C252">
        <v>13</v>
      </c>
      <c r="D252">
        <v>1</v>
      </c>
      <c r="E252">
        <v>14</v>
      </c>
      <c r="F252">
        <v>12</v>
      </c>
      <c r="G252">
        <v>10</v>
      </c>
      <c r="H252">
        <v>53</v>
      </c>
      <c r="I252">
        <v>94</v>
      </c>
      <c r="J252">
        <v>14.1</v>
      </c>
      <c r="K252">
        <v>0.35</v>
      </c>
      <c r="L252">
        <v>1.89</v>
      </c>
      <c r="M252">
        <v>15.5</v>
      </c>
      <c r="N252">
        <v>1</v>
      </c>
      <c r="O252" t="s">
        <v>135</v>
      </c>
      <c r="P252" s="379">
        <v>39101</v>
      </c>
      <c r="Q252" t="s">
        <v>57</v>
      </c>
      <c r="R252" t="s">
        <v>932</v>
      </c>
      <c r="S252" t="s">
        <v>1323</v>
      </c>
      <c r="T252" t="s">
        <v>617</v>
      </c>
      <c r="U252"/>
    </row>
    <row r="253" spans="1:21" x14ac:dyDescent="0.25">
      <c r="A253">
        <v>541235</v>
      </c>
      <c r="B253" t="s">
        <v>281</v>
      </c>
      <c r="C253">
        <v>17</v>
      </c>
      <c r="D253">
        <v>-4</v>
      </c>
      <c r="E253">
        <v>1</v>
      </c>
      <c r="F253">
        <v>6</v>
      </c>
      <c r="G253">
        <v>3</v>
      </c>
      <c r="H253">
        <v>41</v>
      </c>
      <c r="I253">
        <v>84</v>
      </c>
      <c r="J253">
        <v>13</v>
      </c>
      <c r="K253">
        <v>0.35</v>
      </c>
      <c r="L253">
        <v>1.6</v>
      </c>
      <c r="M253">
        <v>12.5</v>
      </c>
      <c r="N253">
        <v>1</v>
      </c>
      <c r="O253" t="s">
        <v>135</v>
      </c>
      <c r="P253" s="379">
        <v>40814</v>
      </c>
      <c r="Q253" t="s">
        <v>136</v>
      </c>
      <c r="R253" t="s">
        <v>692</v>
      </c>
      <c r="S253" t="s">
        <v>258</v>
      </c>
      <c r="T253" t="s">
        <v>154</v>
      </c>
      <c r="U253"/>
    </row>
    <row r="254" spans="1:21" x14ac:dyDescent="0.25">
      <c r="A254">
        <v>341362</v>
      </c>
      <c r="B254" t="s">
        <v>428</v>
      </c>
      <c r="C254">
        <v>23</v>
      </c>
      <c r="D254">
        <v>-5</v>
      </c>
      <c r="E254">
        <v>6</v>
      </c>
      <c r="F254">
        <v>10</v>
      </c>
      <c r="G254">
        <v>8</v>
      </c>
      <c r="H254">
        <v>60</v>
      </c>
      <c r="I254">
        <v>84</v>
      </c>
      <c r="J254">
        <v>13</v>
      </c>
      <c r="K254">
        <v>0.35</v>
      </c>
      <c r="L254">
        <v>1.5</v>
      </c>
      <c r="M254">
        <v>14.8</v>
      </c>
      <c r="N254">
        <v>1.2</v>
      </c>
      <c r="O254" t="s">
        <v>135</v>
      </c>
      <c r="P254" s="379">
        <v>41800</v>
      </c>
      <c r="Q254" t="s">
        <v>136</v>
      </c>
      <c r="R254" t="s">
        <v>783</v>
      </c>
      <c r="S254" t="s">
        <v>429</v>
      </c>
      <c r="T254" t="s">
        <v>154</v>
      </c>
      <c r="U254"/>
    </row>
    <row r="255" spans="1:21" x14ac:dyDescent="0.25">
      <c r="A255">
        <v>229922</v>
      </c>
      <c r="B255" t="s">
        <v>16</v>
      </c>
      <c r="C255">
        <v>5</v>
      </c>
      <c r="D255">
        <v>-2</v>
      </c>
      <c r="E255">
        <v>-4</v>
      </c>
      <c r="F255">
        <v>-4</v>
      </c>
      <c r="G255">
        <v>7</v>
      </c>
      <c r="H255">
        <v>30</v>
      </c>
      <c r="I255">
        <v>80</v>
      </c>
      <c r="J255">
        <v>12.4</v>
      </c>
      <c r="K255">
        <v>0.35</v>
      </c>
      <c r="L255">
        <v>1.5</v>
      </c>
      <c r="M255">
        <v>12.6</v>
      </c>
      <c r="N255">
        <v>0.8</v>
      </c>
      <c r="O255" t="s">
        <v>135</v>
      </c>
      <c r="P255" s="379">
        <v>37573</v>
      </c>
      <c r="Q255" t="s">
        <v>136</v>
      </c>
      <c r="R255" t="s">
        <v>1113</v>
      </c>
      <c r="S255" t="s">
        <v>173</v>
      </c>
      <c r="T255" t="s">
        <v>612</v>
      </c>
      <c r="U255"/>
    </row>
    <row r="256" spans="1:21" x14ac:dyDescent="0.25">
      <c r="A256">
        <v>986604</v>
      </c>
      <c r="B256" t="s">
        <v>297</v>
      </c>
      <c r="C256">
        <v>11</v>
      </c>
      <c r="D256">
        <v>-6</v>
      </c>
      <c r="E256">
        <v>-2</v>
      </c>
      <c r="F256">
        <v>-1</v>
      </c>
      <c r="G256">
        <v>1</v>
      </c>
      <c r="H256">
        <v>38</v>
      </c>
      <c r="I256">
        <v>76</v>
      </c>
      <c r="J256">
        <v>12</v>
      </c>
      <c r="K256">
        <v>0.35</v>
      </c>
      <c r="L256">
        <v>1.5</v>
      </c>
      <c r="M256">
        <v>13.8</v>
      </c>
      <c r="N256">
        <v>0.9</v>
      </c>
      <c r="O256" t="s">
        <v>135</v>
      </c>
      <c r="P256" s="379">
        <v>37573</v>
      </c>
      <c r="Q256" t="s">
        <v>136</v>
      </c>
      <c r="R256" t="s">
        <v>997</v>
      </c>
      <c r="S256" t="s">
        <v>173</v>
      </c>
      <c r="T256" t="s">
        <v>608</v>
      </c>
      <c r="U256"/>
    </row>
    <row r="257" spans="1:21" x14ac:dyDescent="0.25">
      <c r="A257">
        <v>377432</v>
      </c>
      <c r="B257" t="s">
        <v>298</v>
      </c>
      <c r="C257">
        <v>7</v>
      </c>
      <c r="D257">
        <v>-5</v>
      </c>
      <c r="E257">
        <v>-2</v>
      </c>
      <c r="F257">
        <v>-2</v>
      </c>
      <c r="G257">
        <v>-7</v>
      </c>
      <c r="H257">
        <v>28</v>
      </c>
      <c r="I257">
        <v>72</v>
      </c>
      <c r="J257">
        <v>11.4</v>
      </c>
      <c r="K257">
        <v>0.35</v>
      </c>
      <c r="L257">
        <v>1.5</v>
      </c>
      <c r="M257">
        <v>12.2</v>
      </c>
      <c r="N257">
        <v>0.8</v>
      </c>
      <c r="O257" t="s">
        <v>135</v>
      </c>
      <c r="P257" s="379">
        <v>38397</v>
      </c>
      <c r="Q257" t="s">
        <v>136</v>
      </c>
      <c r="R257" t="s">
        <v>770</v>
      </c>
      <c r="S257" t="s">
        <v>173</v>
      </c>
      <c r="T257" t="s">
        <v>167</v>
      </c>
      <c r="U257"/>
    </row>
    <row r="258" spans="1:21" x14ac:dyDescent="0.25">
      <c r="A258">
        <v>352468</v>
      </c>
      <c r="B258" t="s">
        <v>293</v>
      </c>
      <c r="C258">
        <v>15</v>
      </c>
      <c r="D258">
        <v>-5</v>
      </c>
      <c r="E258">
        <v>2</v>
      </c>
      <c r="F258">
        <v>4</v>
      </c>
      <c r="G258">
        <v>-2</v>
      </c>
      <c r="H258">
        <v>38</v>
      </c>
      <c r="I258">
        <v>67</v>
      </c>
      <c r="J258">
        <v>10.8</v>
      </c>
      <c r="K258">
        <v>0.35</v>
      </c>
      <c r="L258">
        <v>1.82</v>
      </c>
      <c r="M258">
        <v>12.9</v>
      </c>
      <c r="N258">
        <v>0.9</v>
      </c>
      <c r="O258" t="s">
        <v>226</v>
      </c>
      <c r="P258" s="379">
        <v>39470</v>
      </c>
      <c r="Q258" t="s">
        <v>57</v>
      </c>
      <c r="R258" t="s">
        <v>1046</v>
      </c>
      <c r="S258" t="s">
        <v>468</v>
      </c>
      <c r="T258" t="s">
        <v>154</v>
      </c>
      <c r="U258"/>
    </row>
    <row r="259" spans="1:21" x14ac:dyDescent="0.25">
      <c r="A259">
        <v>385401</v>
      </c>
      <c r="B259" t="s">
        <v>291</v>
      </c>
      <c r="C259">
        <v>12</v>
      </c>
      <c r="D259">
        <v>-9</v>
      </c>
      <c r="E259">
        <v>0</v>
      </c>
      <c r="F259">
        <v>7</v>
      </c>
      <c r="G259">
        <v>-3</v>
      </c>
      <c r="H259">
        <v>47</v>
      </c>
      <c r="I259">
        <v>65</v>
      </c>
      <c r="J259">
        <v>10.6</v>
      </c>
      <c r="K259">
        <v>0.35</v>
      </c>
      <c r="L259">
        <v>1.62</v>
      </c>
      <c r="M259">
        <v>14.2</v>
      </c>
      <c r="N259">
        <v>1</v>
      </c>
      <c r="O259" t="s">
        <v>135</v>
      </c>
      <c r="P259" s="379">
        <v>37005</v>
      </c>
      <c r="Q259" t="s">
        <v>136</v>
      </c>
      <c r="R259" t="s">
        <v>1008</v>
      </c>
      <c r="S259" t="s">
        <v>149</v>
      </c>
      <c r="T259" t="s">
        <v>609</v>
      </c>
      <c r="U259"/>
    </row>
    <row r="260" spans="1:21" x14ac:dyDescent="0.25">
      <c r="A260">
        <v>433862</v>
      </c>
      <c r="B260" t="s">
        <v>1338</v>
      </c>
      <c r="C260">
        <v>23</v>
      </c>
      <c r="D260">
        <v>0</v>
      </c>
      <c r="E260">
        <v>9</v>
      </c>
      <c r="F260">
        <v>16</v>
      </c>
      <c r="G260">
        <v>17</v>
      </c>
      <c r="H260">
        <v>79</v>
      </c>
      <c r="I260">
        <v>65</v>
      </c>
      <c r="J260">
        <v>10.6</v>
      </c>
      <c r="K260">
        <v>0.35</v>
      </c>
      <c r="L260">
        <v>1.86</v>
      </c>
      <c r="M260">
        <v>14.6</v>
      </c>
      <c r="N260">
        <v>1.4</v>
      </c>
      <c r="O260" t="s">
        <v>135</v>
      </c>
      <c r="P260" s="379">
        <v>39101</v>
      </c>
      <c r="Q260" t="s">
        <v>57</v>
      </c>
      <c r="R260" t="s">
        <v>992</v>
      </c>
      <c r="S260" t="s">
        <v>1323</v>
      </c>
      <c r="T260" t="s">
        <v>277</v>
      </c>
      <c r="U260"/>
    </row>
    <row r="261" spans="1:21" x14ac:dyDescent="0.25">
      <c r="A261">
        <v>792697</v>
      </c>
      <c r="B261" t="s">
        <v>589</v>
      </c>
      <c r="C261">
        <v>14</v>
      </c>
      <c r="D261">
        <v>-9</v>
      </c>
      <c r="E261">
        <v>-1</v>
      </c>
      <c r="F261">
        <v>6</v>
      </c>
      <c r="G261">
        <v>0</v>
      </c>
      <c r="H261">
        <v>30</v>
      </c>
      <c r="I261">
        <v>62</v>
      </c>
      <c r="J261">
        <v>10.1</v>
      </c>
      <c r="K261">
        <v>0.35</v>
      </c>
      <c r="L261">
        <v>1.5</v>
      </c>
      <c r="M261">
        <v>13.2</v>
      </c>
      <c r="N261">
        <v>0.8</v>
      </c>
      <c r="O261" t="s">
        <v>135</v>
      </c>
      <c r="P261" s="379">
        <v>40261</v>
      </c>
      <c r="Q261" t="s">
        <v>57</v>
      </c>
      <c r="R261" t="s">
        <v>979</v>
      </c>
      <c r="S261" t="s">
        <v>1270</v>
      </c>
      <c r="T261" t="s">
        <v>182</v>
      </c>
      <c r="U261"/>
    </row>
    <row r="262" spans="1:21" x14ac:dyDescent="0.25">
      <c r="A262">
        <v>357483</v>
      </c>
      <c r="B262" t="s">
        <v>282</v>
      </c>
      <c r="C262">
        <v>11</v>
      </c>
      <c r="D262">
        <v>-4</v>
      </c>
      <c r="E262">
        <v>3</v>
      </c>
      <c r="F262">
        <v>8</v>
      </c>
      <c r="G262">
        <v>6</v>
      </c>
      <c r="H262">
        <v>27</v>
      </c>
      <c r="I262">
        <v>43</v>
      </c>
      <c r="J262">
        <v>7.4</v>
      </c>
      <c r="K262">
        <v>0.35</v>
      </c>
      <c r="L262">
        <v>1.51</v>
      </c>
      <c r="M262">
        <v>8</v>
      </c>
      <c r="N262">
        <v>1.1000000000000001</v>
      </c>
      <c r="O262" t="s">
        <v>135</v>
      </c>
      <c r="P262" s="379">
        <v>36790</v>
      </c>
      <c r="Q262" t="s">
        <v>136</v>
      </c>
      <c r="R262" t="s">
        <v>735</v>
      </c>
      <c r="S262" t="s">
        <v>160</v>
      </c>
      <c r="T262" t="s">
        <v>588</v>
      </c>
      <c r="U262"/>
    </row>
    <row r="263" spans="1:21" x14ac:dyDescent="0.25">
      <c r="A263">
        <v>980284</v>
      </c>
      <c r="B263" t="s">
        <v>267</v>
      </c>
      <c r="C263">
        <v>10</v>
      </c>
      <c r="D263">
        <v>-1</v>
      </c>
      <c r="E263">
        <v>3</v>
      </c>
      <c r="F263">
        <v>6</v>
      </c>
      <c r="G263">
        <v>6</v>
      </c>
      <c r="H263">
        <v>36</v>
      </c>
      <c r="I263">
        <v>21</v>
      </c>
      <c r="J263">
        <v>3.9</v>
      </c>
      <c r="K263">
        <v>0.35</v>
      </c>
      <c r="L263">
        <v>0.8</v>
      </c>
      <c r="M263">
        <v>7.5</v>
      </c>
      <c r="N263">
        <v>1.5</v>
      </c>
      <c r="O263" t="s">
        <v>226</v>
      </c>
      <c r="P263" s="379">
        <v>41002</v>
      </c>
      <c r="Q263" t="s">
        <v>57</v>
      </c>
      <c r="R263" t="s">
        <v>1071</v>
      </c>
      <c r="S263" t="s">
        <v>268</v>
      </c>
      <c r="T263" t="s">
        <v>605</v>
      </c>
      <c r="U263"/>
    </row>
    <row r="264" spans="1:21" x14ac:dyDescent="0.25">
      <c r="A264">
        <v>700310</v>
      </c>
      <c r="B264" t="s">
        <v>1311</v>
      </c>
      <c r="C264">
        <v>4</v>
      </c>
      <c r="D264">
        <v>-1</v>
      </c>
      <c r="E264">
        <v>1</v>
      </c>
      <c r="F264">
        <v>4</v>
      </c>
      <c r="G264">
        <v>1</v>
      </c>
      <c r="H264">
        <v>12</v>
      </c>
      <c r="I264">
        <v>20</v>
      </c>
      <c r="J264">
        <v>3.6</v>
      </c>
      <c r="K264">
        <v>0.35</v>
      </c>
      <c r="L264">
        <v>0.95</v>
      </c>
      <c r="M264">
        <v>3.5</v>
      </c>
      <c r="N264">
        <v>1.2</v>
      </c>
      <c r="O264" t="s">
        <v>135</v>
      </c>
      <c r="P264" s="379">
        <v>41141</v>
      </c>
      <c r="Q264" t="s">
        <v>57</v>
      </c>
      <c r="R264" t="s">
        <v>843</v>
      </c>
      <c r="S264" t="s">
        <v>164</v>
      </c>
      <c r="T264" t="s">
        <v>604</v>
      </c>
      <c r="U264"/>
    </row>
    <row r="265" spans="1:21" x14ac:dyDescent="0.25">
      <c r="A265">
        <v>408898</v>
      </c>
      <c r="B265" t="s">
        <v>603</v>
      </c>
      <c r="C265">
        <v>4</v>
      </c>
      <c r="D265">
        <v>0</v>
      </c>
      <c r="E265">
        <v>2</v>
      </c>
      <c r="F265">
        <v>4</v>
      </c>
      <c r="G265">
        <v>3</v>
      </c>
      <c r="H265">
        <v>7</v>
      </c>
      <c r="I265">
        <v>13</v>
      </c>
      <c r="J265">
        <v>2.4</v>
      </c>
      <c r="K265">
        <v>0.35</v>
      </c>
      <c r="L265">
        <v>1.07</v>
      </c>
      <c r="M265">
        <v>2.2999999999999998</v>
      </c>
      <c r="N265">
        <v>1.1000000000000001</v>
      </c>
      <c r="O265" t="s">
        <v>135</v>
      </c>
      <c r="P265" s="379">
        <v>40099</v>
      </c>
      <c r="Q265" t="s">
        <v>57</v>
      </c>
      <c r="R265" t="s">
        <v>814</v>
      </c>
      <c r="S265" t="s">
        <v>1277</v>
      </c>
      <c r="T265" t="s">
        <v>599</v>
      </c>
      <c r="U265"/>
    </row>
    <row r="266" spans="1:21" x14ac:dyDescent="0.25">
      <c r="A266">
        <v>167239</v>
      </c>
      <c r="B266" t="s">
        <v>276</v>
      </c>
      <c r="C266">
        <v>18</v>
      </c>
      <c r="D266">
        <v>0</v>
      </c>
      <c r="E266">
        <v>6</v>
      </c>
      <c r="F266">
        <v>11</v>
      </c>
      <c r="G266">
        <v>6</v>
      </c>
      <c r="H266">
        <v>7</v>
      </c>
      <c r="I266">
        <v>8</v>
      </c>
      <c r="J266">
        <v>1.6</v>
      </c>
      <c r="K266">
        <v>0.35</v>
      </c>
      <c r="L266">
        <v>1.86</v>
      </c>
      <c r="M266">
        <v>14</v>
      </c>
      <c r="N266">
        <v>0.2</v>
      </c>
      <c r="O266" t="s">
        <v>135</v>
      </c>
      <c r="P266" s="379">
        <v>39540</v>
      </c>
      <c r="Q266" t="s">
        <v>57</v>
      </c>
      <c r="R266" t="s">
        <v>1371</v>
      </c>
      <c r="S266" t="s">
        <v>1323</v>
      </c>
      <c r="T266" t="s">
        <v>228</v>
      </c>
      <c r="U266"/>
    </row>
    <row r="267" spans="1:21" x14ac:dyDescent="0.25">
      <c r="A267">
        <v>810101</v>
      </c>
      <c r="B267" t="s">
        <v>1171</v>
      </c>
      <c r="C267">
        <v>8</v>
      </c>
      <c r="D267">
        <v>-5</v>
      </c>
      <c r="E267">
        <v>-2</v>
      </c>
      <c r="F267">
        <v>1</v>
      </c>
      <c r="G267">
        <v>-1</v>
      </c>
      <c r="H267"/>
      <c r="I267"/>
      <c r="J267"/>
      <c r="K267">
        <v>0.35</v>
      </c>
      <c r="L267">
        <v>1.48</v>
      </c>
      <c r="M267"/>
      <c r="N267"/>
      <c r="O267" t="s">
        <v>135</v>
      </c>
      <c r="P267" s="379">
        <v>43040</v>
      </c>
      <c r="Q267" t="s">
        <v>57</v>
      </c>
      <c r="R267" t="s">
        <v>1428</v>
      </c>
      <c r="S267" t="s">
        <v>173</v>
      </c>
      <c r="T267" t="s">
        <v>587</v>
      </c>
      <c r="U267"/>
    </row>
    <row r="268" spans="1:21" x14ac:dyDescent="0.25">
      <c r="A268">
        <v>626705</v>
      </c>
      <c r="B268" t="s">
        <v>1170</v>
      </c>
      <c r="C268">
        <v>11</v>
      </c>
      <c r="D268">
        <v>-7</v>
      </c>
      <c r="E268">
        <v>-2</v>
      </c>
      <c r="F268">
        <v>2</v>
      </c>
      <c r="G268">
        <v>0</v>
      </c>
      <c r="H268"/>
      <c r="I268"/>
      <c r="J268"/>
      <c r="K268">
        <v>0.35</v>
      </c>
      <c r="L268">
        <v>1.59</v>
      </c>
      <c r="M268"/>
      <c r="N268"/>
      <c r="O268" t="s">
        <v>135</v>
      </c>
      <c r="P268" s="379">
        <v>43025</v>
      </c>
      <c r="Q268" t="s">
        <v>57</v>
      </c>
      <c r="R268" t="s">
        <v>1414</v>
      </c>
      <c r="S268" t="s">
        <v>173</v>
      </c>
      <c r="T268" t="s">
        <v>587</v>
      </c>
      <c r="U268"/>
    </row>
    <row r="269" spans="1:21" x14ac:dyDescent="0.25">
      <c r="A269">
        <v>964767</v>
      </c>
      <c r="B269" t="s">
        <v>624</v>
      </c>
      <c r="C269">
        <v>15</v>
      </c>
      <c r="D269">
        <v>-7</v>
      </c>
      <c r="E269">
        <v>1</v>
      </c>
      <c r="F269">
        <v>5</v>
      </c>
      <c r="G269">
        <v>7</v>
      </c>
      <c r="H269">
        <v>58</v>
      </c>
      <c r="I269">
        <v>97</v>
      </c>
      <c r="J269">
        <v>14.5</v>
      </c>
      <c r="K269">
        <v>0.36</v>
      </c>
      <c r="L269">
        <v>1.31</v>
      </c>
      <c r="M269">
        <v>12.9</v>
      </c>
      <c r="N269">
        <v>1.3</v>
      </c>
      <c r="O269" t="s">
        <v>135</v>
      </c>
      <c r="P269" s="379">
        <v>36790</v>
      </c>
      <c r="Q269" t="s">
        <v>136</v>
      </c>
      <c r="R269" t="s">
        <v>873</v>
      </c>
      <c r="S269" t="s">
        <v>1269</v>
      </c>
      <c r="T269" t="s">
        <v>154</v>
      </c>
      <c r="U269"/>
    </row>
    <row r="270" spans="1:21" x14ac:dyDescent="0.25">
      <c r="A270">
        <v>904904</v>
      </c>
      <c r="B270" t="s">
        <v>539</v>
      </c>
      <c r="C270">
        <v>11</v>
      </c>
      <c r="D270">
        <v>-7</v>
      </c>
      <c r="E270">
        <v>-2</v>
      </c>
      <c r="F270">
        <v>3</v>
      </c>
      <c r="G270">
        <v>-3</v>
      </c>
      <c r="H270">
        <v>21</v>
      </c>
      <c r="I270">
        <v>29</v>
      </c>
      <c r="J270">
        <v>5.0999999999999996</v>
      </c>
      <c r="K270">
        <v>0.36</v>
      </c>
      <c r="L270">
        <v>1.31</v>
      </c>
      <c r="M270">
        <v>12.4</v>
      </c>
      <c r="N270">
        <v>0.6</v>
      </c>
      <c r="O270" t="s">
        <v>135</v>
      </c>
      <c r="P270" s="379">
        <v>42144</v>
      </c>
      <c r="Q270" t="s">
        <v>136</v>
      </c>
      <c r="R270" t="s">
        <v>751</v>
      </c>
      <c r="S270" t="s">
        <v>1269</v>
      </c>
      <c r="T270" t="s">
        <v>182</v>
      </c>
      <c r="U270"/>
    </row>
    <row r="271" spans="1:21" x14ac:dyDescent="0.25">
      <c r="A271">
        <v>229625</v>
      </c>
      <c r="B271" t="s">
        <v>1303</v>
      </c>
      <c r="C271">
        <v>8</v>
      </c>
      <c r="D271">
        <v>0</v>
      </c>
      <c r="E271">
        <v>3</v>
      </c>
      <c r="F271">
        <v>7</v>
      </c>
      <c r="G271">
        <v>6</v>
      </c>
      <c r="H271">
        <v>20</v>
      </c>
      <c r="I271">
        <v>27</v>
      </c>
      <c r="J271">
        <v>4.8</v>
      </c>
      <c r="K271">
        <v>0.36</v>
      </c>
      <c r="L271">
        <v>1</v>
      </c>
      <c r="M271">
        <v>5.8</v>
      </c>
      <c r="N271">
        <v>1.1000000000000001</v>
      </c>
      <c r="O271" t="s">
        <v>169</v>
      </c>
      <c r="P271" s="379">
        <v>41766</v>
      </c>
      <c r="Q271" t="s">
        <v>57</v>
      </c>
      <c r="R271" t="s">
        <v>1127</v>
      </c>
      <c r="S271" t="s">
        <v>164</v>
      </c>
      <c r="T271" t="s">
        <v>596</v>
      </c>
      <c r="U271"/>
    </row>
    <row r="272" spans="1:21" x14ac:dyDescent="0.25">
      <c r="A272">
        <v>288001</v>
      </c>
      <c r="B272" t="s">
        <v>558</v>
      </c>
      <c r="C272">
        <v>5</v>
      </c>
      <c r="D272">
        <v>1</v>
      </c>
      <c r="E272">
        <v>2</v>
      </c>
      <c r="F272">
        <v>4</v>
      </c>
      <c r="G272">
        <v>4</v>
      </c>
      <c r="H272">
        <v>14</v>
      </c>
      <c r="I272">
        <v>21</v>
      </c>
      <c r="J272">
        <v>3.9</v>
      </c>
      <c r="K272">
        <v>0.36</v>
      </c>
      <c r="L272">
        <v>0.85</v>
      </c>
      <c r="M272">
        <v>6.1</v>
      </c>
      <c r="N272">
        <v>0.8</v>
      </c>
      <c r="O272" t="s">
        <v>169</v>
      </c>
      <c r="P272" s="379">
        <v>40667</v>
      </c>
      <c r="Q272" t="s">
        <v>57</v>
      </c>
      <c r="R272" t="s">
        <v>1381</v>
      </c>
      <c r="S272" t="s">
        <v>467</v>
      </c>
      <c r="T272" t="s">
        <v>604</v>
      </c>
      <c r="U272"/>
    </row>
    <row r="273" spans="1:21" x14ac:dyDescent="0.25">
      <c r="A273">
        <v>239301</v>
      </c>
      <c r="B273" t="s">
        <v>531</v>
      </c>
      <c r="C273">
        <v>7</v>
      </c>
      <c r="D273">
        <v>-3</v>
      </c>
      <c r="E273">
        <v>0</v>
      </c>
      <c r="F273">
        <v>2</v>
      </c>
      <c r="G273">
        <v>1</v>
      </c>
      <c r="H273">
        <v>6</v>
      </c>
      <c r="I273">
        <v>12</v>
      </c>
      <c r="J273">
        <v>2.4</v>
      </c>
      <c r="K273">
        <v>0.36</v>
      </c>
      <c r="L273">
        <v>1.31</v>
      </c>
      <c r="M273">
        <v>5.0999999999999996</v>
      </c>
      <c r="N273">
        <v>0.4</v>
      </c>
      <c r="O273" t="s">
        <v>135</v>
      </c>
      <c r="P273" s="379">
        <v>42299</v>
      </c>
      <c r="Q273" t="s">
        <v>57</v>
      </c>
      <c r="R273" t="s">
        <v>1378</v>
      </c>
      <c r="S273" t="s">
        <v>248</v>
      </c>
      <c r="T273" t="s">
        <v>597</v>
      </c>
      <c r="U273"/>
    </row>
    <row r="274" spans="1:21" x14ac:dyDescent="0.25">
      <c r="A274">
        <v>386870</v>
      </c>
      <c r="B274" t="s">
        <v>532</v>
      </c>
      <c r="C274">
        <v>2</v>
      </c>
      <c r="D274">
        <v>0</v>
      </c>
      <c r="E274">
        <v>1</v>
      </c>
      <c r="F274">
        <v>2</v>
      </c>
      <c r="G274">
        <v>2</v>
      </c>
      <c r="H274">
        <v>11</v>
      </c>
      <c r="I274"/>
      <c r="J274"/>
      <c r="K274">
        <v>0.36</v>
      </c>
      <c r="L274">
        <v>1.22</v>
      </c>
      <c r="M274">
        <v>1.1000000000000001</v>
      </c>
      <c r="N274">
        <v>3.2</v>
      </c>
      <c r="O274" t="s">
        <v>135</v>
      </c>
      <c r="P274" s="379">
        <v>42327</v>
      </c>
      <c r="Q274" t="s">
        <v>57</v>
      </c>
      <c r="R274" t="s">
        <v>821</v>
      </c>
      <c r="S274" t="s">
        <v>1285</v>
      </c>
      <c r="T274" t="s">
        <v>605</v>
      </c>
      <c r="U274"/>
    </row>
    <row r="275" spans="1:21" x14ac:dyDescent="0.25">
      <c r="A275">
        <v>307306</v>
      </c>
      <c r="B275" t="s">
        <v>567</v>
      </c>
      <c r="C275">
        <v>3</v>
      </c>
      <c r="D275">
        <v>0</v>
      </c>
      <c r="E275">
        <v>1</v>
      </c>
      <c r="F275">
        <v>2</v>
      </c>
      <c r="G275">
        <v>2</v>
      </c>
      <c r="H275"/>
      <c r="I275"/>
      <c r="J275"/>
      <c r="K275">
        <v>0.36</v>
      </c>
      <c r="L275">
        <v>1.56</v>
      </c>
      <c r="M275"/>
      <c r="N275"/>
      <c r="O275" t="s">
        <v>135</v>
      </c>
      <c r="P275" s="379">
        <v>42541</v>
      </c>
      <c r="Q275" t="s">
        <v>136</v>
      </c>
      <c r="R275" t="s">
        <v>730</v>
      </c>
      <c r="S275" t="s">
        <v>563</v>
      </c>
      <c r="T275" t="s">
        <v>588</v>
      </c>
      <c r="U275"/>
    </row>
    <row r="276" spans="1:21" x14ac:dyDescent="0.25">
      <c r="A276">
        <v>721035</v>
      </c>
      <c r="B276" t="s">
        <v>591</v>
      </c>
      <c r="C276">
        <v>14</v>
      </c>
      <c r="D276">
        <v>-1</v>
      </c>
      <c r="E276">
        <v>3</v>
      </c>
      <c r="F276">
        <v>10</v>
      </c>
      <c r="G276">
        <v>11</v>
      </c>
      <c r="H276">
        <v>50</v>
      </c>
      <c r="I276">
        <v>126</v>
      </c>
      <c r="J276">
        <v>17.7</v>
      </c>
      <c r="K276">
        <v>0.37</v>
      </c>
      <c r="L276">
        <v>1.62</v>
      </c>
      <c r="M276">
        <v>11.7</v>
      </c>
      <c r="N276">
        <v>1.2</v>
      </c>
      <c r="O276" t="s">
        <v>135</v>
      </c>
      <c r="P276" s="379">
        <v>40261</v>
      </c>
      <c r="Q276" t="s">
        <v>57</v>
      </c>
      <c r="R276" t="s">
        <v>980</v>
      </c>
      <c r="S276" t="s">
        <v>1270</v>
      </c>
      <c r="T276" t="s">
        <v>208</v>
      </c>
      <c r="U276"/>
    </row>
    <row r="277" spans="1:21" x14ac:dyDescent="0.25">
      <c r="A277">
        <v>384818</v>
      </c>
      <c r="B277" t="s">
        <v>598</v>
      </c>
      <c r="C277">
        <v>20</v>
      </c>
      <c r="D277">
        <v>-3</v>
      </c>
      <c r="E277">
        <v>6</v>
      </c>
      <c r="F277">
        <v>11</v>
      </c>
      <c r="G277">
        <v>10</v>
      </c>
      <c r="H277">
        <v>46</v>
      </c>
      <c r="I277">
        <v>94</v>
      </c>
      <c r="J277">
        <v>14.1</v>
      </c>
      <c r="K277">
        <v>0.37</v>
      </c>
      <c r="L277">
        <v>1.63</v>
      </c>
      <c r="M277">
        <v>11.4</v>
      </c>
      <c r="N277">
        <v>1.2</v>
      </c>
      <c r="O277" t="s">
        <v>135</v>
      </c>
      <c r="P277" s="379">
        <v>36790</v>
      </c>
      <c r="Q277" t="s">
        <v>57</v>
      </c>
      <c r="R277" t="s">
        <v>920</v>
      </c>
      <c r="S277" t="s">
        <v>1270</v>
      </c>
      <c r="T277" t="s">
        <v>154</v>
      </c>
      <c r="U277"/>
    </row>
    <row r="278" spans="1:21" x14ac:dyDescent="0.25">
      <c r="A278">
        <v>388298</v>
      </c>
      <c r="B278" t="s">
        <v>289</v>
      </c>
      <c r="C278">
        <v>10</v>
      </c>
      <c r="D278">
        <v>-6</v>
      </c>
      <c r="E278">
        <v>0</v>
      </c>
      <c r="F278">
        <v>2</v>
      </c>
      <c r="G278">
        <v>-11</v>
      </c>
      <c r="H278">
        <v>18</v>
      </c>
      <c r="I278">
        <v>76</v>
      </c>
      <c r="J278">
        <v>11.9</v>
      </c>
      <c r="K278">
        <v>0.37</v>
      </c>
      <c r="L278">
        <v>2</v>
      </c>
      <c r="M278">
        <v>12.3</v>
      </c>
      <c r="N278">
        <v>0.5</v>
      </c>
      <c r="O278" t="s">
        <v>226</v>
      </c>
      <c r="P278" s="379">
        <v>39470</v>
      </c>
      <c r="Q278" t="s">
        <v>57</v>
      </c>
      <c r="R278" t="s">
        <v>1047</v>
      </c>
      <c r="S278" t="s">
        <v>468</v>
      </c>
      <c r="T278" t="s">
        <v>244</v>
      </c>
      <c r="U278"/>
    </row>
    <row r="279" spans="1:21" x14ac:dyDescent="0.25">
      <c r="A279">
        <v>584912</v>
      </c>
      <c r="B279" t="s">
        <v>296</v>
      </c>
      <c r="C279">
        <v>13</v>
      </c>
      <c r="D279">
        <v>-4</v>
      </c>
      <c r="E279">
        <v>3</v>
      </c>
      <c r="F279">
        <v>7</v>
      </c>
      <c r="G279">
        <v>-4</v>
      </c>
      <c r="H279">
        <v>19</v>
      </c>
      <c r="I279">
        <v>69</v>
      </c>
      <c r="J279">
        <v>11.1</v>
      </c>
      <c r="K279">
        <v>0.37</v>
      </c>
      <c r="L279">
        <v>1.62</v>
      </c>
      <c r="M279">
        <v>12.5</v>
      </c>
      <c r="N279">
        <v>0.5</v>
      </c>
      <c r="O279" t="s">
        <v>135</v>
      </c>
      <c r="P279" s="379">
        <v>41295</v>
      </c>
      <c r="Q279" t="s">
        <v>136</v>
      </c>
      <c r="R279" t="s">
        <v>1000</v>
      </c>
      <c r="S279" t="s">
        <v>160</v>
      </c>
      <c r="T279" t="s">
        <v>208</v>
      </c>
      <c r="U279"/>
    </row>
    <row r="280" spans="1:21" x14ac:dyDescent="0.25">
      <c r="A280">
        <v>721746</v>
      </c>
      <c r="B280" t="s">
        <v>1292</v>
      </c>
      <c r="C280">
        <v>14</v>
      </c>
      <c r="D280">
        <v>1</v>
      </c>
      <c r="E280">
        <v>5</v>
      </c>
      <c r="F280">
        <v>13</v>
      </c>
      <c r="G280">
        <v>12</v>
      </c>
      <c r="H280">
        <v>32</v>
      </c>
      <c r="I280">
        <v>61</v>
      </c>
      <c r="J280">
        <v>10</v>
      </c>
      <c r="K280">
        <v>0.37</v>
      </c>
      <c r="L280">
        <v>1.71</v>
      </c>
      <c r="M280">
        <v>8.3000000000000007</v>
      </c>
      <c r="N280">
        <v>1.2</v>
      </c>
      <c r="O280" t="s">
        <v>261</v>
      </c>
      <c r="P280" s="379">
        <v>38882</v>
      </c>
      <c r="Q280" t="s">
        <v>57</v>
      </c>
      <c r="R280" t="s">
        <v>853</v>
      </c>
      <c r="S280" t="s">
        <v>1281</v>
      </c>
      <c r="T280" t="s">
        <v>596</v>
      </c>
      <c r="U280"/>
    </row>
    <row r="281" spans="1:21" x14ac:dyDescent="0.25">
      <c r="A281">
        <v>313155</v>
      </c>
      <c r="B281" t="s">
        <v>1335</v>
      </c>
      <c r="C281">
        <v>10</v>
      </c>
      <c r="D281">
        <v>-2</v>
      </c>
      <c r="E281">
        <v>-2</v>
      </c>
      <c r="F281">
        <v>-2</v>
      </c>
      <c r="G281">
        <v>11</v>
      </c>
      <c r="H281">
        <v>25</v>
      </c>
      <c r="I281">
        <v>58</v>
      </c>
      <c r="J281">
        <v>9.6</v>
      </c>
      <c r="K281">
        <v>0.37</v>
      </c>
      <c r="L281">
        <v>1.62</v>
      </c>
      <c r="M281">
        <v>13.5</v>
      </c>
      <c r="N281">
        <v>0.6</v>
      </c>
      <c r="O281" t="s">
        <v>135</v>
      </c>
      <c r="P281" s="379">
        <v>36790</v>
      </c>
      <c r="Q281" t="s">
        <v>57</v>
      </c>
      <c r="R281" t="s">
        <v>978</v>
      </c>
      <c r="S281" t="s">
        <v>1270</v>
      </c>
      <c r="T281" t="s">
        <v>612</v>
      </c>
      <c r="U281"/>
    </row>
    <row r="282" spans="1:21" x14ac:dyDescent="0.25">
      <c r="A282">
        <v>752204</v>
      </c>
      <c r="B282" t="s">
        <v>288</v>
      </c>
      <c r="C282">
        <v>24</v>
      </c>
      <c r="D282">
        <v>0</v>
      </c>
      <c r="E282">
        <v>8</v>
      </c>
      <c r="F282">
        <v>16</v>
      </c>
      <c r="G282">
        <v>17</v>
      </c>
      <c r="H282">
        <v>72</v>
      </c>
      <c r="I282">
        <v>51</v>
      </c>
      <c r="J282">
        <v>8.6</v>
      </c>
      <c r="K282">
        <v>0.37</v>
      </c>
      <c r="L282">
        <v>2.4300000000000002</v>
      </c>
      <c r="M282">
        <v>14.9</v>
      </c>
      <c r="N282">
        <v>1.3</v>
      </c>
      <c r="O282" t="s">
        <v>135</v>
      </c>
      <c r="P282" s="379">
        <v>37004</v>
      </c>
      <c r="Q282" t="s">
        <v>136</v>
      </c>
      <c r="R282" t="s">
        <v>870</v>
      </c>
      <c r="S282" t="s">
        <v>147</v>
      </c>
      <c r="T282" t="s">
        <v>277</v>
      </c>
      <c r="U282"/>
    </row>
    <row r="283" spans="1:21" x14ac:dyDescent="0.25">
      <c r="A283">
        <v>912287</v>
      </c>
      <c r="B283" t="s">
        <v>342</v>
      </c>
      <c r="C283">
        <v>11</v>
      </c>
      <c r="D283">
        <v>-3</v>
      </c>
      <c r="E283">
        <v>1</v>
      </c>
      <c r="F283">
        <v>4</v>
      </c>
      <c r="G283">
        <v>1</v>
      </c>
      <c r="H283">
        <v>29</v>
      </c>
      <c r="I283">
        <v>42</v>
      </c>
      <c r="J283">
        <v>7.3</v>
      </c>
      <c r="K283">
        <v>0.37</v>
      </c>
      <c r="L283">
        <v>1.7</v>
      </c>
      <c r="M283">
        <v>8.9</v>
      </c>
      <c r="N283">
        <v>1</v>
      </c>
      <c r="O283" t="s">
        <v>135</v>
      </c>
      <c r="P283" s="379">
        <v>40823</v>
      </c>
      <c r="Q283" t="s">
        <v>57</v>
      </c>
      <c r="R283" t="s">
        <v>1441</v>
      </c>
      <c r="S283" t="s">
        <v>1275</v>
      </c>
      <c r="T283" t="s">
        <v>587</v>
      </c>
      <c r="U283"/>
    </row>
    <row r="284" spans="1:21" x14ac:dyDescent="0.25">
      <c r="A284">
        <v>336115</v>
      </c>
      <c r="B284" t="s">
        <v>1284</v>
      </c>
      <c r="C284">
        <v>7</v>
      </c>
      <c r="D284">
        <v>0</v>
      </c>
      <c r="E284">
        <v>2</v>
      </c>
      <c r="F284">
        <v>6</v>
      </c>
      <c r="G284">
        <v>5</v>
      </c>
      <c r="H284">
        <v>20</v>
      </c>
      <c r="I284">
        <v>40</v>
      </c>
      <c r="J284">
        <v>7</v>
      </c>
      <c r="K284">
        <v>0.37</v>
      </c>
      <c r="L284">
        <v>1.2</v>
      </c>
      <c r="M284">
        <v>7.4</v>
      </c>
      <c r="N284">
        <v>0.9</v>
      </c>
      <c r="O284" t="s">
        <v>261</v>
      </c>
      <c r="P284" s="379">
        <v>38882</v>
      </c>
      <c r="Q284" t="s">
        <v>57</v>
      </c>
      <c r="R284" t="s">
        <v>852</v>
      </c>
      <c r="S284" t="s">
        <v>1281</v>
      </c>
      <c r="T284" t="s">
        <v>596</v>
      </c>
      <c r="U284"/>
    </row>
    <row r="285" spans="1:21" x14ac:dyDescent="0.25">
      <c r="A285">
        <v>900894</v>
      </c>
      <c r="B285" t="s">
        <v>1296</v>
      </c>
      <c r="C285">
        <v>8</v>
      </c>
      <c r="D285">
        <v>-1</v>
      </c>
      <c r="E285">
        <v>3</v>
      </c>
      <c r="F285">
        <v>6</v>
      </c>
      <c r="G285">
        <v>3</v>
      </c>
      <c r="H285">
        <v>24</v>
      </c>
      <c r="I285">
        <v>35</v>
      </c>
      <c r="J285">
        <v>6.2</v>
      </c>
      <c r="K285">
        <v>0.37</v>
      </c>
      <c r="L285">
        <v>1.44</v>
      </c>
      <c r="M285">
        <v>6.9</v>
      </c>
      <c r="N285">
        <v>1.1000000000000001</v>
      </c>
      <c r="O285" t="s">
        <v>169</v>
      </c>
      <c r="P285" s="379">
        <v>38882</v>
      </c>
      <c r="Q285" t="s">
        <v>57</v>
      </c>
      <c r="R285" t="s">
        <v>1120</v>
      </c>
      <c r="S285" t="s">
        <v>1281</v>
      </c>
      <c r="T285" t="s">
        <v>604</v>
      </c>
      <c r="U285"/>
    </row>
    <row r="286" spans="1:21" x14ac:dyDescent="0.25">
      <c r="A286">
        <v>983940</v>
      </c>
      <c r="B286" t="s">
        <v>328</v>
      </c>
      <c r="C286">
        <v>11</v>
      </c>
      <c r="D286">
        <v>-2</v>
      </c>
      <c r="E286">
        <v>2</v>
      </c>
      <c r="F286">
        <v>5</v>
      </c>
      <c r="G286">
        <v>1</v>
      </c>
      <c r="H286">
        <v>21</v>
      </c>
      <c r="I286">
        <v>28</v>
      </c>
      <c r="J286">
        <v>5</v>
      </c>
      <c r="K286">
        <v>0.37</v>
      </c>
      <c r="L286">
        <v>1.7</v>
      </c>
      <c r="M286">
        <v>8.6999999999999993</v>
      </c>
      <c r="N286">
        <v>0.8</v>
      </c>
      <c r="O286" t="s">
        <v>135</v>
      </c>
      <c r="P286" s="379">
        <v>40823</v>
      </c>
      <c r="Q286" t="s">
        <v>57</v>
      </c>
      <c r="R286" t="s">
        <v>1446</v>
      </c>
      <c r="S286" t="s">
        <v>1275</v>
      </c>
      <c r="T286" t="s">
        <v>588</v>
      </c>
      <c r="U286"/>
    </row>
    <row r="287" spans="1:21" x14ac:dyDescent="0.25">
      <c r="A287">
        <v>571695</v>
      </c>
      <c r="B287" t="s">
        <v>292</v>
      </c>
      <c r="C287">
        <v>13</v>
      </c>
      <c r="D287">
        <v>-5</v>
      </c>
      <c r="E287">
        <v>2</v>
      </c>
      <c r="F287">
        <v>4</v>
      </c>
      <c r="G287">
        <v>-7</v>
      </c>
      <c r="H287">
        <v>21</v>
      </c>
      <c r="I287">
        <v>27</v>
      </c>
      <c r="J287">
        <v>4.8</v>
      </c>
      <c r="K287">
        <v>0.37</v>
      </c>
      <c r="L287">
        <v>2</v>
      </c>
      <c r="M287">
        <v>13</v>
      </c>
      <c r="N287">
        <v>0.6</v>
      </c>
      <c r="O287" t="s">
        <v>226</v>
      </c>
      <c r="P287" s="379">
        <v>39470</v>
      </c>
      <c r="Q287" t="s">
        <v>57</v>
      </c>
      <c r="R287" t="s">
        <v>1074</v>
      </c>
      <c r="S287" t="s">
        <v>468</v>
      </c>
      <c r="T287" t="s">
        <v>178</v>
      </c>
      <c r="U287"/>
    </row>
    <row r="288" spans="1:21" x14ac:dyDescent="0.25">
      <c r="A288">
        <v>501981</v>
      </c>
      <c r="B288" t="s">
        <v>354</v>
      </c>
      <c r="C288">
        <v>15</v>
      </c>
      <c r="D288">
        <v>-5</v>
      </c>
      <c r="E288">
        <v>0</v>
      </c>
      <c r="F288">
        <v>8</v>
      </c>
      <c r="G288">
        <v>-4</v>
      </c>
      <c r="H288">
        <v>38</v>
      </c>
      <c r="I288">
        <v>26</v>
      </c>
      <c r="J288">
        <v>4.8</v>
      </c>
      <c r="K288">
        <v>0.37</v>
      </c>
      <c r="L288">
        <v>2</v>
      </c>
      <c r="M288">
        <v>13.8</v>
      </c>
      <c r="N288">
        <v>0.9</v>
      </c>
      <c r="O288" t="s">
        <v>226</v>
      </c>
      <c r="P288" s="379">
        <v>37607</v>
      </c>
      <c r="Q288" t="s">
        <v>57</v>
      </c>
      <c r="R288" t="s">
        <v>1054</v>
      </c>
      <c r="S288" t="s">
        <v>150</v>
      </c>
      <c r="T288" t="s">
        <v>228</v>
      </c>
      <c r="U288"/>
    </row>
    <row r="289" spans="1:21" x14ac:dyDescent="0.25">
      <c r="A289">
        <v>934711</v>
      </c>
      <c r="B289" t="s">
        <v>295</v>
      </c>
      <c r="C289">
        <v>3</v>
      </c>
      <c r="D289">
        <v>0</v>
      </c>
      <c r="E289">
        <v>1</v>
      </c>
      <c r="F289">
        <v>2</v>
      </c>
      <c r="G289">
        <v>1</v>
      </c>
      <c r="H289">
        <v>6</v>
      </c>
      <c r="I289">
        <v>10</v>
      </c>
      <c r="J289">
        <v>2</v>
      </c>
      <c r="K289">
        <v>0.37</v>
      </c>
      <c r="L289">
        <v>0.93</v>
      </c>
      <c r="M289">
        <v>1.8</v>
      </c>
      <c r="N289">
        <v>1.3</v>
      </c>
      <c r="O289" t="s">
        <v>135</v>
      </c>
      <c r="P289" s="379">
        <v>41271</v>
      </c>
      <c r="Q289" t="s">
        <v>136</v>
      </c>
      <c r="R289" t="s">
        <v>815</v>
      </c>
      <c r="S289" t="s">
        <v>157</v>
      </c>
      <c r="T289" t="s">
        <v>599</v>
      </c>
      <c r="U289"/>
    </row>
    <row r="290" spans="1:21" x14ac:dyDescent="0.25">
      <c r="A290">
        <v>184580</v>
      </c>
      <c r="B290" t="s">
        <v>1359</v>
      </c>
      <c r="C290"/>
      <c r="D290">
        <v>-5</v>
      </c>
      <c r="E290"/>
      <c r="F290"/>
      <c r="G290"/>
      <c r="H290"/>
      <c r="I290"/>
      <c r="J290"/>
      <c r="K290">
        <v>0.37</v>
      </c>
      <c r="L290">
        <v>2</v>
      </c>
      <c r="M290"/>
      <c r="N290"/>
      <c r="O290" t="s">
        <v>135</v>
      </c>
      <c r="P290" s="379">
        <v>43580</v>
      </c>
      <c r="Q290" t="s">
        <v>57</v>
      </c>
      <c r="R290" t="s">
        <v>1360</v>
      </c>
      <c r="S290" t="s">
        <v>468</v>
      </c>
      <c r="T290" t="s">
        <v>154</v>
      </c>
      <c r="U290"/>
    </row>
    <row r="291" spans="1:21" x14ac:dyDescent="0.25">
      <c r="A291">
        <v>617670</v>
      </c>
      <c r="B291" t="s">
        <v>304</v>
      </c>
      <c r="C291">
        <v>14</v>
      </c>
      <c r="D291">
        <v>-11</v>
      </c>
      <c r="E291">
        <v>-3</v>
      </c>
      <c r="F291">
        <v>8</v>
      </c>
      <c r="G291">
        <v>-8</v>
      </c>
      <c r="H291">
        <v>66</v>
      </c>
      <c r="I291"/>
      <c r="J291"/>
      <c r="K291">
        <v>0.37</v>
      </c>
      <c r="L291">
        <v>1.86</v>
      </c>
      <c r="M291">
        <v>16.100000000000001</v>
      </c>
      <c r="N291">
        <v>1.2</v>
      </c>
      <c r="O291" t="s">
        <v>135</v>
      </c>
      <c r="P291" s="379">
        <v>41915</v>
      </c>
      <c r="Q291" t="s">
        <v>136</v>
      </c>
      <c r="R291" t="s">
        <v>666</v>
      </c>
      <c r="S291" t="s">
        <v>161</v>
      </c>
      <c r="T291" t="s">
        <v>259</v>
      </c>
      <c r="U291"/>
    </row>
    <row r="292" spans="1:21" x14ac:dyDescent="0.25">
      <c r="A292">
        <v>106492</v>
      </c>
      <c r="B292" t="s">
        <v>592</v>
      </c>
      <c r="C292">
        <v>21</v>
      </c>
      <c r="D292">
        <v>-3</v>
      </c>
      <c r="E292">
        <v>7</v>
      </c>
      <c r="F292">
        <v>12</v>
      </c>
      <c r="G292">
        <v>14</v>
      </c>
      <c r="H292">
        <v>51</v>
      </c>
      <c r="I292">
        <v>101</v>
      </c>
      <c r="J292">
        <v>15</v>
      </c>
      <c r="K292">
        <v>0.38</v>
      </c>
      <c r="L292">
        <v>1.65</v>
      </c>
      <c r="M292">
        <v>11.3</v>
      </c>
      <c r="N292">
        <v>1.3</v>
      </c>
      <c r="O292" t="s">
        <v>135</v>
      </c>
      <c r="P292" s="379">
        <v>39645</v>
      </c>
      <c r="Q292" t="s">
        <v>57</v>
      </c>
      <c r="R292" t="s">
        <v>916</v>
      </c>
      <c r="S292" t="s">
        <v>1270</v>
      </c>
      <c r="T292" t="s">
        <v>154</v>
      </c>
      <c r="U292"/>
    </row>
    <row r="293" spans="1:21" x14ac:dyDescent="0.25">
      <c r="A293">
        <v>173435</v>
      </c>
      <c r="B293" t="s">
        <v>399</v>
      </c>
      <c r="C293">
        <v>13</v>
      </c>
      <c r="D293">
        <v>0</v>
      </c>
      <c r="E293">
        <v>4</v>
      </c>
      <c r="F293">
        <v>13</v>
      </c>
      <c r="G293">
        <v>13</v>
      </c>
      <c r="H293">
        <v>24</v>
      </c>
      <c r="I293">
        <v>62</v>
      </c>
      <c r="J293">
        <v>10.1</v>
      </c>
      <c r="K293">
        <v>0.38</v>
      </c>
      <c r="L293">
        <v>1.88</v>
      </c>
      <c r="M293">
        <v>8.1999999999999993</v>
      </c>
      <c r="N293">
        <v>0.9</v>
      </c>
      <c r="O293" t="s">
        <v>261</v>
      </c>
      <c r="P293" s="379">
        <v>37684</v>
      </c>
      <c r="Q293" t="s">
        <v>57</v>
      </c>
      <c r="R293" t="s">
        <v>846</v>
      </c>
      <c r="S293" t="s">
        <v>1278</v>
      </c>
      <c r="T293" t="s">
        <v>596</v>
      </c>
      <c r="U293"/>
    </row>
    <row r="294" spans="1:21" x14ac:dyDescent="0.25">
      <c r="A294">
        <v>206250</v>
      </c>
      <c r="B294" t="s">
        <v>299</v>
      </c>
      <c r="C294">
        <v>13</v>
      </c>
      <c r="D294">
        <v>-6</v>
      </c>
      <c r="E294">
        <v>0</v>
      </c>
      <c r="F294">
        <v>7</v>
      </c>
      <c r="G294">
        <v>-3</v>
      </c>
      <c r="H294">
        <v>53</v>
      </c>
      <c r="I294">
        <v>50</v>
      </c>
      <c r="J294">
        <v>8.4</v>
      </c>
      <c r="K294">
        <v>0.38</v>
      </c>
      <c r="L294">
        <v>1.83</v>
      </c>
      <c r="M294">
        <v>12.8</v>
      </c>
      <c r="N294">
        <v>1.2</v>
      </c>
      <c r="O294" t="s">
        <v>135</v>
      </c>
      <c r="P294" s="379">
        <v>37005</v>
      </c>
      <c r="Q294" t="s">
        <v>136</v>
      </c>
      <c r="R294" t="s">
        <v>697</v>
      </c>
      <c r="S294" t="s">
        <v>149</v>
      </c>
      <c r="T294" t="s">
        <v>228</v>
      </c>
      <c r="U294"/>
    </row>
    <row r="295" spans="1:21" x14ac:dyDescent="0.25">
      <c r="A295">
        <v>316752</v>
      </c>
      <c r="B295" t="s">
        <v>263</v>
      </c>
      <c r="C295">
        <v>11</v>
      </c>
      <c r="D295">
        <v>2</v>
      </c>
      <c r="E295">
        <v>7</v>
      </c>
      <c r="F295">
        <v>13</v>
      </c>
      <c r="G295">
        <v>13</v>
      </c>
      <c r="H295">
        <v>18</v>
      </c>
      <c r="I295">
        <v>46</v>
      </c>
      <c r="J295">
        <v>7.8</v>
      </c>
      <c r="K295">
        <v>0.38</v>
      </c>
      <c r="L295">
        <v>1.23</v>
      </c>
      <c r="M295">
        <v>8.1</v>
      </c>
      <c r="N295">
        <v>0.8</v>
      </c>
      <c r="O295" t="s">
        <v>261</v>
      </c>
      <c r="P295" s="379">
        <v>37684</v>
      </c>
      <c r="Q295" t="s">
        <v>57</v>
      </c>
      <c r="R295" t="s">
        <v>845</v>
      </c>
      <c r="S295" t="s">
        <v>1278</v>
      </c>
      <c r="T295" t="s">
        <v>599</v>
      </c>
      <c r="U295"/>
    </row>
    <row r="296" spans="1:21" x14ac:dyDescent="0.25">
      <c r="A296">
        <v>280925</v>
      </c>
      <c r="B296" t="s">
        <v>319</v>
      </c>
      <c r="C296">
        <v>8</v>
      </c>
      <c r="D296">
        <v>1</v>
      </c>
      <c r="E296">
        <v>5</v>
      </c>
      <c r="F296">
        <v>9</v>
      </c>
      <c r="G296">
        <v>8</v>
      </c>
      <c r="H296">
        <v>20</v>
      </c>
      <c r="I296">
        <v>35</v>
      </c>
      <c r="J296">
        <v>6.1</v>
      </c>
      <c r="K296">
        <v>0.38</v>
      </c>
      <c r="L296">
        <v>1.21</v>
      </c>
      <c r="M296">
        <v>6.9</v>
      </c>
      <c r="N296">
        <v>1</v>
      </c>
      <c r="O296" t="s">
        <v>169</v>
      </c>
      <c r="P296" s="379">
        <v>37685</v>
      </c>
      <c r="Q296" t="s">
        <v>57</v>
      </c>
      <c r="R296" t="s">
        <v>877</v>
      </c>
      <c r="S296" t="s">
        <v>1278</v>
      </c>
      <c r="T296" t="s">
        <v>604</v>
      </c>
      <c r="U296"/>
    </row>
    <row r="297" spans="1:21" x14ac:dyDescent="0.25">
      <c r="A297">
        <v>352583</v>
      </c>
      <c r="B297" t="s">
        <v>344</v>
      </c>
      <c r="C297">
        <v>7</v>
      </c>
      <c r="D297">
        <v>0</v>
      </c>
      <c r="E297">
        <v>3</v>
      </c>
      <c r="F297">
        <v>6</v>
      </c>
      <c r="G297">
        <v>5</v>
      </c>
      <c r="H297">
        <v>18</v>
      </c>
      <c r="I297">
        <v>26</v>
      </c>
      <c r="J297">
        <v>4.7</v>
      </c>
      <c r="K297">
        <v>0.38</v>
      </c>
      <c r="L297">
        <v>1.36</v>
      </c>
      <c r="M297">
        <v>6.4</v>
      </c>
      <c r="N297">
        <v>1</v>
      </c>
      <c r="O297" t="s">
        <v>169</v>
      </c>
      <c r="P297" s="379">
        <v>37684</v>
      </c>
      <c r="Q297" t="s">
        <v>57</v>
      </c>
      <c r="R297" t="s">
        <v>1385</v>
      </c>
      <c r="S297" t="s">
        <v>1278</v>
      </c>
      <c r="T297" t="s">
        <v>595</v>
      </c>
      <c r="U297"/>
    </row>
    <row r="298" spans="1:21" x14ac:dyDescent="0.25">
      <c r="A298">
        <v>238832</v>
      </c>
      <c r="B298" t="s">
        <v>362</v>
      </c>
      <c r="C298">
        <v>14</v>
      </c>
      <c r="D298">
        <v>-5</v>
      </c>
      <c r="E298">
        <v>1</v>
      </c>
      <c r="F298">
        <v>6</v>
      </c>
      <c r="G298">
        <v>2</v>
      </c>
      <c r="H298">
        <v>22</v>
      </c>
      <c r="I298">
        <v>25</v>
      </c>
      <c r="J298">
        <v>4.5</v>
      </c>
      <c r="K298">
        <v>0.38</v>
      </c>
      <c r="L298">
        <v>1.4</v>
      </c>
      <c r="M298">
        <v>11</v>
      </c>
      <c r="N298">
        <v>0.7</v>
      </c>
      <c r="O298" t="s">
        <v>169</v>
      </c>
      <c r="P298" s="379">
        <v>40487</v>
      </c>
      <c r="Q298" t="s">
        <v>57</v>
      </c>
      <c r="R298" t="s">
        <v>1090</v>
      </c>
      <c r="S298" t="s">
        <v>248</v>
      </c>
      <c r="T298" t="s">
        <v>178</v>
      </c>
      <c r="U298"/>
    </row>
    <row r="299" spans="1:21" x14ac:dyDescent="0.25">
      <c r="A299">
        <v>963462</v>
      </c>
      <c r="B299" t="s">
        <v>1157</v>
      </c>
      <c r="C299">
        <v>7</v>
      </c>
      <c r="D299">
        <v>-2</v>
      </c>
      <c r="E299">
        <v>2</v>
      </c>
      <c r="F299">
        <v>4</v>
      </c>
      <c r="G299">
        <v>2</v>
      </c>
      <c r="H299">
        <v>12</v>
      </c>
      <c r="I299">
        <v>20</v>
      </c>
      <c r="J299">
        <v>3.6</v>
      </c>
      <c r="K299">
        <v>0.38</v>
      </c>
      <c r="L299">
        <v>0.99</v>
      </c>
      <c r="M299">
        <v>4.3</v>
      </c>
      <c r="N299">
        <v>1</v>
      </c>
      <c r="O299" t="s">
        <v>135</v>
      </c>
      <c r="P299" s="379">
        <v>38520</v>
      </c>
      <c r="Q299" t="s">
        <v>57</v>
      </c>
      <c r="R299" t="s">
        <v>1166</v>
      </c>
      <c r="S299" t="s">
        <v>1277</v>
      </c>
      <c r="T299" t="s">
        <v>597</v>
      </c>
      <c r="U299"/>
    </row>
    <row r="300" spans="1:21" x14ac:dyDescent="0.25">
      <c r="A300">
        <v>607879</v>
      </c>
      <c r="B300" t="s">
        <v>1173</v>
      </c>
      <c r="C300">
        <v>14</v>
      </c>
      <c r="D300">
        <v>-3</v>
      </c>
      <c r="E300">
        <v>2</v>
      </c>
      <c r="F300">
        <v>5</v>
      </c>
      <c r="G300">
        <v>13</v>
      </c>
      <c r="H300"/>
      <c r="I300"/>
      <c r="J300"/>
      <c r="K300">
        <v>0.38</v>
      </c>
      <c r="L300">
        <v>0.8</v>
      </c>
      <c r="M300"/>
      <c r="N300"/>
      <c r="O300" t="s">
        <v>135</v>
      </c>
      <c r="P300" s="379">
        <v>43105</v>
      </c>
      <c r="Q300" t="s">
        <v>136</v>
      </c>
      <c r="R300" t="s">
        <v>1411</v>
      </c>
      <c r="S300" t="s">
        <v>302</v>
      </c>
      <c r="T300" t="s">
        <v>154</v>
      </c>
      <c r="U300"/>
    </row>
    <row r="301" spans="1:21" x14ac:dyDescent="0.25">
      <c r="A301">
        <v>908509</v>
      </c>
      <c r="B301" t="s">
        <v>578</v>
      </c>
      <c r="C301">
        <v>19</v>
      </c>
      <c r="D301">
        <v>1</v>
      </c>
      <c r="E301">
        <v>6</v>
      </c>
      <c r="F301">
        <v>17</v>
      </c>
      <c r="G301">
        <v>13</v>
      </c>
      <c r="H301"/>
      <c r="I301"/>
      <c r="J301"/>
      <c r="K301">
        <v>0.38</v>
      </c>
      <c r="L301">
        <v>0.85</v>
      </c>
      <c r="M301"/>
      <c r="N301"/>
      <c r="O301" t="s">
        <v>135</v>
      </c>
      <c r="P301" s="379">
        <v>42709</v>
      </c>
      <c r="Q301" t="s">
        <v>136</v>
      </c>
      <c r="R301" t="s">
        <v>1440</v>
      </c>
      <c r="S301" t="s">
        <v>157</v>
      </c>
      <c r="T301" t="s">
        <v>208</v>
      </c>
      <c r="U301"/>
    </row>
    <row r="302" spans="1:21" x14ac:dyDescent="0.25">
      <c r="A302">
        <v>290304</v>
      </c>
      <c r="B302" t="s">
        <v>553</v>
      </c>
      <c r="C302">
        <v>13</v>
      </c>
      <c r="D302">
        <v>-1</v>
      </c>
      <c r="E302">
        <v>2</v>
      </c>
      <c r="F302">
        <v>9</v>
      </c>
      <c r="G302">
        <v>4</v>
      </c>
      <c r="H302">
        <v>41</v>
      </c>
      <c r="I302"/>
      <c r="J302"/>
      <c r="K302">
        <v>0.38</v>
      </c>
      <c r="L302">
        <v>0.85</v>
      </c>
      <c r="M302">
        <v>10.6</v>
      </c>
      <c r="N302">
        <v>1.2</v>
      </c>
      <c r="O302" t="s">
        <v>135</v>
      </c>
      <c r="P302" s="379">
        <v>42479</v>
      </c>
      <c r="Q302" t="s">
        <v>136</v>
      </c>
      <c r="R302" t="s">
        <v>1382</v>
      </c>
      <c r="S302" t="s">
        <v>157</v>
      </c>
      <c r="T302" t="s">
        <v>182</v>
      </c>
      <c r="U302"/>
    </row>
    <row r="303" spans="1:21" x14ac:dyDescent="0.25">
      <c r="A303">
        <v>521104</v>
      </c>
      <c r="B303" t="s">
        <v>472</v>
      </c>
      <c r="C303">
        <v>11</v>
      </c>
      <c r="D303">
        <v>-7</v>
      </c>
      <c r="E303">
        <v>-2</v>
      </c>
      <c r="F303">
        <v>4</v>
      </c>
      <c r="G303">
        <v>-2</v>
      </c>
      <c r="H303">
        <v>19</v>
      </c>
      <c r="I303"/>
      <c r="J303"/>
      <c r="K303">
        <v>0.38</v>
      </c>
      <c r="L303">
        <v>1.4</v>
      </c>
      <c r="M303">
        <v>11.1</v>
      </c>
      <c r="N303">
        <v>0.6</v>
      </c>
      <c r="O303" t="s">
        <v>135</v>
      </c>
      <c r="P303" s="379">
        <v>42090</v>
      </c>
      <c r="Q303" t="s">
        <v>57</v>
      </c>
      <c r="R303" t="s">
        <v>1131</v>
      </c>
      <c r="S303" t="s">
        <v>248</v>
      </c>
      <c r="T303" t="s">
        <v>244</v>
      </c>
      <c r="U303"/>
    </row>
    <row r="304" spans="1:21" x14ac:dyDescent="0.25">
      <c r="A304">
        <v>439471</v>
      </c>
      <c r="B304" t="s">
        <v>321</v>
      </c>
      <c r="C304">
        <v>19</v>
      </c>
      <c r="D304">
        <v>-8</v>
      </c>
      <c r="E304">
        <v>3</v>
      </c>
      <c r="F304">
        <v>8</v>
      </c>
      <c r="G304">
        <v>15</v>
      </c>
      <c r="H304">
        <v>98</v>
      </c>
      <c r="I304">
        <v>200</v>
      </c>
      <c r="J304">
        <v>24.5</v>
      </c>
      <c r="K304">
        <v>0.39</v>
      </c>
      <c r="L304">
        <v>1.4</v>
      </c>
      <c r="M304">
        <v>16.2</v>
      </c>
      <c r="N304">
        <v>1.5</v>
      </c>
      <c r="O304" t="s">
        <v>135</v>
      </c>
      <c r="P304" s="379">
        <v>36790</v>
      </c>
      <c r="Q304" t="s">
        <v>136</v>
      </c>
      <c r="R304" t="s">
        <v>675</v>
      </c>
      <c r="S304" t="s">
        <v>185</v>
      </c>
      <c r="T304" t="s">
        <v>204</v>
      </c>
      <c r="U304"/>
    </row>
    <row r="305" spans="1:21" x14ac:dyDescent="0.25">
      <c r="A305">
        <v>538108</v>
      </c>
      <c r="B305" t="s">
        <v>619</v>
      </c>
      <c r="C305">
        <v>29</v>
      </c>
      <c r="D305">
        <v>-3</v>
      </c>
      <c r="E305">
        <v>-3</v>
      </c>
      <c r="F305">
        <v>6</v>
      </c>
      <c r="G305">
        <v>0</v>
      </c>
      <c r="H305">
        <v>65</v>
      </c>
      <c r="I305">
        <v>129</v>
      </c>
      <c r="J305">
        <v>18</v>
      </c>
      <c r="K305">
        <v>0.39</v>
      </c>
      <c r="L305">
        <v>1.75</v>
      </c>
      <c r="M305">
        <v>27.8</v>
      </c>
      <c r="N305">
        <v>0.8</v>
      </c>
      <c r="O305" t="s">
        <v>135</v>
      </c>
      <c r="P305" s="379">
        <v>42137</v>
      </c>
      <c r="Q305" t="s">
        <v>57</v>
      </c>
      <c r="R305" t="s">
        <v>1034</v>
      </c>
      <c r="S305" t="s">
        <v>1270</v>
      </c>
      <c r="T305" t="s">
        <v>612</v>
      </c>
      <c r="U305"/>
    </row>
    <row r="306" spans="1:21" x14ac:dyDescent="0.25">
      <c r="A306">
        <v>511139</v>
      </c>
      <c r="B306" t="s">
        <v>316</v>
      </c>
      <c r="C306">
        <v>16</v>
      </c>
      <c r="D306">
        <v>-7</v>
      </c>
      <c r="E306">
        <v>0</v>
      </c>
      <c r="F306">
        <v>4</v>
      </c>
      <c r="G306">
        <v>5</v>
      </c>
      <c r="H306">
        <v>55</v>
      </c>
      <c r="I306">
        <v>108</v>
      </c>
      <c r="J306">
        <v>15.8</v>
      </c>
      <c r="K306">
        <v>0.39</v>
      </c>
      <c r="L306">
        <v>1.41</v>
      </c>
      <c r="M306">
        <v>14.9</v>
      </c>
      <c r="N306">
        <v>1.1000000000000001</v>
      </c>
      <c r="O306" t="s">
        <v>135</v>
      </c>
      <c r="P306" s="379">
        <v>36790</v>
      </c>
      <c r="Q306" t="s">
        <v>136</v>
      </c>
      <c r="R306" t="s">
        <v>1133</v>
      </c>
      <c r="S306" t="s">
        <v>185</v>
      </c>
      <c r="T306" t="s">
        <v>608</v>
      </c>
      <c r="U306"/>
    </row>
    <row r="307" spans="1:21" x14ac:dyDescent="0.25">
      <c r="A307">
        <v>103606</v>
      </c>
      <c r="B307" t="s">
        <v>318</v>
      </c>
      <c r="C307">
        <v>20</v>
      </c>
      <c r="D307">
        <v>-2</v>
      </c>
      <c r="E307">
        <v>8</v>
      </c>
      <c r="F307">
        <v>12</v>
      </c>
      <c r="G307">
        <v>11</v>
      </c>
      <c r="H307">
        <v>46</v>
      </c>
      <c r="I307">
        <v>90</v>
      </c>
      <c r="J307">
        <v>13.7</v>
      </c>
      <c r="K307">
        <v>0.39</v>
      </c>
      <c r="L307">
        <v>1.4</v>
      </c>
      <c r="M307">
        <v>13.1</v>
      </c>
      <c r="N307">
        <v>1.1000000000000001</v>
      </c>
      <c r="O307" t="s">
        <v>135</v>
      </c>
      <c r="P307" s="379">
        <v>37606</v>
      </c>
      <c r="Q307" t="s">
        <v>136</v>
      </c>
      <c r="R307" t="s">
        <v>674</v>
      </c>
      <c r="S307" t="s">
        <v>185</v>
      </c>
      <c r="T307" t="s">
        <v>208</v>
      </c>
      <c r="U307"/>
    </row>
    <row r="308" spans="1:21" x14ac:dyDescent="0.25">
      <c r="A308">
        <v>475301</v>
      </c>
      <c r="B308" t="s">
        <v>320</v>
      </c>
      <c r="C308">
        <v>19</v>
      </c>
      <c r="D308">
        <v>-4</v>
      </c>
      <c r="E308">
        <v>4</v>
      </c>
      <c r="F308">
        <v>9</v>
      </c>
      <c r="G308">
        <v>9</v>
      </c>
      <c r="H308">
        <v>54</v>
      </c>
      <c r="I308">
        <v>85</v>
      </c>
      <c r="J308">
        <v>13.1</v>
      </c>
      <c r="K308">
        <v>0.39</v>
      </c>
      <c r="L308">
        <v>1.4</v>
      </c>
      <c r="M308">
        <v>11.8</v>
      </c>
      <c r="N308">
        <v>1.3</v>
      </c>
      <c r="O308" t="s">
        <v>135</v>
      </c>
      <c r="P308" s="379">
        <v>36790</v>
      </c>
      <c r="Q308" t="s">
        <v>136</v>
      </c>
      <c r="R308" t="s">
        <v>676</v>
      </c>
      <c r="S308" t="s">
        <v>185</v>
      </c>
      <c r="T308" t="s">
        <v>154</v>
      </c>
      <c r="U308"/>
    </row>
    <row r="309" spans="1:21" x14ac:dyDescent="0.25">
      <c r="A309">
        <v>556589</v>
      </c>
      <c r="B309" t="s">
        <v>309</v>
      </c>
      <c r="C309">
        <v>9</v>
      </c>
      <c r="D309">
        <v>-6</v>
      </c>
      <c r="E309">
        <v>-2</v>
      </c>
      <c r="F309">
        <v>3</v>
      </c>
      <c r="G309">
        <v>-7</v>
      </c>
      <c r="H309">
        <v>24</v>
      </c>
      <c r="I309">
        <v>68</v>
      </c>
      <c r="J309">
        <v>11</v>
      </c>
      <c r="K309">
        <v>0.39</v>
      </c>
      <c r="L309">
        <v>1.75</v>
      </c>
      <c r="M309">
        <v>12.9</v>
      </c>
      <c r="N309">
        <v>0.6</v>
      </c>
      <c r="O309" t="s">
        <v>135</v>
      </c>
      <c r="P309" s="379">
        <v>38394</v>
      </c>
      <c r="Q309" t="s">
        <v>136</v>
      </c>
      <c r="R309" t="s">
        <v>1070</v>
      </c>
      <c r="S309" t="s">
        <v>173</v>
      </c>
      <c r="T309" t="s">
        <v>607</v>
      </c>
      <c r="U309"/>
    </row>
    <row r="310" spans="1:21" x14ac:dyDescent="0.25">
      <c r="A310">
        <v>914945</v>
      </c>
      <c r="B310" t="s">
        <v>307</v>
      </c>
      <c r="C310">
        <v>9</v>
      </c>
      <c r="D310">
        <v>-6</v>
      </c>
      <c r="E310">
        <v>-1</v>
      </c>
      <c r="F310">
        <v>4</v>
      </c>
      <c r="G310">
        <v>-6</v>
      </c>
      <c r="H310">
        <v>51</v>
      </c>
      <c r="I310">
        <v>60</v>
      </c>
      <c r="J310">
        <v>9.9</v>
      </c>
      <c r="K310">
        <v>0.39</v>
      </c>
      <c r="L310">
        <v>1.76</v>
      </c>
      <c r="M310">
        <v>12.3</v>
      </c>
      <c r="N310">
        <v>1.2</v>
      </c>
      <c r="O310" t="s">
        <v>135</v>
      </c>
      <c r="P310" s="379">
        <v>37573</v>
      </c>
      <c r="Q310" t="s">
        <v>136</v>
      </c>
      <c r="R310" t="s">
        <v>1031</v>
      </c>
      <c r="S310" t="s">
        <v>173</v>
      </c>
      <c r="T310" t="s">
        <v>609</v>
      </c>
      <c r="U310"/>
    </row>
    <row r="311" spans="1:21" x14ac:dyDescent="0.25">
      <c r="A311">
        <v>950774</v>
      </c>
      <c r="B311" t="s">
        <v>308</v>
      </c>
      <c r="C311">
        <v>11</v>
      </c>
      <c r="D311">
        <v>-4</v>
      </c>
      <c r="E311">
        <v>0</v>
      </c>
      <c r="F311">
        <v>7</v>
      </c>
      <c r="G311">
        <v>-3</v>
      </c>
      <c r="H311">
        <v>57</v>
      </c>
      <c r="I311">
        <v>58</v>
      </c>
      <c r="J311">
        <v>9.5</v>
      </c>
      <c r="K311">
        <v>0.39</v>
      </c>
      <c r="L311">
        <v>1.76</v>
      </c>
      <c r="M311">
        <v>11.8</v>
      </c>
      <c r="N311">
        <v>1.4</v>
      </c>
      <c r="O311" t="s">
        <v>135</v>
      </c>
      <c r="P311" s="379">
        <v>37573</v>
      </c>
      <c r="Q311" t="s">
        <v>136</v>
      </c>
      <c r="R311" t="s">
        <v>764</v>
      </c>
      <c r="S311" t="s">
        <v>173</v>
      </c>
      <c r="T311" t="s">
        <v>228</v>
      </c>
      <c r="U311"/>
    </row>
    <row r="312" spans="1:21" x14ac:dyDescent="0.25">
      <c r="A312">
        <v>367813</v>
      </c>
      <c r="B312" t="s">
        <v>314</v>
      </c>
      <c r="C312">
        <v>13</v>
      </c>
      <c r="D312">
        <v>-6</v>
      </c>
      <c r="E312">
        <v>1</v>
      </c>
      <c r="F312">
        <v>5</v>
      </c>
      <c r="G312">
        <v>2</v>
      </c>
      <c r="H312">
        <v>37</v>
      </c>
      <c r="I312">
        <v>57</v>
      </c>
      <c r="J312">
        <v>9.4</v>
      </c>
      <c r="K312">
        <v>0.39</v>
      </c>
      <c r="L312">
        <v>1.4</v>
      </c>
      <c r="M312">
        <v>11</v>
      </c>
      <c r="N312">
        <v>1</v>
      </c>
      <c r="O312" t="s">
        <v>135</v>
      </c>
      <c r="P312" s="379">
        <v>36790</v>
      </c>
      <c r="Q312" t="s">
        <v>136</v>
      </c>
      <c r="R312" t="s">
        <v>736</v>
      </c>
      <c r="S312" t="s">
        <v>185</v>
      </c>
      <c r="T312" t="s">
        <v>588</v>
      </c>
      <c r="U312"/>
    </row>
    <row r="313" spans="1:21" x14ac:dyDescent="0.25">
      <c r="A313">
        <v>611657</v>
      </c>
      <c r="B313" t="s">
        <v>312</v>
      </c>
      <c r="C313">
        <v>15</v>
      </c>
      <c r="D313">
        <v>-4</v>
      </c>
      <c r="E313">
        <v>1</v>
      </c>
      <c r="F313">
        <v>10</v>
      </c>
      <c r="G313">
        <v>0</v>
      </c>
      <c r="H313">
        <v>29</v>
      </c>
      <c r="I313">
        <v>53</v>
      </c>
      <c r="J313">
        <v>8.9</v>
      </c>
      <c r="K313">
        <v>0.39</v>
      </c>
      <c r="L313">
        <v>1.41</v>
      </c>
      <c r="M313">
        <v>11.6</v>
      </c>
      <c r="N313">
        <v>0.8</v>
      </c>
      <c r="O313" t="s">
        <v>135</v>
      </c>
      <c r="P313" s="379">
        <v>41085</v>
      </c>
      <c r="Q313" t="s">
        <v>136</v>
      </c>
      <c r="R313" t="s">
        <v>1412</v>
      </c>
      <c r="S313" t="s">
        <v>185</v>
      </c>
      <c r="T313" t="s">
        <v>244</v>
      </c>
      <c r="U313"/>
    </row>
    <row r="314" spans="1:21" x14ac:dyDescent="0.25">
      <c r="A314">
        <v>823039</v>
      </c>
      <c r="B314" t="s">
        <v>315</v>
      </c>
      <c r="C314">
        <v>16</v>
      </c>
      <c r="D314">
        <v>-2</v>
      </c>
      <c r="E314">
        <v>-1</v>
      </c>
      <c r="F314">
        <v>14</v>
      </c>
      <c r="G314">
        <v>18</v>
      </c>
      <c r="H314">
        <v>61</v>
      </c>
      <c r="I314">
        <v>32</v>
      </c>
      <c r="J314">
        <v>5.7</v>
      </c>
      <c r="K314">
        <v>0.39</v>
      </c>
      <c r="L314">
        <v>1.77</v>
      </c>
      <c r="M314">
        <v>20.3</v>
      </c>
      <c r="N314">
        <v>0.9</v>
      </c>
      <c r="O314" t="s">
        <v>135</v>
      </c>
      <c r="P314" s="379">
        <v>40569</v>
      </c>
      <c r="Q314" t="s">
        <v>136</v>
      </c>
      <c r="R314" t="s">
        <v>769</v>
      </c>
      <c r="S314" t="s">
        <v>173</v>
      </c>
      <c r="T314" t="s">
        <v>272</v>
      </c>
      <c r="U314"/>
    </row>
    <row r="315" spans="1:21" x14ac:dyDescent="0.25">
      <c r="A315">
        <v>546960</v>
      </c>
      <c r="B315" t="s">
        <v>313</v>
      </c>
      <c r="C315">
        <v>7</v>
      </c>
      <c r="D315">
        <v>-4</v>
      </c>
      <c r="E315">
        <v>0</v>
      </c>
      <c r="F315">
        <v>3</v>
      </c>
      <c r="G315">
        <v>1</v>
      </c>
      <c r="H315">
        <v>20</v>
      </c>
      <c r="I315">
        <v>31</v>
      </c>
      <c r="J315">
        <v>5.5</v>
      </c>
      <c r="K315">
        <v>0.39</v>
      </c>
      <c r="L315">
        <v>1.4</v>
      </c>
      <c r="M315">
        <v>6.4</v>
      </c>
      <c r="N315">
        <v>1</v>
      </c>
      <c r="O315" t="s">
        <v>135</v>
      </c>
      <c r="P315" s="379">
        <v>36790</v>
      </c>
      <c r="Q315" t="s">
        <v>136</v>
      </c>
      <c r="R315" t="s">
        <v>880</v>
      </c>
      <c r="S315" t="s">
        <v>185</v>
      </c>
      <c r="T315" t="s">
        <v>602</v>
      </c>
      <c r="U315"/>
    </row>
    <row r="316" spans="1:21" x14ac:dyDescent="0.25">
      <c r="A316">
        <v>449090</v>
      </c>
      <c r="B316" t="s">
        <v>310</v>
      </c>
      <c r="C316">
        <v>16</v>
      </c>
      <c r="D316">
        <v>1</v>
      </c>
      <c r="E316">
        <v>4</v>
      </c>
      <c r="F316">
        <v>11</v>
      </c>
      <c r="G316">
        <v>9</v>
      </c>
      <c r="H316">
        <v>46</v>
      </c>
      <c r="I316">
        <v>27</v>
      </c>
      <c r="J316">
        <v>5</v>
      </c>
      <c r="K316">
        <v>0.39</v>
      </c>
      <c r="L316">
        <v>1.75</v>
      </c>
      <c r="M316">
        <v>11.8</v>
      </c>
      <c r="N316">
        <v>1.2</v>
      </c>
      <c r="O316" t="s">
        <v>135</v>
      </c>
      <c r="P316" s="379">
        <v>38394</v>
      </c>
      <c r="Q316" t="s">
        <v>136</v>
      </c>
      <c r="R316" t="s">
        <v>765</v>
      </c>
      <c r="S316" t="s">
        <v>173</v>
      </c>
      <c r="T316" t="s">
        <v>247</v>
      </c>
      <c r="U316"/>
    </row>
    <row r="317" spans="1:21" x14ac:dyDescent="0.25">
      <c r="A317">
        <v>827105</v>
      </c>
      <c r="B317" t="s">
        <v>1180</v>
      </c>
      <c r="C317">
        <v>17</v>
      </c>
      <c r="D317">
        <v>-7</v>
      </c>
      <c r="E317">
        <v>3</v>
      </c>
      <c r="F317">
        <v>7</v>
      </c>
      <c r="G317">
        <v>4</v>
      </c>
      <c r="H317"/>
      <c r="I317"/>
      <c r="J317"/>
      <c r="K317">
        <v>0.39</v>
      </c>
      <c r="L317">
        <v>1.41</v>
      </c>
      <c r="M317"/>
      <c r="N317"/>
      <c r="O317" t="s">
        <v>135</v>
      </c>
      <c r="P317" s="379">
        <v>43115</v>
      </c>
      <c r="Q317" t="s">
        <v>136</v>
      </c>
      <c r="R317" t="s">
        <v>1432</v>
      </c>
      <c r="S317" t="s">
        <v>185</v>
      </c>
      <c r="T317" t="s">
        <v>182</v>
      </c>
      <c r="U317"/>
    </row>
    <row r="318" spans="1:21" x14ac:dyDescent="0.25">
      <c r="A318">
        <v>483800</v>
      </c>
      <c r="B318" t="s">
        <v>278</v>
      </c>
      <c r="C318">
        <v>12</v>
      </c>
      <c r="D318">
        <v>2</v>
      </c>
      <c r="E318">
        <v>7</v>
      </c>
      <c r="F318">
        <v>12</v>
      </c>
      <c r="G318">
        <v>16</v>
      </c>
      <c r="H318">
        <v>27</v>
      </c>
      <c r="I318">
        <v>57</v>
      </c>
      <c r="J318">
        <v>9.5</v>
      </c>
      <c r="K318">
        <v>0.4</v>
      </c>
      <c r="L318">
        <v>0.96</v>
      </c>
      <c r="M318">
        <v>9.3000000000000007</v>
      </c>
      <c r="N318">
        <v>0.9</v>
      </c>
      <c r="O318" t="s">
        <v>261</v>
      </c>
      <c r="P318" s="379">
        <v>36789</v>
      </c>
      <c r="Q318" t="s">
        <v>57</v>
      </c>
      <c r="R318" t="s">
        <v>1401</v>
      </c>
      <c r="S318" t="s">
        <v>279</v>
      </c>
      <c r="T318" t="s">
        <v>599</v>
      </c>
      <c r="U318"/>
    </row>
    <row r="319" spans="1:21" x14ac:dyDescent="0.25">
      <c r="A319">
        <v>762880</v>
      </c>
      <c r="B319" t="s">
        <v>300</v>
      </c>
      <c r="C319">
        <v>16</v>
      </c>
      <c r="D319">
        <v>-4</v>
      </c>
      <c r="E319">
        <v>2</v>
      </c>
      <c r="F319">
        <v>5</v>
      </c>
      <c r="G319">
        <v>2</v>
      </c>
      <c r="H319">
        <v>40</v>
      </c>
      <c r="I319">
        <v>57</v>
      </c>
      <c r="J319">
        <v>9.4</v>
      </c>
      <c r="K319">
        <v>0.4</v>
      </c>
      <c r="L319">
        <v>1.71</v>
      </c>
      <c r="M319">
        <v>11.6</v>
      </c>
      <c r="N319">
        <v>1.1000000000000001</v>
      </c>
      <c r="O319" t="s">
        <v>135</v>
      </c>
      <c r="P319" s="379">
        <v>40896</v>
      </c>
      <c r="Q319" t="s">
        <v>57</v>
      </c>
      <c r="R319" t="s">
        <v>1421</v>
      </c>
      <c r="S319" t="s">
        <v>1275</v>
      </c>
      <c r="T319" t="s">
        <v>154</v>
      </c>
      <c r="U319"/>
    </row>
    <row r="320" spans="1:21" x14ac:dyDescent="0.25">
      <c r="A320">
        <v>123901</v>
      </c>
      <c r="B320" t="s">
        <v>571</v>
      </c>
      <c r="C320">
        <v>9</v>
      </c>
      <c r="D320">
        <v>-4</v>
      </c>
      <c r="E320">
        <v>0</v>
      </c>
      <c r="F320">
        <v>3</v>
      </c>
      <c r="G320">
        <v>1</v>
      </c>
      <c r="H320">
        <v>10</v>
      </c>
      <c r="I320"/>
      <c r="J320"/>
      <c r="K320">
        <v>0.4</v>
      </c>
      <c r="L320">
        <v>1.5</v>
      </c>
      <c r="M320">
        <v>7</v>
      </c>
      <c r="N320">
        <v>0.5</v>
      </c>
      <c r="O320" t="s">
        <v>135</v>
      </c>
      <c r="P320" s="379">
        <v>42506</v>
      </c>
      <c r="Q320" t="s">
        <v>57</v>
      </c>
      <c r="R320" t="s">
        <v>982</v>
      </c>
      <c r="S320" t="s">
        <v>248</v>
      </c>
      <c r="T320" t="s">
        <v>602</v>
      </c>
      <c r="U320"/>
    </row>
    <row r="321" spans="1:21" x14ac:dyDescent="0.25">
      <c r="A321">
        <v>416867</v>
      </c>
      <c r="B321" t="s">
        <v>538</v>
      </c>
      <c r="C321">
        <v>20</v>
      </c>
      <c r="D321">
        <v>-2</v>
      </c>
      <c r="E321">
        <v>5</v>
      </c>
      <c r="F321">
        <v>12</v>
      </c>
      <c r="G321">
        <v>2</v>
      </c>
      <c r="H321">
        <v>45</v>
      </c>
      <c r="I321">
        <v>111</v>
      </c>
      <c r="J321">
        <v>16.100000000000001</v>
      </c>
      <c r="K321">
        <v>0.41</v>
      </c>
      <c r="L321">
        <v>1.54</v>
      </c>
      <c r="M321">
        <v>13.1</v>
      </c>
      <c r="N321">
        <v>1</v>
      </c>
      <c r="O321" t="s">
        <v>135</v>
      </c>
      <c r="P321" s="379">
        <v>39058</v>
      </c>
      <c r="Q321" t="s">
        <v>136</v>
      </c>
      <c r="R321" t="s">
        <v>771</v>
      </c>
      <c r="S321" t="s">
        <v>1269</v>
      </c>
      <c r="T321" t="s">
        <v>208</v>
      </c>
      <c r="U321"/>
    </row>
    <row r="322" spans="1:21" x14ac:dyDescent="0.25">
      <c r="A322">
        <v>352872</v>
      </c>
      <c r="B322" t="s">
        <v>516</v>
      </c>
      <c r="C322">
        <v>18</v>
      </c>
      <c r="D322">
        <v>-6</v>
      </c>
      <c r="E322">
        <v>2</v>
      </c>
      <c r="F322">
        <v>4</v>
      </c>
      <c r="G322">
        <v>9</v>
      </c>
      <c r="H322">
        <v>54</v>
      </c>
      <c r="I322">
        <v>108</v>
      </c>
      <c r="J322">
        <v>15.8</v>
      </c>
      <c r="K322">
        <v>0.41</v>
      </c>
      <c r="L322">
        <v>0.88</v>
      </c>
      <c r="M322">
        <v>14</v>
      </c>
      <c r="N322">
        <v>1.1000000000000001</v>
      </c>
      <c r="O322" t="s">
        <v>261</v>
      </c>
      <c r="P322" s="379">
        <v>42194</v>
      </c>
      <c r="Q322" t="s">
        <v>57</v>
      </c>
      <c r="R322" t="s">
        <v>1108</v>
      </c>
      <c r="S322" t="s">
        <v>350</v>
      </c>
      <c r="T322" t="s">
        <v>608</v>
      </c>
      <c r="U322"/>
    </row>
    <row r="323" spans="1:21" x14ac:dyDescent="0.25">
      <c r="A323">
        <v>694539</v>
      </c>
      <c r="B323" t="s">
        <v>534</v>
      </c>
      <c r="C323">
        <v>18</v>
      </c>
      <c r="D323">
        <v>-2</v>
      </c>
      <c r="E323">
        <v>5</v>
      </c>
      <c r="F323">
        <v>11</v>
      </c>
      <c r="G323">
        <v>3</v>
      </c>
      <c r="H323">
        <v>45</v>
      </c>
      <c r="I323">
        <v>90</v>
      </c>
      <c r="J323">
        <v>13.7</v>
      </c>
      <c r="K323">
        <v>0.41</v>
      </c>
      <c r="L323">
        <v>1.54</v>
      </c>
      <c r="M323">
        <v>12.7</v>
      </c>
      <c r="N323">
        <v>1.1000000000000001</v>
      </c>
      <c r="O323" t="s">
        <v>135</v>
      </c>
      <c r="P323" s="379">
        <v>36790</v>
      </c>
      <c r="Q323" t="s">
        <v>136</v>
      </c>
      <c r="R323" t="s">
        <v>782</v>
      </c>
      <c r="S323" t="s">
        <v>1269</v>
      </c>
      <c r="T323" t="s">
        <v>208</v>
      </c>
      <c r="U323"/>
    </row>
    <row r="324" spans="1:21" x14ac:dyDescent="0.25">
      <c r="A324">
        <v>379024</v>
      </c>
      <c r="B324" t="s">
        <v>613</v>
      </c>
      <c r="C324">
        <v>14</v>
      </c>
      <c r="D324">
        <v>-9</v>
      </c>
      <c r="E324">
        <v>0</v>
      </c>
      <c r="F324">
        <v>7</v>
      </c>
      <c r="G324">
        <v>-7</v>
      </c>
      <c r="H324">
        <v>51</v>
      </c>
      <c r="I324">
        <v>85</v>
      </c>
      <c r="J324">
        <v>13.1</v>
      </c>
      <c r="K324">
        <v>0.41</v>
      </c>
      <c r="L324">
        <v>1.87</v>
      </c>
      <c r="M324">
        <v>15.2</v>
      </c>
      <c r="N324">
        <v>1</v>
      </c>
      <c r="O324" t="s">
        <v>135</v>
      </c>
      <c r="P324" s="379">
        <v>41586</v>
      </c>
      <c r="Q324" t="s">
        <v>57</v>
      </c>
      <c r="R324" t="s">
        <v>981</v>
      </c>
      <c r="S324" t="s">
        <v>1270</v>
      </c>
      <c r="T324" t="s">
        <v>609</v>
      </c>
      <c r="U324"/>
    </row>
    <row r="325" spans="1:21" x14ac:dyDescent="0.25">
      <c r="A325">
        <v>838383</v>
      </c>
      <c r="B325" t="s">
        <v>317</v>
      </c>
      <c r="C325">
        <v>10</v>
      </c>
      <c r="D325">
        <v>-6</v>
      </c>
      <c r="E325">
        <v>0</v>
      </c>
      <c r="F325">
        <v>6</v>
      </c>
      <c r="G325">
        <v>-8</v>
      </c>
      <c r="H325">
        <v>36</v>
      </c>
      <c r="I325">
        <v>68</v>
      </c>
      <c r="J325">
        <v>11</v>
      </c>
      <c r="K325">
        <v>0.42</v>
      </c>
      <c r="L325">
        <v>1.97</v>
      </c>
      <c r="M325">
        <v>15.4</v>
      </c>
      <c r="N325">
        <v>0.8</v>
      </c>
      <c r="O325" t="s">
        <v>135</v>
      </c>
      <c r="P325" s="379">
        <v>38084</v>
      </c>
      <c r="Q325" t="s">
        <v>136</v>
      </c>
      <c r="R325" t="s">
        <v>1029</v>
      </c>
      <c r="S325" t="s">
        <v>160</v>
      </c>
      <c r="T325" t="s">
        <v>609</v>
      </c>
      <c r="U325"/>
    </row>
    <row r="326" spans="1:21" x14ac:dyDescent="0.25">
      <c r="A326">
        <v>906792</v>
      </c>
      <c r="B326" t="s">
        <v>423</v>
      </c>
      <c r="C326">
        <v>14</v>
      </c>
      <c r="D326">
        <v>0</v>
      </c>
      <c r="E326">
        <v>6</v>
      </c>
      <c r="F326">
        <v>10</v>
      </c>
      <c r="G326">
        <v>11</v>
      </c>
      <c r="H326">
        <v>34</v>
      </c>
      <c r="I326">
        <v>67</v>
      </c>
      <c r="J326">
        <v>10.8</v>
      </c>
      <c r="K326">
        <v>0.42</v>
      </c>
      <c r="L326">
        <v>1.82</v>
      </c>
      <c r="M326">
        <v>9.1</v>
      </c>
      <c r="N326">
        <v>1.2</v>
      </c>
      <c r="O326" t="s">
        <v>169</v>
      </c>
      <c r="P326" s="379">
        <v>41127</v>
      </c>
      <c r="Q326" t="s">
        <v>57</v>
      </c>
      <c r="R326" t="s">
        <v>834</v>
      </c>
      <c r="S326" t="s">
        <v>1272</v>
      </c>
      <c r="T326" t="s">
        <v>599</v>
      </c>
      <c r="U326"/>
    </row>
    <row r="327" spans="1:21" x14ac:dyDescent="0.25">
      <c r="A327">
        <v>861104</v>
      </c>
      <c r="B327" t="s">
        <v>1227</v>
      </c>
      <c r="C327">
        <v>13</v>
      </c>
      <c r="D327">
        <v>-6</v>
      </c>
      <c r="E327">
        <v>0</v>
      </c>
      <c r="F327">
        <v>8</v>
      </c>
      <c r="G327"/>
      <c r="H327">
        <v>30</v>
      </c>
      <c r="I327">
        <v>66</v>
      </c>
      <c r="J327">
        <v>10.6</v>
      </c>
      <c r="K327">
        <v>0.42</v>
      </c>
      <c r="L327">
        <v>1.63</v>
      </c>
      <c r="M327">
        <v>11.6</v>
      </c>
      <c r="N327">
        <v>0.8</v>
      </c>
      <c r="O327" t="s">
        <v>135</v>
      </c>
      <c r="P327" s="379">
        <v>43304</v>
      </c>
      <c r="Q327" t="s">
        <v>136</v>
      </c>
      <c r="R327" t="s">
        <v>1228</v>
      </c>
      <c r="S327" t="s">
        <v>163</v>
      </c>
      <c r="T327" t="s">
        <v>588</v>
      </c>
      <c r="U327"/>
    </row>
    <row r="328" spans="1:21" x14ac:dyDescent="0.25">
      <c r="A328">
        <v>467092</v>
      </c>
      <c r="B328" t="s">
        <v>348</v>
      </c>
      <c r="C328">
        <v>13</v>
      </c>
      <c r="D328">
        <v>-1</v>
      </c>
      <c r="E328">
        <v>4</v>
      </c>
      <c r="F328">
        <v>9</v>
      </c>
      <c r="G328">
        <v>11</v>
      </c>
      <c r="H328">
        <v>32</v>
      </c>
      <c r="I328">
        <v>51</v>
      </c>
      <c r="J328">
        <v>8.6</v>
      </c>
      <c r="K328">
        <v>0.42</v>
      </c>
      <c r="L328">
        <v>1.44</v>
      </c>
      <c r="M328">
        <v>9.5</v>
      </c>
      <c r="N328">
        <v>1.1000000000000001</v>
      </c>
      <c r="O328" t="s">
        <v>261</v>
      </c>
      <c r="P328" s="379">
        <v>41400</v>
      </c>
      <c r="Q328" t="s">
        <v>57</v>
      </c>
      <c r="R328" t="s">
        <v>818</v>
      </c>
      <c r="S328" t="s">
        <v>464</v>
      </c>
      <c r="T328" t="s">
        <v>595</v>
      </c>
      <c r="U328"/>
    </row>
    <row r="329" spans="1:21" x14ac:dyDescent="0.25">
      <c r="A329">
        <v>942508</v>
      </c>
      <c r="B329" t="s">
        <v>627</v>
      </c>
      <c r="C329">
        <v>9</v>
      </c>
      <c r="D329">
        <v>-3</v>
      </c>
      <c r="E329">
        <v>2</v>
      </c>
      <c r="F329">
        <v>5</v>
      </c>
      <c r="G329">
        <v>1</v>
      </c>
      <c r="H329">
        <v>21</v>
      </c>
      <c r="I329">
        <v>43</v>
      </c>
      <c r="J329">
        <v>7.5</v>
      </c>
      <c r="K329">
        <v>0.42</v>
      </c>
      <c r="L329">
        <v>1.62</v>
      </c>
      <c r="M329">
        <v>6.9</v>
      </c>
      <c r="N329">
        <v>1</v>
      </c>
      <c r="O329" t="s">
        <v>135</v>
      </c>
      <c r="P329" s="379">
        <v>42859</v>
      </c>
      <c r="Q329" t="s">
        <v>136</v>
      </c>
      <c r="R329" t="s">
        <v>1445</v>
      </c>
      <c r="S329" t="s">
        <v>163</v>
      </c>
      <c r="T329" t="s">
        <v>602</v>
      </c>
      <c r="U329"/>
    </row>
    <row r="330" spans="1:21" x14ac:dyDescent="0.25">
      <c r="A330">
        <v>878520</v>
      </c>
      <c r="B330" t="s">
        <v>333</v>
      </c>
      <c r="C330">
        <v>12</v>
      </c>
      <c r="D330">
        <v>-4</v>
      </c>
      <c r="E330">
        <v>0</v>
      </c>
      <c r="F330">
        <v>7</v>
      </c>
      <c r="G330">
        <v>3</v>
      </c>
      <c r="H330">
        <v>18</v>
      </c>
      <c r="I330">
        <v>42</v>
      </c>
      <c r="J330">
        <v>7.3</v>
      </c>
      <c r="K330">
        <v>0.42</v>
      </c>
      <c r="L330">
        <v>1.63</v>
      </c>
      <c r="M330">
        <v>7.9</v>
      </c>
      <c r="N330">
        <v>0.8</v>
      </c>
      <c r="O330" t="s">
        <v>135</v>
      </c>
      <c r="P330" s="379">
        <v>36790</v>
      </c>
      <c r="Q330" t="s">
        <v>136</v>
      </c>
      <c r="R330" t="s">
        <v>763</v>
      </c>
      <c r="S330" t="s">
        <v>163</v>
      </c>
      <c r="T330" t="s">
        <v>588</v>
      </c>
      <c r="U330"/>
    </row>
    <row r="331" spans="1:21" x14ac:dyDescent="0.25">
      <c r="A331">
        <v>717900</v>
      </c>
      <c r="B331" t="s">
        <v>345</v>
      </c>
      <c r="C331">
        <v>8</v>
      </c>
      <c r="D331">
        <v>-1</v>
      </c>
      <c r="E331">
        <v>2</v>
      </c>
      <c r="F331">
        <v>7</v>
      </c>
      <c r="G331">
        <v>6</v>
      </c>
      <c r="H331">
        <v>27</v>
      </c>
      <c r="I331">
        <v>36</v>
      </c>
      <c r="J331">
        <v>6.3</v>
      </c>
      <c r="K331">
        <v>0.42</v>
      </c>
      <c r="L331">
        <v>1.4</v>
      </c>
      <c r="M331">
        <v>6.5</v>
      </c>
      <c r="N331">
        <v>1.3</v>
      </c>
      <c r="O331" t="s">
        <v>169</v>
      </c>
      <c r="P331" s="379">
        <v>41383</v>
      </c>
      <c r="Q331" t="s">
        <v>57</v>
      </c>
      <c r="R331" t="s">
        <v>945</v>
      </c>
      <c r="S331" t="s">
        <v>464</v>
      </c>
      <c r="T331" t="s">
        <v>595</v>
      </c>
      <c r="U331"/>
    </row>
    <row r="332" spans="1:21" x14ac:dyDescent="0.25">
      <c r="A332">
        <v>989962</v>
      </c>
      <c r="B332" t="s">
        <v>1447</v>
      </c>
      <c r="C332">
        <v>8</v>
      </c>
      <c r="D332">
        <v>1</v>
      </c>
      <c r="E332">
        <v>4</v>
      </c>
      <c r="F332">
        <v>7</v>
      </c>
      <c r="G332">
        <v>5</v>
      </c>
      <c r="H332">
        <v>22</v>
      </c>
      <c r="I332">
        <v>35</v>
      </c>
      <c r="J332">
        <v>6.2</v>
      </c>
      <c r="K332">
        <v>0.42</v>
      </c>
      <c r="L332">
        <v>1.18</v>
      </c>
      <c r="M332">
        <v>5.3</v>
      </c>
      <c r="N332">
        <v>1.3</v>
      </c>
      <c r="O332" t="s">
        <v>169</v>
      </c>
      <c r="P332" s="379">
        <v>41466</v>
      </c>
      <c r="Q332" t="s">
        <v>57</v>
      </c>
      <c r="R332" t="s">
        <v>1448</v>
      </c>
      <c r="S332" t="s">
        <v>1366</v>
      </c>
      <c r="T332" t="s">
        <v>596</v>
      </c>
      <c r="U332"/>
    </row>
    <row r="333" spans="1:21" x14ac:dyDescent="0.25">
      <c r="A333">
        <v>323832</v>
      </c>
      <c r="B333" t="s">
        <v>552</v>
      </c>
      <c r="C333">
        <v>10</v>
      </c>
      <c r="D333">
        <v>-1</v>
      </c>
      <c r="E333">
        <v>1</v>
      </c>
      <c r="F333">
        <v>10</v>
      </c>
      <c r="G333">
        <v>5</v>
      </c>
      <c r="H333">
        <v>24</v>
      </c>
      <c r="I333">
        <v>29</v>
      </c>
      <c r="J333">
        <v>5.2</v>
      </c>
      <c r="K333">
        <v>0.42</v>
      </c>
      <c r="L333">
        <v>1.54</v>
      </c>
      <c r="M333">
        <v>7.5</v>
      </c>
      <c r="N333">
        <v>1</v>
      </c>
      <c r="O333" t="s">
        <v>169</v>
      </c>
      <c r="P333" s="379">
        <v>40667</v>
      </c>
      <c r="Q333" t="s">
        <v>57</v>
      </c>
      <c r="R333" t="s">
        <v>874</v>
      </c>
      <c r="S333" t="s">
        <v>467</v>
      </c>
      <c r="T333" t="s">
        <v>596</v>
      </c>
      <c r="U333"/>
    </row>
    <row r="334" spans="1:21" x14ac:dyDescent="0.25">
      <c r="A334">
        <v>972901</v>
      </c>
      <c r="B334" t="s">
        <v>533</v>
      </c>
      <c r="C334">
        <v>8</v>
      </c>
      <c r="D334">
        <v>-4</v>
      </c>
      <c r="E334">
        <v>1</v>
      </c>
      <c r="F334">
        <v>3</v>
      </c>
      <c r="G334">
        <v>-2</v>
      </c>
      <c r="H334">
        <v>6</v>
      </c>
      <c r="I334">
        <v>24</v>
      </c>
      <c r="J334">
        <v>4.3</v>
      </c>
      <c r="K334">
        <v>0.42</v>
      </c>
      <c r="L334">
        <v>1.31</v>
      </c>
      <c r="M334">
        <v>10.9</v>
      </c>
      <c r="N334">
        <v>0.2</v>
      </c>
      <c r="O334" t="s">
        <v>135</v>
      </c>
      <c r="P334" s="379">
        <v>42319</v>
      </c>
      <c r="Q334" t="s">
        <v>136</v>
      </c>
      <c r="R334" t="s">
        <v>755</v>
      </c>
      <c r="S334" t="s">
        <v>220</v>
      </c>
      <c r="T334" t="s">
        <v>182</v>
      </c>
      <c r="U334"/>
    </row>
    <row r="335" spans="1:21" x14ac:dyDescent="0.25">
      <c r="A335">
        <v>140434</v>
      </c>
      <c r="B335" t="s">
        <v>1211</v>
      </c>
      <c r="C335">
        <v>5</v>
      </c>
      <c r="D335">
        <v>-1</v>
      </c>
      <c r="E335">
        <v>0</v>
      </c>
      <c r="F335">
        <v>4</v>
      </c>
      <c r="G335">
        <v>1</v>
      </c>
      <c r="H335">
        <v>16</v>
      </c>
      <c r="I335">
        <v>10</v>
      </c>
      <c r="J335">
        <v>1.9</v>
      </c>
      <c r="K335">
        <v>0.42</v>
      </c>
      <c r="L335">
        <v>1.33</v>
      </c>
      <c r="M335">
        <v>6.6</v>
      </c>
      <c r="N335">
        <v>0.8</v>
      </c>
      <c r="O335" t="s">
        <v>169</v>
      </c>
      <c r="P335" s="379">
        <v>40667</v>
      </c>
      <c r="Q335" t="s">
        <v>57</v>
      </c>
      <c r="R335" t="s">
        <v>1368</v>
      </c>
      <c r="S335" t="s">
        <v>467</v>
      </c>
      <c r="T335" t="s">
        <v>596</v>
      </c>
      <c r="U335"/>
    </row>
    <row r="336" spans="1:21" x14ac:dyDescent="0.25">
      <c r="A336">
        <v>606103</v>
      </c>
      <c r="B336" t="s">
        <v>541</v>
      </c>
      <c r="C336">
        <v>2</v>
      </c>
      <c r="D336">
        <v>-2</v>
      </c>
      <c r="E336">
        <v>0</v>
      </c>
      <c r="F336">
        <v>1</v>
      </c>
      <c r="G336">
        <v>-1</v>
      </c>
      <c r="H336">
        <v>4</v>
      </c>
      <c r="I336"/>
      <c r="J336"/>
      <c r="K336">
        <v>0.42</v>
      </c>
      <c r="L336">
        <v>1.21</v>
      </c>
      <c r="M336">
        <v>2.8</v>
      </c>
      <c r="N336">
        <v>0.6</v>
      </c>
      <c r="O336" t="s">
        <v>135</v>
      </c>
      <c r="P336" s="379">
        <v>42313</v>
      </c>
      <c r="Q336" t="s">
        <v>57</v>
      </c>
      <c r="R336" t="s">
        <v>1097</v>
      </c>
      <c r="S336" t="s">
        <v>1271</v>
      </c>
      <c r="T336" t="s">
        <v>599</v>
      </c>
      <c r="U336"/>
    </row>
    <row r="337" spans="1:21" x14ac:dyDescent="0.25">
      <c r="A337">
        <v>259903</v>
      </c>
      <c r="B337" t="s">
        <v>650</v>
      </c>
      <c r="C337">
        <v>24</v>
      </c>
      <c r="D337">
        <v>2</v>
      </c>
      <c r="E337">
        <v>10</v>
      </c>
      <c r="F337">
        <v>17</v>
      </c>
      <c r="G337">
        <v>17</v>
      </c>
      <c r="H337">
        <v>83</v>
      </c>
      <c r="I337">
        <v>76</v>
      </c>
      <c r="J337">
        <v>12</v>
      </c>
      <c r="K337">
        <v>0.43</v>
      </c>
      <c r="L337">
        <v>2.08</v>
      </c>
      <c r="M337">
        <v>14</v>
      </c>
      <c r="N337">
        <v>1.5</v>
      </c>
      <c r="O337" t="s">
        <v>169</v>
      </c>
      <c r="P337" s="379">
        <v>42963</v>
      </c>
      <c r="Q337" t="s">
        <v>57</v>
      </c>
      <c r="R337" t="s">
        <v>894</v>
      </c>
      <c r="S337" t="s">
        <v>173</v>
      </c>
      <c r="T337" t="s">
        <v>277</v>
      </c>
      <c r="U337"/>
    </row>
    <row r="338" spans="1:21" x14ac:dyDescent="0.25">
      <c r="A338">
        <v>271478</v>
      </c>
      <c r="B338" t="s">
        <v>562</v>
      </c>
      <c r="C338">
        <v>16</v>
      </c>
      <c r="D338">
        <v>-5</v>
      </c>
      <c r="E338">
        <v>4</v>
      </c>
      <c r="F338">
        <v>8</v>
      </c>
      <c r="G338">
        <v>7</v>
      </c>
      <c r="H338"/>
      <c r="I338"/>
      <c r="J338"/>
      <c r="K338">
        <v>0.43</v>
      </c>
      <c r="L338">
        <v>1.95</v>
      </c>
      <c r="M338"/>
      <c r="N338"/>
      <c r="O338" t="s">
        <v>135</v>
      </c>
      <c r="P338" s="379">
        <v>42541</v>
      </c>
      <c r="Q338" t="s">
        <v>136</v>
      </c>
      <c r="R338" t="s">
        <v>759</v>
      </c>
      <c r="S338" t="s">
        <v>563</v>
      </c>
      <c r="T338" t="s">
        <v>590</v>
      </c>
      <c r="U338"/>
    </row>
    <row r="339" spans="1:21" x14ac:dyDescent="0.25">
      <c r="A339">
        <v>618629</v>
      </c>
      <c r="B339" t="s">
        <v>343</v>
      </c>
      <c r="C339">
        <v>17</v>
      </c>
      <c r="D339">
        <v>-7</v>
      </c>
      <c r="E339">
        <v>3</v>
      </c>
      <c r="F339">
        <v>11</v>
      </c>
      <c r="G339">
        <v>-4</v>
      </c>
      <c r="H339">
        <v>57</v>
      </c>
      <c r="I339">
        <v>75</v>
      </c>
      <c r="J339">
        <v>11.8</v>
      </c>
      <c r="K339">
        <v>0.44</v>
      </c>
      <c r="L339">
        <v>1.66</v>
      </c>
      <c r="M339">
        <v>14.9</v>
      </c>
      <c r="N339">
        <v>1.1000000000000001</v>
      </c>
      <c r="O339" t="s">
        <v>135</v>
      </c>
      <c r="P339" s="379">
        <v>36790</v>
      </c>
      <c r="Q339" t="s">
        <v>136</v>
      </c>
      <c r="R339" t="s">
        <v>1413</v>
      </c>
      <c r="S339" t="s">
        <v>185</v>
      </c>
      <c r="T339" t="s">
        <v>609</v>
      </c>
      <c r="U339"/>
    </row>
    <row r="340" spans="1:21" x14ac:dyDescent="0.25">
      <c r="A340">
        <v>927632</v>
      </c>
      <c r="B340" t="s">
        <v>1156</v>
      </c>
      <c r="C340">
        <v>10</v>
      </c>
      <c r="D340">
        <v>-3</v>
      </c>
      <c r="E340">
        <v>2</v>
      </c>
      <c r="F340">
        <v>5</v>
      </c>
      <c r="G340">
        <v>2</v>
      </c>
      <c r="H340">
        <v>20</v>
      </c>
      <c r="I340">
        <v>30</v>
      </c>
      <c r="J340">
        <v>5.5</v>
      </c>
      <c r="K340">
        <v>0.44</v>
      </c>
      <c r="L340">
        <v>1.21</v>
      </c>
      <c r="M340">
        <v>6.7</v>
      </c>
      <c r="N340">
        <v>1</v>
      </c>
      <c r="O340" t="s">
        <v>135</v>
      </c>
      <c r="P340" s="379">
        <v>38520</v>
      </c>
      <c r="Q340" t="s">
        <v>57</v>
      </c>
      <c r="R340" t="s">
        <v>1159</v>
      </c>
      <c r="S340" t="s">
        <v>1277</v>
      </c>
      <c r="T340" t="s">
        <v>602</v>
      </c>
      <c r="U340"/>
    </row>
    <row r="341" spans="1:21" x14ac:dyDescent="0.25">
      <c r="A341">
        <v>857037</v>
      </c>
      <c r="B341" t="s">
        <v>555</v>
      </c>
      <c r="C341">
        <v>5</v>
      </c>
      <c r="D341">
        <v>-2</v>
      </c>
      <c r="E341">
        <v>2</v>
      </c>
      <c r="F341">
        <v>4</v>
      </c>
      <c r="G341">
        <v>2</v>
      </c>
      <c r="H341">
        <v>15</v>
      </c>
      <c r="I341">
        <v>15</v>
      </c>
      <c r="J341">
        <v>2.9</v>
      </c>
      <c r="K341">
        <v>0.44</v>
      </c>
      <c r="L341">
        <v>0.97</v>
      </c>
      <c r="M341">
        <v>6.1</v>
      </c>
      <c r="N341">
        <v>0.8</v>
      </c>
      <c r="O341" t="s">
        <v>169</v>
      </c>
      <c r="P341" s="379">
        <v>40683</v>
      </c>
      <c r="Q341" t="s">
        <v>57</v>
      </c>
      <c r="R341" t="s">
        <v>876</v>
      </c>
      <c r="S341" t="s">
        <v>467</v>
      </c>
      <c r="T341" t="s">
        <v>588</v>
      </c>
      <c r="U341"/>
    </row>
    <row r="342" spans="1:21" x14ac:dyDescent="0.25">
      <c r="A342">
        <v>771030</v>
      </c>
      <c r="B342" t="s">
        <v>336</v>
      </c>
      <c r="C342">
        <v>19</v>
      </c>
      <c r="D342">
        <v>-5</v>
      </c>
      <c r="E342">
        <v>3</v>
      </c>
      <c r="F342">
        <v>10</v>
      </c>
      <c r="G342">
        <v>8</v>
      </c>
      <c r="H342">
        <v>66</v>
      </c>
      <c r="I342">
        <v>182</v>
      </c>
      <c r="J342">
        <v>23</v>
      </c>
      <c r="K342">
        <v>0.45</v>
      </c>
      <c r="L342">
        <v>1.62</v>
      </c>
      <c r="M342">
        <v>15.8</v>
      </c>
      <c r="N342">
        <v>1.2</v>
      </c>
      <c r="O342" t="s">
        <v>135</v>
      </c>
      <c r="P342" s="379">
        <v>36790</v>
      </c>
      <c r="Q342" t="s">
        <v>136</v>
      </c>
      <c r="R342" t="s">
        <v>802</v>
      </c>
      <c r="S342" t="s">
        <v>163</v>
      </c>
      <c r="T342" t="s">
        <v>154</v>
      </c>
      <c r="U342"/>
    </row>
    <row r="343" spans="1:21" x14ac:dyDescent="0.25">
      <c r="A343">
        <v>842690</v>
      </c>
      <c r="B343" t="s">
        <v>334</v>
      </c>
      <c r="C343">
        <v>18</v>
      </c>
      <c r="D343">
        <v>-4</v>
      </c>
      <c r="E343">
        <v>5</v>
      </c>
      <c r="F343">
        <v>13</v>
      </c>
      <c r="G343">
        <v>6</v>
      </c>
      <c r="H343">
        <v>41</v>
      </c>
      <c r="I343">
        <v>103</v>
      </c>
      <c r="J343">
        <v>15.2</v>
      </c>
      <c r="K343">
        <v>0.45</v>
      </c>
      <c r="L343">
        <v>1.63</v>
      </c>
      <c r="M343">
        <v>12.2</v>
      </c>
      <c r="N343">
        <v>1</v>
      </c>
      <c r="O343" t="s">
        <v>135</v>
      </c>
      <c r="P343" s="379">
        <v>36790</v>
      </c>
      <c r="Q343" t="s">
        <v>136</v>
      </c>
      <c r="R343" t="s">
        <v>1049</v>
      </c>
      <c r="S343" t="s">
        <v>163</v>
      </c>
      <c r="T343" t="s">
        <v>208</v>
      </c>
      <c r="U343"/>
    </row>
    <row r="344" spans="1:21" x14ac:dyDescent="0.25">
      <c r="A344">
        <v>450981</v>
      </c>
      <c r="B344" t="s">
        <v>398</v>
      </c>
      <c r="C344">
        <v>19</v>
      </c>
      <c r="D344">
        <v>-5</v>
      </c>
      <c r="E344">
        <v>5</v>
      </c>
      <c r="F344">
        <v>12</v>
      </c>
      <c r="G344">
        <v>6</v>
      </c>
      <c r="H344">
        <v>46</v>
      </c>
      <c r="I344">
        <v>90</v>
      </c>
      <c r="J344">
        <v>13.8</v>
      </c>
      <c r="K344">
        <v>0.45</v>
      </c>
      <c r="L344">
        <v>1.2</v>
      </c>
      <c r="M344">
        <v>13.6</v>
      </c>
      <c r="N344">
        <v>1</v>
      </c>
      <c r="O344" t="s">
        <v>226</v>
      </c>
      <c r="P344" s="379">
        <v>37348</v>
      </c>
      <c r="Q344" t="s">
        <v>57</v>
      </c>
      <c r="R344" t="s">
        <v>1058</v>
      </c>
      <c r="S344" t="s">
        <v>391</v>
      </c>
      <c r="T344" t="s">
        <v>182</v>
      </c>
      <c r="U344"/>
    </row>
    <row r="345" spans="1:21" x14ac:dyDescent="0.25">
      <c r="A345">
        <v>989491</v>
      </c>
      <c r="B345" t="s">
        <v>1254</v>
      </c>
      <c r="C345">
        <v>15</v>
      </c>
      <c r="D345">
        <v>-6</v>
      </c>
      <c r="E345">
        <v>1</v>
      </c>
      <c r="F345">
        <v>4</v>
      </c>
      <c r="G345">
        <v>7</v>
      </c>
      <c r="H345">
        <v>30</v>
      </c>
      <c r="I345">
        <v>56</v>
      </c>
      <c r="J345">
        <v>9.3000000000000007</v>
      </c>
      <c r="K345">
        <v>0.45</v>
      </c>
      <c r="L345">
        <v>1.8</v>
      </c>
      <c r="M345">
        <v>12.3</v>
      </c>
      <c r="N345">
        <v>0.8</v>
      </c>
      <c r="O345" t="s">
        <v>169</v>
      </c>
      <c r="P345" s="379">
        <v>39589</v>
      </c>
      <c r="Q345" t="s">
        <v>57</v>
      </c>
      <c r="R345" t="s">
        <v>1087</v>
      </c>
      <c r="S345" t="s">
        <v>248</v>
      </c>
      <c r="T345" t="s">
        <v>154</v>
      </c>
      <c r="U345"/>
    </row>
    <row r="346" spans="1:21" x14ac:dyDescent="0.25">
      <c r="A346">
        <v>806869</v>
      </c>
      <c r="B346" t="s">
        <v>335</v>
      </c>
      <c r="C346">
        <v>5</v>
      </c>
      <c r="D346">
        <v>-9</v>
      </c>
      <c r="E346">
        <v>-5</v>
      </c>
      <c r="F346">
        <v>-3</v>
      </c>
      <c r="G346">
        <v>-1</v>
      </c>
      <c r="H346">
        <v>23</v>
      </c>
      <c r="I346">
        <v>48</v>
      </c>
      <c r="J346">
        <v>8.1999999999999993</v>
      </c>
      <c r="K346">
        <v>0.45</v>
      </c>
      <c r="L346">
        <v>1.62</v>
      </c>
      <c r="M346">
        <v>13.2</v>
      </c>
      <c r="N346">
        <v>0.6</v>
      </c>
      <c r="O346" t="s">
        <v>135</v>
      </c>
      <c r="P346" s="379">
        <v>36790</v>
      </c>
      <c r="Q346" t="s">
        <v>136</v>
      </c>
      <c r="R346" t="s">
        <v>748</v>
      </c>
      <c r="S346" t="s">
        <v>163</v>
      </c>
      <c r="T346" t="s">
        <v>182</v>
      </c>
      <c r="U346"/>
    </row>
    <row r="347" spans="1:21" x14ac:dyDescent="0.25">
      <c r="A347">
        <v>829945</v>
      </c>
      <c r="B347" t="s">
        <v>1151</v>
      </c>
      <c r="C347">
        <v>7</v>
      </c>
      <c r="D347">
        <v>-3</v>
      </c>
      <c r="E347">
        <v>1</v>
      </c>
      <c r="F347">
        <v>4</v>
      </c>
      <c r="G347">
        <v>2</v>
      </c>
      <c r="H347">
        <v>15</v>
      </c>
      <c r="I347">
        <v>20</v>
      </c>
      <c r="J347">
        <v>3.7</v>
      </c>
      <c r="K347">
        <v>0.46</v>
      </c>
      <c r="L347">
        <v>1.27</v>
      </c>
      <c r="M347">
        <v>6.4</v>
      </c>
      <c r="N347">
        <v>0.8</v>
      </c>
      <c r="O347" t="s">
        <v>135</v>
      </c>
      <c r="P347" s="379">
        <v>36790</v>
      </c>
      <c r="Q347" t="s">
        <v>57</v>
      </c>
      <c r="R347" t="s">
        <v>1162</v>
      </c>
      <c r="S347" t="s">
        <v>1277</v>
      </c>
      <c r="T347" t="s">
        <v>602</v>
      </c>
      <c r="U347"/>
    </row>
    <row r="348" spans="1:21" x14ac:dyDescent="0.25">
      <c r="A348">
        <v>891507</v>
      </c>
      <c r="B348" t="s">
        <v>573</v>
      </c>
      <c r="C348">
        <v>18</v>
      </c>
      <c r="D348">
        <v>-6</v>
      </c>
      <c r="E348">
        <v>4</v>
      </c>
      <c r="F348">
        <v>7</v>
      </c>
      <c r="G348">
        <v>-12</v>
      </c>
      <c r="H348"/>
      <c r="I348"/>
      <c r="J348"/>
      <c r="K348">
        <v>0.46</v>
      </c>
      <c r="L348">
        <v>1.67</v>
      </c>
      <c r="M348"/>
      <c r="N348"/>
      <c r="O348" t="s">
        <v>135</v>
      </c>
      <c r="P348" s="379">
        <v>42656</v>
      </c>
      <c r="Q348" t="s">
        <v>136</v>
      </c>
      <c r="R348" t="s">
        <v>1439</v>
      </c>
      <c r="S348" t="s">
        <v>163</v>
      </c>
      <c r="T348" t="s">
        <v>607</v>
      </c>
      <c r="U348"/>
    </row>
    <row r="349" spans="1:21" x14ac:dyDescent="0.25">
      <c r="A349">
        <v>505586</v>
      </c>
      <c r="B349" t="s">
        <v>337</v>
      </c>
      <c r="C349">
        <v>12</v>
      </c>
      <c r="D349">
        <v>1</v>
      </c>
      <c r="E349">
        <v>12</v>
      </c>
      <c r="F349">
        <v>9</v>
      </c>
      <c r="G349">
        <v>4</v>
      </c>
      <c r="H349">
        <v>47</v>
      </c>
      <c r="I349">
        <v>111</v>
      </c>
      <c r="J349">
        <v>16.100000000000001</v>
      </c>
      <c r="K349">
        <v>0.47</v>
      </c>
      <c r="L349">
        <v>2.2599999999999998</v>
      </c>
      <c r="M349">
        <v>18.100000000000001</v>
      </c>
      <c r="N349">
        <v>0.8</v>
      </c>
      <c r="O349" t="s">
        <v>135</v>
      </c>
      <c r="P349" s="379">
        <v>38229</v>
      </c>
      <c r="Q349" t="s">
        <v>136</v>
      </c>
      <c r="R349" t="s">
        <v>1110</v>
      </c>
      <c r="S349" t="s">
        <v>160</v>
      </c>
      <c r="T349" t="s">
        <v>617</v>
      </c>
      <c r="U349"/>
    </row>
    <row r="350" spans="1:21" x14ac:dyDescent="0.25">
      <c r="A350">
        <v>183178</v>
      </c>
      <c r="B350" t="s">
        <v>322</v>
      </c>
      <c r="C350">
        <v>16</v>
      </c>
      <c r="D350">
        <v>-3</v>
      </c>
      <c r="E350">
        <v>2</v>
      </c>
      <c r="F350">
        <v>4</v>
      </c>
      <c r="G350">
        <v>1</v>
      </c>
      <c r="H350">
        <v>54</v>
      </c>
      <c r="I350">
        <v>66</v>
      </c>
      <c r="J350">
        <v>10.7</v>
      </c>
      <c r="K350">
        <v>0.47</v>
      </c>
      <c r="L350">
        <v>1.2</v>
      </c>
      <c r="M350">
        <v>14.3</v>
      </c>
      <c r="N350">
        <v>1.1000000000000001</v>
      </c>
      <c r="O350" t="s">
        <v>226</v>
      </c>
      <c r="P350" s="379">
        <v>37193</v>
      </c>
      <c r="Q350" t="s">
        <v>57</v>
      </c>
      <c r="R350" t="s">
        <v>1075</v>
      </c>
      <c r="S350" t="s">
        <v>227</v>
      </c>
      <c r="T350" t="s">
        <v>229</v>
      </c>
      <c r="U350"/>
    </row>
    <row r="351" spans="1:21" x14ac:dyDescent="0.25">
      <c r="A351">
        <v>303701</v>
      </c>
      <c r="B351" t="s">
        <v>461</v>
      </c>
      <c r="C351">
        <v>14</v>
      </c>
      <c r="D351">
        <v>-2</v>
      </c>
      <c r="E351">
        <v>3</v>
      </c>
      <c r="F351">
        <v>9</v>
      </c>
      <c r="G351">
        <v>3</v>
      </c>
      <c r="H351">
        <v>21</v>
      </c>
      <c r="I351">
        <v>54</v>
      </c>
      <c r="J351">
        <v>9</v>
      </c>
      <c r="K351">
        <v>0.47</v>
      </c>
      <c r="L351">
        <v>1.25</v>
      </c>
      <c r="M351">
        <v>10.1</v>
      </c>
      <c r="N351">
        <v>0.7</v>
      </c>
      <c r="O351" t="s">
        <v>135</v>
      </c>
      <c r="P351" s="379">
        <v>41953</v>
      </c>
      <c r="Q351" t="s">
        <v>136</v>
      </c>
      <c r="R351" t="s">
        <v>729</v>
      </c>
      <c r="S351" t="s">
        <v>462</v>
      </c>
      <c r="T351" t="s">
        <v>588</v>
      </c>
      <c r="U351"/>
    </row>
    <row r="352" spans="1:21" x14ac:dyDescent="0.25">
      <c r="A352">
        <v>249995</v>
      </c>
      <c r="B352" t="s">
        <v>351</v>
      </c>
      <c r="C352">
        <v>24</v>
      </c>
      <c r="D352">
        <v>3</v>
      </c>
      <c r="E352">
        <v>10</v>
      </c>
      <c r="F352">
        <v>16</v>
      </c>
      <c r="G352">
        <v>17</v>
      </c>
      <c r="H352">
        <v>54</v>
      </c>
      <c r="I352">
        <v>52</v>
      </c>
      <c r="J352">
        <v>8.8000000000000007</v>
      </c>
      <c r="K352">
        <v>0.47</v>
      </c>
      <c r="L352">
        <v>2.5499999999999998</v>
      </c>
      <c r="M352">
        <v>14.2</v>
      </c>
      <c r="N352">
        <v>1.1000000000000001</v>
      </c>
      <c r="O352" t="s">
        <v>135</v>
      </c>
      <c r="P352" s="379">
        <v>36790</v>
      </c>
      <c r="Q352" t="s">
        <v>136</v>
      </c>
      <c r="R352" t="s">
        <v>669</v>
      </c>
      <c r="S352" t="s">
        <v>160</v>
      </c>
      <c r="T352" t="s">
        <v>277</v>
      </c>
      <c r="U352"/>
    </row>
    <row r="353" spans="1:21" x14ac:dyDescent="0.25">
      <c r="A353">
        <v>802900</v>
      </c>
      <c r="B353" t="s">
        <v>341</v>
      </c>
      <c r="C353">
        <v>12</v>
      </c>
      <c r="D353">
        <v>-6</v>
      </c>
      <c r="E353">
        <v>-1</v>
      </c>
      <c r="F353">
        <v>6</v>
      </c>
      <c r="G353">
        <v>-2</v>
      </c>
      <c r="H353">
        <v>44</v>
      </c>
      <c r="I353">
        <v>46</v>
      </c>
      <c r="J353">
        <v>7.9</v>
      </c>
      <c r="K353">
        <v>0.47</v>
      </c>
      <c r="L353">
        <v>1.85</v>
      </c>
      <c r="M353">
        <v>12</v>
      </c>
      <c r="N353">
        <v>1.1000000000000001</v>
      </c>
      <c r="O353" t="s">
        <v>135</v>
      </c>
      <c r="P353" s="379">
        <v>41703</v>
      </c>
      <c r="Q353" t="s">
        <v>136</v>
      </c>
      <c r="R353" t="s">
        <v>1425</v>
      </c>
      <c r="S353" t="s">
        <v>185</v>
      </c>
      <c r="T353" t="s">
        <v>228</v>
      </c>
      <c r="U353"/>
    </row>
    <row r="354" spans="1:21" x14ac:dyDescent="0.25">
      <c r="A354">
        <v>973263</v>
      </c>
      <c r="B354" t="s">
        <v>1158</v>
      </c>
      <c r="C354">
        <v>11</v>
      </c>
      <c r="D354">
        <v>-8</v>
      </c>
      <c r="E354">
        <v>0</v>
      </c>
      <c r="F354">
        <v>4</v>
      </c>
      <c r="G354">
        <v>2</v>
      </c>
      <c r="H354">
        <v>27</v>
      </c>
      <c r="I354">
        <v>28</v>
      </c>
      <c r="J354">
        <v>5.0999999999999996</v>
      </c>
      <c r="K354">
        <v>0.47</v>
      </c>
      <c r="L354">
        <v>1.32</v>
      </c>
      <c r="M354">
        <v>12.5</v>
      </c>
      <c r="N354">
        <v>0.7</v>
      </c>
      <c r="O354" t="s">
        <v>135</v>
      </c>
      <c r="P354" s="379">
        <v>36790</v>
      </c>
      <c r="Q354" t="s">
        <v>57</v>
      </c>
      <c r="R354" t="s">
        <v>1169</v>
      </c>
      <c r="S354" t="s">
        <v>1277</v>
      </c>
      <c r="T354" t="s">
        <v>182</v>
      </c>
      <c r="U354"/>
    </row>
    <row r="355" spans="1:21" x14ac:dyDescent="0.25">
      <c r="A355">
        <v>959502</v>
      </c>
      <c r="B355" t="s">
        <v>635</v>
      </c>
      <c r="C355">
        <v>7</v>
      </c>
      <c r="D355">
        <v>-4</v>
      </c>
      <c r="E355">
        <v>-2</v>
      </c>
      <c r="F355">
        <v>1</v>
      </c>
      <c r="G355">
        <v>0</v>
      </c>
      <c r="H355">
        <v>13</v>
      </c>
      <c r="I355">
        <v>12</v>
      </c>
      <c r="J355">
        <v>2.2000000000000002</v>
      </c>
      <c r="K355">
        <v>0.47</v>
      </c>
      <c r="L355">
        <v>1.82</v>
      </c>
      <c r="M355">
        <v>8.1999999999999993</v>
      </c>
      <c r="N355">
        <v>0.6</v>
      </c>
      <c r="O355" t="s">
        <v>135</v>
      </c>
      <c r="P355" s="379">
        <v>42907</v>
      </c>
      <c r="Q355" t="s">
        <v>136</v>
      </c>
      <c r="R355" t="s">
        <v>1100</v>
      </c>
      <c r="S355" t="s">
        <v>220</v>
      </c>
      <c r="T355" t="s">
        <v>588</v>
      </c>
      <c r="U355"/>
    </row>
    <row r="356" spans="1:21" x14ac:dyDescent="0.25">
      <c r="A356">
        <v>178624</v>
      </c>
      <c r="B356" t="s">
        <v>1255</v>
      </c>
      <c r="C356">
        <v>13</v>
      </c>
      <c r="D356">
        <v>-8</v>
      </c>
      <c r="E356">
        <v>-1</v>
      </c>
      <c r="F356">
        <v>6</v>
      </c>
      <c r="G356">
        <v>-9</v>
      </c>
      <c r="H356">
        <v>36</v>
      </c>
      <c r="I356">
        <v>60</v>
      </c>
      <c r="J356">
        <v>9.9</v>
      </c>
      <c r="K356">
        <v>0.48</v>
      </c>
      <c r="L356">
        <v>2.16</v>
      </c>
      <c r="M356">
        <v>14.5</v>
      </c>
      <c r="N356">
        <v>0.8</v>
      </c>
      <c r="O356" t="s">
        <v>135</v>
      </c>
      <c r="P356" s="379">
        <v>41535</v>
      </c>
      <c r="Q356" t="s">
        <v>57</v>
      </c>
      <c r="R356" t="s">
        <v>1372</v>
      </c>
      <c r="S356" t="s">
        <v>1279</v>
      </c>
      <c r="T356" t="s">
        <v>587</v>
      </c>
      <c r="U356"/>
    </row>
    <row r="357" spans="1:21" x14ac:dyDescent="0.25">
      <c r="A357">
        <v>447086</v>
      </c>
      <c r="B357" t="s">
        <v>346</v>
      </c>
      <c r="C357">
        <v>7</v>
      </c>
      <c r="D357">
        <v>-1</v>
      </c>
      <c r="E357">
        <v>1</v>
      </c>
      <c r="F357">
        <v>4</v>
      </c>
      <c r="G357">
        <v>0</v>
      </c>
      <c r="H357">
        <v>13</v>
      </c>
      <c r="I357">
        <v>15</v>
      </c>
      <c r="J357">
        <v>2.9</v>
      </c>
      <c r="K357">
        <v>0.48</v>
      </c>
      <c r="L357">
        <v>1.32</v>
      </c>
      <c r="M357">
        <v>4.5999999999999996</v>
      </c>
      <c r="N357">
        <v>1</v>
      </c>
      <c r="O357" t="s">
        <v>135</v>
      </c>
      <c r="P357" s="379">
        <v>41009</v>
      </c>
      <c r="Q357" t="s">
        <v>136</v>
      </c>
      <c r="R357" t="s">
        <v>808</v>
      </c>
      <c r="S357" t="s">
        <v>527</v>
      </c>
      <c r="T357" t="s">
        <v>597</v>
      </c>
      <c r="U357"/>
    </row>
    <row r="358" spans="1:21" x14ac:dyDescent="0.25">
      <c r="A358">
        <v>536276</v>
      </c>
      <c r="B358" t="s">
        <v>1248</v>
      </c>
      <c r="C358">
        <v>11</v>
      </c>
      <c r="D358">
        <v>-2</v>
      </c>
      <c r="E358">
        <v>3</v>
      </c>
      <c r="F358">
        <v>7</v>
      </c>
      <c r="G358">
        <v>0</v>
      </c>
      <c r="H358">
        <v>7</v>
      </c>
      <c r="I358"/>
      <c r="J358"/>
      <c r="K358">
        <v>0.48</v>
      </c>
      <c r="L358">
        <v>1.75</v>
      </c>
      <c r="M358">
        <v>5.6</v>
      </c>
      <c r="N358">
        <v>0.5</v>
      </c>
      <c r="O358" t="s">
        <v>135</v>
      </c>
      <c r="P358" s="379">
        <v>42229</v>
      </c>
      <c r="Q358" t="s">
        <v>136</v>
      </c>
      <c r="R358" t="s">
        <v>967</v>
      </c>
      <c r="S358" t="s">
        <v>1279</v>
      </c>
      <c r="T358" t="s">
        <v>602</v>
      </c>
      <c r="U358"/>
    </row>
    <row r="359" spans="1:21" x14ac:dyDescent="0.25">
      <c r="A359">
        <v>946285</v>
      </c>
      <c r="B359" t="s">
        <v>633</v>
      </c>
      <c r="C359">
        <v>11</v>
      </c>
      <c r="D359">
        <v>-5</v>
      </c>
      <c r="E359">
        <v>1</v>
      </c>
      <c r="F359">
        <v>2</v>
      </c>
      <c r="G359">
        <v>0</v>
      </c>
      <c r="H359">
        <v>30</v>
      </c>
      <c r="I359">
        <v>43</v>
      </c>
      <c r="J359">
        <v>7.5</v>
      </c>
      <c r="K359">
        <v>0.49</v>
      </c>
      <c r="L359">
        <v>1.61</v>
      </c>
      <c r="M359">
        <v>11</v>
      </c>
      <c r="N359">
        <v>0.9</v>
      </c>
      <c r="O359" t="s">
        <v>135</v>
      </c>
      <c r="P359" s="379">
        <v>40917</v>
      </c>
      <c r="Q359" t="s">
        <v>57</v>
      </c>
      <c r="R359" t="s">
        <v>908</v>
      </c>
      <c r="S359" t="s">
        <v>1355</v>
      </c>
      <c r="T359" t="s">
        <v>588</v>
      </c>
      <c r="U359"/>
    </row>
    <row r="360" spans="1:21" x14ac:dyDescent="0.25">
      <c r="A360">
        <v>982116</v>
      </c>
      <c r="B360" t="s">
        <v>634</v>
      </c>
      <c r="C360">
        <v>9</v>
      </c>
      <c r="D360">
        <v>-4</v>
      </c>
      <c r="E360">
        <v>1</v>
      </c>
      <c r="F360">
        <v>2</v>
      </c>
      <c r="G360">
        <v>0</v>
      </c>
      <c r="H360">
        <v>24</v>
      </c>
      <c r="I360">
        <v>34</v>
      </c>
      <c r="J360">
        <v>6</v>
      </c>
      <c r="K360">
        <v>0.49</v>
      </c>
      <c r="L360">
        <v>1.6</v>
      </c>
      <c r="M360">
        <v>9</v>
      </c>
      <c r="N360">
        <v>0.9</v>
      </c>
      <c r="O360" t="s">
        <v>135</v>
      </c>
      <c r="P360" s="379">
        <v>40917</v>
      </c>
      <c r="Q360" t="s">
        <v>57</v>
      </c>
      <c r="R360" t="s">
        <v>923</v>
      </c>
      <c r="S360" t="s">
        <v>1355</v>
      </c>
      <c r="T360" t="s">
        <v>588</v>
      </c>
      <c r="U360"/>
    </row>
    <row r="361" spans="1:21" x14ac:dyDescent="0.25">
      <c r="A361">
        <v>794115</v>
      </c>
      <c r="B361" t="s">
        <v>359</v>
      </c>
      <c r="C361">
        <v>10</v>
      </c>
      <c r="D361">
        <v>-4</v>
      </c>
      <c r="E361">
        <v>0</v>
      </c>
      <c r="F361">
        <v>4</v>
      </c>
      <c r="G361">
        <v>-1</v>
      </c>
      <c r="H361">
        <v>31</v>
      </c>
      <c r="I361">
        <v>38</v>
      </c>
      <c r="J361">
        <v>6.6</v>
      </c>
      <c r="K361">
        <v>0.5</v>
      </c>
      <c r="L361">
        <v>1.89</v>
      </c>
      <c r="M361">
        <v>9.1</v>
      </c>
      <c r="N361">
        <v>1.1000000000000001</v>
      </c>
      <c r="O361" t="s">
        <v>169</v>
      </c>
      <c r="P361" s="379">
        <v>36789</v>
      </c>
      <c r="Q361" t="s">
        <v>57</v>
      </c>
      <c r="R361" t="s">
        <v>1424</v>
      </c>
      <c r="S361" t="s">
        <v>1273</v>
      </c>
      <c r="T361" t="s">
        <v>587</v>
      </c>
      <c r="U361"/>
    </row>
    <row r="362" spans="1:21" x14ac:dyDescent="0.25">
      <c r="A362">
        <v>722454</v>
      </c>
      <c r="B362" t="s">
        <v>347</v>
      </c>
      <c r="C362">
        <v>9</v>
      </c>
      <c r="D362">
        <v>-3</v>
      </c>
      <c r="E362">
        <v>1</v>
      </c>
      <c r="F362">
        <v>4</v>
      </c>
      <c r="G362">
        <v>1</v>
      </c>
      <c r="H362">
        <v>26</v>
      </c>
      <c r="I362">
        <v>32</v>
      </c>
      <c r="J362">
        <v>5.7</v>
      </c>
      <c r="K362">
        <v>0.5</v>
      </c>
      <c r="L362">
        <v>1.71</v>
      </c>
      <c r="M362">
        <v>7.7</v>
      </c>
      <c r="N362">
        <v>1.1000000000000001</v>
      </c>
      <c r="O362" t="s">
        <v>169</v>
      </c>
      <c r="P362" s="379">
        <v>36789</v>
      </c>
      <c r="Q362" t="s">
        <v>57</v>
      </c>
      <c r="R362" t="s">
        <v>1419</v>
      </c>
      <c r="S362" t="s">
        <v>1273</v>
      </c>
      <c r="T362" t="s">
        <v>602</v>
      </c>
      <c r="U362"/>
    </row>
    <row r="363" spans="1:21" x14ac:dyDescent="0.25">
      <c r="A363">
        <v>339184</v>
      </c>
      <c r="B363" t="s">
        <v>356</v>
      </c>
      <c r="C363">
        <v>18</v>
      </c>
      <c r="D363">
        <v>-4</v>
      </c>
      <c r="E363">
        <v>5</v>
      </c>
      <c r="F363">
        <v>11</v>
      </c>
      <c r="G363">
        <v>9</v>
      </c>
      <c r="H363">
        <v>42</v>
      </c>
      <c r="I363">
        <v>90</v>
      </c>
      <c r="J363">
        <v>13.7</v>
      </c>
      <c r="K363">
        <v>0.51</v>
      </c>
      <c r="L363">
        <v>1.54</v>
      </c>
      <c r="M363">
        <v>11.3</v>
      </c>
      <c r="N363">
        <v>1.1000000000000001</v>
      </c>
      <c r="O363" t="s">
        <v>135</v>
      </c>
      <c r="P363" s="379">
        <v>38275</v>
      </c>
      <c r="Q363" t="s">
        <v>136</v>
      </c>
      <c r="R363" t="s">
        <v>1091</v>
      </c>
      <c r="S363" t="s">
        <v>143</v>
      </c>
      <c r="T363" t="s">
        <v>182</v>
      </c>
      <c r="U363"/>
    </row>
    <row r="364" spans="1:21" x14ac:dyDescent="0.25">
      <c r="A364">
        <v>272898</v>
      </c>
      <c r="B364" t="s">
        <v>358</v>
      </c>
      <c r="C364">
        <v>25</v>
      </c>
      <c r="D364">
        <v>-4</v>
      </c>
      <c r="E364">
        <v>6</v>
      </c>
      <c r="F364">
        <v>13</v>
      </c>
      <c r="G364">
        <v>0</v>
      </c>
      <c r="H364">
        <v>38</v>
      </c>
      <c r="I364">
        <v>82</v>
      </c>
      <c r="J364">
        <v>12.8</v>
      </c>
      <c r="K364">
        <v>0.51</v>
      </c>
      <c r="L364">
        <v>1.53</v>
      </c>
      <c r="M364">
        <v>17.3</v>
      </c>
      <c r="N364">
        <v>0.7</v>
      </c>
      <c r="O364" t="s">
        <v>135</v>
      </c>
      <c r="P364" s="379">
        <v>39624</v>
      </c>
      <c r="Q364" t="s">
        <v>136</v>
      </c>
      <c r="R364" t="s">
        <v>723</v>
      </c>
      <c r="S364" t="s">
        <v>143</v>
      </c>
      <c r="T364" t="s">
        <v>182</v>
      </c>
      <c r="U364"/>
    </row>
    <row r="365" spans="1:21" x14ac:dyDescent="0.25">
      <c r="A365">
        <v>555466</v>
      </c>
      <c r="B365" t="s">
        <v>340</v>
      </c>
      <c r="C365">
        <v>17</v>
      </c>
      <c r="D365">
        <v>-6</v>
      </c>
      <c r="E365">
        <v>2</v>
      </c>
      <c r="F365">
        <v>5</v>
      </c>
      <c r="G365">
        <v>1</v>
      </c>
      <c r="H365">
        <v>39</v>
      </c>
      <c r="I365">
        <v>82</v>
      </c>
      <c r="J365">
        <v>12.7</v>
      </c>
      <c r="K365">
        <v>0.51</v>
      </c>
      <c r="L365">
        <v>1.19</v>
      </c>
      <c r="M365">
        <v>13.1</v>
      </c>
      <c r="N365">
        <v>0.9</v>
      </c>
      <c r="O365" t="s">
        <v>261</v>
      </c>
      <c r="P365" s="379">
        <v>36789</v>
      </c>
      <c r="Q365" t="s">
        <v>57</v>
      </c>
      <c r="R365" t="s">
        <v>707</v>
      </c>
      <c r="S365" t="s">
        <v>279</v>
      </c>
      <c r="T365" t="s">
        <v>154</v>
      </c>
      <c r="U365"/>
    </row>
    <row r="366" spans="1:21" x14ac:dyDescent="0.25">
      <c r="A366">
        <v>152181</v>
      </c>
      <c r="B366" t="s">
        <v>357</v>
      </c>
      <c r="C366">
        <v>23</v>
      </c>
      <c r="D366">
        <v>-2</v>
      </c>
      <c r="E366">
        <v>7</v>
      </c>
      <c r="F366">
        <v>11</v>
      </c>
      <c r="G366">
        <v>2</v>
      </c>
      <c r="H366">
        <v>31</v>
      </c>
      <c r="I366">
        <v>74</v>
      </c>
      <c r="J366">
        <v>11.7</v>
      </c>
      <c r="K366">
        <v>0.51</v>
      </c>
      <c r="L366">
        <v>1.56</v>
      </c>
      <c r="M366">
        <v>16.100000000000001</v>
      </c>
      <c r="N366">
        <v>0.7</v>
      </c>
      <c r="O366" t="s">
        <v>135</v>
      </c>
      <c r="P366" s="379">
        <v>37631</v>
      </c>
      <c r="Q366" t="s">
        <v>136</v>
      </c>
      <c r="R366" t="s">
        <v>716</v>
      </c>
      <c r="S366" t="s">
        <v>143</v>
      </c>
      <c r="T366" t="s">
        <v>182</v>
      </c>
      <c r="U366"/>
    </row>
    <row r="367" spans="1:21" x14ac:dyDescent="0.25">
      <c r="A367">
        <v>302760</v>
      </c>
      <c r="B367" t="s">
        <v>471</v>
      </c>
      <c r="C367">
        <v>13</v>
      </c>
      <c r="D367">
        <v>-2</v>
      </c>
      <c r="E367">
        <v>3</v>
      </c>
      <c r="F367">
        <v>7</v>
      </c>
      <c r="G367">
        <v>7</v>
      </c>
      <c r="H367">
        <v>30</v>
      </c>
      <c r="I367">
        <v>58</v>
      </c>
      <c r="J367">
        <v>9.6</v>
      </c>
      <c r="K367">
        <v>0.51</v>
      </c>
      <c r="L367">
        <v>1.78</v>
      </c>
      <c r="M367">
        <v>9</v>
      </c>
      <c r="N367">
        <v>1</v>
      </c>
      <c r="O367" t="s">
        <v>261</v>
      </c>
      <c r="P367" s="379">
        <v>37994</v>
      </c>
      <c r="Q367" t="s">
        <v>57</v>
      </c>
      <c r="R367" t="s">
        <v>953</v>
      </c>
      <c r="S367" t="s">
        <v>369</v>
      </c>
      <c r="T367" t="s">
        <v>588</v>
      </c>
      <c r="U367"/>
    </row>
    <row r="368" spans="1:21" x14ac:dyDescent="0.25">
      <c r="A368">
        <v>696658</v>
      </c>
      <c r="B368" t="s">
        <v>1149</v>
      </c>
      <c r="C368">
        <v>12</v>
      </c>
      <c r="D368">
        <v>-4</v>
      </c>
      <c r="E368">
        <v>2</v>
      </c>
      <c r="F368">
        <v>6</v>
      </c>
      <c r="G368">
        <v>3</v>
      </c>
      <c r="H368">
        <v>25</v>
      </c>
      <c r="I368">
        <v>38</v>
      </c>
      <c r="J368">
        <v>6.7</v>
      </c>
      <c r="K368">
        <v>0.51</v>
      </c>
      <c r="L368">
        <v>1.44</v>
      </c>
      <c r="M368">
        <v>9</v>
      </c>
      <c r="N368">
        <v>0.9</v>
      </c>
      <c r="O368" t="s">
        <v>135</v>
      </c>
      <c r="P368" s="379">
        <v>41310</v>
      </c>
      <c r="Q368" t="s">
        <v>57</v>
      </c>
      <c r="R368" t="s">
        <v>1167</v>
      </c>
      <c r="S368" t="s">
        <v>1277</v>
      </c>
      <c r="T368" t="s">
        <v>587</v>
      </c>
      <c r="U368"/>
    </row>
    <row r="369" spans="1:21" x14ac:dyDescent="0.25">
      <c r="A369">
        <v>191676</v>
      </c>
      <c r="B369" t="s">
        <v>577</v>
      </c>
      <c r="C369">
        <v>19</v>
      </c>
      <c r="D369">
        <v>-7</v>
      </c>
      <c r="E369">
        <v>2</v>
      </c>
      <c r="F369">
        <v>7</v>
      </c>
      <c r="G369">
        <v>15</v>
      </c>
      <c r="H369">
        <v>95</v>
      </c>
      <c r="I369">
        <v>202</v>
      </c>
      <c r="J369">
        <v>24.7</v>
      </c>
      <c r="K369">
        <v>0.52</v>
      </c>
      <c r="L369">
        <v>1.51</v>
      </c>
      <c r="M369">
        <v>15.9</v>
      </c>
      <c r="N369">
        <v>1.5</v>
      </c>
      <c r="O369" t="s">
        <v>226</v>
      </c>
      <c r="P369" s="379">
        <v>37271</v>
      </c>
      <c r="Q369" t="s">
        <v>57</v>
      </c>
      <c r="R369" t="s">
        <v>1057</v>
      </c>
      <c r="S369" t="s">
        <v>332</v>
      </c>
      <c r="T369" t="s">
        <v>204</v>
      </c>
      <c r="U369"/>
    </row>
    <row r="370" spans="1:21" x14ac:dyDescent="0.25">
      <c r="A370">
        <v>517508</v>
      </c>
      <c r="B370" t="s">
        <v>338</v>
      </c>
      <c r="C370">
        <v>8</v>
      </c>
      <c r="D370">
        <v>-2</v>
      </c>
      <c r="E370">
        <v>-1</v>
      </c>
      <c r="F370">
        <v>-3</v>
      </c>
      <c r="G370">
        <v>17</v>
      </c>
      <c r="H370">
        <v>44</v>
      </c>
      <c r="I370">
        <v>114</v>
      </c>
      <c r="J370">
        <v>16.399999999999999</v>
      </c>
      <c r="K370">
        <v>0.52</v>
      </c>
      <c r="L370">
        <v>1.5</v>
      </c>
      <c r="M370">
        <v>12.4</v>
      </c>
      <c r="N370">
        <v>1.1000000000000001</v>
      </c>
      <c r="O370" t="s">
        <v>226</v>
      </c>
      <c r="P370" s="379">
        <v>41325</v>
      </c>
      <c r="Q370" t="s">
        <v>57</v>
      </c>
      <c r="R370" t="s">
        <v>1095</v>
      </c>
      <c r="S370" t="s">
        <v>332</v>
      </c>
      <c r="T370" t="s">
        <v>612</v>
      </c>
      <c r="U370"/>
    </row>
    <row r="371" spans="1:21" x14ac:dyDescent="0.25">
      <c r="A371">
        <v>938902</v>
      </c>
      <c r="B371" t="s">
        <v>519</v>
      </c>
      <c r="C371">
        <v>19</v>
      </c>
      <c r="D371">
        <v>-4</v>
      </c>
      <c r="E371">
        <v>4</v>
      </c>
      <c r="F371">
        <v>5</v>
      </c>
      <c r="G371">
        <v>-5</v>
      </c>
      <c r="H371">
        <v>33</v>
      </c>
      <c r="I371">
        <v>78</v>
      </c>
      <c r="J371">
        <v>12.2</v>
      </c>
      <c r="K371">
        <v>0.52</v>
      </c>
      <c r="L371">
        <v>1.56</v>
      </c>
      <c r="M371">
        <v>14.8</v>
      </c>
      <c r="N371">
        <v>0.7</v>
      </c>
      <c r="O371" t="s">
        <v>349</v>
      </c>
      <c r="P371" s="379">
        <v>42244</v>
      </c>
      <c r="Q371" t="s">
        <v>57</v>
      </c>
      <c r="R371" t="s">
        <v>1444</v>
      </c>
      <c r="S371" t="s">
        <v>1273</v>
      </c>
      <c r="T371" t="s">
        <v>167</v>
      </c>
      <c r="U371"/>
    </row>
    <row r="372" spans="1:21" x14ac:dyDescent="0.25">
      <c r="A372">
        <v>328021</v>
      </c>
      <c r="B372" t="s">
        <v>301</v>
      </c>
      <c r="C372">
        <v>9</v>
      </c>
      <c r="D372">
        <v>-5</v>
      </c>
      <c r="E372">
        <v>0</v>
      </c>
      <c r="F372">
        <v>4</v>
      </c>
      <c r="G372">
        <v>6</v>
      </c>
      <c r="H372">
        <v>41</v>
      </c>
      <c r="I372">
        <v>65</v>
      </c>
      <c r="J372">
        <v>10.5</v>
      </c>
      <c r="K372">
        <v>0.52</v>
      </c>
      <c r="L372">
        <v>1.2</v>
      </c>
      <c r="M372">
        <v>11.3</v>
      </c>
      <c r="N372">
        <v>1.1000000000000001</v>
      </c>
      <c r="O372" t="s">
        <v>135</v>
      </c>
      <c r="P372" s="379">
        <v>41415</v>
      </c>
      <c r="Q372" t="s">
        <v>136</v>
      </c>
      <c r="R372" t="s">
        <v>727</v>
      </c>
      <c r="S372" t="s">
        <v>302</v>
      </c>
      <c r="T372" t="s">
        <v>182</v>
      </c>
      <c r="U372"/>
    </row>
    <row r="373" spans="1:21" x14ac:dyDescent="0.25">
      <c r="A373">
        <v>242495</v>
      </c>
      <c r="B373" t="s">
        <v>1143</v>
      </c>
      <c r="C373">
        <v>16</v>
      </c>
      <c r="D373">
        <v>-4</v>
      </c>
      <c r="E373">
        <v>1</v>
      </c>
      <c r="F373">
        <v>10</v>
      </c>
      <c r="G373">
        <v>0</v>
      </c>
      <c r="H373">
        <v>32</v>
      </c>
      <c r="I373">
        <v>57</v>
      </c>
      <c r="J373">
        <v>9.5</v>
      </c>
      <c r="K373">
        <v>0.52</v>
      </c>
      <c r="L373">
        <v>1.5</v>
      </c>
      <c r="M373">
        <v>11.9</v>
      </c>
      <c r="N373">
        <v>0.9</v>
      </c>
      <c r="O373" t="s">
        <v>135</v>
      </c>
      <c r="P373" s="379">
        <v>40191</v>
      </c>
      <c r="Q373" t="s">
        <v>57</v>
      </c>
      <c r="R373" t="s">
        <v>693</v>
      </c>
      <c r="S373" t="s">
        <v>1282</v>
      </c>
      <c r="T373" t="s">
        <v>244</v>
      </c>
      <c r="U373"/>
    </row>
    <row r="374" spans="1:21" x14ac:dyDescent="0.25">
      <c r="A374">
        <v>336826</v>
      </c>
      <c r="B374" t="s">
        <v>323</v>
      </c>
      <c r="C374">
        <v>17</v>
      </c>
      <c r="D374">
        <v>-3</v>
      </c>
      <c r="E374">
        <v>7</v>
      </c>
      <c r="F374">
        <v>11</v>
      </c>
      <c r="G374">
        <v>6</v>
      </c>
      <c r="H374">
        <v>45</v>
      </c>
      <c r="I374">
        <v>67</v>
      </c>
      <c r="J374">
        <v>10.8</v>
      </c>
      <c r="K374">
        <v>0.53</v>
      </c>
      <c r="L374">
        <v>1.41</v>
      </c>
      <c r="M374">
        <v>10.9</v>
      </c>
      <c r="N374">
        <v>1.2</v>
      </c>
      <c r="O374" t="s">
        <v>169</v>
      </c>
      <c r="P374" s="379">
        <v>36790</v>
      </c>
      <c r="Q374" t="s">
        <v>57</v>
      </c>
      <c r="R374" t="s">
        <v>941</v>
      </c>
      <c r="S374" t="s">
        <v>1274</v>
      </c>
      <c r="T374" t="s">
        <v>178</v>
      </c>
      <c r="U374"/>
    </row>
    <row r="375" spans="1:21" x14ac:dyDescent="0.25">
      <c r="A375">
        <v>647669</v>
      </c>
      <c r="B375" t="s">
        <v>325</v>
      </c>
      <c r="C375">
        <v>14</v>
      </c>
      <c r="D375">
        <v>-1</v>
      </c>
      <c r="E375">
        <v>3</v>
      </c>
      <c r="F375">
        <v>11</v>
      </c>
      <c r="G375">
        <v>8</v>
      </c>
      <c r="H375">
        <v>31</v>
      </c>
      <c r="I375">
        <v>53</v>
      </c>
      <c r="J375">
        <v>8.9</v>
      </c>
      <c r="K375">
        <v>0.53</v>
      </c>
      <c r="L375">
        <v>1.41</v>
      </c>
      <c r="M375">
        <v>8.9</v>
      </c>
      <c r="N375">
        <v>1.1000000000000001</v>
      </c>
      <c r="O375" t="s">
        <v>169</v>
      </c>
      <c r="P375" s="379">
        <v>38737</v>
      </c>
      <c r="Q375" t="s">
        <v>57</v>
      </c>
      <c r="R375" t="s">
        <v>951</v>
      </c>
      <c r="S375" t="s">
        <v>1274</v>
      </c>
      <c r="T375" t="s">
        <v>588</v>
      </c>
      <c r="U375"/>
    </row>
    <row r="376" spans="1:21" x14ac:dyDescent="0.25">
      <c r="A376">
        <v>303230</v>
      </c>
      <c r="B376" t="s">
        <v>1334</v>
      </c>
      <c r="C376">
        <v>0</v>
      </c>
      <c r="D376">
        <v>2</v>
      </c>
      <c r="E376">
        <v>3</v>
      </c>
      <c r="F376">
        <v>5</v>
      </c>
      <c r="G376">
        <v>8</v>
      </c>
      <c r="H376">
        <v>-10</v>
      </c>
      <c r="I376">
        <v>11</v>
      </c>
      <c r="J376">
        <v>2.1</v>
      </c>
      <c r="K376">
        <v>0.53</v>
      </c>
      <c r="L376">
        <v>1.55</v>
      </c>
      <c r="M376">
        <v>13.2</v>
      </c>
      <c r="N376">
        <v>-0.2</v>
      </c>
      <c r="O376" t="s">
        <v>261</v>
      </c>
      <c r="P376" s="379">
        <v>39958</v>
      </c>
      <c r="Q376" t="s">
        <v>57</v>
      </c>
      <c r="R376" t="s">
        <v>728</v>
      </c>
      <c r="S376" t="s">
        <v>1268</v>
      </c>
      <c r="T376" t="s">
        <v>588</v>
      </c>
      <c r="U376"/>
    </row>
    <row r="377" spans="1:21" x14ac:dyDescent="0.25">
      <c r="A377">
        <v>901181</v>
      </c>
      <c r="B377" t="s">
        <v>1297</v>
      </c>
      <c r="C377"/>
      <c r="D377">
        <v>-3</v>
      </c>
      <c r="E377">
        <v>5</v>
      </c>
      <c r="F377"/>
      <c r="G377"/>
      <c r="H377"/>
      <c r="I377"/>
      <c r="J377"/>
      <c r="K377">
        <v>0.53</v>
      </c>
      <c r="L377">
        <v>1.53</v>
      </c>
      <c r="M377"/>
      <c r="N377"/>
      <c r="O377" t="s">
        <v>135</v>
      </c>
      <c r="P377" s="379">
        <v>43475</v>
      </c>
      <c r="Q377" t="s">
        <v>57</v>
      </c>
      <c r="R377" t="s">
        <v>1298</v>
      </c>
      <c r="S377" t="s">
        <v>1277</v>
      </c>
      <c r="T377" t="s">
        <v>178</v>
      </c>
      <c r="U377"/>
    </row>
    <row r="378" spans="1:21" x14ac:dyDescent="0.25">
      <c r="A378">
        <v>300996</v>
      </c>
      <c r="B378" t="s">
        <v>327</v>
      </c>
      <c r="C378">
        <v>21</v>
      </c>
      <c r="D378">
        <v>-7</v>
      </c>
      <c r="E378">
        <v>4</v>
      </c>
      <c r="F378">
        <v>7</v>
      </c>
      <c r="G378">
        <v>15</v>
      </c>
      <c r="H378">
        <v>58</v>
      </c>
      <c r="I378">
        <v>119</v>
      </c>
      <c r="J378">
        <v>17</v>
      </c>
      <c r="K378">
        <v>0.54</v>
      </c>
      <c r="L378">
        <v>1.43</v>
      </c>
      <c r="M378">
        <v>13.7</v>
      </c>
      <c r="N378">
        <v>1.2</v>
      </c>
      <c r="O378" t="s">
        <v>261</v>
      </c>
      <c r="P378" s="379">
        <v>36790</v>
      </c>
      <c r="Q378" t="s">
        <v>57</v>
      </c>
      <c r="R378" t="s">
        <v>1106</v>
      </c>
      <c r="S378" t="s">
        <v>1274</v>
      </c>
      <c r="T378" t="s">
        <v>608</v>
      </c>
      <c r="U378"/>
    </row>
    <row r="379" spans="1:21" x14ac:dyDescent="0.25">
      <c r="A379">
        <v>304659</v>
      </c>
      <c r="B379" t="s">
        <v>1283</v>
      </c>
      <c r="C379">
        <v>16</v>
      </c>
      <c r="D379">
        <v>-7</v>
      </c>
      <c r="E379">
        <v>1</v>
      </c>
      <c r="F379">
        <v>3</v>
      </c>
      <c r="G379">
        <v>9</v>
      </c>
      <c r="H379">
        <v>55</v>
      </c>
      <c r="I379">
        <v>113</v>
      </c>
      <c r="J379">
        <v>16.3</v>
      </c>
      <c r="K379">
        <v>0.54</v>
      </c>
      <c r="L379">
        <v>1.26</v>
      </c>
      <c r="M379">
        <v>13.7</v>
      </c>
      <c r="N379">
        <v>1.2</v>
      </c>
      <c r="O379" t="s">
        <v>261</v>
      </c>
      <c r="P379" s="379">
        <v>36789</v>
      </c>
      <c r="Q379" t="s">
        <v>57</v>
      </c>
      <c r="R379" t="s">
        <v>1107</v>
      </c>
      <c r="S379" t="s">
        <v>279</v>
      </c>
      <c r="T379" t="s">
        <v>608</v>
      </c>
      <c r="U379"/>
    </row>
    <row r="380" spans="1:21" x14ac:dyDescent="0.25">
      <c r="A380">
        <v>562421</v>
      </c>
      <c r="B380" t="s">
        <v>395</v>
      </c>
      <c r="C380">
        <v>26</v>
      </c>
      <c r="D380">
        <v>-3</v>
      </c>
      <c r="E380">
        <v>7</v>
      </c>
      <c r="F380">
        <v>16</v>
      </c>
      <c r="G380">
        <v>14</v>
      </c>
      <c r="H380">
        <v>47</v>
      </c>
      <c r="I380">
        <v>87</v>
      </c>
      <c r="J380">
        <v>13.4</v>
      </c>
      <c r="K380">
        <v>0.54</v>
      </c>
      <c r="L380">
        <v>1.5</v>
      </c>
      <c r="M380">
        <v>13.6</v>
      </c>
      <c r="N380">
        <v>1</v>
      </c>
      <c r="O380" t="s">
        <v>226</v>
      </c>
      <c r="P380" s="379">
        <v>41598</v>
      </c>
      <c r="Q380" t="s">
        <v>57</v>
      </c>
      <c r="R380" t="s">
        <v>1056</v>
      </c>
      <c r="S380" t="s">
        <v>391</v>
      </c>
      <c r="T380" t="s">
        <v>154</v>
      </c>
      <c r="U380"/>
    </row>
    <row r="381" spans="1:21" x14ac:dyDescent="0.25">
      <c r="A381">
        <v>320358</v>
      </c>
      <c r="B381" t="s">
        <v>330</v>
      </c>
      <c r="C381">
        <v>15</v>
      </c>
      <c r="D381">
        <v>-3</v>
      </c>
      <c r="E381">
        <v>4</v>
      </c>
      <c r="F381">
        <v>8</v>
      </c>
      <c r="G381">
        <v>7</v>
      </c>
      <c r="H381">
        <v>36</v>
      </c>
      <c r="I381">
        <v>70</v>
      </c>
      <c r="J381">
        <v>11.2</v>
      </c>
      <c r="K381">
        <v>0.54</v>
      </c>
      <c r="L381">
        <v>1.46</v>
      </c>
      <c r="M381">
        <v>9.8000000000000007</v>
      </c>
      <c r="N381">
        <v>1.1000000000000001</v>
      </c>
      <c r="O381" t="s">
        <v>169</v>
      </c>
      <c r="P381" s="379">
        <v>38331</v>
      </c>
      <c r="Q381" t="s">
        <v>57</v>
      </c>
      <c r="R381" t="s">
        <v>950</v>
      </c>
      <c r="S381" t="s">
        <v>1274</v>
      </c>
      <c r="T381" t="s">
        <v>154</v>
      </c>
      <c r="U381"/>
    </row>
    <row r="382" spans="1:21" x14ac:dyDescent="0.25">
      <c r="A382">
        <v>891036</v>
      </c>
      <c r="B382" t="s">
        <v>352</v>
      </c>
      <c r="C382">
        <v>19</v>
      </c>
      <c r="D382">
        <v>-6</v>
      </c>
      <c r="E382">
        <v>5</v>
      </c>
      <c r="F382">
        <v>11</v>
      </c>
      <c r="G382">
        <v>-9</v>
      </c>
      <c r="H382">
        <v>27</v>
      </c>
      <c r="I382">
        <v>62</v>
      </c>
      <c r="J382">
        <v>10.1</v>
      </c>
      <c r="K382">
        <v>0.54</v>
      </c>
      <c r="L382">
        <v>1.27</v>
      </c>
      <c r="M382">
        <v>16.5</v>
      </c>
      <c r="N382">
        <v>0.6</v>
      </c>
      <c r="O382" t="s">
        <v>169</v>
      </c>
      <c r="P382" s="379">
        <v>40750</v>
      </c>
      <c r="Q382" t="s">
        <v>57</v>
      </c>
      <c r="R382" t="s">
        <v>1438</v>
      </c>
      <c r="S382" t="s">
        <v>279</v>
      </c>
      <c r="T382" t="s">
        <v>607</v>
      </c>
      <c r="U382"/>
    </row>
    <row r="383" spans="1:21" x14ac:dyDescent="0.25">
      <c r="A383">
        <v>562728</v>
      </c>
      <c r="B383" t="s">
        <v>397</v>
      </c>
      <c r="C383">
        <v>17</v>
      </c>
      <c r="D383">
        <v>-3</v>
      </c>
      <c r="E383">
        <v>3</v>
      </c>
      <c r="F383">
        <v>6</v>
      </c>
      <c r="G383">
        <v>1</v>
      </c>
      <c r="H383">
        <v>55</v>
      </c>
      <c r="I383">
        <v>59</v>
      </c>
      <c r="J383">
        <v>9.6999999999999993</v>
      </c>
      <c r="K383">
        <v>0.54</v>
      </c>
      <c r="L383">
        <v>1.5</v>
      </c>
      <c r="M383">
        <v>12.9</v>
      </c>
      <c r="N383">
        <v>1.2</v>
      </c>
      <c r="O383" t="s">
        <v>226</v>
      </c>
      <c r="P383" s="379">
        <v>37348</v>
      </c>
      <c r="Q383" t="s">
        <v>57</v>
      </c>
      <c r="R383" t="s">
        <v>1077</v>
      </c>
      <c r="S383" t="s">
        <v>391</v>
      </c>
      <c r="T383" t="s">
        <v>229</v>
      </c>
      <c r="U383"/>
    </row>
    <row r="384" spans="1:21" x14ac:dyDescent="0.25">
      <c r="A384">
        <v>408484</v>
      </c>
      <c r="B384" t="s">
        <v>329</v>
      </c>
      <c r="C384">
        <v>12</v>
      </c>
      <c r="D384">
        <v>-2</v>
      </c>
      <c r="E384">
        <v>4</v>
      </c>
      <c r="F384">
        <v>7</v>
      </c>
      <c r="G384">
        <v>6</v>
      </c>
      <c r="H384">
        <v>28</v>
      </c>
      <c r="I384">
        <v>56</v>
      </c>
      <c r="J384">
        <v>9.3000000000000007</v>
      </c>
      <c r="K384">
        <v>0.54</v>
      </c>
      <c r="L384">
        <v>1.45</v>
      </c>
      <c r="M384">
        <v>8</v>
      </c>
      <c r="N384">
        <v>1.1000000000000001</v>
      </c>
      <c r="O384" t="s">
        <v>169</v>
      </c>
      <c r="P384" s="379">
        <v>36790</v>
      </c>
      <c r="Q384" t="s">
        <v>57</v>
      </c>
      <c r="R384" t="s">
        <v>949</v>
      </c>
      <c r="S384" t="s">
        <v>1274</v>
      </c>
      <c r="T384" t="s">
        <v>587</v>
      </c>
      <c r="U384"/>
    </row>
    <row r="385" spans="1:21" x14ac:dyDescent="0.25">
      <c r="A385">
        <v>118000</v>
      </c>
      <c r="B385" t="s">
        <v>331</v>
      </c>
      <c r="C385">
        <v>17</v>
      </c>
      <c r="D385">
        <v>-3</v>
      </c>
      <c r="E385">
        <v>4</v>
      </c>
      <c r="F385">
        <v>8</v>
      </c>
      <c r="G385">
        <v>14</v>
      </c>
      <c r="H385">
        <v>41</v>
      </c>
      <c r="I385">
        <v>55</v>
      </c>
      <c r="J385">
        <v>9.1</v>
      </c>
      <c r="K385">
        <v>0.54</v>
      </c>
      <c r="L385">
        <v>1.46</v>
      </c>
      <c r="M385">
        <v>9.9</v>
      </c>
      <c r="N385">
        <v>1.2</v>
      </c>
      <c r="O385" t="s">
        <v>169</v>
      </c>
      <c r="P385" s="379">
        <v>40081</v>
      </c>
      <c r="Q385" t="s">
        <v>57</v>
      </c>
      <c r="R385" t="s">
        <v>940</v>
      </c>
      <c r="S385" t="s">
        <v>1274</v>
      </c>
      <c r="T385" t="s">
        <v>154</v>
      </c>
      <c r="U385"/>
    </row>
    <row r="386" spans="1:21" x14ac:dyDescent="0.25">
      <c r="A386">
        <v>598557</v>
      </c>
      <c r="B386" t="s">
        <v>396</v>
      </c>
      <c r="C386">
        <v>22</v>
      </c>
      <c r="D386">
        <v>-3</v>
      </c>
      <c r="E386">
        <v>4</v>
      </c>
      <c r="F386">
        <v>12</v>
      </c>
      <c r="G386">
        <v>4</v>
      </c>
      <c r="H386">
        <v>20</v>
      </c>
      <c r="I386">
        <v>54</v>
      </c>
      <c r="J386">
        <v>9</v>
      </c>
      <c r="K386">
        <v>0.54</v>
      </c>
      <c r="L386">
        <v>1.5</v>
      </c>
      <c r="M386">
        <v>13.1</v>
      </c>
      <c r="N386">
        <v>0.6</v>
      </c>
      <c r="O386" t="s">
        <v>226</v>
      </c>
      <c r="P386" s="379">
        <v>37348</v>
      </c>
      <c r="Q386" t="s">
        <v>57</v>
      </c>
      <c r="R386" t="s">
        <v>1055</v>
      </c>
      <c r="S386" t="s">
        <v>391</v>
      </c>
      <c r="T386" t="s">
        <v>244</v>
      </c>
      <c r="U386"/>
    </row>
    <row r="387" spans="1:21" x14ac:dyDescent="0.25">
      <c r="A387">
        <v>657460</v>
      </c>
      <c r="B387" t="s">
        <v>368</v>
      </c>
      <c r="C387">
        <v>8</v>
      </c>
      <c r="D387">
        <v>-2</v>
      </c>
      <c r="E387">
        <v>1</v>
      </c>
      <c r="F387">
        <v>7</v>
      </c>
      <c r="G387">
        <v>4</v>
      </c>
      <c r="H387">
        <v>32</v>
      </c>
      <c r="I387">
        <v>49</v>
      </c>
      <c r="J387">
        <v>8.3000000000000007</v>
      </c>
      <c r="K387">
        <v>0.54</v>
      </c>
      <c r="L387">
        <v>1.83</v>
      </c>
      <c r="M387">
        <v>7.4</v>
      </c>
      <c r="N387">
        <v>1.3</v>
      </c>
      <c r="O387" t="s">
        <v>169</v>
      </c>
      <c r="P387" s="379">
        <v>37242</v>
      </c>
      <c r="Q387" t="s">
        <v>57</v>
      </c>
      <c r="R387" t="s">
        <v>1415</v>
      </c>
      <c r="S387" t="s">
        <v>164</v>
      </c>
      <c r="T387" t="s">
        <v>588</v>
      </c>
      <c r="U387"/>
    </row>
    <row r="388" spans="1:21" x14ac:dyDescent="0.25">
      <c r="A388">
        <v>444315</v>
      </c>
      <c r="B388" t="s">
        <v>324</v>
      </c>
      <c r="C388">
        <v>10</v>
      </c>
      <c r="D388">
        <v>-1</v>
      </c>
      <c r="E388">
        <v>3</v>
      </c>
      <c r="F388">
        <v>7</v>
      </c>
      <c r="G388">
        <v>5</v>
      </c>
      <c r="H388">
        <v>22</v>
      </c>
      <c r="I388">
        <v>42</v>
      </c>
      <c r="J388">
        <v>7.3</v>
      </c>
      <c r="K388">
        <v>0.54</v>
      </c>
      <c r="L388">
        <v>1.45</v>
      </c>
      <c r="M388">
        <v>7</v>
      </c>
      <c r="N388">
        <v>1</v>
      </c>
      <c r="O388" t="s">
        <v>169</v>
      </c>
      <c r="P388" s="379">
        <v>36790</v>
      </c>
      <c r="Q388" t="s">
        <v>57</v>
      </c>
      <c r="R388" t="s">
        <v>973</v>
      </c>
      <c r="S388" t="s">
        <v>1274</v>
      </c>
      <c r="T388" t="s">
        <v>602</v>
      </c>
      <c r="U388"/>
    </row>
    <row r="389" spans="1:21" x14ac:dyDescent="0.25">
      <c r="A389">
        <v>615310</v>
      </c>
      <c r="B389" t="s">
        <v>419</v>
      </c>
      <c r="C389">
        <v>13</v>
      </c>
      <c r="D389">
        <v>-4</v>
      </c>
      <c r="E389">
        <v>1</v>
      </c>
      <c r="F389">
        <v>6</v>
      </c>
      <c r="G389">
        <v>-1</v>
      </c>
      <c r="H389">
        <v>20</v>
      </c>
      <c r="I389">
        <v>33</v>
      </c>
      <c r="J389">
        <v>5.9</v>
      </c>
      <c r="K389">
        <v>0.54</v>
      </c>
      <c r="L389">
        <v>1.76</v>
      </c>
      <c r="M389">
        <v>9.3000000000000007</v>
      </c>
      <c r="N389">
        <v>0.7</v>
      </c>
      <c r="O389" t="s">
        <v>135</v>
      </c>
      <c r="P389" s="379">
        <v>40900</v>
      </c>
      <c r="Q389" t="s">
        <v>136</v>
      </c>
      <c r="R389" t="s">
        <v>746</v>
      </c>
      <c r="S389" t="s">
        <v>527</v>
      </c>
      <c r="T389" t="s">
        <v>588</v>
      </c>
      <c r="U389"/>
    </row>
    <row r="390" spans="1:21" x14ac:dyDescent="0.25">
      <c r="A390">
        <v>322479</v>
      </c>
      <c r="B390" t="s">
        <v>652</v>
      </c>
      <c r="C390">
        <v>12</v>
      </c>
      <c r="D390">
        <v>-3</v>
      </c>
      <c r="E390">
        <v>2</v>
      </c>
      <c r="F390">
        <v>6</v>
      </c>
      <c r="G390">
        <v>4</v>
      </c>
      <c r="H390">
        <v>34</v>
      </c>
      <c r="I390"/>
      <c r="J390"/>
      <c r="K390">
        <v>0.54</v>
      </c>
      <c r="L390">
        <v>1.67</v>
      </c>
      <c r="M390">
        <v>10.9</v>
      </c>
      <c r="N390">
        <v>1</v>
      </c>
      <c r="O390" t="s">
        <v>169</v>
      </c>
      <c r="P390" s="379">
        <v>42681</v>
      </c>
      <c r="Q390" t="s">
        <v>57</v>
      </c>
      <c r="R390" t="s">
        <v>968</v>
      </c>
      <c r="S390" t="s">
        <v>1273</v>
      </c>
      <c r="T390" t="s">
        <v>178</v>
      </c>
      <c r="U390"/>
    </row>
    <row r="391" spans="1:21" x14ac:dyDescent="0.25">
      <c r="A391">
        <v>852079</v>
      </c>
      <c r="B391" t="s">
        <v>469</v>
      </c>
      <c r="C391">
        <v>15</v>
      </c>
      <c r="D391">
        <v>-3</v>
      </c>
      <c r="E391">
        <v>4</v>
      </c>
      <c r="F391">
        <v>9</v>
      </c>
      <c r="G391">
        <v>3</v>
      </c>
      <c r="H391">
        <v>28</v>
      </c>
      <c r="I391">
        <v>59</v>
      </c>
      <c r="J391">
        <v>9.6999999999999993</v>
      </c>
      <c r="K391">
        <v>0.55000000000000004</v>
      </c>
      <c r="L391">
        <v>1.29</v>
      </c>
      <c r="M391">
        <v>12.1</v>
      </c>
      <c r="N391">
        <v>0.8</v>
      </c>
      <c r="O391" t="s">
        <v>169</v>
      </c>
      <c r="P391" s="379">
        <v>42117</v>
      </c>
      <c r="Q391" t="s">
        <v>57</v>
      </c>
      <c r="R391" t="s">
        <v>910</v>
      </c>
      <c r="S391" t="s">
        <v>470</v>
      </c>
      <c r="T391" t="s">
        <v>610</v>
      </c>
      <c r="U391"/>
    </row>
    <row r="392" spans="1:21" x14ac:dyDescent="0.25">
      <c r="A392">
        <v>153833</v>
      </c>
      <c r="B392" t="s">
        <v>339</v>
      </c>
      <c r="C392">
        <v>10</v>
      </c>
      <c r="D392">
        <v>-3</v>
      </c>
      <c r="E392">
        <v>1</v>
      </c>
      <c r="F392">
        <v>8</v>
      </c>
      <c r="G392">
        <v>3</v>
      </c>
      <c r="H392">
        <v>21</v>
      </c>
      <c r="I392">
        <v>33</v>
      </c>
      <c r="J392">
        <v>5.9</v>
      </c>
      <c r="K392">
        <v>0.55000000000000004</v>
      </c>
      <c r="L392">
        <v>1.49</v>
      </c>
      <c r="M392">
        <v>9.6999999999999993</v>
      </c>
      <c r="N392">
        <v>0.7</v>
      </c>
      <c r="O392" t="s">
        <v>169</v>
      </c>
      <c r="P392" s="379">
        <v>40081</v>
      </c>
      <c r="Q392" t="s">
        <v>57</v>
      </c>
      <c r="R392" t="s">
        <v>939</v>
      </c>
      <c r="S392" t="s">
        <v>1274</v>
      </c>
      <c r="T392" t="s">
        <v>587</v>
      </c>
      <c r="U392"/>
    </row>
    <row r="393" spans="1:21" x14ac:dyDescent="0.25">
      <c r="A393">
        <v>480145</v>
      </c>
      <c r="B393" t="s">
        <v>326</v>
      </c>
      <c r="C393">
        <v>7</v>
      </c>
      <c r="D393">
        <v>0</v>
      </c>
      <c r="E393">
        <v>3</v>
      </c>
      <c r="F393">
        <v>6</v>
      </c>
      <c r="G393">
        <v>4</v>
      </c>
      <c r="H393">
        <v>15</v>
      </c>
      <c r="I393">
        <v>29</v>
      </c>
      <c r="J393">
        <v>5.2</v>
      </c>
      <c r="K393">
        <v>0.55000000000000004</v>
      </c>
      <c r="L393">
        <v>1.49</v>
      </c>
      <c r="M393">
        <v>6.4</v>
      </c>
      <c r="N393">
        <v>0.8</v>
      </c>
      <c r="O393" t="s">
        <v>169</v>
      </c>
      <c r="P393" s="379">
        <v>36790</v>
      </c>
      <c r="Q393" t="s">
        <v>57</v>
      </c>
      <c r="R393" t="s">
        <v>948</v>
      </c>
      <c r="S393" t="s">
        <v>1274</v>
      </c>
      <c r="T393" t="s">
        <v>597</v>
      </c>
      <c r="U393"/>
    </row>
    <row r="394" spans="1:21" x14ac:dyDescent="0.25">
      <c r="A394">
        <v>369876</v>
      </c>
      <c r="B394" t="s">
        <v>523</v>
      </c>
      <c r="C394">
        <v>20</v>
      </c>
      <c r="D394">
        <v>-1</v>
      </c>
      <c r="E394">
        <v>3</v>
      </c>
      <c r="F394">
        <v>8</v>
      </c>
      <c r="G394">
        <v>15</v>
      </c>
      <c r="H394">
        <v>28</v>
      </c>
      <c r="I394"/>
      <c r="J394"/>
      <c r="K394">
        <v>0.55000000000000004</v>
      </c>
      <c r="L394">
        <v>1.3</v>
      </c>
      <c r="M394">
        <v>16.2</v>
      </c>
      <c r="N394">
        <v>0.6</v>
      </c>
      <c r="O394" t="s">
        <v>169</v>
      </c>
      <c r="P394" s="379">
        <v>42257</v>
      </c>
      <c r="Q394" t="s">
        <v>57</v>
      </c>
      <c r="R394" t="s">
        <v>1388</v>
      </c>
      <c r="S394" t="s">
        <v>470</v>
      </c>
      <c r="T394" t="s">
        <v>610</v>
      </c>
      <c r="U394"/>
    </row>
    <row r="395" spans="1:21" x14ac:dyDescent="0.25">
      <c r="A395">
        <v>147348</v>
      </c>
      <c r="B395" t="s">
        <v>353</v>
      </c>
      <c r="C395">
        <v>16</v>
      </c>
      <c r="D395">
        <v>-3</v>
      </c>
      <c r="E395">
        <v>2</v>
      </c>
      <c r="F395">
        <v>4</v>
      </c>
      <c r="G395">
        <v>0</v>
      </c>
      <c r="H395">
        <v>57</v>
      </c>
      <c r="I395">
        <v>82</v>
      </c>
      <c r="J395">
        <v>12.8</v>
      </c>
      <c r="K395">
        <v>0.56000000000000005</v>
      </c>
      <c r="L395">
        <v>1.5</v>
      </c>
      <c r="M395">
        <v>15.2</v>
      </c>
      <c r="N395">
        <v>1.1000000000000001</v>
      </c>
      <c r="O395" t="s">
        <v>226</v>
      </c>
      <c r="P395" s="379">
        <v>37193</v>
      </c>
      <c r="Q395" t="s">
        <v>57</v>
      </c>
      <c r="R395" t="s">
        <v>1001</v>
      </c>
      <c r="S395" t="s">
        <v>227</v>
      </c>
      <c r="T395" t="s">
        <v>229</v>
      </c>
      <c r="U395"/>
    </row>
    <row r="396" spans="1:21" x14ac:dyDescent="0.25">
      <c r="A396">
        <v>891804</v>
      </c>
      <c r="B396" t="s">
        <v>1154</v>
      </c>
      <c r="C396">
        <v>14</v>
      </c>
      <c r="D396">
        <v>-5</v>
      </c>
      <c r="E396">
        <v>2</v>
      </c>
      <c r="F396">
        <v>6</v>
      </c>
      <c r="G396">
        <v>3</v>
      </c>
      <c r="H396">
        <v>32</v>
      </c>
      <c r="I396">
        <v>50</v>
      </c>
      <c r="J396">
        <v>8.4</v>
      </c>
      <c r="K396">
        <v>0.56000000000000005</v>
      </c>
      <c r="L396">
        <v>1.62</v>
      </c>
      <c r="M396">
        <v>11.4</v>
      </c>
      <c r="N396">
        <v>0.9</v>
      </c>
      <c r="O396" t="s">
        <v>135</v>
      </c>
      <c r="P396" s="379">
        <v>38520</v>
      </c>
      <c r="Q396" t="s">
        <v>57</v>
      </c>
      <c r="R396" t="s">
        <v>1164</v>
      </c>
      <c r="S396" t="s">
        <v>1277</v>
      </c>
      <c r="T396" t="s">
        <v>590</v>
      </c>
      <c r="U396"/>
    </row>
    <row r="397" spans="1:21" x14ac:dyDescent="0.25">
      <c r="A397">
        <v>422709</v>
      </c>
      <c r="B397" t="s">
        <v>1337</v>
      </c>
      <c r="C397">
        <v>20</v>
      </c>
      <c r="D397">
        <v>-2</v>
      </c>
      <c r="E397">
        <v>6</v>
      </c>
      <c r="F397">
        <v>10</v>
      </c>
      <c r="G397">
        <v>5</v>
      </c>
      <c r="H397">
        <v>53</v>
      </c>
      <c r="I397"/>
      <c r="J397"/>
      <c r="K397">
        <v>0.56000000000000005</v>
      </c>
      <c r="L397">
        <v>1.58</v>
      </c>
      <c r="M397">
        <v>11.7</v>
      </c>
      <c r="N397">
        <v>1.3</v>
      </c>
      <c r="O397" t="s">
        <v>135</v>
      </c>
      <c r="P397" s="379">
        <v>42327</v>
      </c>
      <c r="Q397" t="s">
        <v>57</v>
      </c>
      <c r="R397" t="s">
        <v>684</v>
      </c>
      <c r="S397" t="s">
        <v>1285</v>
      </c>
      <c r="T397" t="s">
        <v>154</v>
      </c>
      <c r="U397"/>
    </row>
    <row r="398" spans="1:21" x14ac:dyDescent="0.25">
      <c r="A398">
        <v>793109</v>
      </c>
      <c r="B398" t="s">
        <v>1315</v>
      </c>
      <c r="C398">
        <v>13</v>
      </c>
      <c r="D398">
        <v>-7</v>
      </c>
      <c r="E398">
        <v>-3</v>
      </c>
      <c r="F398">
        <v>1</v>
      </c>
      <c r="G398">
        <v>-2</v>
      </c>
      <c r="H398">
        <v>37</v>
      </c>
      <c r="I398">
        <v>88</v>
      </c>
      <c r="J398">
        <v>13.5</v>
      </c>
      <c r="K398">
        <v>0.56999999999999995</v>
      </c>
      <c r="L398">
        <v>1.6</v>
      </c>
      <c r="M398">
        <v>13.6</v>
      </c>
      <c r="N398">
        <v>0.9</v>
      </c>
      <c r="O398" t="s">
        <v>135</v>
      </c>
      <c r="P398" s="379">
        <v>42922</v>
      </c>
      <c r="Q398" t="s">
        <v>57</v>
      </c>
      <c r="R398" t="s">
        <v>1101</v>
      </c>
      <c r="S398" t="s">
        <v>164</v>
      </c>
      <c r="T398" t="s">
        <v>154</v>
      </c>
      <c r="U398"/>
    </row>
    <row r="399" spans="1:21" x14ac:dyDescent="0.25">
      <c r="A399">
        <v>420463</v>
      </c>
      <c r="B399" t="s">
        <v>116</v>
      </c>
      <c r="C399">
        <v>26</v>
      </c>
      <c r="D399">
        <v>-2</v>
      </c>
      <c r="E399">
        <v>8</v>
      </c>
      <c r="F399">
        <v>16</v>
      </c>
      <c r="G399">
        <v>12</v>
      </c>
      <c r="H399">
        <v>38</v>
      </c>
      <c r="I399">
        <v>88</v>
      </c>
      <c r="J399">
        <v>13.4</v>
      </c>
      <c r="K399">
        <v>0.56999999999999995</v>
      </c>
      <c r="L399">
        <v>1.6</v>
      </c>
      <c r="M399">
        <v>15.1</v>
      </c>
      <c r="N399">
        <v>0.8</v>
      </c>
      <c r="O399" t="s">
        <v>135</v>
      </c>
      <c r="P399" s="379">
        <v>39630</v>
      </c>
      <c r="Q399" t="s">
        <v>57</v>
      </c>
      <c r="R399" t="s">
        <v>668</v>
      </c>
      <c r="S399" t="s">
        <v>164</v>
      </c>
      <c r="T399" t="s">
        <v>208</v>
      </c>
      <c r="U399"/>
    </row>
    <row r="400" spans="1:21" x14ac:dyDescent="0.25">
      <c r="A400">
        <v>668269</v>
      </c>
      <c r="B400" t="s">
        <v>1310</v>
      </c>
      <c r="C400">
        <v>13</v>
      </c>
      <c r="D400">
        <v>-6</v>
      </c>
      <c r="E400">
        <v>0</v>
      </c>
      <c r="F400">
        <v>7</v>
      </c>
      <c r="G400">
        <v>1</v>
      </c>
      <c r="H400">
        <v>40</v>
      </c>
      <c r="I400">
        <v>85</v>
      </c>
      <c r="J400">
        <v>13.1</v>
      </c>
      <c r="K400">
        <v>0.56999999999999995</v>
      </c>
      <c r="L400">
        <v>1.6</v>
      </c>
      <c r="M400">
        <v>11.4</v>
      </c>
      <c r="N400">
        <v>1.1000000000000001</v>
      </c>
      <c r="O400" t="s">
        <v>169</v>
      </c>
      <c r="P400" s="379">
        <v>39267</v>
      </c>
      <c r="Q400" t="s">
        <v>57</v>
      </c>
      <c r="R400" t="s">
        <v>965</v>
      </c>
      <c r="S400" t="s">
        <v>164</v>
      </c>
      <c r="T400" t="s">
        <v>244</v>
      </c>
      <c r="U400"/>
    </row>
    <row r="401" spans="1:21" x14ac:dyDescent="0.25">
      <c r="A401">
        <v>503573</v>
      </c>
      <c r="B401" t="s">
        <v>1404</v>
      </c>
      <c r="C401">
        <v>25</v>
      </c>
      <c r="D401">
        <v>-4</v>
      </c>
      <c r="E401">
        <v>8</v>
      </c>
      <c r="F401">
        <v>11</v>
      </c>
      <c r="G401">
        <v>11</v>
      </c>
      <c r="H401">
        <v>56</v>
      </c>
      <c r="I401">
        <v>79</v>
      </c>
      <c r="J401">
        <v>12.3</v>
      </c>
      <c r="K401">
        <v>0.56999999999999995</v>
      </c>
      <c r="L401">
        <v>1.66</v>
      </c>
      <c r="M401">
        <v>15.1</v>
      </c>
      <c r="N401">
        <v>1.1000000000000001</v>
      </c>
      <c r="O401" t="s">
        <v>135</v>
      </c>
      <c r="P401" s="379">
        <v>40876</v>
      </c>
      <c r="Q401" t="s">
        <v>57</v>
      </c>
      <c r="R401" t="s">
        <v>1405</v>
      </c>
      <c r="S401" t="s">
        <v>1282</v>
      </c>
      <c r="T401" t="s">
        <v>154</v>
      </c>
      <c r="U401"/>
    </row>
    <row r="402" spans="1:21" x14ac:dyDescent="0.25">
      <c r="A402">
        <v>184416</v>
      </c>
      <c r="B402" t="s">
        <v>1301</v>
      </c>
      <c r="C402">
        <v>14</v>
      </c>
      <c r="D402">
        <v>-5</v>
      </c>
      <c r="E402">
        <v>2</v>
      </c>
      <c r="F402">
        <v>6</v>
      </c>
      <c r="G402">
        <v>-5</v>
      </c>
      <c r="H402">
        <v>17</v>
      </c>
      <c r="I402">
        <v>66</v>
      </c>
      <c r="J402">
        <v>10.7</v>
      </c>
      <c r="K402">
        <v>0.56999999999999995</v>
      </c>
      <c r="L402">
        <v>1.57</v>
      </c>
      <c r="M402">
        <v>14.3</v>
      </c>
      <c r="N402">
        <v>0.5</v>
      </c>
      <c r="O402" t="s">
        <v>135</v>
      </c>
      <c r="P402" s="379">
        <v>36790</v>
      </c>
      <c r="Q402" t="s">
        <v>136</v>
      </c>
      <c r="R402" t="s">
        <v>803</v>
      </c>
      <c r="S402" t="s">
        <v>251</v>
      </c>
      <c r="T402" t="s">
        <v>208</v>
      </c>
      <c r="U402"/>
    </row>
    <row r="403" spans="1:21" x14ac:dyDescent="0.25">
      <c r="A403">
        <v>809699</v>
      </c>
      <c r="B403" t="s">
        <v>1212</v>
      </c>
      <c r="C403">
        <v>9</v>
      </c>
      <c r="D403">
        <v>-2</v>
      </c>
      <c r="E403">
        <v>2</v>
      </c>
      <c r="F403">
        <v>4</v>
      </c>
      <c r="G403">
        <v>6</v>
      </c>
      <c r="H403">
        <v>25</v>
      </c>
      <c r="I403">
        <v>54</v>
      </c>
      <c r="J403">
        <v>9</v>
      </c>
      <c r="K403">
        <v>0.56999999999999995</v>
      </c>
      <c r="L403">
        <v>1.35</v>
      </c>
      <c r="M403">
        <v>8.9</v>
      </c>
      <c r="N403">
        <v>0.9</v>
      </c>
      <c r="O403" t="s">
        <v>169</v>
      </c>
      <c r="P403" s="379">
        <v>40385</v>
      </c>
      <c r="Q403" t="s">
        <v>57</v>
      </c>
      <c r="R403" t="s">
        <v>1427</v>
      </c>
      <c r="S403" t="s">
        <v>467</v>
      </c>
      <c r="T403" t="s">
        <v>588</v>
      </c>
      <c r="U403"/>
    </row>
    <row r="404" spans="1:21" x14ac:dyDescent="0.25">
      <c r="A404">
        <v>764951</v>
      </c>
      <c r="B404" t="s">
        <v>1314</v>
      </c>
      <c r="C404">
        <v>16</v>
      </c>
      <c r="D404">
        <v>-8</v>
      </c>
      <c r="E404">
        <v>-3</v>
      </c>
      <c r="F404">
        <v>8</v>
      </c>
      <c r="G404">
        <v>-8</v>
      </c>
      <c r="H404">
        <v>17</v>
      </c>
      <c r="I404">
        <v>44</v>
      </c>
      <c r="J404">
        <v>7.5</v>
      </c>
      <c r="K404">
        <v>0.56999999999999995</v>
      </c>
      <c r="L404">
        <v>1.6</v>
      </c>
      <c r="M404">
        <v>15</v>
      </c>
      <c r="N404">
        <v>0.4</v>
      </c>
      <c r="O404" t="s">
        <v>169</v>
      </c>
      <c r="P404" s="379">
        <v>37242</v>
      </c>
      <c r="Q404" t="s">
        <v>57</v>
      </c>
      <c r="R404" t="s">
        <v>1128</v>
      </c>
      <c r="S404" t="s">
        <v>164</v>
      </c>
      <c r="T404" t="s">
        <v>178</v>
      </c>
      <c r="U404"/>
    </row>
    <row r="405" spans="1:21" x14ac:dyDescent="0.25">
      <c r="A405">
        <v>996348</v>
      </c>
      <c r="B405" t="s">
        <v>497</v>
      </c>
      <c r="C405">
        <v>10</v>
      </c>
      <c r="D405">
        <v>-2</v>
      </c>
      <c r="E405">
        <v>2</v>
      </c>
      <c r="F405">
        <v>5</v>
      </c>
      <c r="G405">
        <v>2</v>
      </c>
      <c r="H405">
        <v>28</v>
      </c>
      <c r="I405">
        <v>41</v>
      </c>
      <c r="J405">
        <v>7.1</v>
      </c>
      <c r="K405">
        <v>0.56999999999999995</v>
      </c>
      <c r="L405">
        <v>1.65</v>
      </c>
      <c r="M405">
        <v>8</v>
      </c>
      <c r="N405">
        <v>1.1000000000000001</v>
      </c>
      <c r="O405" t="s">
        <v>169</v>
      </c>
      <c r="P405" s="379">
        <v>36789</v>
      </c>
      <c r="Q405" t="s">
        <v>57</v>
      </c>
      <c r="R405" t="s">
        <v>839</v>
      </c>
      <c r="S405" t="s">
        <v>1330</v>
      </c>
      <c r="T405" t="s">
        <v>588</v>
      </c>
      <c r="U405"/>
    </row>
    <row r="406" spans="1:21" x14ac:dyDescent="0.25">
      <c r="A406">
        <v>704502</v>
      </c>
      <c r="B406" t="s">
        <v>507</v>
      </c>
      <c r="C406">
        <v>11</v>
      </c>
      <c r="D406">
        <v>-9</v>
      </c>
      <c r="E406">
        <v>-2</v>
      </c>
      <c r="F406">
        <v>0</v>
      </c>
      <c r="G406">
        <v>-3</v>
      </c>
      <c r="H406">
        <v>26</v>
      </c>
      <c r="I406">
        <v>55</v>
      </c>
      <c r="J406">
        <v>9.1</v>
      </c>
      <c r="K406">
        <v>0.57999999999999996</v>
      </c>
      <c r="L406">
        <v>1.7</v>
      </c>
      <c r="M406">
        <v>13.3</v>
      </c>
      <c r="N406">
        <v>0.7</v>
      </c>
      <c r="O406" t="s">
        <v>261</v>
      </c>
      <c r="P406" s="379">
        <v>42104</v>
      </c>
      <c r="Q406" t="s">
        <v>57</v>
      </c>
      <c r="R406" t="s">
        <v>685</v>
      </c>
      <c r="S406" t="s">
        <v>1268</v>
      </c>
      <c r="T406" t="s">
        <v>154</v>
      </c>
      <c r="U406"/>
    </row>
    <row r="407" spans="1:21" x14ac:dyDescent="0.25">
      <c r="A407">
        <v>125856</v>
      </c>
      <c r="B407" t="s">
        <v>644</v>
      </c>
      <c r="C407">
        <v>16</v>
      </c>
      <c r="D407">
        <v>-5</v>
      </c>
      <c r="E407">
        <v>1</v>
      </c>
      <c r="F407">
        <v>6</v>
      </c>
      <c r="G407">
        <v>-4</v>
      </c>
      <c r="H407">
        <v>28</v>
      </c>
      <c r="I407">
        <v>32</v>
      </c>
      <c r="J407">
        <v>5.7</v>
      </c>
      <c r="K407">
        <v>0.57999999999999996</v>
      </c>
      <c r="L407">
        <v>1.7</v>
      </c>
      <c r="M407">
        <v>13.7</v>
      </c>
      <c r="N407">
        <v>0.7</v>
      </c>
      <c r="O407" t="s">
        <v>169</v>
      </c>
      <c r="P407" s="379">
        <v>40716</v>
      </c>
      <c r="Q407" t="s">
        <v>57</v>
      </c>
      <c r="R407" t="s">
        <v>1118</v>
      </c>
      <c r="S407" t="s">
        <v>1268</v>
      </c>
      <c r="T407" t="s">
        <v>178</v>
      </c>
      <c r="U407"/>
    </row>
    <row r="408" spans="1:21" x14ac:dyDescent="0.25">
      <c r="A408">
        <v>707638</v>
      </c>
      <c r="B408" t="s">
        <v>508</v>
      </c>
      <c r="C408">
        <v>14</v>
      </c>
      <c r="D408">
        <v>-6</v>
      </c>
      <c r="E408">
        <v>1</v>
      </c>
      <c r="F408">
        <v>5</v>
      </c>
      <c r="G408">
        <v>-5</v>
      </c>
      <c r="H408">
        <v>17</v>
      </c>
      <c r="I408">
        <v>27</v>
      </c>
      <c r="J408">
        <v>4.9000000000000004</v>
      </c>
      <c r="K408">
        <v>0.57999999999999996</v>
      </c>
      <c r="L408">
        <v>1.7</v>
      </c>
      <c r="M408">
        <v>12.7</v>
      </c>
      <c r="N408">
        <v>0.5</v>
      </c>
      <c r="O408" t="s">
        <v>169</v>
      </c>
      <c r="P408" s="379">
        <v>40716</v>
      </c>
      <c r="Q408" t="s">
        <v>57</v>
      </c>
      <c r="R408" t="s">
        <v>944</v>
      </c>
      <c r="S408" t="s">
        <v>1268</v>
      </c>
      <c r="T408" t="s">
        <v>178</v>
      </c>
      <c r="U408"/>
    </row>
    <row r="409" spans="1:21" x14ac:dyDescent="0.25">
      <c r="A409">
        <v>220244</v>
      </c>
      <c r="B409" t="s">
        <v>620</v>
      </c>
      <c r="C409">
        <v>10</v>
      </c>
      <c r="D409">
        <v>-8</v>
      </c>
      <c r="E409">
        <v>-1</v>
      </c>
      <c r="F409">
        <v>1</v>
      </c>
      <c r="G409">
        <v>-4</v>
      </c>
      <c r="H409">
        <v>18</v>
      </c>
      <c r="I409">
        <v>24</v>
      </c>
      <c r="J409">
        <v>4.4000000000000004</v>
      </c>
      <c r="K409">
        <v>0.57999999999999996</v>
      </c>
      <c r="L409">
        <v>1.62</v>
      </c>
      <c r="M409">
        <v>12.7</v>
      </c>
      <c r="N409">
        <v>0.5</v>
      </c>
      <c r="O409" t="s">
        <v>135</v>
      </c>
      <c r="P409" s="379">
        <v>36790</v>
      </c>
      <c r="Q409" t="s">
        <v>136</v>
      </c>
      <c r="R409" t="s">
        <v>884</v>
      </c>
      <c r="S409" t="s">
        <v>251</v>
      </c>
      <c r="T409" t="s">
        <v>182</v>
      </c>
      <c r="U409"/>
    </row>
    <row r="410" spans="1:21" x14ac:dyDescent="0.25">
      <c r="A410">
        <v>446088</v>
      </c>
      <c r="B410" t="s">
        <v>485</v>
      </c>
      <c r="C410">
        <v>30</v>
      </c>
      <c r="D410">
        <v>-7</v>
      </c>
      <c r="E410">
        <v>6</v>
      </c>
      <c r="F410">
        <v>19</v>
      </c>
      <c r="G410">
        <v>14</v>
      </c>
      <c r="H410">
        <v>135</v>
      </c>
      <c r="I410">
        <v>219</v>
      </c>
      <c r="J410">
        <v>26.1</v>
      </c>
      <c r="K410">
        <v>0.59</v>
      </c>
      <c r="L410">
        <v>1.83</v>
      </c>
      <c r="M410">
        <v>18.899999999999999</v>
      </c>
      <c r="N410">
        <v>1.6</v>
      </c>
      <c r="O410" t="s">
        <v>261</v>
      </c>
      <c r="P410" s="379">
        <v>37994</v>
      </c>
      <c r="Q410" t="s">
        <v>57</v>
      </c>
      <c r="R410" t="s">
        <v>962</v>
      </c>
      <c r="S410" t="s">
        <v>369</v>
      </c>
      <c r="T410" t="s">
        <v>204</v>
      </c>
      <c r="U410"/>
    </row>
    <row r="411" spans="1:21" x14ac:dyDescent="0.25">
      <c r="A411">
        <v>889261</v>
      </c>
      <c r="B411" t="s">
        <v>366</v>
      </c>
      <c r="C411">
        <v>34</v>
      </c>
      <c r="D411">
        <v>-5</v>
      </c>
      <c r="E411">
        <v>6</v>
      </c>
      <c r="F411">
        <v>20</v>
      </c>
      <c r="G411">
        <v>21</v>
      </c>
      <c r="H411">
        <v>74</v>
      </c>
      <c r="I411">
        <v>128</v>
      </c>
      <c r="J411">
        <v>17.899999999999999</v>
      </c>
      <c r="K411">
        <v>0.59</v>
      </c>
      <c r="L411">
        <v>1.86</v>
      </c>
      <c r="M411">
        <v>17.2</v>
      </c>
      <c r="N411">
        <v>1.2</v>
      </c>
      <c r="O411" t="s">
        <v>261</v>
      </c>
      <c r="P411" s="379">
        <v>40001</v>
      </c>
      <c r="Q411" t="s">
        <v>57</v>
      </c>
      <c r="R411" t="s">
        <v>996</v>
      </c>
      <c r="S411" t="s">
        <v>1273</v>
      </c>
      <c r="T411" t="s">
        <v>608</v>
      </c>
      <c r="U411"/>
    </row>
    <row r="412" spans="1:21" x14ac:dyDescent="0.25">
      <c r="A412">
        <v>374421</v>
      </c>
      <c r="B412" t="s">
        <v>483</v>
      </c>
      <c r="C412">
        <v>10</v>
      </c>
      <c r="D412">
        <v>-1</v>
      </c>
      <c r="E412">
        <v>-1</v>
      </c>
      <c r="F412">
        <v>0</v>
      </c>
      <c r="G412">
        <v>15</v>
      </c>
      <c r="H412">
        <v>45</v>
      </c>
      <c r="I412">
        <v>113</v>
      </c>
      <c r="J412">
        <v>16.3</v>
      </c>
      <c r="K412">
        <v>0.59</v>
      </c>
      <c r="L412">
        <v>1.82</v>
      </c>
      <c r="M412">
        <v>13.1</v>
      </c>
      <c r="N412">
        <v>1</v>
      </c>
      <c r="O412" t="s">
        <v>261</v>
      </c>
      <c r="P412" s="379">
        <v>37994</v>
      </c>
      <c r="Q412" t="s">
        <v>57</v>
      </c>
      <c r="R412" t="s">
        <v>961</v>
      </c>
      <c r="S412" t="s">
        <v>369</v>
      </c>
      <c r="T412" t="s">
        <v>612</v>
      </c>
      <c r="U412"/>
    </row>
    <row r="413" spans="1:21" x14ac:dyDescent="0.25">
      <c r="A413">
        <v>804385</v>
      </c>
      <c r="B413" t="s">
        <v>476</v>
      </c>
      <c r="C413">
        <v>15</v>
      </c>
      <c r="D413">
        <v>-6</v>
      </c>
      <c r="E413">
        <v>1</v>
      </c>
      <c r="F413">
        <v>3</v>
      </c>
      <c r="G413">
        <v>7</v>
      </c>
      <c r="H413">
        <v>57</v>
      </c>
      <c r="I413">
        <v>107</v>
      </c>
      <c r="J413">
        <v>15.7</v>
      </c>
      <c r="K413">
        <v>0.59</v>
      </c>
      <c r="L413">
        <v>1.82</v>
      </c>
      <c r="M413">
        <v>14.8</v>
      </c>
      <c r="N413">
        <v>1.1000000000000001</v>
      </c>
      <c r="O413" t="s">
        <v>261</v>
      </c>
      <c r="P413" s="379">
        <v>37994</v>
      </c>
      <c r="Q413" t="s">
        <v>57</v>
      </c>
      <c r="R413" t="s">
        <v>957</v>
      </c>
      <c r="S413" t="s">
        <v>369</v>
      </c>
      <c r="T413" t="s">
        <v>608</v>
      </c>
      <c r="U413"/>
    </row>
    <row r="414" spans="1:21" x14ac:dyDescent="0.25">
      <c r="A414">
        <v>686626</v>
      </c>
      <c r="B414" t="s">
        <v>1345</v>
      </c>
      <c r="C414">
        <v>19</v>
      </c>
      <c r="D414">
        <v>-8</v>
      </c>
      <c r="E414">
        <v>1</v>
      </c>
      <c r="F414">
        <v>5</v>
      </c>
      <c r="G414">
        <v>7</v>
      </c>
      <c r="H414">
        <v>55</v>
      </c>
      <c r="I414">
        <v>105</v>
      </c>
      <c r="J414">
        <v>15.5</v>
      </c>
      <c r="K414">
        <v>0.59</v>
      </c>
      <c r="L414">
        <v>1.86</v>
      </c>
      <c r="M414">
        <v>14.7</v>
      </c>
      <c r="N414">
        <v>1.1000000000000001</v>
      </c>
      <c r="O414" t="s">
        <v>261</v>
      </c>
      <c r="P414" s="379">
        <v>36789</v>
      </c>
      <c r="Q414" t="s">
        <v>57</v>
      </c>
      <c r="R414" t="s">
        <v>1103</v>
      </c>
      <c r="S414" t="s">
        <v>1273</v>
      </c>
      <c r="T414" t="s">
        <v>608</v>
      </c>
      <c r="U414"/>
    </row>
    <row r="415" spans="1:21" x14ac:dyDescent="0.25">
      <c r="A415">
        <v>477729</v>
      </c>
      <c r="B415" t="s">
        <v>379</v>
      </c>
      <c r="C415">
        <v>12</v>
      </c>
      <c r="D415">
        <v>-8</v>
      </c>
      <c r="E415">
        <v>0</v>
      </c>
      <c r="F415">
        <v>7</v>
      </c>
      <c r="G415">
        <v>-7</v>
      </c>
      <c r="H415">
        <v>52</v>
      </c>
      <c r="I415">
        <v>93</v>
      </c>
      <c r="J415">
        <v>14</v>
      </c>
      <c r="K415">
        <v>0.59</v>
      </c>
      <c r="L415">
        <v>1.7</v>
      </c>
      <c r="M415">
        <v>14.2</v>
      </c>
      <c r="N415">
        <v>1.1000000000000001</v>
      </c>
      <c r="O415" t="s">
        <v>261</v>
      </c>
      <c r="P415" s="379">
        <v>36790</v>
      </c>
      <c r="Q415" t="s">
        <v>57</v>
      </c>
      <c r="R415" t="s">
        <v>1014</v>
      </c>
      <c r="S415" t="s">
        <v>1327</v>
      </c>
      <c r="T415" t="s">
        <v>609</v>
      </c>
      <c r="U415"/>
    </row>
    <row r="416" spans="1:21" x14ac:dyDescent="0.25">
      <c r="A416">
        <v>334409</v>
      </c>
      <c r="B416" t="s">
        <v>367</v>
      </c>
      <c r="C416">
        <v>12</v>
      </c>
      <c r="D416">
        <v>-12</v>
      </c>
      <c r="E416">
        <v>-5</v>
      </c>
      <c r="F416">
        <v>5</v>
      </c>
      <c r="G416">
        <v>-10</v>
      </c>
      <c r="H416">
        <v>50</v>
      </c>
      <c r="I416">
        <v>86</v>
      </c>
      <c r="J416">
        <v>13.3</v>
      </c>
      <c r="K416">
        <v>0.59</v>
      </c>
      <c r="L416">
        <v>1.7</v>
      </c>
      <c r="M416">
        <v>16.2</v>
      </c>
      <c r="N416">
        <v>0.9</v>
      </c>
      <c r="O416" t="s">
        <v>261</v>
      </c>
      <c r="P416" s="379">
        <v>36790</v>
      </c>
      <c r="Q416" t="s">
        <v>57</v>
      </c>
      <c r="R416" t="s">
        <v>792</v>
      </c>
      <c r="S416" t="s">
        <v>1327</v>
      </c>
      <c r="T416" t="s">
        <v>259</v>
      </c>
      <c r="U416"/>
    </row>
    <row r="417" spans="1:21" x14ac:dyDescent="0.25">
      <c r="A417">
        <v>728824</v>
      </c>
      <c r="B417" t="s">
        <v>1347</v>
      </c>
      <c r="C417">
        <v>18</v>
      </c>
      <c r="D417">
        <v>-3</v>
      </c>
      <c r="E417">
        <v>4</v>
      </c>
      <c r="F417">
        <v>8</v>
      </c>
      <c r="G417">
        <v>14</v>
      </c>
      <c r="H417">
        <v>41</v>
      </c>
      <c r="I417">
        <v>85</v>
      </c>
      <c r="J417">
        <v>13</v>
      </c>
      <c r="K417">
        <v>0.59</v>
      </c>
      <c r="L417">
        <v>1.72</v>
      </c>
      <c r="M417">
        <v>11.1</v>
      </c>
      <c r="N417">
        <v>1.1000000000000001</v>
      </c>
      <c r="O417" t="s">
        <v>261</v>
      </c>
      <c r="P417" s="379">
        <v>41569</v>
      </c>
      <c r="Q417" t="s">
        <v>57</v>
      </c>
      <c r="R417" t="s">
        <v>663</v>
      </c>
      <c r="S417" t="s">
        <v>1268</v>
      </c>
      <c r="T417" t="s">
        <v>154</v>
      </c>
      <c r="U417"/>
    </row>
    <row r="418" spans="1:21" x14ac:dyDescent="0.25">
      <c r="A418">
        <v>410258</v>
      </c>
      <c r="B418" t="s">
        <v>482</v>
      </c>
      <c r="C418">
        <v>20</v>
      </c>
      <c r="D418">
        <v>-6</v>
      </c>
      <c r="E418">
        <v>1</v>
      </c>
      <c r="F418">
        <v>6</v>
      </c>
      <c r="G418">
        <v>4</v>
      </c>
      <c r="H418">
        <v>66</v>
      </c>
      <c r="I418">
        <v>81</v>
      </c>
      <c r="J418">
        <v>12.6</v>
      </c>
      <c r="K418">
        <v>0.59</v>
      </c>
      <c r="L418">
        <v>1.83</v>
      </c>
      <c r="M418">
        <v>18.7</v>
      </c>
      <c r="N418">
        <v>1</v>
      </c>
      <c r="O418" t="s">
        <v>261</v>
      </c>
      <c r="P418" s="379">
        <v>37994</v>
      </c>
      <c r="Q418" t="s">
        <v>57</v>
      </c>
      <c r="R418" t="s">
        <v>959</v>
      </c>
      <c r="S418" t="s">
        <v>369</v>
      </c>
      <c r="T418" t="s">
        <v>223</v>
      </c>
      <c r="U418"/>
    </row>
    <row r="419" spans="1:21" x14ac:dyDescent="0.25">
      <c r="A419">
        <v>759100</v>
      </c>
      <c r="B419" t="s">
        <v>636</v>
      </c>
      <c r="C419">
        <v>17</v>
      </c>
      <c r="D419">
        <v>-3</v>
      </c>
      <c r="E419">
        <v>3</v>
      </c>
      <c r="F419">
        <v>10</v>
      </c>
      <c r="G419">
        <v>4</v>
      </c>
      <c r="H419">
        <v>37</v>
      </c>
      <c r="I419">
        <v>70</v>
      </c>
      <c r="J419">
        <v>11.2</v>
      </c>
      <c r="K419">
        <v>0.59</v>
      </c>
      <c r="L419">
        <v>1.76</v>
      </c>
      <c r="M419">
        <v>10.8</v>
      </c>
      <c r="N419">
        <v>1.1000000000000001</v>
      </c>
      <c r="O419" t="s">
        <v>226</v>
      </c>
      <c r="P419" s="379">
        <v>42849</v>
      </c>
      <c r="Q419" t="s">
        <v>57</v>
      </c>
      <c r="R419" t="s">
        <v>1117</v>
      </c>
      <c r="S419" t="s">
        <v>332</v>
      </c>
      <c r="T419" t="s">
        <v>244</v>
      </c>
      <c r="U419"/>
    </row>
    <row r="420" spans="1:21" x14ac:dyDescent="0.25">
      <c r="A420">
        <v>768556</v>
      </c>
      <c r="B420" t="s">
        <v>477</v>
      </c>
      <c r="C420">
        <v>14</v>
      </c>
      <c r="D420">
        <v>-6</v>
      </c>
      <c r="E420">
        <v>0</v>
      </c>
      <c r="F420">
        <v>2</v>
      </c>
      <c r="G420">
        <v>6</v>
      </c>
      <c r="H420">
        <v>32</v>
      </c>
      <c r="I420">
        <v>68</v>
      </c>
      <c r="J420">
        <v>10.9</v>
      </c>
      <c r="K420">
        <v>0.59</v>
      </c>
      <c r="L420">
        <v>1.82</v>
      </c>
      <c r="M420">
        <v>14.6</v>
      </c>
      <c r="N420">
        <v>0.7</v>
      </c>
      <c r="O420" t="s">
        <v>261</v>
      </c>
      <c r="P420" s="379">
        <v>37994</v>
      </c>
      <c r="Q420" t="s">
        <v>57</v>
      </c>
      <c r="R420" t="s">
        <v>956</v>
      </c>
      <c r="S420" t="s">
        <v>369</v>
      </c>
      <c r="T420" t="s">
        <v>608</v>
      </c>
      <c r="U420"/>
    </row>
    <row r="421" spans="1:21" x14ac:dyDescent="0.25">
      <c r="A421">
        <v>246868</v>
      </c>
      <c r="B421" t="s">
        <v>433</v>
      </c>
      <c r="C421">
        <v>9</v>
      </c>
      <c r="D421">
        <v>-11</v>
      </c>
      <c r="E421">
        <v>-6</v>
      </c>
      <c r="F421">
        <v>4</v>
      </c>
      <c r="G421">
        <v>-7</v>
      </c>
      <c r="H421">
        <v>43</v>
      </c>
      <c r="I421">
        <v>47</v>
      </c>
      <c r="J421">
        <v>8</v>
      </c>
      <c r="K421">
        <v>0.59</v>
      </c>
      <c r="L421">
        <v>1.42</v>
      </c>
      <c r="M421">
        <v>13.9</v>
      </c>
      <c r="N421">
        <v>1</v>
      </c>
      <c r="O421" t="s">
        <v>261</v>
      </c>
      <c r="P421" s="379">
        <v>38580</v>
      </c>
      <c r="Q421" t="s">
        <v>57</v>
      </c>
      <c r="R421" t="s">
        <v>706</v>
      </c>
      <c r="S421" t="s">
        <v>279</v>
      </c>
      <c r="T421" t="s">
        <v>259</v>
      </c>
      <c r="U421"/>
    </row>
    <row r="422" spans="1:21" x14ac:dyDescent="0.25">
      <c r="A422">
        <v>232991</v>
      </c>
      <c r="B422" t="s">
        <v>377</v>
      </c>
      <c r="C422">
        <v>12</v>
      </c>
      <c r="D422">
        <v>-8</v>
      </c>
      <c r="E422">
        <v>-2</v>
      </c>
      <c r="F422">
        <v>5</v>
      </c>
      <c r="G422">
        <v>-5</v>
      </c>
      <c r="H422">
        <v>47</v>
      </c>
      <c r="I422">
        <v>43</v>
      </c>
      <c r="J422">
        <v>7.4</v>
      </c>
      <c r="K422">
        <v>0.59</v>
      </c>
      <c r="L422">
        <v>1.42</v>
      </c>
      <c r="M422">
        <v>12.9</v>
      </c>
      <c r="N422">
        <v>1.1000000000000001</v>
      </c>
      <c r="O422" t="s">
        <v>261</v>
      </c>
      <c r="P422" s="379">
        <v>36789</v>
      </c>
      <c r="Q422" t="s">
        <v>57</v>
      </c>
      <c r="R422" t="s">
        <v>1377</v>
      </c>
      <c r="S422" t="s">
        <v>279</v>
      </c>
      <c r="T422" t="s">
        <v>228</v>
      </c>
      <c r="U422"/>
    </row>
    <row r="423" spans="1:21" x14ac:dyDescent="0.25">
      <c r="A423">
        <v>916122</v>
      </c>
      <c r="B423" t="s">
        <v>484</v>
      </c>
      <c r="C423">
        <v>18</v>
      </c>
      <c r="D423">
        <v>-5</v>
      </c>
      <c r="E423">
        <v>4</v>
      </c>
      <c r="F423">
        <v>9</v>
      </c>
      <c r="G423">
        <v>-4</v>
      </c>
      <c r="H423">
        <v>25</v>
      </c>
      <c r="I423">
        <v>38</v>
      </c>
      <c r="J423">
        <v>6.7</v>
      </c>
      <c r="K423">
        <v>0.59</v>
      </c>
      <c r="L423">
        <v>1.82</v>
      </c>
      <c r="M423">
        <v>13.4</v>
      </c>
      <c r="N423">
        <v>0.6</v>
      </c>
      <c r="O423" t="s">
        <v>169</v>
      </c>
      <c r="P423" s="379">
        <v>37994</v>
      </c>
      <c r="Q423" t="s">
        <v>57</v>
      </c>
      <c r="R423" t="s">
        <v>952</v>
      </c>
      <c r="S423" t="s">
        <v>369</v>
      </c>
      <c r="T423" t="s">
        <v>178</v>
      </c>
      <c r="U423"/>
    </row>
    <row r="424" spans="1:21" x14ac:dyDescent="0.25">
      <c r="A424">
        <v>687442</v>
      </c>
      <c r="B424" t="s">
        <v>632</v>
      </c>
      <c r="C424">
        <v>19</v>
      </c>
      <c r="D424">
        <v>-2</v>
      </c>
      <c r="E424">
        <v>5</v>
      </c>
      <c r="F424">
        <v>5</v>
      </c>
      <c r="G424">
        <v>-6</v>
      </c>
      <c r="H424">
        <v>49</v>
      </c>
      <c r="I424">
        <v>37</v>
      </c>
      <c r="J424">
        <v>6.5</v>
      </c>
      <c r="K424">
        <v>0.59</v>
      </c>
      <c r="L424">
        <v>1.75</v>
      </c>
      <c r="M424">
        <v>17.7</v>
      </c>
      <c r="N424">
        <v>0.9</v>
      </c>
      <c r="O424" t="s">
        <v>226</v>
      </c>
      <c r="P424" s="379">
        <v>42849</v>
      </c>
      <c r="Q424" t="s">
        <v>57</v>
      </c>
      <c r="R424" t="s">
        <v>1050</v>
      </c>
      <c r="S424" t="s">
        <v>332</v>
      </c>
      <c r="T424" t="s">
        <v>229</v>
      </c>
      <c r="U424"/>
    </row>
    <row r="425" spans="1:21" x14ac:dyDescent="0.25">
      <c r="A425">
        <v>696898</v>
      </c>
      <c r="B425" t="s">
        <v>480</v>
      </c>
      <c r="C425">
        <v>12</v>
      </c>
      <c r="D425">
        <v>-7</v>
      </c>
      <c r="E425">
        <v>-1</v>
      </c>
      <c r="F425">
        <v>4</v>
      </c>
      <c r="G425">
        <v>-9</v>
      </c>
      <c r="H425">
        <v>11</v>
      </c>
      <c r="I425">
        <v>22</v>
      </c>
      <c r="J425">
        <v>4.0999999999999996</v>
      </c>
      <c r="K425">
        <v>0.59</v>
      </c>
      <c r="L425">
        <v>1.82</v>
      </c>
      <c r="M425">
        <v>12.9</v>
      </c>
      <c r="N425">
        <v>0.3</v>
      </c>
      <c r="O425" t="s">
        <v>169</v>
      </c>
      <c r="P425" s="379">
        <v>37994</v>
      </c>
      <c r="Q425" t="s">
        <v>57</v>
      </c>
      <c r="R425" t="s">
        <v>963</v>
      </c>
      <c r="S425" t="s">
        <v>369</v>
      </c>
      <c r="T425" t="s">
        <v>178</v>
      </c>
      <c r="U425"/>
    </row>
    <row r="426" spans="1:21" x14ac:dyDescent="0.25">
      <c r="A426">
        <v>235291</v>
      </c>
      <c r="B426" t="s">
        <v>380</v>
      </c>
      <c r="C426">
        <v>11</v>
      </c>
      <c r="D426">
        <v>-2</v>
      </c>
      <c r="E426">
        <v>-2</v>
      </c>
      <c r="F426">
        <v>7</v>
      </c>
      <c r="G426">
        <v>16</v>
      </c>
      <c r="H426">
        <v>40</v>
      </c>
      <c r="I426">
        <v>17</v>
      </c>
      <c r="J426">
        <v>3.2</v>
      </c>
      <c r="K426">
        <v>0.59</v>
      </c>
      <c r="L426">
        <v>1.7</v>
      </c>
      <c r="M426">
        <v>19.3</v>
      </c>
      <c r="N426">
        <v>0.7</v>
      </c>
      <c r="O426" t="s">
        <v>261</v>
      </c>
      <c r="P426" s="379">
        <v>38995</v>
      </c>
      <c r="Q426" t="s">
        <v>57</v>
      </c>
      <c r="R426" t="s">
        <v>793</v>
      </c>
      <c r="S426" t="s">
        <v>1327</v>
      </c>
      <c r="T426" t="s">
        <v>272</v>
      </c>
      <c r="U426"/>
    </row>
    <row r="427" spans="1:21" x14ac:dyDescent="0.25">
      <c r="A427">
        <v>293902</v>
      </c>
      <c r="B427" t="s">
        <v>1189</v>
      </c>
      <c r="C427">
        <v>19</v>
      </c>
      <c r="D427">
        <v>-6</v>
      </c>
      <c r="E427">
        <v>2</v>
      </c>
      <c r="F427">
        <v>6</v>
      </c>
      <c r="G427">
        <v>-4</v>
      </c>
      <c r="H427"/>
      <c r="I427"/>
      <c r="J427"/>
      <c r="K427">
        <v>0.59</v>
      </c>
      <c r="L427">
        <v>1.62</v>
      </c>
      <c r="M427"/>
      <c r="N427"/>
      <c r="O427" t="s">
        <v>135</v>
      </c>
      <c r="P427" s="379">
        <v>43150</v>
      </c>
      <c r="Q427" t="s">
        <v>136</v>
      </c>
      <c r="R427" t="s">
        <v>1383</v>
      </c>
      <c r="S427" t="s">
        <v>157</v>
      </c>
      <c r="T427" t="s">
        <v>587</v>
      </c>
      <c r="U427"/>
    </row>
    <row r="428" spans="1:21" x14ac:dyDescent="0.25">
      <c r="A428">
        <v>529016</v>
      </c>
      <c r="B428" t="s">
        <v>382</v>
      </c>
      <c r="C428">
        <v>13</v>
      </c>
      <c r="D428">
        <v>-5</v>
      </c>
      <c r="E428">
        <v>2</v>
      </c>
      <c r="F428">
        <v>6</v>
      </c>
      <c r="G428">
        <v>0</v>
      </c>
      <c r="H428">
        <v>32</v>
      </c>
      <c r="I428"/>
      <c r="J428"/>
      <c r="K428">
        <v>0.59</v>
      </c>
      <c r="L428">
        <v>1.86</v>
      </c>
      <c r="M428">
        <v>12.2</v>
      </c>
      <c r="N428">
        <v>0.9</v>
      </c>
      <c r="O428" t="s">
        <v>169</v>
      </c>
      <c r="P428" s="379">
        <v>41848</v>
      </c>
      <c r="Q428" t="s">
        <v>57</v>
      </c>
      <c r="R428" t="s">
        <v>929</v>
      </c>
      <c r="S428" t="s">
        <v>1273</v>
      </c>
      <c r="T428" t="s">
        <v>178</v>
      </c>
      <c r="U428"/>
    </row>
    <row r="429" spans="1:21" x14ac:dyDescent="0.25">
      <c r="A429">
        <v>616797</v>
      </c>
      <c r="B429" t="s">
        <v>510</v>
      </c>
      <c r="C429">
        <v>20</v>
      </c>
      <c r="D429">
        <v>-6</v>
      </c>
      <c r="E429">
        <v>2</v>
      </c>
      <c r="F429">
        <v>5</v>
      </c>
      <c r="G429">
        <v>8</v>
      </c>
      <c r="H429">
        <v>51</v>
      </c>
      <c r="I429">
        <v>100</v>
      </c>
      <c r="J429">
        <v>14.9</v>
      </c>
      <c r="K429">
        <v>0.6</v>
      </c>
      <c r="L429">
        <v>1.44</v>
      </c>
      <c r="M429">
        <v>14.8</v>
      </c>
      <c r="N429">
        <v>1</v>
      </c>
      <c r="O429" t="s">
        <v>261</v>
      </c>
      <c r="P429" s="379">
        <v>36789</v>
      </c>
      <c r="Q429" t="s">
        <v>57</v>
      </c>
      <c r="R429" t="s">
        <v>971</v>
      </c>
      <c r="S429" t="s">
        <v>350</v>
      </c>
      <c r="T429" t="s">
        <v>608</v>
      </c>
      <c r="U429"/>
    </row>
    <row r="430" spans="1:21" x14ac:dyDescent="0.25">
      <c r="A430">
        <v>391896</v>
      </c>
      <c r="B430" t="s">
        <v>481</v>
      </c>
      <c r="C430">
        <v>11</v>
      </c>
      <c r="D430">
        <v>-14</v>
      </c>
      <c r="E430">
        <v>-8</v>
      </c>
      <c r="F430">
        <v>3</v>
      </c>
      <c r="G430">
        <v>-13</v>
      </c>
      <c r="H430">
        <v>42</v>
      </c>
      <c r="I430">
        <v>97</v>
      </c>
      <c r="J430">
        <v>14.5</v>
      </c>
      <c r="K430">
        <v>0.6</v>
      </c>
      <c r="L430">
        <v>1.84</v>
      </c>
      <c r="M430">
        <v>17.3</v>
      </c>
      <c r="N430">
        <v>0.8</v>
      </c>
      <c r="O430" t="s">
        <v>261</v>
      </c>
      <c r="P430" s="379">
        <v>40066</v>
      </c>
      <c r="Q430" t="s">
        <v>57</v>
      </c>
      <c r="R430" t="s">
        <v>947</v>
      </c>
      <c r="S430" t="s">
        <v>369</v>
      </c>
      <c r="T430" t="s">
        <v>259</v>
      </c>
      <c r="U430"/>
    </row>
    <row r="431" spans="1:21" x14ac:dyDescent="0.25">
      <c r="A431">
        <v>159442</v>
      </c>
      <c r="B431" t="s">
        <v>479</v>
      </c>
      <c r="C431">
        <v>9</v>
      </c>
      <c r="D431">
        <v>-5</v>
      </c>
      <c r="E431">
        <v>0</v>
      </c>
      <c r="F431">
        <v>-3</v>
      </c>
      <c r="G431">
        <v>-15</v>
      </c>
      <c r="H431">
        <v>33</v>
      </c>
      <c r="I431">
        <v>81</v>
      </c>
      <c r="J431">
        <v>12.6</v>
      </c>
      <c r="K431">
        <v>0.6</v>
      </c>
      <c r="L431">
        <v>1.85</v>
      </c>
      <c r="M431">
        <v>14.1</v>
      </c>
      <c r="N431">
        <v>0.8</v>
      </c>
      <c r="O431" t="s">
        <v>261</v>
      </c>
      <c r="P431" s="379">
        <v>37994</v>
      </c>
      <c r="Q431" t="s">
        <v>57</v>
      </c>
      <c r="R431" t="s">
        <v>662</v>
      </c>
      <c r="S431" t="s">
        <v>369</v>
      </c>
      <c r="T431" t="s">
        <v>167</v>
      </c>
      <c r="U431"/>
    </row>
    <row r="432" spans="1:21" x14ac:dyDescent="0.25">
      <c r="A432">
        <v>625236</v>
      </c>
      <c r="B432" t="s">
        <v>475</v>
      </c>
      <c r="C432">
        <v>14</v>
      </c>
      <c r="D432">
        <v>-7</v>
      </c>
      <c r="E432">
        <v>0</v>
      </c>
      <c r="F432">
        <v>1</v>
      </c>
      <c r="G432">
        <v>2</v>
      </c>
      <c r="H432">
        <v>35</v>
      </c>
      <c r="I432">
        <v>77</v>
      </c>
      <c r="J432">
        <v>12.1</v>
      </c>
      <c r="K432">
        <v>0.6</v>
      </c>
      <c r="L432">
        <v>1.84</v>
      </c>
      <c r="M432">
        <v>15.1</v>
      </c>
      <c r="N432">
        <v>0.8</v>
      </c>
      <c r="O432" t="s">
        <v>261</v>
      </c>
      <c r="P432" s="379">
        <v>37994</v>
      </c>
      <c r="Q432" t="s">
        <v>57</v>
      </c>
      <c r="R432" t="s">
        <v>958</v>
      </c>
      <c r="S432" t="s">
        <v>369</v>
      </c>
      <c r="T432" t="s">
        <v>608</v>
      </c>
      <c r="U432"/>
    </row>
    <row r="433" spans="1:21" x14ac:dyDescent="0.25">
      <c r="A433">
        <v>231100</v>
      </c>
      <c r="B433" t="s">
        <v>478</v>
      </c>
      <c r="C433">
        <v>14</v>
      </c>
      <c r="D433">
        <v>-6</v>
      </c>
      <c r="E433">
        <v>1</v>
      </c>
      <c r="F433">
        <v>9</v>
      </c>
      <c r="G433">
        <v>3</v>
      </c>
      <c r="H433">
        <v>60</v>
      </c>
      <c r="I433">
        <v>63</v>
      </c>
      <c r="J433">
        <v>10.199999999999999</v>
      </c>
      <c r="K433">
        <v>0.6</v>
      </c>
      <c r="L433">
        <v>1.86</v>
      </c>
      <c r="M433">
        <v>12.2</v>
      </c>
      <c r="N433">
        <v>1.4</v>
      </c>
      <c r="O433" t="s">
        <v>261</v>
      </c>
      <c r="P433" s="379">
        <v>37994</v>
      </c>
      <c r="Q433" t="s">
        <v>57</v>
      </c>
      <c r="R433" t="s">
        <v>688</v>
      </c>
      <c r="S433" t="s">
        <v>369</v>
      </c>
      <c r="T433" t="s">
        <v>228</v>
      </c>
      <c r="U433"/>
    </row>
    <row r="434" spans="1:21" x14ac:dyDescent="0.25">
      <c r="A434">
        <v>102897</v>
      </c>
      <c r="B434" t="s">
        <v>1361</v>
      </c>
      <c r="C434">
        <v>17</v>
      </c>
      <c r="D434">
        <v>0</v>
      </c>
      <c r="E434">
        <v>6</v>
      </c>
      <c r="F434">
        <v>7</v>
      </c>
      <c r="G434">
        <v>0</v>
      </c>
      <c r="H434">
        <v>33</v>
      </c>
      <c r="I434">
        <v>50</v>
      </c>
      <c r="J434">
        <v>8.5</v>
      </c>
      <c r="K434">
        <v>0.6</v>
      </c>
      <c r="L434">
        <v>1.45</v>
      </c>
      <c r="M434">
        <v>12.8</v>
      </c>
      <c r="N434">
        <v>0.8</v>
      </c>
      <c r="O434" t="s">
        <v>135</v>
      </c>
      <c r="P434" s="379">
        <v>39100</v>
      </c>
      <c r="Q434" t="s">
        <v>136</v>
      </c>
      <c r="R434" t="s">
        <v>1362</v>
      </c>
      <c r="S434" t="s">
        <v>1363</v>
      </c>
      <c r="T434" t="s">
        <v>178</v>
      </c>
      <c r="U434"/>
    </row>
    <row r="435" spans="1:21" x14ac:dyDescent="0.25">
      <c r="A435">
        <v>192146</v>
      </c>
      <c r="B435" t="s">
        <v>1280</v>
      </c>
      <c r="C435">
        <v>17</v>
      </c>
      <c r="D435">
        <v>-2</v>
      </c>
      <c r="E435">
        <v>4</v>
      </c>
      <c r="F435">
        <v>5</v>
      </c>
      <c r="G435">
        <v>-2</v>
      </c>
      <c r="H435">
        <v>43</v>
      </c>
      <c r="I435">
        <v>112</v>
      </c>
      <c r="J435">
        <v>16.3</v>
      </c>
      <c r="K435">
        <v>0.61</v>
      </c>
      <c r="L435">
        <v>1.68</v>
      </c>
      <c r="M435">
        <v>13.8</v>
      </c>
      <c r="N435">
        <v>1</v>
      </c>
      <c r="O435" t="s">
        <v>349</v>
      </c>
      <c r="P435" s="379">
        <v>39534</v>
      </c>
      <c r="Q435" t="s">
        <v>57</v>
      </c>
      <c r="R435" t="s">
        <v>1042</v>
      </c>
      <c r="S435" t="s">
        <v>1281</v>
      </c>
      <c r="T435" t="s">
        <v>167</v>
      </c>
      <c r="U435"/>
    </row>
    <row r="436" spans="1:21" x14ac:dyDescent="0.25">
      <c r="A436">
        <v>481671</v>
      </c>
      <c r="B436" t="s">
        <v>1399</v>
      </c>
      <c r="C436">
        <v>13</v>
      </c>
      <c r="D436">
        <v>0</v>
      </c>
      <c r="E436">
        <v>13</v>
      </c>
      <c r="F436">
        <v>11</v>
      </c>
      <c r="G436">
        <v>10</v>
      </c>
      <c r="H436">
        <v>53</v>
      </c>
      <c r="I436">
        <v>97</v>
      </c>
      <c r="J436">
        <v>14.5</v>
      </c>
      <c r="K436">
        <v>0.61</v>
      </c>
      <c r="L436">
        <v>1.82</v>
      </c>
      <c r="M436">
        <v>18.2</v>
      </c>
      <c r="N436">
        <v>0.9</v>
      </c>
      <c r="O436" t="s">
        <v>135</v>
      </c>
      <c r="P436" s="379">
        <v>41325</v>
      </c>
      <c r="Q436" t="s">
        <v>57</v>
      </c>
      <c r="R436" t="s">
        <v>1400</v>
      </c>
      <c r="S436" t="s">
        <v>1282</v>
      </c>
      <c r="T436" t="s">
        <v>617</v>
      </c>
      <c r="U436"/>
    </row>
    <row r="437" spans="1:21" x14ac:dyDescent="0.25">
      <c r="A437">
        <v>407775</v>
      </c>
      <c r="B437" t="s">
        <v>1288</v>
      </c>
      <c r="C437">
        <v>22</v>
      </c>
      <c r="D437">
        <v>-3</v>
      </c>
      <c r="E437">
        <v>5</v>
      </c>
      <c r="F437">
        <v>8</v>
      </c>
      <c r="G437">
        <v>14</v>
      </c>
      <c r="H437">
        <v>54</v>
      </c>
      <c r="I437">
        <v>93</v>
      </c>
      <c r="J437">
        <v>14.1</v>
      </c>
      <c r="K437">
        <v>0.61</v>
      </c>
      <c r="L437">
        <v>1.69</v>
      </c>
      <c r="M437">
        <v>14.2</v>
      </c>
      <c r="N437">
        <v>1.1000000000000001</v>
      </c>
      <c r="O437" t="s">
        <v>261</v>
      </c>
      <c r="P437" s="379">
        <v>38882</v>
      </c>
      <c r="Q437" t="s">
        <v>57</v>
      </c>
      <c r="R437" t="s">
        <v>1123</v>
      </c>
      <c r="S437" t="s">
        <v>1281</v>
      </c>
      <c r="T437" t="s">
        <v>608</v>
      </c>
      <c r="U437"/>
    </row>
    <row r="438" spans="1:21" x14ac:dyDescent="0.25">
      <c r="A438">
        <v>294322</v>
      </c>
      <c r="B438" t="s">
        <v>505</v>
      </c>
      <c r="C438">
        <v>16</v>
      </c>
      <c r="D438">
        <v>-6</v>
      </c>
      <c r="E438">
        <v>1</v>
      </c>
      <c r="F438">
        <v>5</v>
      </c>
      <c r="G438">
        <v>5</v>
      </c>
      <c r="H438">
        <v>44</v>
      </c>
      <c r="I438">
        <v>78</v>
      </c>
      <c r="J438">
        <v>12.2</v>
      </c>
      <c r="K438">
        <v>0.61</v>
      </c>
      <c r="L438">
        <v>1.47</v>
      </c>
      <c r="M438">
        <v>13</v>
      </c>
      <c r="N438">
        <v>1</v>
      </c>
      <c r="O438" t="s">
        <v>261</v>
      </c>
      <c r="P438" s="379">
        <v>36789</v>
      </c>
      <c r="Q438" t="s">
        <v>57</v>
      </c>
      <c r="R438" t="s">
        <v>682</v>
      </c>
      <c r="S438" t="s">
        <v>350</v>
      </c>
      <c r="T438" t="s">
        <v>154</v>
      </c>
      <c r="U438"/>
    </row>
    <row r="439" spans="1:21" x14ac:dyDescent="0.25">
      <c r="A439">
        <v>780411</v>
      </c>
      <c r="B439" t="s">
        <v>474</v>
      </c>
      <c r="C439">
        <v>15</v>
      </c>
      <c r="D439">
        <v>-1</v>
      </c>
      <c r="E439">
        <v>3</v>
      </c>
      <c r="F439">
        <v>11</v>
      </c>
      <c r="G439">
        <v>13</v>
      </c>
      <c r="H439">
        <v>38</v>
      </c>
      <c r="I439">
        <v>67</v>
      </c>
      <c r="J439">
        <v>10.8</v>
      </c>
      <c r="K439">
        <v>0.61</v>
      </c>
      <c r="L439">
        <v>1.47</v>
      </c>
      <c r="M439">
        <v>10.7</v>
      </c>
      <c r="N439">
        <v>1.1000000000000001</v>
      </c>
      <c r="O439" t="s">
        <v>169</v>
      </c>
      <c r="P439" s="379">
        <v>42117</v>
      </c>
      <c r="Q439" t="s">
        <v>57</v>
      </c>
      <c r="R439" t="s">
        <v>1027</v>
      </c>
      <c r="S439" t="s">
        <v>470</v>
      </c>
      <c r="T439" t="s">
        <v>610</v>
      </c>
      <c r="U439"/>
    </row>
    <row r="440" spans="1:21" x14ac:dyDescent="0.25">
      <c r="A440">
        <v>757575</v>
      </c>
      <c r="B440" t="s">
        <v>1293</v>
      </c>
      <c r="C440">
        <v>11</v>
      </c>
      <c r="D440">
        <v>-4</v>
      </c>
      <c r="E440">
        <v>0</v>
      </c>
      <c r="F440">
        <v>1</v>
      </c>
      <c r="G440">
        <v>-10</v>
      </c>
      <c r="H440">
        <v>16</v>
      </c>
      <c r="I440">
        <v>66</v>
      </c>
      <c r="J440">
        <v>10.6</v>
      </c>
      <c r="K440">
        <v>0.61</v>
      </c>
      <c r="L440">
        <v>1.68</v>
      </c>
      <c r="M440">
        <v>13.3</v>
      </c>
      <c r="N440">
        <v>0.5</v>
      </c>
      <c r="O440" t="s">
        <v>349</v>
      </c>
      <c r="P440" s="379">
        <v>38882</v>
      </c>
      <c r="Q440" t="s">
        <v>57</v>
      </c>
      <c r="R440" t="s">
        <v>1039</v>
      </c>
      <c r="S440" t="s">
        <v>1281</v>
      </c>
      <c r="T440" t="s">
        <v>167</v>
      </c>
      <c r="U440"/>
    </row>
    <row r="441" spans="1:21" x14ac:dyDescent="0.25">
      <c r="A441">
        <v>865063</v>
      </c>
      <c r="B441" t="s">
        <v>1295</v>
      </c>
      <c r="C441">
        <v>23</v>
      </c>
      <c r="D441">
        <v>-3</v>
      </c>
      <c r="E441">
        <v>8</v>
      </c>
      <c r="F441">
        <v>15</v>
      </c>
      <c r="G441">
        <v>8</v>
      </c>
      <c r="H441">
        <v>51</v>
      </c>
      <c r="I441">
        <v>58</v>
      </c>
      <c r="J441">
        <v>9.6</v>
      </c>
      <c r="K441">
        <v>0.61</v>
      </c>
      <c r="L441">
        <v>1.69</v>
      </c>
      <c r="M441">
        <v>12.5</v>
      </c>
      <c r="N441">
        <v>1.2</v>
      </c>
      <c r="O441" t="s">
        <v>169</v>
      </c>
      <c r="P441" s="379">
        <v>38882</v>
      </c>
      <c r="Q441" t="s">
        <v>57</v>
      </c>
      <c r="R441" t="s">
        <v>1098</v>
      </c>
      <c r="S441" t="s">
        <v>1281</v>
      </c>
      <c r="T441" t="s">
        <v>178</v>
      </c>
      <c r="U441"/>
    </row>
    <row r="442" spans="1:21" x14ac:dyDescent="0.25">
      <c r="A442">
        <v>727057</v>
      </c>
      <c r="B442" t="s">
        <v>426</v>
      </c>
      <c r="C442">
        <v>18</v>
      </c>
      <c r="D442">
        <v>-7</v>
      </c>
      <c r="E442">
        <v>1</v>
      </c>
      <c r="F442">
        <v>8</v>
      </c>
      <c r="G442">
        <v>-1</v>
      </c>
      <c r="H442">
        <v>28</v>
      </c>
      <c r="I442">
        <v>53</v>
      </c>
      <c r="J442">
        <v>8.9</v>
      </c>
      <c r="K442">
        <v>0.61</v>
      </c>
      <c r="L442">
        <v>1.76</v>
      </c>
      <c r="M442">
        <v>13.4</v>
      </c>
      <c r="N442">
        <v>0.7</v>
      </c>
      <c r="O442" t="s">
        <v>135</v>
      </c>
      <c r="P442" s="379">
        <v>40900</v>
      </c>
      <c r="Q442" t="s">
        <v>136</v>
      </c>
      <c r="R442" t="s">
        <v>680</v>
      </c>
      <c r="S442" t="s">
        <v>527</v>
      </c>
      <c r="T442" t="s">
        <v>154</v>
      </c>
      <c r="U442"/>
    </row>
    <row r="443" spans="1:21" x14ac:dyDescent="0.25">
      <c r="A443">
        <v>810465</v>
      </c>
      <c r="B443" t="s">
        <v>372</v>
      </c>
      <c r="C443">
        <v>15</v>
      </c>
      <c r="D443">
        <v>-4</v>
      </c>
      <c r="E443">
        <v>3</v>
      </c>
      <c r="F443">
        <v>8</v>
      </c>
      <c r="G443">
        <v>5</v>
      </c>
      <c r="H443">
        <v>27</v>
      </c>
      <c r="I443">
        <v>50</v>
      </c>
      <c r="J443">
        <v>8.4</v>
      </c>
      <c r="K443">
        <v>0.61</v>
      </c>
      <c r="L443">
        <v>1.64</v>
      </c>
      <c r="M443">
        <v>10.8</v>
      </c>
      <c r="N443">
        <v>0.8</v>
      </c>
      <c r="O443" t="s">
        <v>169</v>
      </c>
      <c r="P443" s="379">
        <v>37945</v>
      </c>
      <c r="Q443" t="s">
        <v>57</v>
      </c>
      <c r="R443" t="s">
        <v>840</v>
      </c>
      <c r="S443" t="s">
        <v>1278</v>
      </c>
      <c r="T443" t="s">
        <v>178</v>
      </c>
      <c r="U443"/>
    </row>
    <row r="444" spans="1:21" x14ac:dyDescent="0.25">
      <c r="A444">
        <v>367698</v>
      </c>
      <c r="B444" t="s">
        <v>1286</v>
      </c>
      <c r="C444">
        <v>25</v>
      </c>
      <c r="D444">
        <v>-2</v>
      </c>
      <c r="E444">
        <v>9</v>
      </c>
      <c r="F444">
        <v>16</v>
      </c>
      <c r="G444">
        <v>8</v>
      </c>
      <c r="H444">
        <v>46</v>
      </c>
      <c r="I444">
        <v>45</v>
      </c>
      <c r="J444">
        <v>7.7</v>
      </c>
      <c r="K444">
        <v>0.61</v>
      </c>
      <c r="L444">
        <v>1.69</v>
      </c>
      <c r="M444">
        <v>12.7</v>
      </c>
      <c r="N444">
        <v>1.1000000000000001</v>
      </c>
      <c r="O444" t="s">
        <v>169</v>
      </c>
      <c r="P444" s="379">
        <v>38882</v>
      </c>
      <c r="Q444" t="s">
        <v>57</v>
      </c>
      <c r="R444" t="s">
        <v>1099</v>
      </c>
      <c r="S444" t="s">
        <v>1281</v>
      </c>
      <c r="T444" t="s">
        <v>178</v>
      </c>
      <c r="U444"/>
    </row>
    <row r="445" spans="1:21" x14ac:dyDescent="0.25">
      <c r="A445">
        <v>825274</v>
      </c>
      <c r="B445" t="s">
        <v>1218</v>
      </c>
      <c r="C445">
        <v>10</v>
      </c>
      <c r="D445">
        <v>-3</v>
      </c>
      <c r="E445">
        <v>-3</v>
      </c>
      <c r="F445">
        <v>0</v>
      </c>
      <c r="G445"/>
      <c r="H445">
        <v>46</v>
      </c>
      <c r="I445">
        <v>134</v>
      </c>
      <c r="J445">
        <v>18.600000000000001</v>
      </c>
      <c r="K445">
        <v>0.62</v>
      </c>
      <c r="L445">
        <v>1.89</v>
      </c>
      <c r="M445">
        <v>14.1</v>
      </c>
      <c r="N445">
        <v>1</v>
      </c>
      <c r="O445" t="s">
        <v>135</v>
      </c>
      <c r="P445" s="379">
        <v>43301</v>
      </c>
      <c r="Q445" t="s">
        <v>136</v>
      </c>
      <c r="R445" t="s">
        <v>1219</v>
      </c>
      <c r="S445" t="s">
        <v>303</v>
      </c>
      <c r="T445" t="s">
        <v>588</v>
      </c>
      <c r="U445"/>
    </row>
    <row r="446" spans="1:21" x14ac:dyDescent="0.25">
      <c r="A446">
        <v>282632</v>
      </c>
      <c r="B446" t="s">
        <v>306</v>
      </c>
      <c r="C446">
        <v>21</v>
      </c>
      <c r="D446">
        <v>-5</v>
      </c>
      <c r="E446">
        <v>4</v>
      </c>
      <c r="F446">
        <v>10</v>
      </c>
      <c r="G446">
        <v>13</v>
      </c>
      <c r="H446">
        <v>52</v>
      </c>
      <c r="I446">
        <v>90</v>
      </c>
      <c r="J446">
        <v>13.7</v>
      </c>
      <c r="K446">
        <v>0.62</v>
      </c>
      <c r="L446">
        <v>1.5</v>
      </c>
      <c r="M446">
        <v>12.2</v>
      </c>
      <c r="N446">
        <v>1.2</v>
      </c>
      <c r="O446" t="s">
        <v>226</v>
      </c>
      <c r="P446" s="379">
        <v>39330</v>
      </c>
      <c r="Q446" t="s">
        <v>57</v>
      </c>
      <c r="R446" t="s">
        <v>1052</v>
      </c>
      <c r="S446" t="s">
        <v>268</v>
      </c>
      <c r="T446" t="s">
        <v>154</v>
      </c>
      <c r="U446"/>
    </row>
    <row r="447" spans="1:21" x14ac:dyDescent="0.25">
      <c r="A447">
        <v>445841</v>
      </c>
      <c r="B447" t="s">
        <v>1395</v>
      </c>
      <c r="C447">
        <v>29</v>
      </c>
      <c r="D447">
        <v>0</v>
      </c>
      <c r="E447">
        <v>11</v>
      </c>
      <c r="F447">
        <v>16</v>
      </c>
      <c r="G447">
        <v>9</v>
      </c>
      <c r="H447">
        <v>53</v>
      </c>
      <c r="I447">
        <v>85</v>
      </c>
      <c r="J447">
        <v>13.1</v>
      </c>
      <c r="K447">
        <v>0.62</v>
      </c>
      <c r="L447">
        <v>1.86</v>
      </c>
      <c r="M447">
        <v>14.8</v>
      </c>
      <c r="N447">
        <v>1.1000000000000001</v>
      </c>
      <c r="O447" t="s">
        <v>135</v>
      </c>
      <c r="P447" s="379">
        <v>41325</v>
      </c>
      <c r="Q447" t="s">
        <v>57</v>
      </c>
      <c r="R447" t="s">
        <v>1396</v>
      </c>
      <c r="S447" t="s">
        <v>1282</v>
      </c>
      <c r="T447" t="s">
        <v>154</v>
      </c>
      <c r="U447"/>
    </row>
    <row r="448" spans="1:21" x14ac:dyDescent="0.25">
      <c r="A448">
        <v>432096</v>
      </c>
      <c r="B448" t="s">
        <v>585</v>
      </c>
      <c r="C448">
        <v>16</v>
      </c>
      <c r="D448">
        <v>-5</v>
      </c>
      <c r="E448">
        <v>1</v>
      </c>
      <c r="F448">
        <v>5</v>
      </c>
      <c r="G448">
        <v>7</v>
      </c>
      <c r="H448">
        <v>43</v>
      </c>
      <c r="I448">
        <v>75</v>
      </c>
      <c r="J448">
        <v>11.9</v>
      </c>
      <c r="K448">
        <v>0.62</v>
      </c>
      <c r="L448">
        <v>1.87</v>
      </c>
      <c r="M448">
        <v>12.9</v>
      </c>
      <c r="N448">
        <v>1</v>
      </c>
      <c r="O448" t="s">
        <v>135</v>
      </c>
      <c r="P448" s="379">
        <v>38365</v>
      </c>
      <c r="Q448" t="s">
        <v>57</v>
      </c>
      <c r="R448" t="s">
        <v>711</v>
      </c>
      <c r="S448" t="s">
        <v>1277</v>
      </c>
      <c r="T448" t="s">
        <v>154</v>
      </c>
      <c r="U448"/>
    </row>
    <row r="449" spans="1:21" x14ac:dyDescent="0.25">
      <c r="A449">
        <v>318469</v>
      </c>
      <c r="B449" t="s">
        <v>365</v>
      </c>
      <c r="C449">
        <v>22</v>
      </c>
      <c r="D449">
        <v>-3</v>
      </c>
      <c r="E449">
        <v>4</v>
      </c>
      <c r="F449">
        <v>12</v>
      </c>
      <c r="G449">
        <v>3</v>
      </c>
      <c r="H449">
        <v>75</v>
      </c>
      <c r="I449">
        <v>58</v>
      </c>
      <c r="J449">
        <v>9.6</v>
      </c>
      <c r="K449">
        <v>0.62</v>
      </c>
      <c r="L449">
        <v>1.5</v>
      </c>
      <c r="M449">
        <v>15.3</v>
      </c>
      <c r="N449">
        <v>1.3</v>
      </c>
      <c r="O449" t="s">
        <v>226</v>
      </c>
      <c r="P449" s="379">
        <v>39330</v>
      </c>
      <c r="Q449" t="s">
        <v>57</v>
      </c>
      <c r="R449" t="s">
        <v>1076</v>
      </c>
      <c r="S449" t="s">
        <v>268</v>
      </c>
      <c r="T449" t="s">
        <v>229</v>
      </c>
      <c r="U449"/>
    </row>
    <row r="450" spans="1:21" x14ac:dyDescent="0.25">
      <c r="A450">
        <v>354290</v>
      </c>
      <c r="B450" t="s">
        <v>364</v>
      </c>
      <c r="C450">
        <v>20</v>
      </c>
      <c r="D450">
        <v>-7</v>
      </c>
      <c r="E450">
        <v>0</v>
      </c>
      <c r="F450">
        <v>7</v>
      </c>
      <c r="G450">
        <v>-2</v>
      </c>
      <c r="H450">
        <v>33</v>
      </c>
      <c r="I450">
        <v>53</v>
      </c>
      <c r="J450">
        <v>8.9</v>
      </c>
      <c r="K450">
        <v>0.62</v>
      </c>
      <c r="L450">
        <v>1.5</v>
      </c>
      <c r="M450">
        <v>16.2</v>
      </c>
      <c r="N450">
        <v>0.7</v>
      </c>
      <c r="O450" t="s">
        <v>226</v>
      </c>
      <c r="P450" s="379">
        <v>39330</v>
      </c>
      <c r="Q450" t="s">
        <v>57</v>
      </c>
      <c r="R450" t="s">
        <v>921</v>
      </c>
      <c r="S450" t="s">
        <v>268</v>
      </c>
      <c r="T450" t="s">
        <v>244</v>
      </c>
      <c r="U450"/>
    </row>
    <row r="451" spans="1:21" x14ac:dyDescent="0.25">
      <c r="A451">
        <v>887901</v>
      </c>
      <c r="B451" t="s">
        <v>473</v>
      </c>
      <c r="C451">
        <v>16</v>
      </c>
      <c r="D451">
        <v>-2</v>
      </c>
      <c r="E451">
        <v>3</v>
      </c>
      <c r="F451">
        <v>8</v>
      </c>
      <c r="G451">
        <v>7</v>
      </c>
      <c r="H451">
        <v>24</v>
      </c>
      <c r="I451">
        <v>53</v>
      </c>
      <c r="J451">
        <v>8.9</v>
      </c>
      <c r="K451">
        <v>0.62</v>
      </c>
      <c r="L451">
        <v>1.48</v>
      </c>
      <c r="M451">
        <v>12.2</v>
      </c>
      <c r="N451">
        <v>0.7</v>
      </c>
      <c r="O451" t="s">
        <v>169</v>
      </c>
      <c r="P451" s="379">
        <v>42117</v>
      </c>
      <c r="Q451" t="s">
        <v>57</v>
      </c>
      <c r="R451" t="s">
        <v>911</v>
      </c>
      <c r="S451" t="s">
        <v>470</v>
      </c>
      <c r="T451" t="s">
        <v>610</v>
      </c>
      <c r="U451"/>
    </row>
    <row r="452" spans="1:21" x14ac:dyDescent="0.25">
      <c r="A452">
        <v>401810</v>
      </c>
      <c r="B452" t="s">
        <v>511</v>
      </c>
      <c r="C452">
        <v>18</v>
      </c>
      <c r="D452">
        <v>-3</v>
      </c>
      <c r="E452">
        <v>3</v>
      </c>
      <c r="F452">
        <v>13</v>
      </c>
      <c r="G452">
        <v>2</v>
      </c>
      <c r="H452">
        <v>49</v>
      </c>
      <c r="I452">
        <v>52</v>
      </c>
      <c r="J452">
        <v>8.8000000000000007</v>
      </c>
      <c r="K452">
        <v>0.62</v>
      </c>
      <c r="L452">
        <v>1.49</v>
      </c>
      <c r="M452">
        <v>12.1</v>
      </c>
      <c r="N452">
        <v>1.2</v>
      </c>
      <c r="O452" t="s">
        <v>261</v>
      </c>
      <c r="P452" s="379">
        <v>36789</v>
      </c>
      <c r="Q452" t="s">
        <v>57</v>
      </c>
      <c r="R452" t="s">
        <v>1009</v>
      </c>
      <c r="S452" t="s">
        <v>350</v>
      </c>
      <c r="T452" t="s">
        <v>609</v>
      </c>
      <c r="U452"/>
    </row>
    <row r="453" spans="1:21" x14ac:dyDescent="0.25">
      <c r="A453">
        <v>344739</v>
      </c>
      <c r="B453" t="s">
        <v>355</v>
      </c>
      <c r="C453">
        <v>6</v>
      </c>
      <c r="D453">
        <v>-8</v>
      </c>
      <c r="E453">
        <v>-3</v>
      </c>
      <c r="F453">
        <v>0</v>
      </c>
      <c r="G453">
        <v>3</v>
      </c>
      <c r="H453">
        <v>28</v>
      </c>
      <c r="I453">
        <v>44</v>
      </c>
      <c r="J453">
        <v>7.5</v>
      </c>
      <c r="K453">
        <v>0.62</v>
      </c>
      <c r="L453">
        <v>1.5</v>
      </c>
      <c r="M453">
        <v>11.7</v>
      </c>
      <c r="N453">
        <v>0.8</v>
      </c>
      <c r="O453" t="s">
        <v>135</v>
      </c>
      <c r="P453" s="379">
        <v>36790</v>
      </c>
      <c r="Q453" t="s">
        <v>136</v>
      </c>
      <c r="R453" t="s">
        <v>731</v>
      </c>
      <c r="S453" t="s">
        <v>241</v>
      </c>
      <c r="T453" t="s">
        <v>182</v>
      </c>
      <c r="U453"/>
    </row>
    <row r="454" spans="1:21" x14ac:dyDescent="0.25">
      <c r="A454">
        <v>151001</v>
      </c>
      <c r="B454" t="s">
        <v>512</v>
      </c>
      <c r="C454">
        <v>15</v>
      </c>
      <c r="D454">
        <v>-5</v>
      </c>
      <c r="E454">
        <v>2</v>
      </c>
      <c r="F454">
        <v>7</v>
      </c>
      <c r="G454">
        <v>-6</v>
      </c>
      <c r="H454">
        <v>27</v>
      </c>
      <c r="I454">
        <v>34</v>
      </c>
      <c r="J454">
        <v>6</v>
      </c>
      <c r="K454">
        <v>0.62</v>
      </c>
      <c r="L454">
        <v>1.48</v>
      </c>
      <c r="M454">
        <v>14</v>
      </c>
      <c r="N454">
        <v>0.7</v>
      </c>
      <c r="O454" t="s">
        <v>169</v>
      </c>
      <c r="P454" s="379">
        <v>36789</v>
      </c>
      <c r="Q454" t="s">
        <v>57</v>
      </c>
      <c r="R454" t="s">
        <v>937</v>
      </c>
      <c r="S454" t="s">
        <v>350</v>
      </c>
      <c r="T454" t="s">
        <v>178</v>
      </c>
      <c r="U454"/>
    </row>
    <row r="455" spans="1:21" x14ac:dyDescent="0.25">
      <c r="A455">
        <v>490706</v>
      </c>
      <c r="B455" t="s">
        <v>654</v>
      </c>
      <c r="C455">
        <v>14</v>
      </c>
      <c r="D455">
        <v>1</v>
      </c>
      <c r="E455">
        <v>7</v>
      </c>
      <c r="F455">
        <v>10</v>
      </c>
      <c r="G455">
        <v>4</v>
      </c>
      <c r="H455">
        <v>15</v>
      </c>
      <c r="I455">
        <v>32</v>
      </c>
      <c r="J455">
        <v>5.8</v>
      </c>
      <c r="K455">
        <v>0.62</v>
      </c>
      <c r="L455">
        <v>1.48</v>
      </c>
      <c r="M455">
        <v>6.5</v>
      </c>
      <c r="N455">
        <v>0.8</v>
      </c>
      <c r="O455" t="s">
        <v>135</v>
      </c>
      <c r="P455" s="379">
        <v>42528</v>
      </c>
      <c r="Q455" t="s">
        <v>136</v>
      </c>
      <c r="R455" t="s">
        <v>1402</v>
      </c>
      <c r="S455" t="s">
        <v>193</v>
      </c>
      <c r="T455" t="s">
        <v>588</v>
      </c>
      <c r="U455"/>
    </row>
    <row r="456" spans="1:21" x14ac:dyDescent="0.25">
      <c r="A456">
        <v>920074</v>
      </c>
      <c r="B456" t="s">
        <v>535</v>
      </c>
      <c r="C456">
        <v>9</v>
      </c>
      <c r="D456">
        <v>-1</v>
      </c>
      <c r="E456">
        <v>3</v>
      </c>
      <c r="F456">
        <v>5</v>
      </c>
      <c r="G456">
        <v>1</v>
      </c>
      <c r="H456">
        <v>14</v>
      </c>
      <c r="I456">
        <v>30</v>
      </c>
      <c r="J456">
        <v>5.4</v>
      </c>
      <c r="K456">
        <v>0.62</v>
      </c>
      <c r="L456">
        <v>1.81</v>
      </c>
      <c r="M456">
        <v>7.3</v>
      </c>
      <c r="N456">
        <v>0.7</v>
      </c>
      <c r="O456" t="s">
        <v>135</v>
      </c>
      <c r="P456" s="379">
        <v>42339</v>
      </c>
      <c r="Q456" t="s">
        <v>136</v>
      </c>
      <c r="R456" t="s">
        <v>1442</v>
      </c>
      <c r="S456" t="s">
        <v>536</v>
      </c>
      <c r="T456" t="s">
        <v>588</v>
      </c>
      <c r="U456"/>
    </row>
    <row r="457" spans="1:21" x14ac:dyDescent="0.25">
      <c r="A457">
        <v>390187</v>
      </c>
      <c r="B457" t="s">
        <v>1147</v>
      </c>
      <c r="C457">
        <v>11</v>
      </c>
      <c r="D457">
        <v>-12</v>
      </c>
      <c r="E457">
        <v>-9</v>
      </c>
      <c r="F457">
        <v>-1</v>
      </c>
      <c r="G457">
        <v>-2</v>
      </c>
      <c r="H457">
        <v>25</v>
      </c>
      <c r="I457">
        <v>24</v>
      </c>
      <c r="J457">
        <v>4.5</v>
      </c>
      <c r="K457">
        <v>0.62</v>
      </c>
      <c r="L457">
        <v>1.5</v>
      </c>
      <c r="M457">
        <v>14.6</v>
      </c>
      <c r="N457">
        <v>0.6</v>
      </c>
      <c r="O457" t="s">
        <v>169</v>
      </c>
      <c r="P457" s="379">
        <v>38575</v>
      </c>
      <c r="Q457" t="s">
        <v>57</v>
      </c>
      <c r="R457" t="s">
        <v>1390</v>
      </c>
      <c r="S457" t="s">
        <v>371</v>
      </c>
      <c r="T457" t="s">
        <v>154</v>
      </c>
      <c r="U457"/>
    </row>
    <row r="458" spans="1:21" x14ac:dyDescent="0.25">
      <c r="A458">
        <v>376319</v>
      </c>
      <c r="B458" t="s">
        <v>360</v>
      </c>
      <c r="C458">
        <v>17</v>
      </c>
      <c r="D458">
        <v>2</v>
      </c>
      <c r="E458">
        <v>6</v>
      </c>
      <c r="F458">
        <v>12</v>
      </c>
      <c r="G458">
        <v>16</v>
      </c>
      <c r="H458">
        <v>53</v>
      </c>
      <c r="I458">
        <v>22</v>
      </c>
      <c r="J458">
        <v>4</v>
      </c>
      <c r="K458">
        <v>0.62</v>
      </c>
      <c r="L458">
        <v>1.5</v>
      </c>
      <c r="M458">
        <v>12.3</v>
      </c>
      <c r="N458">
        <v>1.3</v>
      </c>
      <c r="O458" t="s">
        <v>261</v>
      </c>
      <c r="P458" s="379">
        <v>36789</v>
      </c>
      <c r="Q458" t="s">
        <v>57</v>
      </c>
      <c r="R458" t="s">
        <v>1389</v>
      </c>
      <c r="S458" t="s">
        <v>279</v>
      </c>
      <c r="T458" t="s">
        <v>247</v>
      </c>
      <c r="U458"/>
    </row>
    <row r="459" spans="1:21" x14ac:dyDescent="0.25">
      <c r="A459">
        <v>133116</v>
      </c>
      <c r="B459" t="s">
        <v>456</v>
      </c>
      <c r="C459">
        <v>3</v>
      </c>
      <c r="D459">
        <v>-1</v>
      </c>
      <c r="E459">
        <v>-1</v>
      </c>
      <c r="F459">
        <v>0</v>
      </c>
      <c r="G459">
        <v>-3</v>
      </c>
      <c r="H459">
        <v>8</v>
      </c>
      <c r="I459">
        <v>8</v>
      </c>
      <c r="J459">
        <v>1.5</v>
      </c>
      <c r="K459">
        <v>0.62</v>
      </c>
      <c r="L459">
        <v>1.9</v>
      </c>
      <c r="M459">
        <v>4.7</v>
      </c>
      <c r="N459">
        <v>0.6</v>
      </c>
      <c r="O459" t="s">
        <v>135</v>
      </c>
      <c r="P459" s="379">
        <v>41071</v>
      </c>
      <c r="Q459" t="s">
        <v>57</v>
      </c>
      <c r="R459" t="s">
        <v>1367</v>
      </c>
      <c r="S459" t="s">
        <v>1271</v>
      </c>
      <c r="T459" t="s">
        <v>602</v>
      </c>
      <c r="U459"/>
    </row>
    <row r="460" spans="1:21" x14ac:dyDescent="0.25">
      <c r="A460">
        <v>768499</v>
      </c>
      <c r="B460" t="s">
        <v>486</v>
      </c>
      <c r="C460">
        <v>16</v>
      </c>
      <c r="D460">
        <v>2</v>
      </c>
      <c r="E460">
        <v>16</v>
      </c>
      <c r="F460">
        <v>13</v>
      </c>
      <c r="G460">
        <v>12</v>
      </c>
      <c r="H460">
        <v>57</v>
      </c>
      <c r="I460">
        <v>123</v>
      </c>
      <c r="J460">
        <v>17.399999999999999</v>
      </c>
      <c r="K460">
        <v>0.63</v>
      </c>
      <c r="L460">
        <v>1.98</v>
      </c>
      <c r="M460">
        <v>17.600000000000001</v>
      </c>
      <c r="N460">
        <v>1</v>
      </c>
      <c r="O460" t="s">
        <v>261</v>
      </c>
      <c r="P460" s="379">
        <v>38981</v>
      </c>
      <c r="Q460" t="s">
        <v>57</v>
      </c>
      <c r="R460" t="s">
        <v>1111</v>
      </c>
      <c r="S460" t="s">
        <v>369</v>
      </c>
      <c r="T460" t="s">
        <v>617</v>
      </c>
      <c r="U460"/>
    </row>
    <row r="461" spans="1:21" x14ac:dyDescent="0.25">
      <c r="A461">
        <v>360495</v>
      </c>
      <c r="B461" t="s">
        <v>370</v>
      </c>
      <c r="C461">
        <v>17</v>
      </c>
      <c r="D461">
        <v>-6</v>
      </c>
      <c r="E461">
        <v>2</v>
      </c>
      <c r="F461">
        <v>4</v>
      </c>
      <c r="G461">
        <v>10</v>
      </c>
      <c r="H461">
        <v>36</v>
      </c>
      <c r="I461">
        <v>89</v>
      </c>
      <c r="J461">
        <v>13.5</v>
      </c>
      <c r="K461">
        <v>0.63</v>
      </c>
      <c r="L461">
        <v>1.52</v>
      </c>
      <c r="M461">
        <v>13.6</v>
      </c>
      <c r="N461">
        <v>0.8</v>
      </c>
      <c r="O461" t="s">
        <v>169</v>
      </c>
      <c r="P461" s="379">
        <v>37354</v>
      </c>
      <c r="Q461" t="s">
        <v>57</v>
      </c>
      <c r="R461" t="s">
        <v>1088</v>
      </c>
      <c r="S461" t="s">
        <v>371</v>
      </c>
      <c r="T461" t="s">
        <v>608</v>
      </c>
      <c r="U461"/>
    </row>
    <row r="462" spans="1:21" x14ac:dyDescent="0.25">
      <c r="A462">
        <v>365981</v>
      </c>
      <c r="B462" t="s">
        <v>506</v>
      </c>
      <c r="C462">
        <v>9</v>
      </c>
      <c r="D462">
        <v>-4</v>
      </c>
      <c r="E462">
        <v>-1</v>
      </c>
      <c r="F462">
        <v>-2</v>
      </c>
      <c r="G462">
        <v>-10</v>
      </c>
      <c r="H462">
        <v>28</v>
      </c>
      <c r="I462">
        <v>75</v>
      </c>
      <c r="J462">
        <v>11.8</v>
      </c>
      <c r="K462">
        <v>0.63</v>
      </c>
      <c r="L462">
        <v>1.51</v>
      </c>
      <c r="M462">
        <v>12.5</v>
      </c>
      <c r="N462">
        <v>0.7</v>
      </c>
      <c r="O462" t="s">
        <v>349</v>
      </c>
      <c r="P462" s="379">
        <v>36789</v>
      </c>
      <c r="Q462" t="s">
        <v>57</v>
      </c>
      <c r="R462" t="s">
        <v>1040</v>
      </c>
      <c r="S462" t="s">
        <v>350</v>
      </c>
      <c r="T462" t="s">
        <v>167</v>
      </c>
      <c r="U462"/>
    </row>
    <row r="463" spans="1:21" x14ac:dyDescent="0.25">
      <c r="A463">
        <v>570044</v>
      </c>
      <c r="B463" t="s">
        <v>1306</v>
      </c>
      <c r="C463">
        <v>11</v>
      </c>
      <c r="D463">
        <v>-5</v>
      </c>
      <c r="E463">
        <v>-1</v>
      </c>
      <c r="F463">
        <v>7</v>
      </c>
      <c r="G463">
        <v>-2</v>
      </c>
      <c r="H463">
        <v>51</v>
      </c>
      <c r="I463">
        <v>70</v>
      </c>
      <c r="J463">
        <v>11.2</v>
      </c>
      <c r="K463">
        <v>0.63</v>
      </c>
      <c r="L463">
        <v>1.8</v>
      </c>
      <c r="M463">
        <v>11.9</v>
      </c>
      <c r="N463">
        <v>1.2</v>
      </c>
      <c r="O463" t="s">
        <v>169</v>
      </c>
      <c r="P463" s="379">
        <v>36790</v>
      </c>
      <c r="Q463" t="s">
        <v>57</v>
      </c>
      <c r="R463" t="s">
        <v>1129</v>
      </c>
      <c r="S463" t="s">
        <v>164</v>
      </c>
      <c r="T463" t="s">
        <v>229</v>
      </c>
      <c r="U463"/>
    </row>
    <row r="464" spans="1:21" x14ac:dyDescent="0.25">
      <c r="A464">
        <v>823500</v>
      </c>
      <c r="B464" t="s">
        <v>637</v>
      </c>
      <c r="C464">
        <v>17</v>
      </c>
      <c r="D464">
        <v>-5</v>
      </c>
      <c r="E464">
        <v>3</v>
      </c>
      <c r="F464">
        <v>11</v>
      </c>
      <c r="G464">
        <v>-5</v>
      </c>
      <c r="H464">
        <v>38</v>
      </c>
      <c r="I464">
        <v>70</v>
      </c>
      <c r="J464">
        <v>11.2</v>
      </c>
      <c r="K464">
        <v>0.63</v>
      </c>
      <c r="L464">
        <v>1.99</v>
      </c>
      <c r="M464">
        <v>13.9</v>
      </c>
      <c r="N464">
        <v>0.9</v>
      </c>
      <c r="O464" t="s">
        <v>261</v>
      </c>
      <c r="P464" s="379">
        <v>42445</v>
      </c>
      <c r="Q464" t="s">
        <v>57</v>
      </c>
      <c r="R464" t="s">
        <v>1431</v>
      </c>
      <c r="S464" t="s">
        <v>1273</v>
      </c>
      <c r="T464" t="s">
        <v>609</v>
      </c>
      <c r="U464"/>
    </row>
    <row r="465" spans="1:21" x14ac:dyDescent="0.25">
      <c r="A465">
        <v>116293</v>
      </c>
      <c r="B465" t="s">
        <v>373</v>
      </c>
      <c r="C465">
        <v>20</v>
      </c>
      <c r="D465">
        <v>-5</v>
      </c>
      <c r="E465">
        <v>3</v>
      </c>
      <c r="F465">
        <v>11</v>
      </c>
      <c r="G465">
        <v>-5</v>
      </c>
      <c r="H465">
        <v>33</v>
      </c>
      <c r="I465">
        <v>55</v>
      </c>
      <c r="J465">
        <v>9.1</v>
      </c>
      <c r="K465">
        <v>0.63</v>
      </c>
      <c r="L465">
        <v>1.99</v>
      </c>
      <c r="M465">
        <v>15</v>
      </c>
      <c r="N465">
        <v>0.7</v>
      </c>
      <c r="O465" t="s">
        <v>169</v>
      </c>
      <c r="P465" s="379">
        <v>38698</v>
      </c>
      <c r="Q465" t="s">
        <v>57</v>
      </c>
      <c r="R465" t="s">
        <v>977</v>
      </c>
      <c r="S465" t="s">
        <v>1273</v>
      </c>
      <c r="T465" t="s">
        <v>607</v>
      </c>
      <c r="U465"/>
    </row>
    <row r="466" spans="1:21" x14ac:dyDescent="0.25">
      <c r="A466">
        <v>473470</v>
      </c>
      <c r="B466" t="s">
        <v>509</v>
      </c>
      <c r="C466">
        <v>15</v>
      </c>
      <c r="D466">
        <v>-5</v>
      </c>
      <c r="E466">
        <v>2</v>
      </c>
      <c r="F466">
        <v>7</v>
      </c>
      <c r="G466">
        <v>-2</v>
      </c>
      <c r="H466">
        <v>22</v>
      </c>
      <c r="I466">
        <v>27</v>
      </c>
      <c r="J466">
        <v>4.8</v>
      </c>
      <c r="K466">
        <v>0.63</v>
      </c>
      <c r="L466">
        <v>1.51</v>
      </c>
      <c r="M466">
        <v>11.8</v>
      </c>
      <c r="N466">
        <v>0.6</v>
      </c>
      <c r="O466" t="s">
        <v>169</v>
      </c>
      <c r="P466" s="379">
        <v>36789</v>
      </c>
      <c r="Q466" t="s">
        <v>57</v>
      </c>
      <c r="R466" t="s">
        <v>938</v>
      </c>
      <c r="S466" t="s">
        <v>350</v>
      </c>
      <c r="T466" t="s">
        <v>178</v>
      </c>
      <c r="U466"/>
    </row>
    <row r="467" spans="1:21" x14ac:dyDescent="0.25">
      <c r="A467">
        <v>806091</v>
      </c>
      <c r="B467" t="s">
        <v>410</v>
      </c>
      <c r="C467">
        <v>14</v>
      </c>
      <c r="D467">
        <v>2</v>
      </c>
      <c r="E467">
        <v>-1</v>
      </c>
      <c r="F467">
        <v>10</v>
      </c>
      <c r="G467">
        <v>21</v>
      </c>
      <c r="H467">
        <v>67</v>
      </c>
      <c r="I467">
        <v>25</v>
      </c>
      <c r="J467">
        <v>4.5</v>
      </c>
      <c r="K467">
        <v>0.63</v>
      </c>
      <c r="L467">
        <v>1.99</v>
      </c>
      <c r="M467">
        <v>30.8</v>
      </c>
      <c r="N467">
        <v>0.7</v>
      </c>
      <c r="O467" t="s">
        <v>261</v>
      </c>
      <c r="P467" s="379">
        <v>39582</v>
      </c>
      <c r="Q467" t="s">
        <v>57</v>
      </c>
      <c r="R467" t="s">
        <v>1084</v>
      </c>
      <c r="S467" t="s">
        <v>1273</v>
      </c>
      <c r="T467" t="s">
        <v>229</v>
      </c>
      <c r="U467"/>
    </row>
    <row r="468" spans="1:21" x14ac:dyDescent="0.25">
      <c r="A468">
        <v>305243</v>
      </c>
      <c r="B468" t="s">
        <v>500</v>
      </c>
      <c r="C468">
        <v>20</v>
      </c>
      <c r="D468">
        <v>-6</v>
      </c>
      <c r="E468">
        <v>4</v>
      </c>
      <c r="F468">
        <v>14</v>
      </c>
      <c r="G468">
        <v>7</v>
      </c>
      <c r="H468">
        <v>64</v>
      </c>
      <c r="I468">
        <v>71</v>
      </c>
      <c r="J468">
        <v>11.3</v>
      </c>
      <c r="K468">
        <v>0.64</v>
      </c>
      <c r="L468">
        <v>1.74</v>
      </c>
      <c r="M468">
        <v>13.4</v>
      </c>
      <c r="N468">
        <v>1.3</v>
      </c>
      <c r="O468" t="s">
        <v>261</v>
      </c>
      <c r="P468" s="379">
        <v>36790</v>
      </c>
      <c r="Q468" t="s">
        <v>57</v>
      </c>
      <c r="R468" t="s">
        <v>878</v>
      </c>
      <c r="S468" t="s">
        <v>1330</v>
      </c>
      <c r="T468" t="s">
        <v>228</v>
      </c>
      <c r="U468"/>
    </row>
    <row r="469" spans="1:21" x14ac:dyDescent="0.25">
      <c r="A469">
        <v>484980</v>
      </c>
      <c r="B469" t="s">
        <v>376</v>
      </c>
      <c r="C469">
        <v>15</v>
      </c>
      <c r="D469">
        <v>-1</v>
      </c>
      <c r="E469">
        <v>5</v>
      </c>
      <c r="F469">
        <v>10</v>
      </c>
      <c r="G469">
        <v>4</v>
      </c>
      <c r="H469">
        <v>29</v>
      </c>
      <c r="I469">
        <v>66</v>
      </c>
      <c r="J469">
        <v>10.7</v>
      </c>
      <c r="K469">
        <v>0.64</v>
      </c>
      <c r="L469">
        <v>1.64</v>
      </c>
      <c r="M469">
        <v>10.4</v>
      </c>
      <c r="N469">
        <v>0.9</v>
      </c>
      <c r="O469" t="s">
        <v>135</v>
      </c>
      <c r="P469" s="379">
        <v>37538</v>
      </c>
      <c r="Q469" t="s">
        <v>136</v>
      </c>
      <c r="R469" t="s">
        <v>795</v>
      </c>
      <c r="S469" t="s">
        <v>157</v>
      </c>
      <c r="T469" t="s">
        <v>244</v>
      </c>
      <c r="U469"/>
    </row>
    <row r="470" spans="1:21" x14ac:dyDescent="0.25">
      <c r="A470">
        <v>320176</v>
      </c>
      <c r="B470" t="s">
        <v>375</v>
      </c>
      <c r="C470">
        <v>21</v>
      </c>
      <c r="D470">
        <v>3</v>
      </c>
      <c r="E470">
        <v>9</v>
      </c>
      <c r="F470">
        <v>21</v>
      </c>
      <c r="G470">
        <v>26</v>
      </c>
      <c r="H470">
        <v>60</v>
      </c>
      <c r="I470">
        <v>139</v>
      </c>
      <c r="J470">
        <v>19</v>
      </c>
      <c r="K470">
        <v>0.65</v>
      </c>
      <c r="L470">
        <v>1.8</v>
      </c>
      <c r="M470">
        <v>14</v>
      </c>
      <c r="N470">
        <v>1.2</v>
      </c>
      <c r="O470" t="s">
        <v>135</v>
      </c>
      <c r="P470" s="379">
        <v>40875</v>
      </c>
      <c r="Q470" t="s">
        <v>136</v>
      </c>
      <c r="R470" t="s">
        <v>1025</v>
      </c>
      <c r="S470" t="s">
        <v>188</v>
      </c>
      <c r="T470" t="s">
        <v>610</v>
      </c>
      <c r="U470"/>
    </row>
    <row r="471" spans="1:21" x14ac:dyDescent="0.25">
      <c r="A471">
        <v>174490</v>
      </c>
      <c r="B471" t="s">
        <v>1326</v>
      </c>
      <c r="C471">
        <v>6</v>
      </c>
      <c r="D471">
        <v>-3</v>
      </c>
      <c r="E471">
        <v>-2</v>
      </c>
      <c r="F471">
        <v>-3</v>
      </c>
      <c r="G471">
        <v>-11</v>
      </c>
      <c r="H471">
        <v>26</v>
      </c>
      <c r="I471">
        <v>67</v>
      </c>
      <c r="J471">
        <v>10.8</v>
      </c>
      <c r="K471">
        <v>0.65</v>
      </c>
      <c r="L471">
        <v>1.95</v>
      </c>
      <c r="M471">
        <v>12.6</v>
      </c>
      <c r="N471">
        <v>0.7</v>
      </c>
      <c r="O471" t="s">
        <v>349</v>
      </c>
      <c r="P471" s="379">
        <v>39918</v>
      </c>
      <c r="Q471" t="s">
        <v>57</v>
      </c>
      <c r="R471" t="s">
        <v>1043</v>
      </c>
      <c r="S471" t="s">
        <v>1268</v>
      </c>
      <c r="T471" t="s">
        <v>167</v>
      </c>
      <c r="U471"/>
    </row>
    <row r="472" spans="1:21" x14ac:dyDescent="0.25">
      <c r="A472">
        <v>614966</v>
      </c>
      <c r="B472" t="s">
        <v>1220</v>
      </c>
      <c r="C472">
        <v>24</v>
      </c>
      <c r="D472">
        <v>-11</v>
      </c>
      <c r="E472">
        <v>2</v>
      </c>
      <c r="F472">
        <v>13</v>
      </c>
      <c r="G472">
        <v>1</v>
      </c>
      <c r="H472">
        <v>92</v>
      </c>
      <c r="I472">
        <v>167</v>
      </c>
      <c r="J472">
        <v>21.7</v>
      </c>
      <c r="K472">
        <v>0.66</v>
      </c>
      <c r="L472">
        <v>2.1</v>
      </c>
      <c r="M472">
        <v>19.2</v>
      </c>
      <c r="N472">
        <v>1.3</v>
      </c>
      <c r="O472" t="s">
        <v>261</v>
      </c>
      <c r="P472" s="379">
        <v>36789</v>
      </c>
      <c r="Q472" t="s">
        <v>57</v>
      </c>
      <c r="R472" t="s">
        <v>698</v>
      </c>
      <c r="S472" t="s">
        <v>1273</v>
      </c>
      <c r="T472" t="s">
        <v>204</v>
      </c>
      <c r="U472"/>
    </row>
    <row r="473" spans="1:21" x14ac:dyDescent="0.25">
      <c r="A473">
        <v>626945</v>
      </c>
      <c r="B473" t="s">
        <v>385</v>
      </c>
      <c r="C473">
        <v>24</v>
      </c>
      <c r="D473">
        <v>-7</v>
      </c>
      <c r="E473">
        <v>5</v>
      </c>
      <c r="F473">
        <v>11</v>
      </c>
      <c r="G473">
        <v>15</v>
      </c>
      <c r="H473">
        <v>73</v>
      </c>
      <c r="I473">
        <v>134</v>
      </c>
      <c r="J473">
        <v>18.600000000000001</v>
      </c>
      <c r="K473">
        <v>0.66</v>
      </c>
      <c r="L473">
        <v>2.11</v>
      </c>
      <c r="M473">
        <v>15.7</v>
      </c>
      <c r="N473">
        <v>1.3</v>
      </c>
      <c r="O473" t="s">
        <v>261</v>
      </c>
      <c r="P473" s="379">
        <v>39582</v>
      </c>
      <c r="Q473" t="s">
        <v>57</v>
      </c>
      <c r="R473" t="s">
        <v>972</v>
      </c>
      <c r="S473" t="s">
        <v>1273</v>
      </c>
      <c r="T473" t="s">
        <v>608</v>
      </c>
      <c r="U473"/>
    </row>
    <row r="474" spans="1:21" x14ac:dyDescent="0.25">
      <c r="A474">
        <v>487108</v>
      </c>
      <c r="B474" t="s">
        <v>459</v>
      </c>
      <c r="C474">
        <v>14</v>
      </c>
      <c r="D474">
        <v>-2</v>
      </c>
      <c r="E474">
        <v>3</v>
      </c>
      <c r="F474">
        <v>12</v>
      </c>
      <c r="G474">
        <v>12</v>
      </c>
      <c r="H474">
        <v>67</v>
      </c>
      <c r="I474">
        <v>117</v>
      </c>
      <c r="J474">
        <v>16.8</v>
      </c>
      <c r="K474">
        <v>0.66</v>
      </c>
      <c r="L474">
        <v>1.6</v>
      </c>
      <c r="M474">
        <v>9</v>
      </c>
      <c r="N474">
        <v>2</v>
      </c>
      <c r="O474" t="s">
        <v>135</v>
      </c>
      <c r="P474" s="379">
        <v>41946</v>
      </c>
      <c r="Q474" t="s">
        <v>136</v>
      </c>
      <c r="R474" t="s">
        <v>760</v>
      </c>
      <c r="S474" t="s">
        <v>302</v>
      </c>
      <c r="T474" t="s">
        <v>590</v>
      </c>
      <c r="U474"/>
    </row>
    <row r="475" spans="1:21" x14ac:dyDescent="0.25">
      <c r="A475">
        <v>233585</v>
      </c>
      <c r="B475" t="s">
        <v>498</v>
      </c>
      <c r="C475">
        <v>21</v>
      </c>
      <c r="D475">
        <v>-12</v>
      </c>
      <c r="E475">
        <v>-3</v>
      </c>
      <c r="F475">
        <v>9</v>
      </c>
      <c r="G475">
        <v>-10</v>
      </c>
      <c r="H475">
        <v>63</v>
      </c>
      <c r="I475">
        <v>103</v>
      </c>
      <c r="J475">
        <v>15.2</v>
      </c>
      <c r="K475">
        <v>0.66</v>
      </c>
      <c r="L475">
        <v>1.79</v>
      </c>
      <c r="M475">
        <v>18.7</v>
      </c>
      <c r="N475">
        <v>1</v>
      </c>
      <c r="O475" t="s">
        <v>261</v>
      </c>
      <c r="P475" s="379">
        <v>36790</v>
      </c>
      <c r="Q475" t="s">
        <v>57</v>
      </c>
      <c r="R475" t="s">
        <v>721</v>
      </c>
      <c r="S475" t="s">
        <v>1330</v>
      </c>
      <c r="T475" t="s">
        <v>259</v>
      </c>
      <c r="U475"/>
    </row>
    <row r="476" spans="1:21" x14ac:dyDescent="0.25">
      <c r="A476">
        <v>364158</v>
      </c>
      <c r="B476" t="s">
        <v>119</v>
      </c>
      <c r="C476">
        <v>14</v>
      </c>
      <c r="D476">
        <v>-5</v>
      </c>
      <c r="E476">
        <v>-8</v>
      </c>
      <c r="F476">
        <v>-1</v>
      </c>
      <c r="G476">
        <v>1</v>
      </c>
      <c r="H476">
        <v>33</v>
      </c>
      <c r="I476">
        <v>91</v>
      </c>
      <c r="J476">
        <v>13.8</v>
      </c>
      <c r="K476">
        <v>0.66</v>
      </c>
      <c r="L476">
        <v>2.1</v>
      </c>
      <c r="M476">
        <v>22.5</v>
      </c>
      <c r="N476">
        <v>0.5</v>
      </c>
      <c r="O476" t="s">
        <v>261</v>
      </c>
      <c r="P476" s="379">
        <v>36789</v>
      </c>
      <c r="Q476" t="s">
        <v>57</v>
      </c>
      <c r="R476" t="s">
        <v>1126</v>
      </c>
      <c r="S476" t="s">
        <v>1273</v>
      </c>
      <c r="T476" t="s">
        <v>612</v>
      </c>
      <c r="U476"/>
    </row>
    <row r="477" spans="1:21" x14ac:dyDescent="0.25">
      <c r="A477">
        <v>579136</v>
      </c>
      <c r="B477" t="s">
        <v>384</v>
      </c>
      <c r="C477">
        <v>15</v>
      </c>
      <c r="D477">
        <v>-1</v>
      </c>
      <c r="E477">
        <v>1</v>
      </c>
      <c r="F477">
        <v>1</v>
      </c>
      <c r="G477">
        <v>12</v>
      </c>
      <c r="H477">
        <v>34</v>
      </c>
      <c r="I477">
        <v>90</v>
      </c>
      <c r="J477">
        <v>13.7</v>
      </c>
      <c r="K477">
        <v>0.66</v>
      </c>
      <c r="L477">
        <v>2.1</v>
      </c>
      <c r="M477">
        <v>14.1</v>
      </c>
      <c r="N477">
        <v>0.8</v>
      </c>
      <c r="O477" t="s">
        <v>261</v>
      </c>
      <c r="P477" s="379">
        <v>36789</v>
      </c>
      <c r="Q477" t="s">
        <v>57</v>
      </c>
      <c r="R477" t="s">
        <v>1137</v>
      </c>
      <c r="S477" t="s">
        <v>1273</v>
      </c>
      <c r="T477" t="s">
        <v>612</v>
      </c>
      <c r="U477"/>
    </row>
    <row r="478" spans="1:21" x14ac:dyDescent="0.25">
      <c r="A478">
        <v>275495</v>
      </c>
      <c r="B478" t="s">
        <v>499</v>
      </c>
      <c r="C478">
        <v>12</v>
      </c>
      <c r="D478">
        <v>-3</v>
      </c>
      <c r="E478">
        <v>2</v>
      </c>
      <c r="F478">
        <v>1</v>
      </c>
      <c r="G478">
        <v>-4</v>
      </c>
      <c r="H478">
        <v>38</v>
      </c>
      <c r="I478">
        <v>77</v>
      </c>
      <c r="J478">
        <v>12.1</v>
      </c>
      <c r="K478">
        <v>0.66</v>
      </c>
      <c r="L478">
        <v>1.81</v>
      </c>
      <c r="M478">
        <v>12.2</v>
      </c>
      <c r="N478">
        <v>1</v>
      </c>
      <c r="O478" t="s">
        <v>349</v>
      </c>
      <c r="P478" s="379">
        <v>36789</v>
      </c>
      <c r="Q478" t="s">
        <v>57</v>
      </c>
      <c r="R478" t="s">
        <v>1045</v>
      </c>
      <c r="S478" t="s">
        <v>1330</v>
      </c>
      <c r="T478" t="s">
        <v>167</v>
      </c>
      <c r="U478"/>
    </row>
    <row r="479" spans="1:21" x14ac:dyDescent="0.25">
      <c r="A479">
        <v>843698</v>
      </c>
      <c r="B479" t="s">
        <v>381</v>
      </c>
      <c r="C479">
        <v>18</v>
      </c>
      <c r="D479">
        <v>-7</v>
      </c>
      <c r="E479">
        <v>4</v>
      </c>
      <c r="F479">
        <v>15</v>
      </c>
      <c r="G479">
        <v>-1</v>
      </c>
      <c r="H479">
        <v>57</v>
      </c>
      <c r="I479">
        <v>74</v>
      </c>
      <c r="J479">
        <v>11.7</v>
      </c>
      <c r="K479">
        <v>0.66</v>
      </c>
      <c r="L479">
        <v>2.1</v>
      </c>
      <c r="M479">
        <v>15.3</v>
      </c>
      <c r="N479">
        <v>1.1000000000000001</v>
      </c>
      <c r="O479" t="s">
        <v>261</v>
      </c>
      <c r="P479" s="379">
        <v>40457</v>
      </c>
      <c r="Q479" t="s">
        <v>57</v>
      </c>
      <c r="R479" t="s">
        <v>1030</v>
      </c>
      <c r="S479" t="s">
        <v>1273</v>
      </c>
      <c r="T479" t="s">
        <v>609</v>
      </c>
      <c r="U479"/>
    </row>
    <row r="480" spans="1:21" x14ac:dyDescent="0.25">
      <c r="A480">
        <v>772509</v>
      </c>
      <c r="B480" t="s">
        <v>528</v>
      </c>
      <c r="C480">
        <v>20</v>
      </c>
      <c r="D480">
        <v>-6</v>
      </c>
      <c r="E480">
        <v>2</v>
      </c>
      <c r="F480">
        <v>7</v>
      </c>
      <c r="G480">
        <v>4</v>
      </c>
      <c r="H480">
        <v>50</v>
      </c>
      <c r="I480">
        <v>71</v>
      </c>
      <c r="J480">
        <v>11.3</v>
      </c>
      <c r="K480">
        <v>0.66</v>
      </c>
      <c r="L480">
        <v>2.12</v>
      </c>
      <c r="M480">
        <v>14.4</v>
      </c>
      <c r="N480">
        <v>1</v>
      </c>
      <c r="O480" t="s">
        <v>169</v>
      </c>
      <c r="P480" s="379">
        <v>42284</v>
      </c>
      <c r="Q480" t="s">
        <v>57</v>
      </c>
      <c r="R480" t="s">
        <v>1079</v>
      </c>
      <c r="S480" t="s">
        <v>1273</v>
      </c>
      <c r="T480" t="s">
        <v>154</v>
      </c>
      <c r="U480"/>
    </row>
    <row r="481" spans="1:21" x14ac:dyDescent="0.25">
      <c r="A481">
        <v>920439</v>
      </c>
      <c r="B481" t="s">
        <v>551</v>
      </c>
      <c r="C481">
        <v>9</v>
      </c>
      <c r="D481">
        <v>-5</v>
      </c>
      <c r="E481">
        <v>-1</v>
      </c>
      <c r="F481">
        <v>-2</v>
      </c>
      <c r="G481">
        <v>-7</v>
      </c>
      <c r="H481">
        <v>32</v>
      </c>
      <c r="I481">
        <v>68</v>
      </c>
      <c r="J481">
        <v>11</v>
      </c>
      <c r="K481">
        <v>0.66</v>
      </c>
      <c r="L481">
        <v>1.61</v>
      </c>
      <c r="M481">
        <v>13.6</v>
      </c>
      <c r="N481">
        <v>0.8</v>
      </c>
      <c r="O481" t="s">
        <v>349</v>
      </c>
      <c r="P481" s="379">
        <v>36790</v>
      </c>
      <c r="Q481" t="s">
        <v>57</v>
      </c>
      <c r="R481" t="s">
        <v>1044</v>
      </c>
      <c r="S481" t="s">
        <v>467</v>
      </c>
      <c r="T481" t="s">
        <v>167</v>
      </c>
      <c r="U481"/>
    </row>
    <row r="482" spans="1:21" x14ac:dyDescent="0.25">
      <c r="A482">
        <v>191080</v>
      </c>
      <c r="B482" t="s">
        <v>390</v>
      </c>
      <c r="C482">
        <v>15</v>
      </c>
      <c r="D482">
        <v>-7</v>
      </c>
      <c r="E482">
        <v>-1</v>
      </c>
      <c r="F482">
        <v>9</v>
      </c>
      <c r="G482">
        <v>-1</v>
      </c>
      <c r="H482">
        <v>55</v>
      </c>
      <c r="I482">
        <v>68</v>
      </c>
      <c r="J482">
        <v>10.9</v>
      </c>
      <c r="K482">
        <v>0.66</v>
      </c>
      <c r="L482">
        <v>1.95</v>
      </c>
      <c r="M482">
        <v>14</v>
      </c>
      <c r="N482">
        <v>1.1000000000000001</v>
      </c>
      <c r="O482" t="s">
        <v>261</v>
      </c>
      <c r="P482" s="379">
        <v>36789</v>
      </c>
      <c r="Q482" t="s">
        <v>57</v>
      </c>
      <c r="R482" t="s">
        <v>813</v>
      </c>
      <c r="S482" t="s">
        <v>1327</v>
      </c>
      <c r="T482" t="s">
        <v>228</v>
      </c>
      <c r="U482"/>
    </row>
    <row r="483" spans="1:21" x14ac:dyDescent="0.25">
      <c r="A483">
        <v>384511</v>
      </c>
      <c r="B483" t="s">
        <v>389</v>
      </c>
      <c r="C483">
        <v>17</v>
      </c>
      <c r="D483">
        <v>-3</v>
      </c>
      <c r="E483">
        <v>5</v>
      </c>
      <c r="F483">
        <v>11</v>
      </c>
      <c r="G483">
        <v>9</v>
      </c>
      <c r="H483">
        <v>25</v>
      </c>
      <c r="I483">
        <v>58</v>
      </c>
      <c r="J483">
        <v>9.6</v>
      </c>
      <c r="K483">
        <v>0.66</v>
      </c>
      <c r="L483">
        <v>2.13</v>
      </c>
      <c r="M483">
        <v>12.5</v>
      </c>
      <c r="N483">
        <v>0.7</v>
      </c>
      <c r="O483" t="s">
        <v>169</v>
      </c>
      <c r="P483" s="379">
        <v>41235</v>
      </c>
      <c r="Q483" t="s">
        <v>57</v>
      </c>
      <c r="R483" t="s">
        <v>988</v>
      </c>
      <c r="S483" t="s">
        <v>1273</v>
      </c>
      <c r="T483" t="s">
        <v>178</v>
      </c>
      <c r="U483"/>
    </row>
    <row r="484" spans="1:21" x14ac:dyDescent="0.25">
      <c r="A484">
        <v>558882</v>
      </c>
      <c r="B484" t="s">
        <v>556</v>
      </c>
      <c r="C484">
        <v>17</v>
      </c>
      <c r="D484">
        <v>1</v>
      </c>
      <c r="E484">
        <v>4</v>
      </c>
      <c r="F484">
        <v>9</v>
      </c>
      <c r="G484">
        <v>14</v>
      </c>
      <c r="H484">
        <v>22</v>
      </c>
      <c r="I484">
        <v>57</v>
      </c>
      <c r="J484">
        <v>9.4</v>
      </c>
      <c r="K484">
        <v>0.66</v>
      </c>
      <c r="L484">
        <v>1.6</v>
      </c>
      <c r="M484">
        <v>12.8</v>
      </c>
      <c r="N484">
        <v>0.6</v>
      </c>
      <c r="O484" t="s">
        <v>169</v>
      </c>
      <c r="P484" s="379">
        <v>40382</v>
      </c>
      <c r="Q484" t="s">
        <v>57</v>
      </c>
      <c r="R484" t="s">
        <v>1408</v>
      </c>
      <c r="S484" t="s">
        <v>467</v>
      </c>
      <c r="T484" t="s">
        <v>610</v>
      </c>
      <c r="U484"/>
    </row>
    <row r="485" spans="1:21" x14ac:dyDescent="0.25">
      <c r="A485">
        <v>553578</v>
      </c>
      <c r="B485" t="s">
        <v>491</v>
      </c>
      <c r="C485">
        <v>16</v>
      </c>
      <c r="D485">
        <v>-7</v>
      </c>
      <c r="E485">
        <v>1</v>
      </c>
      <c r="F485">
        <v>9</v>
      </c>
      <c r="G485">
        <v>3</v>
      </c>
      <c r="H485">
        <v>34</v>
      </c>
      <c r="I485">
        <v>51</v>
      </c>
      <c r="J485">
        <v>8.6</v>
      </c>
      <c r="K485">
        <v>0.66</v>
      </c>
      <c r="L485">
        <v>2.0699999999999998</v>
      </c>
      <c r="M485">
        <v>12.7</v>
      </c>
      <c r="N485">
        <v>0.9</v>
      </c>
      <c r="O485" t="s">
        <v>261</v>
      </c>
      <c r="P485" s="379">
        <v>37994</v>
      </c>
      <c r="Q485" t="s">
        <v>57</v>
      </c>
      <c r="R485" t="s">
        <v>955</v>
      </c>
      <c r="S485" t="s">
        <v>369</v>
      </c>
      <c r="T485" t="s">
        <v>606</v>
      </c>
      <c r="U485"/>
    </row>
    <row r="486" spans="1:21" x14ac:dyDescent="0.25">
      <c r="A486">
        <v>324665</v>
      </c>
      <c r="B486" t="s">
        <v>374</v>
      </c>
      <c r="C486">
        <v>11</v>
      </c>
      <c r="D486">
        <v>-6</v>
      </c>
      <c r="E486">
        <v>-1</v>
      </c>
      <c r="F486">
        <v>7</v>
      </c>
      <c r="G486">
        <v>-3</v>
      </c>
      <c r="H486">
        <v>31</v>
      </c>
      <c r="I486">
        <v>51</v>
      </c>
      <c r="J486">
        <v>8.6</v>
      </c>
      <c r="K486">
        <v>0.66</v>
      </c>
      <c r="L486">
        <v>1.62</v>
      </c>
      <c r="M486">
        <v>12.2</v>
      </c>
      <c r="N486">
        <v>0.8</v>
      </c>
      <c r="O486" t="s">
        <v>169</v>
      </c>
      <c r="P486" s="379">
        <v>37354</v>
      </c>
      <c r="Q486" t="s">
        <v>57</v>
      </c>
      <c r="R486" t="s">
        <v>861</v>
      </c>
      <c r="S486" t="s">
        <v>371</v>
      </c>
      <c r="T486" t="s">
        <v>229</v>
      </c>
      <c r="U486"/>
    </row>
    <row r="487" spans="1:21" x14ac:dyDescent="0.25">
      <c r="A487">
        <v>899773</v>
      </c>
      <c r="B487" t="s">
        <v>1209</v>
      </c>
      <c r="C487">
        <v>17</v>
      </c>
      <c r="D487">
        <v>-5</v>
      </c>
      <c r="E487">
        <v>2</v>
      </c>
      <c r="F487">
        <v>10</v>
      </c>
      <c r="G487">
        <v>3</v>
      </c>
      <c r="H487">
        <v>32</v>
      </c>
      <c r="I487">
        <v>48</v>
      </c>
      <c r="J487">
        <v>8.1999999999999993</v>
      </c>
      <c r="K487">
        <v>0.66</v>
      </c>
      <c r="L487">
        <v>1.6</v>
      </c>
      <c r="M487">
        <v>12.3</v>
      </c>
      <c r="N487">
        <v>0.8</v>
      </c>
      <c r="O487" t="s">
        <v>169</v>
      </c>
      <c r="P487" s="379">
        <v>37004</v>
      </c>
      <c r="Q487" t="s">
        <v>57</v>
      </c>
      <c r="R487" t="s">
        <v>835</v>
      </c>
      <c r="S487" t="s">
        <v>467</v>
      </c>
      <c r="T487" t="s">
        <v>178</v>
      </c>
      <c r="U487"/>
    </row>
    <row r="488" spans="1:21" x14ac:dyDescent="0.25">
      <c r="A488">
        <v>807867</v>
      </c>
      <c r="B488" t="s">
        <v>378</v>
      </c>
      <c r="C488">
        <v>13</v>
      </c>
      <c r="D488">
        <v>-6</v>
      </c>
      <c r="E488">
        <v>1</v>
      </c>
      <c r="F488">
        <v>8</v>
      </c>
      <c r="G488">
        <v>-2</v>
      </c>
      <c r="H488">
        <v>36</v>
      </c>
      <c r="I488">
        <v>46</v>
      </c>
      <c r="J488">
        <v>7.9</v>
      </c>
      <c r="K488">
        <v>0.66</v>
      </c>
      <c r="L488">
        <v>2.11</v>
      </c>
      <c r="M488">
        <v>13.4</v>
      </c>
      <c r="N488">
        <v>0.9</v>
      </c>
      <c r="O488" t="s">
        <v>261</v>
      </c>
      <c r="P488" s="379">
        <v>40457</v>
      </c>
      <c r="Q488" t="s">
        <v>57</v>
      </c>
      <c r="R488" t="s">
        <v>1426</v>
      </c>
      <c r="S488" t="s">
        <v>1273</v>
      </c>
      <c r="T488" t="s">
        <v>228</v>
      </c>
      <c r="U488"/>
    </row>
    <row r="489" spans="1:21" x14ac:dyDescent="0.25">
      <c r="A489">
        <v>834788</v>
      </c>
      <c r="B489" t="s">
        <v>583</v>
      </c>
      <c r="C489">
        <v>25</v>
      </c>
      <c r="D489">
        <v>0</v>
      </c>
      <c r="E489">
        <v>9</v>
      </c>
      <c r="F489">
        <v>17</v>
      </c>
      <c r="G489">
        <v>15</v>
      </c>
      <c r="H489">
        <v>77</v>
      </c>
      <c r="I489">
        <v>40</v>
      </c>
      <c r="J489">
        <v>6.9</v>
      </c>
      <c r="K489">
        <v>0.66</v>
      </c>
      <c r="L489">
        <v>2.5</v>
      </c>
      <c r="M489">
        <v>16.2</v>
      </c>
      <c r="N489">
        <v>1.3</v>
      </c>
      <c r="O489" t="s">
        <v>135</v>
      </c>
      <c r="P489" s="379">
        <v>37501</v>
      </c>
      <c r="Q489" t="s">
        <v>136</v>
      </c>
      <c r="R489" t="s">
        <v>741</v>
      </c>
      <c r="S489" t="s">
        <v>1279</v>
      </c>
      <c r="T489" t="s">
        <v>277</v>
      </c>
      <c r="U489"/>
    </row>
    <row r="490" spans="1:21" x14ac:dyDescent="0.25">
      <c r="A490">
        <v>848770</v>
      </c>
      <c r="B490" t="s">
        <v>1208</v>
      </c>
      <c r="C490">
        <v>15</v>
      </c>
      <c r="D490">
        <v>-5</v>
      </c>
      <c r="E490">
        <v>2</v>
      </c>
      <c r="F490">
        <v>7</v>
      </c>
      <c r="G490">
        <v>-2</v>
      </c>
      <c r="H490">
        <v>28</v>
      </c>
      <c r="I490">
        <v>38</v>
      </c>
      <c r="J490">
        <v>6.7</v>
      </c>
      <c r="K490">
        <v>0.66</v>
      </c>
      <c r="L490">
        <v>1.6</v>
      </c>
      <c r="M490">
        <v>13.5</v>
      </c>
      <c r="N490">
        <v>0.7</v>
      </c>
      <c r="O490" t="s">
        <v>169</v>
      </c>
      <c r="P490" s="379">
        <v>36790</v>
      </c>
      <c r="Q490" t="s">
        <v>57</v>
      </c>
      <c r="R490" t="s">
        <v>875</v>
      </c>
      <c r="S490" t="s">
        <v>467</v>
      </c>
      <c r="T490" t="s">
        <v>178</v>
      </c>
      <c r="U490"/>
    </row>
    <row r="491" spans="1:21" x14ac:dyDescent="0.25">
      <c r="A491">
        <v>983593</v>
      </c>
      <c r="B491" t="s">
        <v>388</v>
      </c>
      <c r="C491">
        <v>18</v>
      </c>
      <c r="D491">
        <v>-2</v>
      </c>
      <c r="E491">
        <v>4</v>
      </c>
      <c r="F491">
        <v>12</v>
      </c>
      <c r="G491">
        <v>11</v>
      </c>
      <c r="H491">
        <v>48</v>
      </c>
      <c r="I491">
        <v>33</v>
      </c>
      <c r="J491">
        <v>5.9</v>
      </c>
      <c r="K491">
        <v>0.66</v>
      </c>
      <c r="L491">
        <v>1.95</v>
      </c>
      <c r="M491">
        <v>12.7</v>
      </c>
      <c r="N491">
        <v>1.1000000000000001</v>
      </c>
      <c r="O491" t="s">
        <v>261</v>
      </c>
      <c r="P491" s="379">
        <v>36790</v>
      </c>
      <c r="Q491" t="s">
        <v>57</v>
      </c>
      <c r="R491" t="s">
        <v>812</v>
      </c>
      <c r="S491" t="s">
        <v>1327</v>
      </c>
      <c r="T491" t="s">
        <v>247</v>
      </c>
      <c r="U491"/>
    </row>
    <row r="492" spans="1:21" x14ac:dyDescent="0.25">
      <c r="A492">
        <v>661066</v>
      </c>
      <c r="B492" t="s">
        <v>489</v>
      </c>
      <c r="C492">
        <v>12</v>
      </c>
      <c r="D492">
        <v>-1</v>
      </c>
      <c r="E492">
        <v>-2</v>
      </c>
      <c r="F492">
        <v>10</v>
      </c>
      <c r="G492">
        <v>19</v>
      </c>
      <c r="H492">
        <v>59</v>
      </c>
      <c r="I492">
        <v>33</v>
      </c>
      <c r="J492">
        <v>5.9</v>
      </c>
      <c r="K492">
        <v>0.66</v>
      </c>
      <c r="L492">
        <v>2.08</v>
      </c>
      <c r="M492">
        <v>20.8</v>
      </c>
      <c r="N492">
        <v>0.9</v>
      </c>
      <c r="O492" t="s">
        <v>261</v>
      </c>
      <c r="P492" s="379">
        <v>37994</v>
      </c>
      <c r="Q492" t="s">
        <v>57</v>
      </c>
      <c r="R492" t="s">
        <v>954</v>
      </c>
      <c r="S492" t="s">
        <v>369</v>
      </c>
      <c r="T492" t="s">
        <v>272</v>
      </c>
      <c r="U492"/>
    </row>
    <row r="493" spans="1:21" x14ac:dyDescent="0.25">
      <c r="A493">
        <v>552984</v>
      </c>
      <c r="B493" t="s">
        <v>1256</v>
      </c>
      <c r="C493">
        <v>7</v>
      </c>
      <c r="D493">
        <v>-4</v>
      </c>
      <c r="E493">
        <v>1</v>
      </c>
      <c r="F493">
        <v>3</v>
      </c>
      <c r="G493">
        <v>-6</v>
      </c>
      <c r="H493">
        <v>34</v>
      </c>
      <c r="I493">
        <v>33</v>
      </c>
      <c r="J493">
        <v>5.9</v>
      </c>
      <c r="K493">
        <v>0.66</v>
      </c>
      <c r="L493">
        <v>2.8</v>
      </c>
      <c r="M493">
        <v>10.6</v>
      </c>
      <c r="N493">
        <v>1</v>
      </c>
      <c r="O493" t="s">
        <v>135</v>
      </c>
      <c r="P493" s="379">
        <v>37712</v>
      </c>
      <c r="Q493" t="s">
        <v>136</v>
      </c>
      <c r="R493" t="s">
        <v>1407</v>
      </c>
      <c r="S493" t="s">
        <v>1279</v>
      </c>
      <c r="T493" t="s">
        <v>247</v>
      </c>
      <c r="U493"/>
    </row>
    <row r="494" spans="1:21" x14ac:dyDescent="0.25">
      <c r="A494">
        <v>338590</v>
      </c>
      <c r="B494" t="s">
        <v>492</v>
      </c>
      <c r="C494">
        <v>9</v>
      </c>
      <c r="D494">
        <v>3</v>
      </c>
      <c r="E494">
        <v>1</v>
      </c>
      <c r="F494">
        <v>20</v>
      </c>
      <c r="G494">
        <v>4</v>
      </c>
      <c r="H494">
        <v>-3</v>
      </c>
      <c r="I494">
        <v>27</v>
      </c>
      <c r="J494">
        <v>5</v>
      </c>
      <c r="K494">
        <v>0.66</v>
      </c>
      <c r="L494">
        <v>2.0699999999999998</v>
      </c>
      <c r="M494">
        <v>24.3</v>
      </c>
      <c r="N494">
        <v>0.1</v>
      </c>
      <c r="O494" t="s">
        <v>261</v>
      </c>
      <c r="P494" s="379">
        <v>37994</v>
      </c>
      <c r="Q494" t="s">
        <v>57</v>
      </c>
      <c r="R494" t="s">
        <v>960</v>
      </c>
      <c r="S494" t="s">
        <v>369</v>
      </c>
      <c r="T494" t="s">
        <v>606</v>
      </c>
      <c r="U494"/>
    </row>
    <row r="495" spans="1:21" x14ac:dyDescent="0.25">
      <c r="A495">
        <v>442483</v>
      </c>
      <c r="B495" t="s">
        <v>579</v>
      </c>
      <c r="C495">
        <v>20</v>
      </c>
      <c r="D495">
        <v>-1</v>
      </c>
      <c r="E495">
        <v>5</v>
      </c>
      <c r="F495">
        <v>11</v>
      </c>
      <c r="G495">
        <v>4</v>
      </c>
      <c r="H495">
        <v>42</v>
      </c>
      <c r="I495">
        <v>25</v>
      </c>
      <c r="J495">
        <v>4.5999999999999996</v>
      </c>
      <c r="K495">
        <v>0.66</v>
      </c>
      <c r="L495">
        <v>2.54</v>
      </c>
      <c r="M495">
        <v>13.5</v>
      </c>
      <c r="N495">
        <v>1</v>
      </c>
      <c r="O495" t="s">
        <v>135</v>
      </c>
      <c r="P495" s="379">
        <v>37263</v>
      </c>
      <c r="Q495" t="s">
        <v>136</v>
      </c>
      <c r="R495" t="s">
        <v>752</v>
      </c>
      <c r="S495" t="s">
        <v>1279</v>
      </c>
      <c r="T495" t="s">
        <v>247</v>
      </c>
      <c r="U495"/>
    </row>
    <row r="496" spans="1:21" x14ac:dyDescent="0.25">
      <c r="A496">
        <v>673699</v>
      </c>
      <c r="B496" t="s">
        <v>575</v>
      </c>
      <c r="C496">
        <v>8</v>
      </c>
      <c r="D496">
        <v>-8</v>
      </c>
      <c r="E496">
        <v>-9</v>
      </c>
      <c r="F496">
        <v>0</v>
      </c>
      <c r="G496">
        <v>-25</v>
      </c>
      <c r="H496">
        <v>-3</v>
      </c>
      <c r="I496">
        <v>20</v>
      </c>
      <c r="J496">
        <v>3.8</v>
      </c>
      <c r="K496">
        <v>0.66</v>
      </c>
      <c r="L496">
        <v>2.33</v>
      </c>
      <c r="M496">
        <v>18.600000000000001</v>
      </c>
      <c r="N496">
        <v>0.1</v>
      </c>
      <c r="O496" t="s">
        <v>135</v>
      </c>
      <c r="P496" s="379">
        <v>41535</v>
      </c>
      <c r="Q496" t="s">
        <v>57</v>
      </c>
      <c r="R496" t="s">
        <v>1417</v>
      </c>
      <c r="S496" t="s">
        <v>1279</v>
      </c>
      <c r="T496" t="s">
        <v>259</v>
      </c>
      <c r="U496"/>
    </row>
    <row r="497" spans="1:21" x14ac:dyDescent="0.25">
      <c r="A497">
        <v>872382</v>
      </c>
      <c r="B497" t="s">
        <v>581</v>
      </c>
      <c r="C497">
        <v>13</v>
      </c>
      <c r="D497">
        <v>1</v>
      </c>
      <c r="E497">
        <v>5</v>
      </c>
      <c r="F497">
        <v>5</v>
      </c>
      <c r="G497">
        <v>-3</v>
      </c>
      <c r="H497">
        <v>18</v>
      </c>
      <c r="I497">
        <v>17</v>
      </c>
      <c r="J497">
        <v>3.2</v>
      </c>
      <c r="K497">
        <v>0.66</v>
      </c>
      <c r="L497">
        <v>2.58</v>
      </c>
      <c r="M497">
        <v>13.3</v>
      </c>
      <c r="N497">
        <v>0.5</v>
      </c>
      <c r="O497" t="s">
        <v>135</v>
      </c>
      <c r="P497" s="379">
        <v>38261</v>
      </c>
      <c r="Q497" t="s">
        <v>136</v>
      </c>
      <c r="R497" t="s">
        <v>747</v>
      </c>
      <c r="S497" t="s">
        <v>1279</v>
      </c>
      <c r="T497" t="s">
        <v>247</v>
      </c>
      <c r="U497"/>
    </row>
    <row r="498" spans="1:21" x14ac:dyDescent="0.25">
      <c r="A498">
        <v>262741</v>
      </c>
      <c r="B498" t="s">
        <v>387</v>
      </c>
      <c r="C498">
        <v>12</v>
      </c>
      <c r="D498">
        <v>-9</v>
      </c>
      <c r="E498">
        <v>-4</v>
      </c>
      <c r="F498">
        <v>2</v>
      </c>
      <c r="G498">
        <v>-11</v>
      </c>
      <c r="H498">
        <v>21</v>
      </c>
      <c r="I498">
        <v>12</v>
      </c>
      <c r="J498">
        <v>2.2999999999999998</v>
      </c>
      <c r="K498">
        <v>0.66</v>
      </c>
      <c r="L498">
        <v>1.95</v>
      </c>
      <c r="M498">
        <v>15.3</v>
      </c>
      <c r="N498">
        <v>0.5</v>
      </c>
      <c r="O498" t="s">
        <v>261</v>
      </c>
      <c r="P498" s="379">
        <v>36789</v>
      </c>
      <c r="Q498" t="s">
        <v>57</v>
      </c>
      <c r="R498" t="s">
        <v>1011</v>
      </c>
      <c r="S498" t="s">
        <v>1327</v>
      </c>
      <c r="T498" t="s">
        <v>606</v>
      </c>
      <c r="U498"/>
    </row>
    <row r="499" spans="1:21" x14ac:dyDescent="0.25">
      <c r="A499">
        <v>481911</v>
      </c>
      <c r="B499" t="s">
        <v>493</v>
      </c>
      <c r="C499">
        <v>9</v>
      </c>
      <c r="D499">
        <v>-6</v>
      </c>
      <c r="E499">
        <v>-5</v>
      </c>
      <c r="F499">
        <v>10</v>
      </c>
      <c r="G499">
        <v>-8</v>
      </c>
      <c r="H499">
        <v>56</v>
      </c>
      <c r="I499">
        <v>11</v>
      </c>
      <c r="J499">
        <v>2.1</v>
      </c>
      <c r="K499">
        <v>0.66</v>
      </c>
      <c r="L499">
        <v>2.0699999999999998</v>
      </c>
      <c r="M499">
        <v>19.600000000000001</v>
      </c>
      <c r="N499">
        <v>0.9</v>
      </c>
      <c r="O499" t="s">
        <v>261</v>
      </c>
      <c r="P499" s="379">
        <v>37994</v>
      </c>
      <c r="Q499" t="s">
        <v>57</v>
      </c>
      <c r="R499" t="s">
        <v>1017</v>
      </c>
      <c r="S499" t="s">
        <v>369</v>
      </c>
      <c r="T499" t="s">
        <v>606</v>
      </c>
      <c r="U499"/>
    </row>
    <row r="500" spans="1:21" x14ac:dyDescent="0.25">
      <c r="A500">
        <v>517748</v>
      </c>
      <c r="B500" t="s">
        <v>490</v>
      </c>
      <c r="C500">
        <v>12</v>
      </c>
      <c r="D500">
        <v>-9</v>
      </c>
      <c r="E500">
        <v>-3</v>
      </c>
      <c r="F500">
        <v>1</v>
      </c>
      <c r="G500">
        <v>-14</v>
      </c>
      <c r="H500">
        <v>9</v>
      </c>
      <c r="I500">
        <v>-14</v>
      </c>
      <c r="J500">
        <v>-3.1</v>
      </c>
      <c r="K500">
        <v>0.66</v>
      </c>
      <c r="L500">
        <v>2.0699999999999998</v>
      </c>
      <c r="M500">
        <v>20.7</v>
      </c>
      <c r="N500">
        <v>0.3</v>
      </c>
      <c r="O500" t="s">
        <v>261</v>
      </c>
      <c r="P500" s="379">
        <v>37994</v>
      </c>
      <c r="Q500" t="s">
        <v>57</v>
      </c>
      <c r="R500" t="s">
        <v>1018</v>
      </c>
      <c r="S500" t="s">
        <v>369</v>
      </c>
      <c r="T500" t="s">
        <v>606</v>
      </c>
      <c r="U500"/>
    </row>
    <row r="501" spans="1:21" x14ac:dyDescent="0.25">
      <c r="A501">
        <v>870907</v>
      </c>
      <c r="B501" t="s">
        <v>576</v>
      </c>
      <c r="C501">
        <v>16</v>
      </c>
      <c r="D501">
        <v>1</v>
      </c>
      <c r="E501">
        <v>6</v>
      </c>
      <c r="F501">
        <v>11</v>
      </c>
      <c r="G501">
        <v>0</v>
      </c>
      <c r="H501">
        <v>35</v>
      </c>
      <c r="I501"/>
      <c r="J501"/>
      <c r="K501">
        <v>0.66</v>
      </c>
      <c r="L501">
        <v>2.73</v>
      </c>
      <c r="M501">
        <v>9.8000000000000007</v>
      </c>
      <c r="N501">
        <v>1.1000000000000001</v>
      </c>
      <c r="O501" t="s">
        <v>135</v>
      </c>
      <c r="P501" s="379">
        <v>42038</v>
      </c>
      <c r="Q501" t="s">
        <v>57</v>
      </c>
      <c r="R501" t="s">
        <v>1096</v>
      </c>
      <c r="S501" t="s">
        <v>1279</v>
      </c>
      <c r="T501" t="s">
        <v>228</v>
      </c>
      <c r="U501"/>
    </row>
    <row r="502" spans="1:21" x14ac:dyDescent="0.25">
      <c r="A502">
        <v>589101</v>
      </c>
      <c r="B502" t="s">
        <v>526</v>
      </c>
      <c r="C502">
        <v>25</v>
      </c>
      <c r="D502">
        <v>2</v>
      </c>
      <c r="E502">
        <v>14</v>
      </c>
      <c r="F502">
        <v>17</v>
      </c>
      <c r="G502">
        <v>10</v>
      </c>
      <c r="H502">
        <v>44</v>
      </c>
      <c r="I502"/>
      <c r="J502"/>
      <c r="K502">
        <v>0.66</v>
      </c>
      <c r="L502">
        <v>1.61</v>
      </c>
      <c r="M502">
        <v>13.2</v>
      </c>
      <c r="N502">
        <v>1</v>
      </c>
      <c r="O502" t="s">
        <v>135</v>
      </c>
      <c r="P502" s="379">
        <v>42265</v>
      </c>
      <c r="Q502" t="s">
        <v>136</v>
      </c>
      <c r="R502" t="s">
        <v>1409</v>
      </c>
      <c r="S502" t="s">
        <v>193</v>
      </c>
      <c r="T502" t="s">
        <v>208</v>
      </c>
      <c r="U502"/>
    </row>
    <row r="503" spans="1:21" x14ac:dyDescent="0.25">
      <c r="A503">
        <v>167643</v>
      </c>
      <c r="B503" t="s">
        <v>542</v>
      </c>
      <c r="C503">
        <v>16</v>
      </c>
      <c r="D503">
        <v>-7</v>
      </c>
      <c r="E503">
        <v>2</v>
      </c>
      <c r="F503">
        <v>3</v>
      </c>
      <c r="G503">
        <v>-3</v>
      </c>
      <c r="H503">
        <v>30</v>
      </c>
      <c r="I503"/>
      <c r="J503"/>
      <c r="K503">
        <v>0.66</v>
      </c>
      <c r="L503">
        <v>1.6</v>
      </c>
      <c r="M503">
        <v>14.7</v>
      </c>
      <c r="N503">
        <v>0.7</v>
      </c>
      <c r="O503" t="s">
        <v>135</v>
      </c>
      <c r="P503" s="379">
        <v>42352</v>
      </c>
      <c r="Q503" t="s">
        <v>57</v>
      </c>
      <c r="R503" t="s">
        <v>695</v>
      </c>
      <c r="S503" t="s">
        <v>547</v>
      </c>
      <c r="T503" t="s">
        <v>154</v>
      </c>
      <c r="U503"/>
    </row>
    <row r="504" spans="1:21" x14ac:dyDescent="0.25">
      <c r="A504">
        <v>488932</v>
      </c>
      <c r="B504" t="s">
        <v>383</v>
      </c>
      <c r="C504">
        <v>19</v>
      </c>
      <c r="D504">
        <v>-5</v>
      </c>
      <c r="E504">
        <v>3</v>
      </c>
      <c r="F504">
        <v>7</v>
      </c>
      <c r="G504">
        <v>7</v>
      </c>
      <c r="H504">
        <v>56</v>
      </c>
      <c r="I504"/>
      <c r="J504"/>
      <c r="K504">
        <v>0.66</v>
      </c>
      <c r="L504">
        <v>2.1</v>
      </c>
      <c r="M504">
        <v>13.2</v>
      </c>
      <c r="N504">
        <v>1.2</v>
      </c>
      <c r="O504" t="s">
        <v>261</v>
      </c>
      <c r="P504" s="379">
        <v>41823</v>
      </c>
      <c r="Q504" t="s">
        <v>57</v>
      </c>
      <c r="R504" t="s">
        <v>811</v>
      </c>
      <c r="S504" t="s">
        <v>1273</v>
      </c>
      <c r="T504" t="s">
        <v>154</v>
      </c>
      <c r="U504"/>
    </row>
    <row r="505" spans="1:21" x14ac:dyDescent="0.25">
      <c r="A505">
        <v>388702</v>
      </c>
      <c r="B505" t="s">
        <v>618</v>
      </c>
      <c r="C505">
        <v>15</v>
      </c>
      <c r="D505">
        <v>-9</v>
      </c>
      <c r="E505">
        <v>-6</v>
      </c>
      <c r="F505">
        <v>-1</v>
      </c>
      <c r="G505">
        <v>-6</v>
      </c>
      <c r="H505">
        <v>30</v>
      </c>
      <c r="I505">
        <v>59</v>
      </c>
      <c r="J505">
        <v>9.6999999999999993</v>
      </c>
      <c r="K505">
        <v>0.67</v>
      </c>
      <c r="L505">
        <v>1.64</v>
      </c>
      <c r="M505">
        <v>19.5</v>
      </c>
      <c r="N505">
        <v>0.6</v>
      </c>
      <c r="O505" t="s">
        <v>261</v>
      </c>
      <c r="P505" s="379">
        <v>42194</v>
      </c>
      <c r="Q505" t="s">
        <v>57</v>
      </c>
      <c r="R505" t="s">
        <v>1122</v>
      </c>
      <c r="S505" t="s">
        <v>350</v>
      </c>
      <c r="T505" t="s">
        <v>608</v>
      </c>
      <c r="U505"/>
    </row>
    <row r="506" spans="1:21" x14ac:dyDescent="0.25">
      <c r="A506">
        <v>317040</v>
      </c>
      <c r="B506" t="s">
        <v>517</v>
      </c>
      <c r="C506">
        <v>15</v>
      </c>
      <c r="D506">
        <v>-7</v>
      </c>
      <c r="E506">
        <v>-3</v>
      </c>
      <c r="F506">
        <v>2</v>
      </c>
      <c r="G506">
        <v>-7</v>
      </c>
      <c r="H506">
        <v>25</v>
      </c>
      <c r="I506">
        <v>56</v>
      </c>
      <c r="J506">
        <v>9.3000000000000007</v>
      </c>
      <c r="K506">
        <v>0.67</v>
      </c>
      <c r="L506">
        <v>1.63</v>
      </c>
      <c r="M506">
        <v>14.9</v>
      </c>
      <c r="N506">
        <v>0.6</v>
      </c>
      <c r="O506" t="s">
        <v>261</v>
      </c>
      <c r="P506" s="379">
        <v>42194</v>
      </c>
      <c r="Q506" t="s">
        <v>57</v>
      </c>
      <c r="R506" t="s">
        <v>673</v>
      </c>
      <c r="S506" t="s">
        <v>350</v>
      </c>
      <c r="T506" t="s">
        <v>154</v>
      </c>
      <c r="U506"/>
    </row>
    <row r="507" spans="1:21" x14ac:dyDescent="0.25">
      <c r="A507">
        <v>819029</v>
      </c>
      <c r="B507" t="s">
        <v>1429</v>
      </c>
      <c r="C507">
        <v>11</v>
      </c>
      <c r="D507">
        <v>-8</v>
      </c>
      <c r="E507">
        <v>-1</v>
      </c>
      <c r="F507">
        <v>6</v>
      </c>
      <c r="G507">
        <v>-6</v>
      </c>
      <c r="H507">
        <v>43</v>
      </c>
      <c r="I507">
        <v>43</v>
      </c>
      <c r="J507">
        <v>7.5</v>
      </c>
      <c r="K507">
        <v>0.67</v>
      </c>
      <c r="L507">
        <v>2.02</v>
      </c>
      <c r="M507">
        <v>13.3</v>
      </c>
      <c r="N507">
        <v>1</v>
      </c>
      <c r="O507" t="s">
        <v>135</v>
      </c>
      <c r="P507" s="379">
        <v>36790</v>
      </c>
      <c r="Q507" t="s">
        <v>57</v>
      </c>
      <c r="R507" t="s">
        <v>1430</v>
      </c>
      <c r="S507" t="s">
        <v>1282</v>
      </c>
      <c r="T507" t="s">
        <v>228</v>
      </c>
      <c r="U507"/>
    </row>
    <row r="508" spans="1:21" x14ac:dyDescent="0.25">
      <c r="A508">
        <v>362327</v>
      </c>
      <c r="B508" t="s">
        <v>361</v>
      </c>
      <c r="C508">
        <v>13</v>
      </c>
      <c r="D508">
        <v>-6</v>
      </c>
      <c r="E508">
        <v>3</v>
      </c>
      <c r="F508">
        <v>9</v>
      </c>
      <c r="G508">
        <v>-10</v>
      </c>
      <c r="H508">
        <v>44</v>
      </c>
      <c r="I508">
        <v>71</v>
      </c>
      <c r="J508">
        <v>11.3</v>
      </c>
      <c r="K508">
        <v>0.68</v>
      </c>
      <c r="L508">
        <v>2.08</v>
      </c>
      <c r="M508">
        <v>16.7</v>
      </c>
      <c r="N508">
        <v>0.8</v>
      </c>
      <c r="O508" t="s">
        <v>135</v>
      </c>
      <c r="P508" s="379">
        <v>37004</v>
      </c>
      <c r="Q508" t="s">
        <v>57</v>
      </c>
      <c r="R508" t="s">
        <v>1007</v>
      </c>
      <c r="S508" t="s">
        <v>1282</v>
      </c>
      <c r="T508" t="s">
        <v>609</v>
      </c>
      <c r="U508"/>
    </row>
    <row r="509" spans="1:21" x14ac:dyDescent="0.25">
      <c r="A509">
        <v>161687</v>
      </c>
      <c r="B509" t="s">
        <v>1324</v>
      </c>
      <c r="C509">
        <v>14</v>
      </c>
      <c r="D509">
        <v>-6</v>
      </c>
      <c r="E509">
        <v>1</v>
      </c>
      <c r="F509">
        <v>8</v>
      </c>
      <c r="G509">
        <v>0</v>
      </c>
      <c r="H509">
        <v>42</v>
      </c>
      <c r="I509">
        <v>50</v>
      </c>
      <c r="J509">
        <v>8.4</v>
      </c>
      <c r="K509">
        <v>0.68</v>
      </c>
      <c r="L509">
        <v>2.0499999999999998</v>
      </c>
      <c r="M509">
        <v>12.3</v>
      </c>
      <c r="N509">
        <v>1</v>
      </c>
      <c r="O509" t="s">
        <v>261</v>
      </c>
      <c r="P509" s="379">
        <v>40716</v>
      </c>
      <c r="Q509" t="s">
        <v>57</v>
      </c>
      <c r="R509" t="s">
        <v>683</v>
      </c>
      <c r="S509" t="s">
        <v>1268</v>
      </c>
      <c r="T509" t="s">
        <v>228</v>
      </c>
      <c r="U509"/>
    </row>
    <row r="510" spans="1:21" x14ac:dyDescent="0.25">
      <c r="A510">
        <v>848069</v>
      </c>
      <c r="B510" t="s">
        <v>1294</v>
      </c>
      <c r="C510">
        <v>25</v>
      </c>
      <c r="D510">
        <v>-7</v>
      </c>
      <c r="E510">
        <v>7</v>
      </c>
      <c r="F510">
        <v>15</v>
      </c>
      <c r="G510">
        <v>13</v>
      </c>
      <c r="H510">
        <v>66</v>
      </c>
      <c r="I510">
        <v>104</v>
      </c>
      <c r="J510">
        <v>15.3</v>
      </c>
      <c r="K510">
        <v>0.69</v>
      </c>
      <c r="L510">
        <v>1.94</v>
      </c>
      <c r="M510">
        <v>15.9</v>
      </c>
      <c r="N510">
        <v>1.2</v>
      </c>
      <c r="O510" t="s">
        <v>261</v>
      </c>
      <c r="P510" s="379">
        <v>38792</v>
      </c>
      <c r="Q510" t="s">
        <v>57</v>
      </c>
      <c r="R510" t="s">
        <v>686</v>
      </c>
      <c r="S510" t="s">
        <v>1281</v>
      </c>
      <c r="T510" t="s">
        <v>204</v>
      </c>
      <c r="U510"/>
    </row>
    <row r="511" spans="1:21" x14ac:dyDescent="0.25">
      <c r="A511">
        <v>652628</v>
      </c>
      <c r="B511" t="s">
        <v>513</v>
      </c>
      <c r="C511">
        <v>10</v>
      </c>
      <c r="D511">
        <v>-4</v>
      </c>
      <c r="E511">
        <v>-1</v>
      </c>
      <c r="F511">
        <v>-1</v>
      </c>
      <c r="G511">
        <v>-11</v>
      </c>
      <c r="H511">
        <v>36</v>
      </c>
      <c r="I511">
        <v>86</v>
      </c>
      <c r="J511">
        <v>13.2</v>
      </c>
      <c r="K511">
        <v>0.69</v>
      </c>
      <c r="L511">
        <v>1.68</v>
      </c>
      <c r="M511">
        <v>13.7</v>
      </c>
      <c r="N511">
        <v>0.8</v>
      </c>
      <c r="O511" t="s">
        <v>349</v>
      </c>
      <c r="P511" s="379">
        <v>36789</v>
      </c>
      <c r="Q511" t="s">
        <v>57</v>
      </c>
      <c r="R511" t="s">
        <v>1041</v>
      </c>
      <c r="S511" t="s">
        <v>350</v>
      </c>
      <c r="T511" t="s">
        <v>167</v>
      </c>
      <c r="U511"/>
    </row>
    <row r="512" spans="1:21" x14ac:dyDescent="0.25">
      <c r="A512">
        <v>976506</v>
      </c>
      <c r="B512" t="s">
        <v>656</v>
      </c>
      <c r="C512">
        <v>20</v>
      </c>
      <c r="D512">
        <v>-4</v>
      </c>
      <c r="E512">
        <v>5</v>
      </c>
      <c r="F512">
        <v>11</v>
      </c>
      <c r="G512">
        <v>7</v>
      </c>
      <c r="H512">
        <v>41</v>
      </c>
      <c r="I512">
        <v>65</v>
      </c>
      <c r="J512">
        <v>10.6</v>
      </c>
      <c r="K512">
        <v>0.69</v>
      </c>
      <c r="L512">
        <v>1.69</v>
      </c>
      <c r="M512">
        <v>12.2</v>
      </c>
      <c r="N512">
        <v>1</v>
      </c>
      <c r="O512" t="s">
        <v>169</v>
      </c>
      <c r="P512" s="379">
        <v>42963</v>
      </c>
      <c r="Q512" t="s">
        <v>57</v>
      </c>
      <c r="R512" t="s">
        <v>984</v>
      </c>
      <c r="S512" t="s">
        <v>1271</v>
      </c>
      <c r="T512" t="s">
        <v>223</v>
      </c>
      <c r="U512"/>
    </row>
    <row r="513" spans="1:21" x14ac:dyDescent="0.25">
      <c r="A513">
        <v>634386</v>
      </c>
      <c r="B513" t="s">
        <v>394</v>
      </c>
      <c r="C513">
        <v>15</v>
      </c>
      <c r="D513">
        <v>-5</v>
      </c>
      <c r="E513">
        <v>0</v>
      </c>
      <c r="F513">
        <v>8</v>
      </c>
      <c r="G513">
        <v>-1</v>
      </c>
      <c r="H513">
        <v>33</v>
      </c>
      <c r="I513">
        <v>52</v>
      </c>
      <c r="J513">
        <v>8.6999999999999993</v>
      </c>
      <c r="K513">
        <v>0.69</v>
      </c>
      <c r="L513">
        <v>2</v>
      </c>
      <c r="M513">
        <v>12.6</v>
      </c>
      <c r="N513">
        <v>0.8</v>
      </c>
      <c r="O513" t="s">
        <v>226</v>
      </c>
      <c r="P513" s="379">
        <v>37348</v>
      </c>
      <c r="Q513" t="s">
        <v>57</v>
      </c>
      <c r="R513" t="s">
        <v>1078</v>
      </c>
      <c r="S513" t="s">
        <v>391</v>
      </c>
      <c r="T513" t="s">
        <v>229</v>
      </c>
      <c r="U513"/>
    </row>
    <row r="514" spans="1:21" x14ac:dyDescent="0.25">
      <c r="A514">
        <v>419101</v>
      </c>
      <c r="B514" t="s">
        <v>392</v>
      </c>
      <c r="C514">
        <v>7</v>
      </c>
      <c r="D514">
        <v>-2</v>
      </c>
      <c r="E514">
        <v>2</v>
      </c>
      <c r="F514">
        <v>3</v>
      </c>
      <c r="G514">
        <v>0</v>
      </c>
      <c r="H514">
        <v>32</v>
      </c>
      <c r="I514">
        <v>34</v>
      </c>
      <c r="J514">
        <v>6.1</v>
      </c>
      <c r="K514">
        <v>0.69</v>
      </c>
      <c r="L514">
        <v>2.02</v>
      </c>
      <c r="M514">
        <v>12</v>
      </c>
      <c r="N514">
        <v>0.9</v>
      </c>
      <c r="O514" t="s">
        <v>226</v>
      </c>
      <c r="P514" s="379">
        <v>41598</v>
      </c>
      <c r="Q514" t="s">
        <v>57</v>
      </c>
      <c r="R514" t="s">
        <v>1051</v>
      </c>
      <c r="S514" t="s">
        <v>391</v>
      </c>
      <c r="T514" t="s">
        <v>228</v>
      </c>
      <c r="U514"/>
    </row>
    <row r="515" spans="1:21" x14ac:dyDescent="0.25">
      <c r="A515">
        <v>280867</v>
      </c>
      <c r="B515" t="s">
        <v>393</v>
      </c>
      <c r="C515">
        <v>16</v>
      </c>
      <c r="D515">
        <v>-6</v>
      </c>
      <c r="E515">
        <v>-1</v>
      </c>
      <c r="F515">
        <v>5</v>
      </c>
      <c r="G515">
        <v>-6</v>
      </c>
      <c r="H515">
        <v>20</v>
      </c>
      <c r="I515">
        <v>34</v>
      </c>
      <c r="J515">
        <v>6</v>
      </c>
      <c r="K515">
        <v>0.69</v>
      </c>
      <c r="L515">
        <v>2</v>
      </c>
      <c r="M515">
        <v>15</v>
      </c>
      <c r="N515">
        <v>0.5</v>
      </c>
      <c r="O515" t="s">
        <v>226</v>
      </c>
      <c r="P515" s="379">
        <v>38720</v>
      </c>
      <c r="Q515" t="s">
        <v>57</v>
      </c>
      <c r="R515" t="s">
        <v>1059</v>
      </c>
      <c r="S515" t="s">
        <v>391</v>
      </c>
      <c r="T515" t="s">
        <v>178</v>
      </c>
      <c r="U515"/>
    </row>
    <row r="516" spans="1:21" x14ac:dyDescent="0.25">
      <c r="A516">
        <v>526590</v>
      </c>
      <c r="B516" t="s">
        <v>540</v>
      </c>
      <c r="C516">
        <v>12</v>
      </c>
      <c r="D516">
        <v>-8</v>
      </c>
      <c r="E516">
        <v>-3</v>
      </c>
      <c r="F516">
        <v>-1</v>
      </c>
      <c r="G516">
        <v>-12</v>
      </c>
      <c r="H516">
        <v>16</v>
      </c>
      <c r="I516">
        <v>-40</v>
      </c>
      <c r="J516">
        <v>-9.6999999999999993</v>
      </c>
      <c r="K516">
        <v>0.69</v>
      </c>
      <c r="L516">
        <v>2</v>
      </c>
      <c r="M516">
        <v>17.3</v>
      </c>
      <c r="N516">
        <v>0.4</v>
      </c>
      <c r="O516" t="s">
        <v>226</v>
      </c>
      <c r="P516" s="379">
        <v>41598</v>
      </c>
      <c r="Q516" t="s">
        <v>57</v>
      </c>
      <c r="R516" t="s">
        <v>1406</v>
      </c>
      <c r="S516" t="s">
        <v>391</v>
      </c>
      <c r="T516" t="s">
        <v>606</v>
      </c>
      <c r="U516"/>
    </row>
    <row r="517" spans="1:21" x14ac:dyDescent="0.25">
      <c r="A517">
        <v>908806</v>
      </c>
      <c r="B517" t="s">
        <v>409</v>
      </c>
      <c r="C517">
        <v>24</v>
      </c>
      <c r="D517">
        <v>-10</v>
      </c>
      <c r="E517">
        <v>2</v>
      </c>
      <c r="F517">
        <v>16</v>
      </c>
      <c r="G517">
        <v>-2</v>
      </c>
      <c r="H517">
        <v>90</v>
      </c>
      <c r="I517">
        <v>167</v>
      </c>
      <c r="J517">
        <v>21.7</v>
      </c>
      <c r="K517">
        <v>0.7</v>
      </c>
      <c r="L517">
        <v>2.4</v>
      </c>
      <c r="M517">
        <v>16.399999999999999</v>
      </c>
      <c r="N517">
        <v>1.4</v>
      </c>
      <c r="O517" t="s">
        <v>261</v>
      </c>
      <c r="P517" s="379">
        <v>38698</v>
      </c>
      <c r="Q517" t="s">
        <v>57</v>
      </c>
      <c r="R517" t="s">
        <v>679</v>
      </c>
      <c r="S517" t="s">
        <v>1273</v>
      </c>
      <c r="T517" t="s">
        <v>259</v>
      </c>
      <c r="U517"/>
    </row>
    <row r="518" spans="1:21" x14ac:dyDescent="0.25">
      <c r="A518">
        <v>770263</v>
      </c>
      <c r="B518" t="s">
        <v>411</v>
      </c>
      <c r="C518">
        <v>22</v>
      </c>
      <c r="D518">
        <v>1</v>
      </c>
      <c r="E518">
        <v>9</v>
      </c>
      <c r="F518">
        <v>15</v>
      </c>
      <c r="G518">
        <v>15</v>
      </c>
      <c r="H518">
        <v>65</v>
      </c>
      <c r="I518">
        <v>63</v>
      </c>
      <c r="J518">
        <v>10.3</v>
      </c>
      <c r="K518">
        <v>0.7</v>
      </c>
      <c r="L518">
        <v>2.41</v>
      </c>
      <c r="M518">
        <v>15.2</v>
      </c>
      <c r="N518">
        <v>1.2</v>
      </c>
      <c r="O518" t="s">
        <v>261</v>
      </c>
      <c r="P518" s="379">
        <v>39582</v>
      </c>
      <c r="Q518" t="s">
        <v>57</v>
      </c>
      <c r="R518" t="s">
        <v>691</v>
      </c>
      <c r="S518" t="s">
        <v>1273</v>
      </c>
      <c r="T518" t="s">
        <v>277</v>
      </c>
      <c r="U518"/>
    </row>
    <row r="519" spans="1:21" x14ac:dyDescent="0.25">
      <c r="A519">
        <v>245381</v>
      </c>
      <c r="B519" t="s">
        <v>629</v>
      </c>
      <c r="C519">
        <v>12</v>
      </c>
      <c r="D519">
        <v>-4</v>
      </c>
      <c r="E519">
        <v>1</v>
      </c>
      <c r="F519">
        <v>6</v>
      </c>
      <c r="G519">
        <v>-6</v>
      </c>
      <c r="H519">
        <v>32</v>
      </c>
      <c r="I519">
        <v>50</v>
      </c>
      <c r="J519">
        <v>8.4</v>
      </c>
      <c r="K519">
        <v>0.7</v>
      </c>
      <c r="L519">
        <v>1.72</v>
      </c>
      <c r="M519">
        <v>13.1</v>
      </c>
      <c r="N519">
        <v>0.8</v>
      </c>
      <c r="O519" t="s">
        <v>261</v>
      </c>
      <c r="P519" s="379">
        <v>42194</v>
      </c>
      <c r="Q519" t="s">
        <v>57</v>
      </c>
      <c r="R519" t="s">
        <v>847</v>
      </c>
      <c r="S519" t="s">
        <v>350</v>
      </c>
      <c r="T519" t="s">
        <v>609</v>
      </c>
      <c r="U519"/>
    </row>
    <row r="520" spans="1:21" x14ac:dyDescent="0.25">
      <c r="A520">
        <v>987784</v>
      </c>
      <c r="B520" t="s">
        <v>494</v>
      </c>
      <c r="C520">
        <v>21</v>
      </c>
      <c r="D520">
        <v>2</v>
      </c>
      <c r="E520">
        <v>8</v>
      </c>
      <c r="F520">
        <v>14</v>
      </c>
      <c r="G520">
        <v>10</v>
      </c>
      <c r="H520">
        <v>49</v>
      </c>
      <c r="I520">
        <v>37</v>
      </c>
      <c r="J520">
        <v>6.5</v>
      </c>
      <c r="K520">
        <v>0.7</v>
      </c>
      <c r="L520">
        <v>2.25</v>
      </c>
      <c r="M520">
        <v>12.1</v>
      </c>
      <c r="N520">
        <v>1.2</v>
      </c>
      <c r="O520" t="s">
        <v>169</v>
      </c>
      <c r="P520" s="379">
        <v>37994</v>
      </c>
      <c r="Q520" t="s">
        <v>57</v>
      </c>
      <c r="R520" t="s">
        <v>964</v>
      </c>
      <c r="S520" t="s">
        <v>369</v>
      </c>
      <c r="T520" t="s">
        <v>247</v>
      </c>
      <c r="U520"/>
    </row>
    <row r="521" spans="1:21" x14ac:dyDescent="0.25">
      <c r="A521">
        <v>233346</v>
      </c>
      <c r="B521" t="s">
        <v>643</v>
      </c>
      <c r="C521">
        <v>21</v>
      </c>
      <c r="D521">
        <v>-5</v>
      </c>
      <c r="E521">
        <v>4</v>
      </c>
      <c r="F521">
        <v>9</v>
      </c>
      <c r="G521">
        <v>2</v>
      </c>
      <c r="H521">
        <v>47</v>
      </c>
      <c r="I521">
        <v>88</v>
      </c>
      <c r="J521">
        <v>13.4</v>
      </c>
      <c r="K521">
        <v>0.71</v>
      </c>
      <c r="L521">
        <v>2.15</v>
      </c>
      <c r="M521">
        <v>14.1</v>
      </c>
      <c r="N521">
        <v>1</v>
      </c>
      <c r="O521" t="s">
        <v>261</v>
      </c>
      <c r="P521" s="379">
        <v>40716</v>
      </c>
      <c r="Q521" t="s">
        <v>57</v>
      </c>
      <c r="R521" t="s">
        <v>1119</v>
      </c>
      <c r="S521" t="s">
        <v>1268</v>
      </c>
      <c r="T521" t="s">
        <v>223</v>
      </c>
      <c r="U521"/>
    </row>
    <row r="522" spans="1:21" x14ac:dyDescent="0.25">
      <c r="A522">
        <v>882530</v>
      </c>
      <c r="B522" t="s">
        <v>1353</v>
      </c>
      <c r="C522">
        <v>21</v>
      </c>
      <c r="D522">
        <v>-5</v>
      </c>
      <c r="E522">
        <v>3</v>
      </c>
      <c r="F522">
        <v>7</v>
      </c>
      <c r="G522">
        <v>9</v>
      </c>
      <c r="H522">
        <v>34</v>
      </c>
      <c r="I522">
        <v>88</v>
      </c>
      <c r="J522">
        <v>13.4</v>
      </c>
      <c r="K522">
        <v>0.71</v>
      </c>
      <c r="L522">
        <v>2.15</v>
      </c>
      <c r="M522">
        <v>14.5</v>
      </c>
      <c r="N522">
        <v>0.8</v>
      </c>
      <c r="O522" t="s">
        <v>261</v>
      </c>
      <c r="P522" s="379">
        <v>40716</v>
      </c>
      <c r="Q522" t="s">
        <v>57</v>
      </c>
      <c r="R522" t="s">
        <v>936</v>
      </c>
      <c r="S522" t="s">
        <v>1268</v>
      </c>
      <c r="T522" t="s">
        <v>608</v>
      </c>
      <c r="U522"/>
    </row>
    <row r="523" spans="1:21" x14ac:dyDescent="0.25">
      <c r="A523">
        <v>197517</v>
      </c>
      <c r="B523" t="s">
        <v>412</v>
      </c>
      <c r="C523">
        <v>16</v>
      </c>
      <c r="D523">
        <v>-7</v>
      </c>
      <c r="E523">
        <v>-2</v>
      </c>
      <c r="F523">
        <v>1</v>
      </c>
      <c r="G523">
        <v>0</v>
      </c>
      <c r="H523">
        <v>30</v>
      </c>
      <c r="I523">
        <v>60</v>
      </c>
      <c r="J523">
        <v>9.8000000000000007</v>
      </c>
      <c r="K523">
        <v>0.71</v>
      </c>
      <c r="L523">
        <v>2.15</v>
      </c>
      <c r="M523">
        <v>15.4</v>
      </c>
      <c r="N523">
        <v>0.7</v>
      </c>
      <c r="O523" t="s">
        <v>261</v>
      </c>
      <c r="P523" s="379">
        <v>40716</v>
      </c>
      <c r="Q523" t="s">
        <v>57</v>
      </c>
      <c r="R523" t="s">
        <v>1093</v>
      </c>
      <c r="S523" t="s">
        <v>1268</v>
      </c>
      <c r="T523" t="s">
        <v>608</v>
      </c>
      <c r="U523"/>
    </row>
    <row r="524" spans="1:21" x14ac:dyDescent="0.25">
      <c r="A524">
        <v>281212</v>
      </c>
      <c r="B524" t="s">
        <v>518</v>
      </c>
      <c r="C524">
        <v>10</v>
      </c>
      <c r="D524">
        <v>-6</v>
      </c>
      <c r="E524">
        <v>-2</v>
      </c>
      <c r="F524">
        <v>4</v>
      </c>
      <c r="G524">
        <v>-7</v>
      </c>
      <c r="H524">
        <v>45</v>
      </c>
      <c r="I524">
        <v>50</v>
      </c>
      <c r="J524">
        <v>8.4</v>
      </c>
      <c r="K524">
        <v>0.71</v>
      </c>
      <c r="L524">
        <v>1.74</v>
      </c>
      <c r="M524">
        <v>12.7</v>
      </c>
      <c r="N524">
        <v>1.1000000000000001</v>
      </c>
      <c r="O524" t="s">
        <v>261</v>
      </c>
      <c r="P524" s="379">
        <v>42194</v>
      </c>
      <c r="Q524" t="s">
        <v>57</v>
      </c>
      <c r="R524" t="s">
        <v>1380</v>
      </c>
      <c r="S524" t="s">
        <v>350</v>
      </c>
      <c r="T524" t="s">
        <v>609</v>
      </c>
      <c r="U524"/>
    </row>
    <row r="525" spans="1:21" x14ac:dyDescent="0.25">
      <c r="A525">
        <v>918367</v>
      </c>
      <c r="B525" t="s">
        <v>616</v>
      </c>
      <c r="C525">
        <v>11</v>
      </c>
      <c r="D525">
        <v>-4</v>
      </c>
      <c r="E525">
        <v>-2</v>
      </c>
      <c r="F525">
        <v>7</v>
      </c>
      <c r="G525">
        <v>-8</v>
      </c>
      <c r="H525">
        <v>17</v>
      </c>
      <c r="I525">
        <v>23</v>
      </c>
      <c r="J525">
        <v>4.2</v>
      </c>
      <c r="K525">
        <v>0.71</v>
      </c>
      <c r="L525">
        <v>2.15</v>
      </c>
      <c r="M525">
        <v>13.7</v>
      </c>
      <c r="N525">
        <v>0.5</v>
      </c>
      <c r="O525" t="s">
        <v>261</v>
      </c>
      <c r="P525" s="379">
        <v>40716</v>
      </c>
      <c r="Q525" t="s">
        <v>57</v>
      </c>
      <c r="R525" t="s">
        <v>1022</v>
      </c>
      <c r="S525" t="s">
        <v>1268</v>
      </c>
      <c r="T525" t="s">
        <v>606</v>
      </c>
      <c r="U525"/>
    </row>
    <row r="526" spans="1:21" x14ac:dyDescent="0.25">
      <c r="A526">
        <v>305003</v>
      </c>
      <c r="B526" t="s">
        <v>615</v>
      </c>
      <c r="C526">
        <v>11</v>
      </c>
      <c r="D526">
        <v>4</v>
      </c>
      <c r="E526">
        <v>1</v>
      </c>
      <c r="F526">
        <v>20</v>
      </c>
      <c r="G526">
        <v>4</v>
      </c>
      <c r="H526">
        <v>-7</v>
      </c>
      <c r="I526">
        <v>10</v>
      </c>
      <c r="J526">
        <v>1.9</v>
      </c>
      <c r="K526">
        <v>0.71</v>
      </c>
      <c r="L526">
        <v>2.15</v>
      </c>
      <c r="M526">
        <v>24.4</v>
      </c>
      <c r="N526">
        <v>0</v>
      </c>
      <c r="O526" t="s">
        <v>261</v>
      </c>
      <c r="P526" s="379">
        <v>40716</v>
      </c>
      <c r="Q526" t="s">
        <v>57</v>
      </c>
      <c r="R526" t="s">
        <v>1016</v>
      </c>
      <c r="S526" t="s">
        <v>1268</v>
      </c>
      <c r="T526" t="s">
        <v>606</v>
      </c>
      <c r="U526"/>
    </row>
    <row r="527" spans="1:21" x14ac:dyDescent="0.25">
      <c r="A527">
        <v>384107</v>
      </c>
      <c r="B527" t="s">
        <v>1287</v>
      </c>
      <c r="C527">
        <v>27</v>
      </c>
      <c r="D527">
        <v>-5</v>
      </c>
      <c r="E527">
        <v>6</v>
      </c>
      <c r="F527">
        <v>13</v>
      </c>
      <c r="G527">
        <v>13</v>
      </c>
      <c r="H527">
        <v>73</v>
      </c>
      <c r="I527">
        <v>134</v>
      </c>
      <c r="J527">
        <v>18.5</v>
      </c>
      <c r="K527">
        <v>0.72</v>
      </c>
      <c r="L527">
        <v>1.81</v>
      </c>
      <c r="M527">
        <v>15.7</v>
      </c>
      <c r="N527">
        <v>1.3</v>
      </c>
      <c r="O527" t="s">
        <v>261</v>
      </c>
      <c r="P527" s="379">
        <v>38706</v>
      </c>
      <c r="Q527" t="s">
        <v>57</v>
      </c>
      <c r="R527" t="s">
        <v>1121</v>
      </c>
      <c r="S527" t="s">
        <v>1325</v>
      </c>
      <c r="T527" t="s">
        <v>608</v>
      </c>
      <c r="U527"/>
    </row>
    <row r="528" spans="1:21" x14ac:dyDescent="0.25">
      <c r="A528">
        <v>866897</v>
      </c>
      <c r="B528" t="s">
        <v>422</v>
      </c>
      <c r="C528">
        <v>9</v>
      </c>
      <c r="D528">
        <v>-4</v>
      </c>
      <c r="E528">
        <v>-1</v>
      </c>
      <c r="F528">
        <v>-2</v>
      </c>
      <c r="G528">
        <v>-6</v>
      </c>
      <c r="H528">
        <v>34</v>
      </c>
      <c r="I528">
        <v>72</v>
      </c>
      <c r="J528">
        <v>11.5</v>
      </c>
      <c r="K528">
        <v>0.72</v>
      </c>
      <c r="L528">
        <v>2.0099999999999998</v>
      </c>
      <c r="M528">
        <v>13.9</v>
      </c>
      <c r="N528">
        <v>0.8</v>
      </c>
      <c r="O528" t="s">
        <v>349</v>
      </c>
      <c r="P528" s="379">
        <v>38735</v>
      </c>
      <c r="Q528" t="s">
        <v>57</v>
      </c>
      <c r="R528" t="s">
        <v>1436</v>
      </c>
      <c r="S528" t="s">
        <v>1278</v>
      </c>
      <c r="T528" t="s">
        <v>167</v>
      </c>
      <c r="U528"/>
    </row>
    <row r="529" spans="1:21" x14ac:dyDescent="0.25">
      <c r="A529">
        <v>475897</v>
      </c>
      <c r="B529" t="s">
        <v>420</v>
      </c>
      <c r="C529">
        <v>14</v>
      </c>
      <c r="D529">
        <v>-8</v>
      </c>
      <c r="E529">
        <v>-1</v>
      </c>
      <c r="F529">
        <v>3</v>
      </c>
      <c r="G529">
        <v>-9</v>
      </c>
      <c r="H529">
        <v>30</v>
      </c>
      <c r="I529">
        <v>36</v>
      </c>
      <c r="J529">
        <v>6.4</v>
      </c>
      <c r="K529">
        <v>0.72</v>
      </c>
      <c r="L529">
        <v>2.02</v>
      </c>
      <c r="M529">
        <v>14.9</v>
      </c>
      <c r="N529">
        <v>0.7</v>
      </c>
      <c r="O529" t="s">
        <v>169</v>
      </c>
      <c r="P529" s="379">
        <v>36789</v>
      </c>
      <c r="Q529" t="s">
        <v>57</v>
      </c>
      <c r="R529" t="s">
        <v>998</v>
      </c>
      <c r="S529" t="s">
        <v>1278</v>
      </c>
      <c r="T529" t="s">
        <v>178</v>
      </c>
      <c r="U529"/>
    </row>
    <row r="530" spans="1:21" x14ac:dyDescent="0.25">
      <c r="A530">
        <v>401695</v>
      </c>
      <c r="B530" t="s">
        <v>550</v>
      </c>
      <c r="C530">
        <v>23</v>
      </c>
      <c r="D530">
        <v>-7</v>
      </c>
      <c r="E530">
        <v>4</v>
      </c>
      <c r="F530">
        <v>10</v>
      </c>
      <c r="G530">
        <v>9</v>
      </c>
      <c r="H530">
        <v>80</v>
      </c>
      <c r="I530">
        <v>160</v>
      </c>
      <c r="J530">
        <v>21.1</v>
      </c>
      <c r="K530">
        <v>0.73</v>
      </c>
      <c r="L530">
        <v>1.8</v>
      </c>
      <c r="M530">
        <v>16.8</v>
      </c>
      <c r="N530">
        <v>1.3</v>
      </c>
      <c r="O530" t="s">
        <v>261</v>
      </c>
      <c r="P530" s="379">
        <v>38960</v>
      </c>
      <c r="Q530" t="s">
        <v>57</v>
      </c>
      <c r="R530" t="s">
        <v>797</v>
      </c>
      <c r="S530" t="s">
        <v>467</v>
      </c>
      <c r="T530" t="s">
        <v>204</v>
      </c>
      <c r="U530"/>
    </row>
    <row r="531" spans="1:21" x14ac:dyDescent="0.25">
      <c r="A531">
        <v>563254</v>
      </c>
      <c r="B531" t="s">
        <v>363</v>
      </c>
      <c r="C531">
        <v>20</v>
      </c>
      <c r="D531">
        <v>-6</v>
      </c>
      <c r="E531">
        <v>1</v>
      </c>
      <c r="F531">
        <v>7</v>
      </c>
      <c r="G531">
        <v>9</v>
      </c>
      <c r="H531">
        <v>44</v>
      </c>
      <c r="I531">
        <v>82</v>
      </c>
      <c r="J531">
        <v>12.7</v>
      </c>
      <c r="K531">
        <v>0.73</v>
      </c>
      <c r="L531">
        <v>1.83</v>
      </c>
      <c r="M531">
        <v>14.2</v>
      </c>
      <c r="N531">
        <v>0.9</v>
      </c>
      <c r="O531" t="s">
        <v>261</v>
      </c>
      <c r="P531" s="379">
        <v>38706</v>
      </c>
      <c r="Q531" t="s">
        <v>57</v>
      </c>
      <c r="R531" t="s">
        <v>1136</v>
      </c>
      <c r="S531" t="s">
        <v>1325</v>
      </c>
      <c r="T531" t="s">
        <v>608</v>
      </c>
      <c r="U531"/>
    </row>
    <row r="532" spans="1:21" x14ac:dyDescent="0.25">
      <c r="A532">
        <v>816249</v>
      </c>
      <c r="B532" t="s">
        <v>487</v>
      </c>
      <c r="C532">
        <v>17</v>
      </c>
      <c r="D532">
        <v>-1</v>
      </c>
      <c r="E532">
        <v>5</v>
      </c>
      <c r="F532">
        <v>15</v>
      </c>
      <c r="G532">
        <v>12</v>
      </c>
      <c r="H532">
        <v>51</v>
      </c>
      <c r="I532">
        <v>79</v>
      </c>
      <c r="J532">
        <v>12.3</v>
      </c>
      <c r="K532">
        <v>0.73</v>
      </c>
      <c r="L532">
        <v>1.81</v>
      </c>
      <c r="M532">
        <v>10</v>
      </c>
      <c r="N532">
        <v>1.4</v>
      </c>
      <c r="O532" t="s">
        <v>169</v>
      </c>
      <c r="P532" s="379">
        <v>42117</v>
      </c>
      <c r="Q532" t="s">
        <v>57</v>
      </c>
      <c r="R532" t="s">
        <v>1032</v>
      </c>
      <c r="S532" t="s">
        <v>470</v>
      </c>
      <c r="T532" t="s">
        <v>610</v>
      </c>
      <c r="U532"/>
    </row>
    <row r="533" spans="1:21" x14ac:dyDescent="0.25">
      <c r="A533">
        <v>594713</v>
      </c>
      <c r="B533" t="s">
        <v>557</v>
      </c>
      <c r="C533">
        <v>20</v>
      </c>
      <c r="D533">
        <v>-3</v>
      </c>
      <c r="E533">
        <v>4</v>
      </c>
      <c r="F533">
        <v>7</v>
      </c>
      <c r="G533">
        <v>8</v>
      </c>
      <c r="H533">
        <v>43</v>
      </c>
      <c r="I533">
        <v>78</v>
      </c>
      <c r="J533">
        <v>12.2</v>
      </c>
      <c r="K533">
        <v>0.73</v>
      </c>
      <c r="L533">
        <v>1.8</v>
      </c>
      <c r="M533">
        <v>13.1</v>
      </c>
      <c r="N533">
        <v>1</v>
      </c>
      <c r="O533" t="s">
        <v>169</v>
      </c>
      <c r="P533" s="379">
        <v>40382</v>
      </c>
      <c r="Q533" t="s">
        <v>57</v>
      </c>
      <c r="R533" t="s">
        <v>1410</v>
      </c>
      <c r="S533" t="s">
        <v>467</v>
      </c>
      <c r="T533" t="s">
        <v>154</v>
      </c>
      <c r="U533"/>
    </row>
    <row r="534" spans="1:21" x14ac:dyDescent="0.25">
      <c r="A534">
        <v>523050</v>
      </c>
      <c r="B534" t="s">
        <v>622</v>
      </c>
      <c r="C534">
        <v>20</v>
      </c>
      <c r="D534">
        <v>-3</v>
      </c>
      <c r="E534">
        <v>5</v>
      </c>
      <c r="F534">
        <v>8</v>
      </c>
      <c r="G534">
        <v>6</v>
      </c>
      <c r="H534">
        <v>44</v>
      </c>
      <c r="I534">
        <v>65</v>
      </c>
      <c r="J534">
        <v>10.5</v>
      </c>
      <c r="K534">
        <v>0.73</v>
      </c>
      <c r="L534">
        <v>1.8</v>
      </c>
      <c r="M534">
        <v>12.6</v>
      </c>
      <c r="N534">
        <v>1.1000000000000001</v>
      </c>
      <c r="O534" t="s">
        <v>169</v>
      </c>
      <c r="P534" s="379">
        <v>40382</v>
      </c>
      <c r="Q534" t="s">
        <v>57</v>
      </c>
      <c r="R534" t="s">
        <v>1005</v>
      </c>
      <c r="S534" t="s">
        <v>467</v>
      </c>
      <c r="T534" t="s">
        <v>154</v>
      </c>
      <c r="U534"/>
    </row>
    <row r="535" spans="1:21" x14ac:dyDescent="0.25">
      <c r="A535">
        <v>744581</v>
      </c>
      <c r="B535" t="s">
        <v>488</v>
      </c>
      <c r="C535">
        <v>9</v>
      </c>
      <c r="D535">
        <v>-1</v>
      </c>
      <c r="E535">
        <v>-1</v>
      </c>
      <c r="F535">
        <v>9</v>
      </c>
      <c r="G535">
        <v>9</v>
      </c>
      <c r="H535">
        <v>34</v>
      </c>
      <c r="I535">
        <v>59</v>
      </c>
      <c r="J535">
        <v>9.6999999999999993</v>
      </c>
      <c r="K535">
        <v>0.73</v>
      </c>
      <c r="L535">
        <v>1.8</v>
      </c>
      <c r="M535">
        <v>9.5</v>
      </c>
      <c r="N535">
        <v>1.1000000000000001</v>
      </c>
      <c r="O535" t="s">
        <v>169</v>
      </c>
      <c r="P535" s="379">
        <v>42117</v>
      </c>
      <c r="Q535" t="s">
        <v>57</v>
      </c>
      <c r="R535" t="s">
        <v>1026</v>
      </c>
      <c r="S535" t="s">
        <v>470</v>
      </c>
      <c r="T535" t="s">
        <v>610</v>
      </c>
      <c r="U535"/>
    </row>
    <row r="536" spans="1:21" x14ac:dyDescent="0.25">
      <c r="A536">
        <v>643700</v>
      </c>
      <c r="B536" t="s">
        <v>1174</v>
      </c>
      <c r="C536">
        <v>17</v>
      </c>
      <c r="D536">
        <v>-5</v>
      </c>
      <c r="E536">
        <v>4</v>
      </c>
      <c r="F536">
        <v>7</v>
      </c>
      <c r="G536">
        <v>-3</v>
      </c>
      <c r="H536">
        <v>28</v>
      </c>
      <c r="I536">
        <v>53</v>
      </c>
      <c r="J536">
        <v>8.9</v>
      </c>
      <c r="K536">
        <v>0.73</v>
      </c>
      <c r="L536">
        <v>1.8</v>
      </c>
      <c r="M536">
        <v>13.2</v>
      </c>
      <c r="N536">
        <v>0.7</v>
      </c>
      <c r="O536" t="s">
        <v>135</v>
      </c>
      <c r="P536" s="379">
        <v>43105</v>
      </c>
      <c r="Q536" t="s">
        <v>136</v>
      </c>
      <c r="R536" t="s">
        <v>1175</v>
      </c>
      <c r="S536" t="s">
        <v>193</v>
      </c>
      <c r="T536" t="s">
        <v>182</v>
      </c>
      <c r="U536"/>
    </row>
    <row r="537" spans="1:21" x14ac:dyDescent="0.25">
      <c r="A537">
        <v>170423</v>
      </c>
      <c r="B537" t="s">
        <v>386</v>
      </c>
      <c r="C537">
        <v>18</v>
      </c>
      <c r="D537">
        <v>-4</v>
      </c>
      <c r="E537">
        <v>5</v>
      </c>
      <c r="F537">
        <v>9</v>
      </c>
      <c r="G537">
        <v>-1</v>
      </c>
      <c r="H537">
        <v>26</v>
      </c>
      <c r="I537">
        <v>50</v>
      </c>
      <c r="J537">
        <v>8.4</v>
      </c>
      <c r="K537">
        <v>0.73</v>
      </c>
      <c r="L537">
        <v>1.8</v>
      </c>
      <c r="M537">
        <v>12.9</v>
      </c>
      <c r="N537">
        <v>0.7</v>
      </c>
      <c r="O537" t="s">
        <v>135</v>
      </c>
      <c r="P537" s="379">
        <v>36998</v>
      </c>
      <c r="Q537" t="s">
        <v>136</v>
      </c>
      <c r="R537" t="s">
        <v>718</v>
      </c>
      <c r="S537" t="s">
        <v>193</v>
      </c>
      <c r="T537" t="s">
        <v>182</v>
      </c>
      <c r="U537"/>
    </row>
    <row r="538" spans="1:21" x14ac:dyDescent="0.25">
      <c r="A538">
        <v>717496</v>
      </c>
      <c r="B538" t="s">
        <v>405</v>
      </c>
      <c r="C538">
        <v>15</v>
      </c>
      <c r="D538">
        <v>-6</v>
      </c>
      <c r="E538">
        <v>1</v>
      </c>
      <c r="F538">
        <v>4</v>
      </c>
      <c r="G538">
        <v>3</v>
      </c>
      <c r="H538">
        <v>30</v>
      </c>
      <c r="I538">
        <v>45</v>
      </c>
      <c r="J538">
        <v>7.7</v>
      </c>
      <c r="K538">
        <v>0.73</v>
      </c>
      <c r="L538">
        <v>1.83</v>
      </c>
      <c r="M538">
        <v>12.3</v>
      </c>
      <c r="N538">
        <v>0.8</v>
      </c>
      <c r="O538" t="s">
        <v>261</v>
      </c>
      <c r="P538" s="379">
        <v>38847</v>
      </c>
      <c r="Q538" t="s">
        <v>57</v>
      </c>
      <c r="R538" t="s">
        <v>665</v>
      </c>
      <c r="S538" t="s">
        <v>1325</v>
      </c>
      <c r="T538" t="s">
        <v>154</v>
      </c>
      <c r="U538"/>
    </row>
    <row r="539" spans="1:21" x14ac:dyDescent="0.25">
      <c r="A539">
        <v>666495</v>
      </c>
      <c r="B539" t="s">
        <v>400</v>
      </c>
      <c r="C539">
        <v>11</v>
      </c>
      <c r="D539">
        <v>-8</v>
      </c>
      <c r="E539">
        <v>-3</v>
      </c>
      <c r="F539">
        <v>2</v>
      </c>
      <c r="G539">
        <v>-6</v>
      </c>
      <c r="H539">
        <v>17</v>
      </c>
      <c r="I539">
        <v>16</v>
      </c>
      <c r="J539">
        <v>3</v>
      </c>
      <c r="K539">
        <v>0.73</v>
      </c>
      <c r="L539">
        <v>1.83</v>
      </c>
      <c r="M539">
        <v>13.6</v>
      </c>
      <c r="N539">
        <v>0.5</v>
      </c>
      <c r="O539" t="s">
        <v>169</v>
      </c>
      <c r="P539" s="379">
        <v>38706</v>
      </c>
      <c r="Q539" t="s">
        <v>57</v>
      </c>
      <c r="R539" t="s">
        <v>862</v>
      </c>
      <c r="S539" t="s">
        <v>1325</v>
      </c>
      <c r="T539" t="s">
        <v>178</v>
      </c>
      <c r="U539"/>
    </row>
    <row r="540" spans="1:21" x14ac:dyDescent="0.25">
      <c r="A540">
        <v>233460</v>
      </c>
      <c r="B540" t="s">
        <v>1329</v>
      </c>
      <c r="C540">
        <v>18</v>
      </c>
      <c r="D540">
        <v>1</v>
      </c>
      <c r="E540">
        <v>15</v>
      </c>
      <c r="F540">
        <v>16</v>
      </c>
      <c r="G540">
        <v>14</v>
      </c>
      <c r="H540">
        <v>57</v>
      </c>
      <c r="I540">
        <v>116</v>
      </c>
      <c r="J540">
        <v>16.7</v>
      </c>
      <c r="K540">
        <v>0.74</v>
      </c>
      <c r="L540">
        <v>2.31</v>
      </c>
      <c r="M540">
        <v>16.7</v>
      </c>
      <c r="N540">
        <v>1</v>
      </c>
      <c r="O540" t="s">
        <v>261</v>
      </c>
      <c r="P540" s="379">
        <v>39050</v>
      </c>
      <c r="Q540" t="s">
        <v>57</v>
      </c>
      <c r="R540" t="s">
        <v>905</v>
      </c>
      <c r="S540" t="s">
        <v>1268</v>
      </c>
      <c r="T540" t="s">
        <v>617</v>
      </c>
      <c r="U540"/>
    </row>
    <row r="541" spans="1:21" x14ac:dyDescent="0.25">
      <c r="A541">
        <v>910109</v>
      </c>
      <c r="B541" t="s">
        <v>421</v>
      </c>
      <c r="C541">
        <v>10</v>
      </c>
      <c r="D541">
        <v>-5</v>
      </c>
      <c r="E541">
        <v>0</v>
      </c>
      <c r="F541">
        <v>-1</v>
      </c>
      <c r="G541">
        <v>-7</v>
      </c>
      <c r="H541">
        <v>36</v>
      </c>
      <c r="I541">
        <v>80</v>
      </c>
      <c r="J541">
        <v>12.5</v>
      </c>
      <c r="K541">
        <v>0.74</v>
      </c>
      <c r="L541">
        <v>2.08</v>
      </c>
      <c r="M541">
        <v>13.5</v>
      </c>
      <c r="N541">
        <v>0.9</v>
      </c>
      <c r="O541" t="s">
        <v>349</v>
      </c>
      <c r="P541" s="379">
        <v>36789</v>
      </c>
      <c r="Q541" t="s">
        <v>57</v>
      </c>
      <c r="R541" t="s">
        <v>1102</v>
      </c>
      <c r="S541" t="s">
        <v>1278</v>
      </c>
      <c r="T541" t="s">
        <v>167</v>
      </c>
      <c r="U541"/>
    </row>
    <row r="542" spans="1:21" x14ac:dyDescent="0.25">
      <c r="A542">
        <v>197632</v>
      </c>
      <c r="B542" t="s">
        <v>425</v>
      </c>
      <c r="C542">
        <v>11</v>
      </c>
      <c r="D542">
        <v>-11</v>
      </c>
      <c r="E542">
        <v>-4</v>
      </c>
      <c r="F542">
        <v>4</v>
      </c>
      <c r="G542">
        <v>-11</v>
      </c>
      <c r="H542">
        <v>49</v>
      </c>
      <c r="I542">
        <v>73</v>
      </c>
      <c r="J542">
        <v>11.6</v>
      </c>
      <c r="K542">
        <v>0.74</v>
      </c>
      <c r="L542">
        <v>2.25</v>
      </c>
      <c r="M542">
        <v>15</v>
      </c>
      <c r="N542">
        <v>1</v>
      </c>
      <c r="O542" t="s">
        <v>261</v>
      </c>
      <c r="P542" s="379">
        <v>39050</v>
      </c>
      <c r="Q542" t="s">
        <v>57</v>
      </c>
      <c r="R542" t="s">
        <v>699</v>
      </c>
      <c r="S542" t="s">
        <v>1268</v>
      </c>
      <c r="T542" t="s">
        <v>259</v>
      </c>
      <c r="U542"/>
    </row>
    <row r="543" spans="1:21" x14ac:dyDescent="0.25">
      <c r="A543">
        <v>432153</v>
      </c>
      <c r="B543" t="s">
        <v>401</v>
      </c>
      <c r="C543">
        <v>18</v>
      </c>
      <c r="D543">
        <v>-4</v>
      </c>
      <c r="E543">
        <v>6</v>
      </c>
      <c r="F543">
        <v>7</v>
      </c>
      <c r="G543">
        <v>14</v>
      </c>
      <c r="H543">
        <v>37</v>
      </c>
      <c r="I543">
        <v>70</v>
      </c>
      <c r="J543">
        <v>11.2</v>
      </c>
      <c r="K543">
        <v>0.74</v>
      </c>
      <c r="L543">
        <v>1.83</v>
      </c>
      <c r="M543">
        <v>12.7</v>
      </c>
      <c r="N543">
        <v>0.9</v>
      </c>
      <c r="O543" t="s">
        <v>169</v>
      </c>
      <c r="P543" s="379">
        <v>37354</v>
      </c>
      <c r="Q543" t="s">
        <v>57</v>
      </c>
      <c r="R543" t="s">
        <v>1393</v>
      </c>
      <c r="S543" t="s">
        <v>371</v>
      </c>
      <c r="T543" t="s">
        <v>154</v>
      </c>
      <c r="U543"/>
    </row>
    <row r="544" spans="1:21" x14ac:dyDescent="0.25">
      <c r="A544">
        <v>682070</v>
      </c>
      <c r="B544" t="s">
        <v>407</v>
      </c>
      <c r="C544">
        <v>20</v>
      </c>
      <c r="D544">
        <v>-7</v>
      </c>
      <c r="E544">
        <v>4</v>
      </c>
      <c r="F544">
        <v>10</v>
      </c>
      <c r="G544">
        <v>-2</v>
      </c>
      <c r="H544">
        <v>29</v>
      </c>
      <c r="I544">
        <v>61</v>
      </c>
      <c r="J544">
        <v>10</v>
      </c>
      <c r="K544">
        <v>0.74</v>
      </c>
      <c r="L544">
        <v>1.84</v>
      </c>
      <c r="M544">
        <v>14.6</v>
      </c>
      <c r="N544">
        <v>0.7</v>
      </c>
      <c r="O544" t="s">
        <v>169</v>
      </c>
      <c r="P544" s="379">
        <v>41383</v>
      </c>
      <c r="Q544" t="s">
        <v>57</v>
      </c>
      <c r="R544" t="s">
        <v>943</v>
      </c>
      <c r="S544" t="s">
        <v>464</v>
      </c>
      <c r="T544" t="s">
        <v>178</v>
      </c>
      <c r="U544"/>
    </row>
    <row r="545" spans="1:21" x14ac:dyDescent="0.25">
      <c r="A545">
        <v>182584</v>
      </c>
      <c r="B545" t="s">
        <v>403</v>
      </c>
      <c r="C545">
        <v>12</v>
      </c>
      <c r="D545">
        <v>-8</v>
      </c>
      <c r="E545">
        <v>-1</v>
      </c>
      <c r="F545">
        <v>9</v>
      </c>
      <c r="G545">
        <v>-4</v>
      </c>
      <c r="H545">
        <v>35</v>
      </c>
      <c r="I545">
        <v>52</v>
      </c>
      <c r="J545">
        <v>8.6999999999999993</v>
      </c>
      <c r="K545">
        <v>0.74</v>
      </c>
      <c r="L545">
        <v>1.83</v>
      </c>
      <c r="M545">
        <v>14</v>
      </c>
      <c r="N545">
        <v>0.8</v>
      </c>
      <c r="O545" t="s">
        <v>169</v>
      </c>
      <c r="P545" s="379">
        <v>36790</v>
      </c>
      <c r="Q545" t="s">
        <v>57</v>
      </c>
      <c r="R545" t="s">
        <v>1114</v>
      </c>
      <c r="S545" t="s">
        <v>404</v>
      </c>
      <c r="T545" t="s">
        <v>244</v>
      </c>
      <c r="U545"/>
    </row>
    <row r="546" spans="1:21" x14ac:dyDescent="0.25">
      <c r="A546">
        <v>755090</v>
      </c>
      <c r="B546" t="s">
        <v>402</v>
      </c>
      <c r="C546">
        <v>14</v>
      </c>
      <c r="D546">
        <v>-6</v>
      </c>
      <c r="E546">
        <v>1</v>
      </c>
      <c r="F546">
        <v>7</v>
      </c>
      <c r="G546">
        <v>2</v>
      </c>
      <c r="H546">
        <v>28</v>
      </c>
      <c r="I546">
        <v>33</v>
      </c>
      <c r="J546">
        <v>5.9</v>
      </c>
      <c r="K546">
        <v>0.74</v>
      </c>
      <c r="L546">
        <v>1.83</v>
      </c>
      <c r="M546">
        <v>11.8</v>
      </c>
      <c r="N546">
        <v>0.8</v>
      </c>
      <c r="O546" t="s">
        <v>169</v>
      </c>
      <c r="P546" s="379">
        <v>39464</v>
      </c>
      <c r="Q546" t="s">
        <v>57</v>
      </c>
      <c r="R546" t="s">
        <v>1085</v>
      </c>
      <c r="S546" t="s">
        <v>371</v>
      </c>
      <c r="T546" t="s">
        <v>178</v>
      </c>
      <c r="U546"/>
    </row>
    <row r="547" spans="1:21" x14ac:dyDescent="0.25">
      <c r="A547">
        <v>204891</v>
      </c>
      <c r="B547" t="s">
        <v>1328</v>
      </c>
      <c r="C547">
        <v>16</v>
      </c>
      <c r="D547">
        <v>-1</v>
      </c>
      <c r="E547">
        <v>1</v>
      </c>
      <c r="F547">
        <v>13</v>
      </c>
      <c r="G547">
        <v>22</v>
      </c>
      <c r="H547">
        <v>64</v>
      </c>
      <c r="I547">
        <v>21</v>
      </c>
      <c r="J547">
        <v>4</v>
      </c>
      <c r="K547">
        <v>0.74</v>
      </c>
      <c r="L547">
        <v>2.2599999999999998</v>
      </c>
      <c r="M547">
        <v>21.3</v>
      </c>
      <c r="N547">
        <v>0.9</v>
      </c>
      <c r="O547" t="s">
        <v>261</v>
      </c>
      <c r="P547" s="379">
        <v>39456</v>
      </c>
      <c r="Q547" t="s">
        <v>57</v>
      </c>
      <c r="R547" t="s">
        <v>700</v>
      </c>
      <c r="S547" t="s">
        <v>1268</v>
      </c>
      <c r="T547" t="s">
        <v>272</v>
      </c>
      <c r="U547"/>
    </row>
    <row r="548" spans="1:21" x14ac:dyDescent="0.25">
      <c r="A548">
        <v>502922</v>
      </c>
      <c r="B548" t="s">
        <v>406</v>
      </c>
      <c r="C548">
        <v>5</v>
      </c>
      <c r="D548">
        <v>-10</v>
      </c>
      <c r="E548">
        <v>-10</v>
      </c>
      <c r="F548">
        <v>3</v>
      </c>
      <c r="G548">
        <v>-12</v>
      </c>
      <c r="H548">
        <v>52</v>
      </c>
      <c r="I548">
        <v>0</v>
      </c>
      <c r="J548">
        <v>0.1</v>
      </c>
      <c r="K548">
        <v>0.74</v>
      </c>
      <c r="L548">
        <v>1.84</v>
      </c>
      <c r="M548">
        <v>17.3</v>
      </c>
      <c r="N548">
        <v>0.9</v>
      </c>
      <c r="O548" t="s">
        <v>169</v>
      </c>
      <c r="P548" s="379">
        <v>41383</v>
      </c>
      <c r="Q548" t="s">
        <v>57</v>
      </c>
      <c r="R548" t="s">
        <v>999</v>
      </c>
      <c r="S548" t="s">
        <v>464</v>
      </c>
      <c r="T548" t="s">
        <v>606</v>
      </c>
      <c r="U548"/>
    </row>
    <row r="549" spans="1:21" x14ac:dyDescent="0.25">
      <c r="A549">
        <v>170894</v>
      </c>
      <c r="B549" t="s">
        <v>408</v>
      </c>
      <c r="C549">
        <v>15</v>
      </c>
      <c r="D549">
        <v>2</v>
      </c>
      <c r="E549">
        <v>16</v>
      </c>
      <c r="F549">
        <v>13</v>
      </c>
      <c r="G549">
        <v>6</v>
      </c>
      <c r="H549">
        <v>43</v>
      </c>
      <c r="I549">
        <v>101</v>
      </c>
      <c r="J549">
        <v>15</v>
      </c>
      <c r="K549">
        <v>0.75</v>
      </c>
      <c r="L549">
        <v>1.88</v>
      </c>
      <c r="M549">
        <v>17.3</v>
      </c>
      <c r="N549">
        <v>0.8</v>
      </c>
      <c r="O549" t="s">
        <v>261</v>
      </c>
      <c r="P549" s="379">
        <v>39316</v>
      </c>
      <c r="Q549" t="s">
        <v>57</v>
      </c>
      <c r="R549" t="s">
        <v>1109</v>
      </c>
      <c r="S549" t="s">
        <v>1325</v>
      </c>
      <c r="T549" t="s">
        <v>617</v>
      </c>
      <c r="U549"/>
    </row>
    <row r="550" spans="1:21" x14ac:dyDescent="0.25">
      <c r="A550">
        <v>666370</v>
      </c>
      <c r="B550" t="s">
        <v>1210</v>
      </c>
      <c r="C550">
        <v>12</v>
      </c>
      <c r="D550">
        <v>-11</v>
      </c>
      <c r="E550">
        <v>-3</v>
      </c>
      <c r="F550">
        <v>7</v>
      </c>
      <c r="G550">
        <v>-2</v>
      </c>
      <c r="H550">
        <v>49</v>
      </c>
      <c r="I550">
        <v>89</v>
      </c>
      <c r="J550">
        <v>13.6</v>
      </c>
      <c r="K550">
        <v>0.76</v>
      </c>
      <c r="L550">
        <v>1.9</v>
      </c>
      <c r="M550">
        <v>14.2</v>
      </c>
      <c r="N550">
        <v>1</v>
      </c>
      <c r="O550" t="s">
        <v>261</v>
      </c>
      <c r="P550" s="379">
        <v>40382</v>
      </c>
      <c r="Q550" t="s">
        <v>57</v>
      </c>
      <c r="R550" t="s">
        <v>787</v>
      </c>
      <c r="S550" t="s">
        <v>467</v>
      </c>
      <c r="T550" t="s">
        <v>259</v>
      </c>
      <c r="U550"/>
    </row>
    <row r="551" spans="1:21" x14ac:dyDescent="0.25">
      <c r="A551">
        <v>992099</v>
      </c>
      <c r="B551" t="s">
        <v>554</v>
      </c>
      <c r="C551">
        <v>9</v>
      </c>
      <c r="D551">
        <v>-8</v>
      </c>
      <c r="E551">
        <v>-3</v>
      </c>
      <c r="F551">
        <v>5</v>
      </c>
      <c r="G551">
        <v>0</v>
      </c>
      <c r="H551">
        <v>41</v>
      </c>
      <c r="I551">
        <v>59</v>
      </c>
      <c r="J551">
        <v>9.6999999999999993</v>
      </c>
      <c r="K551">
        <v>0.76</v>
      </c>
      <c r="L551">
        <v>1.9</v>
      </c>
      <c r="M551">
        <v>12.8</v>
      </c>
      <c r="N551">
        <v>1</v>
      </c>
      <c r="O551" t="s">
        <v>261</v>
      </c>
      <c r="P551" s="379">
        <v>36790</v>
      </c>
      <c r="Q551" t="s">
        <v>57</v>
      </c>
      <c r="R551" t="s">
        <v>1038</v>
      </c>
      <c r="S551" t="s">
        <v>467</v>
      </c>
      <c r="T551" t="s">
        <v>609</v>
      </c>
      <c r="U551"/>
    </row>
    <row r="552" spans="1:21" x14ac:dyDescent="0.25">
      <c r="A552">
        <v>413021</v>
      </c>
      <c r="B552" t="s">
        <v>515</v>
      </c>
      <c r="C552">
        <v>14</v>
      </c>
      <c r="D552">
        <v>-1</v>
      </c>
      <c r="E552">
        <v>4</v>
      </c>
      <c r="F552">
        <v>12</v>
      </c>
      <c r="G552">
        <v>2</v>
      </c>
      <c r="H552">
        <v>27</v>
      </c>
      <c r="I552">
        <v>24</v>
      </c>
      <c r="J552">
        <v>4.4000000000000004</v>
      </c>
      <c r="K552">
        <v>0.76</v>
      </c>
      <c r="L552">
        <v>1.9</v>
      </c>
      <c r="M552">
        <v>9.1999999999999993</v>
      </c>
      <c r="N552">
        <v>1</v>
      </c>
      <c r="O552" t="s">
        <v>169</v>
      </c>
      <c r="P552" s="379">
        <v>41786</v>
      </c>
      <c r="Q552" t="s">
        <v>57</v>
      </c>
      <c r="R552" t="s">
        <v>1086</v>
      </c>
      <c r="S552" t="s">
        <v>371</v>
      </c>
      <c r="T552" t="s">
        <v>228</v>
      </c>
      <c r="U552"/>
    </row>
    <row r="553" spans="1:21" x14ac:dyDescent="0.25">
      <c r="A553">
        <v>956268</v>
      </c>
      <c r="B553" t="s">
        <v>1357</v>
      </c>
      <c r="C553">
        <v>16</v>
      </c>
      <c r="D553">
        <v>-1</v>
      </c>
      <c r="E553">
        <v>1</v>
      </c>
      <c r="F553">
        <v>13</v>
      </c>
      <c r="G553">
        <v>20</v>
      </c>
      <c r="H553">
        <v>51</v>
      </c>
      <c r="I553">
        <v>23</v>
      </c>
      <c r="J553">
        <v>4.2</v>
      </c>
      <c r="K553">
        <v>0.76</v>
      </c>
      <c r="L553">
        <v>1.9</v>
      </c>
      <c r="M553">
        <v>20.2</v>
      </c>
      <c r="N553">
        <v>0.8</v>
      </c>
      <c r="O553" t="s">
        <v>261</v>
      </c>
      <c r="P553" s="379">
        <v>36790</v>
      </c>
      <c r="Q553" t="s">
        <v>57</v>
      </c>
      <c r="R553" t="s">
        <v>714</v>
      </c>
      <c r="S553" t="s">
        <v>467</v>
      </c>
      <c r="T553" t="s">
        <v>272</v>
      </c>
      <c r="U553"/>
    </row>
    <row r="554" spans="1:21" x14ac:dyDescent="0.25">
      <c r="A554">
        <v>660290</v>
      </c>
      <c r="B554" t="s">
        <v>424</v>
      </c>
      <c r="C554">
        <v>7</v>
      </c>
      <c r="D554">
        <v>-5</v>
      </c>
      <c r="E554">
        <v>-4</v>
      </c>
      <c r="F554">
        <v>2</v>
      </c>
      <c r="G554">
        <v>-14</v>
      </c>
      <c r="H554">
        <v>29</v>
      </c>
      <c r="I554">
        <v>67</v>
      </c>
      <c r="J554">
        <v>10.8</v>
      </c>
      <c r="K554">
        <v>0.77</v>
      </c>
      <c r="L554">
        <v>2.0299999999999998</v>
      </c>
      <c r="M554">
        <v>11.8</v>
      </c>
      <c r="N554">
        <v>0.8</v>
      </c>
      <c r="O554" t="s">
        <v>135</v>
      </c>
      <c r="P554" s="379">
        <v>40480</v>
      </c>
      <c r="Q554" t="s">
        <v>136</v>
      </c>
      <c r="R554" t="s">
        <v>1416</v>
      </c>
      <c r="S554" t="s">
        <v>157</v>
      </c>
      <c r="T554" t="s">
        <v>259</v>
      </c>
      <c r="U554"/>
    </row>
    <row r="555" spans="1:21" x14ac:dyDescent="0.25">
      <c r="A555">
        <v>670091</v>
      </c>
      <c r="B555" t="s">
        <v>647</v>
      </c>
      <c r="C555">
        <v>12</v>
      </c>
      <c r="D555">
        <v>-6</v>
      </c>
      <c r="E555">
        <v>1</v>
      </c>
      <c r="F555">
        <v>7</v>
      </c>
      <c r="G555">
        <v>-1</v>
      </c>
      <c r="H555">
        <v>54</v>
      </c>
      <c r="I555">
        <v>53</v>
      </c>
      <c r="J555">
        <v>8.9</v>
      </c>
      <c r="K555">
        <v>0.77</v>
      </c>
      <c r="L555">
        <v>1.92</v>
      </c>
      <c r="M555">
        <v>11.9</v>
      </c>
      <c r="N555">
        <v>1.3</v>
      </c>
      <c r="O555" t="s">
        <v>169</v>
      </c>
      <c r="P555" s="379">
        <v>39171</v>
      </c>
      <c r="Q555" t="s">
        <v>57</v>
      </c>
      <c r="R555" t="s">
        <v>1132</v>
      </c>
      <c r="S555" t="s">
        <v>371</v>
      </c>
      <c r="T555" t="s">
        <v>228</v>
      </c>
      <c r="U555"/>
    </row>
    <row r="556" spans="1:21" x14ac:dyDescent="0.25">
      <c r="A556">
        <v>296749</v>
      </c>
      <c r="B556" t="s">
        <v>572</v>
      </c>
      <c r="C556">
        <v>18</v>
      </c>
      <c r="D556">
        <v>-8</v>
      </c>
      <c r="E556">
        <v>2</v>
      </c>
      <c r="F556">
        <v>9</v>
      </c>
      <c r="G556">
        <v>5</v>
      </c>
      <c r="H556">
        <v>70</v>
      </c>
      <c r="I556">
        <v>144</v>
      </c>
      <c r="J556">
        <v>19.600000000000001</v>
      </c>
      <c r="K556">
        <v>0.79</v>
      </c>
      <c r="L556">
        <v>2.71</v>
      </c>
      <c r="M556">
        <v>14.4</v>
      </c>
      <c r="N556">
        <v>1.3</v>
      </c>
      <c r="O556" t="s">
        <v>261</v>
      </c>
      <c r="P556" s="379">
        <v>36789</v>
      </c>
      <c r="Q556" t="s">
        <v>57</v>
      </c>
      <c r="R556" t="s">
        <v>709</v>
      </c>
      <c r="S556" t="s">
        <v>1278</v>
      </c>
      <c r="T556" t="s">
        <v>204</v>
      </c>
      <c r="U556"/>
    </row>
    <row r="557" spans="1:21" x14ac:dyDescent="0.25">
      <c r="A557">
        <v>968891</v>
      </c>
      <c r="B557" t="s">
        <v>442</v>
      </c>
      <c r="C557">
        <v>21</v>
      </c>
      <c r="D557">
        <v>-6</v>
      </c>
      <c r="E557">
        <v>2</v>
      </c>
      <c r="F557">
        <v>9</v>
      </c>
      <c r="G557">
        <v>9</v>
      </c>
      <c r="H557">
        <v>43</v>
      </c>
      <c r="I557">
        <v>104</v>
      </c>
      <c r="J557">
        <v>15.3</v>
      </c>
      <c r="K557">
        <v>0.79</v>
      </c>
      <c r="L557">
        <v>2.7</v>
      </c>
      <c r="M557">
        <v>13.9</v>
      </c>
      <c r="N557">
        <v>1</v>
      </c>
      <c r="O557" t="s">
        <v>261</v>
      </c>
      <c r="P557" s="379">
        <v>39023</v>
      </c>
      <c r="Q557" t="s">
        <v>57</v>
      </c>
      <c r="R557" t="s">
        <v>1010</v>
      </c>
      <c r="S557" t="s">
        <v>1278</v>
      </c>
      <c r="T557" t="s">
        <v>223</v>
      </c>
      <c r="U557"/>
    </row>
    <row r="558" spans="1:21" x14ac:dyDescent="0.25">
      <c r="A558">
        <v>874271</v>
      </c>
      <c r="B558" t="s">
        <v>454</v>
      </c>
      <c r="C558">
        <v>13</v>
      </c>
      <c r="D558">
        <v>0</v>
      </c>
      <c r="E558">
        <v>12</v>
      </c>
      <c r="F558">
        <v>12</v>
      </c>
      <c r="G558">
        <v>4</v>
      </c>
      <c r="H558">
        <v>49</v>
      </c>
      <c r="I558">
        <v>101</v>
      </c>
      <c r="J558">
        <v>14.9</v>
      </c>
      <c r="K558">
        <v>0.79</v>
      </c>
      <c r="L558">
        <v>2.37</v>
      </c>
      <c r="M558">
        <v>15.9</v>
      </c>
      <c r="N558">
        <v>0.9</v>
      </c>
      <c r="O558" t="s">
        <v>261</v>
      </c>
      <c r="P558" s="379">
        <v>36789</v>
      </c>
      <c r="Q558" t="s">
        <v>57</v>
      </c>
      <c r="R558" t="s">
        <v>1112</v>
      </c>
      <c r="S558" t="s">
        <v>1278</v>
      </c>
      <c r="T558" t="s">
        <v>617</v>
      </c>
      <c r="U558"/>
    </row>
    <row r="559" spans="1:21" x14ac:dyDescent="0.25">
      <c r="A559">
        <v>882126</v>
      </c>
      <c r="B559" t="s">
        <v>444</v>
      </c>
      <c r="C559">
        <v>16</v>
      </c>
      <c r="D559">
        <v>-11</v>
      </c>
      <c r="E559">
        <v>-3</v>
      </c>
      <c r="F559">
        <v>9</v>
      </c>
      <c r="G559">
        <v>-9</v>
      </c>
      <c r="H559">
        <v>57</v>
      </c>
      <c r="I559">
        <v>86</v>
      </c>
      <c r="J559">
        <v>13.2</v>
      </c>
      <c r="K559">
        <v>0.79</v>
      </c>
      <c r="L559">
        <v>2.35</v>
      </c>
      <c r="M559">
        <v>16</v>
      </c>
      <c r="N559">
        <v>1</v>
      </c>
      <c r="O559" t="s">
        <v>261</v>
      </c>
      <c r="P559" s="379">
        <v>37945</v>
      </c>
      <c r="Q559" t="s">
        <v>57</v>
      </c>
      <c r="R559" t="s">
        <v>677</v>
      </c>
      <c r="S559" t="s">
        <v>1278</v>
      </c>
      <c r="T559" t="s">
        <v>259</v>
      </c>
      <c r="U559"/>
    </row>
    <row r="560" spans="1:21" x14ac:dyDescent="0.25">
      <c r="A560">
        <v>917955</v>
      </c>
      <c r="B560" t="s">
        <v>445</v>
      </c>
      <c r="C560">
        <v>15</v>
      </c>
      <c r="D560">
        <v>-10</v>
      </c>
      <c r="E560">
        <v>-1</v>
      </c>
      <c r="F560">
        <v>9</v>
      </c>
      <c r="G560">
        <v>-7</v>
      </c>
      <c r="H560">
        <v>53</v>
      </c>
      <c r="I560">
        <v>83</v>
      </c>
      <c r="J560">
        <v>12.8</v>
      </c>
      <c r="K560">
        <v>0.79</v>
      </c>
      <c r="L560">
        <v>2.38</v>
      </c>
      <c r="M560">
        <v>15.1</v>
      </c>
      <c r="N560">
        <v>1</v>
      </c>
      <c r="O560" t="s">
        <v>261</v>
      </c>
      <c r="P560" s="379">
        <v>37931</v>
      </c>
      <c r="Q560" t="s">
        <v>57</v>
      </c>
      <c r="R560" t="s">
        <v>1036</v>
      </c>
      <c r="S560" t="s">
        <v>1278</v>
      </c>
      <c r="T560" t="s">
        <v>609</v>
      </c>
      <c r="U560"/>
    </row>
    <row r="561" spans="1:21" x14ac:dyDescent="0.25">
      <c r="A561">
        <v>690693</v>
      </c>
      <c r="B561" t="s">
        <v>453</v>
      </c>
      <c r="C561">
        <v>17</v>
      </c>
      <c r="D561">
        <v>-6</v>
      </c>
      <c r="E561">
        <v>1</v>
      </c>
      <c r="F561">
        <v>7</v>
      </c>
      <c r="G561">
        <v>3</v>
      </c>
      <c r="H561">
        <v>43</v>
      </c>
      <c r="I561">
        <v>76</v>
      </c>
      <c r="J561">
        <v>12</v>
      </c>
      <c r="K561">
        <v>0.79</v>
      </c>
      <c r="L561">
        <v>2.91</v>
      </c>
      <c r="M561">
        <v>12.8</v>
      </c>
      <c r="N561">
        <v>1</v>
      </c>
      <c r="O561" t="s">
        <v>261</v>
      </c>
      <c r="P561" s="379">
        <v>39869</v>
      </c>
      <c r="Q561" t="s">
        <v>57</v>
      </c>
      <c r="R561" t="s">
        <v>670</v>
      </c>
      <c r="S561" t="s">
        <v>1278</v>
      </c>
      <c r="T561" t="s">
        <v>154</v>
      </c>
      <c r="U561"/>
    </row>
    <row r="562" spans="1:21" x14ac:dyDescent="0.25">
      <c r="A562">
        <v>339473</v>
      </c>
      <c r="B562" t="s">
        <v>584</v>
      </c>
      <c r="C562">
        <v>22</v>
      </c>
      <c r="D562">
        <v>-7</v>
      </c>
      <c r="E562">
        <v>4</v>
      </c>
      <c r="F562">
        <v>11</v>
      </c>
      <c r="G562">
        <v>0</v>
      </c>
      <c r="H562">
        <v>37</v>
      </c>
      <c r="I562">
        <v>76</v>
      </c>
      <c r="J562">
        <v>11.9</v>
      </c>
      <c r="K562">
        <v>0.79</v>
      </c>
      <c r="L562">
        <v>1.99</v>
      </c>
      <c r="M562">
        <v>15.1</v>
      </c>
      <c r="N562">
        <v>0.8</v>
      </c>
      <c r="O562" t="s">
        <v>169</v>
      </c>
      <c r="P562" s="379">
        <v>42732</v>
      </c>
      <c r="Q562" t="s">
        <v>57</v>
      </c>
      <c r="R562" t="s">
        <v>1115</v>
      </c>
      <c r="S562" t="s">
        <v>404</v>
      </c>
      <c r="T562" t="s">
        <v>244</v>
      </c>
      <c r="U562"/>
    </row>
    <row r="563" spans="1:21" x14ac:dyDescent="0.25">
      <c r="A563">
        <v>189258</v>
      </c>
      <c r="B563" t="s">
        <v>437</v>
      </c>
      <c r="C563">
        <v>19</v>
      </c>
      <c r="D563">
        <v>-4</v>
      </c>
      <c r="E563">
        <v>3</v>
      </c>
      <c r="F563">
        <v>10</v>
      </c>
      <c r="G563">
        <v>10</v>
      </c>
      <c r="H563">
        <v>37</v>
      </c>
      <c r="I563">
        <v>74</v>
      </c>
      <c r="J563">
        <v>11.7</v>
      </c>
      <c r="K563">
        <v>0.79</v>
      </c>
      <c r="L563">
        <v>2.7</v>
      </c>
      <c r="M563">
        <v>11.6</v>
      </c>
      <c r="N563">
        <v>1</v>
      </c>
      <c r="O563" t="s">
        <v>169</v>
      </c>
      <c r="P563" s="379">
        <v>36789</v>
      </c>
      <c r="Q563" t="s">
        <v>57</v>
      </c>
      <c r="R563" t="s">
        <v>849</v>
      </c>
      <c r="S563" t="s">
        <v>1278</v>
      </c>
      <c r="T563" t="s">
        <v>606</v>
      </c>
      <c r="U563"/>
    </row>
    <row r="564" spans="1:21" x14ac:dyDescent="0.25">
      <c r="A564">
        <v>688986</v>
      </c>
      <c r="B564" t="s">
        <v>495</v>
      </c>
      <c r="C564">
        <v>13</v>
      </c>
      <c r="D564">
        <v>-2</v>
      </c>
      <c r="E564">
        <v>-1</v>
      </c>
      <c r="F564">
        <v>0</v>
      </c>
      <c r="G564">
        <v>12</v>
      </c>
      <c r="H564">
        <v>25</v>
      </c>
      <c r="I564">
        <v>73</v>
      </c>
      <c r="J564">
        <v>11.6</v>
      </c>
      <c r="K564">
        <v>0.79</v>
      </c>
      <c r="L564">
        <v>2.72</v>
      </c>
      <c r="M564">
        <v>14.1</v>
      </c>
      <c r="N564">
        <v>0.6</v>
      </c>
      <c r="O564" t="s">
        <v>261</v>
      </c>
      <c r="P564" s="379">
        <v>38183</v>
      </c>
      <c r="Q564" t="s">
        <v>57</v>
      </c>
      <c r="R564" t="s">
        <v>1139</v>
      </c>
      <c r="S564" t="s">
        <v>1278</v>
      </c>
      <c r="T564" t="s">
        <v>612</v>
      </c>
      <c r="U564"/>
    </row>
    <row r="565" spans="1:21" x14ac:dyDescent="0.25">
      <c r="A565">
        <v>260919</v>
      </c>
      <c r="B565" t="s">
        <v>440</v>
      </c>
      <c r="C565">
        <v>18</v>
      </c>
      <c r="D565">
        <v>-4</v>
      </c>
      <c r="E565">
        <v>-5</v>
      </c>
      <c r="F565">
        <v>3</v>
      </c>
      <c r="G565">
        <v>1</v>
      </c>
      <c r="H565">
        <v>24</v>
      </c>
      <c r="I565">
        <v>72</v>
      </c>
      <c r="J565">
        <v>11.4</v>
      </c>
      <c r="K565">
        <v>0.79</v>
      </c>
      <c r="L565">
        <v>2.71</v>
      </c>
      <c r="M565">
        <v>21.3</v>
      </c>
      <c r="N565">
        <v>0.5</v>
      </c>
      <c r="O565" t="s">
        <v>261</v>
      </c>
      <c r="P565" s="379">
        <v>36789</v>
      </c>
      <c r="Q565" t="s">
        <v>57</v>
      </c>
      <c r="R565" t="s">
        <v>1125</v>
      </c>
      <c r="S565" t="s">
        <v>1278</v>
      </c>
      <c r="T565" t="s">
        <v>612</v>
      </c>
      <c r="U565"/>
    </row>
    <row r="566" spans="1:21" x14ac:dyDescent="0.25">
      <c r="A566">
        <v>925099</v>
      </c>
      <c r="B566" t="s">
        <v>452</v>
      </c>
      <c r="C566">
        <v>23</v>
      </c>
      <c r="D566">
        <v>-1</v>
      </c>
      <c r="E566">
        <v>8</v>
      </c>
      <c r="F566">
        <v>16</v>
      </c>
      <c r="G566">
        <v>16</v>
      </c>
      <c r="H566">
        <v>80</v>
      </c>
      <c r="I566">
        <v>68</v>
      </c>
      <c r="J566">
        <v>10.9</v>
      </c>
      <c r="K566">
        <v>0.79</v>
      </c>
      <c r="L566">
        <v>2.5</v>
      </c>
      <c r="M566">
        <v>16.7</v>
      </c>
      <c r="N566">
        <v>1.3</v>
      </c>
      <c r="O566" t="s">
        <v>261</v>
      </c>
      <c r="P566" s="379">
        <v>40007</v>
      </c>
      <c r="Q566" t="s">
        <v>57</v>
      </c>
      <c r="R566" t="s">
        <v>671</v>
      </c>
      <c r="S566" t="s">
        <v>1278</v>
      </c>
      <c r="T566" t="s">
        <v>277</v>
      </c>
      <c r="U566"/>
    </row>
    <row r="567" spans="1:21" x14ac:dyDescent="0.25">
      <c r="A567">
        <v>671982</v>
      </c>
      <c r="B567" t="s">
        <v>432</v>
      </c>
      <c r="C567">
        <v>22</v>
      </c>
      <c r="D567">
        <v>1</v>
      </c>
      <c r="E567">
        <v>6</v>
      </c>
      <c r="F567">
        <v>14</v>
      </c>
      <c r="G567">
        <v>17</v>
      </c>
      <c r="H567">
        <v>75</v>
      </c>
      <c r="I567">
        <v>67</v>
      </c>
      <c r="J567">
        <v>10.8</v>
      </c>
      <c r="K567">
        <v>0.79</v>
      </c>
      <c r="L567">
        <v>2.54</v>
      </c>
      <c r="M567">
        <v>15</v>
      </c>
      <c r="N567">
        <v>1.3</v>
      </c>
      <c r="O567" t="s">
        <v>135</v>
      </c>
      <c r="P567" s="379">
        <v>38106</v>
      </c>
      <c r="Q567" t="s">
        <v>136</v>
      </c>
      <c r="R567" t="s">
        <v>800</v>
      </c>
      <c r="S567" t="s">
        <v>188</v>
      </c>
      <c r="T567" t="s">
        <v>277</v>
      </c>
      <c r="U567"/>
    </row>
    <row r="568" spans="1:21" x14ac:dyDescent="0.25">
      <c r="A568">
        <v>440065</v>
      </c>
      <c r="B568" t="s">
        <v>446</v>
      </c>
      <c r="C568">
        <v>18</v>
      </c>
      <c r="D568">
        <v>-7</v>
      </c>
      <c r="E568">
        <v>1</v>
      </c>
      <c r="F568">
        <v>11</v>
      </c>
      <c r="G568">
        <v>-5</v>
      </c>
      <c r="H568">
        <v>27</v>
      </c>
      <c r="I568">
        <v>51</v>
      </c>
      <c r="J568">
        <v>8.6</v>
      </c>
      <c r="K568">
        <v>0.79</v>
      </c>
      <c r="L568">
        <v>2.62</v>
      </c>
      <c r="M568">
        <v>15.4</v>
      </c>
      <c r="N568">
        <v>0.6</v>
      </c>
      <c r="O568" t="s">
        <v>169</v>
      </c>
      <c r="P568" s="379">
        <v>36789</v>
      </c>
      <c r="Q568" t="s">
        <v>57</v>
      </c>
      <c r="R568" t="s">
        <v>990</v>
      </c>
      <c r="S568" t="s">
        <v>1278</v>
      </c>
      <c r="T568" t="s">
        <v>607</v>
      </c>
      <c r="U568"/>
    </row>
    <row r="569" spans="1:21" x14ac:dyDescent="0.25">
      <c r="A569">
        <v>923383</v>
      </c>
      <c r="B569" t="s">
        <v>443</v>
      </c>
      <c r="C569">
        <v>18</v>
      </c>
      <c r="D569">
        <v>-5</v>
      </c>
      <c r="E569">
        <v>4</v>
      </c>
      <c r="F569">
        <v>9</v>
      </c>
      <c r="G569">
        <v>0</v>
      </c>
      <c r="H569">
        <v>45</v>
      </c>
      <c r="I569">
        <v>43</v>
      </c>
      <c r="J569">
        <v>7.4</v>
      </c>
      <c r="K569">
        <v>0.79</v>
      </c>
      <c r="L569">
        <v>2.7</v>
      </c>
      <c r="M569">
        <v>12.4</v>
      </c>
      <c r="N569">
        <v>1.1000000000000001</v>
      </c>
      <c r="O569" t="s">
        <v>169</v>
      </c>
      <c r="P569" s="379">
        <v>38504</v>
      </c>
      <c r="Q569" t="s">
        <v>57</v>
      </c>
      <c r="R569" t="s">
        <v>907</v>
      </c>
      <c r="S569" t="s">
        <v>1278</v>
      </c>
      <c r="T569" t="s">
        <v>154</v>
      </c>
      <c r="U569"/>
    </row>
    <row r="570" spans="1:21" x14ac:dyDescent="0.25">
      <c r="A570">
        <v>404236</v>
      </c>
      <c r="B570" t="s">
        <v>455</v>
      </c>
      <c r="C570">
        <v>15</v>
      </c>
      <c r="D570">
        <v>-7</v>
      </c>
      <c r="E570">
        <v>-1</v>
      </c>
      <c r="F570">
        <v>9</v>
      </c>
      <c r="G570">
        <v>-2</v>
      </c>
      <c r="H570">
        <v>40</v>
      </c>
      <c r="I570">
        <v>42</v>
      </c>
      <c r="J570">
        <v>7.2</v>
      </c>
      <c r="K570">
        <v>0.79</v>
      </c>
      <c r="L570">
        <v>2.37</v>
      </c>
      <c r="M570">
        <v>13</v>
      </c>
      <c r="N570">
        <v>0.9</v>
      </c>
      <c r="O570" t="s">
        <v>261</v>
      </c>
      <c r="P570" s="379">
        <v>36789</v>
      </c>
      <c r="Q570" t="s">
        <v>57</v>
      </c>
      <c r="R570" t="s">
        <v>690</v>
      </c>
      <c r="S570" t="s">
        <v>1278</v>
      </c>
      <c r="T570" t="s">
        <v>228</v>
      </c>
      <c r="U570"/>
    </row>
    <row r="571" spans="1:21" x14ac:dyDescent="0.25">
      <c r="A571">
        <v>755033</v>
      </c>
      <c r="B571" t="s">
        <v>438</v>
      </c>
      <c r="C571">
        <v>5</v>
      </c>
      <c r="D571">
        <v>-12</v>
      </c>
      <c r="E571">
        <v>-8</v>
      </c>
      <c r="F571">
        <v>-5</v>
      </c>
      <c r="G571">
        <v>-21</v>
      </c>
      <c r="H571">
        <v>19</v>
      </c>
      <c r="I571">
        <v>38</v>
      </c>
      <c r="J571">
        <v>6.6</v>
      </c>
      <c r="K571">
        <v>0.79</v>
      </c>
      <c r="L571">
        <v>2.72</v>
      </c>
      <c r="M571">
        <v>17.399999999999999</v>
      </c>
      <c r="N571">
        <v>0.4</v>
      </c>
      <c r="O571" t="s">
        <v>261</v>
      </c>
      <c r="P571" s="379">
        <v>40422</v>
      </c>
      <c r="Q571" t="s">
        <v>57</v>
      </c>
      <c r="R571" t="s">
        <v>1020</v>
      </c>
      <c r="S571" t="s">
        <v>1278</v>
      </c>
      <c r="T571" t="s">
        <v>606</v>
      </c>
      <c r="U571"/>
    </row>
    <row r="572" spans="1:21" x14ac:dyDescent="0.25">
      <c r="A572">
        <v>887497</v>
      </c>
      <c r="B572" t="s">
        <v>441</v>
      </c>
      <c r="C572">
        <v>18</v>
      </c>
      <c r="D572">
        <v>-9</v>
      </c>
      <c r="E572">
        <v>0</v>
      </c>
      <c r="F572">
        <v>8</v>
      </c>
      <c r="G572">
        <v>-4</v>
      </c>
      <c r="H572">
        <v>29</v>
      </c>
      <c r="I572">
        <v>30</v>
      </c>
      <c r="J572">
        <v>5.5</v>
      </c>
      <c r="K572">
        <v>0.79</v>
      </c>
      <c r="L572">
        <v>2.7</v>
      </c>
      <c r="M572">
        <v>15</v>
      </c>
      <c r="N572">
        <v>0.7</v>
      </c>
      <c r="O572" t="s">
        <v>261</v>
      </c>
      <c r="P572" s="379">
        <v>39281</v>
      </c>
      <c r="Q572" t="s">
        <v>57</v>
      </c>
      <c r="R572" t="s">
        <v>1021</v>
      </c>
      <c r="S572" t="s">
        <v>1278</v>
      </c>
      <c r="T572" t="s">
        <v>606</v>
      </c>
      <c r="U572"/>
    </row>
    <row r="573" spans="1:21" x14ac:dyDescent="0.25">
      <c r="A573">
        <v>368407</v>
      </c>
      <c r="B573" t="s">
        <v>549</v>
      </c>
      <c r="C573">
        <v>20</v>
      </c>
      <c r="D573">
        <v>-1</v>
      </c>
      <c r="E573">
        <v>4</v>
      </c>
      <c r="F573">
        <v>11</v>
      </c>
      <c r="G573">
        <v>7</v>
      </c>
      <c r="H573">
        <v>44</v>
      </c>
      <c r="I573">
        <v>16</v>
      </c>
      <c r="J573">
        <v>3.1</v>
      </c>
      <c r="K573">
        <v>0.79</v>
      </c>
      <c r="L573">
        <v>2.5299999999999998</v>
      </c>
      <c r="M573">
        <v>14.3</v>
      </c>
      <c r="N573">
        <v>1</v>
      </c>
      <c r="O573" t="s">
        <v>169</v>
      </c>
      <c r="P573" s="379">
        <v>36789</v>
      </c>
      <c r="Q573" t="s">
        <v>57</v>
      </c>
      <c r="R573" t="s">
        <v>987</v>
      </c>
      <c r="S573" t="s">
        <v>1278</v>
      </c>
      <c r="T573" t="s">
        <v>247</v>
      </c>
      <c r="U573"/>
    </row>
    <row r="574" spans="1:21" x14ac:dyDescent="0.25">
      <c r="A574">
        <v>558700</v>
      </c>
      <c r="B574" t="s">
        <v>651</v>
      </c>
      <c r="C574">
        <v>20</v>
      </c>
      <c r="D574">
        <v>-12</v>
      </c>
      <c r="E574">
        <v>1</v>
      </c>
      <c r="F574">
        <v>9</v>
      </c>
      <c r="G574">
        <v>6</v>
      </c>
      <c r="H574">
        <v>77</v>
      </c>
      <c r="I574"/>
      <c r="J574"/>
      <c r="K574">
        <v>0.79</v>
      </c>
      <c r="L574">
        <v>2.69</v>
      </c>
      <c r="M574">
        <v>17.8</v>
      </c>
      <c r="N574">
        <v>1.2</v>
      </c>
      <c r="O574" t="s">
        <v>261</v>
      </c>
      <c r="P574" s="379">
        <v>42740</v>
      </c>
      <c r="Q574" t="s">
        <v>57</v>
      </c>
      <c r="R574" t="s">
        <v>896</v>
      </c>
      <c r="S574" t="s">
        <v>1278</v>
      </c>
      <c r="T574" t="s">
        <v>223</v>
      </c>
      <c r="U574"/>
    </row>
    <row r="575" spans="1:21" x14ac:dyDescent="0.25">
      <c r="A575">
        <v>202002</v>
      </c>
      <c r="B575" t="s">
        <v>413</v>
      </c>
      <c r="C575">
        <v>20</v>
      </c>
      <c r="D575">
        <v>-4</v>
      </c>
      <c r="E575">
        <v>5</v>
      </c>
      <c r="F575">
        <v>9</v>
      </c>
      <c r="G575">
        <v>5</v>
      </c>
      <c r="H575">
        <v>50</v>
      </c>
      <c r="I575">
        <v>94</v>
      </c>
      <c r="J575">
        <v>14.1</v>
      </c>
      <c r="K575">
        <v>0.8</v>
      </c>
      <c r="L575">
        <v>2</v>
      </c>
      <c r="M575">
        <v>13.6</v>
      </c>
      <c r="N575">
        <v>1.1000000000000001</v>
      </c>
      <c r="O575" t="s">
        <v>169</v>
      </c>
      <c r="P575" s="379">
        <v>36906</v>
      </c>
      <c r="Q575" t="s">
        <v>57</v>
      </c>
      <c r="R575" t="s">
        <v>1140</v>
      </c>
      <c r="S575" t="s">
        <v>414</v>
      </c>
      <c r="T575" t="s">
        <v>154</v>
      </c>
      <c r="U575"/>
    </row>
    <row r="576" spans="1:21" x14ac:dyDescent="0.25">
      <c r="A576">
        <v>333633</v>
      </c>
      <c r="B576" t="s">
        <v>501</v>
      </c>
      <c r="C576">
        <v>13</v>
      </c>
      <c r="D576">
        <v>4</v>
      </c>
      <c r="E576">
        <v>17</v>
      </c>
      <c r="F576">
        <v>10</v>
      </c>
      <c r="G576">
        <v>7</v>
      </c>
      <c r="H576">
        <v>32</v>
      </c>
      <c r="I576">
        <v>81</v>
      </c>
      <c r="J576">
        <v>12.6</v>
      </c>
      <c r="K576">
        <v>0.8</v>
      </c>
      <c r="L576">
        <v>2.6</v>
      </c>
      <c r="M576">
        <v>19.100000000000001</v>
      </c>
      <c r="N576">
        <v>0.6</v>
      </c>
      <c r="O576" t="s">
        <v>261</v>
      </c>
      <c r="P576" s="379">
        <v>39532</v>
      </c>
      <c r="Q576" t="s">
        <v>57</v>
      </c>
      <c r="R576" t="s">
        <v>1384</v>
      </c>
      <c r="S576" t="s">
        <v>1330</v>
      </c>
      <c r="T576" t="s">
        <v>617</v>
      </c>
      <c r="U576"/>
    </row>
    <row r="577" spans="1:21" x14ac:dyDescent="0.25">
      <c r="A577">
        <v>125799</v>
      </c>
      <c r="B577" t="s">
        <v>1364</v>
      </c>
      <c r="C577">
        <v>24</v>
      </c>
      <c r="D577">
        <v>2</v>
      </c>
      <c r="E577">
        <v>10</v>
      </c>
      <c r="F577">
        <v>16</v>
      </c>
      <c r="G577">
        <v>16</v>
      </c>
      <c r="H577">
        <v>81</v>
      </c>
      <c r="I577">
        <v>73</v>
      </c>
      <c r="J577">
        <v>11.6</v>
      </c>
      <c r="K577">
        <v>0.8</v>
      </c>
      <c r="L577">
        <v>2.0099999999999998</v>
      </c>
      <c r="M577">
        <v>14.6</v>
      </c>
      <c r="N577">
        <v>1.4</v>
      </c>
      <c r="O577" t="s">
        <v>169</v>
      </c>
      <c r="P577" s="379">
        <v>41466</v>
      </c>
      <c r="Q577" t="s">
        <v>57</v>
      </c>
      <c r="R577" t="s">
        <v>1365</v>
      </c>
      <c r="S577" t="s">
        <v>1366</v>
      </c>
      <c r="T577" t="s">
        <v>277</v>
      </c>
      <c r="U577"/>
    </row>
    <row r="578" spans="1:21" x14ac:dyDescent="0.25">
      <c r="A578">
        <v>405290</v>
      </c>
      <c r="B578" t="s">
        <v>503</v>
      </c>
      <c r="C578">
        <v>11</v>
      </c>
      <c r="D578">
        <v>-6</v>
      </c>
      <c r="E578">
        <v>-2</v>
      </c>
      <c r="F578">
        <v>1</v>
      </c>
      <c r="G578">
        <v>-3</v>
      </c>
      <c r="H578">
        <v>37</v>
      </c>
      <c r="I578">
        <v>61</v>
      </c>
      <c r="J578">
        <v>10</v>
      </c>
      <c r="K578">
        <v>0.8</v>
      </c>
      <c r="L578">
        <v>2.81</v>
      </c>
      <c r="M578">
        <v>12.7</v>
      </c>
      <c r="N578">
        <v>0.9</v>
      </c>
      <c r="O578" t="s">
        <v>169</v>
      </c>
      <c r="P578" s="379">
        <v>39532</v>
      </c>
      <c r="Q578" t="s">
        <v>57</v>
      </c>
      <c r="R578" t="s">
        <v>1391</v>
      </c>
      <c r="S578" t="s">
        <v>1330</v>
      </c>
      <c r="T578" t="s">
        <v>154</v>
      </c>
      <c r="U578"/>
    </row>
    <row r="579" spans="1:21" x14ac:dyDescent="0.25">
      <c r="A579">
        <v>237834</v>
      </c>
      <c r="B579" t="s">
        <v>418</v>
      </c>
      <c r="C579">
        <v>18</v>
      </c>
      <c r="D579">
        <v>-4</v>
      </c>
      <c r="E579">
        <v>7</v>
      </c>
      <c r="F579">
        <v>10</v>
      </c>
      <c r="G579">
        <v>-3</v>
      </c>
      <c r="H579">
        <v>36</v>
      </c>
      <c r="I579">
        <v>59</v>
      </c>
      <c r="J579">
        <v>9.6999999999999993</v>
      </c>
      <c r="K579">
        <v>0.8</v>
      </c>
      <c r="L579">
        <v>2</v>
      </c>
      <c r="M579">
        <v>13.3</v>
      </c>
      <c r="N579">
        <v>0.9</v>
      </c>
      <c r="O579" t="s">
        <v>169</v>
      </c>
      <c r="P579" s="379">
        <v>36906</v>
      </c>
      <c r="Q579" t="s">
        <v>57</v>
      </c>
      <c r="R579" t="s">
        <v>838</v>
      </c>
      <c r="S579" t="s">
        <v>414</v>
      </c>
      <c r="T579" t="s">
        <v>244</v>
      </c>
      <c r="U579"/>
    </row>
    <row r="580" spans="1:21" x14ac:dyDescent="0.25">
      <c r="A580">
        <v>356063</v>
      </c>
      <c r="B580" t="s">
        <v>416</v>
      </c>
      <c r="C580">
        <v>19</v>
      </c>
      <c r="D580">
        <v>-9</v>
      </c>
      <c r="E580">
        <v>2</v>
      </c>
      <c r="F580">
        <v>9</v>
      </c>
      <c r="G580">
        <v>-7</v>
      </c>
      <c r="H580">
        <v>36</v>
      </c>
      <c r="I580">
        <v>55</v>
      </c>
      <c r="J580">
        <v>9.1999999999999993</v>
      </c>
      <c r="K580">
        <v>0.8</v>
      </c>
      <c r="L580">
        <v>2</v>
      </c>
      <c r="M580">
        <v>16.7</v>
      </c>
      <c r="N580">
        <v>0.7</v>
      </c>
      <c r="O580" t="s">
        <v>169</v>
      </c>
      <c r="P580" s="379">
        <v>40065</v>
      </c>
      <c r="Q580" t="s">
        <v>57</v>
      </c>
      <c r="R580" t="s">
        <v>919</v>
      </c>
      <c r="S580" t="s">
        <v>414</v>
      </c>
      <c r="T580" t="s">
        <v>607</v>
      </c>
      <c r="U580"/>
    </row>
    <row r="581" spans="1:21" x14ac:dyDescent="0.25">
      <c r="A581">
        <v>273664</v>
      </c>
      <c r="B581" t="s">
        <v>415</v>
      </c>
      <c r="C581">
        <v>13</v>
      </c>
      <c r="D581">
        <v>-6</v>
      </c>
      <c r="E581">
        <v>0</v>
      </c>
      <c r="F581">
        <v>7</v>
      </c>
      <c r="G581">
        <v>-10</v>
      </c>
      <c r="H581">
        <v>26</v>
      </c>
      <c r="I581">
        <v>46</v>
      </c>
      <c r="J581">
        <v>7.9</v>
      </c>
      <c r="K581">
        <v>0.8</v>
      </c>
      <c r="L581">
        <v>2</v>
      </c>
      <c r="M581">
        <v>14.4</v>
      </c>
      <c r="N581">
        <v>0.6</v>
      </c>
      <c r="O581" t="s">
        <v>169</v>
      </c>
      <c r="P581" s="379">
        <v>36906</v>
      </c>
      <c r="Q581" t="s">
        <v>57</v>
      </c>
      <c r="R581" t="s">
        <v>1379</v>
      </c>
      <c r="S581" t="s">
        <v>414</v>
      </c>
      <c r="T581" t="s">
        <v>229</v>
      </c>
      <c r="U581"/>
    </row>
    <row r="582" spans="1:21" x14ac:dyDescent="0.25">
      <c r="A582">
        <v>785493</v>
      </c>
      <c r="B582" t="s">
        <v>417</v>
      </c>
      <c r="C582">
        <v>12</v>
      </c>
      <c r="D582">
        <v>-7</v>
      </c>
      <c r="E582">
        <v>-1</v>
      </c>
      <c r="F582">
        <v>4</v>
      </c>
      <c r="G582">
        <v>-15</v>
      </c>
      <c r="H582">
        <v>14</v>
      </c>
      <c r="I582">
        <v>37</v>
      </c>
      <c r="J582">
        <v>6.4</v>
      </c>
      <c r="K582">
        <v>0.8</v>
      </c>
      <c r="L582">
        <v>2</v>
      </c>
      <c r="M582">
        <v>14.9</v>
      </c>
      <c r="N582">
        <v>0.4</v>
      </c>
      <c r="O582" t="s">
        <v>169</v>
      </c>
      <c r="P582" s="379">
        <v>39007</v>
      </c>
      <c r="Q582" t="s">
        <v>57</v>
      </c>
      <c r="R582" t="s">
        <v>1141</v>
      </c>
      <c r="S582" t="s">
        <v>414</v>
      </c>
      <c r="T582" t="s">
        <v>244</v>
      </c>
      <c r="U582"/>
    </row>
    <row r="583" spans="1:21" x14ac:dyDescent="0.25">
      <c r="A583">
        <v>724633</v>
      </c>
      <c r="B583" t="s">
        <v>1346</v>
      </c>
      <c r="C583">
        <v>22</v>
      </c>
      <c r="D583">
        <v>-3</v>
      </c>
      <c r="E583">
        <v>8</v>
      </c>
      <c r="F583">
        <v>11</v>
      </c>
      <c r="G583">
        <v>-3</v>
      </c>
      <c r="H583">
        <v>27</v>
      </c>
      <c r="I583">
        <v>36</v>
      </c>
      <c r="J583">
        <v>6.3</v>
      </c>
      <c r="K583">
        <v>0.8</v>
      </c>
      <c r="L583">
        <v>2</v>
      </c>
      <c r="M583">
        <v>14.2</v>
      </c>
      <c r="N583">
        <v>0.7</v>
      </c>
      <c r="O583" t="s">
        <v>169</v>
      </c>
      <c r="P583" s="379">
        <v>40800</v>
      </c>
      <c r="Q583" t="s">
        <v>57</v>
      </c>
      <c r="R583" t="s">
        <v>1420</v>
      </c>
      <c r="S583" t="s">
        <v>414</v>
      </c>
      <c r="T583" t="s">
        <v>178</v>
      </c>
      <c r="U583"/>
    </row>
    <row r="584" spans="1:21" x14ac:dyDescent="0.25">
      <c r="A584">
        <v>116111</v>
      </c>
      <c r="B584" t="s">
        <v>305</v>
      </c>
      <c r="C584">
        <v>12</v>
      </c>
      <c r="D584">
        <v>-3</v>
      </c>
      <c r="E584">
        <v>0</v>
      </c>
      <c r="F584">
        <v>7</v>
      </c>
      <c r="G584">
        <v>-10</v>
      </c>
      <c r="H584">
        <v>29</v>
      </c>
      <c r="I584">
        <v>34</v>
      </c>
      <c r="J584">
        <v>6</v>
      </c>
      <c r="K584">
        <v>0.8</v>
      </c>
      <c r="L584">
        <v>2</v>
      </c>
      <c r="M584">
        <v>12.4</v>
      </c>
      <c r="N584">
        <v>0.8</v>
      </c>
      <c r="O584" t="s">
        <v>226</v>
      </c>
      <c r="P584" s="379">
        <v>41002</v>
      </c>
      <c r="Q584" t="s">
        <v>57</v>
      </c>
      <c r="R584" t="s">
        <v>1061</v>
      </c>
      <c r="S584" t="s">
        <v>268</v>
      </c>
      <c r="T584" t="s">
        <v>228</v>
      </c>
      <c r="U584"/>
    </row>
    <row r="585" spans="1:21" x14ac:dyDescent="0.25">
      <c r="A585">
        <v>369462</v>
      </c>
      <c r="B585" t="s">
        <v>502</v>
      </c>
      <c r="C585">
        <v>17</v>
      </c>
      <c r="D585">
        <v>1</v>
      </c>
      <c r="E585">
        <v>2</v>
      </c>
      <c r="F585">
        <v>15</v>
      </c>
      <c r="G585">
        <v>22</v>
      </c>
      <c r="H585">
        <v>46</v>
      </c>
      <c r="I585">
        <v>19</v>
      </c>
      <c r="J585">
        <v>3.5</v>
      </c>
      <c r="K585">
        <v>0.8</v>
      </c>
      <c r="L585">
        <v>2.8</v>
      </c>
      <c r="M585">
        <v>19.600000000000001</v>
      </c>
      <c r="N585">
        <v>0.8</v>
      </c>
      <c r="O585" t="s">
        <v>261</v>
      </c>
      <c r="P585" s="379">
        <v>39532</v>
      </c>
      <c r="Q585" t="s">
        <v>57</v>
      </c>
      <c r="R585" t="s">
        <v>1387</v>
      </c>
      <c r="S585" t="s">
        <v>1330</v>
      </c>
      <c r="T585" t="s">
        <v>272</v>
      </c>
      <c r="U585"/>
    </row>
    <row r="586" spans="1:21" x14ac:dyDescent="0.25">
      <c r="A586">
        <v>938498</v>
      </c>
      <c r="B586" t="s">
        <v>504</v>
      </c>
      <c r="C586">
        <v>12</v>
      </c>
      <c r="D586">
        <v>-7</v>
      </c>
      <c r="E586">
        <v>-3</v>
      </c>
      <c r="F586">
        <v>7</v>
      </c>
      <c r="G586">
        <v>-8</v>
      </c>
      <c r="H586">
        <v>51</v>
      </c>
      <c r="I586">
        <v>5</v>
      </c>
      <c r="J586">
        <v>1</v>
      </c>
      <c r="K586">
        <v>0.8</v>
      </c>
      <c r="L586">
        <v>2.76</v>
      </c>
      <c r="M586">
        <v>15.3</v>
      </c>
      <c r="N586">
        <v>1</v>
      </c>
      <c r="O586" t="s">
        <v>169</v>
      </c>
      <c r="P586" s="379">
        <v>39532</v>
      </c>
      <c r="Q586" t="s">
        <v>57</v>
      </c>
      <c r="R586" t="s">
        <v>1443</v>
      </c>
      <c r="S586" t="s">
        <v>1330</v>
      </c>
      <c r="T586" t="s">
        <v>606</v>
      </c>
      <c r="U586"/>
    </row>
    <row r="587" spans="1:21" x14ac:dyDescent="0.25">
      <c r="A587">
        <v>392308</v>
      </c>
      <c r="B587" t="s">
        <v>631</v>
      </c>
      <c r="C587">
        <v>21</v>
      </c>
      <c r="D587">
        <v>-3</v>
      </c>
      <c r="E587">
        <v>4</v>
      </c>
      <c r="F587">
        <v>10</v>
      </c>
      <c r="G587">
        <v>-7</v>
      </c>
      <c r="H587"/>
      <c r="I587"/>
      <c r="J587"/>
      <c r="K587">
        <v>0.8</v>
      </c>
      <c r="L587">
        <v>2</v>
      </c>
      <c r="M587"/>
      <c r="N587"/>
      <c r="O587" t="s">
        <v>169</v>
      </c>
      <c r="P587" s="379">
        <v>42837</v>
      </c>
      <c r="Q587" t="s">
        <v>57</v>
      </c>
      <c r="R587" t="s">
        <v>933</v>
      </c>
      <c r="S587" t="s">
        <v>414</v>
      </c>
      <c r="T587" t="s">
        <v>607</v>
      </c>
      <c r="U587"/>
    </row>
    <row r="588" spans="1:21" x14ac:dyDescent="0.25">
      <c r="A588">
        <v>674101</v>
      </c>
      <c r="B588" t="s">
        <v>564</v>
      </c>
      <c r="C588">
        <v>7</v>
      </c>
      <c r="D588">
        <v>0</v>
      </c>
      <c r="E588">
        <v>0</v>
      </c>
      <c r="F588">
        <v>0</v>
      </c>
      <c r="G588">
        <v>8</v>
      </c>
      <c r="H588">
        <v>34</v>
      </c>
      <c r="I588"/>
      <c r="J588"/>
      <c r="K588">
        <v>0.8</v>
      </c>
      <c r="L588">
        <v>2</v>
      </c>
      <c r="M588">
        <v>12.3</v>
      </c>
      <c r="N588">
        <v>0.9</v>
      </c>
      <c r="O588" t="s">
        <v>226</v>
      </c>
      <c r="P588" s="379">
        <v>42537</v>
      </c>
      <c r="Q588" t="s">
        <v>57</v>
      </c>
      <c r="R588" t="s">
        <v>1073</v>
      </c>
      <c r="S588" t="s">
        <v>268</v>
      </c>
      <c r="T588" t="s">
        <v>223</v>
      </c>
      <c r="U588"/>
    </row>
    <row r="589" spans="1:21" x14ac:dyDescent="0.25">
      <c r="A589">
        <v>538751</v>
      </c>
      <c r="B589" t="s">
        <v>427</v>
      </c>
      <c r="C589">
        <v>23</v>
      </c>
      <c r="D589">
        <v>-7</v>
      </c>
      <c r="E589">
        <v>4</v>
      </c>
      <c r="F589">
        <v>12</v>
      </c>
      <c r="G589">
        <v>-5</v>
      </c>
      <c r="H589">
        <v>32</v>
      </c>
      <c r="I589">
        <v>64</v>
      </c>
      <c r="J589">
        <v>10.4</v>
      </c>
      <c r="K589">
        <v>0.83</v>
      </c>
      <c r="L589">
        <v>2.1</v>
      </c>
      <c r="M589">
        <v>17.2</v>
      </c>
      <c r="N589">
        <v>0.6</v>
      </c>
      <c r="O589" t="s">
        <v>169</v>
      </c>
      <c r="P589" s="379">
        <v>41383</v>
      </c>
      <c r="Q589" t="s">
        <v>57</v>
      </c>
      <c r="R589" t="s">
        <v>1033</v>
      </c>
      <c r="S589" t="s">
        <v>464</v>
      </c>
      <c r="T589" t="s">
        <v>607</v>
      </c>
      <c r="U589"/>
    </row>
    <row r="590" spans="1:21" x14ac:dyDescent="0.25">
      <c r="A590">
        <v>309492</v>
      </c>
      <c r="B590" t="s">
        <v>434</v>
      </c>
      <c r="C590">
        <v>25</v>
      </c>
      <c r="D590">
        <v>-1</v>
      </c>
      <c r="E590">
        <v>9</v>
      </c>
      <c r="F590">
        <v>14</v>
      </c>
      <c r="G590">
        <v>7</v>
      </c>
      <c r="H590">
        <v>34</v>
      </c>
      <c r="I590">
        <v>56</v>
      </c>
      <c r="J590">
        <v>9.3000000000000007</v>
      </c>
      <c r="K590">
        <v>0.85</v>
      </c>
      <c r="L590">
        <v>2.15</v>
      </c>
      <c r="M590">
        <v>13.2</v>
      </c>
      <c r="N590">
        <v>0.8</v>
      </c>
      <c r="O590" t="s">
        <v>169</v>
      </c>
      <c r="P590" s="379">
        <v>36928</v>
      </c>
      <c r="Q590" t="s">
        <v>57</v>
      </c>
      <c r="R590" t="s">
        <v>986</v>
      </c>
      <c r="S590" t="s">
        <v>1276</v>
      </c>
      <c r="T590" t="s">
        <v>178</v>
      </c>
      <c r="U590"/>
    </row>
    <row r="591" spans="1:21" x14ac:dyDescent="0.25">
      <c r="A591">
        <v>772038</v>
      </c>
      <c r="B591" t="s">
        <v>1422</v>
      </c>
      <c r="C591">
        <v>12</v>
      </c>
      <c r="D591">
        <v>0</v>
      </c>
      <c r="E591">
        <v>4</v>
      </c>
      <c r="F591">
        <v>7</v>
      </c>
      <c r="G591">
        <v>-2</v>
      </c>
      <c r="H591">
        <v>52</v>
      </c>
      <c r="I591">
        <v>74</v>
      </c>
      <c r="J591">
        <v>11.8</v>
      </c>
      <c r="K591">
        <v>0.86</v>
      </c>
      <c r="L591">
        <v>2.17</v>
      </c>
      <c r="M591">
        <v>10.199999999999999</v>
      </c>
      <c r="N591">
        <v>1.5</v>
      </c>
      <c r="O591" t="s">
        <v>169</v>
      </c>
      <c r="P591" s="379">
        <v>40476</v>
      </c>
      <c r="Q591" t="s">
        <v>57</v>
      </c>
      <c r="R591" t="s">
        <v>1423</v>
      </c>
      <c r="S591" t="s">
        <v>1366</v>
      </c>
      <c r="T591" t="s">
        <v>247</v>
      </c>
      <c r="U591"/>
    </row>
    <row r="592" spans="1:21" x14ac:dyDescent="0.25">
      <c r="A592">
        <v>555102</v>
      </c>
      <c r="B592" t="s">
        <v>1243</v>
      </c>
      <c r="C592">
        <v>10</v>
      </c>
      <c r="D592">
        <v>-6</v>
      </c>
      <c r="E592">
        <v>-4</v>
      </c>
      <c r="F592">
        <v>1</v>
      </c>
      <c r="G592">
        <v>-3</v>
      </c>
      <c r="H592">
        <v>27</v>
      </c>
      <c r="I592"/>
      <c r="J592"/>
      <c r="K592">
        <v>0.86</v>
      </c>
      <c r="L592">
        <v>2.19</v>
      </c>
      <c r="M592">
        <v>11.3</v>
      </c>
      <c r="N592">
        <v>0.8</v>
      </c>
      <c r="O592" t="s">
        <v>169</v>
      </c>
      <c r="P592" s="379">
        <v>42170</v>
      </c>
      <c r="Q592" t="s">
        <v>57</v>
      </c>
      <c r="R592" t="s">
        <v>897</v>
      </c>
      <c r="S592" t="s">
        <v>1289</v>
      </c>
      <c r="T592" t="s">
        <v>154</v>
      </c>
      <c r="U592"/>
    </row>
    <row r="593" spans="1:21" x14ac:dyDescent="0.25">
      <c r="A593">
        <v>762823</v>
      </c>
      <c r="B593" t="s">
        <v>436</v>
      </c>
      <c r="C593">
        <v>12</v>
      </c>
      <c r="D593">
        <v>-2</v>
      </c>
      <c r="E593">
        <v>0</v>
      </c>
      <c r="F593">
        <v>6</v>
      </c>
      <c r="G593">
        <v>-1</v>
      </c>
      <c r="H593">
        <v>49</v>
      </c>
      <c r="I593">
        <v>89</v>
      </c>
      <c r="J593">
        <v>13.5</v>
      </c>
      <c r="K593">
        <v>0.87</v>
      </c>
      <c r="L593">
        <v>2.54</v>
      </c>
      <c r="M593">
        <v>17.100000000000001</v>
      </c>
      <c r="N593">
        <v>0.9</v>
      </c>
      <c r="O593" t="s">
        <v>135</v>
      </c>
      <c r="P593" s="379">
        <v>41806</v>
      </c>
      <c r="Q593" t="s">
        <v>136</v>
      </c>
      <c r="R593" t="s">
        <v>1083</v>
      </c>
      <c r="S593" t="s">
        <v>435</v>
      </c>
      <c r="T593" t="s">
        <v>229</v>
      </c>
      <c r="U593"/>
    </row>
    <row r="594" spans="1:21" x14ac:dyDescent="0.25">
      <c r="A594">
        <v>861229</v>
      </c>
      <c r="B594" t="s">
        <v>1152</v>
      </c>
      <c r="C594">
        <v>3</v>
      </c>
      <c r="D594">
        <v>-3</v>
      </c>
      <c r="E594">
        <v>-5</v>
      </c>
      <c r="F594">
        <v>-3</v>
      </c>
      <c r="G594">
        <v>-13</v>
      </c>
      <c r="H594">
        <v>28</v>
      </c>
      <c r="I594">
        <v>31</v>
      </c>
      <c r="J594">
        <v>5.5</v>
      </c>
      <c r="K594">
        <v>0.87</v>
      </c>
      <c r="L594">
        <v>2.56</v>
      </c>
      <c r="M594">
        <v>11.6</v>
      </c>
      <c r="N594">
        <v>0.8</v>
      </c>
      <c r="O594" t="s">
        <v>135</v>
      </c>
      <c r="P594" s="379">
        <v>41379</v>
      </c>
      <c r="Q594" t="s">
        <v>136</v>
      </c>
      <c r="R594" t="s">
        <v>922</v>
      </c>
      <c r="S594" t="s">
        <v>435</v>
      </c>
      <c r="T594" t="s">
        <v>228</v>
      </c>
      <c r="U594"/>
    </row>
    <row r="595" spans="1:21" x14ac:dyDescent="0.25">
      <c r="A595">
        <v>878223</v>
      </c>
      <c r="B595" t="s">
        <v>625</v>
      </c>
      <c r="C595">
        <v>9</v>
      </c>
      <c r="D595">
        <v>-4</v>
      </c>
      <c r="E595">
        <v>0</v>
      </c>
      <c r="F595">
        <v>6</v>
      </c>
      <c r="G595">
        <v>-7</v>
      </c>
      <c r="H595">
        <v>6</v>
      </c>
      <c r="I595">
        <v>-26</v>
      </c>
      <c r="J595">
        <v>-5.7</v>
      </c>
      <c r="K595">
        <v>0.87</v>
      </c>
      <c r="L595">
        <v>2.65</v>
      </c>
      <c r="M595">
        <v>16.2</v>
      </c>
      <c r="N595">
        <v>0.2</v>
      </c>
      <c r="O595" t="s">
        <v>135</v>
      </c>
      <c r="P595" s="379">
        <v>41465</v>
      </c>
      <c r="Q595" t="s">
        <v>136</v>
      </c>
      <c r="R595" t="s">
        <v>1437</v>
      </c>
      <c r="S595" t="s">
        <v>435</v>
      </c>
      <c r="T595" t="s">
        <v>228</v>
      </c>
      <c r="U595"/>
    </row>
    <row r="596" spans="1:21" x14ac:dyDescent="0.25">
      <c r="A596">
        <v>705806</v>
      </c>
      <c r="B596" t="s">
        <v>465</v>
      </c>
      <c r="C596">
        <v>-18</v>
      </c>
      <c r="D596">
        <v>-9</v>
      </c>
      <c r="E596">
        <v>-20</v>
      </c>
      <c r="F596">
        <v>-25</v>
      </c>
      <c r="G596">
        <v>-41</v>
      </c>
      <c r="H596">
        <v>-46</v>
      </c>
      <c r="I596">
        <v>-31</v>
      </c>
      <c r="J596">
        <v>-7.3</v>
      </c>
      <c r="K596">
        <v>0.87</v>
      </c>
      <c r="L596">
        <v>2.6</v>
      </c>
      <c r="M596">
        <v>19</v>
      </c>
      <c r="N596">
        <v>-1</v>
      </c>
      <c r="O596" t="s">
        <v>135</v>
      </c>
      <c r="P596" s="379">
        <v>40862</v>
      </c>
      <c r="Q596" t="s">
        <v>136</v>
      </c>
      <c r="R596" t="s">
        <v>1418</v>
      </c>
      <c r="S596" t="s">
        <v>435</v>
      </c>
      <c r="T596" t="s">
        <v>229</v>
      </c>
      <c r="U596"/>
    </row>
    <row r="597" spans="1:21" x14ac:dyDescent="0.25">
      <c r="A597">
        <v>150110</v>
      </c>
      <c r="B597" t="s">
        <v>451</v>
      </c>
      <c r="C597">
        <v>16</v>
      </c>
      <c r="D597">
        <v>-4</v>
      </c>
      <c r="E597">
        <v>4</v>
      </c>
      <c r="F597">
        <v>10</v>
      </c>
      <c r="G597">
        <v>3</v>
      </c>
      <c r="H597">
        <v>55</v>
      </c>
      <c r="I597">
        <v>98</v>
      </c>
      <c r="J597">
        <v>14.6</v>
      </c>
      <c r="K597">
        <v>0.89</v>
      </c>
      <c r="L597">
        <v>2.69</v>
      </c>
      <c r="M597">
        <v>12.8</v>
      </c>
      <c r="N597">
        <v>1.2</v>
      </c>
      <c r="O597" t="s">
        <v>169</v>
      </c>
      <c r="P597" s="379">
        <v>41127</v>
      </c>
      <c r="Q597" t="s">
        <v>57</v>
      </c>
      <c r="R597" t="s">
        <v>1130</v>
      </c>
      <c r="S597" t="s">
        <v>1272</v>
      </c>
      <c r="T597" t="s">
        <v>228</v>
      </c>
      <c r="U597"/>
    </row>
    <row r="598" spans="1:21" x14ac:dyDescent="0.25">
      <c r="A598">
        <v>942623</v>
      </c>
      <c r="B598" t="s">
        <v>448</v>
      </c>
      <c r="C598">
        <v>26</v>
      </c>
      <c r="D598">
        <v>-3</v>
      </c>
      <c r="E598">
        <v>8</v>
      </c>
      <c r="F598">
        <v>18</v>
      </c>
      <c r="G598">
        <v>11</v>
      </c>
      <c r="H598">
        <v>48</v>
      </c>
      <c r="I598">
        <v>88</v>
      </c>
      <c r="J598">
        <v>13.5</v>
      </c>
      <c r="K598">
        <v>0.89</v>
      </c>
      <c r="L598">
        <v>2.66</v>
      </c>
      <c r="M598">
        <v>13.3</v>
      </c>
      <c r="N598">
        <v>1.1000000000000001</v>
      </c>
      <c r="O598" t="s">
        <v>169</v>
      </c>
      <c r="P598" s="379">
        <v>41127</v>
      </c>
      <c r="Q598" t="s">
        <v>57</v>
      </c>
      <c r="R598" t="s">
        <v>833</v>
      </c>
      <c r="S598" t="s">
        <v>1272</v>
      </c>
      <c r="T598" t="s">
        <v>178</v>
      </c>
      <c r="U598"/>
    </row>
    <row r="599" spans="1:21" x14ac:dyDescent="0.25">
      <c r="A599">
        <v>759225</v>
      </c>
      <c r="B599" t="s">
        <v>449</v>
      </c>
      <c r="C599">
        <v>16</v>
      </c>
      <c r="D599">
        <v>-11</v>
      </c>
      <c r="E599">
        <v>-3</v>
      </c>
      <c r="F599">
        <v>8</v>
      </c>
      <c r="G599">
        <v>-11</v>
      </c>
      <c r="H599">
        <v>53</v>
      </c>
      <c r="I599">
        <v>87</v>
      </c>
      <c r="J599">
        <v>13.3</v>
      </c>
      <c r="K599">
        <v>0.89</v>
      </c>
      <c r="L599">
        <v>2.66</v>
      </c>
      <c r="M599">
        <v>16.5</v>
      </c>
      <c r="N599">
        <v>1</v>
      </c>
      <c r="O599" t="s">
        <v>169</v>
      </c>
      <c r="P599" s="379">
        <v>41127</v>
      </c>
      <c r="Q599" t="s">
        <v>57</v>
      </c>
      <c r="R599" t="s">
        <v>946</v>
      </c>
      <c r="S599" t="s">
        <v>1272</v>
      </c>
      <c r="T599" t="s">
        <v>259</v>
      </c>
      <c r="U599"/>
    </row>
    <row r="600" spans="1:21" x14ac:dyDescent="0.25">
      <c r="A600">
        <v>753731</v>
      </c>
      <c r="B600" t="s">
        <v>430</v>
      </c>
      <c r="C600">
        <v>13</v>
      </c>
      <c r="D600">
        <v>-9</v>
      </c>
      <c r="E600">
        <v>-3</v>
      </c>
      <c r="F600">
        <v>5</v>
      </c>
      <c r="G600">
        <v>-9</v>
      </c>
      <c r="H600">
        <v>44</v>
      </c>
      <c r="I600">
        <v>86</v>
      </c>
      <c r="J600">
        <v>13.2</v>
      </c>
      <c r="K600">
        <v>0.89</v>
      </c>
      <c r="L600">
        <v>2.2999999999999998</v>
      </c>
      <c r="M600">
        <v>14.8</v>
      </c>
      <c r="N600">
        <v>0.9</v>
      </c>
      <c r="O600" t="s">
        <v>261</v>
      </c>
      <c r="P600" s="379">
        <v>41383</v>
      </c>
      <c r="Q600" t="s">
        <v>57</v>
      </c>
      <c r="R600" t="s">
        <v>687</v>
      </c>
      <c r="S600" t="s">
        <v>464</v>
      </c>
      <c r="T600" t="s">
        <v>259</v>
      </c>
      <c r="U600"/>
    </row>
    <row r="601" spans="1:21" x14ac:dyDescent="0.25">
      <c r="A601">
        <v>795054</v>
      </c>
      <c r="B601" t="s">
        <v>447</v>
      </c>
      <c r="C601">
        <v>12</v>
      </c>
      <c r="D601">
        <v>-8</v>
      </c>
      <c r="E601">
        <v>-1</v>
      </c>
      <c r="F601">
        <v>7</v>
      </c>
      <c r="G601">
        <v>-3</v>
      </c>
      <c r="H601">
        <v>50</v>
      </c>
      <c r="I601">
        <v>84</v>
      </c>
      <c r="J601">
        <v>12.9</v>
      </c>
      <c r="K601">
        <v>0.89</v>
      </c>
      <c r="L601">
        <v>2.68</v>
      </c>
      <c r="M601">
        <v>13.2</v>
      </c>
      <c r="N601">
        <v>1.1000000000000001</v>
      </c>
      <c r="O601" t="s">
        <v>169</v>
      </c>
      <c r="P601" s="379">
        <v>41127</v>
      </c>
      <c r="Q601" t="s">
        <v>57</v>
      </c>
      <c r="R601" t="s">
        <v>837</v>
      </c>
      <c r="S601" t="s">
        <v>1272</v>
      </c>
      <c r="T601" t="s">
        <v>609</v>
      </c>
      <c r="U601"/>
    </row>
    <row r="602" spans="1:21" x14ac:dyDescent="0.25">
      <c r="A602">
        <v>866715</v>
      </c>
      <c r="B602" t="s">
        <v>439</v>
      </c>
      <c r="C602">
        <v>10</v>
      </c>
      <c r="D602">
        <v>-6</v>
      </c>
      <c r="E602">
        <v>-2</v>
      </c>
      <c r="F602">
        <v>-2</v>
      </c>
      <c r="G602">
        <v>5</v>
      </c>
      <c r="H602">
        <v>28</v>
      </c>
      <c r="I602">
        <v>80</v>
      </c>
      <c r="J602">
        <v>12.5</v>
      </c>
      <c r="K602">
        <v>0.89</v>
      </c>
      <c r="L602">
        <v>2.64</v>
      </c>
      <c r="M602">
        <v>13.8</v>
      </c>
      <c r="N602">
        <v>0.7</v>
      </c>
      <c r="O602" t="s">
        <v>169</v>
      </c>
      <c r="P602" s="379">
        <v>41127</v>
      </c>
      <c r="Q602" t="s">
        <v>57</v>
      </c>
      <c r="R602" t="s">
        <v>836</v>
      </c>
      <c r="S602" t="s">
        <v>1272</v>
      </c>
      <c r="T602" t="s">
        <v>608</v>
      </c>
      <c r="U602"/>
    </row>
    <row r="603" spans="1:21" x14ac:dyDescent="0.25">
      <c r="A603">
        <v>395434</v>
      </c>
      <c r="B603" t="s">
        <v>118</v>
      </c>
      <c r="C603">
        <v>14</v>
      </c>
      <c r="D603">
        <v>-2</v>
      </c>
      <c r="E603">
        <v>3</v>
      </c>
      <c r="F603">
        <v>7</v>
      </c>
      <c r="G603">
        <v>2</v>
      </c>
      <c r="H603">
        <v>48</v>
      </c>
      <c r="I603">
        <v>76</v>
      </c>
      <c r="J603">
        <v>11.9</v>
      </c>
      <c r="K603">
        <v>0.89</v>
      </c>
      <c r="L603">
        <v>2.2999999999999998</v>
      </c>
      <c r="M603">
        <v>14.1</v>
      </c>
      <c r="N603">
        <v>1</v>
      </c>
      <c r="O603" t="s">
        <v>169</v>
      </c>
      <c r="P603" s="379">
        <v>41383</v>
      </c>
      <c r="Q603" t="s">
        <v>57</v>
      </c>
      <c r="R603" t="s">
        <v>989</v>
      </c>
      <c r="S603" t="s">
        <v>464</v>
      </c>
      <c r="T603" t="s">
        <v>229</v>
      </c>
      <c r="U603"/>
    </row>
    <row r="604" spans="1:21" x14ac:dyDescent="0.25">
      <c r="A604">
        <v>978452</v>
      </c>
      <c r="B604" t="s">
        <v>450</v>
      </c>
      <c r="C604">
        <v>16</v>
      </c>
      <c r="D604">
        <v>-6</v>
      </c>
      <c r="E604">
        <v>3</v>
      </c>
      <c r="F604">
        <v>11</v>
      </c>
      <c r="G604">
        <v>-3</v>
      </c>
      <c r="H604">
        <v>36</v>
      </c>
      <c r="I604">
        <v>56</v>
      </c>
      <c r="J604">
        <v>9.1999999999999993</v>
      </c>
      <c r="K604">
        <v>0.89</v>
      </c>
      <c r="L604">
        <v>2.68</v>
      </c>
      <c r="M604">
        <v>12.5</v>
      </c>
      <c r="N604">
        <v>0.9</v>
      </c>
      <c r="O604" t="s">
        <v>169</v>
      </c>
      <c r="P604" s="379">
        <v>41127</v>
      </c>
      <c r="Q604" t="s">
        <v>57</v>
      </c>
      <c r="R604" t="s">
        <v>832</v>
      </c>
      <c r="S604" t="s">
        <v>1272</v>
      </c>
      <c r="T604" t="s">
        <v>228</v>
      </c>
      <c r="U604"/>
    </row>
    <row r="605" spans="1:21" x14ac:dyDescent="0.25">
      <c r="A605">
        <v>660704</v>
      </c>
      <c r="B605" t="s">
        <v>1203</v>
      </c>
      <c r="C605">
        <v>12</v>
      </c>
      <c r="D605">
        <v>-2</v>
      </c>
      <c r="E605">
        <v>2</v>
      </c>
      <c r="F605">
        <v>5</v>
      </c>
      <c r="G605">
        <v>10</v>
      </c>
      <c r="H605">
        <v>63</v>
      </c>
      <c r="I605">
        <v>54</v>
      </c>
      <c r="J605">
        <v>9</v>
      </c>
      <c r="K605">
        <v>0.89</v>
      </c>
      <c r="L605">
        <v>2.27</v>
      </c>
      <c r="M605">
        <v>11.2</v>
      </c>
      <c r="N605">
        <v>1.6</v>
      </c>
      <c r="O605" t="s">
        <v>169</v>
      </c>
      <c r="P605" s="379">
        <v>43196</v>
      </c>
      <c r="Q605" t="s">
        <v>57</v>
      </c>
      <c r="R605" t="s">
        <v>1204</v>
      </c>
      <c r="S605" t="s">
        <v>1291</v>
      </c>
      <c r="T605" t="s">
        <v>247</v>
      </c>
      <c r="U605"/>
    </row>
    <row r="606" spans="1:21" x14ac:dyDescent="0.25">
      <c r="A606">
        <v>250878</v>
      </c>
      <c r="B606" t="s">
        <v>460</v>
      </c>
      <c r="C606">
        <v>11</v>
      </c>
      <c r="D606">
        <v>-6</v>
      </c>
      <c r="E606">
        <v>-1</v>
      </c>
      <c r="F606">
        <v>5</v>
      </c>
      <c r="G606">
        <v>-13</v>
      </c>
      <c r="H606">
        <v>29</v>
      </c>
      <c r="I606">
        <v>52</v>
      </c>
      <c r="J606">
        <v>8.6999999999999993</v>
      </c>
      <c r="K606">
        <v>0.89</v>
      </c>
      <c r="L606">
        <v>2.29</v>
      </c>
      <c r="M606">
        <v>13.6</v>
      </c>
      <c r="N606">
        <v>0.7</v>
      </c>
      <c r="O606" t="s">
        <v>261</v>
      </c>
      <c r="P606" s="379">
        <v>41953</v>
      </c>
      <c r="Q606" t="s">
        <v>57</v>
      </c>
      <c r="R606" t="s">
        <v>1004</v>
      </c>
      <c r="S606" t="s">
        <v>464</v>
      </c>
      <c r="T606" t="s">
        <v>609</v>
      </c>
      <c r="U606"/>
    </row>
    <row r="607" spans="1:21" x14ac:dyDescent="0.25">
      <c r="A607">
        <v>161620</v>
      </c>
      <c r="B607" t="s">
        <v>1369</v>
      </c>
      <c r="C607">
        <v>11</v>
      </c>
      <c r="D607">
        <v>-3</v>
      </c>
      <c r="E607">
        <v>4</v>
      </c>
      <c r="F607">
        <v>4</v>
      </c>
      <c r="G607">
        <v>6</v>
      </c>
      <c r="H607">
        <v>34</v>
      </c>
      <c r="I607">
        <v>28</v>
      </c>
      <c r="J607">
        <v>5</v>
      </c>
      <c r="K607">
        <v>0.89</v>
      </c>
      <c r="L607">
        <v>2.3199999999999998</v>
      </c>
      <c r="M607">
        <v>10.6</v>
      </c>
      <c r="N607">
        <v>1</v>
      </c>
      <c r="O607" t="s">
        <v>169</v>
      </c>
      <c r="P607" s="379">
        <v>41466</v>
      </c>
      <c r="Q607" t="s">
        <v>57</v>
      </c>
      <c r="R607" t="s">
        <v>1370</v>
      </c>
      <c r="S607" t="s">
        <v>1366</v>
      </c>
      <c r="T607" t="s">
        <v>247</v>
      </c>
      <c r="U607"/>
    </row>
    <row r="608" spans="1:21" x14ac:dyDescent="0.25">
      <c r="A608">
        <v>666313</v>
      </c>
      <c r="B608" t="s">
        <v>431</v>
      </c>
      <c r="C608">
        <v>8</v>
      </c>
      <c r="D608">
        <v>-1</v>
      </c>
      <c r="E608">
        <v>1</v>
      </c>
      <c r="F608">
        <v>2</v>
      </c>
      <c r="G608">
        <v>-1</v>
      </c>
      <c r="H608">
        <v>20</v>
      </c>
      <c r="I608">
        <v>22</v>
      </c>
      <c r="J608">
        <v>4.0999999999999996</v>
      </c>
      <c r="K608">
        <v>0.89</v>
      </c>
      <c r="L608">
        <v>2.37</v>
      </c>
      <c r="M608">
        <v>9.8000000000000007</v>
      </c>
      <c r="N608">
        <v>0.7</v>
      </c>
      <c r="O608" t="s">
        <v>169</v>
      </c>
      <c r="P608" s="379">
        <v>41068</v>
      </c>
      <c r="Q608" t="s">
        <v>57</v>
      </c>
      <c r="R608" t="s">
        <v>942</v>
      </c>
      <c r="S608" t="s">
        <v>496</v>
      </c>
      <c r="T608" t="s">
        <v>247</v>
      </c>
      <c r="U608"/>
    </row>
    <row r="609" spans="1:21" x14ac:dyDescent="0.25">
      <c r="A609">
        <v>938845</v>
      </c>
      <c r="B609" t="s">
        <v>1187</v>
      </c>
      <c r="C609">
        <v>11</v>
      </c>
      <c r="D609">
        <v>-12</v>
      </c>
      <c r="E609">
        <v>-6</v>
      </c>
      <c r="F609">
        <v>2</v>
      </c>
      <c r="G609">
        <v>-11</v>
      </c>
      <c r="H609">
        <v>41</v>
      </c>
      <c r="I609"/>
      <c r="J609"/>
      <c r="K609">
        <v>0.89</v>
      </c>
      <c r="L609">
        <v>2.33</v>
      </c>
      <c r="M609">
        <v>16.8</v>
      </c>
      <c r="N609">
        <v>0.8</v>
      </c>
      <c r="O609" t="s">
        <v>135</v>
      </c>
      <c r="P609" s="379">
        <v>43143</v>
      </c>
      <c r="Q609" t="s">
        <v>57</v>
      </c>
      <c r="R609" t="s">
        <v>1188</v>
      </c>
      <c r="S609" t="s">
        <v>1271</v>
      </c>
      <c r="T609" t="s">
        <v>609</v>
      </c>
      <c r="U609"/>
    </row>
    <row r="610" spans="1:21" x14ac:dyDescent="0.25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9"/>
      <c r="Q610"/>
      <c r="R610"/>
      <c r="S610"/>
      <c r="T610"/>
      <c r="U610"/>
    </row>
    <row r="611" spans="1:21" x14ac:dyDescent="0.25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9"/>
      <c r="Q611"/>
      <c r="R611"/>
      <c r="S611"/>
      <c r="T611"/>
      <c r="U611"/>
    </row>
    <row r="612" spans="1:21" x14ac:dyDescent="0.25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9"/>
      <c r="Q612"/>
      <c r="R612"/>
      <c r="S612"/>
      <c r="T612"/>
      <c r="U612"/>
    </row>
    <row r="613" spans="1:21" x14ac:dyDescent="0.25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9"/>
      <c r="Q613"/>
      <c r="R613"/>
      <c r="S613"/>
      <c r="T613"/>
      <c r="U613"/>
    </row>
    <row r="614" spans="1:21" x14ac:dyDescent="0.25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9"/>
      <c r="Q614"/>
      <c r="R614"/>
      <c r="S614"/>
      <c r="T614"/>
      <c r="U614"/>
    </row>
    <row r="615" spans="1:21" x14ac:dyDescent="0.25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9"/>
      <c r="Q615"/>
      <c r="R615"/>
      <c r="S615"/>
      <c r="T615"/>
      <c r="U615"/>
    </row>
    <row r="616" spans="1:21" x14ac:dyDescent="0.25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9"/>
      <c r="Q616"/>
      <c r="R616"/>
      <c r="S616"/>
      <c r="T616"/>
      <c r="U616"/>
    </row>
    <row r="617" spans="1:21" x14ac:dyDescent="0.25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9"/>
      <c r="Q617"/>
      <c r="R617"/>
      <c r="S617"/>
      <c r="T617"/>
      <c r="U617"/>
    </row>
    <row r="618" spans="1:21" x14ac:dyDescent="0.25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9"/>
      <c r="Q618"/>
      <c r="R618"/>
      <c r="S618"/>
      <c r="T618"/>
      <c r="U618"/>
    </row>
    <row r="619" spans="1:21" x14ac:dyDescent="0.25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9"/>
      <c r="Q619"/>
      <c r="R619"/>
      <c r="S619"/>
      <c r="T619"/>
      <c r="U619"/>
    </row>
    <row r="620" spans="1:21" x14ac:dyDescent="0.25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9"/>
      <c r="Q620"/>
      <c r="R620"/>
      <c r="S620"/>
      <c r="T620"/>
      <c r="U620"/>
    </row>
    <row r="621" spans="1:21" x14ac:dyDescent="0.25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9"/>
      <c r="Q621"/>
      <c r="R621"/>
      <c r="S621"/>
      <c r="T621"/>
      <c r="U621"/>
    </row>
    <row r="622" spans="1:21" x14ac:dyDescent="0.25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9"/>
      <c r="Q622"/>
      <c r="R622"/>
      <c r="S622"/>
      <c r="T622"/>
      <c r="U622"/>
    </row>
    <row r="623" spans="1:21" x14ac:dyDescent="0.25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9"/>
      <c r="Q623"/>
      <c r="R623"/>
      <c r="S623"/>
      <c r="T623"/>
      <c r="U623"/>
    </row>
    <row r="624" spans="1:21" x14ac:dyDescent="0.25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9"/>
      <c r="Q624"/>
      <c r="R624"/>
      <c r="S624"/>
      <c r="T624"/>
      <c r="U624"/>
    </row>
    <row r="625" spans="1:21" x14ac:dyDescent="0.25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9"/>
      <c r="Q625"/>
      <c r="R625"/>
      <c r="S625"/>
      <c r="T625"/>
      <c r="U625"/>
    </row>
    <row r="626" spans="1:21" x14ac:dyDescent="0.25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9"/>
      <c r="Q626"/>
      <c r="R626"/>
      <c r="S626"/>
      <c r="T626"/>
      <c r="U626"/>
    </row>
    <row r="627" spans="1:21" x14ac:dyDescent="0.25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9"/>
      <c r="Q627"/>
      <c r="R627"/>
      <c r="S627"/>
      <c r="T627"/>
      <c r="U627"/>
    </row>
    <row r="628" spans="1:21" x14ac:dyDescent="0.25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9"/>
      <c r="Q628"/>
      <c r="R628"/>
      <c r="S628"/>
      <c r="T628"/>
      <c r="U628"/>
    </row>
    <row r="629" spans="1:21" x14ac:dyDescent="0.25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9"/>
      <c r="Q629"/>
      <c r="R629"/>
      <c r="S629"/>
      <c r="T629"/>
      <c r="U629"/>
    </row>
    <row r="630" spans="1:21" x14ac:dyDescent="0.25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9"/>
      <c r="Q630"/>
      <c r="R630"/>
      <c r="S630"/>
      <c r="T630"/>
      <c r="U630"/>
    </row>
    <row r="631" spans="1:21" x14ac:dyDescent="0.25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9"/>
      <c r="Q631"/>
      <c r="R631"/>
      <c r="S631"/>
      <c r="T631"/>
      <c r="U631"/>
    </row>
    <row r="632" spans="1:21" x14ac:dyDescent="0.25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9"/>
      <c r="Q632"/>
      <c r="R632"/>
      <c r="S632"/>
      <c r="T632"/>
      <c r="U632"/>
    </row>
    <row r="633" spans="1:21" x14ac:dyDescent="0.25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9"/>
      <c r="Q633"/>
      <c r="R633"/>
      <c r="S633"/>
      <c r="T633"/>
      <c r="U633"/>
    </row>
    <row r="634" spans="1:21" x14ac:dyDescent="0.25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9"/>
      <c r="Q634"/>
      <c r="R634"/>
      <c r="S634"/>
      <c r="T634"/>
      <c r="U634"/>
    </row>
    <row r="635" spans="1:21" x14ac:dyDescent="0.25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9"/>
      <c r="Q635"/>
      <c r="R635"/>
      <c r="S635"/>
      <c r="T635"/>
      <c r="U635"/>
    </row>
    <row r="636" spans="1:21" x14ac:dyDescent="0.25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9"/>
      <c r="Q636"/>
      <c r="R636"/>
      <c r="S636"/>
      <c r="T636"/>
      <c r="U636"/>
    </row>
    <row r="637" spans="1:21" x14ac:dyDescent="0.25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9"/>
      <c r="Q637"/>
      <c r="R637"/>
      <c r="S637"/>
      <c r="T637"/>
      <c r="U637"/>
    </row>
    <row r="638" spans="1:21" x14ac:dyDescent="0.25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9"/>
      <c r="Q638"/>
      <c r="R638"/>
      <c r="S638"/>
      <c r="T638"/>
      <c r="U638"/>
    </row>
    <row r="639" spans="1:21" x14ac:dyDescent="0.25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9"/>
      <c r="Q639"/>
      <c r="R639"/>
      <c r="S639"/>
      <c r="T639"/>
      <c r="U639"/>
    </row>
    <row r="640" spans="1:21" x14ac:dyDescent="0.25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9"/>
      <c r="Q640"/>
      <c r="R640"/>
      <c r="S640"/>
      <c r="T640"/>
      <c r="U640"/>
    </row>
    <row r="641" spans="1:21" x14ac:dyDescent="0.25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9"/>
      <c r="Q641"/>
      <c r="R641"/>
      <c r="S641"/>
      <c r="T641"/>
      <c r="U641"/>
    </row>
    <row r="642" spans="1:21" x14ac:dyDescent="0.25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9"/>
      <c r="Q642"/>
      <c r="R642"/>
      <c r="S642"/>
      <c r="T642"/>
      <c r="U642"/>
    </row>
    <row r="643" spans="1:21" x14ac:dyDescent="0.25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9"/>
      <c r="Q643"/>
      <c r="R643"/>
      <c r="S643"/>
      <c r="T643"/>
      <c r="U643"/>
    </row>
    <row r="644" spans="1:21" x14ac:dyDescent="0.25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9"/>
      <c r="Q644"/>
      <c r="R644"/>
      <c r="S644"/>
      <c r="T644"/>
      <c r="U644"/>
    </row>
    <row r="645" spans="1:21" x14ac:dyDescent="0.25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9"/>
      <c r="Q645"/>
      <c r="R645"/>
      <c r="S645"/>
      <c r="T645"/>
      <c r="U645"/>
    </row>
    <row r="646" spans="1:21" x14ac:dyDescent="0.25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9"/>
      <c r="Q646"/>
      <c r="R646"/>
      <c r="S646"/>
      <c r="T646"/>
      <c r="U646"/>
    </row>
    <row r="647" spans="1:21" x14ac:dyDescent="0.25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9"/>
      <c r="Q647"/>
      <c r="R647"/>
      <c r="S647"/>
      <c r="T647"/>
      <c r="U647"/>
    </row>
    <row r="648" spans="1:21" x14ac:dyDescent="0.25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9"/>
      <c r="Q648"/>
      <c r="R648"/>
      <c r="S648"/>
      <c r="T648"/>
      <c r="U648"/>
    </row>
    <row r="649" spans="1:21" x14ac:dyDescent="0.25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9"/>
      <c r="Q649"/>
      <c r="R649"/>
      <c r="S649"/>
      <c r="T649"/>
      <c r="U649"/>
    </row>
    <row r="650" spans="1:21" x14ac:dyDescent="0.25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9"/>
      <c r="Q650"/>
      <c r="R650"/>
      <c r="S650"/>
      <c r="T650"/>
      <c r="U650"/>
    </row>
    <row r="651" spans="1:21" x14ac:dyDescent="0.25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9"/>
      <c r="Q651"/>
      <c r="R651"/>
      <c r="S651"/>
      <c r="T651"/>
      <c r="U651"/>
    </row>
    <row r="652" spans="1:21" x14ac:dyDescent="0.25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9"/>
      <c r="Q652"/>
      <c r="R652"/>
      <c r="S652"/>
      <c r="T652"/>
      <c r="U652"/>
    </row>
    <row r="653" spans="1:21" x14ac:dyDescent="0.25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9"/>
      <c r="Q653"/>
      <c r="R653"/>
      <c r="S653"/>
      <c r="T653"/>
      <c r="U653"/>
    </row>
    <row r="654" spans="1:21" x14ac:dyDescent="0.25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9"/>
      <c r="Q654"/>
      <c r="R654"/>
      <c r="S654"/>
      <c r="T654"/>
      <c r="U654"/>
    </row>
    <row r="655" spans="1:21" x14ac:dyDescent="0.25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9"/>
      <c r="Q655"/>
      <c r="R655"/>
      <c r="S655"/>
      <c r="T655"/>
      <c r="U655"/>
    </row>
    <row r="656" spans="1:21" x14ac:dyDescent="0.25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9"/>
      <c r="Q656"/>
      <c r="R656"/>
      <c r="S656"/>
      <c r="T656"/>
      <c r="U656"/>
    </row>
    <row r="657" spans="1:21" x14ac:dyDescent="0.25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9"/>
      <c r="Q657"/>
      <c r="R657"/>
      <c r="S657"/>
      <c r="T657"/>
      <c r="U657"/>
    </row>
    <row r="658" spans="1:21" x14ac:dyDescent="0.25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9"/>
      <c r="Q658"/>
      <c r="R658"/>
      <c r="S658"/>
      <c r="T658"/>
      <c r="U658"/>
    </row>
    <row r="659" spans="1:21" x14ac:dyDescent="0.25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9"/>
      <c r="Q659"/>
      <c r="R659"/>
      <c r="S659"/>
      <c r="T659"/>
      <c r="U659"/>
    </row>
    <row r="660" spans="1:21" x14ac:dyDescent="0.25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9"/>
      <c r="Q660"/>
      <c r="R660"/>
      <c r="S660"/>
      <c r="T660"/>
      <c r="U660"/>
    </row>
    <row r="661" spans="1:21" x14ac:dyDescent="0.25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9"/>
      <c r="Q661"/>
      <c r="R661"/>
      <c r="S661"/>
      <c r="T661"/>
      <c r="U661"/>
    </row>
    <row r="662" spans="1:21" x14ac:dyDescent="0.25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9"/>
      <c r="Q662"/>
      <c r="R662"/>
      <c r="S662"/>
      <c r="T662"/>
      <c r="U662"/>
    </row>
    <row r="663" spans="1:21" x14ac:dyDescent="0.25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9"/>
      <c r="Q663"/>
      <c r="R663"/>
      <c r="S663"/>
      <c r="T663"/>
      <c r="U663"/>
    </row>
    <row r="664" spans="1:21" x14ac:dyDescent="0.25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9"/>
      <c r="Q664"/>
      <c r="R664"/>
      <c r="S664"/>
      <c r="T664"/>
      <c r="U664"/>
    </row>
    <row r="665" spans="1:21" x14ac:dyDescent="0.25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9"/>
      <c r="Q665"/>
      <c r="R665"/>
      <c r="S665"/>
      <c r="T665"/>
      <c r="U665"/>
    </row>
    <row r="666" spans="1:21" x14ac:dyDescent="0.25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9"/>
      <c r="Q666"/>
      <c r="R666"/>
      <c r="S666"/>
      <c r="T666"/>
      <c r="U666"/>
    </row>
    <row r="667" spans="1:21" x14ac:dyDescent="0.25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9"/>
      <c r="Q667"/>
      <c r="R667"/>
      <c r="S667"/>
      <c r="T667"/>
      <c r="U667"/>
    </row>
    <row r="668" spans="1:21" x14ac:dyDescent="0.25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9"/>
      <c r="Q668"/>
      <c r="R668"/>
      <c r="S668"/>
      <c r="T668"/>
      <c r="U668"/>
    </row>
    <row r="669" spans="1:21" x14ac:dyDescent="0.25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9"/>
      <c r="Q669"/>
      <c r="R669"/>
      <c r="S669"/>
      <c r="T669"/>
      <c r="U669"/>
    </row>
    <row r="670" spans="1:21" x14ac:dyDescent="0.25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9"/>
      <c r="Q670"/>
      <c r="R670"/>
      <c r="S670"/>
      <c r="T670"/>
      <c r="U670"/>
    </row>
    <row r="671" spans="1:21" x14ac:dyDescent="0.25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9"/>
      <c r="Q671"/>
      <c r="R671"/>
      <c r="S671"/>
      <c r="T671"/>
      <c r="U671"/>
    </row>
    <row r="672" spans="1:21" x14ac:dyDescent="0.25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9"/>
      <c r="Q672"/>
      <c r="R672"/>
      <c r="S672"/>
      <c r="T672"/>
      <c r="U672"/>
    </row>
    <row r="673" spans="1:21" x14ac:dyDescent="0.25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9"/>
      <c r="Q673"/>
      <c r="R673"/>
      <c r="S673"/>
      <c r="T673"/>
      <c r="U673"/>
    </row>
    <row r="674" spans="1:21" x14ac:dyDescent="0.25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9"/>
      <c r="Q674"/>
      <c r="R674"/>
      <c r="S674"/>
      <c r="T674"/>
      <c r="U674"/>
    </row>
    <row r="675" spans="1:21" x14ac:dyDescent="0.25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9"/>
      <c r="Q675"/>
      <c r="R675"/>
      <c r="S675"/>
      <c r="T675"/>
      <c r="U675"/>
    </row>
    <row r="676" spans="1:21" x14ac:dyDescent="0.25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9"/>
      <c r="Q676"/>
      <c r="R676"/>
      <c r="S676"/>
      <c r="T676"/>
      <c r="U676"/>
    </row>
    <row r="677" spans="1:21" x14ac:dyDescent="0.25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9"/>
      <c r="Q677"/>
      <c r="R677"/>
      <c r="S677"/>
      <c r="T677"/>
      <c r="U677"/>
    </row>
    <row r="678" spans="1:21" x14ac:dyDescent="0.25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9"/>
      <c r="Q678"/>
      <c r="R678"/>
      <c r="S678"/>
      <c r="T678"/>
      <c r="U678"/>
    </row>
    <row r="679" spans="1:21" x14ac:dyDescent="0.25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9"/>
      <c r="Q679"/>
      <c r="R679"/>
      <c r="S679"/>
      <c r="T679"/>
      <c r="U679"/>
    </row>
    <row r="680" spans="1:21" x14ac:dyDescent="0.25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9"/>
      <c r="Q680"/>
      <c r="R680"/>
      <c r="S680"/>
      <c r="T680"/>
      <c r="U680"/>
    </row>
    <row r="681" spans="1:21" x14ac:dyDescent="0.25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9"/>
      <c r="Q681"/>
      <c r="R681"/>
      <c r="S681"/>
      <c r="T681"/>
      <c r="U681"/>
    </row>
    <row r="682" spans="1:21" x14ac:dyDescent="0.25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9"/>
      <c r="Q682"/>
      <c r="R682"/>
      <c r="S682"/>
      <c r="T682"/>
      <c r="U682"/>
    </row>
    <row r="683" spans="1:21" x14ac:dyDescent="0.25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9"/>
      <c r="Q683"/>
      <c r="R683"/>
      <c r="S683"/>
      <c r="T683"/>
      <c r="U683"/>
    </row>
    <row r="684" spans="1:21" x14ac:dyDescent="0.25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9"/>
      <c r="Q684"/>
      <c r="R684"/>
      <c r="S684"/>
      <c r="T684"/>
      <c r="U684"/>
    </row>
    <row r="685" spans="1:21" x14ac:dyDescent="0.25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9"/>
      <c r="Q685"/>
      <c r="R685"/>
      <c r="S685"/>
      <c r="T685"/>
      <c r="U685"/>
    </row>
    <row r="686" spans="1:21" x14ac:dyDescent="0.25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9"/>
      <c r="Q686"/>
      <c r="R686"/>
      <c r="S686"/>
      <c r="T686"/>
      <c r="U686"/>
    </row>
    <row r="687" spans="1:21" x14ac:dyDescent="0.25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9"/>
      <c r="Q687"/>
      <c r="R687"/>
      <c r="S687"/>
      <c r="T687"/>
      <c r="U687"/>
    </row>
    <row r="688" spans="1:21" x14ac:dyDescent="0.25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9"/>
      <c r="Q688"/>
      <c r="R688"/>
      <c r="S688"/>
      <c r="T688"/>
      <c r="U688"/>
    </row>
    <row r="689" spans="1:21" x14ac:dyDescent="0.25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9"/>
      <c r="Q689"/>
      <c r="R689"/>
      <c r="S689"/>
      <c r="T689"/>
      <c r="U689"/>
    </row>
    <row r="690" spans="1:21" x14ac:dyDescent="0.25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9"/>
      <c r="Q690"/>
      <c r="R690"/>
      <c r="S690"/>
      <c r="T690"/>
      <c r="U690"/>
    </row>
    <row r="691" spans="1:21" x14ac:dyDescent="0.25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9"/>
      <c r="Q691"/>
      <c r="R691"/>
      <c r="S691"/>
      <c r="T691"/>
      <c r="U691"/>
    </row>
    <row r="692" spans="1:21" x14ac:dyDescent="0.25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9"/>
      <c r="Q692"/>
      <c r="R692"/>
      <c r="S692"/>
      <c r="T692"/>
      <c r="U692"/>
    </row>
    <row r="693" spans="1:21" x14ac:dyDescent="0.25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9"/>
      <c r="Q693"/>
      <c r="R693"/>
      <c r="S693"/>
      <c r="T693"/>
      <c r="U693"/>
    </row>
    <row r="694" spans="1:21" x14ac:dyDescent="0.25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9"/>
      <c r="Q694"/>
      <c r="R694"/>
      <c r="S694"/>
      <c r="T694"/>
      <c r="U694"/>
    </row>
    <row r="695" spans="1:21" x14ac:dyDescent="0.25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9"/>
      <c r="Q695"/>
      <c r="R695"/>
      <c r="S695"/>
      <c r="T695"/>
      <c r="U695"/>
    </row>
    <row r="696" spans="1:21" x14ac:dyDescent="0.25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9"/>
      <c r="Q696"/>
      <c r="R696"/>
      <c r="S696"/>
      <c r="T696"/>
      <c r="U696"/>
    </row>
    <row r="697" spans="1:21" x14ac:dyDescent="0.25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9"/>
      <c r="Q697"/>
      <c r="R697"/>
      <c r="S697"/>
      <c r="T697"/>
      <c r="U697"/>
    </row>
    <row r="698" spans="1:21" x14ac:dyDescent="0.25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9"/>
      <c r="Q698"/>
      <c r="R698"/>
      <c r="S698"/>
      <c r="T698"/>
      <c r="U698"/>
    </row>
    <row r="699" spans="1:21" x14ac:dyDescent="0.25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9"/>
      <c r="Q699"/>
      <c r="R699"/>
      <c r="S699"/>
      <c r="T699"/>
      <c r="U699"/>
    </row>
    <row r="700" spans="1:21" x14ac:dyDescent="0.25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9"/>
      <c r="Q700"/>
      <c r="R700"/>
      <c r="S700"/>
      <c r="T700"/>
      <c r="U700"/>
    </row>
    <row r="701" spans="1:21" x14ac:dyDescent="0.25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9"/>
      <c r="Q701"/>
      <c r="R701"/>
      <c r="S701"/>
      <c r="T701"/>
      <c r="U701"/>
    </row>
    <row r="702" spans="1:21" x14ac:dyDescent="0.25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9"/>
      <c r="Q702"/>
      <c r="R702"/>
      <c r="S702"/>
      <c r="T702"/>
      <c r="U702"/>
    </row>
    <row r="703" spans="1:21" x14ac:dyDescent="0.25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9"/>
      <c r="Q703"/>
      <c r="R703"/>
      <c r="S703"/>
      <c r="T703"/>
      <c r="U703"/>
    </row>
    <row r="704" spans="1:21" x14ac:dyDescent="0.25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9"/>
      <c r="Q704"/>
      <c r="R704"/>
      <c r="S704"/>
      <c r="T704"/>
      <c r="U704"/>
    </row>
    <row r="705" spans="1:21" x14ac:dyDescent="0.25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9"/>
      <c r="Q705"/>
      <c r="R705"/>
      <c r="S705"/>
      <c r="T705"/>
      <c r="U705"/>
    </row>
    <row r="706" spans="1:21" x14ac:dyDescent="0.25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9"/>
      <c r="Q706"/>
      <c r="R706"/>
      <c r="S706"/>
      <c r="T706"/>
      <c r="U706"/>
    </row>
    <row r="707" spans="1:21" x14ac:dyDescent="0.25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9"/>
      <c r="Q707"/>
      <c r="R707"/>
      <c r="S707"/>
      <c r="T707"/>
      <c r="U707"/>
    </row>
    <row r="708" spans="1:21" x14ac:dyDescent="0.25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9"/>
      <c r="Q708"/>
      <c r="R708"/>
      <c r="S708"/>
      <c r="T708"/>
      <c r="U708"/>
    </row>
    <row r="709" spans="1:21" x14ac:dyDescent="0.25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9"/>
      <c r="Q709"/>
      <c r="R709"/>
      <c r="S709"/>
      <c r="T709"/>
      <c r="U709"/>
    </row>
    <row r="710" spans="1:21" x14ac:dyDescent="0.25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9"/>
      <c r="Q710"/>
      <c r="R710"/>
      <c r="S710"/>
      <c r="T710"/>
      <c r="U710"/>
    </row>
    <row r="711" spans="1:21" x14ac:dyDescent="0.25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9"/>
      <c r="Q711"/>
      <c r="R711"/>
      <c r="S711"/>
      <c r="T711"/>
      <c r="U711"/>
    </row>
    <row r="712" spans="1:21" x14ac:dyDescent="0.25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9"/>
      <c r="Q712"/>
      <c r="R712"/>
      <c r="S712"/>
      <c r="T712"/>
      <c r="U712"/>
    </row>
    <row r="713" spans="1:21" x14ac:dyDescent="0.25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9"/>
      <c r="Q713"/>
      <c r="R713"/>
      <c r="S713"/>
      <c r="T713"/>
      <c r="U713"/>
    </row>
    <row r="714" spans="1:21" x14ac:dyDescent="0.25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9"/>
      <c r="Q714"/>
      <c r="R714"/>
      <c r="S714"/>
      <c r="T714"/>
      <c r="U714"/>
    </row>
    <row r="715" spans="1:21" x14ac:dyDescent="0.25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9"/>
      <c r="Q715"/>
      <c r="R715"/>
      <c r="S715"/>
      <c r="T715"/>
      <c r="U715"/>
    </row>
    <row r="716" spans="1:21" x14ac:dyDescent="0.25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9"/>
      <c r="Q716"/>
      <c r="R716"/>
      <c r="S716"/>
      <c r="T716"/>
      <c r="U716"/>
    </row>
    <row r="717" spans="1:21" x14ac:dyDescent="0.25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9"/>
      <c r="Q717"/>
      <c r="R717"/>
      <c r="S717"/>
      <c r="T717"/>
      <c r="U717"/>
    </row>
    <row r="718" spans="1:21" x14ac:dyDescent="0.25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9"/>
      <c r="Q718"/>
      <c r="R718"/>
      <c r="S718"/>
      <c r="T718"/>
      <c r="U718"/>
    </row>
    <row r="719" spans="1:21" x14ac:dyDescent="0.25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9"/>
      <c r="Q719"/>
      <c r="R719"/>
      <c r="S719"/>
      <c r="T719"/>
      <c r="U719"/>
    </row>
    <row r="720" spans="1:21" x14ac:dyDescent="0.25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9"/>
      <c r="Q720"/>
      <c r="R720"/>
      <c r="S720"/>
      <c r="T720"/>
      <c r="U720"/>
    </row>
    <row r="721" spans="1:21" x14ac:dyDescent="0.25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9"/>
      <c r="Q721"/>
      <c r="R721"/>
      <c r="S721"/>
      <c r="T721"/>
      <c r="U721"/>
    </row>
    <row r="722" spans="1:21" x14ac:dyDescent="0.25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9"/>
      <c r="Q722"/>
      <c r="R722"/>
      <c r="S722"/>
      <c r="T722"/>
      <c r="U722"/>
    </row>
    <row r="723" spans="1:21" x14ac:dyDescent="0.25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9"/>
      <c r="Q723"/>
      <c r="R723"/>
      <c r="S723"/>
      <c r="T723"/>
      <c r="U723"/>
    </row>
    <row r="724" spans="1:21" x14ac:dyDescent="0.25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9"/>
      <c r="Q724"/>
      <c r="R724"/>
      <c r="S724"/>
      <c r="T724"/>
      <c r="U724"/>
    </row>
    <row r="725" spans="1:21" x14ac:dyDescent="0.25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9"/>
      <c r="Q725"/>
      <c r="R725"/>
      <c r="S725"/>
      <c r="T725"/>
      <c r="U725"/>
    </row>
    <row r="726" spans="1:21" x14ac:dyDescent="0.25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9"/>
      <c r="Q726"/>
      <c r="R726"/>
      <c r="S726"/>
      <c r="T726"/>
      <c r="U726"/>
    </row>
    <row r="727" spans="1:21" x14ac:dyDescent="0.25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9"/>
      <c r="Q727"/>
      <c r="R727"/>
      <c r="S727"/>
      <c r="T727"/>
      <c r="U727"/>
    </row>
    <row r="728" spans="1:21" x14ac:dyDescent="0.25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9"/>
      <c r="Q728"/>
      <c r="R728"/>
      <c r="S728"/>
      <c r="T728"/>
      <c r="U728"/>
    </row>
    <row r="729" spans="1:21" x14ac:dyDescent="0.25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9"/>
      <c r="Q729"/>
      <c r="R729"/>
      <c r="S729"/>
      <c r="T729"/>
      <c r="U729"/>
    </row>
    <row r="730" spans="1:21" x14ac:dyDescent="0.25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9"/>
      <c r="Q730"/>
      <c r="R730"/>
      <c r="S730"/>
      <c r="T730"/>
      <c r="U730"/>
    </row>
    <row r="731" spans="1:21" x14ac:dyDescent="0.25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9"/>
      <c r="Q731"/>
      <c r="R731"/>
      <c r="S731"/>
      <c r="T731"/>
      <c r="U731"/>
    </row>
    <row r="732" spans="1:21" x14ac:dyDescent="0.25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9"/>
      <c r="Q732"/>
      <c r="R732"/>
      <c r="S732"/>
      <c r="T732"/>
      <c r="U732"/>
    </row>
    <row r="733" spans="1:21" x14ac:dyDescent="0.25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9"/>
      <c r="Q733"/>
      <c r="R733"/>
      <c r="S733"/>
      <c r="T733"/>
      <c r="U733"/>
    </row>
    <row r="734" spans="1:21" x14ac:dyDescent="0.25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9"/>
      <c r="Q734"/>
      <c r="R734"/>
      <c r="S734"/>
      <c r="T734"/>
      <c r="U734"/>
    </row>
    <row r="735" spans="1:21" x14ac:dyDescent="0.25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9"/>
      <c r="Q735"/>
      <c r="R735"/>
      <c r="S735"/>
      <c r="T735"/>
      <c r="U735"/>
    </row>
    <row r="736" spans="1:21" x14ac:dyDescent="0.25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9"/>
      <c r="Q736"/>
      <c r="R736"/>
      <c r="S736"/>
      <c r="T736"/>
      <c r="U736"/>
    </row>
    <row r="737" spans="1:21" x14ac:dyDescent="0.25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9"/>
      <c r="Q737"/>
      <c r="R737"/>
      <c r="S737"/>
      <c r="T737"/>
      <c r="U737"/>
    </row>
    <row r="738" spans="1:21" x14ac:dyDescent="0.25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9"/>
      <c r="Q738"/>
      <c r="R738"/>
      <c r="S738"/>
      <c r="T738"/>
      <c r="U738"/>
    </row>
    <row r="739" spans="1:21" x14ac:dyDescent="0.25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9"/>
      <c r="Q739"/>
      <c r="R739"/>
      <c r="S739"/>
      <c r="T739"/>
      <c r="U739"/>
    </row>
    <row r="740" spans="1:21" x14ac:dyDescent="0.25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9"/>
      <c r="Q740"/>
      <c r="R740"/>
      <c r="S740"/>
      <c r="T740"/>
      <c r="U740"/>
    </row>
    <row r="741" spans="1:21" x14ac:dyDescent="0.25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9"/>
      <c r="Q741"/>
      <c r="R741"/>
      <c r="S741"/>
      <c r="T741"/>
      <c r="U741"/>
    </row>
    <row r="742" spans="1:21" x14ac:dyDescent="0.25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9"/>
      <c r="Q742"/>
      <c r="R742"/>
      <c r="S742"/>
      <c r="T742"/>
      <c r="U742"/>
    </row>
    <row r="743" spans="1:21" x14ac:dyDescent="0.25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9"/>
      <c r="Q743"/>
      <c r="R743"/>
      <c r="S743"/>
      <c r="T743"/>
      <c r="U743"/>
    </row>
    <row r="744" spans="1:21" x14ac:dyDescent="0.25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9"/>
      <c r="Q744"/>
      <c r="R744"/>
      <c r="S744"/>
      <c r="T744"/>
      <c r="U744"/>
    </row>
    <row r="745" spans="1:21" x14ac:dyDescent="0.25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9"/>
      <c r="Q745"/>
      <c r="R745"/>
      <c r="S745"/>
      <c r="T745"/>
      <c r="U745"/>
    </row>
    <row r="746" spans="1:21" x14ac:dyDescent="0.25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9"/>
      <c r="Q746"/>
      <c r="R746"/>
      <c r="S746"/>
      <c r="T746"/>
      <c r="U746"/>
    </row>
    <row r="747" spans="1:21" x14ac:dyDescent="0.25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9"/>
      <c r="Q747"/>
      <c r="R747"/>
      <c r="S747"/>
      <c r="T747"/>
      <c r="U747"/>
    </row>
    <row r="748" spans="1:21" x14ac:dyDescent="0.25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9"/>
      <c r="Q748"/>
      <c r="R748"/>
      <c r="S748"/>
      <c r="T748"/>
      <c r="U748"/>
    </row>
    <row r="749" spans="1:21" x14ac:dyDescent="0.25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9"/>
      <c r="Q749"/>
      <c r="R749"/>
      <c r="S749"/>
      <c r="T749"/>
      <c r="U749"/>
    </row>
    <row r="750" spans="1:21" x14ac:dyDescent="0.25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9"/>
      <c r="Q750"/>
      <c r="R750"/>
      <c r="S750"/>
      <c r="T750"/>
      <c r="U750"/>
    </row>
    <row r="751" spans="1:21" x14ac:dyDescent="0.25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9"/>
      <c r="Q751"/>
      <c r="R751"/>
      <c r="S751"/>
      <c r="T751"/>
      <c r="U751"/>
    </row>
    <row r="752" spans="1:21" x14ac:dyDescent="0.25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9"/>
      <c r="Q752"/>
      <c r="R752"/>
      <c r="S752"/>
      <c r="T752"/>
      <c r="U752"/>
    </row>
    <row r="753" spans="1:21" x14ac:dyDescent="0.25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9"/>
      <c r="Q753"/>
      <c r="R753"/>
      <c r="S753"/>
      <c r="T753"/>
      <c r="U753"/>
    </row>
    <row r="754" spans="1:21" x14ac:dyDescent="0.25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9"/>
      <c r="Q754"/>
      <c r="R754"/>
      <c r="S754"/>
      <c r="T754"/>
      <c r="U754"/>
    </row>
    <row r="755" spans="1:21" x14ac:dyDescent="0.25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9"/>
      <c r="Q755"/>
      <c r="R755"/>
      <c r="S755"/>
      <c r="T755"/>
      <c r="U755"/>
    </row>
    <row r="756" spans="1:21" x14ac:dyDescent="0.25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9"/>
      <c r="Q756"/>
      <c r="R756"/>
      <c r="S756"/>
      <c r="T756"/>
      <c r="U756"/>
    </row>
    <row r="757" spans="1:21" x14ac:dyDescent="0.25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9"/>
      <c r="Q757"/>
      <c r="R757"/>
      <c r="S757"/>
      <c r="T757"/>
      <c r="U757"/>
    </row>
    <row r="758" spans="1:21" x14ac:dyDescent="0.25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9"/>
      <c r="Q758"/>
      <c r="R758"/>
      <c r="S758"/>
      <c r="T758"/>
      <c r="U758"/>
    </row>
    <row r="759" spans="1:21" x14ac:dyDescent="0.25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9"/>
      <c r="Q759"/>
      <c r="R759"/>
      <c r="S759"/>
      <c r="T759"/>
      <c r="U759"/>
    </row>
    <row r="760" spans="1:21" x14ac:dyDescent="0.25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9"/>
      <c r="Q760"/>
      <c r="R760"/>
      <c r="S760"/>
      <c r="T760"/>
      <c r="U760"/>
    </row>
    <row r="761" spans="1:21" x14ac:dyDescent="0.25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9"/>
      <c r="Q761"/>
      <c r="R761"/>
      <c r="S761"/>
      <c r="T761"/>
      <c r="U761"/>
    </row>
    <row r="762" spans="1:21" x14ac:dyDescent="0.25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9"/>
      <c r="Q762"/>
      <c r="R762"/>
      <c r="S762"/>
      <c r="T762"/>
      <c r="U762"/>
    </row>
    <row r="763" spans="1:21" x14ac:dyDescent="0.25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9"/>
      <c r="Q763"/>
      <c r="R763"/>
      <c r="S763"/>
      <c r="T763"/>
      <c r="U763"/>
    </row>
    <row r="764" spans="1:21" x14ac:dyDescent="0.25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9"/>
      <c r="Q764"/>
      <c r="R764"/>
      <c r="S764"/>
      <c r="T764"/>
      <c r="U764"/>
    </row>
    <row r="765" spans="1:21" x14ac:dyDescent="0.25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9"/>
      <c r="Q765"/>
      <c r="R765"/>
      <c r="S765"/>
      <c r="T765"/>
      <c r="U765"/>
    </row>
    <row r="766" spans="1:21" x14ac:dyDescent="0.25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9"/>
      <c r="Q766"/>
      <c r="R766"/>
      <c r="S766"/>
      <c r="T766"/>
      <c r="U766"/>
    </row>
    <row r="767" spans="1:21" x14ac:dyDescent="0.25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9"/>
      <c r="Q767"/>
      <c r="R767"/>
      <c r="S767"/>
      <c r="T767"/>
      <c r="U767"/>
    </row>
    <row r="768" spans="1:21" x14ac:dyDescent="0.25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9"/>
      <c r="Q768"/>
      <c r="R768"/>
      <c r="S768"/>
      <c r="T768"/>
      <c r="U768"/>
    </row>
    <row r="769" spans="1:21" x14ac:dyDescent="0.25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9"/>
      <c r="Q769"/>
      <c r="R769"/>
      <c r="S769"/>
      <c r="T769"/>
      <c r="U769"/>
    </row>
    <row r="770" spans="1:21" x14ac:dyDescent="0.25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9"/>
      <c r="Q770"/>
      <c r="R770"/>
      <c r="S770"/>
      <c r="T770"/>
      <c r="U770"/>
    </row>
    <row r="771" spans="1:21" x14ac:dyDescent="0.25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9"/>
      <c r="Q771"/>
      <c r="R771"/>
      <c r="S771"/>
      <c r="T771"/>
      <c r="U771"/>
    </row>
    <row r="772" spans="1:21" x14ac:dyDescent="0.25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9"/>
      <c r="Q772"/>
      <c r="R772"/>
      <c r="S772"/>
      <c r="T772"/>
      <c r="U772"/>
    </row>
    <row r="773" spans="1:21" x14ac:dyDescent="0.25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9"/>
      <c r="Q773"/>
      <c r="R773"/>
      <c r="S773"/>
      <c r="T773"/>
      <c r="U773"/>
    </row>
    <row r="774" spans="1:21" x14ac:dyDescent="0.25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9"/>
      <c r="Q774"/>
      <c r="R774"/>
      <c r="S774"/>
      <c r="T774"/>
      <c r="U774"/>
    </row>
    <row r="775" spans="1:21" x14ac:dyDescent="0.25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9"/>
      <c r="Q775"/>
      <c r="R775"/>
      <c r="S775"/>
      <c r="T775"/>
      <c r="U775"/>
    </row>
    <row r="776" spans="1:21" x14ac:dyDescent="0.25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9"/>
      <c r="Q776"/>
      <c r="R776"/>
      <c r="S776"/>
      <c r="T776"/>
      <c r="U776"/>
    </row>
    <row r="777" spans="1:21" x14ac:dyDescent="0.25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9"/>
      <c r="Q777"/>
      <c r="R777"/>
      <c r="S777"/>
      <c r="T777"/>
      <c r="U777"/>
    </row>
    <row r="778" spans="1:21" x14ac:dyDescent="0.25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9"/>
      <c r="Q778"/>
      <c r="R778"/>
      <c r="S778"/>
      <c r="T778"/>
      <c r="U778"/>
    </row>
    <row r="779" spans="1:21" x14ac:dyDescent="0.25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9"/>
      <c r="Q779"/>
      <c r="R779"/>
      <c r="S779"/>
      <c r="T779"/>
      <c r="U779"/>
    </row>
    <row r="780" spans="1:21" x14ac:dyDescent="0.25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9"/>
      <c r="Q780"/>
      <c r="R780"/>
      <c r="S780"/>
      <c r="T780"/>
      <c r="U780"/>
    </row>
    <row r="781" spans="1:21" x14ac:dyDescent="0.25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9"/>
      <c r="Q781"/>
      <c r="R781"/>
      <c r="S781"/>
      <c r="T781"/>
      <c r="U781"/>
    </row>
    <row r="782" spans="1:21" x14ac:dyDescent="0.25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9"/>
      <c r="Q782"/>
      <c r="R782"/>
      <c r="S782"/>
      <c r="T782"/>
      <c r="U782"/>
    </row>
    <row r="783" spans="1:21" x14ac:dyDescent="0.25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9"/>
      <c r="Q783"/>
      <c r="R783"/>
      <c r="S783"/>
      <c r="T783"/>
      <c r="U783"/>
    </row>
    <row r="784" spans="1:21" x14ac:dyDescent="0.25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9"/>
      <c r="Q784"/>
      <c r="R784"/>
      <c r="S784"/>
      <c r="T784"/>
      <c r="U784"/>
    </row>
    <row r="785" spans="1:21" x14ac:dyDescent="0.25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9"/>
      <c r="Q785"/>
      <c r="R785"/>
      <c r="S785"/>
      <c r="T785"/>
      <c r="U785"/>
    </row>
    <row r="786" spans="1:21" x14ac:dyDescent="0.25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9"/>
      <c r="Q786"/>
      <c r="R786"/>
      <c r="S786"/>
      <c r="T786"/>
      <c r="U786"/>
    </row>
    <row r="787" spans="1:21" x14ac:dyDescent="0.25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9"/>
      <c r="Q787"/>
      <c r="R787"/>
      <c r="S787"/>
      <c r="T787"/>
      <c r="U787"/>
    </row>
    <row r="788" spans="1:21" x14ac:dyDescent="0.25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9"/>
      <c r="Q788"/>
      <c r="R788"/>
      <c r="S788"/>
      <c r="T788"/>
      <c r="U788"/>
    </row>
    <row r="789" spans="1:21" x14ac:dyDescent="0.25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9"/>
      <c r="Q789"/>
      <c r="R789"/>
      <c r="S789"/>
      <c r="T789"/>
      <c r="U789"/>
    </row>
    <row r="790" spans="1:21" x14ac:dyDescent="0.25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9"/>
      <c r="Q790"/>
      <c r="R790"/>
      <c r="S790"/>
      <c r="T790"/>
      <c r="U790"/>
    </row>
    <row r="791" spans="1:21" x14ac:dyDescent="0.25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9"/>
      <c r="Q791"/>
      <c r="R791"/>
      <c r="S791"/>
      <c r="T791"/>
      <c r="U791"/>
    </row>
    <row r="792" spans="1:21" x14ac:dyDescent="0.25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9"/>
      <c r="Q792"/>
      <c r="R792"/>
      <c r="S792"/>
      <c r="T792"/>
      <c r="U792"/>
    </row>
    <row r="793" spans="1:2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9"/>
      <c r="Q793"/>
      <c r="R793"/>
      <c r="S793"/>
      <c r="T793"/>
      <c r="U793"/>
    </row>
    <row r="794" spans="1:2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9"/>
      <c r="Q794"/>
      <c r="R794"/>
      <c r="S794"/>
      <c r="T794"/>
      <c r="U794"/>
    </row>
    <row r="795" spans="1:2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9"/>
      <c r="Q795"/>
      <c r="R795"/>
      <c r="S795"/>
      <c r="T795"/>
      <c r="U795"/>
    </row>
    <row r="796" spans="1:2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9"/>
      <c r="Q796"/>
      <c r="R796"/>
      <c r="S796"/>
      <c r="T796"/>
      <c r="U796"/>
    </row>
    <row r="797" spans="1:2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9"/>
      <c r="Q797"/>
      <c r="R797"/>
      <c r="S797"/>
      <c r="T797"/>
      <c r="U797"/>
    </row>
    <row r="798" spans="1:2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9"/>
      <c r="Q798"/>
      <c r="R798"/>
      <c r="S798"/>
      <c r="T798"/>
      <c r="U798"/>
    </row>
    <row r="799" spans="1:2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9"/>
      <c r="Q799"/>
      <c r="R799"/>
      <c r="S799"/>
      <c r="T799"/>
      <c r="U799"/>
    </row>
    <row r="800" spans="1:2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9"/>
      <c r="Q800"/>
      <c r="R800"/>
      <c r="S800"/>
      <c r="T800"/>
      <c r="U800"/>
    </row>
    <row r="801" spans="1:2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9"/>
      <c r="Q801"/>
      <c r="R801"/>
      <c r="S801"/>
      <c r="T801"/>
      <c r="U801"/>
    </row>
    <row r="802" spans="1:2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9"/>
      <c r="Q802"/>
      <c r="R802"/>
      <c r="S802"/>
      <c r="T802"/>
      <c r="U802"/>
    </row>
    <row r="803" spans="1:2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9"/>
      <c r="Q803"/>
      <c r="R803"/>
      <c r="S803"/>
      <c r="T803"/>
      <c r="U803"/>
    </row>
    <row r="804" spans="1:2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9"/>
      <c r="Q804"/>
      <c r="R804"/>
      <c r="S804"/>
      <c r="T804"/>
      <c r="U804"/>
    </row>
    <row r="805" spans="1:2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9"/>
      <c r="Q805"/>
      <c r="R805"/>
      <c r="S805"/>
      <c r="T805"/>
      <c r="U805"/>
    </row>
    <row r="806" spans="1:2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9"/>
      <c r="Q806"/>
      <c r="R806"/>
      <c r="S806"/>
      <c r="T806"/>
      <c r="U806"/>
    </row>
    <row r="807" spans="1:2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9"/>
      <c r="Q807"/>
      <c r="R807"/>
      <c r="S807"/>
      <c r="T807"/>
      <c r="U807"/>
    </row>
    <row r="808" spans="1:2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9"/>
      <c r="Q808"/>
      <c r="R808"/>
      <c r="S808"/>
      <c r="T808"/>
      <c r="U808"/>
    </row>
    <row r="809" spans="1:2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9"/>
      <c r="Q809"/>
      <c r="R809"/>
      <c r="S809"/>
      <c r="T809"/>
      <c r="U809"/>
    </row>
    <row r="810" spans="1:2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9"/>
      <c r="Q810"/>
      <c r="R810"/>
      <c r="S810"/>
      <c r="T810"/>
      <c r="U810"/>
    </row>
    <row r="811" spans="1:2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9"/>
      <c r="Q811"/>
      <c r="R811"/>
      <c r="S811"/>
      <c r="T811"/>
      <c r="U811"/>
    </row>
    <row r="812" spans="1:2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9"/>
      <c r="Q812"/>
      <c r="R812"/>
      <c r="S812"/>
      <c r="T812"/>
      <c r="U812"/>
    </row>
    <row r="813" spans="1:2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9"/>
      <c r="Q813"/>
      <c r="R813"/>
      <c r="S813"/>
      <c r="T813"/>
      <c r="U813"/>
    </row>
    <row r="814" spans="1:2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9"/>
      <c r="Q814"/>
      <c r="R814"/>
      <c r="S814"/>
      <c r="T814"/>
      <c r="U814"/>
    </row>
    <row r="815" spans="1:2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9"/>
      <c r="Q815"/>
      <c r="R815"/>
      <c r="S815"/>
      <c r="T815"/>
      <c r="U815"/>
    </row>
    <row r="816" spans="1:2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9"/>
      <c r="Q816"/>
      <c r="R816"/>
      <c r="S816"/>
      <c r="T816"/>
      <c r="U816"/>
    </row>
    <row r="817" spans="1:2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9"/>
      <c r="Q817"/>
      <c r="R817"/>
      <c r="S817"/>
      <c r="T817"/>
      <c r="U817"/>
    </row>
    <row r="818" spans="1:2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9"/>
      <c r="Q818"/>
      <c r="R818"/>
      <c r="S818"/>
      <c r="T818"/>
      <c r="U818"/>
    </row>
    <row r="819" spans="1:2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9"/>
      <c r="Q819"/>
      <c r="R819"/>
      <c r="S819"/>
      <c r="T819"/>
      <c r="U819"/>
    </row>
    <row r="820" spans="1:2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9"/>
      <c r="Q820"/>
      <c r="R820"/>
      <c r="S820"/>
      <c r="T820"/>
      <c r="U820"/>
    </row>
    <row r="821" spans="1:2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9"/>
      <c r="Q821"/>
      <c r="R821"/>
      <c r="S821"/>
      <c r="T821"/>
      <c r="U821"/>
    </row>
    <row r="822" spans="1:2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9"/>
      <c r="Q822"/>
      <c r="R822"/>
      <c r="S822"/>
      <c r="T822"/>
      <c r="U822"/>
    </row>
    <row r="823" spans="1:2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9"/>
      <c r="Q823"/>
      <c r="R823"/>
      <c r="S823"/>
      <c r="T823"/>
      <c r="U823"/>
    </row>
    <row r="824" spans="1:2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9"/>
      <c r="Q824"/>
      <c r="R824"/>
      <c r="S824"/>
      <c r="T824"/>
      <c r="U824"/>
    </row>
    <row r="825" spans="1:2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9"/>
      <c r="Q825"/>
      <c r="R825"/>
      <c r="S825"/>
      <c r="T825"/>
      <c r="U825"/>
    </row>
    <row r="826" spans="1:2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9"/>
      <c r="Q826"/>
      <c r="R826"/>
      <c r="S826"/>
      <c r="T826"/>
      <c r="U826"/>
    </row>
    <row r="827" spans="1:2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9"/>
      <c r="Q827"/>
      <c r="R827"/>
      <c r="S827"/>
      <c r="T827"/>
      <c r="U827"/>
    </row>
    <row r="828" spans="1:2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9"/>
      <c r="Q828"/>
      <c r="R828"/>
      <c r="S828"/>
      <c r="T828"/>
      <c r="U828"/>
    </row>
    <row r="829" spans="1:2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9"/>
      <c r="Q829"/>
      <c r="R829"/>
      <c r="S829"/>
      <c r="T829"/>
      <c r="U829"/>
    </row>
    <row r="830" spans="1:2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9"/>
      <c r="Q830"/>
      <c r="R830"/>
      <c r="S830"/>
      <c r="T830"/>
      <c r="U830"/>
    </row>
    <row r="831" spans="1:2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9"/>
      <c r="Q831"/>
      <c r="R831"/>
      <c r="S831"/>
      <c r="T831"/>
      <c r="U831"/>
    </row>
    <row r="832" spans="1:2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9"/>
      <c r="Q832"/>
      <c r="R832"/>
      <c r="S832"/>
      <c r="T832"/>
      <c r="U832"/>
    </row>
    <row r="833" spans="1:2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9"/>
      <c r="Q833"/>
      <c r="R833"/>
      <c r="S833"/>
      <c r="T833"/>
      <c r="U833"/>
    </row>
    <row r="834" spans="1:2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9"/>
      <c r="Q834"/>
      <c r="R834"/>
      <c r="S834"/>
      <c r="T834"/>
      <c r="U834"/>
    </row>
    <row r="835" spans="1:2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9"/>
      <c r="Q835"/>
      <c r="R835"/>
      <c r="S835"/>
      <c r="T835"/>
      <c r="U835"/>
    </row>
    <row r="836" spans="1:2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9"/>
      <c r="Q836"/>
      <c r="R836"/>
      <c r="S836"/>
      <c r="T836"/>
      <c r="U836"/>
    </row>
    <row r="837" spans="1:2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9"/>
      <c r="Q837"/>
      <c r="R837"/>
      <c r="S837"/>
      <c r="T837"/>
      <c r="U837"/>
    </row>
    <row r="838" spans="1:2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9"/>
      <c r="Q838"/>
      <c r="R838"/>
      <c r="S838"/>
      <c r="T838"/>
      <c r="U838"/>
    </row>
    <row r="839" spans="1:2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9"/>
      <c r="Q839"/>
      <c r="R839"/>
      <c r="S839"/>
      <c r="T839"/>
      <c r="U839"/>
    </row>
    <row r="840" spans="1:21" x14ac:dyDescent="0.25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6"/>
      <c r="Q840"/>
      <c r="R840"/>
      <c r="S840"/>
      <c r="T840"/>
      <c r="U840"/>
    </row>
    <row r="841" spans="1:21" x14ac:dyDescent="0.25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6"/>
      <c r="Q841"/>
      <c r="R841"/>
      <c r="S841"/>
      <c r="T841"/>
      <c r="U841"/>
    </row>
    <row r="842" spans="1:21" x14ac:dyDescent="0.25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6"/>
      <c r="Q842"/>
      <c r="R842"/>
      <c r="S842"/>
      <c r="T842"/>
      <c r="U842"/>
    </row>
    <row r="843" spans="1:21" x14ac:dyDescent="0.25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6"/>
      <c r="Q843"/>
      <c r="R843"/>
      <c r="S843"/>
      <c r="T843"/>
      <c r="U843"/>
    </row>
    <row r="844" spans="1:21" x14ac:dyDescent="0.25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6"/>
      <c r="Q844"/>
      <c r="R844"/>
      <c r="S844"/>
      <c r="T844"/>
      <c r="U844"/>
    </row>
    <row r="845" spans="1:21" x14ac:dyDescent="0.25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6"/>
      <c r="Q845"/>
      <c r="R845"/>
      <c r="S845"/>
      <c r="T845"/>
      <c r="U845"/>
    </row>
    <row r="846" spans="1:21" x14ac:dyDescent="0.25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6"/>
      <c r="Q846"/>
      <c r="R846"/>
      <c r="S846"/>
      <c r="T846"/>
      <c r="U846"/>
    </row>
    <row r="847" spans="1:21" x14ac:dyDescent="0.25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6"/>
      <c r="Q847"/>
      <c r="R847"/>
      <c r="S847"/>
      <c r="T847"/>
      <c r="U847"/>
    </row>
    <row r="848" spans="1:21" x14ac:dyDescent="0.25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6"/>
      <c r="Q848"/>
      <c r="R848"/>
      <c r="S848"/>
      <c r="T848"/>
      <c r="U848"/>
    </row>
    <row r="849" spans="1:21" x14ac:dyDescent="0.25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6"/>
      <c r="Q849"/>
      <c r="R849"/>
      <c r="S849"/>
      <c r="T849"/>
      <c r="U849"/>
    </row>
    <row r="850" spans="1:21" x14ac:dyDescent="0.25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6"/>
      <c r="Q850"/>
      <c r="R850"/>
      <c r="S850"/>
      <c r="T850"/>
      <c r="U850"/>
    </row>
    <row r="851" spans="1:21" x14ac:dyDescent="0.25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6"/>
      <c r="Q851"/>
      <c r="R851"/>
      <c r="S851"/>
      <c r="T851"/>
      <c r="U851"/>
    </row>
    <row r="852" spans="1:21" x14ac:dyDescent="0.25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6"/>
      <c r="Q852"/>
      <c r="R852"/>
      <c r="S852"/>
      <c r="T852"/>
      <c r="U852"/>
    </row>
    <row r="853" spans="1:21" x14ac:dyDescent="0.25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6"/>
      <c r="Q853"/>
      <c r="R853"/>
      <c r="S853"/>
      <c r="T853"/>
      <c r="U853"/>
    </row>
    <row r="854" spans="1:21" x14ac:dyDescent="0.25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6"/>
      <c r="Q854"/>
      <c r="R854"/>
      <c r="S854"/>
      <c r="T854"/>
      <c r="U854"/>
    </row>
    <row r="855" spans="1:21" x14ac:dyDescent="0.25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6"/>
      <c r="Q855"/>
      <c r="R855"/>
      <c r="S855"/>
      <c r="T855"/>
      <c r="U855"/>
    </row>
    <row r="856" spans="1:21" x14ac:dyDescent="0.25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6"/>
      <c r="Q856"/>
      <c r="R856"/>
      <c r="S856"/>
      <c r="T856"/>
      <c r="U856"/>
    </row>
    <row r="857" spans="1:21" x14ac:dyDescent="0.25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6"/>
      <c r="Q857"/>
      <c r="R857"/>
      <c r="S857"/>
      <c r="T857"/>
      <c r="U857"/>
    </row>
    <row r="858" spans="1:21" x14ac:dyDescent="0.25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6"/>
      <c r="Q858"/>
      <c r="R858"/>
      <c r="S858"/>
      <c r="T858"/>
      <c r="U858"/>
    </row>
    <row r="859" spans="1:21" x14ac:dyDescent="0.25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6"/>
      <c r="Q859"/>
      <c r="R859"/>
      <c r="S859"/>
      <c r="T859"/>
      <c r="U859"/>
    </row>
    <row r="860" spans="1:21" x14ac:dyDescent="0.25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6"/>
      <c r="Q860"/>
      <c r="R860"/>
      <c r="S860"/>
      <c r="T860"/>
      <c r="U860"/>
    </row>
    <row r="861" spans="1:21" x14ac:dyDescent="0.25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6"/>
      <c r="Q861"/>
      <c r="R861"/>
      <c r="S861"/>
      <c r="T861"/>
      <c r="U861"/>
    </row>
    <row r="862" spans="1:21" x14ac:dyDescent="0.25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6"/>
      <c r="Q862"/>
      <c r="R862"/>
      <c r="S862"/>
      <c r="T862"/>
      <c r="U862"/>
    </row>
    <row r="863" spans="1:21" x14ac:dyDescent="0.25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6"/>
      <c r="Q863"/>
      <c r="R863"/>
      <c r="S863"/>
      <c r="T863"/>
      <c r="U863"/>
    </row>
    <row r="864" spans="1:21" x14ac:dyDescent="0.25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6"/>
      <c r="Q864"/>
      <c r="R864"/>
      <c r="S864"/>
      <c r="T864"/>
      <c r="U864"/>
    </row>
    <row r="865" spans="1:21" x14ac:dyDescent="0.25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6"/>
      <c r="Q865"/>
      <c r="R865"/>
      <c r="S865"/>
      <c r="T865"/>
      <c r="U865"/>
    </row>
    <row r="866" spans="1:21" x14ac:dyDescent="0.25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4"/>
      <c r="Q866"/>
      <c r="R866"/>
      <c r="S866"/>
      <c r="T866"/>
      <c r="U866"/>
    </row>
    <row r="867" spans="1:21" x14ac:dyDescent="0.25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4"/>
      <c r="Q867"/>
      <c r="R867"/>
      <c r="S867"/>
      <c r="T867"/>
      <c r="U867"/>
    </row>
    <row r="868" spans="1:21" x14ac:dyDescent="0.25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5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5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5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5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5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5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5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5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5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5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5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5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5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5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5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5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5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5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5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5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5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5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5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5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5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5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5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5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5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5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5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5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5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5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5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5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5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5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5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5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5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5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5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5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5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5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5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5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5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5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5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5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5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5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5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5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5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5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5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5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5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5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5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5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5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5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5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5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5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5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5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5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5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5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5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5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5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5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5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5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5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5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5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5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5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5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5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5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5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5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5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5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5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5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5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5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5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5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5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5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5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5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5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5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5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5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5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5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5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5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5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5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5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5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5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5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5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5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5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5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5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5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5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5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5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5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5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5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5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5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5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5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5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5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5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5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5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5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5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5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5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5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5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5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5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5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5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5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5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5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5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5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5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5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5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5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5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5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5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5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5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5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5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5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5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5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5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5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5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5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5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5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5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5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5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5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5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5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5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5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5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5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5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5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5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5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5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5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5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5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5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5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5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5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5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5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5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5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5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5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5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5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5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5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5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5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5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5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5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5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5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5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5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5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5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5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5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5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5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5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5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5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5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5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5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5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5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5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5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5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5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5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5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5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5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5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5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5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5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5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5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5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5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5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5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5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5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5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5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5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5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5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5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5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5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5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5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5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5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5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5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5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5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5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5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5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5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5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5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5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5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5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5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5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5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5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5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5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5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5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5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5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5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5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5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5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5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5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5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5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5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5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5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5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5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5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5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5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5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5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5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5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5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5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5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5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5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5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5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5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5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5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5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5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5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5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5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5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5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5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5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5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5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5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5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5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5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5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5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5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5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5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5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5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5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5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5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5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5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5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5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5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5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5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5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5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5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5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5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5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5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5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5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5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5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5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5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5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5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5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5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5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5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5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5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5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5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5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5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5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5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5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5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5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5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5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5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5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5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5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5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5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5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5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5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5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5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5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5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5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5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5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5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5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5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5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5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5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5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5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5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5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5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5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5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5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5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5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5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5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5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5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5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5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5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5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5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5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5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5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5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5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5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5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5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5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5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5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5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5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5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5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5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5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5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5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5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5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5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5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5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5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5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5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5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5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5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5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5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5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5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5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5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5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5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5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5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5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5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5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5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5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5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5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5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5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5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5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5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5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5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5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5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5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5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5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5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5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5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5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5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5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5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5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5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5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5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5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5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5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5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5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5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5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5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5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5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5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5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5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5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5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5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5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5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5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5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5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5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5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5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5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5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5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5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5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5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5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5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5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5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5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5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5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5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5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5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5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5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5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5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5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5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5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5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5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5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5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5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5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5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5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5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5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5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5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5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5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5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5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5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5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5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5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5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5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5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5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5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5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5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5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5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5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5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5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5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5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5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5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5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5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5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5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5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5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5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5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5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5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5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5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5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5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5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5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5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5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5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5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5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5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5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5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5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5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5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5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5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5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5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5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5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5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5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5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5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5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5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5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5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5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5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5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5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5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5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5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5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5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5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5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5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5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5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5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5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5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5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5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5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5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5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5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5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5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5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5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5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5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5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5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5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5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5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5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5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5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5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5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5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5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5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5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5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5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5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5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5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5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5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5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5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5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5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5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5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5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5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5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5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5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5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5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5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5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5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5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5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5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5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5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5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5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5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5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5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5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5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5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5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5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5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5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5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5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5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5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5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5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5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5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5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5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5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5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5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5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5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5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5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5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5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5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5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5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5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5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5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5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5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5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5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5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5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5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5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5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5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5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5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5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5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5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5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5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5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5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5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5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5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5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5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5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5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5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5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5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5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5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5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5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5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5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5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5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5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5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5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5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5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5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5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5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5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5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5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5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5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5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5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5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5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5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5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5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5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5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5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5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5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5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5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5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5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5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5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5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5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5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5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5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5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5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5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5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5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5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5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5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5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5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5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5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5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5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5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5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5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5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5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5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5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5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5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5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5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5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5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5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5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5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5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5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5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5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5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5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5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5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5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5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5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5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5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5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610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177800</xdr:colOff>
                    <xdr:row>15</xdr:row>
                    <xdr:rowOff>25400</xdr:rowOff>
                  </from>
                  <to>
                    <xdr:col>1</xdr:col>
                    <xdr:colOff>527050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08984375" defaultRowHeight="12.5" x14ac:dyDescent="0.25"/>
  <cols>
    <col min="1" max="2" width="2.6328125" style="97" customWidth="1"/>
    <col min="3" max="7" width="9.08984375" style="97"/>
    <col min="8" max="8" width="11.08984375" style="97" bestFit="1" customWidth="1"/>
    <col min="9" max="9" width="9.36328125" style="97" bestFit="1" customWidth="1"/>
    <col min="10" max="17" width="9.08984375" style="97"/>
    <col min="18" max="18" width="2.6328125" style="97" customWidth="1"/>
    <col min="19" max="16384" width="9.08984375" style="97"/>
  </cols>
  <sheetData>
    <row r="2" spans="1:18" x14ac:dyDescent="0.2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5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5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.5" x14ac:dyDescent="0.35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5" x14ac:dyDescent="0.35">
      <c r="B8" s="103"/>
      <c r="C8" s="20" t="s">
        <v>1449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5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5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5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5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5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5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5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5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5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5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5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5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5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5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5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5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5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5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5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5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5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5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5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5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5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5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5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5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5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5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5">
      <c r="B42" s="103"/>
      <c r="C42" s="20" t="s">
        <v>1267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5">
      <c r="B43" s="103"/>
      <c r="C43" s="103" t="s">
        <v>18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5">
      <c r="B44" s="103"/>
      <c r="C44" s="103" t="s">
        <v>43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5">
      <c r="B45" s="103"/>
      <c r="C45" s="103" t="s">
        <v>44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.5" x14ac:dyDescent="0.35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5"/>
    <row r="52" spans="4:9" hidden="1" x14ac:dyDescent="0.25">
      <c r="D52" s="99"/>
      <c r="G52" s="100"/>
    </row>
    <row r="53" spans="4:9" hidden="1" x14ac:dyDescent="0.25">
      <c r="D53" s="101"/>
      <c r="G53" s="100"/>
      <c r="H53" s="102"/>
    </row>
    <row r="54" spans="4:9" hidden="1" x14ac:dyDescent="0.25">
      <c r="D54" s="101"/>
      <c r="G54" s="100"/>
      <c r="H54" s="102"/>
    </row>
    <row r="55" spans="4:9" hidden="1" x14ac:dyDescent="0.25">
      <c r="D55" s="101"/>
      <c r="G55" s="100"/>
      <c r="H55" s="102"/>
    </row>
    <row r="56" spans="4:9" hidden="1" x14ac:dyDescent="0.25">
      <c r="D56" s="101"/>
      <c r="G56" s="100"/>
      <c r="H56" s="102"/>
    </row>
    <row r="57" spans="4:9" hidden="1" x14ac:dyDescent="0.25">
      <c r="D57" s="101"/>
      <c r="G57" s="100"/>
      <c r="H57" s="102"/>
    </row>
    <row r="58" spans="4:9" hidden="1" x14ac:dyDescent="0.25">
      <c r="D58" s="101"/>
      <c r="G58" s="100"/>
      <c r="H58" s="102"/>
      <c r="I58" s="102"/>
    </row>
    <row r="59" spans="4:9" hidden="1" x14ac:dyDescent="0.25">
      <c r="D59" s="101"/>
      <c r="G59" s="100"/>
      <c r="H59" s="102"/>
      <c r="I59" s="102"/>
    </row>
    <row r="60" spans="4:9" hidden="1" x14ac:dyDescent="0.25">
      <c r="D60" s="101"/>
      <c r="G60" s="100"/>
      <c r="H60" s="102"/>
      <c r="I60" s="102"/>
    </row>
    <row r="61" spans="4:9" hidden="1" x14ac:dyDescent="0.25">
      <c r="D61" s="101"/>
      <c r="G61" s="100"/>
      <c r="H61" s="102"/>
      <c r="I61" s="102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08984375" defaultRowHeight="12.5" x14ac:dyDescent="0.25"/>
  <cols>
    <col min="1" max="1" width="2.6328125" style="124" customWidth="1"/>
    <col min="2" max="19" width="9.08984375" style="124"/>
    <col min="20" max="20" width="2.6328125" style="124" customWidth="1"/>
    <col min="21" max="16384" width="9.08984375" style="124"/>
  </cols>
  <sheetData>
    <row r="1" spans="1:20" x14ac:dyDescent="0.25">
      <c r="A1" s="377"/>
    </row>
    <row r="2" spans="1:20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5">
      <c r="B5" s="335" t="str">
        <f>'Värdeutveckling - konto'!C8</f>
        <v>Nästa uppdatering 2019-07-16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5" x14ac:dyDescent="0.3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5" x14ac:dyDescent="0.3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ht="13" x14ac:dyDescent="0.3">
      <c r="B44" s="2"/>
      <c r="C44" s="133" t="s">
        <v>123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ht="13" x14ac:dyDescent="0.3">
      <c r="B45" s="2"/>
      <c r="C45" s="133" t="s">
        <v>124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5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ht="13" x14ac:dyDescent="0.3">
      <c r="B47" s="2"/>
      <c r="C47" s="131" t="s">
        <v>1232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5">
      <c r="B48" s="2"/>
      <c r="C48" s="130" t="s">
        <v>1233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5">
      <c r="B49" s="2"/>
      <c r="C49" s="130" t="s">
        <v>1234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5">
      <c r="B50" s="2"/>
      <c r="C50" s="130" t="s">
        <v>1235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5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ht="13" x14ac:dyDescent="0.3">
      <c r="B52" s="2"/>
      <c r="C52" s="131" t="s">
        <v>22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2" t="s">
        <v>120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8" t="s">
        <v>74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8" t="s">
        <v>121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8" t="s">
        <v>125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126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C60" s="125"/>
    </row>
    <row r="61" spans="2:20" x14ac:dyDescent="0.25">
      <c r="C61" s="125"/>
    </row>
    <row r="62" spans="2:20" x14ac:dyDescent="0.25">
      <c r="C62" s="125"/>
    </row>
    <row r="63" spans="2:20" x14ac:dyDescent="0.25">
      <c r="C63" s="125"/>
    </row>
    <row r="64" spans="2:20" x14ac:dyDescent="0.25">
      <c r="C64" s="125"/>
    </row>
    <row r="65" spans="3:3" x14ac:dyDescent="0.25">
      <c r="C65" s="125"/>
    </row>
    <row r="66" spans="3:3" x14ac:dyDescent="0.25">
      <c r="C66" s="125"/>
    </row>
    <row r="67" spans="3:3" x14ac:dyDescent="0.25">
      <c r="C67" s="125"/>
    </row>
    <row r="68" spans="3:3" x14ac:dyDescent="0.25">
      <c r="C68" s="125"/>
    </row>
    <row r="69" spans="3:3" x14ac:dyDescent="0.25">
      <c r="C69" s="125"/>
    </row>
    <row r="70" spans="3:3" x14ac:dyDescent="0.25">
      <c r="C70" s="125"/>
    </row>
    <row r="71" spans="3:3" x14ac:dyDescent="0.25">
      <c r="C71" s="125"/>
    </row>
    <row r="72" spans="3:3" x14ac:dyDescent="0.25">
      <c r="C72" s="125"/>
    </row>
    <row r="73" spans="3:3" x14ac:dyDescent="0.25">
      <c r="C73" s="126"/>
    </row>
    <row r="74" spans="3:3" x14ac:dyDescent="0.25">
      <c r="C74" s="125"/>
    </row>
    <row r="78" spans="3:3" ht="15.5" x14ac:dyDescent="0.4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08984375" defaultRowHeight="12.5" x14ac:dyDescent="0.25"/>
  <cols>
    <col min="1" max="1" width="2.6328125" style="124" customWidth="1"/>
    <col min="2" max="20" width="9.08984375" style="124"/>
    <col min="21" max="21" width="2.6328125" style="124" customWidth="1"/>
    <col min="22" max="16384" width="9.08984375" style="124"/>
  </cols>
  <sheetData>
    <row r="2" spans="2:21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79" t="str">
        <f>'Värdeutveckling - konto'!C8</f>
        <v>Nästa uppdatering 2019-07-16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113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106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130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1205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5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5">
      <c r="C53" s="107"/>
      <c r="D53" s="107"/>
      <c r="E53" s="107"/>
      <c r="F53" s="107"/>
      <c r="G53" s="107"/>
      <c r="H53" s="107"/>
    </row>
    <row r="54" spans="2:21" x14ac:dyDescent="0.25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08984375" defaultRowHeight="12.5" x14ac:dyDescent="0.25"/>
  <cols>
    <col min="1" max="1" width="2.6328125" style="124" customWidth="1"/>
    <col min="2" max="17" width="9.08984375" style="124"/>
    <col min="18" max="19" width="9.08984375" style="124" customWidth="1"/>
    <col min="20" max="23" width="9.08984375" style="124"/>
    <col min="24" max="24" width="2.6328125" style="124" customWidth="1"/>
    <col min="25" max="16384" width="9.08984375" style="124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79" t="str">
        <f>'Värdeutveckling - konto'!C8</f>
        <v>Nästa uppdatering 2019-07-16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5">
      <c r="R53" s="107"/>
      <c r="S53" s="107"/>
    </row>
    <row r="54" spans="2:19" x14ac:dyDescent="0.25">
      <c r="R54" s="107"/>
      <c r="S54" s="107"/>
    </row>
    <row r="55" spans="2:19" x14ac:dyDescent="0.25">
      <c r="R55" s="107"/>
      <c r="S55" s="107"/>
    </row>
    <row r="56" spans="2:19" x14ac:dyDescent="0.25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08984375" defaultRowHeight="12.5" x14ac:dyDescent="0.25"/>
  <cols>
    <col min="1" max="1" width="2.6328125" style="124" customWidth="1"/>
    <col min="2" max="17" width="9.08984375" style="124"/>
    <col min="18" max="18" width="2.6328125" style="124" customWidth="1"/>
    <col min="19" max="16384" width="9.08984375" style="124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1198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5" t="s">
        <v>1202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5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08984375" defaultRowHeight="12.5" x14ac:dyDescent="0.25"/>
  <cols>
    <col min="1" max="1" width="2.6328125" style="124" customWidth="1"/>
    <col min="2" max="17" width="9.08984375" style="124"/>
    <col min="18" max="18" width="2.6328125" style="124" customWidth="1"/>
    <col min="19" max="16384" width="9.08984375" style="124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127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5" t="s">
        <v>1202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3" t="s">
        <v>102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5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5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43" activePane="bottomLeft" state="frozen"/>
      <selection pane="bottomLeft"/>
    </sheetView>
  </sheetViews>
  <sheetFormatPr defaultColWidth="9.08984375" defaultRowHeight="12.5" x14ac:dyDescent="0.25"/>
  <cols>
    <col min="1" max="1" width="2.90625" style="80" customWidth="1"/>
    <col min="2" max="2" width="14.08984375" style="80" customWidth="1"/>
    <col min="3" max="3" width="19.453125" style="82" customWidth="1"/>
    <col min="4" max="4" width="17.453125" style="82" customWidth="1"/>
    <col min="5" max="5" width="13.08984375" style="82" customWidth="1"/>
    <col min="6" max="6" width="12.90625" style="82" customWidth="1"/>
    <col min="7" max="9" width="10.6328125" style="82" customWidth="1"/>
    <col min="10" max="21" width="10.6328125" style="80" customWidth="1"/>
    <col min="22" max="42" width="10.08984375" style="80" customWidth="1"/>
    <col min="43" max="16384" width="9.08984375" style="80"/>
  </cols>
  <sheetData>
    <row r="2" spans="2:14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4">
      <c r="B5" s="283" t="s">
        <v>110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ht="13" x14ac:dyDescent="0.3">
      <c r="B6" s="335" t="str">
        <f>'Värdeutveckling - konto'!C8</f>
        <v>Nästa uppdatering 2019-07-16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3">
      <c r="B7" s="237" t="s">
        <v>76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ht="13" x14ac:dyDescent="0.3">
      <c r="B8" s="237" t="s">
        <v>90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ht="13" x14ac:dyDescent="0.3">
      <c r="B9" s="237" t="s">
        <v>91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ht="13" x14ac:dyDescent="0.3">
      <c r="B10" s="237" t="s">
        <v>79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5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ht="13" x14ac:dyDescent="0.3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ht="13" x14ac:dyDescent="0.3">
      <c r="B13" s="285" t="s">
        <v>128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ht="13" x14ac:dyDescent="0.3">
      <c r="B14" s="285" t="s">
        <v>129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ht="13" x14ac:dyDescent="0.3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5">
      <c r="B16" s="286" t="s">
        <v>75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ht="13" x14ac:dyDescent="0.3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3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3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3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3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3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3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3">
      <c r="B25" s="214" t="s">
        <v>132</v>
      </c>
      <c r="C25" s="398" t="s">
        <v>103</v>
      </c>
      <c r="D25" s="398" t="s">
        <v>104</v>
      </c>
      <c r="E25" s="399" t="s">
        <v>1230</v>
      </c>
      <c r="F25" s="399" t="s">
        <v>1231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3">
      <c r="B26" s="215"/>
      <c r="C26" s="398"/>
      <c r="D26" s="398"/>
      <c r="E26" s="400"/>
      <c r="F26" s="400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5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5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5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5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5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5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5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5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5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5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5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5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5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5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5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5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5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5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5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5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5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5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5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5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5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5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5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5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5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5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5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5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5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5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5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5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5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5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5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5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5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5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5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5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5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5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5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5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5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5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5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5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5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5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5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5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5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5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5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5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5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5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5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5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5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5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5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5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5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5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5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5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5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5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5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5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5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5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5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5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5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5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5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5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5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5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5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5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5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5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5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5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5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5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5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5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5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5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5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5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5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5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5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5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5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5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5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5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5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5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5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5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5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5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5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5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5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5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5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5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5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5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5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5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5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5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5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5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5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5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5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5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5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5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5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5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5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5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5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5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5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5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5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5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5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5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5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5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5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5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5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5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5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5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5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5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5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5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5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5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5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5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5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5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5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5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5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5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5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5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5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5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5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5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5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5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5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5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5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5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5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5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2">
        <v>43465</v>
      </c>
      <c r="C244" s="381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5">
      <c r="B245" s="387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5">
      <c r="B246" s="387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5">
      <c r="B247" s="387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5">
      <c r="B248" s="387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5">
      <c r="B249" s="387">
        <v>43616</v>
      </c>
      <c r="C249" s="186">
        <v>7.0948329567909252E-2</v>
      </c>
      <c r="D249" s="186">
        <v>5.8333739915289895E-2</v>
      </c>
      <c r="E249" s="39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5">
      <c r="B250" s="44"/>
      <c r="C250" s="186"/>
      <c r="D250" s="186"/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5">
      <c r="B251" s="44"/>
      <c r="C251" s="186"/>
      <c r="D251" s="186"/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5">
      <c r="B252" s="44"/>
      <c r="C252" s="186"/>
      <c r="D252" s="186"/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5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5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5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5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5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5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5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08984375" defaultRowHeight="12.5" x14ac:dyDescent="0.25"/>
  <cols>
    <col min="1" max="1" width="2.90625" style="80" customWidth="1"/>
    <col min="2" max="2" width="26" style="80" customWidth="1"/>
    <col min="3" max="9" width="8.90625" style="82" customWidth="1"/>
    <col min="10" max="12" width="8.90625" style="80" customWidth="1"/>
    <col min="13" max="19" width="8.54296875" style="80" customWidth="1"/>
    <col min="20" max="20" width="12.6328125" style="80" customWidth="1"/>
    <col min="21" max="24" width="10.6328125" style="80" customWidth="1"/>
    <col min="25" max="45" width="10.08984375" style="80" customWidth="1"/>
    <col min="46" max="16384" width="9.08984375" style="80"/>
  </cols>
  <sheetData>
    <row r="2" spans="1:23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5">
      <c r="A4" s="80" t="s">
        <v>80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4">
      <c r="B5" s="278" t="s">
        <v>111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5">
      <c r="B6" s="279" t="str">
        <f>'Värdeutveckling - konto'!C8</f>
        <v>Nästa uppdatering 2019-07-16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3">
      <c r="B7" s="53" t="s">
        <v>107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ht="13" x14ac:dyDescent="0.3">
      <c r="B8" s="53" t="s">
        <v>108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ht="13" x14ac:dyDescent="0.3">
      <c r="B9" s="53" t="s">
        <v>109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ht="13" x14ac:dyDescent="0.3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3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ht="13" x14ac:dyDescent="0.3">
      <c r="B14" s="282" t="s">
        <v>73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8">
        <v>43616</v>
      </c>
    </row>
    <row r="15" spans="1:23" ht="15" customHeight="1" x14ac:dyDescent="0.25">
      <c r="B15" s="362" t="s">
        <v>1194</v>
      </c>
      <c r="C15" s="363">
        <v>-0.111</v>
      </c>
      <c r="D15" s="364">
        <v>-0.31223079839764201</v>
      </c>
      <c r="E15" s="364">
        <v>0.1782730775091621</v>
      </c>
      <c r="F15" s="364">
        <v>8.7501758829949594E-2</v>
      </c>
      <c r="G15" s="364">
        <v>0.30552648011758543</v>
      </c>
      <c r="H15" s="364">
        <v>0.12140116450721394</v>
      </c>
      <c r="I15" s="364">
        <v>5.6636805614445285E-2</v>
      </c>
      <c r="J15" s="364">
        <v>-0.34156819000074978</v>
      </c>
      <c r="K15" s="364">
        <v>0.34685505788951732</v>
      </c>
      <c r="L15" s="363">
        <v>0.12151293044644662</v>
      </c>
      <c r="M15" s="365">
        <v>-0.10687426681227297</v>
      </c>
      <c r="N15" s="365">
        <v>0.12125473461444458</v>
      </c>
      <c r="O15" s="365">
        <v>0.21099999999999999</v>
      </c>
      <c r="P15" s="365">
        <v>0.20699999999999999</v>
      </c>
      <c r="Q15" s="366">
        <v>6.4000000000000001E-2</v>
      </c>
      <c r="R15" s="366">
        <v>0.10855501959583491</v>
      </c>
      <c r="S15" s="367">
        <v>0.12569489215081098</v>
      </c>
      <c r="T15" s="367">
        <v>-3.40606892186055E-2</v>
      </c>
      <c r="U15" s="388">
        <v>0.13770644102272844</v>
      </c>
      <c r="V15" s="175"/>
    </row>
    <row r="16" spans="1:23" ht="15" customHeight="1" x14ac:dyDescent="0.25">
      <c r="B16" s="356" t="s">
        <v>1191</v>
      </c>
      <c r="C16" s="357">
        <v>-0.106</v>
      </c>
      <c r="D16" s="358">
        <v>-0.26700000000000002</v>
      </c>
      <c r="E16" s="358">
        <v>0.187</v>
      </c>
      <c r="F16" s="358">
        <v>0.10100000000000001</v>
      </c>
      <c r="G16" s="358">
        <v>0.251</v>
      </c>
      <c r="H16" s="358">
        <v>0.105</v>
      </c>
      <c r="I16" s="358">
        <v>4.7E-2</v>
      </c>
      <c r="J16" s="358">
        <v>-0.36199999999999999</v>
      </c>
      <c r="K16" s="358">
        <v>0.35141800246609134</v>
      </c>
      <c r="L16" s="357">
        <v>0.14644453351666153</v>
      </c>
      <c r="M16" s="359">
        <v>-0.10536246609942557</v>
      </c>
      <c r="N16" s="359">
        <v>0.17497988455497548</v>
      </c>
      <c r="O16" s="359">
        <v>0.318</v>
      </c>
      <c r="P16" s="359">
        <v>0.29099999999999998</v>
      </c>
      <c r="Q16" s="360">
        <v>6.2E-2</v>
      </c>
      <c r="R16" s="360">
        <v>0.15138751375459392</v>
      </c>
      <c r="S16" s="361">
        <v>0.16351530485196797</v>
      </c>
      <c r="T16" s="361">
        <v>-2.7275872892043029E-2</v>
      </c>
      <c r="U16" s="389">
        <v>0.15528864288838529</v>
      </c>
      <c r="V16" s="175"/>
    </row>
    <row r="17" spans="1:22" ht="15" customHeight="1" x14ac:dyDescent="0.25">
      <c r="B17" s="362" t="s">
        <v>1190</v>
      </c>
      <c r="C17" s="363">
        <v>4.1691826923077047E-2</v>
      </c>
      <c r="D17" s="363">
        <v>3.8685865587554158E-2</v>
      </c>
      <c r="E17" s="363">
        <v>3.3331727793022514E-2</v>
      </c>
      <c r="F17" s="363">
        <v>4.8354052976949724E-2</v>
      </c>
      <c r="G17" s="363">
        <v>5.1664705500169772E-2</v>
      </c>
      <c r="H17" s="363">
        <v>5.9999993759661807E-2</v>
      </c>
      <c r="I17" s="363">
        <v>5.6646964711991155E-2</v>
      </c>
      <c r="J17" s="363">
        <v>2.1523620769253071E-2</v>
      </c>
      <c r="K17" s="363">
        <v>1.0750188371345448E-2</v>
      </c>
      <c r="L17" s="363">
        <v>4.5851349005140873E-2</v>
      </c>
      <c r="M17" s="363">
        <v>3.7478052648876936E-2</v>
      </c>
      <c r="N17" s="363">
        <v>5.000001243286567E-2</v>
      </c>
      <c r="O17" s="363">
        <v>4.4115418197783862E-2</v>
      </c>
      <c r="P17" s="363">
        <v>6.8234846767015522E-2</v>
      </c>
      <c r="Q17" s="363">
        <v>0.12601672774751971</v>
      </c>
      <c r="R17" s="363">
        <v>4.9905351813315679E-2</v>
      </c>
      <c r="S17" s="363">
        <v>5.0856518959069286E-2</v>
      </c>
      <c r="T17" s="363">
        <v>7.4991880878938932E-2</v>
      </c>
      <c r="U17" s="389">
        <v>2.0389523216892469E-2</v>
      </c>
      <c r="V17" s="175"/>
    </row>
    <row r="18" spans="1:22" ht="17.25" customHeight="1" x14ac:dyDescent="0.25">
      <c r="C18" s="80"/>
      <c r="D18" s="80"/>
      <c r="E18" s="80"/>
      <c r="F18" s="80"/>
      <c r="G18" s="80"/>
      <c r="H18" s="80"/>
      <c r="I18" s="80"/>
      <c r="V18" s="175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ht="13" x14ac:dyDescent="0.3">
      <c r="B20" s="188" t="s">
        <v>130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ht="13" x14ac:dyDescent="0.3">
      <c r="B21" s="188" t="s">
        <v>1192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8"/>
      <c r="S21" s="378"/>
      <c r="T21" s="43"/>
      <c r="U21" s="44"/>
      <c r="V21" s="175"/>
    </row>
    <row r="22" spans="1:22" ht="13" x14ac:dyDescent="0.3">
      <c r="A22" s="170"/>
      <c r="B22" s="188" t="s">
        <v>1193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5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5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5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5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5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5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5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5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5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5">
      <c r="E32" s="107"/>
      <c r="F32" s="107"/>
      <c r="G32" s="107"/>
      <c r="H32" s="145"/>
      <c r="I32" s="145"/>
      <c r="K32" s="85"/>
      <c r="M32" s="177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" x14ac:dyDescent="0.3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08984375" defaultRowHeight="12.5" x14ac:dyDescent="0.25"/>
  <cols>
    <col min="1" max="1" width="2.9062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4296875" style="80" bestFit="1" customWidth="1"/>
    <col min="21" max="21" width="11.54296875" style="80" customWidth="1"/>
    <col min="22" max="22" width="10" style="80" customWidth="1"/>
    <col min="23" max="24" width="10.6328125" style="80" customWidth="1"/>
    <col min="25" max="45" width="10.08984375" style="80" customWidth="1"/>
    <col min="46" max="16384" width="9.08984375" style="80"/>
  </cols>
  <sheetData>
    <row r="2" spans="1:30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4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5">
      <c r="B7" s="279" t="str">
        <f>'Värdeutveckling - konto'!C8</f>
        <v>Nästa uppdatering 2019-07-16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3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ht="13" x14ac:dyDescent="0.3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ht="13" x14ac:dyDescent="0.3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ht="13" x14ac:dyDescent="0.3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ht="13" x14ac:dyDescent="0.3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3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3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49999999999999" customHeight="1" x14ac:dyDescent="0.3">
      <c r="A15" s="173"/>
      <c r="B15" s="282" t="s">
        <v>561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4">
        <v>43616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49999999999999" customHeight="1" x14ac:dyDescent="0.25">
      <c r="B16" s="275" t="s">
        <v>83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583.66658812607409</v>
      </c>
    </row>
    <row r="17" spans="2:22" ht="20.149999999999999" customHeight="1" x14ac:dyDescent="0.25">
      <c r="B17" s="281" t="s">
        <v>84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3">
        <v>1110.00111086684</v>
      </c>
      <c r="U17" s="373">
        <v>1102.5914045278</v>
      </c>
      <c r="V17" s="390">
        <v>1253.8597933793001</v>
      </c>
    </row>
    <row r="18" spans="2:22" ht="20.149999999999999" customHeight="1" x14ac:dyDescent="0.25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5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5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5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5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5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5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5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5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5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5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5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5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5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5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5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  <row r="94" spans="2:9" x14ac:dyDescent="0.25">
      <c r="B94" s="145"/>
      <c r="C94" s="145"/>
      <c r="D94" s="145"/>
      <c r="E94" s="145"/>
      <c r="F94" s="145"/>
      <c r="G94" s="145"/>
      <c r="H94" s="145"/>
      <c r="I94" s="145"/>
    </row>
    <row r="95" spans="2:9" x14ac:dyDescent="0.25">
      <c r="B95" s="145"/>
      <c r="C95" s="145"/>
      <c r="D95" s="145"/>
      <c r="E95" s="145"/>
      <c r="F95" s="145"/>
      <c r="G95" s="145"/>
      <c r="H95" s="145"/>
      <c r="I95" s="145"/>
    </row>
    <row r="96" spans="2:9" x14ac:dyDescent="0.25">
      <c r="B96" s="145"/>
      <c r="C96" s="145"/>
      <c r="D96" s="145"/>
      <c r="E96" s="145"/>
      <c r="F96" s="145"/>
      <c r="G96" s="145"/>
      <c r="H96" s="145"/>
      <c r="I96" s="145"/>
    </row>
    <row r="97" spans="2:9" x14ac:dyDescent="0.25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44" activePane="bottomLeft" state="frozen"/>
      <selection activeCell="E11" sqref="E11"/>
      <selection pane="bottomLeft"/>
    </sheetView>
  </sheetViews>
  <sheetFormatPr defaultColWidth="9.08984375" defaultRowHeight="12.5" x14ac:dyDescent="0.25"/>
  <cols>
    <col min="1" max="1" width="2.90625" style="80" customWidth="1"/>
    <col min="2" max="2" width="11.54296875" style="80" customWidth="1"/>
    <col min="3" max="3" width="30.08984375" style="80" customWidth="1"/>
    <col min="4" max="4" width="30.54296875" style="80" customWidth="1"/>
    <col min="5" max="6" width="26" style="80" customWidth="1"/>
    <col min="7" max="7" width="4" style="371" customWidth="1"/>
    <col min="8" max="8" width="31.08984375" style="82" customWidth="1"/>
    <col min="9" max="9" width="30.36328125" style="82" customWidth="1"/>
    <col min="10" max="10" width="25" style="305" customWidth="1"/>
    <col min="11" max="11" width="29.08984375" style="82" customWidth="1"/>
    <col min="12" max="17" width="26" style="80" customWidth="1"/>
    <col min="18" max="43" width="10.08984375" style="80" customWidth="1"/>
    <col min="44" max="16384" width="9.08984375" style="80"/>
  </cols>
  <sheetData>
    <row r="1" spans="2:11" x14ac:dyDescent="0.25">
      <c r="G1" s="370"/>
      <c r="J1" s="82"/>
    </row>
    <row r="2" spans="2:11" ht="24.9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4.9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8" x14ac:dyDescent="0.4">
      <c r="B5" s="278" t="s">
        <v>1199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79" t="str">
        <f>'Värdeutveckling - konto'!C8</f>
        <v>Nästa uppdatering 2019-07-16</v>
      </c>
      <c r="C6" s="44"/>
      <c r="D6" s="44"/>
      <c r="E6" s="44"/>
      <c r="F6" s="44"/>
      <c r="H6" s="39"/>
      <c r="I6" s="39"/>
      <c r="K6" s="39"/>
    </row>
    <row r="7" spans="2:11" x14ac:dyDescent="0.25">
      <c r="B7" s="275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131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133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134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93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ht="13" x14ac:dyDescent="0.3">
      <c r="B16" s="182"/>
      <c r="C16" s="44"/>
      <c r="D16" s="44"/>
      <c r="E16" s="44"/>
      <c r="F16" s="44"/>
      <c r="H16" s="39"/>
      <c r="I16" s="39"/>
      <c r="J16" s="39"/>
      <c r="K16" s="39"/>
    </row>
    <row r="17" spans="2:22" ht="13" x14ac:dyDescent="0.3">
      <c r="B17" s="182"/>
      <c r="C17" s="44"/>
      <c r="D17" s="44"/>
      <c r="E17" s="44"/>
      <c r="F17" s="44"/>
      <c r="H17" s="39"/>
      <c r="I17" s="39"/>
      <c r="J17" s="39"/>
      <c r="K17" s="39"/>
    </row>
    <row r="18" spans="2:22" ht="13" x14ac:dyDescent="0.3">
      <c r="B18" s="182"/>
      <c r="C18" s="44"/>
      <c r="D18" s="44"/>
      <c r="E18" s="44"/>
      <c r="F18" s="44"/>
      <c r="H18" s="39"/>
      <c r="I18" s="39"/>
      <c r="J18" s="39"/>
      <c r="K18" s="39"/>
    </row>
    <row r="19" spans="2:22" ht="13" x14ac:dyDescent="0.3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403" t="s">
        <v>1195</v>
      </c>
      <c r="C20" s="403"/>
      <c r="D20" s="375"/>
      <c r="E20" s="375"/>
      <c r="F20" s="375"/>
      <c r="H20" s="403" t="s">
        <v>1190</v>
      </c>
      <c r="I20" s="403"/>
      <c r="J20" s="403"/>
      <c r="K20" s="403"/>
    </row>
    <row r="21" spans="2:22" ht="12.75" customHeight="1" x14ac:dyDescent="0.3">
      <c r="B21" s="403"/>
      <c r="C21" s="403"/>
      <c r="D21" s="375"/>
      <c r="E21" s="375"/>
      <c r="F21" s="375"/>
      <c r="H21" s="403"/>
      <c r="I21" s="403"/>
      <c r="J21" s="403"/>
      <c r="K21" s="40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3">
      <c r="B22" s="209"/>
      <c r="C22" s="402" t="s">
        <v>1200</v>
      </c>
      <c r="D22" s="402" t="s">
        <v>1201</v>
      </c>
      <c r="E22" s="402" t="s">
        <v>77</v>
      </c>
      <c r="F22" s="402" t="s">
        <v>78</v>
      </c>
      <c r="H22" s="402" t="s">
        <v>1200</v>
      </c>
      <c r="I22" s="402" t="s">
        <v>1201</v>
      </c>
      <c r="J22" s="402" t="s">
        <v>77</v>
      </c>
      <c r="K22" s="402" t="s">
        <v>78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ht="13" x14ac:dyDescent="0.3">
      <c r="B23" s="209"/>
      <c r="C23" s="402"/>
      <c r="D23" s="402"/>
      <c r="E23" s="402"/>
      <c r="F23" s="402"/>
      <c r="H23" s="402"/>
      <c r="I23" s="402"/>
      <c r="J23" s="402"/>
      <c r="K23" s="402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3">
      <c r="B24" s="142" t="s">
        <v>132</v>
      </c>
      <c r="G24" s="372"/>
      <c r="H24" s="369"/>
      <c r="I24" s="369"/>
      <c r="J24" s="369"/>
      <c r="K24" s="369"/>
      <c r="L24" s="401"/>
      <c r="M24" s="401"/>
      <c r="N24" s="401"/>
      <c r="O24" s="401"/>
      <c r="P24" s="172"/>
      <c r="Q24" s="172"/>
    </row>
    <row r="25" spans="2:22" s="142" customFormat="1" ht="13" x14ac:dyDescent="0.3">
      <c r="B25" s="369"/>
      <c r="C25" s="369" t="s">
        <v>1195</v>
      </c>
      <c r="D25" s="369" t="s">
        <v>1197</v>
      </c>
      <c r="E25" s="369" t="s">
        <v>1195</v>
      </c>
      <c r="F25" s="369" t="s">
        <v>1197</v>
      </c>
      <c r="G25" s="372"/>
      <c r="H25" s="369" t="s">
        <v>1190</v>
      </c>
      <c r="I25" s="369" t="s">
        <v>1196</v>
      </c>
      <c r="J25" s="369" t="s">
        <v>1190</v>
      </c>
      <c r="K25" s="369" t="s">
        <v>1196</v>
      </c>
      <c r="L25" s="401"/>
      <c r="M25" s="401"/>
      <c r="N25" s="401"/>
      <c r="O25" s="401"/>
      <c r="P25" s="195"/>
      <c r="Q25" s="196"/>
    </row>
    <row r="26" spans="2:22" x14ac:dyDescent="0.25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5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5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5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5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5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5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5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5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5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5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5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5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5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5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5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5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5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5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5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5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5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5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5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5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5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5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5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5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5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5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5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5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5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5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5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5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5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5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5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5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5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5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5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5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5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5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5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5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5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5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5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5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5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5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5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5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5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5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5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5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5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5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5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5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5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5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5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5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5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5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5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5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5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5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5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5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5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5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5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5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5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5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5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5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5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5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5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5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5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5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5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5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5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5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5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5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5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5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5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5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5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5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5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5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5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5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5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5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5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5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5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5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5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5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5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5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5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5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5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5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5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5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5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5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5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5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5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5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5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5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5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5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5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5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5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5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5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5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5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5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5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5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5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5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5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5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5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5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5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5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5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5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5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5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5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5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5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5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5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5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5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5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5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5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5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5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5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5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5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5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5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5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5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5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5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5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5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5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5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5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5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5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5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5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5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5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5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5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5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5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5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5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5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5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5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5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5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5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5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5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5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5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5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5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5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5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5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5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5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5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5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5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5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5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5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5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5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5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5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5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5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5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5">
      <c r="B249" s="208">
        <v>43646</v>
      </c>
      <c r="C249" s="168"/>
      <c r="D249" s="168"/>
      <c r="E249" s="168"/>
      <c r="F249" s="168"/>
      <c r="H249" s="186"/>
      <c r="I249" s="186"/>
      <c r="J249" s="186"/>
      <c r="K249" s="186"/>
    </row>
    <row r="250" spans="2:11" x14ac:dyDescent="0.25">
      <c r="B250" s="208">
        <v>43677</v>
      </c>
      <c r="C250" s="168"/>
      <c r="D250" s="168"/>
      <c r="E250" s="168"/>
      <c r="F250" s="168"/>
      <c r="H250" s="39"/>
      <c r="I250" s="39"/>
      <c r="J250" s="39"/>
      <c r="K250" s="39"/>
    </row>
    <row r="251" spans="2:11" x14ac:dyDescent="0.25">
      <c r="B251" s="197"/>
      <c r="C251" s="145"/>
      <c r="D251" s="145"/>
      <c r="E251" s="145"/>
      <c r="F251" s="145"/>
      <c r="J251" s="82"/>
    </row>
    <row r="252" spans="2:11" x14ac:dyDescent="0.25">
      <c r="B252" s="197"/>
      <c r="C252" s="145"/>
      <c r="D252" s="145"/>
      <c r="E252" s="145"/>
      <c r="F252" s="145"/>
      <c r="J252" s="82"/>
    </row>
    <row r="253" spans="2:11" x14ac:dyDescent="0.25">
      <c r="B253" s="197"/>
      <c r="C253" s="145"/>
      <c r="D253" s="145"/>
      <c r="E253" s="145"/>
      <c r="F253" s="145"/>
      <c r="J253" s="82"/>
    </row>
    <row r="254" spans="2:11" x14ac:dyDescent="0.25">
      <c r="B254" s="197"/>
      <c r="C254" s="145"/>
      <c r="D254" s="145"/>
      <c r="E254" s="145"/>
      <c r="F254" s="145"/>
      <c r="J254" s="82"/>
    </row>
    <row r="255" spans="2:11" x14ac:dyDescent="0.25">
      <c r="B255" s="197"/>
      <c r="C255" s="145"/>
      <c r="D255" s="145"/>
      <c r="E255" s="145"/>
      <c r="F255" s="145"/>
      <c r="J255" s="82"/>
    </row>
    <row r="256" spans="2:11" x14ac:dyDescent="0.25">
      <c r="B256" s="197"/>
      <c r="C256" s="145"/>
      <c r="D256" s="145"/>
      <c r="E256" s="145"/>
      <c r="F256" s="145"/>
      <c r="J256" s="82"/>
    </row>
    <row r="257" spans="2:10" x14ac:dyDescent="0.25">
      <c r="B257" s="197"/>
      <c r="C257" s="145"/>
      <c r="D257" s="145"/>
      <c r="E257" s="145"/>
      <c r="F257" s="145"/>
      <c r="J257" s="82"/>
    </row>
    <row r="258" spans="2:10" x14ac:dyDescent="0.25">
      <c r="B258" s="197"/>
      <c r="C258" s="145"/>
      <c r="D258" s="145"/>
      <c r="E258" s="145"/>
      <c r="F258" s="145"/>
      <c r="J258" s="82"/>
    </row>
    <row r="259" spans="2:10" x14ac:dyDescent="0.25">
      <c r="B259" s="197"/>
      <c r="C259" s="145"/>
      <c r="D259" s="145"/>
      <c r="E259" s="145"/>
      <c r="F259" s="145"/>
      <c r="J259" s="82"/>
    </row>
    <row r="260" spans="2:10" x14ac:dyDescent="0.25">
      <c r="B260" s="197"/>
      <c r="C260" s="145"/>
      <c r="D260" s="145"/>
      <c r="E260" s="145"/>
      <c r="F260" s="145"/>
      <c r="J260" s="82"/>
    </row>
    <row r="261" spans="2:10" x14ac:dyDescent="0.25">
      <c r="B261" s="197"/>
      <c r="C261" s="145"/>
      <c r="D261" s="145"/>
      <c r="E261" s="145"/>
      <c r="F261" s="145"/>
      <c r="J261" s="82"/>
    </row>
    <row r="262" spans="2:10" x14ac:dyDescent="0.25">
      <c r="B262" s="197"/>
      <c r="C262" s="145"/>
      <c r="D262" s="145"/>
      <c r="E262" s="145"/>
      <c r="F262" s="145"/>
      <c r="J262" s="82"/>
    </row>
    <row r="263" spans="2:10" x14ac:dyDescent="0.25">
      <c r="B263" s="197"/>
      <c r="C263" s="145"/>
      <c r="D263" s="145"/>
      <c r="E263" s="145"/>
      <c r="F263" s="145"/>
      <c r="J263" s="82"/>
    </row>
    <row r="264" spans="2:10" x14ac:dyDescent="0.25">
      <c r="B264" s="197"/>
      <c r="C264" s="145"/>
      <c r="D264" s="145"/>
      <c r="E264" s="145"/>
      <c r="F264" s="145"/>
      <c r="J264" s="82"/>
    </row>
    <row r="265" spans="2:10" x14ac:dyDescent="0.25">
      <c r="B265" s="197"/>
      <c r="C265" s="145"/>
      <c r="D265" s="145"/>
      <c r="E265" s="145"/>
      <c r="F265" s="145"/>
      <c r="J265" s="82"/>
    </row>
    <row r="266" spans="2:10" x14ac:dyDescent="0.25">
      <c r="B266" s="197"/>
      <c r="J266" s="82"/>
    </row>
    <row r="267" spans="2:10" x14ac:dyDescent="0.25">
      <c r="B267" s="197"/>
      <c r="J267" s="82"/>
    </row>
    <row r="268" spans="2:10" x14ac:dyDescent="0.25">
      <c r="B268" s="197"/>
      <c r="J268" s="82"/>
    </row>
    <row r="269" spans="2:10" x14ac:dyDescent="0.25">
      <c r="B269" s="197"/>
      <c r="J269" s="82"/>
    </row>
    <row r="270" spans="2:10" x14ac:dyDescent="0.25">
      <c r="B270" s="197"/>
      <c r="J270" s="82"/>
    </row>
    <row r="271" spans="2:10" x14ac:dyDescent="0.25">
      <c r="B271" s="197"/>
      <c r="J271" s="82"/>
    </row>
    <row r="272" spans="2:10" x14ac:dyDescent="0.25">
      <c r="B272" s="197"/>
      <c r="J272" s="82"/>
    </row>
    <row r="273" spans="2:10" x14ac:dyDescent="0.25">
      <c r="B273" s="197"/>
      <c r="J273" s="82"/>
    </row>
    <row r="274" spans="2:10" x14ac:dyDescent="0.25">
      <c r="B274" s="197"/>
      <c r="J274" s="82"/>
    </row>
    <row r="275" spans="2:10" x14ac:dyDescent="0.25">
      <c r="B275" s="197"/>
      <c r="J275" s="82"/>
    </row>
    <row r="276" spans="2:10" x14ac:dyDescent="0.25">
      <c r="B276" s="197"/>
      <c r="J276" s="82"/>
    </row>
    <row r="277" spans="2:10" x14ac:dyDescent="0.25">
      <c r="B277" s="197"/>
      <c r="J277" s="82"/>
    </row>
    <row r="278" spans="2:10" x14ac:dyDescent="0.25">
      <c r="B278" s="197"/>
      <c r="J278" s="82"/>
    </row>
    <row r="279" spans="2:10" x14ac:dyDescent="0.25">
      <c r="J279" s="82"/>
    </row>
    <row r="280" spans="2:10" x14ac:dyDescent="0.25">
      <c r="J280" s="82"/>
    </row>
    <row r="281" spans="2:10" x14ac:dyDescent="0.25">
      <c r="J281" s="82"/>
    </row>
    <row r="282" spans="2:10" x14ac:dyDescent="0.25">
      <c r="J282" s="82"/>
    </row>
    <row r="283" spans="2:10" x14ac:dyDescent="0.25">
      <c r="J283" s="82"/>
    </row>
    <row r="284" spans="2:10" x14ac:dyDescent="0.25">
      <c r="J284" s="82"/>
    </row>
    <row r="285" spans="2:10" x14ac:dyDescent="0.25">
      <c r="J285" s="82"/>
    </row>
    <row r="286" spans="2:10" x14ac:dyDescent="0.25">
      <c r="J286" s="82"/>
    </row>
    <row r="287" spans="2:10" x14ac:dyDescent="0.25">
      <c r="J287" s="82"/>
    </row>
    <row r="288" spans="2:10" x14ac:dyDescent="0.25">
      <c r="J288" s="82"/>
    </row>
    <row r="289" spans="10:10" x14ac:dyDescent="0.25">
      <c r="J289" s="82"/>
    </row>
    <row r="290" spans="10:10" x14ac:dyDescent="0.25">
      <c r="J290" s="82"/>
    </row>
    <row r="291" spans="10:10" x14ac:dyDescent="0.25">
      <c r="J291" s="82"/>
    </row>
    <row r="292" spans="10:10" x14ac:dyDescent="0.25">
      <c r="J292" s="82"/>
    </row>
    <row r="293" spans="10:10" x14ac:dyDescent="0.25">
      <c r="J293" s="82"/>
    </row>
    <row r="294" spans="10:10" x14ac:dyDescent="0.25">
      <c r="J294" s="82"/>
    </row>
    <row r="295" spans="10:10" x14ac:dyDescent="0.25">
      <c r="J295" s="82"/>
    </row>
    <row r="296" spans="10:10" x14ac:dyDescent="0.25">
      <c r="J296" s="82"/>
    </row>
    <row r="297" spans="10:10" x14ac:dyDescent="0.25">
      <c r="J297" s="82"/>
    </row>
    <row r="298" spans="10:10" x14ac:dyDescent="0.25">
      <c r="J298" s="82"/>
    </row>
    <row r="299" spans="10:10" x14ac:dyDescent="0.25">
      <c r="J299" s="82"/>
    </row>
    <row r="300" spans="10:10" x14ac:dyDescent="0.25">
      <c r="J300" s="82"/>
    </row>
    <row r="301" spans="10:10" x14ac:dyDescent="0.25">
      <c r="J301" s="82"/>
    </row>
    <row r="302" spans="10:10" x14ac:dyDescent="0.25">
      <c r="J302" s="82"/>
    </row>
    <row r="303" spans="10:10" x14ac:dyDescent="0.25">
      <c r="J303" s="82"/>
    </row>
    <row r="304" spans="10:10" x14ac:dyDescent="0.25">
      <c r="J304" s="82"/>
    </row>
    <row r="305" spans="10:10" x14ac:dyDescent="0.25">
      <c r="J305" s="82"/>
    </row>
    <row r="306" spans="10:10" x14ac:dyDescent="0.25">
      <c r="J306" s="82"/>
    </row>
    <row r="307" spans="10:10" x14ac:dyDescent="0.25">
      <c r="J307" s="82"/>
    </row>
    <row r="308" spans="10:10" x14ac:dyDescent="0.25">
      <c r="J308" s="82"/>
    </row>
    <row r="309" spans="10:10" x14ac:dyDescent="0.25">
      <c r="J309" s="82"/>
    </row>
    <row r="310" spans="10:10" x14ac:dyDescent="0.25">
      <c r="J310" s="82"/>
    </row>
    <row r="311" spans="10:10" x14ac:dyDescent="0.25">
      <c r="J311" s="82"/>
    </row>
    <row r="312" spans="10:10" x14ac:dyDescent="0.25">
      <c r="J312" s="82"/>
    </row>
    <row r="313" spans="10:10" x14ac:dyDescent="0.25">
      <c r="J313" s="82"/>
    </row>
    <row r="314" spans="10:10" x14ac:dyDescent="0.25">
      <c r="J314" s="82"/>
    </row>
    <row r="315" spans="10:10" x14ac:dyDescent="0.25">
      <c r="J315" s="82"/>
    </row>
    <row r="316" spans="10:10" x14ac:dyDescent="0.25">
      <c r="J316" s="82"/>
    </row>
    <row r="317" spans="10:10" x14ac:dyDescent="0.25">
      <c r="J317" s="82"/>
    </row>
    <row r="318" spans="10:10" x14ac:dyDescent="0.25">
      <c r="J318" s="82"/>
    </row>
    <row r="319" spans="10:10" x14ac:dyDescent="0.25">
      <c r="J319" s="82"/>
    </row>
    <row r="320" spans="10:10" x14ac:dyDescent="0.25">
      <c r="J320" s="82"/>
    </row>
    <row r="321" spans="10:10" x14ac:dyDescent="0.25">
      <c r="J321" s="82"/>
    </row>
    <row r="322" spans="10:10" x14ac:dyDescent="0.25">
      <c r="J322" s="82"/>
    </row>
    <row r="323" spans="10:10" x14ac:dyDescent="0.25">
      <c r="J323" s="82"/>
    </row>
    <row r="324" spans="10:10" x14ac:dyDescent="0.25">
      <c r="J324" s="82"/>
    </row>
    <row r="325" spans="10:10" x14ac:dyDescent="0.25">
      <c r="J325" s="82"/>
    </row>
    <row r="326" spans="10:10" x14ac:dyDescent="0.25">
      <c r="J326" s="82"/>
    </row>
    <row r="327" spans="10:10" x14ac:dyDescent="0.25">
      <c r="J327" s="82"/>
    </row>
    <row r="328" spans="10:10" x14ac:dyDescent="0.25">
      <c r="J328" s="82"/>
    </row>
    <row r="329" spans="10:10" x14ac:dyDescent="0.25">
      <c r="J329" s="82"/>
    </row>
    <row r="330" spans="10:10" x14ac:dyDescent="0.25">
      <c r="J330" s="82"/>
    </row>
    <row r="331" spans="10:10" x14ac:dyDescent="0.25">
      <c r="J331" s="82"/>
    </row>
    <row r="332" spans="10:10" x14ac:dyDescent="0.25">
      <c r="J332" s="82"/>
    </row>
    <row r="333" spans="10:10" x14ac:dyDescent="0.25">
      <c r="J333" s="82"/>
    </row>
    <row r="334" spans="10:10" x14ac:dyDescent="0.25">
      <c r="J334" s="82"/>
    </row>
    <row r="335" spans="10:10" x14ac:dyDescent="0.25">
      <c r="J335" s="82"/>
    </row>
    <row r="336" spans="10:10" x14ac:dyDescent="0.25">
      <c r="J336" s="82"/>
    </row>
    <row r="337" spans="10:10" x14ac:dyDescent="0.25">
      <c r="J337" s="82"/>
    </row>
    <row r="338" spans="10:10" x14ac:dyDescent="0.25">
      <c r="J338" s="82"/>
    </row>
    <row r="339" spans="10:10" x14ac:dyDescent="0.25">
      <c r="J339" s="82"/>
    </row>
    <row r="340" spans="10:10" x14ac:dyDescent="0.25">
      <c r="J340" s="82"/>
    </row>
    <row r="341" spans="10:10" x14ac:dyDescent="0.25">
      <c r="J341" s="82"/>
    </row>
    <row r="342" spans="10:10" x14ac:dyDescent="0.25">
      <c r="J342" s="82"/>
    </row>
    <row r="343" spans="10:10" x14ac:dyDescent="0.25">
      <c r="J343" s="82"/>
    </row>
    <row r="344" spans="10:10" x14ac:dyDescent="0.25">
      <c r="J344" s="82"/>
    </row>
    <row r="345" spans="10:10" x14ac:dyDescent="0.25">
      <c r="J345" s="82"/>
    </row>
    <row r="346" spans="10:10" x14ac:dyDescent="0.25">
      <c r="J346" s="82"/>
    </row>
    <row r="347" spans="10:10" x14ac:dyDescent="0.25">
      <c r="J347" s="82"/>
    </row>
    <row r="348" spans="10:10" x14ac:dyDescent="0.25">
      <c r="J348" s="82"/>
    </row>
    <row r="349" spans="10:10" x14ac:dyDescent="0.25">
      <c r="J349" s="82"/>
    </row>
    <row r="350" spans="10:10" x14ac:dyDescent="0.25">
      <c r="J350" s="82"/>
    </row>
    <row r="351" spans="10:10" x14ac:dyDescent="0.25">
      <c r="J351" s="82"/>
    </row>
    <row r="352" spans="10:10" x14ac:dyDescent="0.25">
      <c r="J352" s="82"/>
    </row>
    <row r="353" spans="10:10" x14ac:dyDescent="0.25">
      <c r="J353" s="82"/>
    </row>
    <row r="354" spans="10:10" x14ac:dyDescent="0.25">
      <c r="J354" s="82"/>
    </row>
    <row r="355" spans="10:10" x14ac:dyDescent="0.25">
      <c r="J355" s="82"/>
    </row>
    <row r="356" spans="10:10" x14ac:dyDescent="0.25">
      <c r="J356" s="82"/>
    </row>
    <row r="357" spans="10:10" x14ac:dyDescent="0.25">
      <c r="J357" s="82"/>
    </row>
    <row r="358" spans="10:10" x14ac:dyDescent="0.25">
      <c r="J358" s="82"/>
    </row>
    <row r="359" spans="10:10" x14ac:dyDescent="0.25">
      <c r="J359" s="82"/>
    </row>
    <row r="360" spans="10:10" x14ac:dyDescent="0.25">
      <c r="J360" s="82"/>
    </row>
    <row r="361" spans="10:10" x14ac:dyDescent="0.25">
      <c r="J361" s="82"/>
    </row>
    <row r="362" spans="10:10" x14ac:dyDescent="0.25">
      <c r="J362" s="82"/>
    </row>
    <row r="363" spans="10:10" x14ac:dyDescent="0.25">
      <c r="J363" s="82"/>
    </row>
    <row r="364" spans="10:10" x14ac:dyDescent="0.25">
      <c r="J364" s="82"/>
    </row>
    <row r="365" spans="10:10" x14ac:dyDescent="0.25">
      <c r="J365" s="82"/>
    </row>
    <row r="366" spans="10:10" x14ac:dyDescent="0.25">
      <c r="J366" s="82"/>
    </row>
    <row r="367" spans="10:10" x14ac:dyDescent="0.25">
      <c r="J367" s="82"/>
    </row>
    <row r="368" spans="10:10" x14ac:dyDescent="0.25">
      <c r="J368" s="82"/>
    </row>
    <row r="369" spans="10:10" x14ac:dyDescent="0.25">
      <c r="J369" s="82"/>
    </row>
    <row r="370" spans="10:10" x14ac:dyDescent="0.25">
      <c r="J370" s="82"/>
    </row>
    <row r="371" spans="10:10" x14ac:dyDescent="0.25">
      <c r="J371" s="82"/>
    </row>
    <row r="372" spans="10:10" x14ac:dyDescent="0.25">
      <c r="J372" s="82"/>
    </row>
    <row r="373" spans="10:10" x14ac:dyDescent="0.25">
      <c r="J373" s="82"/>
    </row>
    <row r="374" spans="10:10" x14ac:dyDescent="0.25">
      <c r="J374" s="82"/>
    </row>
    <row r="375" spans="10:10" x14ac:dyDescent="0.25">
      <c r="J375" s="82"/>
    </row>
    <row r="376" spans="10:10" x14ac:dyDescent="0.25">
      <c r="J376" s="82"/>
    </row>
    <row r="377" spans="10:10" x14ac:dyDescent="0.25">
      <c r="J377" s="82"/>
    </row>
    <row r="378" spans="10:10" x14ac:dyDescent="0.25">
      <c r="J378" s="82"/>
    </row>
    <row r="379" spans="10:10" x14ac:dyDescent="0.25">
      <c r="J379" s="82"/>
    </row>
    <row r="380" spans="10:10" x14ac:dyDescent="0.25">
      <c r="J380" s="82"/>
    </row>
    <row r="381" spans="10:10" x14ac:dyDescent="0.25">
      <c r="J381" s="82"/>
    </row>
    <row r="382" spans="10:10" x14ac:dyDescent="0.25">
      <c r="J382" s="82"/>
    </row>
    <row r="383" spans="10:10" x14ac:dyDescent="0.25">
      <c r="J383" s="82"/>
    </row>
    <row r="384" spans="10:10" x14ac:dyDescent="0.25">
      <c r="J384" s="82"/>
    </row>
    <row r="385" spans="10:10" x14ac:dyDescent="0.25">
      <c r="J385" s="82"/>
    </row>
    <row r="386" spans="10:10" x14ac:dyDescent="0.25">
      <c r="J386" s="82"/>
    </row>
    <row r="387" spans="10:10" x14ac:dyDescent="0.25">
      <c r="J387" s="82"/>
    </row>
    <row r="388" spans="10:10" x14ac:dyDescent="0.25">
      <c r="J388" s="82"/>
    </row>
    <row r="389" spans="10:10" x14ac:dyDescent="0.25">
      <c r="J389" s="82"/>
    </row>
    <row r="390" spans="10:10" x14ac:dyDescent="0.25">
      <c r="J390" s="82"/>
    </row>
    <row r="391" spans="10:10" x14ac:dyDescent="0.25">
      <c r="J391" s="82"/>
    </row>
    <row r="392" spans="10:10" x14ac:dyDescent="0.25">
      <c r="J392" s="82"/>
    </row>
    <row r="393" spans="10:10" x14ac:dyDescent="0.25">
      <c r="J393" s="82"/>
    </row>
    <row r="394" spans="10:10" x14ac:dyDescent="0.25">
      <c r="J394" s="82"/>
    </row>
    <row r="395" spans="10:10" x14ac:dyDescent="0.25">
      <c r="J395" s="82"/>
    </row>
    <row r="396" spans="10:10" x14ac:dyDescent="0.25">
      <c r="J396" s="82"/>
    </row>
    <row r="397" spans="10:10" x14ac:dyDescent="0.25">
      <c r="J397" s="82"/>
    </row>
    <row r="398" spans="10:10" x14ac:dyDescent="0.25">
      <c r="J398" s="82"/>
    </row>
    <row r="399" spans="10:10" x14ac:dyDescent="0.25">
      <c r="J399" s="82"/>
    </row>
    <row r="400" spans="10:10" x14ac:dyDescent="0.25">
      <c r="J400" s="82"/>
    </row>
    <row r="401" spans="10:10" x14ac:dyDescent="0.25">
      <c r="J401" s="82"/>
    </row>
    <row r="402" spans="10:10" x14ac:dyDescent="0.25">
      <c r="J402" s="82"/>
    </row>
    <row r="403" spans="10:10" x14ac:dyDescent="0.25">
      <c r="J403" s="82"/>
    </row>
    <row r="404" spans="10:10" x14ac:dyDescent="0.25">
      <c r="J404" s="82"/>
    </row>
    <row r="405" spans="10:10" x14ac:dyDescent="0.25">
      <c r="J405" s="82"/>
    </row>
    <row r="406" spans="10:10" x14ac:dyDescent="0.25">
      <c r="J406" s="82"/>
    </row>
    <row r="407" spans="10:10" x14ac:dyDescent="0.25">
      <c r="J407" s="82"/>
    </row>
    <row r="408" spans="10:10" x14ac:dyDescent="0.25">
      <c r="J408" s="82"/>
    </row>
    <row r="409" spans="10:10" x14ac:dyDescent="0.25">
      <c r="J409" s="82"/>
    </row>
    <row r="410" spans="10:10" x14ac:dyDescent="0.25">
      <c r="J410" s="82"/>
    </row>
    <row r="411" spans="10:10" x14ac:dyDescent="0.25">
      <c r="J411" s="82"/>
    </row>
    <row r="412" spans="10:10" x14ac:dyDescent="0.25">
      <c r="J412" s="82"/>
    </row>
    <row r="413" spans="10:10" x14ac:dyDescent="0.25">
      <c r="J413" s="82"/>
    </row>
    <row r="414" spans="10:10" x14ac:dyDescent="0.25">
      <c r="J414" s="82"/>
    </row>
    <row r="415" spans="10:10" x14ac:dyDescent="0.25">
      <c r="J415" s="82"/>
    </row>
    <row r="416" spans="10:10" x14ac:dyDescent="0.25">
      <c r="J416" s="82"/>
    </row>
    <row r="417" spans="10:10" x14ac:dyDescent="0.25">
      <c r="J417" s="82"/>
    </row>
    <row r="418" spans="10:10" x14ac:dyDescent="0.25">
      <c r="J418" s="82"/>
    </row>
    <row r="419" spans="10:10" x14ac:dyDescent="0.25">
      <c r="J419" s="82"/>
    </row>
    <row r="420" spans="10:10" x14ac:dyDescent="0.25">
      <c r="J420" s="82"/>
    </row>
    <row r="421" spans="10:10" x14ac:dyDescent="0.25">
      <c r="J421" s="82"/>
    </row>
    <row r="422" spans="10:10" x14ac:dyDescent="0.25">
      <c r="J422" s="82"/>
    </row>
    <row r="423" spans="10:10" x14ac:dyDescent="0.25">
      <c r="J423" s="82"/>
    </row>
    <row r="424" spans="10:10" x14ac:dyDescent="0.25">
      <c r="J424" s="82"/>
    </row>
    <row r="425" spans="10:10" x14ac:dyDescent="0.25">
      <c r="J425" s="82"/>
    </row>
    <row r="426" spans="10:10" x14ac:dyDescent="0.25">
      <c r="J426" s="82"/>
    </row>
    <row r="427" spans="10:10" x14ac:dyDescent="0.25">
      <c r="J427" s="82"/>
    </row>
    <row r="428" spans="10:10" x14ac:dyDescent="0.25">
      <c r="J428" s="82"/>
    </row>
    <row r="429" spans="10:10" x14ac:dyDescent="0.25">
      <c r="J429" s="82"/>
    </row>
    <row r="430" spans="10:10" x14ac:dyDescent="0.25">
      <c r="J430" s="82"/>
    </row>
    <row r="431" spans="10:10" x14ac:dyDescent="0.25">
      <c r="J431" s="82"/>
    </row>
    <row r="432" spans="10:10" x14ac:dyDescent="0.25">
      <c r="J432" s="82"/>
    </row>
    <row r="433" spans="10:10" x14ac:dyDescent="0.25">
      <c r="J433" s="82"/>
    </row>
    <row r="434" spans="10:10" x14ac:dyDescent="0.25">
      <c r="J434" s="82"/>
    </row>
    <row r="435" spans="10:10" x14ac:dyDescent="0.25">
      <c r="J435" s="82"/>
    </row>
    <row r="436" spans="10:10" x14ac:dyDescent="0.25">
      <c r="J436" s="82"/>
    </row>
    <row r="437" spans="10:10" x14ac:dyDescent="0.25">
      <c r="J437" s="82"/>
    </row>
    <row r="438" spans="10:10" x14ac:dyDescent="0.25">
      <c r="J438" s="82"/>
    </row>
    <row r="439" spans="10:10" x14ac:dyDescent="0.25">
      <c r="J439" s="82"/>
    </row>
    <row r="440" spans="10:10" x14ac:dyDescent="0.25">
      <c r="J440" s="82"/>
    </row>
    <row r="441" spans="10:10" x14ac:dyDescent="0.25">
      <c r="J441" s="82"/>
    </row>
    <row r="442" spans="10:10" x14ac:dyDescent="0.25">
      <c r="J442" s="82"/>
    </row>
    <row r="443" spans="10:10" x14ac:dyDescent="0.25">
      <c r="J443" s="82"/>
    </row>
    <row r="444" spans="10:10" x14ac:dyDescent="0.25">
      <c r="J444" s="82"/>
    </row>
    <row r="445" spans="10:10" x14ac:dyDescent="0.25">
      <c r="J445" s="82"/>
    </row>
    <row r="446" spans="10:10" x14ac:dyDescent="0.25">
      <c r="J446" s="82"/>
    </row>
    <row r="447" spans="10:10" x14ac:dyDescent="0.25">
      <c r="J447" s="82"/>
    </row>
    <row r="448" spans="10:10" x14ac:dyDescent="0.25">
      <c r="J448" s="82"/>
    </row>
    <row r="449" spans="10:10" x14ac:dyDescent="0.25">
      <c r="J449" s="82"/>
    </row>
    <row r="450" spans="10:10" x14ac:dyDescent="0.25">
      <c r="J450" s="82"/>
    </row>
    <row r="451" spans="10:10" x14ac:dyDescent="0.25">
      <c r="J451" s="82"/>
    </row>
    <row r="452" spans="10:10" x14ac:dyDescent="0.25">
      <c r="J452" s="82"/>
    </row>
    <row r="453" spans="10:10" x14ac:dyDescent="0.25">
      <c r="J453" s="82"/>
    </row>
    <row r="454" spans="10:10" x14ac:dyDescent="0.25">
      <c r="J454" s="82"/>
    </row>
    <row r="455" spans="10:10" x14ac:dyDescent="0.25">
      <c r="J455" s="82"/>
    </row>
    <row r="456" spans="10:10" x14ac:dyDescent="0.25">
      <c r="J456" s="82"/>
    </row>
    <row r="457" spans="10:10" x14ac:dyDescent="0.25">
      <c r="J457" s="82"/>
    </row>
    <row r="458" spans="10:10" x14ac:dyDescent="0.25">
      <c r="J458" s="82"/>
    </row>
    <row r="459" spans="10:10" x14ac:dyDescent="0.25">
      <c r="J459" s="82"/>
    </row>
    <row r="460" spans="10:10" x14ac:dyDescent="0.25">
      <c r="J460" s="82"/>
    </row>
    <row r="461" spans="10:10" x14ac:dyDescent="0.25">
      <c r="J461" s="82"/>
    </row>
    <row r="462" spans="10:10" x14ac:dyDescent="0.25">
      <c r="J462" s="82"/>
    </row>
    <row r="463" spans="10:10" x14ac:dyDescent="0.25">
      <c r="J463" s="82"/>
    </row>
    <row r="464" spans="10:10" x14ac:dyDescent="0.25">
      <c r="J464" s="82"/>
    </row>
    <row r="465" spans="10:10" x14ac:dyDescent="0.25">
      <c r="J465" s="82"/>
    </row>
    <row r="466" spans="10:10" x14ac:dyDescent="0.25">
      <c r="J466" s="82"/>
    </row>
    <row r="467" spans="10:10" x14ac:dyDescent="0.25">
      <c r="J467" s="82"/>
    </row>
    <row r="468" spans="10:10" x14ac:dyDescent="0.25">
      <c r="J468" s="82"/>
    </row>
    <row r="469" spans="10:10" x14ac:dyDescent="0.25">
      <c r="J469" s="82"/>
    </row>
    <row r="470" spans="10:10" x14ac:dyDescent="0.25">
      <c r="J470" s="82"/>
    </row>
    <row r="471" spans="10:10" x14ac:dyDescent="0.25">
      <c r="J471" s="82"/>
    </row>
    <row r="472" spans="10:10" x14ac:dyDescent="0.25">
      <c r="J472" s="82"/>
    </row>
    <row r="473" spans="10:10" x14ac:dyDescent="0.25">
      <c r="J473" s="82"/>
    </row>
    <row r="474" spans="10:10" x14ac:dyDescent="0.25">
      <c r="J474" s="82"/>
    </row>
    <row r="475" spans="10:10" x14ac:dyDescent="0.25">
      <c r="J475" s="82"/>
    </row>
    <row r="476" spans="10:10" x14ac:dyDescent="0.25">
      <c r="J476" s="82"/>
    </row>
    <row r="477" spans="10:10" x14ac:dyDescent="0.25">
      <c r="J477" s="82"/>
    </row>
    <row r="478" spans="10:10" x14ac:dyDescent="0.25">
      <c r="J478" s="82"/>
    </row>
    <row r="479" spans="10:10" x14ac:dyDescent="0.25">
      <c r="J479" s="82"/>
    </row>
    <row r="480" spans="10:10" x14ac:dyDescent="0.25">
      <c r="J480" s="82"/>
    </row>
    <row r="481" spans="10:10" x14ac:dyDescent="0.25">
      <c r="J481" s="82"/>
    </row>
    <row r="482" spans="10:10" x14ac:dyDescent="0.25">
      <c r="J482" s="82"/>
    </row>
    <row r="483" spans="10:10" x14ac:dyDescent="0.25">
      <c r="J483" s="82"/>
    </row>
    <row r="484" spans="10:10" x14ac:dyDescent="0.25">
      <c r="J484" s="82"/>
    </row>
    <row r="485" spans="10:10" x14ac:dyDescent="0.25">
      <c r="J485" s="82"/>
    </row>
    <row r="486" spans="10:10" x14ac:dyDescent="0.25">
      <c r="J486" s="82"/>
    </row>
    <row r="487" spans="10:10" x14ac:dyDescent="0.25">
      <c r="J487" s="82"/>
    </row>
    <row r="488" spans="10:10" x14ac:dyDescent="0.25">
      <c r="J488" s="82"/>
    </row>
    <row r="489" spans="10:10" x14ac:dyDescent="0.25">
      <c r="J489" s="82"/>
    </row>
    <row r="490" spans="10:10" x14ac:dyDescent="0.25">
      <c r="J490" s="82"/>
    </row>
    <row r="491" spans="10:10" x14ac:dyDescent="0.25">
      <c r="J491" s="82"/>
    </row>
    <row r="492" spans="10:10" x14ac:dyDescent="0.25">
      <c r="J492" s="82"/>
    </row>
    <row r="493" spans="10:10" x14ac:dyDescent="0.25">
      <c r="J493" s="82"/>
    </row>
    <row r="494" spans="10:10" x14ac:dyDescent="0.25">
      <c r="J494" s="82"/>
    </row>
    <row r="495" spans="10:10" x14ac:dyDescent="0.25">
      <c r="J495" s="82"/>
    </row>
    <row r="496" spans="10:10" x14ac:dyDescent="0.25">
      <c r="J496" s="82"/>
    </row>
    <row r="497" spans="10:10" x14ac:dyDescent="0.25">
      <c r="J497" s="82"/>
    </row>
    <row r="498" spans="10:10" x14ac:dyDescent="0.25">
      <c r="J498" s="82"/>
    </row>
    <row r="499" spans="10:10" x14ac:dyDescent="0.25">
      <c r="J499" s="82"/>
    </row>
    <row r="500" spans="10:10" x14ac:dyDescent="0.25">
      <c r="J500" s="82"/>
    </row>
    <row r="501" spans="10:10" x14ac:dyDescent="0.25">
      <c r="J501" s="82"/>
    </row>
    <row r="502" spans="10:10" x14ac:dyDescent="0.25">
      <c r="J502" s="82"/>
    </row>
    <row r="503" spans="10:10" x14ac:dyDescent="0.25">
      <c r="J503" s="82"/>
    </row>
    <row r="504" spans="10:10" x14ac:dyDescent="0.25">
      <c r="J504" s="82"/>
    </row>
    <row r="505" spans="10:10" x14ac:dyDescent="0.25">
      <c r="J505" s="82"/>
    </row>
    <row r="506" spans="10:10" x14ac:dyDescent="0.25">
      <c r="J506" s="82"/>
    </row>
    <row r="507" spans="10:10" x14ac:dyDescent="0.25">
      <c r="J507" s="82"/>
    </row>
    <row r="508" spans="10:10" x14ac:dyDescent="0.25">
      <c r="J508" s="82"/>
    </row>
    <row r="509" spans="10:10" x14ac:dyDescent="0.25">
      <c r="J509" s="82"/>
    </row>
    <row r="510" spans="10:10" x14ac:dyDescent="0.25">
      <c r="J510" s="82"/>
    </row>
    <row r="511" spans="10:10" x14ac:dyDescent="0.25">
      <c r="J511" s="82"/>
    </row>
    <row r="512" spans="10:10" x14ac:dyDescent="0.25">
      <c r="J512" s="82"/>
    </row>
    <row r="513" spans="10:10" x14ac:dyDescent="0.25">
      <c r="J513" s="82"/>
    </row>
    <row r="514" spans="10:10" x14ac:dyDescent="0.25">
      <c r="J514" s="82"/>
    </row>
    <row r="515" spans="10:10" x14ac:dyDescent="0.25">
      <c r="J515" s="82"/>
    </row>
    <row r="516" spans="10:10" x14ac:dyDescent="0.25">
      <c r="J516" s="82"/>
    </row>
    <row r="517" spans="10:10" x14ac:dyDescent="0.25">
      <c r="J517" s="82"/>
    </row>
    <row r="518" spans="10:10" x14ac:dyDescent="0.25">
      <c r="J518" s="82"/>
    </row>
    <row r="519" spans="10:10" x14ac:dyDescent="0.25">
      <c r="J519" s="82"/>
    </row>
    <row r="520" spans="10:10" x14ac:dyDescent="0.25">
      <c r="J520" s="82"/>
    </row>
    <row r="521" spans="10:10" x14ac:dyDescent="0.25">
      <c r="J521" s="82"/>
    </row>
    <row r="522" spans="10:10" x14ac:dyDescent="0.25">
      <c r="J522" s="82"/>
    </row>
    <row r="523" spans="10:10" x14ac:dyDescent="0.25">
      <c r="J523" s="82"/>
    </row>
    <row r="524" spans="10:10" x14ac:dyDescent="0.25">
      <c r="J524" s="82"/>
    </row>
    <row r="525" spans="10:10" x14ac:dyDescent="0.25">
      <c r="J525" s="82"/>
    </row>
    <row r="526" spans="10:10" x14ac:dyDescent="0.25">
      <c r="J526" s="82"/>
    </row>
    <row r="527" spans="10:10" x14ac:dyDescent="0.25">
      <c r="J527" s="82"/>
    </row>
    <row r="528" spans="10:10" x14ac:dyDescent="0.25">
      <c r="J528" s="82"/>
    </row>
    <row r="529" spans="10:10" x14ac:dyDescent="0.25">
      <c r="J529" s="82"/>
    </row>
    <row r="530" spans="10:10" x14ac:dyDescent="0.25">
      <c r="J530" s="82"/>
    </row>
    <row r="531" spans="10:10" x14ac:dyDescent="0.25">
      <c r="J531" s="82"/>
    </row>
    <row r="532" spans="10:10" x14ac:dyDescent="0.25">
      <c r="J532" s="82"/>
    </row>
    <row r="533" spans="10:10" x14ac:dyDescent="0.25">
      <c r="J533" s="82"/>
    </row>
    <row r="534" spans="10:10" x14ac:dyDescent="0.25">
      <c r="J534" s="82"/>
    </row>
    <row r="535" spans="10:10" x14ac:dyDescent="0.25">
      <c r="J535" s="82"/>
    </row>
    <row r="536" spans="10:10" x14ac:dyDescent="0.25">
      <c r="J536" s="82"/>
    </row>
    <row r="537" spans="10:10" x14ac:dyDescent="0.25">
      <c r="J537" s="82"/>
    </row>
    <row r="538" spans="10:10" x14ac:dyDescent="0.25">
      <c r="J538" s="82"/>
    </row>
    <row r="539" spans="10:10" x14ac:dyDescent="0.25">
      <c r="J539" s="82"/>
    </row>
    <row r="540" spans="10:10" x14ac:dyDescent="0.25">
      <c r="J540" s="82"/>
    </row>
    <row r="541" spans="10:10" x14ac:dyDescent="0.25">
      <c r="J541" s="82"/>
    </row>
    <row r="542" spans="10:10" x14ac:dyDescent="0.25">
      <c r="J542" s="82"/>
    </row>
    <row r="543" spans="10:10" x14ac:dyDescent="0.25">
      <c r="J543" s="82"/>
    </row>
    <row r="544" spans="10:10" x14ac:dyDescent="0.25">
      <c r="J544" s="82"/>
    </row>
    <row r="545" spans="10:10" x14ac:dyDescent="0.25">
      <c r="J545" s="82"/>
    </row>
    <row r="546" spans="10:10" x14ac:dyDescent="0.25">
      <c r="J546" s="82"/>
    </row>
    <row r="547" spans="10:10" x14ac:dyDescent="0.25">
      <c r="J547" s="82"/>
    </row>
    <row r="548" spans="10:10" x14ac:dyDescent="0.25">
      <c r="J548" s="82"/>
    </row>
    <row r="549" spans="10:10" x14ac:dyDescent="0.25">
      <c r="J549" s="82"/>
    </row>
    <row r="550" spans="10:10" x14ac:dyDescent="0.25">
      <c r="J550" s="82"/>
    </row>
    <row r="551" spans="10:10" x14ac:dyDescent="0.25">
      <c r="J551" s="82"/>
    </row>
    <row r="552" spans="10:10" x14ac:dyDescent="0.25">
      <c r="J552" s="82"/>
    </row>
    <row r="553" spans="10:10" x14ac:dyDescent="0.25">
      <c r="J553" s="82"/>
    </row>
    <row r="554" spans="10:10" x14ac:dyDescent="0.25">
      <c r="J554" s="82"/>
    </row>
    <row r="555" spans="10:10" x14ac:dyDescent="0.25">
      <c r="J555" s="82"/>
    </row>
    <row r="556" spans="10:10" x14ac:dyDescent="0.25">
      <c r="J556" s="82"/>
    </row>
    <row r="557" spans="10:10" x14ac:dyDescent="0.25">
      <c r="J557" s="82"/>
    </row>
    <row r="558" spans="10:10" x14ac:dyDescent="0.25">
      <c r="J558" s="82"/>
    </row>
    <row r="559" spans="10:10" x14ac:dyDescent="0.25">
      <c r="J559" s="82"/>
    </row>
    <row r="560" spans="10:10" x14ac:dyDescent="0.25">
      <c r="J560" s="82"/>
    </row>
    <row r="561" spans="10:10" x14ac:dyDescent="0.25">
      <c r="J561" s="82"/>
    </row>
    <row r="562" spans="10:10" x14ac:dyDescent="0.25">
      <c r="J562" s="82"/>
    </row>
    <row r="563" spans="10:10" x14ac:dyDescent="0.25">
      <c r="J563" s="82"/>
    </row>
    <row r="564" spans="10:10" x14ac:dyDescent="0.25">
      <c r="J564" s="82"/>
    </row>
    <row r="565" spans="10:10" x14ac:dyDescent="0.25">
      <c r="J565" s="82"/>
    </row>
    <row r="566" spans="10:10" x14ac:dyDescent="0.25">
      <c r="J566" s="82"/>
    </row>
    <row r="567" spans="10:10" x14ac:dyDescent="0.25">
      <c r="J567" s="82"/>
    </row>
    <row r="568" spans="10:10" x14ac:dyDescent="0.25">
      <c r="J568" s="82"/>
    </row>
    <row r="569" spans="10:10" x14ac:dyDescent="0.25">
      <c r="J569" s="82"/>
    </row>
    <row r="570" spans="10:10" x14ac:dyDescent="0.25">
      <c r="J570" s="82"/>
    </row>
    <row r="571" spans="10:10" x14ac:dyDescent="0.25">
      <c r="J571" s="82"/>
    </row>
    <row r="572" spans="10:10" x14ac:dyDescent="0.25">
      <c r="J572" s="82"/>
    </row>
    <row r="573" spans="10:10" x14ac:dyDescent="0.25">
      <c r="J573" s="82"/>
    </row>
    <row r="574" spans="10:10" x14ac:dyDescent="0.25">
      <c r="J574" s="82"/>
    </row>
    <row r="575" spans="10:10" x14ac:dyDescent="0.25">
      <c r="J575" s="82"/>
    </row>
    <row r="576" spans="10:10" x14ac:dyDescent="0.25">
      <c r="J576" s="82"/>
    </row>
    <row r="577" spans="10:10" x14ac:dyDescent="0.25">
      <c r="J577" s="82"/>
    </row>
    <row r="578" spans="10:10" x14ac:dyDescent="0.25">
      <c r="J578" s="82"/>
    </row>
    <row r="579" spans="10:10" x14ac:dyDescent="0.25">
      <c r="J579" s="82"/>
    </row>
    <row r="580" spans="10:10" x14ac:dyDescent="0.25">
      <c r="J580" s="82"/>
    </row>
    <row r="581" spans="10:10" x14ac:dyDescent="0.25">
      <c r="J581" s="82"/>
    </row>
    <row r="582" spans="10:10" x14ac:dyDescent="0.25">
      <c r="J582" s="82"/>
    </row>
    <row r="583" spans="10:10" x14ac:dyDescent="0.25">
      <c r="J583" s="82"/>
    </row>
    <row r="584" spans="10:10" x14ac:dyDescent="0.25">
      <c r="J584" s="82"/>
    </row>
    <row r="585" spans="10:10" x14ac:dyDescent="0.25">
      <c r="J585" s="82"/>
    </row>
    <row r="586" spans="10:10" x14ac:dyDescent="0.25">
      <c r="J586" s="82"/>
    </row>
    <row r="587" spans="10:10" x14ac:dyDescent="0.25">
      <c r="J587" s="82"/>
    </row>
    <row r="588" spans="10:10" x14ac:dyDescent="0.25">
      <c r="J588" s="82"/>
    </row>
    <row r="589" spans="10:10" x14ac:dyDescent="0.25">
      <c r="J589" s="82"/>
    </row>
    <row r="590" spans="10:10" x14ac:dyDescent="0.25">
      <c r="J590" s="82"/>
    </row>
    <row r="591" spans="10:10" x14ac:dyDescent="0.25">
      <c r="J591" s="82"/>
    </row>
    <row r="592" spans="10:10" x14ac:dyDescent="0.25">
      <c r="J592" s="82"/>
    </row>
    <row r="593" spans="10:10" x14ac:dyDescent="0.25">
      <c r="J593" s="82"/>
    </row>
    <row r="594" spans="10:10" x14ac:dyDescent="0.25">
      <c r="J594" s="82"/>
    </row>
    <row r="595" spans="10:10" x14ac:dyDescent="0.25">
      <c r="J595" s="82"/>
    </row>
    <row r="596" spans="10:10" x14ac:dyDescent="0.25">
      <c r="J596" s="82"/>
    </row>
    <row r="597" spans="10:10" x14ac:dyDescent="0.25">
      <c r="J597" s="82"/>
    </row>
    <row r="598" spans="10:10" x14ac:dyDescent="0.25">
      <c r="J598" s="82"/>
    </row>
    <row r="599" spans="10:10" x14ac:dyDescent="0.25">
      <c r="J599" s="82"/>
    </row>
    <row r="600" spans="10:10" x14ac:dyDescent="0.25">
      <c r="J600" s="82"/>
    </row>
    <row r="601" spans="10:10" x14ac:dyDescent="0.25">
      <c r="J601" s="82"/>
    </row>
    <row r="602" spans="10:10" x14ac:dyDescent="0.25">
      <c r="J602" s="82"/>
    </row>
    <row r="603" spans="10:10" x14ac:dyDescent="0.25">
      <c r="J603" s="82"/>
    </row>
    <row r="604" spans="10:10" x14ac:dyDescent="0.25">
      <c r="J604" s="82"/>
    </row>
    <row r="605" spans="10:10" x14ac:dyDescent="0.25">
      <c r="J605" s="82"/>
    </row>
    <row r="606" spans="10:10" x14ac:dyDescent="0.25">
      <c r="J606" s="82"/>
    </row>
    <row r="607" spans="10:10" x14ac:dyDescent="0.25">
      <c r="J607" s="82"/>
    </row>
    <row r="608" spans="10:10" x14ac:dyDescent="0.25">
      <c r="J608" s="82"/>
    </row>
    <row r="609" spans="10:10" x14ac:dyDescent="0.25">
      <c r="J609" s="82"/>
    </row>
    <row r="610" spans="10:10" x14ac:dyDescent="0.25">
      <c r="J610" s="82"/>
    </row>
    <row r="611" spans="10:10" x14ac:dyDescent="0.25">
      <c r="J611" s="82"/>
    </row>
    <row r="612" spans="10:10" x14ac:dyDescent="0.25">
      <c r="J612" s="82"/>
    </row>
    <row r="613" spans="10:10" x14ac:dyDescent="0.25">
      <c r="J613" s="82"/>
    </row>
    <row r="614" spans="10:10" x14ac:dyDescent="0.25">
      <c r="J614" s="82"/>
    </row>
    <row r="615" spans="10:10" x14ac:dyDescent="0.25">
      <c r="J615" s="82"/>
    </row>
    <row r="616" spans="10:10" x14ac:dyDescent="0.25">
      <c r="J616" s="82"/>
    </row>
    <row r="617" spans="10:10" x14ac:dyDescent="0.25">
      <c r="J617" s="82"/>
    </row>
    <row r="618" spans="10:10" x14ac:dyDescent="0.25">
      <c r="J618" s="82"/>
    </row>
    <row r="619" spans="10:10" x14ac:dyDescent="0.25">
      <c r="J619" s="82"/>
    </row>
    <row r="620" spans="10:10" x14ac:dyDescent="0.25">
      <c r="J620" s="82"/>
    </row>
    <row r="621" spans="10:10" x14ac:dyDescent="0.25">
      <c r="J621" s="82"/>
    </row>
    <row r="622" spans="10:10" x14ac:dyDescent="0.25">
      <c r="J622" s="82"/>
    </row>
    <row r="623" spans="10:10" x14ac:dyDescent="0.25">
      <c r="J623" s="82"/>
    </row>
    <row r="624" spans="10:10" x14ac:dyDescent="0.25">
      <c r="J624" s="82"/>
    </row>
    <row r="625" spans="10:10" x14ac:dyDescent="0.25">
      <c r="J625" s="82"/>
    </row>
    <row r="626" spans="10:10" x14ac:dyDescent="0.25">
      <c r="J626" s="82"/>
    </row>
    <row r="627" spans="10:10" x14ac:dyDescent="0.25">
      <c r="J627" s="82"/>
    </row>
    <row r="628" spans="10:10" x14ac:dyDescent="0.25">
      <c r="J628" s="82"/>
    </row>
    <row r="629" spans="10:10" x14ac:dyDescent="0.25">
      <c r="J629" s="82"/>
    </row>
    <row r="630" spans="10:10" x14ac:dyDescent="0.25">
      <c r="J630" s="82"/>
    </row>
    <row r="631" spans="10:10" x14ac:dyDescent="0.25">
      <c r="J631" s="82"/>
    </row>
    <row r="632" spans="10:10" x14ac:dyDescent="0.25">
      <c r="J632" s="82"/>
    </row>
    <row r="633" spans="10:10" x14ac:dyDescent="0.25">
      <c r="J633" s="82"/>
    </row>
    <row r="634" spans="10:10" x14ac:dyDescent="0.25">
      <c r="J634" s="82"/>
    </row>
    <row r="635" spans="10:10" x14ac:dyDescent="0.25">
      <c r="J635" s="82"/>
    </row>
    <row r="636" spans="10:10" x14ac:dyDescent="0.25">
      <c r="J636" s="82"/>
    </row>
    <row r="637" spans="10:10" x14ac:dyDescent="0.25">
      <c r="J637" s="82"/>
    </row>
    <row r="638" spans="10:10" x14ac:dyDescent="0.25">
      <c r="J638" s="82"/>
    </row>
    <row r="639" spans="10:10" x14ac:dyDescent="0.25">
      <c r="J639" s="82"/>
    </row>
    <row r="640" spans="10:10" x14ac:dyDescent="0.25">
      <c r="J640" s="82"/>
    </row>
    <row r="641" spans="10:10" x14ac:dyDescent="0.25">
      <c r="J641" s="82"/>
    </row>
    <row r="642" spans="10:10" x14ac:dyDescent="0.25">
      <c r="J642" s="82"/>
    </row>
    <row r="643" spans="10:10" x14ac:dyDescent="0.25">
      <c r="J643" s="82"/>
    </row>
    <row r="644" spans="10:10" x14ac:dyDescent="0.25">
      <c r="J644" s="82"/>
    </row>
    <row r="645" spans="10:10" x14ac:dyDescent="0.25">
      <c r="J645" s="82"/>
    </row>
    <row r="646" spans="10:10" x14ac:dyDescent="0.25">
      <c r="J646" s="82"/>
    </row>
    <row r="647" spans="10:10" x14ac:dyDescent="0.25">
      <c r="J647" s="82"/>
    </row>
    <row r="648" spans="10:10" x14ac:dyDescent="0.25">
      <c r="J648" s="82"/>
    </row>
    <row r="649" spans="10:10" x14ac:dyDescent="0.25">
      <c r="J649" s="82"/>
    </row>
    <row r="650" spans="10:10" x14ac:dyDescent="0.25">
      <c r="J650" s="82"/>
    </row>
    <row r="651" spans="10:10" x14ac:dyDescent="0.25">
      <c r="J651" s="82"/>
    </row>
    <row r="652" spans="10:10" x14ac:dyDescent="0.25">
      <c r="J652" s="82"/>
    </row>
    <row r="653" spans="10:10" x14ac:dyDescent="0.25">
      <c r="J653" s="82"/>
    </row>
    <row r="654" spans="10:10" x14ac:dyDescent="0.25">
      <c r="J654" s="82"/>
    </row>
    <row r="655" spans="10:10" x14ac:dyDescent="0.25">
      <c r="J655" s="82"/>
    </row>
    <row r="656" spans="10:10" x14ac:dyDescent="0.25">
      <c r="J656" s="82"/>
    </row>
    <row r="657" spans="10:10" x14ac:dyDescent="0.25">
      <c r="J657" s="82"/>
    </row>
    <row r="658" spans="10:10" x14ac:dyDescent="0.25">
      <c r="J658" s="82"/>
    </row>
    <row r="659" spans="10:10" x14ac:dyDescent="0.25">
      <c r="J659" s="82"/>
    </row>
    <row r="660" spans="10:10" x14ac:dyDescent="0.25">
      <c r="J660" s="82"/>
    </row>
    <row r="661" spans="10:10" x14ac:dyDescent="0.25">
      <c r="J661" s="82"/>
    </row>
    <row r="662" spans="10:10" x14ac:dyDescent="0.25">
      <c r="J662" s="82"/>
    </row>
    <row r="663" spans="10:10" x14ac:dyDescent="0.25">
      <c r="J663" s="82"/>
    </row>
    <row r="664" spans="10:10" x14ac:dyDescent="0.25">
      <c r="J664" s="82"/>
    </row>
    <row r="665" spans="10:10" x14ac:dyDescent="0.25">
      <c r="J665" s="82"/>
    </row>
    <row r="666" spans="10:10" x14ac:dyDescent="0.25">
      <c r="J666" s="82"/>
    </row>
    <row r="667" spans="10:10" x14ac:dyDescent="0.25">
      <c r="J667" s="82"/>
    </row>
    <row r="668" spans="10:10" x14ac:dyDescent="0.25">
      <c r="J668" s="82"/>
    </row>
    <row r="669" spans="10:10" x14ac:dyDescent="0.25">
      <c r="J669" s="82"/>
    </row>
    <row r="670" spans="10:10" x14ac:dyDescent="0.25">
      <c r="J670" s="82"/>
    </row>
    <row r="671" spans="10:10" x14ac:dyDescent="0.25">
      <c r="J671" s="82"/>
    </row>
    <row r="672" spans="10:10" x14ac:dyDescent="0.25">
      <c r="J672" s="82"/>
    </row>
    <row r="673" spans="10:10" x14ac:dyDescent="0.25">
      <c r="J673" s="82"/>
    </row>
    <row r="674" spans="10:10" x14ac:dyDescent="0.25">
      <c r="J674" s="82"/>
    </row>
    <row r="675" spans="10:10" x14ac:dyDescent="0.25">
      <c r="J675" s="82"/>
    </row>
    <row r="676" spans="10:10" x14ac:dyDescent="0.25">
      <c r="J676" s="82"/>
    </row>
    <row r="677" spans="10:10" x14ac:dyDescent="0.25">
      <c r="J677" s="82"/>
    </row>
    <row r="678" spans="10:10" x14ac:dyDescent="0.25">
      <c r="J678" s="82"/>
    </row>
    <row r="679" spans="10:10" x14ac:dyDescent="0.25">
      <c r="J679" s="82"/>
    </row>
    <row r="680" spans="10:10" x14ac:dyDescent="0.25">
      <c r="J680" s="82"/>
    </row>
    <row r="681" spans="10:10" x14ac:dyDescent="0.25">
      <c r="J681" s="82"/>
    </row>
    <row r="682" spans="10:10" x14ac:dyDescent="0.25">
      <c r="J682" s="82"/>
    </row>
    <row r="683" spans="10:10" x14ac:dyDescent="0.25">
      <c r="J683" s="82"/>
    </row>
    <row r="684" spans="10:10" x14ac:dyDescent="0.25">
      <c r="J684" s="82"/>
    </row>
    <row r="685" spans="10:10" x14ac:dyDescent="0.25">
      <c r="J685" s="82"/>
    </row>
    <row r="686" spans="10:10" x14ac:dyDescent="0.25">
      <c r="J686" s="82"/>
    </row>
    <row r="687" spans="10:10" x14ac:dyDescent="0.25">
      <c r="J687" s="82"/>
    </row>
    <row r="688" spans="10:10" x14ac:dyDescent="0.25">
      <c r="J688" s="82"/>
    </row>
    <row r="689" spans="10:10" x14ac:dyDescent="0.25">
      <c r="J689" s="82"/>
    </row>
    <row r="690" spans="10:10" x14ac:dyDescent="0.25">
      <c r="J690" s="82"/>
    </row>
    <row r="691" spans="10:10" x14ac:dyDescent="0.25">
      <c r="J691" s="82"/>
    </row>
    <row r="692" spans="10:10" x14ac:dyDescent="0.25">
      <c r="J692" s="82"/>
    </row>
    <row r="693" spans="10:10" x14ac:dyDescent="0.25">
      <c r="J693" s="82"/>
    </row>
    <row r="694" spans="10:10" x14ac:dyDescent="0.25">
      <c r="J694" s="82"/>
    </row>
    <row r="695" spans="10:10" x14ac:dyDescent="0.25">
      <c r="J695" s="82"/>
    </row>
    <row r="696" spans="10:10" x14ac:dyDescent="0.25">
      <c r="J696" s="82"/>
    </row>
    <row r="697" spans="10:10" x14ac:dyDescent="0.25">
      <c r="J697" s="82"/>
    </row>
    <row r="698" spans="10:10" x14ac:dyDescent="0.25">
      <c r="J698" s="82"/>
    </row>
    <row r="699" spans="10:10" x14ac:dyDescent="0.25">
      <c r="J699" s="82"/>
    </row>
    <row r="700" spans="10:10" x14ac:dyDescent="0.25">
      <c r="J700" s="82"/>
    </row>
    <row r="701" spans="10:10" x14ac:dyDescent="0.25">
      <c r="J701" s="82"/>
    </row>
    <row r="702" spans="10:10" x14ac:dyDescent="0.25">
      <c r="J702" s="82"/>
    </row>
    <row r="703" spans="10:10" x14ac:dyDescent="0.25">
      <c r="J703" s="82"/>
    </row>
    <row r="704" spans="10:10" x14ac:dyDescent="0.25">
      <c r="J704" s="82"/>
    </row>
    <row r="705" spans="10:10" x14ac:dyDescent="0.25">
      <c r="J705" s="82"/>
    </row>
    <row r="706" spans="10:10" x14ac:dyDescent="0.25">
      <c r="J706" s="82"/>
    </row>
    <row r="707" spans="10:10" x14ac:dyDescent="0.25">
      <c r="J707" s="82"/>
    </row>
    <row r="708" spans="10:10" x14ac:dyDescent="0.25">
      <c r="J708" s="82"/>
    </row>
    <row r="709" spans="10:10" x14ac:dyDescent="0.25">
      <c r="J709" s="82"/>
    </row>
    <row r="710" spans="10:10" x14ac:dyDescent="0.25">
      <c r="J710" s="82"/>
    </row>
    <row r="711" spans="10:10" x14ac:dyDescent="0.25">
      <c r="J711" s="82"/>
    </row>
    <row r="712" spans="10:10" x14ac:dyDescent="0.25">
      <c r="J712" s="82"/>
    </row>
    <row r="713" spans="10:10" x14ac:dyDescent="0.25">
      <c r="J713" s="82"/>
    </row>
    <row r="714" spans="10:10" x14ac:dyDescent="0.25">
      <c r="J714" s="82"/>
    </row>
    <row r="715" spans="10:10" x14ac:dyDescent="0.25">
      <c r="J715" s="82"/>
    </row>
    <row r="716" spans="10:10" x14ac:dyDescent="0.25">
      <c r="J716" s="82"/>
    </row>
    <row r="717" spans="10:10" x14ac:dyDescent="0.25">
      <c r="J717" s="82"/>
    </row>
    <row r="718" spans="10:10" x14ac:dyDescent="0.25">
      <c r="J718" s="82"/>
    </row>
    <row r="719" spans="10:10" x14ac:dyDescent="0.25">
      <c r="J719" s="82"/>
    </row>
    <row r="720" spans="10:10" x14ac:dyDescent="0.25">
      <c r="J720" s="82"/>
    </row>
    <row r="721" spans="10:10" x14ac:dyDescent="0.25">
      <c r="J721" s="82"/>
    </row>
    <row r="722" spans="10:10" x14ac:dyDescent="0.25">
      <c r="J722" s="82"/>
    </row>
    <row r="723" spans="10:10" x14ac:dyDescent="0.25">
      <c r="J723" s="82"/>
    </row>
    <row r="724" spans="10:10" x14ac:dyDescent="0.25">
      <c r="J724" s="82"/>
    </row>
    <row r="725" spans="10:10" x14ac:dyDescent="0.25">
      <c r="J725" s="82"/>
    </row>
    <row r="726" spans="10:10" x14ac:dyDescent="0.25">
      <c r="J726" s="82"/>
    </row>
    <row r="727" spans="10:10" x14ac:dyDescent="0.25">
      <c r="J727" s="82"/>
    </row>
    <row r="728" spans="10:10" x14ac:dyDescent="0.25">
      <c r="J728" s="82"/>
    </row>
    <row r="729" spans="10:10" x14ac:dyDescent="0.25">
      <c r="J729" s="82"/>
    </row>
    <row r="730" spans="10:10" x14ac:dyDescent="0.25">
      <c r="J730" s="82"/>
    </row>
    <row r="731" spans="10:10" x14ac:dyDescent="0.25">
      <c r="J731" s="82"/>
    </row>
    <row r="732" spans="10:10" x14ac:dyDescent="0.25">
      <c r="J732" s="82"/>
    </row>
    <row r="733" spans="10:10" x14ac:dyDescent="0.25">
      <c r="J733" s="82"/>
    </row>
    <row r="734" spans="10:10" x14ac:dyDescent="0.25">
      <c r="J734" s="82"/>
    </row>
    <row r="735" spans="10:10" x14ac:dyDescent="0.25">
      <c r="J735" s="82"/>
    </row>
    <row r="736" spans="10:10" x14ac:dyDescent="0.25">
      <c r="J736" s="82"/>
    </row>
    <row r="737" spans="10:10" x14ac:dyDescent="0.25">
      <c r="J737" s="82"/>
    </row>
    <row r="738" spans="10:10" x14ac:dyDescent="0.25">
      <c r="J738" s="82"/>
    </row>
    <row r="739" spans="10:10" x14ac:dyDescent="0.25">
      <c r="J739" s="82"/>
    </row>
    <row r="740" spans="10:10" x14ac:dyDescent="0.25">
      <c r="J740" s="82"/>
    </row>
    <row r="741" spans="10:10" x14ac:dyDescent="0.25">
      <c r="J741" s="82"/>
    </row>
    <row r="742" spans="10:10" x14ac:dyDescent="0.25">
      <c r="J742" s="82"/>
    </row>
    <row r="743" spans="10:10" x14ac:dyDescent="0.25">
      <c r="J743" s="82"/>
    </row>
    <row r="744" spans="10:10" x14ac:dyDescent="0.25">
      <c r="J744" s="82"/>
    </row>
    <row r="745" spans="10:10" x14ac:dyDescent="0.25">
      <c r="J745" s="82"/>
    </row>
    <row r="746" spans="10:10" x14ac:dyDescent="0.25">
      <c r="J746" s="82"/>
    </row>
    <row r="747" spans="10:10" x14ac:dyDescent="0.25">
      <c r="J747" s="82"/>
    </row>
    <row r="748" spans="10:10" x14ac:dyDescent="0.25">
      <c r="J748" s="82"/>
    </row>
    <row r="749" spans="10:10" x14ac:dyDescent="0.25">
      <c r="J749" s="82"/>
    </row>
    <row r="750" spans="10:10" x14ac:dyDescent="0.25">
      <c r="J750" s="82"/>
    </row>
    <row r="751" spans="10:10" x14ac:dyDescent="0.25">
      <c r="J751" s="82"/>
    </row>
    <row r="752" spans="10:10" x14ac:dyDescent="0.25">
      <c r="J752" s="82"/>
    </row>
    <row r="753" spans="10:10" x14ac:dyDescent="0.25">
      <c r="J753" s="82"/>
    </row>
    <row r="754" spans="10:10" x14ac:dyDescent="0.25">
      <c r="J754" s="82"/>
    </row>
    <row r="755" spans="10:10" x14ac:dyDescent="0.25">
      <c r="J755" s="82"/>
    </row>
    <row r="756" spans="10:10" x14ac:dyDescent="0.25">
      <c r="J756" s="82"/>
    </row>
    <row r="757" spans="10:10" x14ac:dyDescent="0.25">
      <c r="J757" s="82"/>
    </row>
    <row r="758" spans="10:10" x14ac:dyDescent="0.25">
      <c r="J758" s="82"/>
    </row>
    <row r="759" spans="10:10" x14ac:dyDescent="0.25">
      <c r="J759" s="82"/>
    </row>
    <row r="760" spans="10:10" x14ac:dyDescent="0.25">
      <c r="J760" s="82"/>
    </row>
    <row r="761" spans="10:10" x14ac:dyDescent="0.25">
      <c r="J761" s="82"/>
    </row>
    <row r="762" spans="10:10" x14ac:dyDescent="0.25">
      <c r="J762" s="82"/>
    </row>
    <row r="763" spans="10:10" x14ac:dyDescent="0.25">
      <c r="J763" s="82"/>
    </row>
    <row r="764" spans="10:10" x14ac:dyDescent="0.25">
      <c r="J764" s="82"/>
    </row>
    <row r="765" spans="10:10" x14ac:dyDescent="0.25">
      <c r="J765" s="82"/>
    </row>
    <row r="766" spans="10:10" x14ac:dyDescent="0.25">
      <c r="J766" s="82"/>
    </row>
    <row r="767" spans="10:10" x14ac:dyDescent="0.25">
      <c r="J767" s="82"/>
    </row>
    <row r="768" spans="10:10" x14ac:dyDescent="0.25">
      <c r="J768" s="82"/>
    </row>
    <row r="769" spans="10:10" x14ac:dyDescent="0.25">
      <c r="J769" s="82"/>
    </row>
    <row r="770" spans="10:10" x14ac:dyDescent="0.25">
      <c r="J770" s="82"/>
    </row>
    <row r="771" spans="10:10" x14ac:dyDescent="0.25">
      <c r="J771" s="82"/>
    </row>
    <row r="772" spans="10:10" x14ac:dyDescent="0.25">
      <c r="J772" s="82"/>
    </row>
    <row r="773" spans="10:10" x14ac:dyDescent="0.25">
      <c r="J773" s="82"/>
    </row>
    <row r="774" spans="10:10" x14ac:dyDescent="0.25">
      <c r="J774" s="82"/>
    </row>
    <row r="775" spans="10:10" x14ac:dyDescent="0.25">
      <c r="J775" s="82"/>
    </row>
    <row r="776" spans="10:10" x14ac:dyDescent="0.25">
      <c r="J776" s="82"/>
    </row>
    <row r="777" spans="10:10" x14ac:dyDescent="0.25">
      <c r="J777" s="82"/>
    </row>
    <row r="778" spans="10:10" x14ac:dyDescent="0.25">
      <c r="J778" s="82"/>
    </row>
    <row r="779" spans="10:10" x14ac:dyDescent="0.25">
      <c r="J779" s="82"/>
    </row>
    <row r="780" spans="10:10" x14ac:dyDescent="0.25">
      <c r="J780" s="82"/>
    </row>
    <row r="781" spans="10:10" x14ac:dyDescent="0.25">
      <c r="J781" s="82"/>
    </row>
    <row r="782" spans="10:10" x14ac:dyDescent="0.25">
      <c r="J782" s="82"/>
    </row>
    <row r="783" spans="10:10" x14ac:dyDescent="0.25">
      <c r="J783" s="82"/>
    </row>
    <row r="784" spans="10:10" x14ac:dyDescent="0.25">
      <c r="J784" s="82"/>
    </row>
    <row r="785" spans="10:10" x14ac:dyDescent="0.25">
      <c r="J785" s="82"/>
    </row>
    <row r="786" spans="10:10" x14ac:dyDescent="0.25">
      <c r="J786" s="82"/>
    </row>
    <row r="787" spans="10:10" x14ac:dyDescent="0.25">
      <c r="J787" s="82"/>
    </row>
    <row r="788" spans="10:10" x14ac:dyDescent="0.25">
      <c r="J788" s="82"/>
    </row>
    <row r="789" spans="10:10" x14ac:dyDescent="0.25">
      <c r="J789" s="82"/>
    </row>
    <row r="790" spans="10:10" x14ac:dyDescent="0.25">
      <c r="J790" s="82"/>
    </row>
    <row r="791" spans="10:10" x14ac:dyDescent="0.25">
      <c r="J791" s="82"/>
    </row>
    <row r="792" spans="10:10" x14ac:dyDescent="0.25">
      <c r="J792" s="82"/>
    </row>
    <row r="793" spans="10:10" x14ac:dyDescent="0.25">
      <c r="J793" s="82"/>
    </row>
    <row r="794" spans="10:10" x14ac:dyDescent="0.25">
      <c r="J794" s="82"/>
    </row>
    <row r="795" spans="10:10" x14ac:dyDescent="0.25">
      <c r="J795" s="82"/>
    </row>
    <row r="796" spans="10:10" x14ac:dyDescent="0.25">
      <c r="J796" s="82"/>
    </row>
    <row r="797" spans="10:10" x14ac:dyDescent="0.25">
      <c r="J797" s="82"/>
    </row>
    <row r="798" spans="10:10" x14ac:dyDescent="0.25">
      <c r="J798" s="82"/>
    </row>
    <row r="799" spans="10:10" x14ac:dyDescent="0.25">
      <c r="J799" s="82"/>
    </row>
    <row r="800" spans="10:10" x14ac:dyDescent="0.25">
      <c r="J800" s="82"/>
    </row>
    <row r="801" spans="10:10" x14ac:dyDescent="0.25">
      <c r="J801" s="82"/>
    </row>
    <row r="802" spans="10:10" x14ac:dyDescent="0.25">
      <c r="J802" s="82"/>
    </row>
    <row r="803" spans="10:10" x14ac:dyDescent="0.25">
      <c r="J803" s="82"/>
    </row>
    <row r="804" spans="10:10" x14ac:dyDescent="0.25">
      <c r="J804" s="82"/>
    </row>
    <row r="805" spans="10:10" x14ac:dyDescent="0.25">
      <c r="J805" s="82"/>
    </row>
    <row r="806" spans="10:10" x14ac:dyDescent="0.25">
      <c r="J806" s="82"/>
    </row>
    <row r="807" spans="10:10" x14ac:dyDescent="0.25">
      <c r="J807" s="82"/>
    </row>
    <row r="808" spans="10:10" x14ac:dyDescent="0.25">
      <c r="J808" s="82"/>
    </row>
    <row r="809" spans="10:10" x14ac:dyDescent="0.25">
      <c r="J809" s="82"/>
    </row>
    <row r="810" spans="10:10" x14ac:dyDescent="0.25">
      <c r="J810" s="82"/>
    </row>
    <row r="811" spans="10:10" x14ac:dyDescent="0.25">
      <c r="J811" s="82"/>
    </row>
    <row r="812" spans="10:10" x14ac:dyDescent="0.25">
      <c r="J812" s="82"/>
    </row>
    <row r="813" spans="10:10" x14ac:dyDescent="0.25">
      <c r="J813" s="82"/>
    </row>
    <row r="814" spans="10:10" x14ac:dyDescent="0.25">
      <c r="J814" s="82"/>
    </row>
    <row r="815" spans="10:10" x14ac:dyDescent="0.25">
      <c r="J815" s="82"/>
    </row>
    <row r="816" spans="10:10" x14ac:dyDescent="0.25">
      <c r="J816" s="82"/>
    </row>
    <row r="817" spans="10:10" x14ac:dyDescent="0.25">
      <c r="J817" s="82"/>
    </row>
    <row r="818" spans="10:10" x14ac:dyDescent="0.25">
      <c r="J818" s="82"/>
    </row>
    <row r="819" spans="10:10" x14ac:dyDescent="0.25">
      <c r="J819" s="82"/>
    </row>
    <row r="820" spans="10:10" x14ac:dyDescent="0.25">
      <c r="J820" s="82"/>
    </row>
    <row r="821" spans="10:10" x14ac:dyDescent="0.25">
      <c r="J821" s="82"/>
    </row>
    <row r="822" spans="10:10" x14ac:dyDescent="0.25">
      <c r="J822" s="82"/>
    </row>
    <row r="823" spans="10:10" x14ac:dyDescent="0.25">
      <c r="J823" s="82"/>
    </row>
    <row r="824" spans="10:10" x14ac:dyDescent="0.25">
      <c r="J824" s="82"/>
    </row>
    <row r="825" spans="10:10" x14ac:dyDescent="0.25">
      <c r="J825" s="82"/>
    </row>
    <row r="826" spans="10:10" x14ac:dyDescent="0.25">
      <c r="J826" s="82"/>
    </row>
    <row r="827" spans="10:10" x14ac:dyDescent="0.25">
      <c r="J827" s="82"/>
    </row>
    <row r="828" spans="10:10" x14ac:dyDescent="0.25">
      <c r="J828" s="82"/>
    </row>
    <row r="829" spans="10:10" x14ac:dyDescent="0.25">
      <c r="J829" s="82"/>
    </row>
    <row r="830" spans="10:10" x14ac:dyDescent="0.25">
      <c r="J830" s="82"/>
    </row>
    <row r="831" spans="10:10" x14ac:dyDescent="0.25">
      <c r="J831" s="82"/>
    </row>
    <row r="832" spans="10:10" x14ac:dyDescent="0.25">
      <c r="J832" s="82"/>
    </row>
    <row r="833" spans="10:10" x14ac:dyDescent="0.25">
      <c r="J833" s="82"/>
    </row>
    <row r="834" spans="10:10" x14ac:dyDescent="0.25">
      <c r="J834" s="82"/>
    </row>
    <row r="835" spans="10:10" x14ac:dyDescent="0.25">
      <c r="J835" s="82"/>
    </row>
    <row r="836" spans="10:10" x14ac:dyDescent="0.25">
      <c r="J836" s="82"/>
    </row>
    <row r="837" spans="10:10" x14ac:dyDescent="0.25">
      <c r="J837" s="82"/>
    </row>
    <row r="838" spans="10:10" x14ac:dyDescent="0.25">
      <c r="J838" s="82"/>
    </row>
    <row r="839" spans="10:10" x14ac:dyDescent="0.25">
      <c r="J839" s="82"/>
    </row>
    <row r="840" spans="10:10" x14ac:dyDescent="0.25">
      <c r="J840" s="82"/>
    </row>
    <row r="841" spans="10:10" x14ac:dyDescent="0.25">
      <c r="J841" s="82"/>
    </row>
    <row r="842" spans="10:10" x14ac:dyDescent="0.25">
      <c r="J842" s="82"/>
    </row>
    <row r="843" spans="10:10" x14ac:dyDescent="0.25">
      <c r="J843" s="82"/>
    </row>
    <row r="844" spans="10:10" x14ac:dyDescent="0.25">
      <c r="J844" s="82"/>
    </row>
    <row r="845" spans="10:10" x14ac:dyDescent="0.25">
      <c r="J845" s="82"/>
    </row>
    <row r="846" spans="10:10" x14ac:dyDescent="0.25">
      <c r="J846" s="82"/>
    </row>
    <row r="847" spans="10:10" x14ac:dyDescent="0.25">
      <c r="J847" s="82"/>
    </row>
    <row r="848" spans="10:10" x14ac:dyDescent="0.25">
      <c r="J848" s="82"/>
    </row>
    <row r="849" spans="10:10" x14ac:dyDescent="0.25">
      <c r="J849" s="82"/>
    </row>
    <row r="850" spans="10:10" x14ac:dyDescent="0.25">
      <c r="J850" s="82"/>
    </row>
    <row r="851" spans="10:10" x14ac:dyDescent="0.25">
      <c r="J851" s="82"/>
    </row>
    <row r="852" spans="10:10" x14ac:dyDescent="0.25">
      <c r="J852" s="82"/>
    </row>
    <row r="853" spans="10:10" x14ac:dyDescent="0.25">
      <c r="J853" s="82"/>
    </row>
    <row r="854" spans="10:10" x14ac:dyDescent="0.25">
      <c r="J854" s="82"/>
    </row>
    <row r="855" spans="10:10" x14ac:dyDescent="0.25">
      <c r="J855" s="82"/>
    </row>
    <row r="856" spans="10:10" x14ac:dyDescent="0.25">
      <c r="J856" s="82"/>
    </row>
    <row r="857" spans="10:10" x14ac:dyDescent="0.25">
      <c r="J857" s="82"/>
    </row>
    <row r="858" spans="10:10" x14ac:dyDescent="0.25">
      <c r="J858" s="82"/>
    </row>
    <row r="859" spans="10:10" x14ac:dyDescent="0.25">
      <c r="J859" s="82"/>
    </row>
    <row r="860" spans="10:10" x14ac:dyDescent="0.25">
      <c r="J860" s="82"/>
    </row>
    <row r="861" spans="10:10" x14ac:dyDescent="0.25">
      <c r="J861" s="82"/>
    </row>
    <row r="862" spans="10:10" x14ac:dyDescent="0.25">
      <c r="J862" s="82"/>
    </row>
    <row r="863" spans="10:10" x14ac:dyDescent="0.25">
      <c r="J863" s="82"/>
    </row>
    <row r="864" spans="10:10" x14ac:dyDescent="0.25">
      <c r="J864" s="82"/>
    </row>
    <row r="865" spans="10:10" x14ac:dyDescent="0.25">
      <c r="J865" s="82"/>
    </row>
    <row r="866" spans="10:10" x14ac:dyDescent="0.25">
      <c r="J866" s="82"/>
    </row>
    <row r="867" spans="10:10" x14ac:dyDescent="0.25">
      <c r="J867" s="82"/>
    </row>
    <row r="868" spans="10:10" x14ac:dyDescent="0.25">
      <c r="J868" s="82"/>
    </row>
    <row r="869" spans="10:10" x14ac:dyDescent="0.25">
      <c r="J869" s="82"/>
    </row>
    <row r="870" spans="10:10" x14ac:dyDescent="0.25">
      <c r="J870" s="82"/>
    </row>
    <row r="871" spans="10:10" x14ac:dyDescent="0.25">
      <c r="J871" s="82"/>
    </row>
    <row r="872" spans="10:10" x14ac:dyDescent="0.25">
      <c r="J872" s="82"/>
    </row>
    <row r="873" spans="10:10" x14ac:dyDescent="0.25">
      <c r="J873" s="82"/>
    </row>
    <row r="874" spans="10:10" x14ac:dyDescent="0.25">
      <c r="J874" s="82"/>
    </row>
    <row r="875" spans="10:10" x14ac:dyDescent="0.25">
      <c r="J875" s="82"/>
    </row>
    <row r="876" spans="10:10" x14ac:dyDescent="0.25">
      <c r="J876" s="82"/>
    </row>
    <row r="877" spans="10:10" x14ac:dyDescent="0.25">
      <c r="J877" s="82"/>
    </row>
    <row r="878" spans="10:10" x14ac:dyDescent="0.25">
      <c r="J878" s="82"/>
    </row>
    <row r="879" spans="10:10" x14ac:dyDescent="0.25">
      <c r="J879" s="82"/>
    </row>
    <row r="880" spans="10:10" x14ac:dyDescent="0.25">
      <c r="J880" s="82"/>
    </row>
    <row r="881" spans="10:10" x14ac:dyDescent="0.25">
      <c r="J881" s="82"/>
    </row>
    <row r="882" spans="10:10" x14ac:dyDescent="0.25">
      <c r="J882" s="82"/>
    </row>
    <row r="883" spans="10:10" x14ac:dyDescent="0.25">
      <c r="J883" s="82"/>
    </row>
    <row r="884" spans="10:10" x14ac:dyDescent="0.25">
      <c r="J884" s="82"/>
    </row>
    <row r="885" spans="10:10" x14ac:dyDescent="0.25">
      <c r="J885" s="82"/>
    </row>
    <row r="886" spans="10:10" x14ac:dyDescent="0.25">
      <c r="J886" s="82"/>
    </row>
    <row r="887" spans="10:10" x14ac:dyDescent="0.25">
      <c r="J887" s="82"/>
    </row>
    <row r="888" spans="10:10" x14ac:dyDescent="0.25">
      <c r="J888" s="82"/>
    </row>
    <row r="889" spans="10:10" x14ac:dyDescent="0.25">
      <c r="J889" s="82"/>
    </row>
    <row r="890" spans="10:10" x14ac:dyDescent="0.25">
      <c r="J890" s="82"/>
    </row>
    <row r="891" spans="10:10" x14ac:dyDescent="0.25">
      <c r="J891" s="82"/>
    </row>
    <row r="892" spans="10:10" x14ac:dyDescent="0.25">
      <c r="J892" s="82"/>
    </row>
    <row r="893" spans="10:10" x14ac:dyDescent="0.25">
      <c r="J893" s="82"/>
    </row>
    <row r="894" spans="10:10" x14ac:dyDescent="0.25">
      <c r="J894" s="82"/>
    </row>
    <row r="895" spans="10:10" x14ac:dyDescent="0.25">
      <c r="J895" s="82"/>
    </row>
    <row r="896" spans="10:10" x14ac:dyDescent="0.25">
      <c r="J896" s="82"/>
    </row>
    <row r="897" spans="10:10" x14ac:dyDescent="0.25">
      <c r="J897" s="82"/>
    </row>
    <row r="898" spans="10:10" x14ac:dyDescent="0.25">
      <c r="J898" s="82"/>
    </row>
    <row r="899" spans="10:10" x14ac:dyDescent="0.25">
      <c r="J899" s="82"/>
    </row>
    <row r="900" spans="10:10" x14ac:dyDescent="0.25">
      <c r="J900" s="82"/>
    </row>
    <row r="901" spans="10:10" x14ac:dyDescent="0.25">
      <c r="J901" s="82"/>
    </row>
    <row r="902" spans="10:10" x14ac:dyDescent="0.25">
      <c r="J902" s="82"/>
    </row>
    <row r="903" spans="10:10" x14ac:dyDescent="0.25">
      <c r="J903" s="82"/>
    </row>
    <row r="904" spans="10:10" x14ac:dyDescent="0.25">
      <c r="J904" s="82"/>
    </row>
    <row r="905" spans="10:10" x14ac:dyDescent="0.25">
      <c r="J905" s="82"/>
    </row>
    <row r="906" spans="10:10" x14ac:dyDescent="0.25">
      <c r="J906" s="82"/>
    </row>
    <row r="907" spans="10:10" x14ac:dyDescent="0.25">
      <c r="J907" s="82"/>
    </row>
    <row r="908" spans="10:10" x14ac:dyDescent="0.25">
      <c r="J908" s="82"/>
    </row>
    <row r="909" spans="10:10" x14ac:dyDescent="0.25">
      <c r="J909" s="82"/>
    </row>
    <row r="910" spans="10:10" x14ac:dyDescent="0.25">
      <c r="J910" s="82"/>
    </row>
    <row r="911" spans="10:10" x14ac:dyDescent="0.25">
      <c r="J911" s="82"/>
    </row>
    <row r="912" spans="10:10" x14ac:dyDescent="0.25">
      <c r="J912" s="82"/>
    </row>
    <row r="913" spans="10:10" x14ac:dyDescent="0.25">
      <c r="J913" s="82"/>
    </row>
    <row r="914" spans="10:10" x14ac:dyDescent="0.25">
      <c r="J914" s="82"/>
    </row>
    <row r="915" spans="10:10" x14ac:dyDescent="0.25">
      <c r="J915" s="82"/>
    </row>
    <row r="916" spans="10:10" x14ac:dyDescent="0.25">
      <c r="J916" s="82"/>
    </row>
    <row r="917" spans="10:10" x14ac:dyDescent="0.25">
      <c r="J917" s="82"/>
    </row>
    <row r="918" spans="10:10" x14ac:dyDescent="0.25">
      <c r="J918" s="82"/>
    </row>
    <row r="919" spans="10:10" x14ac:dyDescent="0.25">
      <c r="J919" s="82"/>
    </row>
    <row r="920" spans="10:10" x14ac:dyDescent="0.25">
      <c r="J920" s="82"/>
    </row>
    <row r="921" spans="10:10" x14ac:dyDescent="0.25">
      <c r="J921" s="82"/>
    </row>
    <row r="922" spans="10:10" x14ac:dyDescent="0.25">
      <c r="J922" s="82"/>
    </row>
    <row r="923" spans="10:10" x14ac:dyDescent="0.25">
      <c r="J923" s="82"/>
    </row>
    <row r="924" spans="10:10" x14ac:dyDescent="0.25">
      <c r="J924" s="82"/>
    </row>
    <row r="925" spans="10:10" x14ac:dyDescent="0.25">
      <c r="J925" s="82"/>
    </row>
    <row r="926" spans="10:10" x14ac:dyDescent="0.25">
      <c r="J926" s="82"/>
    </row>
    <row r="927" spans="10:10" x14ac:dyDescent="0.25">
      <c r="J927" s="82"/>
    </row>
    <row r="928" spans="10:10" x14ac:dyDescent="0.25">
      <c r="J928" s="82"/>
    </row>
    <row r="929" spans="10:10" x14ac:dyDescent="0.25">
      <c r="J929" s="82"/>
    </row>
    <row r="930" spans="10:10" x14ac:dyDescent="0.25">
      <c r="J930" s="82"/>
    </row>
    <row r="931" spans="10:10" x14ac:dyDescent="0.25">
      <c r="J931" s="82"/>
    </row>
    <row r="932" spans="10:10" x14ac:dyDescent="0.25">
      <c r="J932" s="82"/>
    </row>
    <row r="933" spans="10:10" x14ac:dyDescent="0.25">
      <c r="J933" s="82"/>
    </row>
    <row r="934" spans="10:10" x14ac:dyDescent="0.25">
      <c r="J934" s="82"/>
    </row>
    <row r="935" spans="10:10" x14ac:dyDescent="0.25">
      <c r="J935" s="82"/>
    </row>
    <row r="936" spans="10:10" x14ac:dyDescent="0.25">
      <c r="J936" s="82"/>
    </row>
    <row r="937" spans="10:10" x14ac:dyDescent="0.25">
      <c r="J937" s="82"/>
    </row>
    <row r="938" spans="10:10" x14ac:dyDescent="0.25">
      <c r="J938" s="82"/>
    </row>
    <row r="939" spans="10:10" x14ac:dyDescent="0.25">
      <c r="J939" s="82"/>
    </row>
    <row r="940" spans="10:10" x14ac:dyDescent="0.25">
      <c r="J940" s="82"/>
    </row>
    <row r="941" spans="10:10" x14ac:dyDescent="0.25">
      <c r="J941" s="82"/>
    </row>
    <row r="942" spans="10:10" x14ac:dyDescent="0.25">
      <c r="J942" s="82"/>
    </row>
    <row r="943" spans="10:10" x14ac:dyDescent="0.25">
      <c r="J943" s="82"/>
    </row>
    <row r="944" spans="10:10" x14ac:dyDescent="0.25">
      <c r="J944" s="82"/>
    </row>
    <row r="945" spans="10:10" x14ac:dyDescent="0.25">
      <c r="J945" s="82"/>
    </row>
    <row r="946" spans="10:10" x14ac:dyDescent="0.25">
      <c r="J946" s="82"/>
    </row>
    <row r="947" spans="10:10" x14ac:dyDescent="0.25">
      <c r="J947" s="82"/>
    </row>
    <row r="948" spans="10:10" x14ac:dyDescent="0.25">
      <c r="J948" s="82"/>
    </row>
    <row r="949" spans="10:10" x14ac:dyDescent="0.25">
      <c r="J949" s="82"/>
    </row>
    <row r="950" spans="10:10" x14ac:dyDescent="0.25">
      <c r="J950" s="82"/>
    </row>
    <row r="951" spans="10:10" x14ac:dyDescent="0.25">
      <c r="J951" s="82"/>
    </row>
    <row r="952" spans="10:10" x14ac:dyDescent="0.25">
      <c r="J952" s="82"/>
    </row>
    <row r="953" spans="10:10" x14ac:dyDescent="0.25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08984375" defaultRowHeight="12.5" x14ac:dyDescent="0.25"/>
  <cols>
    <col min="1" max="1" width="2.90625" style="80" customWidth="1"/>
    <col min="2" max="16384" width="9.08984375" style="80"/>
  </cols>
  <sheetData>
    <row r="1" spans="2:18" ht="12.75" customHeight="1" x14ac:dyDescent="0.25"/>
    <row r="2" spans="2:18" ht="24.9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4">
      <c r="B5" s="273" t="s">
        <v>23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ht="13" x14ac:dyDescent="0.3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ht="13" x14ac:dyDescent="0.3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ht="13" x14ac:dyDescent="0.3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ht="13" x14ac:dyDescent="0.3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ht="13" x14ac:dyDescent="0.3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ht="13" x14ac:dyDescent="0.3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ht="13" x14ac:dyDescent="0.3">
      <c r="B12" s="274" t="s">
        <v>24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ht="13" x14ac:dyDescent="0.3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ht="13" x14ac:dyDescent="0.3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ht="13" x14ac:dyDescent="0.3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ht="13" x14ac:dyDescent="0.3">
      <c r="B16" s="274" t="s">
        <v>25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ht="13" x14ac:dyDescent="0.3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ht="13" x14ac:dyDescent="0.3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ht="13" x14ac:dyDescent="0.3">
      <c r="B19" s="274" t="s">
        <v>26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ht="13" x14ac:dyDescent="0.3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ht="13" x14ac:dyDescent="0.3">
      <c r="B21" s="274" t="s">
        <v>27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ht="13" x14ac:dyDescent="0.3">
      <c r="B23" s="86"/>
    </row>
    <row r="26" spans="2:18" ht="13" x14ac:dyDescent="0.3">
      <c r="B26" s="86"/>
    </row>
    <row r="27" spans="2:18" x14ac:dyDescent="0.25">
      <c r="B27" s="87"/>
    </row>
    <row r="29" spans="2:18" ht="13" x14ac:dyDescent="0.3">
      <c r="B29" s="86"/>
    </row>
    <row r="33" spans="2:3" ht="13" x14ac:dyDescent="0.3">
      <c r="B33" s="86"/>
    </row>
    <row r="46" spans="2:3" ht="13" x14ac:dyDescent="0.3">
      <c r="B46" s="86"/>
      <c r="C46" s="86"/>
    </row>
    <row r="50" spans="2:15" ht="13" x14ac:dyDescent="0.3">
      <c r="B50" s="86"/>
      <c r="C50" s="86"/>
      <c r="D50" s="86"/>
    </row>
    <row r="54" spans="2:15" ht="13" x14ac:dyDescent="0.3">
      <c r="B54" s="86"/>
    </row>
    <row r="57" spans="2:15" ht="13" x14ac:dyDescent="0.3">
      <c r="B57" s="86"/>
      <c r="C57" s="86"/>
      <c r="D57" s="86"/>
      <c r="E57" s="86"/>
      <c r="F57" s="86"/>
    </row>
    <row r="59" spans="2:15" ht="13" x14ac:dyDescent="0.3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ht="13" x14ac:dyDescent="0.3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ht="13" x14ac:dyDescent="0.3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ht="13" x14ac:dyDescent="0.3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ht="13" x14ac:dyDescent="0.3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ht="13" x14ac:dyDescent="0.3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5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5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5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5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5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5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5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5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5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5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5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/>
  </sheetViews>
  <sheetFormatPr defaultColWidth="9.08984375" defaultRowHeight="13.5" x14ac:dyDescent="0.3"/>
  <cols>
    <col min="1" max="1" width="2.90625" style="72" customWidth="1"/>
    <col min="2" max="16384" width="9.08984375" style="72"/>
  </cols>
  <sheetData>
    <row r="1" spans="2:15" ht="12.75" customHeight="1" thickBot="1" x14ac:dyDescent="0.35"/>
    <row r="2" spans="2:15" ht="30" customHeight="1" x14ac:dyDescent="0.3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3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3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3">
      <c r="B5" s="270" t="s">
        <v>52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3">
      <c r="B6" s="270" t="s">
        <v>54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3">
      <c r="B7" s="270" t="s">
        <v>55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3">
      <c r="B8" s="270" t="s">
        <v>51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3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3">
      <c r="B10" s="271" t="s">
        <v>53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3">
      <c r="B11" s="271" t="s">
        <v>86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3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3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3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3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3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3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3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3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3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3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3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3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3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3">
      <c r="B25" s="270" t="s">
        <v>28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3">
      <c r="B26" s="270" t="s">
        <v>45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3">
      <c r="B27" s="270" t="s">
        <v>46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3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3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3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3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3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3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3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3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3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3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3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3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3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3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3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3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3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3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3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4" thickBot="1" x14ac:dyDescent="0.3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2019-06-18T07:05:32Z</dcterms:modified>
</cp:coreProperties>
</file>